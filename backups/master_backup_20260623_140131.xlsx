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HIET_LAP" sheetId="1" state="visible" r:id="rId1"/>
    <sheet xmlns:r="http://schemas.openxmlformats.org/officeDocument/2006/relationships" name="HUONG_DAN" sheetId="2" state="visible" r:id="rId2"/>
    <sheet xmlns:r="http://schemas.openxmlformats.org/officeDocument/2006/relationships" name="HUONG_DAN_CHUYEN_DOI" sheetId="3" state="visible" r:id="rId3"/>
    <sheet xmlns:r="http://schemas.openxmlformats.org/officeDocument/2006/relationships" name="MAP_NGUON_DU_LIEU" sheetId="4" state="visible" r:id="rId4"/>
    <sheet xmlns:r="http://schemas.openxmlformats.org/officeDocument/2006/relationships" name="DATABASE_HOSO" sheetId="5" state="visible" r:id="rId5"/>
    <sheet xmlns:r="http://schemas.openxmlformats.org/officeDocument/2006/relationships" name="DATABASE_TASK" sheetId="6" state="visible" r:id="rId6"/>
    <sheet xmlns:r="http://schemas.openxmlformats.org/officeDocument/2006/relationships" name="DATABASE_HOP_DONG" sheetId="7" state="visible" r:id="rId7"/>
    <sheet xmlns:r="http://schemas.openxmlformats.org/officeDocument/2006/relationships" name="DATABASE_THU_CHI" sheetId="8" state="visible" r:id="rId8"/>
    <sheet xmlns:r="http://schemas.openxmlformats.org/officeDocument/2006/relationships" name="DATABASE_LUONG_KHOAN" sheetId="9" state="visible" r:id="rId9"/>
    <sheet xmlns:r="http://schemas.openxmlformats.org/officeDocument/2006/relationships" name="KINHDOANH_LEAD" sheetId="10" state="visible" r:id="rId10"/>
    <sheet xmlns:r="http://schemas.openxmlformats.org/officeDocument/2006/relationships" name="DODAC_TAC_NGHIEP" sheetId="11" state="visible" r:id="rId11"/>
    <sheet xmlns:r="http://schemas.openxmlformats.org/officeDocument/2006/relationships" name="PHAPLY_THEODOI" sheetId="12" state="visible" r:id="rId12"/>
    <sheet xmlns:r="http://schemas.openxmlformats.org/officeDocument/2006/relationships" name="MARKETING_KPI" sheetId="13" state="visible" r:id="rId13"/>
    <sheet xmlns:r="http://schemas.openxmlformats.org/officeDocument/2006/relationships" name="NHANSU_CHAMCONG" sheetId="14" state="visible" r:id="rId14"/>
    <sheet xmlns:r="http://schemas.openxmlformats.org/officeDocument/2006/relationships" name="DASHBOARD_GIAMDOC" sheetId="15" state="visible" r:id="rId15"/>
    <sheet xmlns:r="http://schemas.openxmlformats.org/officeDocument/2006/relationships" name="MA_TRAN_QUY_TRINH" sheetId="16" state="visible" r:id="rId16"/>
    <sheet xmlns:r="http://schemas.openxmlformats.org/officeDocument/2006/relationships" name="CAU_TRUC_DRIVE" sheetId="17" state="visible" r:id="rId17"/>
    <sheet xmlns:r="http://schemas.openxmlformats.org/officeDocument/2006/relationships" name="RAW_DODAC" sheetId="18" state="visible" r:id="rId18"/>
    <sheet xmlns:r="http://schemas.openxmlformats.org/officeDocument/2006/relationships" name="RAW_HOPDONG" sheetId="19" state="visible" r:id="rId19"/>
    <sheet xmlns:r="http://schemas.openxmlformats.org/officeDocument/2006/relationships" name="RAW_THUCHI" sheetId="20" state="visible" r:id="rId20"/>
    <sheet xmlns:r="http://schemas.openxmlformats.org/officeDocument/2006/relationships" name="RAW_LUONG" sheetId="21" state="visible" r:id="rId21"/>
  </sheets>
  <definedNames>
    <definedName name="DM_TRANGTHAI_HOSO">THIET_LAP!$J$4:$J$11</definedName>
    <definedName name="DM_TRANGTHAI_TASK">THIET_LAP!$L$4:$L$8</definedName>
    <definedName name="DM_NHANSU">THIET_LAP!$F$4:$F$12</definedName>
    <definedName name="DM_PHONGBAN">THIET_LAP!$D$4:$D$10</definedName>
    <definedName name="DM_UUTIEN">THIET_LAP!$N$4:$N$8</definedName>
    <definedName name="DM_DICHVU">THIET_LAP!$H$4:$H$13</definedName>
    <definedName name="_xlnm._FilterDatabase" localSheetId="4" hidden="1">'DATABASE_HOSO'!$A$3:$S$400</definedName>
    <definedName name="_xlnm._FilterDatabase" localSheetId="5" hidden="1">'DATABASE_TASK'!$A$3:$N$400</definedName>
    <definedName name="_xlnm._FilterDatabase" localSheetId="6" hidden="1">'DATABASE_HOP_DONG'!$A$3:$M$400</definedName>
    <definedName name="_xlnm._FilterDatabase" localSheetId="7" hidden="1">'DATABASE_THU_CHI'!$A$3:$M$400</definedName>
    <definedName name="_xlnm._FilterDatabase" localSheetId="8" hidden="1">'DATABASE_LUONG_KHOAN'!$A$3:$L$400</definedName>
    <definedName name="_xlnm._FilterDatabase" localSheetId="9" hidden="1">'KINHDOANH_LEAD'!$A$3:$J$200</definedName>
    <definedName name="_xlnm._FilterDatabase" localSheetId="10" hidden="1">'DODAC_TAC_NGHIEP'!$A$3:$K$200</definedName>
    <definedName name="_xlnm._FilterDatabase" localSheetId="11" hidden="1">'PHAPLY_THEODOI'!$A$3:$J$200</definedName>
    <definedName name="_xlnm._FilterDatabase" localSheetId="12" hidden="1">'MARKETING_KPI'!$A$3:$I$200</definedName>
    <definedName name="_xlnm._FilterDatabase" localSheetId="13" hidden="1">'NHANSU_CHAMCONG'!$A$3:$H$200</definedName>
  </definedNames>
  <calcPr calcId="124519" fullCalcOnLoad="1"/>
</workbook>
</file>

<file path=xl/styles.xml><?xml version="1.0" encoding="utf-8"?>
<styleSheet xmlns="http://schemas.openxmlformats.org/spreadsheetml/2006/main">
  <numFmts count="2">
    <numFmt numFmtId="164" formatCode="mm/yyyy"/>
    <numFmt numFmtId="165" formatCode="yyyy\-mm\-dd\ h:mm:ss"/>
  </numFmts>
  <fonts count="14">
    <font>
      <name val="Calibri"/>
      <color theme="1"/>
      <sz val="11"/>
      <scheme val="minor"/>
    </font>
    <font>
      <name val="Calibri"/>
      <b val="1"/>
      <color rgb="FFFFFFFF"/>
      <sz val="16"/>
    </font>
    <font/>
    <font>
      <name val="Calibri"/>
      <b val="1"/>
      <color rgb="FF1F4E78"/>
      <sz val="11"/>
    </font>
    <font>
      <name val="Calibri"/>
      <b val="1"/>
      <color rgb="FF666666"/>
      <sz val="11"/>
    </font>
    <font>
      <name val="Calibri"/>
      <color rgb="FF0000FF"/>
      <sz val="11"/>
    </font>
    <font>
      <name val="Calibri"/>
      <color theme="1"/>
      <scheme val="minor"/>
    </font>
    <font>
      <name val="Calibri"/>
      <b val="1"/>
      <color rgb="FFFFFFFF"/>
      <sz val="11"/>
    </font>
    <font>
      <name val="Calibri"/>
      <b val="1"/>
      <color rgb="FF0F766E"/>
      <sz val="11"/>
    </font>
    <font>
      <name val="Calibri"/>
      <b val="1"/>
      <color theme="1"/>
      <sz val="11"/>
    </font>
    <font>
      <name val="Calibri"/>
      <color theme="1"/>
      <sz val="11"/>
    </font>
    <font>
      <name val="Calibri"/>
      <b val="1"/>
      <color rgb="FFFFFFFF"/>
      <sz val="14"/>
    </font>
    <font>
      <name val="Calibri"/>
      <i val="1"/>
      <color rgb="FF666666"/>
      <sz val="11"/>
    </font>
    <font>
      <name val="Calibri"/>
      <b val="1"/>
      <color rgb="FF0F766E"/>
      <sz val="16"/>
    </font>
  </fonts>
  <fills count="15">
    <fill>
      <patternFill/>
    </fill>
    <fill>
      <patternFill patternType="lightGray"/>
    </fill>
    <fill>
      <patternFill patternType="solid">
        <fgColor rgb="FF1F4E78"/>
        <bgColor rgb="FF1F4E78"/>
      </patternFill>
    </fill>
    <fill>
      <patternFill patternType="solid">
        <fgColor rgb="FFD9EAF7"/>
        <bgColor rgb="FFD9EAF7"/>
      </patternFill>
    </fill>
    <fill>
      <patternFill patternType="solid">
        <fgColor rgb="FFF3F6F9"/>
        <bgColor rgb="FFF3F6F9"/>
      </patternFill>
    </fill>
    <fill>
      <patternFill patternType="solid">
        <fgColor rgb="FF0F766E"/>
        <bgColor rgb="FF0F766E"/>
      </patternFill>
    </fill>
    <fill>
      <patternFill patternType="solid">
        <fgColor rgb="FFFFFF00"/>
        <bgColor rgb="FFFFFF00"/>
      </patternFill>
    </fill>
    <fill>
      <patternFill patternType="solid">
        <fgColor rgb="FF5B5EA6"/>
        <bgColor rgb="FF5B5EA6"/>
      </patternFill>
    </fill>
    <fill>
      <patternFill patternType="solid">
        <fgColor rgb="FF107C41"/>
        <bgColor rgb="FF107C41"/>
      </patternFill>
    </fill>
    <fill>
      <patternFill patternType="solid">
        <fgColor rgb="FFC55A11"/>
        <bgColor rgb="FFC55A11"/>
      </patternFill>
    </fill>
    <fill>
      <patternFill patternType="solid">
        <fgColor rgb="FF7030A0"/>
        <bgColor rgb="FF7030A0"/>
      </patternFill>
    </fill>
    <fill>
      <patternFill patternType="solid">
        <fgColor rgb="FF4472C4"/>
        <bgColor rgb="FF4472C4"/>
      </patternFill>
    </fill>
    <fill>
      <patternFill patternType="solid">
        <fgColor rgb="FF5B9BD5"/>
        <bgColor rgb="FF5B9BD5"/>
      </patternFill>
    </fill>
    <fill>
      <patternFill patternType="solid">
        <fgColor rgb="FFC00000"/>
        <bgColor rgb="FFC00000"/>
      </patternFill>
    </fill>
    <fill>
      <patternFill patternType="solid">
        <fgColor rgb="FF7F6000"/>
        <bgColor rgb="FF7F6000"/>
      </patternFill>
    </fill>
  </fills>
  <borders count="22">
    <border/>
    <border>
      <left style="medium">
        <color rgb="FF1F4E78"/>
      </left>
      <top style="medium">
        <color rgb="FF1F4E78"/>
      </top>
      <bottom style="medium">
        <color rgb="FF1F4E78"/>
      </bottom>
    </border>
    <border>
      <top style="medium">
        <color rgb="FF1F4E78"/>
      </top>
      <bottom style="medium">
        <color rgb="FF1F4E78"/>
      </bottom>
    </border>
    <border>
      <right style="medium">
        <color rgb="FF1F4E78"/>
      </right>
      <top style="medium">
        <color rgb="FF1F4E78"/>
      </top>
      <bottom style="medium">
        <color rgb="FF1F4E78"/>
      </bottom>
    </border>
    <border>
      <left/>
      <right/>
      <top/>
      <bottom/>
    </border>
    <border>
      <left/>
      <right/>
      <top/>
      <bottom style="medium">
        <color rgb="FF1F4E78"/>
      </bottom>
    </border>
    <border>
      <bottom style="thin">
        <color rgb="FFD9D9D9"/>
      </bottom>
    </border>
    <border>
      <left/>
      <top/>
      <bottom/>
    </border>
    <border>
      <right/>
      <top/>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top style="thin">
        <color rgb="FFD9D9D9"/>
      </top>
    </border>
    <border>
      <right style="thin">
        <color rgb="FFD9D9D9"/>
      </right>
      <top style="thin">
        <color rgb="FFD9D9D9"/>
      </top>
    </border>
    <border>
      <left style="thin">
        <color rgb="FFD9D9D9"/>
      </left>
      <bottom style="thin">
        <color rgb="FFD9D9D9"/>
      </bottom>
    </border>
    <border>
      <right style="thin">
        <color rgb="FFD9D9D9"/>
      </right>
      <bottom style="thin">
        <color rgb="FFD9D9D9"/>
      </bottom>
    </border>
    <border>
      <left style="medium">
        <color rgb="FF1F4E78"/>
      </left>
      <right style="medium">
        <color rgb="FF1F4E78"/>
      </right>
      <top style="medium">
        <color rgb="FF1F4E78"/>
      </top>
      <bottom style="medium">
        <color rgb="FF1F4E78"/>
      </bottom>
    </border>
    <border>
      <top style="medium">
        <color rgb="FF1F4E78"/>
      </top>
    </border>
    <border>
      <right style="medium">
        <color rgb="FF1F4E78"/>
      </right>
      <top style="medium">
        <color rgb="FF1F4E78"/>
      </top>
    </border>
    <border>
      <left style="thin">
        <color rgb="FFD9D9D9"/>
      </left>
      <right style="thin">
        <color rgb="FFD9D9D9"/>
      </right>
      <top style="thin">
        <color rgb="FFD9D9D9"/>
      </top>
      <bottom style="thin">
        <color rgb="FFD9D9D9"/>
      </bottom>
    </border>
    <border>
      <top style="thin">
        <color rgb="FFD9D9D9"/>
      </top>
    </border>
    <border>
      <left style="thin">
        <color rgb="FFD9D9D9"/>
      </left>
    </border>
    <border>
      <right style="thin">
        <color rgb="FFD9D9D9"/>
      </right>
    </border>
  </borders>
  <cellStyleXfs count="1">
    <xf numFmtId="0" fontId="0" fillId="0" borderId="0"/>
  </cellStyleXfs>
  <cellXfs count="78">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3" fillId="0" borderId="0" pivotButton="0" quotePrefix="0" xfId="0"/>
    <xf numFmtId="0" fontId="3" fillId="3" borderId="4" pivotButton="0" quotePrefix="0" xfId="0"/>
    <xf numFmtId="0" fontId="4" fillId="4" borderId="4" pivotButton="0" quotePrefix="0" xfId="0"/>
    <xf numFmtId="0" fontId="5" fillId="0" borderId="0" pivotButton="0" quotePrefix="0" xfId="0"/>
    <xf numFmtId="0" fontId="6" fillId="0" borderId="0" pivotButton="0" quotePrefix="0" xfId="0"/>
    <xf numFmtId="0" fontId="6" fillId="0" borderId="0" pivotButton="0" quotePrefix="0" xfId="0"/>
    <xf numFmtId="0" fontId="1" fillId="5" borderId="1" applyAlignment="1" pivotButton="0" quotePrefix="0" xfId="0">
      <alignment horizontal="center" vertical="center"/>
    </xf>
    <xf numFmtId="0" fontId="7" fillId="5" borderId="5" applyAlignment="1" pivotButton="0" quotePrefix="0" xfId="0">
      <alignment horizontal="center" vertical="center" wrapText="1"/>
    </xf>
    <xf numFmtId="0" fontId="8" fillId="0" borderId="6" pivotButton="0" quotePrefix="0" xfId="0"/>
    <xf numFmtId="0" fontId="9" fillId="0" borderId="6" pivotButton="0" quotePrefix="0" xfId="0"/>
    <xf numFmtId="0" fontId="10" fillId="0" borderId="6" applyAlignment="1" pivotButton="0" quotePrefix="0" xfId="0">
      <alignment wrapText="1"/>
    </xf>
    <xf numFmtId="0" fontId="10" fillId="0" borderId="0" applyAlignment="1" pivotButton="0" quotePrefix="0" xfId="0">
      <alignment wrapText="1"/>
    </xf>
    <xf numFmtId="0" fontId="11" fillId="2" borderId="7" pivotButton="0" quotePrefix="0" xfId="0"/>
    <xf numFmtId="0" fontId="2" fillId="0" borderId="8" pivotButton="0" quotePrefix="0" xfId="0"/>
    <xf numFmtId="0" fontId="10" fillId="3" borderId="7" pivotButton="0" quotePrefix="0" xfId="0"/>
    <xf numFmtId="0" fontId="9" fillId="3" borderId="4" applyAlignment="1" pivotButton="0" quotePrefix="0" xfId="0">
      <alignment vertical="top" wrapText="1"/>
    </xf>
    <xf numFmtId="0" fontId="10" fillId="0" borderId="0" applyAlignment="1" pivotButton="0" quotePrefix="0" xfId="0">
      <alignment vertical="top" wrapText="1"/>
    </xf>
    <xf numFmtId="0" fontId="10" fillId="6" borderId="0" applyAlignment="1" pivotButton="0" quotePrefix="0" xfId="0">
      <alignment vertical="top" wrapText="1"/>
    </xf>
    <xf numFmtId="0" fontId="7" fillId="2" borderId="4" pivotButton="0" quotePrefix="0" xfId="0"/>
    <xf numFmtId="0" fontId="12" fillId="0" borderId="0" pivotButton="0" quotePrefix="0" xfId="0"/>
    <xf numFmtId="0" fontId="7" fillId="2" borderId="5" applyAlignment="1" pivotButton="0" quotePrefix="0" xfId="0">
      <alignment horizontal="center" vertical="center" wrapText="1"/>
    </xf>
    <xf numFmtId="0" fontId="7" fillId="2" borderId="5" applyAlignment="1" pivotButton="0" quotePrefix="0" xfId="0">
      <alignment horizontal="center" vertical="center" wrapText="1"/>
    </xf>
    <xf numFmtId="0" fontId="10" fillId="0" borderId="6" pivotButton="0" quotePrefix="0" xfId="0"/>
    <xf numFmtId="14" fontId="10" fillId="0" borderId="6" pivotButton="0" quotePrefix="0" xfId="0"/>
    <xf numFmtId="1" fontId="10" fillId="0" borderId="6" pivotButton="0" quotePrefix="0" xfId="0"/>
    <xf numFmtId="38" fontId="10" fillId="0" borderId="6" pivotButton="0" quotePrefix="0" xfId="0"/>
    <xf numFmtId="0" fontId="1" fillId="7" borderId="1" applyAlignment="1" pivotButton="0" quotePrefix="0" xfId="0">
      <alignment horizontal="center" vertical="center"/>
    </xf>
    <xf numFmtId="0" fontId="7" fillId="7" borderId="5" applyAlignment="1" pivotButton="0" quotePrefix="0" xfId="0">
      <alignment horizontal="center" vertical="center" wrapText="1"/>
    </xf>
    <xf numFmtId="0" fontId="1" fillId="8" borderId="1" applyAlignment="1" pivotButton="0" quotePrefix="0" xfId="0">
      <alignment horizontal="center" vertical="center"/>
    </xf>
    <xf numFmtId="0" fontId="7" fillId="8" borderId="5" applyAlignment="1" pivotButton="0" quotePrefix="0" xfId="0">
      <alignment horizontal="center" vertical="center" wrapText="1"/>
    </xf>
    <xf numFmtId="0" fontId="1" fillId="9" borderId="1" applyAlignment="1" pivotButton="0" quotePrefix="0" xfId="0">
      <alignment horizontal="center" vertical="center"/>
    </xf>
    <xf numFmtId="0" fontId="7" fillId="9" borderId="5" applyAlignment="1" pivotButton="0" quotePrefix="0" xfId="0">
      <alignment horizontal="center" vertical="center" wrapText="1"/>
    </xf>
    <xf numFmtId="164" fontId="10" fillId="0" borderId="6" pivotButton="0" quotePrefix="0" xfId="0"/>
    <xf numFmtId="0" fontId="10" fillId="0" borderId="6" pivotButton="0" quotePrefix="0" xfId="0"/>
    <xf numFmtId="0" fontId="1" fillId="10" borderId="1" applyAlignment="1" pivotButton="0" quotePrefix="0" xfId="0">
      <alignment horizontal="center" vertical="center"/>
    </xf>
    <xf numFmtId="0" fontId="7" fillId="10" borderId="5" applyAlignment="1" pivotButton="0" quotePrefix="0" xfId="0">
      <alignment horizontal="center" vertical="center" wrapText="1"/>
    </xf>
    <xf numFmtId="0" fontId="1" fillId="11" borderId="1" applyAlignment="1" pivotButton="0" quotePrefix="0" xfId="0">
      <alignment horizontal="center" vertical="center"/>
    </xf>
    <xf numFmtId="0" fontId="7" fillId="11" borderId="5" applyAlignment="1" pivotButton="0" quotePrefix="0" xfId="0">
      <alignment horizontal="center" vertical="center" wrapText="1"/>
    </xf>
    <xf numFmtId="0" fontId="1" fillId="12" borderId="1" applyAlignment="1" pivotButton="0" quotePrefix="0" xfId="0">
      <alignment horizontal="center" vertical="center"/>
    </xf>
    <xf numFmtId="0" fontId="7" fillId="12" borderId="5" applyAlignment="1" pivotButton="0" quotePrefix="0" xfId="0">
      <alignment horizontal="center" vertical="center" wrapText="1"/>
    </xf>
    <xf numFmtId="0" fontId="1" fillId="13" borderId="1" applyAlignment="1" pivotButton="0" quotePrefix="0" xfId="0">
      <alignment horizontal="center" vertical="center"/>
    </xf>
    <xf numFmtId="0" fontId="7" fillId="13" borderId="5" applyAlignment="1" pivotButton="0" quotePrefix="0" xfId="0">
      <alignment horizontal="center" vertical="center" wrapText="1"/>
    </xf>
    <xf numFmtId="0" fontId="1" fillId="14" borderId="1" applyAlignment="1" pivotButton="0" quotePrefix="0" xfId="0">
      <alignment horizontal="center" vertical="center"/>
    </xf>
    <xf numFmtId="0" fontId="7" fillId="14" borderId="5" applyAlignment="1" pivotButton="0" quotePrefix="0" xfId="0">
      <alignment horizontal="center" vertical="center" wrapText="1"/>
    </xf>
    <xf numFmtId="0" fontId="3" fillId="3" borderId="9" pivotButton="0" quotePrefix="0" xfId="0"/>
    <xf numFmtId="0" fontId="2" fillId="0" borderId="10" pivotButton="0" quotePrefix="0" xfId="0"/>
    <xf numFmtId="0" fontId="13" fillId="0" borderId="11" applyAlignment="1" pivotButton="0" quotePrefix="0" xfId="0">
      <alignment horizontal="center" vertical="center"/>
    </xf>
    <xf numFmtId="0" fontId="2" fillId="0" borderId="12" pivotButton="0" quotePrefix="0" xfId="0"/>
    <xf numFmtId="0" fontId="2" fillId="0" borderId="13" pivotButton="0" quotePrefix="0" xfId="0"/>
    <xf numFmtId="0" fontId="2" fillId="0" borderId="14" pivotButton="0" quotePrefix="0" xfId="0"/>
    <xf numFmtId="38" fontId="13" fillId="0" borderId="11" applyAlignment="1" pivotButton="0" quotePrefix="0" xfId="0">
      <alignment horizontal="center" vertical="center"/>
    </xf>
    <xf numFmtId="165" fontId="10" fillId="0" borderId="0" pivotButton="0" quotePrefix="0" xfId="0"/>
    <xf numFmtId="0" fontId="0" fillId="0" borderId="0" pivotButton="0" quotePrefix="0" xfId="0"/>
    <xf numFmtId="0" fontId="1" fillId="2" borderId="15" applyAlignment="1" pivotButton="0" quotePrefix="0" xfId="0">
      <alignment horizontal="center" vertical="center"/>
    </xf>
    <xf numFmtId="0" fontId="0" fillId="0" borderId="2" pivotButton="0" quotePrefix="0" xfId="0"/>
    <xf numFmtId="0" fontId="0" fillId="0" borderId="3" pivotButton="0" quotePrefix="0" xfId="0"/>
    <xf numFmtId="0" fontId="1" fillId="5" borderId="15" applyAlignment="1" pivotButton="0" quotePrefix="0" xfId="0">
      <alignment horizontal="center" vertical="center"/>
    </xf>
    <xf numFmtId="0" fontId="11" fillId="2" borderId="4" pivotButton="0" quotePrefix="0" xfId="0"/>
    <xf numFmtId="0" fontId="10" fillId="3" borderId="4" pivotButton="0" quotePrefix="0" xfId="0"/>
    <xf numFmtId="0" fontId="1" fillId="7" borderId="15" applyAlignment="1" pivotButton="0" quotePrefix="0" xfId="0">
      <alignment horizontal="center" vertical="center"/>
    </xf>
    <xf numFmtId="0" fontId="1" fillId="8" borderId="15" applyAlignment="1" pivotButton="0" quotePrefix="0" xfId="0">
      <alignment horizontal="center" vertical="center"/>
    </xf>
    <xf numFmtId="0" fontId="1" fillId="9" borderId="15" applyAlignment="1" pivotButton="0" quotePrefix="0" xfId="0">
      <alignment horizontal="center" vertical="center"/>
    </xf>
    <xf numFmtId="0" fontId="1" fillId="10" borderId="15" applyAlignment="1" pivotButton="0" quotePrefix="0" xfId="0">
      <alignment horizontal="center" vertical="center"/>
    </xf>
    <xf numFmtId="0" fontId="1" fillId="11" borderId="15" applyAlignment="1" pivotButton="0" quotePrefix="0" xfId="0">
      <alignment horizontal="center" vertical="center"/>
    </xf>
    <xf numFmtId="0" fontId="1" fillId="12" borderId="15" applyAlignment="1" pivotButton="0" quotePrefix="0" xfId="0">
      <alignment horizontal="center" vertical="center"/>
    </xf>
    <xf numFmtId="0" fontId="1" fillId="13" borderId="15" applyAlignment="1" pivotButton="0" quotePrefix="0" xfId="0">
      <alignment horizontal="center" vertical="center"/>
    </xf>
    <xf numFmtId="0" fontId="1" fillId="14" borderId="15" applyAlignment="1" pivotButton="0" quotePrefix="0" xfId="0">
      <alignment horizontal="center" vertical="center"/>
    </xf>
    <xf numFmtId="0" fontId="3" fillId="3" borderId="18" pivotButton="0" quotePrefix="0" xfId="0"/>
    <xf numFmtId="0" fontId="0" fillId="0" borderId="10" pivotButton="0" quotePrefix="0" xfId="0"/>
    <xf numFmtId="0" fontId="13" fillId="0" borderId="18" applyAlignment="1" pivotButton="0" quotePrefix="0" xfId="0">
      <alignment horizontal="center" vertical="center"/>
    </xf>
    <xf numFmtId="0" fontId="0" fillId="0" borderId="12" pivotButton="0" quotePrefix="0" xfId="0"/>
    <xf numFmtId="0" fontId="0" fillId="0" borderId="13" pivotButton="0" quotePrefix="0" xfId="0"/>
    <xf numFmtId="0" fontId="0" fillId="0" borderId="14" pivotButton="0" quotePrefix="0" xfId="0"/>
    <xf numFmtId="38" fontId="13" fillId="0" borderId="18" applyAlignment="1" pivotButton="0" quotePrefix="0" xfId="0">
      <alignment horizontal="center" vertical="center"/>
    </xf>
  </cellXfs>
  <cellStyles count="1">
    <cellStyle name="Normal" xfId="0" builtinId="0"/>
  </cellStyles>
  <dxfs count="3">
    <dxf>
      <font/>
      <fill>
        <patternFill patternType="solid">
          <fgColor rgb="FFFDE9E7"/>
          <bgColor rgb="FFFDE9E7"/>
        </patternFill>
      </fill>
      <border/>
    </dxf>
    <dxf>
      <font/>
      <fill>
        <patternFill patternType="solid">
          <fgColor rgb="FFFFF2CC"/>
          <bgColor rgb="FFFFF2CC"/>
        </patternFill>
      </fill>
      <border/>
    </dxf>
    <dxf>
      <font/>
      <fill>
        <patternFill patternType="solid">
          <fgColor rgb="FFE2F0D9"/>
          <bgColor rgb="FFE2F0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Số hồ sơ theo phòng</a:t>
            </a:r>
          </a:p>
        </rich>
      </tx>
      <overlay val="0"/>
    </title>
    <plotArea>
      <layout/>
      <barChart>
        <barDir val="col"/>
        <grouping val="clustered"/>
        <ser>
          <idx val="0"/>
          <order val="0"/>
          <tx>
            <v>Doanh thu HĐ</v>
          </tx>
          <spPr>
            <a:solidFill xmlns:a="http://schemas.openxmlformats.org/drawingml/2006/main">
              <a:schemeClr val="accent1"/>
            </a:solidFill>
            <a:ln xmlns:a="http://schemas.openxmlformats.org/drawingml/2006/main" cmpd="sng">
              <a:noFill/>
              <a:prstDash val="solid"/>
            </a:ln>
          </spPr>
          <cat>
            <strRef>
              <f>DASHBOARD_GIAMDOC!$B$20:$B$26</f>
            </strRef>
          </cat>
          <val>
            <numRef>
              <f>DASHBOARD_GIAMDOC!$C$20:$C$26</f>
              <numCache/>
            </numRef>
          </val>
        </ser>
        <gapWidth val="150"/>
        <axId val="592326877"/>
        <axId val="76779818"/>
      </barChart>
      <catAx>
        <axId val="592326877"/>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76779818"/>
        <lblOffset val="100"/>
      </catAx>
      <valAx>
        <axId val="76779818"/>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1" i="0">
                    <a:solidFill>
                      <a:srgbClr val="000000"/>
                    </a:solidFill>
                    <a:latin typeface="+mn-lt"/>
                  </a:defRPr>
                </a:pPr>
                <a:r>
                  <a:rPr b="1" i="0">
                    <a:solidFill>
                      <a:srgbClr val="000000"/>
                    </a:solidFill>
                    <a:latin typeface="+mn-lt"/>
                  </a:rPr>
                  <a:t>Số hồ sơ</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592326877"/>
      </valAx>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Cơ cấu doanh thu theo phòng</a:t>
            </a:r>
          </a:p>
        </rich>
      </tx>
      <overlay val="0"/>
    </title>
    <plotArea>
      <layout/>
      <pieChart>
        <varyColors val="1"/>
        <ser>
          <idx val="0"/>
          <order val="0"/>
          <tx>
            <strRef>
              <f>DASHBOARD_GIAMDOC!$D$19</f>
            </strRef>
          </tx>
          <spPr>
            <a:ln xmlns:a="http://schemas.openxmlformats.org/drawingml/2006/main">
              <a:prstDash val="solid"/>
            </a:ln>
          </spPr>
          <dPt>
            <idx val="0"/>
            <spPr>
              <a:solidFill xmlns:a="http://schemas.openxmlformats.org/drawingml/2006/main">
                <a:srgbClr val="4F81BD"/>
              </a:solidFill>
              <a:ln xmlns:a="http://schemas.openxmlformats.org/drawingml/2006/main">
                <a:prstDash val="solid"/>
              </a:ln>
            </spPr>
          </dPt>
          <dPt>
            <idx val="1"/>
            <spPr>
              <a:solidFill xmlns:a="http://schemas.openxmlformats.org/drawingml/2006/main">
                <a:srgbClr val="C0504D"/>
              </a:solidFill>
              <a:ln xmlns:a="http://schemas.openxmlformats.org/drawingml/2006/main">
                <a:prstDash val="solid"/>
              </a:ln>
            </spPr>
          </dPt>
          <dPt>
            <idx val="2"/>
            <spPr>
              <a:solidFill xmlns:a="http://schemas.openxmlformats.org/drawingml/2006/main">
                <a:srgbClr val="9BBB59"/>
              </a:solidFill>
              <a:ln xmlns:a="http://schemas.openxmlformats.org/drawingml/2006/main">
                <a:prstDash val="solid"/>
              </a:ln>
            </spPr>
          </dPt>
          <dPt>
            <idx val="3"/>
            <spPr>
              <a:solidFill xmlns:a="http://schemas.openxmlformats.org/drawingml/2006/main">
                <a:srgbClr val="8064A2"/>
              </a:solidFill>
              <a:ln xmlns:a="http://schemas.openxmlformats.org/drawingml/2006/main">
                <a:prstDash val="solid"/>
              </a:ln>
            </spPr>
          </dPt>
          <dPt>
            <idx val="4"/>
            <spPr>
              <a:solidFill xmlns:a="http://schemas.openxmlformats.org/drawingml/2006/main">
                <a:srgbClr val="4BACC6"/>
              </a:solidFill>
              <a:ln xmlns:a="http://schemas.openxmlformats.org/drawingml/2006/main">
                <a:prstDash val="solid"/>
              </a:ln>
            </spPr>
          </dPt>
          <dPt>
            <idx val="5"/>
            <spPr>
              <a:solidFill xmlns:a="http://schemas.openxmlformats.org/drawingml/2006/main">
                <a:srgbClr val="F79646"/>
              </a:solidFill>
              <a:ln xmlns:a="http://schemas.openxmlformats.org/drawingml/2006/main">
                <a:prstDash val="solid"/>
              </a:ln>
            </spPr>
          </dPt>
          <dPt>
            <idx val="6"/>
            <spPr>
              <a:solidFill xmlns:a="http://schemas.openxmlformats.org/drawingml/2006/main">
                <a:srgbClr val="84A7D1"/>
              </a:solidFill>
              <a:ln xmlns:a="http://schemas.openxmlformats.org/drawingml/2006/main">
                <a:prstDash val="solid"/>
              </a:ln>
            </spPr>
          </dPt>
          <dLbls>
            <showLegendKey val="0"/>
            <showVal val="0"/>
            <showCatName val="0"/>
            <showSerName val="0"/>
            <showPercent val="0"/>
            <showBubbleSize val="0"/>
            <showLeaderLines val="1"/>
          </dLbls>
          <cat>
            <strRef>
              <f>DASHBOARD_GIAMDOC!$B$20:$B$26</f>
            </strRef>
          </cat>
          <val>
            <numRef>
              <f>DASHBOARD_GIAMDOC!$D$20:$D$26</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6</col>
      <colOff>0</colOff>
      <row>17</row>
      <rowOff>0</rowOff>
    </from>
    <ext cx="3952875" cy="25146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6</col>
      <colOff>0</colOff>
      <row>32</row>
      <rowOff>0</rowOff>
    </from>
    <ext cx="2876550" cy="25146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4"/>
  <sheetViews>
    <sheetView showGridLines="0" workbookViewId="0">
      <pane ySplit="3" topLeftCell="A4" activePane="bottomLeft" state="frozen"/>
      <selection pane="bottomLeft" activeCell="B5" sqref="B5"/>
    </sheetView>
  </sheetViews>
  <sheetFormatPr baseColWidth="8" defaultColWidth="14.43" defaultRowHeight="15" customHeight="1"/>
  <cols>
    <col width="26" customWidth="1" style="56" min="1" max="1"/>
    <col width="18" customWidth="1" style="56" min="2" max="2"/>
    <col width="8.710000000000001" customWidth="1" style="56" min="3" max="3"/>
    <col width="20" customWidth="1" style="56" min="4" max="4"/>
    <col width="8.710000000000001" customWidth="1" style="56" min="5" max="5"/>
    <col width="18" customWidth="1" style="56" min="6" max="6"/>
    <col width="8.710000000000001" customWidth="1" style="56" min="7" max="7"/>
    <col width="22" customWidth="1" style="56" min="8" max="8"/>
    <col width="8.710000000000001" customWidth="1" style="56" min="9" max="9"/>
    <col width="22" customWidth="1" style="56" min="10" max="10"/>
    <col width="8.710000000000001" customWidth="1" style="56" min="11" max="11"/>
    <col width="18" customWidth="1" style="56" min="12" max="12"/>
    <col width="8.710000000000001" customWidth="1" style="56" min="13" max="13"/>
    <col width="16" customWidth="1" style="56" min="14" max="14"/>
    <col width="8.710000000000001" customWidth="1" style="56" min="15" max="26"/>
  </cols>
  <sheetData>
    <row r="1">
      <c r="A1" s="57" t="inlineStr">
        <is>
          <t>THIẾT LẬP HỆ THỐNG BÁCH KHOA 2026</t>
        </is>
      </c>
      <c r="B1" s="58" t="n"/>
      <c r="C1" s="58" t="n"/>
      <c r="D1" s="58" t="n"/>
      <c r="E1" s="58" t="n"/>
      <c r="F1" s="58" t="n"/>
      <c r="G1" s="58" t="n"/>
      <c r="H1" s="58" t="n"/>
      <c r="I1" s="58" t="n"/>
      <c r="J1" s="58" t="n"/>
      <c r="K1" s="58" t="n"/>
      <c r="L1" s="58" t="n"/>
      <c r="M1" s="58" t="n"/>
      <c r="N1" s="59" t="n"/>
    </row>
    <row r="3">
      <c r="A3" s="4" t="inlineStr">
        <is>
          <t>Điều khiển</t>
        </is>
      </c>
      <c r="D3" s="5" t="inlineStr">
        <is>
          <t>PHÒNG BAN</t>
        </is>
      </c>
      <c r="F3" s="5" t="inlineStr">
        <is>
          <t>NHÂN SỰ</t>
        </is>
      </c>
      <c r="H3" s="5" t="inlineStr">
        <is>
          <t>DỊCH VỤ</t>
        </is>
      </c>
      <c r="J3" s="5" t="inlineStr">
        <is>
          <t>TRẠNG THÁI HỒ SƠ</t>
        </is>
      </c>
      <c r="L3" s="5" t="inlineStr">
        <is>
          <t>TRẠNG THÁI TASK</t>
        </is>
      </c>
      <c r="N3" s="5" t="inlineStr">
        <is>
          <t>MỨC ƯU TIÊN</t>
        </is>
      </c>
    </row>
    <row r="4">
      <c r="A4" s="6" t="inlineStr">
        <is>
          <t>Mã tiền tố</t>
        </is>
      </c>
      <c r="B4" s="7" t="inlineStr">
        <is>
          <t>BK</t>
        </is>
      </c>
      <c r="D4" s="9" t="inlineStr">
        <is>
          <t>Phòng Giám đốc</t>
        </is>
      </c>
      <c r="F4" s="9" t="inlineStr">
        <is>
          <t>Giám đốc</t>
        </is>
      </c>
      <c r="H4" s="9" t="inlineStr">
        <is>
          <t>Đo hiện trạng</t>
        </is>
      </c>
      <c r="J4" s="9" t="inlineStr">
        <is>
          <t>Mới tiếp nhận</t>
        </is>
      </c>
      <c r="L4" s="9" t="inlineStr">
        <is>
          <t>Cần thực hiện</t>
        </is>
      </c>
      <c r="N4" s="9" t="inlineStr">
        <is>
          <t>Thấp</t>
        </is>
      </c>
    </row>
    <row r="5">
      <c r="A5" s="6" t="inlineStr">
        <is>
          <t>Năm vận hành</t>
        </is>
      </c>
      <c r="B5" s="7" t="n">
        <v>2026</v>
      </c>
      <c r="D5" s="9" t="inlineStr">
        <is>
          <t>Phòng Kinh doanh</t>
        </is>
      </c>
      <c r="F5" s="9" t="inlineStr">
        <is>
          <t>Lê Văn Dựng</t>
        </is>
      </c>
      <c r="H5" s="9" t="inlineStr">
        <is>
          <t>Cắm mốc</t>
        </is>
      </c>
      <c r="J5" s="9" t="inlineStr">
        <is>
          <t>Chờ khảo sát</t>
        </is>
      </c>
      <c r="L5" s="9" t="inlineStr">
        <is>
          <t>Đang tiến hành</t>
        </is>
      </c>
      <c r="N5" s="9" t="inlineStr">
        <is>
          <t>Trung bình</t>
        </is>
      </c>
    </row>
    <row r="6">
      <c r="A6" s="6" t="inlineStr">
        <is>
          <t>Tiền tệ</t>
        </is>
      </c>
      <c r="B6" s="7" t="inlineStr">
        <is>
          <t>VND</t>
        </is>
      </c>
      <c r="D6" s="9" t="inlineStr">
        <is>
          <t>Phòng Marketing</t>
        </is>
      </c>
      <c r="F6" s="9" t="inlineStr">
        <is>
          <t>Tạ Khắc Tập</t>
        </is>
      </c>
      <c r="H6" s="9" t="inlineStr">
        <is>
          <t>Hoàn công</t>
        </is>
      </c>
      <c r="J6" s="9" t="inlineStr">
        <is>
          <t>Đang đo</t>
        </is>
      </c>
      <c r="L6" s="9" t="inlineStr">
        <is>
          <t>Đang chờ</t>
        </is>
      </c>
      <c r="N6" s="9" t="inlineStr">
        <is>
          <t>Cao</t>
        </is>
      </c>
    </row>
    <row r="7">
      <c r="A7" s="6" t="inlineStr">
        <is>
          <t>Ngưỡng cảnh báo hồ sơ (ngày)</t>
        </is>
      </c>
      <c r="B7" s="7" t="n">
        <v>2</v>
      </c>
      <c r="D7" s="9" t="inlineStr">
        <is>
          <t>Phòng Đo đạc</t>
        </is>
      </c>
      <c r="F7" s="9" t="inlineStr">
        <is>
          <t>Trương Tấn Quốc</t>
        </is>
      </c>
      <c r="H7" s="9" t="inlineStr">
        <is>
          <t>Cấp đổi</t>
        </is>
      </c>
      <c r="J7" s="9" t="inlineStr">
        <is>
          <t>Đang làm hồ sơ</t>
        </is>
      </c>
      <c r="L7" s="9" t="inlineStr">
        <is>
          <t>Hoàn thành</t>
        </is>
      </c>
      <c r="N7" s="9" t="inlineStr">
        <is>
          <t>Rất cao</t>
        </is>
      </c>
    </row>
    <row r="8">
      <c r="A8" s="6" t="inlineStr">
        <is>
          <t>Ngưỡng cảnh báo task (ngày)</t>
        </is>
      </c>
      <c r="B8" s="7" t="n">
        <v>1</v>
      </c>
      <c r="D8" s="9" t="inlineStr">
        <is>
          <t>Phòng Pháp lý</t>
        </is>
      </c>
      <c r="F8" s="9" t="inlineStr">
        <is>
          <t>Nguyễn Minh Thông</t>
        </is>
      </c>
      <c r="H8" s="9" t="inlineStr">
        <is>
          <t>Hợp thửa</t>
        </is>
      </c>
      <c r="J8" s="9" t="inlineStr">
        <is>
          <t>Chờ khách bổ sung</t>
        </is>
      </c>
      <c r="L8" s="9" t="inlineStr">
        <is>
          <t>Đã hủy</t>
        </is>
      </c>
      <c r="N8" s="9" t="inlineStr">
        <is>
          <t>Khẩn cấp</t>
        </is>
      </c>
    </row>
    <row r="9">
      <c r="D9" s="9" t="inlineStr">
        <is>
          <t>Phòng Kế toán</t>
        </is>
      </c>
      <c r="F9" s="9" t="inlineStr">
        <is>
          <t>Lê Tấn Đạt</t>
        </is>
      </c>
      <c r="H9" s="9" t="inlineStr">
        <is>
          <t>Tách Thửa</t>
        </is>
      </c>
      <c r="J9" s="9" t="inlineStr">
        <is>
          <t>Đã nộp</t>
        </is>
      </c>
    </row>
    <row r="10">
      <c r="D10" s="9" t="inlineStr">
        <is>
          <t>Phòng Nhân sự</t>
        </is>
      </c>
      <c r="F10" s="9" t="inlineStr">
        <is>
          <t>Lê Văn Xây</t>
        </is>
      </c>
      <c r="H10" s="9" t="inlineStr">
        <is>
          <t>Cấp sổ lần đầu</t>
        </is>
      </c>
      <c r="J10" s="9" t="inlineStr">
        <is>
          <t>Hoàn thành</t>
        </is>
      </c>
    </row>
    <row r="11">
      <c r="F11" s="9" t="inlineStr">
        <is>
          <t>Trần Thị Tường Vy</t>
        </is>
      </c>
      <c r="H11" s="9" t="inlineStr">
        <is>
          <t>Xác định ranh</t>
        </is>
      </c>
      <c r="J11" s="9" t="inlineStr">
        <is>
          <t>Đã hủy</t>
        </is>
      </c>
    </row>
    <row r="12">
      <c r="F12" s="9" t="inlineStr">
        <is>
          <t>Hồ Thị Mỹ Hằng</t>
        </is>
      </c>
      <c r="H12" s="9" t="inlineStr">
        <is>
          <t>Đo GPS</t>
        </is>
      </c>
    </row>
    <row r="13">
      <c r="H13" s="9" t="inlineStr">
        <is>
          <t>SEO / Marketing</t>
        </is>
      </c>
    </row>
    <row r="14">
      <c r="H14" s="9" t="inlineStr">
        <is>
          <t>Xin phép xây dựng</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N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ColWidth="14.43" defaultRowHeight="15" customHeight="1"/>
  <cols>
    <col width="16" customWidth="1" style="56" min="1" max="1"/>
    <col width="22" customWidth="1" style="56" min="2" max="2"/>
    <col width="78" customWidth="1" style="56" min="3" max="3"/>
    <col width="8.710000000000001" customWidth="1" style="56" min="4" max="26"/>
  </cols>
  <sheetData>
    <row r="1">
      <c r="A1" s="60" t="inlineStr">
        <is>
          <t>HƯỚNG DẪN SỬ DỤNG FILE FULL AUTO</t>
        </is>
      </c>
      <c r="B1" s="58" t="n"/>
      <c r="C1" s="58" t="n"/>
      <c r="D1" s="58" t="n"/>
      <c r="E1" s="58" t="n"/>
      <c r="F1" s="58" t="n"/>
      <c r="G1" s="58" t="n"/>
      <c r="H1" s="59" t="n"/>
    </row>
    <row r="3">
      <c r="A3" s="11" t="inlineStr">
        <is>
          <t>Bước</t>
        </is>
      </c>
      <c r="B3" s="11" t="inlineStr">
        <is>
          <t>Mục tiêu</t>
        </is>
      </c>
      <c r="C3" s="11" t="inlineStr">
        <is>
          <t>Hướng dẫn</t>
        </is>
      </c>
    </row>
    <row r="4">
      <c r="A4" s="12" t="inlineStr">
        <is>
          <t>BƯỚC 1</t>
        </is>
      </c>
      <c r="B4" s="13" t="inlineStr">
        <is>
          <t>Cập nhật danh mục</t>
        </is>
      </c>
      <c r="C4" s="14" t="inlineStr">
        <is>
          <t>Sửa phòng ban, nhân sự, dịch vụ, trạng thái ở tab THIET_LAP trước khi dùng.</t>
        </is>
      </c>
    </row>
    <row r="5">
      <c r="A5" s="12" t="inlineStr">
        <is>
          <t>BƯỚC 2</t>
        </is>
      </c>
      <c r="B5" s="13" t="inlineStr">
        <is>
          <t>Nhập hồ sơ gốc</t>
        </is>
      </c>
      <c r="C5" s="14" t="inlineStr">
        <is>
          <t>Mọi công việc mới phải đi vào DATABASE_HOSO. Mã hồ sơ sẽ tự sinh khi có Ngày tạo.</t>
        </is>
      </c>
    </row>
    <row r="6">
      <c r="A6" s="12" t="inlineStr">
        <is>
          <t>BƯỚC 3</t>
        </is>
      </c>
      <c r="B6" s="13" t="inlineStr">
        <is>
          <t>Giao việc</t>
        </is>
      </c>
      <c r="C6" s="14" t="inlineStr">
        <is>
          <t>Tạo các đầu việc trong DATABASE_TASK và gắn đúng Mã hồ sơ.</t>
        </is>
      </c>
    </row>
    <row r="7">
      <c r="A7" s="12" t="inlineStr">
        <is>
          <t>BƯỚC 4</t>
        </is>
      </c>
      <c r="B7" s="13" t="inlineStr">
        <is>
          <t>Theo dõi tiền</t>
        </is>
      </c>
      <c r="C7" s="14" t="inlineStr">
        <is>
          <t>Hợp đồng vào DATABASE_HOP_DONG, thu chi vào DATABASE_THU_CHI.</t>
        </is>
      </c>
    </row>
    <row r="8">
      <c r="A8" s="12" t="inlineStr">
        <is>
          <t>BƯỚC 5</t>
        </is>
      </c>
      <c r="B8" s="13" t="inlineStr">
        <is>
          <t>Chốt lương</t>
        </is>
      </c>
      <c r="C8" s="14" t="inlineStr">
        <is>
          <t>Mỗi dòng khoán / phụ cấp / thưởng phạt nhập ở DATABASE_LUONG_KHOAN.</t>
        </is>
      </c>
    </row>
    <row r="9">
      <c r="A9" s="12" t="inlineStr">
        <is>
          <t>BƯỚC 6</t>
        </is>
      </c>
      <c r="B9" s="13" t="inlineStr">
        <is>
          <t>Xem dashboard</t>
        </is>
      </c>
      <c r="C9" s="14" t="inlineStr">
        <is>
          <t>Giám đốc chỉ cần mở DASHBOARD_GIAMDOC để nhìn toàn hệ thống.</t>
        </is>
      </c>
    </row>
    <row r="12">
      <c r="A12" s="4" t="inlineStr">
        <is>
          <t>Luồng chuẩn</t>
        </is>
      </c>
    </row>
    <row r="13">
      <c r="A13" s="15" t="inlineStr">
        <is>
          <t>Khách/Zalo → Form/nhập liệu → DATABASE_HOSO → DATABASE_TASK → Hợp đồng / Thu chi / Lương → Dashboard</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ColWidth="14.43" defaultRowHeight="15" customHeight="1"/>
  <cols>
    <col width="28" customWidth="1" style="56" min="1" max="1"/>
    <col width="110" customWidth="1" style="56" min="2" max="2"/>
    <col width="8.710000000000001" customWidth="1" style="56" min="3" max="26"/>
  </cols>
  <sheetData>
    <row r="1">
      <c r="A1" s="61" t="inlineStr">
        <is>
          <t>HƯỚNG DẪN NỐI DỮ LIỆU CŨ SANG FULL AUTO</t>
        </is>
      </c>
    </row>
    <row r="2">
      <c r="A2" s="62" t="inlineStr">
        <is>
          <t>File này đã được nạp sẵn dữ liệu mẫu từ hệ thống hiện tại của Bách Khoa để anh dùng làm bản chuyển đổi.</t>
        </is>
      </c>
    </row>
    <row r="4">
      <c r="A4" s="19" t="inlineStr">
        <is>
          <t>1. Hồ sơ đo đạc</t>
        </is>
      </c>
      <c r="B4" s="20" t="inlineStr">
        <is>
          <t>Đã nạp 320 hồ sơ mới nhất từ file "Bảng 03. Phòng đo vẽ .xlsx" vào DATABASE_HOSO và DODAC_TAC_NGHIEP.</t>
        </is>
      </c>
    </row>
    <row r="5">
      <c r="A5" s="19" t="inlineStr">
        <is>
          <t>2. Hợp đồng</t>
        </is>
      </c>
      <c r="B5" s="20" t="inlineStr">
        <is>
          <t>Đã nạp 320 hợp đồng liên quan từ file "Quản lý hợp đồng - Công nợ CHUẨN V1.xlsx" vào DATABASE_HOP_DONG.</t>
        </is>
      </c>
    </row>
    <row r="6">
      <c r="A6" s="19" t="inlineStr">
        <is>
          <t>3. Thu chi</t>
        </is>
      </c>
      <c r="B6" s="20" t="inlineStr">
        <is>
          <t>Đã nạp 220 giao dịch thu chi gần nhất từ file "Thu chi Công Ty Bách Khoa năm 2026.xlsx" vào DATABASE_THU_CHI.</t>
        </is>
      </c>
    </row>
    <row r="7">
      <c r="A7" s="19" t="inlineStr">
        <is>
          <t>4. Lương khoán</t>
        </is>
      </c>
      <c r="B7" s="20" t="inlineStr">
        <is>
          <t>Đã nạp 231 dòng lương/khoán từ file "Công việc - Lê Văn Dựng_v1.xlsx" vào DATABASE_LUONG_KHOAN.</t>
        </is>
      </c>
    </row>
    <row r="8">
      <c r="A8" s="19" t="inlineStr">
        <is>
          <t>5. Cách dùng</t>
        </is>
      </c>
      <c r="B8" s="20" t="inlineStr">
        <is>
          <t>Từ nay chỉ nhập hồ sơ mới vào DATABASE_HOSO hoặc Google Form. Các phòng ban cập nhật tiến độ ở tab tác nghiệp riêng.</t>
        </is>
      </c>
    </row>
    <row r="9">
      <c r="A9" s="19" t="inlineStr">
        <is>
          <t>6. Quy tắc khóa chính</t>
        </is>
      </c>
      <c r="B9" s="21" t="inlineStr">
        <is>
          <t>Mã hồ sơ BK-HS-xxxx là trục nối giữa hồ sơ, task, hợp đồng, thu chi và lương khoán.</t>
        </is>
      </c>
    </row>
    <row r="10">
      <c r="A10" s="19" t="inlineStr">
        <is>
          <t>7. Việc cần làm tiếp</t>
        </is>
      </c>
      <c r="B10" s="20" t="inlineStr">
        <is>
          <t>Sau phòng đo đạc, anh làm tương tự cho Pháp lý, Kinh doanh và Marketing.</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2">
    <mergeCell ref="A2:B2"/>
    <mergeCell ref="A1:B1"/>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ColWidth="14.43" defaultRowHeight="15" customHeight="1"/>
  <cols>
    <col width="38" customWidth="1" style="56" min="1" max="1"/>
    <col width="28" customWidth="1" style="56" min="2" max="2"/>
    <col width="42" customWidth="1" style="56" min="3" max="3"/>
    <col width="18" customWidth="1" style="56" min="4" max="4"/>
    <col width="46" customWidth="1" style="56" min="5" max="5"/>
    <col width="8.710000000000001" customWidth="1" style="56" min="6" max="26"/>
  </cols>
  <sheetData>
    <row r="1">
      <c r="A1" s="22" t="inlineStr">
        <is>
          <t>Nguồn hiện tại</t>
        </is>
      </c>
      <c r="B1" s="22" t="inlineStr">
        <is>
          <t>Sheet nguồn</t>
        </is>
      </c>
      <c r="C1" s="22" t="inlineStr">
        <is>
          <t>Đích trong file mới</t>
        </is>
      </c>
      <c r="D1" s="22" t="inlineStr">
        <is>
          <t>Khóa nối</t>
        </is>
      </c>
      <c r="E1" s="22" t="inlineStr">
        <is>
          <t>Ghi chú</t>
        </is>
      </c>
    </row>
    <row r="2">
      <c r="A2" s="20" t="inlineStr">
        <is>
          <t>Bảng 03. Phòng đo vẽ .xlsx</t>
        </is>
      </c>
      <c r="B2" s="20" t="inlineStr">
        <is>
          <t>Bảng tổng hợp</t>
        </is>
      </c>
      <c r="C2" s="20" t="inlineStr">
        <is>
          <t>DATABASE_HOSO / DODAC_TAC_NGHIEP / DATABASE_TASK</t>
        </is>
      </c>
      <c r="D2" s="20" t="inlineStr">
        <is>
          <t>Mã hồ sơ</t>
        </is>
      </c>
      <c r="E2" s="20" t="inlineStr">
        <is>
          <t>Đã map từ Mã hợp đồng cũ sang BK-HS-xxxx</t>
        </is>
      </c>
    </row>
    <row r="3">
      <c r="A3" s="20" t="inlineStr">
        <is>
          <t>Quản lý hợp đồng - Công nợ CHUẨN V1.xlsx</t>
        </is>
      </c>
      <c r="B3" s="20" t="inlineStr">
        <is>
          <t>Hợp đồng</t>
        </is>
      </c>
      <c r="C3" s="20" t="inlineStr">
        <is>
          <t>DATABASE_HOP_DONG</t>
        </is>
      </c>
      <c r="D3" s="20" t="inlineStr">
        <is>
          <t>Mã hợp đồng</t>
        </is>
      </c>
      <c r="E3" s="20" t="inlineStr">
        <is>
          <t>Tự nối sang Mã hồ sơ nếu trùng hợp đồng cũ</t>
        </is>
      </c>
    </row>
    <row r="4">
      <c r="A4" s="20" t="inlineStr">
        <is>
          <t>Thu chi Công Ty Bách Khoa năm 2026.xlsx</t>
        </is>
      </c>
      <c r="B4" s="20" t="inlineStr">
        <is>
          <t>ThuChiVat</t>
        </is>
      </c>
      <c r="C4" s="20" t="inlineStr">
        <is>
          <t>DATABASE_THU_CHI</t>
        </is>
      </c>
      <c r="D4" s="20" t="inlineStr">
        <is>
          <t>Số chứng từ</t>
        </is>
      </c>
      <c r="E4" s="20" t="inlineStr">
        <is>
          <t>Chưa nối mã hồ sơ cho các khoản chi nội bộ</t>
        </is>
      </c>
    </row>
    <row r="5">
      <c r="A5" s="20" t="inlineStr">
        <is>
          <t>Công việc - Lê Văn Dựng_v1.xlsx</t>
        </is>
      </c>
      <c r="B5" s="20" t="inlineStr">
        <is>
          <t>Lương đo vẽ / Lương phụ đo</t>
        </is>
      </c>
      <c r="C5" s="20" t="inlineStr">
        <is>
          <t>DATABASE_LUONG_KHOAN</t>
        </is>
      </c>
      <c r="D5" s="20" t="inlineStr">
        <is>
          <t>Mã hợp đồng cũ</t>
        </is>
      </c>
      <c r="E5" s="20" t="inlineStr">
        <is>
          <t>Đã giữ thông tin HĐ cũ trong cột Ghi chú</t>
        </is>
      </c>
    </row>
    <row r="6">
      <c r="A6" s="20" t="inlineStr">
        <is>
          <t>Bảng 02. Cơ chế khoán đo vẽ.xlsx</t>
        </is>
      </c>
      <c r="B6" s="20" t="inlineStr">
        <is>
          <t>Sheet1</t>
        </is>
      </c>
      <c r="C6" s="20" t="inlineStr">
        <is>
          <t>THIET_LAP / DATABASE_LUONG_KHOAN</t>
        </is>
      </c>
      <c r="D6" s="20" t="inlineStr">
        <is>
          <t>Loại dịch vụ</t>
        </is>
      </c>
      <c r="E6" s="20" t="inlineStr">
        <is>
          <t>Dùng để chuẩn hóa danh mục dịch vụ và mức khoán</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S4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13" customWidth="1" style="56" min="2" max="2"/>
    <col width="18" customWidth="1" style="56" min="3" max="4"/>
    <col width="28" customWidth="1" style="56" min="5" max="5"/>
    <col width="22" customWidth="1" style="56" min="6" max="6"/>
    <col width="14" customWidth="1" style="56" min="7" max="7"/>
    <col width="18" customWidth="1" style="56" min="8" max="10"/>
    <col width="12" customWidth="1" style="56" min="11" max="11"/>
    <col width="18" customWidth="1" style="56" min="12" max="12"/>
    <col width="13" customWidth="1" style="56" min="13" max="14"/>
    <col width="12" customWidth="1" style="56" min="15" max="15"/>
    <col width="18" customWidth="1" style="56" min="16" max="16"/>
    <col width="15" customWidth="1" style="56" min="17" max="17"/>
    <col width="24" customWidth="1" style="56" min="18" max="18"/>
    <col width="30" customWidth="1" style="56" min="19" max="19"/>
    <col width="8.710000000000001" customWidth="1" style="56" min="20" max="26"/>
  </cols>
  <sheetData>
    <row r="1">
      <c r="A1" s="57" t="inlineStr">
        <is>
          <t>DATABASE HỒ SƠ</t>
        </is>
      </c>
      <c r="B1" s="58" t="n"/>
      <c r="C1" s="58" t="n"/>
      <c r="D1" s="58" t="n"/>
      <c r="E1" s="58" t="n"/>
      <c r="F1" s="58" t="n"/>
      <c r="G1" s="58" t="n"/>
      <c r="H1" s="58" t="n"/>
      <c r="I1" s="58" t="n"/>
      <c r="J1" s="58" t="n"/>
      <c r="K1" s="58" t="n"/>
      <c r="L1" s="58" t="n"/>
      <c r="M1" s="58" t="n"/>
      <c r="N1" s="58" t="n"/>
      <c r="O1" s="58" t="n"/>
      <c r="P1" s="58" t="n"/>
      <c r="Q1" s="58" t="n"/>
      <c r="R1" s="58" t="n"/>
      <c r="S1" s="59" t="n"/>
    </row>
    <row r="2">
      <c r="A2" s="23" t="inlineStr">
        <is>
          <t>Nguồn dữ liệu gốc toàn công ty. Mỗi hồ sơ chỉ có 1 dòng.</t>
        </is>
      </c>
    </row>
    <row r="3">
      <c r="A3" s="25" t="inlineStr">
        <is>
          <t>Mã hồ sơ</t>
        </is>
      </c>
      <c r="B3" s="25" t="inlineStr">
        <is>
          <t>Ngày tạo</t>
        </is>
      </c>
      <c r="C3" s="25" t="inlineStr">
        <is>
          <t>Phòng ban</t>
        </is>
      </c>
      <c r="D3" s="25" t="inlineStr">
        <is>
          <t>Loại dịch vụ</t>
        </is>
      </c>
      <c r="E3" s="25" t="inlineStr">
        <is>
          <t>Tên hồ sơ</t>
        </is>
      </c>
      <c r="F3" s="25" t="inlineStr">
        <is>
          <t>Tên khách hàng</t>
        </is>
      </c>
      <c r="G3" s="25" t="inlineStr">
        <is>
          <t>SĐT</t>
        </is>
      </c>
      <c r="H3" s="25" t="inlineStr">
        <is>
          <t>Khu vực/Phường</t>
        </is>
      </c>
      <c r="I3" s="25" t="inlineStr">
        <is>
          <t>Phụ trách chính</t>
        </is>
      </c>
      <c r="J3" s="25" t="inlineStr">
        <is>
          <t>Hỗ trợ</t>
        </is>
      </c>
      <c r="K3" s="25" t="inlineStr">
        <is>
          <t>Ưu tiên</t>
        </is>
      </c>
      <c r="L3" s="25" t="inlineStr">
        <is>
          <t>Trạng thái</t>
        </is>
      </c>
      <c r="M3" s="25" t="inlineStr">
        <is>
          <t>Deadline</t>
        </is>
      </c>
      <c r="N3" s="25" t="inlineStr">
        <is>
          <t>Số ngày còn lại</t>
        </is>
      </c>
      <c r="O3" s="25" t="inlineStr">
        <is>
          <t>Cảnh báo</t>
        </is>
      </c>
      <c r="P3" s="25" t="inlineStr">
        <is>
          <t>Mã hợp đồng</t>
        </is>
      </c>
      <c r="Q3" s="25" t="inlineStr">
        <is>
          <t>Giá trị dự kiến</t>
        </is>
      </c>
      <c r="R3" s="25" t="inlineStr">
        <is>
          <t>Link file</t>
        </is>
      </c>
      <c r="S3" s="25" t="inlineStr">
        <is>
          <t>Ghi chú</t>
        </is>
      </c>
    </row>
    <row r="4">
      <c r="A4" s="37" t="inlineStr">
        <is>
          <t>BK-HS-0001</t>
        </is>
      </c>
      <c r="B4" s="27" t="n">
        <v>46097</v>
      </c>
      <c r="C4" s="37" t="inlineStr">
        <is>
          <t>Phòng Đo đạc</t>
        </is>
      </c>
      <c r="D4" s="37" t="inlineStr">
        <is>
          <t>Xin phép xây dựng</t>
        </is>
      </c>
      <c r="E4" s="37" t="inlineStr">
        <is>
          <t>Hoàng Nam</t>
        </is>
      </c>
      <c r="F4" s="37" t="inlineStr">
        <is>
          <t>Công Ty</t>
        </is>
      </c>
      <c r="G4" s="37" t="n"/>
      <c r="H4" s="37" t="inlineStr">
        <is>
          <t>An Khánh</t>
        </is>
      </c>
      <c r="I4" s="37" t="inlineStr">
        <is>
          <t>Võ Thành Minh</t>
        </is>
      </c>
      <c r="J4" s="37" t="inlineStr">
        <is>
          <t>Không cần</t>
        </is>
      </c>
      <c r="K4" s="37" t="n"/>
      <c r="L4" s="37" t="inlineStr">
        <is>
          <t>Trong hạn</t>
        </is>
      </c>
      <c r="M4" s="27" t="n">
        <v>46100</v>
      </c>
      <c r="N4" s="28">
        <f>IF(M4="","",M4-TODAY())</f>
        <v/>
      </c>
      <c r="O4" s="37">
        <f>IF(A4="","",IF(L4="Hoàn thành","XONG",IF(L4="Đã hủy","HỦY",IF(N4&lt;0,"QUÁ HẠN",IF(N4&lt;=THIET_LAP!$B$7,"SẮP HẠN","TRONG HẠN")))))</f>
        <v/>
      </c>
      <c r="P4" s="37" t="inlineStr">
        <is>
          <t>128/BK-2026</t>
        </is>
      </c>
      <c r="Q4" s="29" t="n"/>
      <c r="R4" s="37" t="n"/>
      <c r="S4" s="37" t="inlineStr">
        <is>
          <t>Tiến độ: Trong hạn | Ngày bắt đầu: 2026-03-16 00:00:00</t>
        </is>
      </c>
    </row>
    <row r="5">
      <c r="A5" s="37" t="inlineStr">
        <is>
          <t>BK-HS-0002</t>
        </is>
      </c>
      <c r="B5" s="27" t="n">
        <v>46094</v>
      </c>
      <c r="C5" s="37" t="inlineStr">
        <is>
          <t>Phòng Đo đạc</t>
        </is>
      </c>
      <c r="D5" s="37" t="inlineStr">
        <is>
          <t>Cấp đổi</t>
        </is>
      </c>
      <c r="E5" s="37" t="inlineStr">
        <is>
          <t>Lê Văn Hoàng</t>
        </is>
      </c>
      <c r="F5" s="37" t="inlineStr">
        <is>
          <t>Cô Hoa</t>
        </is>
      </c>
      <c r="G5" s="37" t="n"/>
      <c r="H5" s="37" t="inlineStr">
        <is>
          <t>Tam Bình</t>
        </is>
      </c>
      <c r="I5" s="37" t="inlineStr">
        <is>
          <t>Trương Tấn Quốc</t>
        </is>
      </c>
      <c r="J5" s="37" t="inlineStr">
        <is>
          <t>Võ Tứ Hợp</t>
        </is>
      </c>
      <c r="K5" s="37" t="n"/>
      <c r="L5" s="37" t="inlineStr">
        <is>
          <t>Trong hạn</t>
        </is>
      </c>
      <c r="M5" s="27" t="n">
        <v>46097</v>
      </c>
      <c r="N5" s="28">
        <f>IF(M5="","",M5-TODAY())</f>
        <v/>
      </c>
      <c r="O5" s="37">
        <f>IF(A5="","",IF(L5="Hoàn thành","XONG",IF(L5="Đã hủy","HỦY",IF(N5&lt;0,"QUÁ HẠN",IF(N5&lt;=THIET_LAP!$B$7,"SẮP HẠN","TRONG HẠN")))))</f>
        <v/>
      </c>
      <c r="P5" s="37" t="inlineStr">
        <is>
          <t>127/BK-2026</t>
        </is>
      </c>
      <c r="Q5" s="29" t="n"/>
      <c r="R5" s="37" t="n"/>
      <c r="S5" s="37" t="inlineStr">
        <is>
          <t>Tiến độ: Trong hạn | Ngày bắt đầu: 2026-03-13 00:00:00 | Ghi chú: Đợi trao đổi với dịch vụ</t>
        </is>
      </c>
    </row>
    <row r="6">
      <c r="A6" s="37" t="inlineStr">
        <is>
          <t>BK-HS-0003</t>
        </is>
      </c>
      <c r="B6" s="27" t="n">
        <v>46094</v>
      </c>
      <c r="C6" s="37" t="inlineStr">
        <is>
          <t>Phòng Đo đạc</t>
        </is>
      </c>
      <c r="D6" s="37" t="inlineStr">
        <is>
          <t>Hoàn công</t>
        </is>
      </c>
      <c r="E6" s="37" t="inlineStr">
        <is>
          <t>Trần Văn Giấy</t>
        </is>
      </c>
      <c r="F6" s="37" t="inlineStr">
        <is>
          <t>Tuấn Lộc</t>
        </is>
      </c>
      <c r="G6" s="37" t="n"/>
      <c r="H6" s="37" t="inlineStr">
        <is>
          <t>Linh Xuân</t>
        </is>
      </c>
      <c r="I6" s="37" t="inlineStr">
        <is>
          <t>Lê Văn Xây</t>
        </is>
      </c>
      <c r="J6" s="37" t="inlineStr">
        <is>
          <t>Võ Tứ Hợp</t>
        </is>
      </c>
      <c r="K6" s="37" t="n"/>
      <c r="L6" s="37" t="inlineStr">
        <is>
          <t>Nộp thành công - Chờ kết quả</t>
        </is>
      </c>
      <c r="M6" s="27" t="n">
        <v>46097</v>
      </c>
      <c r="N6" s="28">
        <f>IF(M6="","",M6-TODAY())</f>
        <v/>
      </c>
      <c r="O6" s="37">
        <f>IF(A6="","",IF(L6="Hoàn thành","XONG",IF(L6="Đã hủy","HỦY",IF(N6&lt;0,"QUÁ HẠN",IF(N6&lt;=THIET_LAP!$B$7,"SẮP HẠN","TRONG HẠN")))))</f>
        <v/>
      </c>
      <c r="P6" s="37" t="inlineStr">
        <is>
          <t>126/BK-2026</t>
        </is>
      </c>
      <c r="Q6" s="29" t="n"/>
      <c r="R6" s="37" t="n"/>
      <c r="S6" s="37" t="inlineStr">
        <is>
          <t>Tiến độ: Đã nộp | Ngày bắt đầu: 2026-03-13 00:00:00 | Ngày nộp: 2026-03-14 00:00:00</t>
        </is>
      </c>
    </row>
    <row r="7">
      <c r="A7" s="37" t="inlineStr">
        <is>
          <t>BK-HS-0004</t>
        </is>
      </c>
      <c r="B7" s="27" t="n">
        <v>46094</v>
      </c>
      <c r="C7" s="37" t="inlineStr">
        <is>
          <t>Phòng Đo đạc</t>
        </is>
      </c>
      <c r="D7" s="37" t="inlineStr">
        <is>
          <t>Cấp đổi</t>
        </is>
      </c>
      <c r="E7" s="37" t="inlineStr">
        <is>
          <t>Nguyễn Văn Học</t>
        </is>
      </c>
      <c r="F7" s="37" t="inlineStr">
        <is>
          <t>Công Ty</t>
        </is>
      </c>
      <c r="G7" s="37" t="inlineStr">
        <is>
          <t>0903075675</t>
        </is>
      </c>
      <c r="H7" s="37" t="inlineStr">
        <is>
          <t>Tăng Nhơn Phú</t>
        </is>
      </c>
      <c r="I7" s="37" t="inlineStr">
        <is>
          <t>Tạ Khắc Tập</t>
        </is>
      </c>
      <c r="J7" s="37" t="inlineStr">
        <is>
          <t>Võ Tứ Hợp</t>
        </is>
      </c>
      <c r="K7" s="37" t="n"/>
      <c r="L7" s="37" t="inlineStr">
        <is>
          <t>Nộp thành công - Chờ kết quả</t>
        </is>
      </c>
      <c r="M7" s="27" t="n">
        <v>46097</v>
      </c>
      <c r="N7" s="28">
        <f>IF(M7="","",M7-TODAY())</f>
        <v/>
      </c>
      <c r="O7" s="37">
        <f>IF(A7="","",IF(L7="Hoàn thành","XONG",IF(L7="Đã hủy","HỦY",IF(N7&lt;0,"QUÁ HẠN",IF(N7&lt;=THIET_LAP!$B$7,"SẮP HẠN","TRONG HẠN")))))</f>
        <v/>
      </c>
      <c r="P7" s="37" t="inlineStr">
        <is>
          <t>125/BK-2026</t>
        </is>
      </c>
      <c r="Q7" s="29" t="n"/>
      <c r="R7" s="37" t="n"/>
      <c r="S7" s="37" t="inlineStr">
        <is>
          <t>Tiến độ: Đã nộp | Ngày bắt đầu: 2026-03-13 00:00:00 | Ngày nộp: 2026-03-16 00:00:00</t>
        </is>
      </c>
    </row>
    <row r="8">
      <c r="A8" s="37" t="inlineStr">
        <is>
          <t>BK-HS-0005</t>
        </is>
      </c>
      <c r="B8" s="27" t="n">
        <v>46094</v>
      </c>
      <c r="C8" s="37" t="inlineStr">
        <is>
          <t>Phòng Đo đạc</t>
        </is>
      </c>
      <c r="D8" s="37" t="inlineStr">
        <is>
          <t>Cấp đổi</t>
        </is>
      </c>
      <c r="E8" s="37" t="inlineStr">
        <is>
          <t>Đặng Khoa Học-Trần Ngọc Thùy Tiên</t>
        </is>
      </c>
      <c r="F8" s="37" t="inlineStr">
        <is>
          <t>Tuấn Lộc</t>
        </is>
      </c>
      <c r="G8" s="37" t="n"/>
      <c r="H8" s="37" t="inlineStr">
        <is>
          <t>Hiệp Bình</t>
        </is>
      </c>
      <c r="I8" s="37" t="inlineStr">
        <is>
          <t>Tạ Khắc Tập</t>
        </is>
      </c>
      <c r="J8" s="37" t="inlineStr">
        <is>
          <t>Võ Tứ Hợp</t>
        </is>
      </c>
      <c r="K8" s="37" t="n"/>
      <c r="L8" s="37" t="inlineStr">
        <is>
          <t>Nộp thành công - Chờ kết quả</t>
        </is>
      </c>
      <c r="M8" s="27" t="n">
        <v>46097</v>
      </c>
      <c r="N8" s="28">
        <f>IF(M8="","",M8-TODAY())</f>
        <v/>
      </c>
      <c r="O8" s="37">
        <f>IF(A8="","",IF(L8="Hoàn thành","XONG",IF(L8="Đã hủy","HỦY",IF(N8&lt;0,"QUÁ HẠN",IF(N8&lt;=THIET_LAP!$B$7,"SẮP HẠN","TRONG HẠN")))))</f>
        <v/>
      </c>
      <c r="P8" s="37" t="inlineStr">
        <is>
          <t>124/BK-2026</t>
        </is>
      </c>
      <c r="Q8" s="29" t="n"/>
      <c r="R8" s="37" t="n"/>
      <c r="S8" s="37" t="inlineStr">
        <is>
          <t>Tiến độ: Đã nộp | Ngày bắt đầu: 2026-03-13 00:00:00 | Ngày nộp: 2026-03-16 00:00:00</t>
        </is>
      </c>
    </row>
    <row r="9">
      <c r="A9" s="37" t="inlineStr">
        <is>
          <t>BK-HS-0006</t>
        </is>
      </c>
      <c r="B9" s="27" t="n">
        <v>46094</v>
      </c>
      <c r="C9" s="37" t="inlineStr">
        <is>
          <t>Phòng Đo đạc</t>
        </is>
      </c>
      <c r="D9" s="37" t="inlineStr">
        <is>
          <t>Cắm mốc</t>
        </is>
      </c>
      <c r="E9" s="37" t="inlineStr">
        <is>
          <t>Đào Minh Quân</t>
        </is>
      </c>
      <c r="F9" s="37" t="inlineStr">
        <is>
          <t>Công Ty</t>
        </is>
      </c>
      <c r="G9" s="37" t="n"/>
      <c r="H9" s="37" t="inlineStr">
        <is>
          <t>Linh Xuân</t>
        </is>
      </c>
      <c r="I9" s="37" t="inlineStr">
        <is>
          <t>Tạ Khắc Tập</t>
        </is>
      </c>
      <c r="J9" s="37" t="inlineStr">
        <is>
          <t>Võ Tứ Hợp</t>
        </is>
      </c>
      <c r="K9" s="37" t="n"/>
      <c r="L9" s="37" t="inlineStr">
        <is>
          <t>Hoàn thành</t>
        </is>
      </c>
      <c r="M9" s="27" t="n">
        <v>46097</v>
      </c>
      <c r="N9" s="28">
        <f>IF(M9="","",M9-TODAY())</f>
        <v/>
      </c>
      <c r="O9" s="37">
        <f>IF(A9="","",IF(L9="Hoàn thành","XONG",IF(L9="Đã hủy","HỦY",IF(N9&lt;0,"QUÁ HẠN",IF(N9&lt;=THIET_LAP!$B$7,"SẮP HẠN","TRONG HẠN")))))</f>
        <v/>
      </c>
      <c r="P9" s="37" t="inlineStr">
        <is>
          <t>123/BK-2026</t>
        </is>
      </c>
      <c r="Q9" s="29" t="n"/>
      <c r="R9" s="37" t="n"/>
      <c r="S9" s="37" t="inlineStr">
        <is>
          <t>Tiến độ: Hoàn thành | Ngày bắt đầu: 2026-03-13 00:00:00 | Ngày nộp: 2026-03-13 00:00:00 | Ngày HT: 2026-03-13 00:00:00 | Số cọc: 2.0 | Loại cọc: Trụ xi măng</t>
        </is>
      </c>
    </row>
    <row r="10">
      <c r="A10" s="37" t="inlineStr">
        <is>
          <t>BK-HS-0007</t>
        </is>
      </c>
      <c r="B10" s="27" t="n">
        <v>46093</v>
      </c>
      <c r="C10" s="37" t="inlineStr">
        <is>
          <t>Phòng Đo đạc</t>
        </is>
      </c>
      <c r="D10" s="37" t="inlineStr">
        <is>
          <t>Cấp đổi</t>
        </is>
      </c>
      <c r="E10" s="37" t="inlineStr">
        <is>
          <t>Trần Thanh Khương</t>
        </is>
      </c>
      <c r="F10" s="37" t="inlineStr">
        <is>
          <t>Công Ty</t>
        </is>
      </c>
      <c r="G10" s="37" t="inlineStr">
        <is>
          <t>0987960518</t>
        </is>
      </c>
      <c r="H10" s="37" t="inlineStr">
        <is>
          <t>Linh Xuân</t>
        </is>
      </c>
      <c r="I10" s="37" t="inlineStr">
        <is>
          <t>Lê Văn Dựng</t>
        </is>
      </c>
      <c r="J10" s="37" t="inlineStr">
        <is>
          <t>Võ Tứ Hợp</t>
        </is>
      </c>
      <c r="K10" s="37" t="n"/>
      <c r="L10" s="37" t="inlineStr">
        <is>
          <t>QUÁ HẠN</t>
        </is>
      </c>
      <c r="M10" s="27" t="n">
        <v>46096</v>
      </c>
      <c r="N10" s="28">
        <f>IF(M10="","",M10-TODAY())</f>
        <v/>
      </c>
      <c r="O10" s="37">
        <f>IF(A10="","",IF(L10="Hoàn thành","XONG",IF(L10="Đã hủy","HỦY",IF(N10&lt;0,"QUÁ HẠN",IF(N10&lt;=THIET_LAP!$B$7,"SẮP HẠN","TRONG HẠN")))))</f>
        <v/>
      </c>
      <c r="P10" s="37" t="inlineStr">
        <is>
          <t>122/BK-2026</t>
        </is>
      </c>
      <c r="Q10" s="29" t="n"/>
      <c r="R10" s="37" t="n"/>
      <c r="S10" s="37" t="inlineStr">
        <is>
          <t>Tiến độ: QUÁ HẠN | Ngày bắt đầu: 2026-03-12 00:00:00 | Ghi chú: hồ sơ lệch ranh chờ pa</t>
        </is>
      </c>
    </row>
    <row r="11">
      <c r="A11" s="37" t="inlineStr">
        <is>
          <t>BK-HS-0008</t>
        </is>
      </c>
      <c r="B11" s="27" t="n">
        <v>46093</v>
      </c>
      <c r="C11" s="37" t="inlineStr">
        <is>
          <t>Phòng Đo đạc</t>
        </is>
      </c>
      <c r="D11" s="37" t="inlineStr">
        <is>
          <t>Hoàn công</t>
        </is>
      </c>
      <c r="E11" s="37" t="inlineStr">
        <is>
          <t>Nguyễn Thị Hoa</t>
        </is>
      </c>
      <c r="F11" s="37" t="inlineStr">
        <is>
          <t>Anh Chiến KTS</t>
        </is>
      </c>
      <c r="G11" s="37" t="n"/>
      <c r="H11" s="37" t="inlineStr">
        <is>
          <t>Tăng Nhơn Phú</t>
        </is>
      </c>
      <c r="I11" s="37" t="inlineStr">
        <is>
          <t>Lê Văn Dựng</t>
        </is>
      </c>
      <c r="J11" s="37" t="inlineStr">
        <is>
          <t>Võ Tứ Hợp</t>
        </is>
      </c>
      <c r="K11" s="37" t="n"/>
      <c r="L11" s="37" t="inlineStr">
        <is>
          <t>QUÁ HẠN</t>
        </is>
      </c>
      <c r="M11" s="27" t="n">
        <v>46096</v>
      </c>
      <c r="N11" s="28">
        <f>IF(M11="","",M11-TODAY())</f>
        <v/>
      </c>
      <c r="O11" s="37">
        <f>IF(A11="","",IF(L11="Hoàn thành","XONG",IF(L11="Đã hủy","HỦY",IF(N11&lt;0,"QUÁ HẠN",IF(N11&lt;=THIET_LAP!$B$7,"SẮP HẠN","TRONG HẠN")))))</f>
        <v/>
      </c>
      <c r="P11" s="37" t="inlineStr">
        <is>
          <t>121/BK-2026</t>
        </is>
      </c>
      <c r="Q11" s="29" t="n"/>
      <c r="R11" s="37" t="n"/>
      <c r="S11" s="37" t="inlineStr">
        <is>
          <t>Tiến độ: QUÁ HẠN | Ngày bắt đầu: 2026-03-12 00:00:00</t>
        </is>
      </c>
    </row>
    <row r="12">
      <c r="A12" s="37" t="inlineStr">
        <is>
          <t>BK-HS-0009</t>
        </is>
      </c>
      <c r="B12" s="27" t="n">
        <v>46092</v>
      </c>
      <c r="C12" s="37" t="inlineStr">
        <is>
          <t>Phòng Đo đạc</t>
        </is>
      </c>
      <c r="D12" s="37" t="inlineStr">
        <is>
          <t>Xác định diện tích</t>
        </is>
      </c>
      <c r="E12" s="37" t="inlineStr">
        <is>
          <t>Nguyễn Xuân Hạnh</t>
        </is>
      </c>
      <c r="F12" s="37" t="inlineStr">
        <is>
          <t>Công Ty</t>
        </is>
      </c>
      <c r="G12" s="37" t="inlineStr">
        <is>
          <t>0903139386</t>
        </is>
      </c>
      <c r="H12" s="37" t="inlineStr">
        <is>
          <t>An Khánh</t>
        </is>
      </c>
      <c r="I12" s="37" t="inlineStr">
        <is>
          <t>Lê Văn Xây</t>
        </is>
      </c>
      <c r="J12" s="37" t="inlineStr">
        <is>
          <t>Võ Tứ Hợp</t>
        </is>
      </c>
      <c r="K12" s="37" t="n"/>
      <c r="L12" s="37" t="inlineStr">
        <is>
          <t>QUÁ HẠN</t>
        </is>
      </c>
      <c r="M12" s="27" t="n">
        <v>46095</v>
      </c>
      <c r="N12" s="28">
        <f>IF(M12="","",M12-TODAY())</f>
        <v/>
      </c>
      <c r="O12" s="37">
        <f>IF(A12="","",IF(L12="Hoàn thành","XONG",IF(L12="Đã hủy","HỦY",IF(N12&lt;0,"QUÁ HẠN",IF(N12&lt;=THIET_LAP!$B$7,"SẮP HẠN","TRONG HẠN")))))</f>
        <v/>
      </c>
      <c r="P12" s="37" t="inlineStr">
        <is>
          <t>120/BK-2026</t>
        </is>
      </c>
      <c r="Q12" s="29" t="n"/>
      <c r="R12" s="37" t="n"/>
      <c r="S12" s="37" t="inlineStr">
        <is>
          <t>Tiến độ: QUÁ HẠN | Ngày bắt đầu: 2026-03-11 00:00:00</t>
        </is>
      </c>
    </row>
    <row r="13">
      <c r="A13" s="37" t="inlineStr">
        <is>
          <t>BK-HS-0010</t>
        </is>
      </c>
      <c r="B13" s="27" t="n">
        <v>46092</v>
      </c>
      <c r="C13" s="37" t="inlineStr">
        <is>
          <t>Phòng Đo đạc</t>
        </is>
      </c>
      <c r="D13" s="37" t="inlineStr">
        <is>
          <t>Hoàn công</t>
        </is>
      </c>
      <c r="E13" s="37" t="inlineStr">
        <is>
          <t>Đặng Quang Huy</t>
        </is>
      </c>
      <c r="F13" s="37" t="inlineStr">
        <is>
          <t>Cô Hoa</t>
        </is>
      </c>
      <c r="G13" s="37" t="n"/>
      <c r="H13" s="37" t="inlineStr">
        <is>
          <t>Linh Xuân</t>
        </is>
      </c>
      <c r="I13" s="37" t="inlineStr">
        <is>
          <t>Lê Văn Xây</t>
        </is>
      </c>
      <c r="J13" s="37" t="inlineStr">
        <is>
          <t>Võ Tứ Hợp</t>
        </is>
      </c>
      <c r="K13" s="37" t="n"/>
      <c r="L13" s="37" t="inlineStr">
        <is>
          <t>QUÁ HẠN</t>
        </is>
      </c>
      <c r="M13" s="27" t="n">
        <v>46095</v>
      </c>
      <c r="N13" s="28">
        <f>IF(M13="","",M13-TODAY())</f>
        <v/>
      </c>
      <c r="O13" s="37">
        <f>IF(A13="","",IF(L13="Hoàn thành","XONG",IF(L13="Đã hủy","HỦY",IF(N13&lt;0,"QUÁ HẠN",IF(N13&lt;=THIET_LAP!$B$7,"SẮP HẠN","TRONG HẠN")))))</f>
        <v/>
      </c>
      <c r="P13" s="37" t="inlineStr">
        <is>
          <t>119/BK-2026</t>
        </is>
      </c>
      <c r="Q13" s="29" t="n"/>
      <c r="R13" s="37" t="n"/>
      <c r="S13" s="37" t="inlineStr">
        <is>
          <t>Tiến độ: QUÁ HẠN | Ngày bắt đầu: 2026-03-11 00:00:00</t>
        </is>
      </c>
    </row>
    <row r="14">
      <c r="A14" s="37" t="inlineStr">
        <is>
          <t>BK-HS-0011</t>
        </is>
      </c>
      <c r="B14" s="27" t="n">
        <v>46092</v>
      </c>
      <c r="C14" s="37" t="inlineStr">
        <is>
          <t>Phòng Đo đạc</t>
        </is>
      </c>
      <c r="D14" s="37" t="inlineStr">
        <is>
          <t>Cấp đổi</t>
        </is>
      </c>
      <c r="E14" s="37" t="inlineStr">
        <is>
          <t>Đào Minh Quân</t>
        </is>
      </c>
      <c r="F14" s="37" t="inlineStr">
        <is>
          <t>Công Ty</t>
        </is>
      </c>
      <c r="G14" s="37" t="inlineStr">
        <is>
          <t>0399409272</t>
        </is>
      </c>
      <c r="H14" s="37" t="inlineStr">
        <is>
          <t>Linh Xuân</t>
        </is>
      </c>
      <c r="I14" s="37" t="inlineStr">
        <is>
          <t>Trương Tấn Quốc</t>
        </is>
      </c>
      <c r="J14" s="37" t="inlineStr">
        <is>
          <t>Võ Tứ Hợp</t>
        </is>
      </c>
      <c r="K14" s="37" t="n"/>
      <c r="L14" s="37" t="inlineStr">
        <is>
          <t>Nộp thành công - Chờ kết quả</t>
        </is>
      </c>
      <c r="M14" s="27" t="n">
        <v>46095</v>
      </c>
      <c r="N14" s="28">
        <f>IF(M14="","",M14-TODAY())</f>
        <v/>
      </c>
      <c r="O14" s="37">
        <f>IF(A14="","",IF(L14="Hoàn thành","XONG",IF(L14="Đã hủy","HỦY",IF(N14&lt;0,"QUÁ HẠN",IF(N14&lt;=THIET_LAP!$B$7,"SẮP HẠN","TRONG HẠN")))))</f>
        <v/>
      </c>
      <c r="P14" s="37" t="inlineStr">
        <is>
          <t>117/BK-2026</t>
        </is>
      </c>
      <c r="Q14" s="29" t="n"/>
      <c r="R14" s="37" t="n"/>
      <c r="S14" s="37" t="inlineStr">
        <is>
          <t>Tiến độ: Đã nộp | Ngày bắt đầu: 2026-03-11 00:00:00 | Ngày nộp: 2026-03-13 00:00:00 | Ghi chú: Cần cắm mốc | Giải trình: Đợi trích lục</t>
        </is>
      </c>
    </row>
    <row r="15">
      <c r="A15" s="37" t="inlineStr">
        <is>
          <t>BK-HS-0012</t>
        </is>
      </c>
      <c r="B15" s="27" t="n">
        <v>46091</v>
      </c>
      <c r="C15" s="37" t="inlineStr">
        <is>
          <t>Phòng Đo đạc</t>
        </is>
      </c>
      <c r="D15" s="37" t="inlineStr">
        <is>
          <t>Cắm mốc</t>
        </is>
      </c>
      <c r="E15" s="37" t="inlineStr">
        <is>
          <t>Trần Phước Vân</t>
        </is>
      </c>
      <c r="F15" s="37" t="inlineStr">
        <is>
          <t>Chinh Đen</t>
        </is>
      </c>
      <c r="G15" s="37" t="n"/>
      <c r="H15" s="37" t="inlineStr">
        <is>
          <t>Cát Lái</t>
        </is>
      </c>
      <c r="I15" s="37" t="inlineStr">
        <is>
          <t>Tạ Khắc Tập</t>
        </is>
      </c>
      <c r="J15" s="37" t="inlineStr">
        <is>
          <t>Không cần</t>
        </is>
      </c>
      <c r="K15" s="37" t="n"/>
      <c r="L15" s="37" t="inlineStr">
        <is>
          <t>Hoàn thành</t>
        </is>
      </c>
      <c r="M15" s="27" t="n">
        <v>46094</v>
      </c>
      <c r="N15" s="28">
        <f>IF(M15="","",M15-TODAY())</f>
        <v/>
      </c>
      <c r="O15" s="37">
        <f>IF(A15="","",IF(L15="Hoàn thành","XONG",IF(L15="Đã hủy","HỦY",IF(N15&lt;0,"QUÁ HẠN",IF(N15&lt;=THIET_LAP!$B$7,"SẮP HẠN","TRONG HẠN")))))</f>
        <v/>
      </c>
      <c r="P15" s="37" t="inlineStr">
        <is>
          <t>116/BK-2026</t>
        </is>
      </c>
      <c r="Q15" s="29" t="n"/>
      <c r="R15" s="37" t="n"/>
      <c r="S15" s="37" t="inlineStr">
        <is>
          <t>Tiến độ: Hoàn thành | Ngày bắt đầu: 2026-03-10 00:00:00 | Ngày nộp: 2026-03-10 00:00:00 | Ngày HT: 2026-03-10 00:00:00 | Số cọc: 5.0 | Loại cọc: Cọc sắt</t>
        </is>
      </c>
    </row>
    <row r="16">
      <c r="A16" s="37" t="inlineStr">
        <is>
          <t>BK-HS-0013</t>
        </is>
      </c>
      <c r="B16" s="27" t="n">
        <v>46091</v>
      </c>
      <c r="C16" s="37" t="inlineStr">
        <is>
          <t>Phòng Đo đạc</t>
        </is>
      </c>
      <c r="D16" s="37" t="inlineStr">
        <is>
          <t>Chuyển mục đích</t>
        </is>
      </c>
      <c r="E16" s="37" t="inlineStr">
        <is>
          <t>Nguyễn Đức Mẫn</t>
        </is>
      </c>
      <c r="F16" s="37" t="inlineStr">
        <is>
          <t>Công Ty</t>
        </is>
      </c>
      <c r="G16" s="37" t="inlineStr">
        <is>
          <t>0938270838</t>
        </is>
      </c>
      <c r="H16" s="37" t="inlineStr">
        <is>
          <t>Hiệp Bình</t>
        </is>
      </c>
      <c r="I16" s="37" t="inlineStr">
        <is>
          <t>Lê Văn Xây</t>
        </is>
      </c>
      <c r="J16" s="37" t="inlineStr">
        <is>
          <t>Không cần</t>
        </is>
      </c>
      <c r="K16" s="37" t="n"/>
      <c r="L16" s="37" t="inlineStr">
        <is>
          <t>QUÁ HẠN</t>
        </is>
      </c>
      <c r="M16" s="27" t="n">
        <v>46094</v>
      </c>
      <c r="N16" s="28">
        <f>IF(M16="","",M16-TODAY())</f>
        <v/>
      </c>
      <c r="O16" s="37">
        <f>IF(A16="","",IF(L16="Hoàn thành","XONG",IF(L16="Đã hủy","HỦY",IF(N16&lt;0,"QUÁ HẠN",IF(N16&lt;=THIET_LAP!$B$7,"SẮP HẠN","TRONG HẠN")))))</f>
        <v/>
      </c>
      <c r="P16" s="37" t="inlineStr">
        <is>
          <t>115/BK-2026</t>
        </is>
      </c>
      <c r="Q16" s="29" t="n"/>
      <c r="R16" s="37" t="n"/>
      <c r="S16" s="37" t="inlineStr">
        <is>
          <t>Tiến độ: QUÁ HẠN | Ngày bắt đầu: 2026-03-10 00:00:00</t>
        </is>
      </c>
    </row>
    <row r="17">
      <c r="A17" s="37" t="inlineStr">
        <is>
          <t>BK-HS-0014</t>
        </is>
      </c>
      <c r="B17" s="27" t="n">
        <v>46091</v>
      </c>
      <c r="C17" s="37" t="inlineStr">
        <is>
          <t>Phòng Đo đạc</t>
        </is>
      </c>
      <c r="D17" s="37" t="inlineStr">
        <is>
          <t>Cắm mốc</t>
        </is>
      </c>
      <c r="E17" s="37" t="inlineStr">
        <is>
          <t>Lê Quang Khoa</t>
        </is>
      </c>
      <c r="F17" s="37" t="inlineStr">
        <is>
          <t>Đạt Việt Phát Land</t>
        </is>
      </c>
      <c r="G17" s="37" t="n"/>
      <c r="H17" s="37" t="inlineStr">
        <is>
          <t>Thủ Đức</t>
        </is>
      </c>
      <c r="I17" s="37" t="inlineStr">
        <is>
          <t>Tạ Khắc Tập</t>
        </is>
      </c>
      <c r="J17" s="37" t="inlineStr">
        <is>
          <t>Võ Tứ Hợp</t>
        </is>
      </c>
      <c r="K17" s="37" t="n"/>
      <c r="L17" s="37" t="inlineStr">
        <is>
          <t>Hoàn thành</t>
        </is>
      </c>
      <c r="M17" s="27" t="n">
        <v>46094</v>
      </c>
      <c r="N17" s="28">
        <f>IF(M17="","",M17-TODAY())</f>
        <v/>
      </c>
      <c r="O17" s="37">
        <f>IF(A17="","",IF(L17="Hoàn thành","XONG",IF(L17="Đã hủy","HỦY",IF(N17&lt;0,"QUÁ HẠN",IF(N17&lt;=THIET_LAP!$B$7,"SẮP HẠN","TRONG HẠN")))))</f>
        <v/>
      </c>
      <c r="P17" s="37" t="inlineStr">
        <is>
          <t>114/BK-2026</t>
        </is>
      </c>
      <c r="Q17" s="29" t="n"/>
      <c r="R17" s="37" t="n"/>
      <c r="S17" s="37" t="inlineStr">
        <is>
          <t>Tiến độ: Hoàn thành | Ngày bắt đầu: 2026-03-10 00:00:00 | Ngày nộp: 2026-03-10 00:00:00 | Ngày HT: 2026-03-10 00:00:00 | Số cọc: 7.0 | Loại cọc: Cọc sắt</t>
        </is>
      </c>
    </row>
    <row r="18">
      <c r="A18" s="37" t="inlineStr">
        <is>
          <t>BK-HS-0015</t>
        </is>
      </c>
      <c r="B18" s="27" t="n">
        <v>46091</v>
      </c>
      <c r="C18" s="37" t="inlineStr">
        <is>
          <t>Phòng Đo đạc</t>
        </is>
      </c>
      <c r="D18" s="37" t="inlineStr">
        <is>
          <t>Xác định diện tích</t>
        </is>
      </c>
      <c r="E18" s="37" t="inlineStr">
        <is>
          <t>Đỗ Thị Trang</t>
        </is>
      </c>
      <c r="F18" s="37" t="inlineStr">
        <is>
          <t>Công Ty</t>
        </is>
      </c>
      <c r="G18" s="37" t="inlineStr">
        <is>
          <t>zalo Victoria</t>
        </is>
      </c>
      <c r="H18" s="37" t="inlineStr">
        <is>
          <t>Tam Bình</t>
        </is>
      </c>
      <c r="I18" s="37" t="inlineStr">
        <is>
          <t>Lê Văn Dựng</t>
        </is>
      </c>
      <c r="J18" s="37" t="inlineStr">
        <is>
          <t>Võ Tứ Hợp</t>
        </is>
      </c>
      <c r="K18" s="37" t="n"/>
      <c r="L18" s="37" t="inlineStr">
        <is>
          <t>Hoàn thành</t>
        </is>
      </c>
      <c r="M18" s="27" t="n">
        <v>46094</v>
      </c>
      <c r="N18" s="28">
        <f>IF(M18="","",M18-TODAY())</f>
        <v/>
      </c>
      <c r="O18" s="37">
        <f>IF(A18="","",IF(L18="Hoàn thành","XONG",IF(L18="Đã hủy","HỦY",IF(N18&lt;0,"QUÁ HẠN",IF(N18&lt;=THIET_LAP!$B$7,"SẮP HẠN","TRONG HẠN")))))</f>
        <v/>
      </c>
      <c r="P18" s="37" t="inlineStr">
        <is>
          <t>113/BK-2026</t>
        </is>
      </c>
      <c r="Q18" s="29" t="n"/>
      <c r="R18" s="37" t="n"/>
      <c r="S18" s="37" t="inlineStr">
        <is>
          <t>Tiến độ: Hoàn thành | Ngày bắt đầu: 2026-03-10 00:00:00 | Ngày nộp: 2026-03-10 00:00:00 | Ngày HT: 2026-03-10 00:00:00 | Lần nộp: 0.0</t>
        </is>
      </c>
    </row>
    <row r="19">
      <c r="A19" s="37" t="inlineStr">
        <is>
          <t>BK-HS-0016</t>
        </is>
      </c>
      <c r="B19" s="27" t="n">
        <v>46091</v>
      </c>
      <c r="C19" s="37" t="inlineStr">
        <is>
          <t>Phòng Đo đạc</t>
        </is>
      </c>
      <c r="D19" s="37" t="inlineStr">
        <is>
          <t>Xác định diện tích</t>
        </is>
      </c>
      <c r="E19" s="37" t="inlineStr">
        <is>
          <t>Đỗ Thị Trang</t>
        </is>
      </c>
      <c r="F19" s="37" t="inlineStr">
        <is>
          <t>Công Ty</t>
        </is>
      </c>
      <c r="G19" s="37" t="inlineStr">
        <is>
          <t>zalo Victoria</t>
        </is>
      </c>
      <c r="H19" s="37" t="inlineStr">
        <is>
          <t>Tam Bình</t>
        </is>
      </c>
      <c r="I19" s="37" t="inlineStr">
        <is>
          <t>Lê Văn Dựng</t>
        </is>
      </c>
      <c r="J19" s="37" t="inlineStr">
        <is>
          <t>Không cần</t>
        </is>
      </c>
      <c r="K19" s="37" t="n"/>
      <c r="L19" s="37" t="inlineStr">
        <is>
          <t>Hoàn thành</t>
        </is>
      </c>
      <c r="M19" s="27" t="n">
        <v>46094</v>
      </c>
      <c r="N19" s="28">
        <f>IF(M19="","",M19-TODAY())</f>
        <v/>
      </c>
      <c r="O19" s="37">
        <f>IF(A19="","",IF(L19="Hoàn thành","XONG",IF(L19="Đã hủy","HỦY",IF(N19&lt;0,"QUÁ HẠN",IF(N19&lt;=THIET_LAP!$B$7,"SẮP HẠN","TRONG HẠN")))))</f>
        <v/>
      </c>
      <c r="P19" s="37" t="inlineStr">
        <is>
          <t>112/BK-2026</t>
        </is>
      </c>
      <c r="Q19" s="29" t="n"/>
      <c r="R19" s="37" t="n"/>
      <c r="S19" s="37" t="inlineStr">
        <is>
          <t>Tiến độ: Hoàn thành | Ngày bắt đầu: 2026-03-10 00:00:00 | Ngày nộp: 2026-03-10 00:00:00 | Ngày HT: 2026-03-10 00:00:00 | Lần nộp: 0.0</t>
        </is>
      </c>
    </row>
    <row r="20">
      <c r="A20" s="37" t="inlineStr">
        <is>
          <t>BK-HS-0017</t>
        </is>
      </c>
      <c r="B20" s="27" t="n">
        <v>46090</v>
      </c>
      <c r="C20" s="37" t="inlineStr">
        <is>
          <t>Phòng Đo đạc</t>
        </is>
      </c>
      <c r="D20" s="37" t="inlineStr">
        <is>
          <t>Đo GPS</t>
        </is>
      </c>
      <c r="E20" s="37" t="inlineStr">
        <is>
          <t>Nguyễn Doãn Tuấn</t>
        </is>
      </c>
      <c r="F20" s="37" t="inlineStr">
        <is>
          <t>Công Ty</t>
        </is>
      </c>
      <c r="G20" s="37" t="n"/>
      <c r="H20" s="37" t="inlineStr">
        <is>
          <t>Long Phước</t>
        </is>
      </c>
      <c r="I20" s="37" t="inlineStr">
        <is>
          <t>Lê Văn Dựng</t>
        </is>
      </c>
      <c r="J20" s="37" t="inlineStr">
        <is>
          <t>Không cần</t>
        </is>
      </c>
      <c r="K20" s="37" t="n"/>
      <c r="L20" s="37" t="inlineStr">
        <is>
          <t>Hoàn thành</t>
        </is>
      </c>
      <c r="M20" s="27" t="n">
        <v>46093</v>
      </c>
      <c r="N20" s="28">
        <f>IF(M20="","",M20-TODAY())</f>
        <v/>
      </c>
      <c r="O20" s="37">
        <f>IF(A20="","",IF(L20="Hoàn thành","XONG",IF(L20="Đã hủy","HỦY",IF(N20&lt;0,"QUÁ HẠN",IF(N20&lt;=THIET_LAP!$B$7,"SẮP HẠN","TRONG HẠN")))))</f>
        <v/>
      </c>
      <c r="P20" s="37" t="inlineStr">
        <is>
          <t>111/BK-2026</t>
        </is>
      </c>
      <c r="Q20" s="29" t="n"/>
      <c r="R20" s="37" t="n"/>
      <c r="S20" s="37" t="inlineStr">
        <is>
          <t>Tiến độ: Hoàn thành | Ngày bắt đầu: 2026-03-09 00:00:00 | Ngày nộp: 2026-03-10 00:00:00 | Ngày HT: 2026-03-10 00:00:00 | Lần nộp: 1.0</t>
        </is>
      </c>
    </row>
    <row r="21" ht="15.75" customHeight="1" s="56">
      <c r="A21" s="37" t="inlineStr">
        <is>
          <t>BK-HS-0018</t>
        </is>
      </c>
      <c r="B21" s="27" t="n">
        <v>46090</v>
      </c>
      <c r="C21" s="37" t="inlineStr">
        <is>
          <t>Phòng Đo đạc</t>
        </is>
      </c>
      <c r="D21" s="37" t="inlineStr">
        <is>
          <t>Cấp sổ lần đầu</t>
        </is>
      </c>
      <c r="E21" s="37" t="inlineStr">
        <is>
          <t>Nguyễn Doãn Tuấn</t>
        </is>
      </c>
      <c r="F21" s="37" t="inlineStr">
        <is>
          <t>Công Ty</t>
        </is>
      </c>
      <c r="G21" s="37" t="inlineStr">
        <is>
          <t>0979676897</t>
        </is>
      </c>
      <c r="H21" s="37" t="inlineStr">
        <is>
          <t>Long Phước</t>
        </is>
      </c>
      <c r="I21" s="37" t="inlineStr">
        <is>
          <t>Tạ Khắc Tập</t>
        </is>
      </c>
      <c r="J21" s="37" t="inlineStr">
        <is>
          <t>Võ Tứ Hợp</t>
        </is>
      </c>
      <c r="K21" s="37" t="n"/>
      <c r="L21" s="37" t="inlineStr">
        <is>
          <t>Hoàn thành</t>
        </is>
      </c>
      <c r="M21" s="27" t="n">
        <v>46093</v>
      </c>
      <c r="N21" s="28">
        <f>IF(M21="","",M21-TODAY())</f>
        <v/>
      </c>
      <c r="O21" s="37">
        <f>IF(A21="","",IF(L21="Hoàn thành","XONG",IF(L21="Đã hủy","HỦY",IF(N21&lt;0,"QUÁ HẠN",IF(N21&lt;=THIET_LAP!$B$7,"SẮP HẠN","TRONG HẠN")))))</f>
        <v/>
      </c>
      <c r="P21" s="37" t="inlineStr">
        <is>
          <t>110/BK-2026</t>
        </is>
      </c>
      <c r="Q21" s="29" t="n"/>
      <c r="R21" s="37" t="n"/>
      <c r="S21" s="37" t="inlineStr">
        <is>
          <t>Tiến độ: Hoàn thành | Ngày bắt đầu: 2026-03-09 00:00:00 | Ngày nộp: 2026-03-11 00:00:00 | Ngày HT: 2026-03-11 00:00:00 | Lần nộp: 1.0 | Ghi chú: BAO CAO GPS</t>
        </is>
      </c>
    </row>
    <row r="22" ht="15.75" customHeight="1" s="56">
      <c r="A22" s="37" t="inlineStr">
        <is>
          <t>BK-HS-0019</t>
        </is>
      </c>
      <c r="B22" s="27" t="n">
        <v>46090</v>
      </c>
      <c r="C22" s="37" t="inlineStr">
        <is>
          <t>Phòng Đo đạc</t>
        </is>
      </c>
      <c r="D22" s="37" t="inlineStr">
        <is>
          <t>Đo GPS</t>
        </is>
      </c>
      <c r="E22" s="37" t="inlineStr">
        <is>
          <t>Đỗ Bình Trọng</t>
        </is>
      </c>
      <c r="F22" s="37" t="inlineStr">
        <is>
          <t>Anh Hoàng nhà đầu tư</t>
        </is>
      </c>
      <c r="G22" s="37" t="n"/>
      <c r="H22" s="37" t="inlineStr">
        <is>
          <t>Long Trường</t>
        </is>
      </c>
      <c r="I22" s="37" t="inlineStr">
        <is>
          <t>Lê Văn Dựng</t>
        </is>
      </c>
      <c r="J22" s="37" t="inlineStr">
        <is>
          <t>Không cần</t>
        </is>
      </c>
      <c r="K22" s="37" t="n"/>
      <c r="L22" s="37" t="inlineStr">
        <is>
          <t>Hoàn thành</t>
        </is>
      </c>
      <c r="M22" s="27" t="n">
        <v>46093</v>
      </c>
      <c r="N22" s="28">
        <f>IF(M22="","",M22-TODAY())</f>
        <v/>
      </c>
      <c r="O22" s="37">
        <f>IF(A22="","",IF(L22="Hoàn thành","XONG",IF(L22="Đã hủy","HỦY",IF(N22&lt;0,"QUÁ HẠN",IF(N22&lt;=THIET_LAP!$B$7,"SẮP HẠN","TRONG HẠN")))))</f>
        <v/>
      </c>
      <c r="P22" s="37" t="inlineStr">
        <is>
          <t>109/BK-2026</t>
        </is>
      </c>
      <c r="Q22" s="29" t="n"/>
      <c r="R22" s="37" t="n"/>
      <c r="S22" s="37" t="inlineStr">
        <is>
          <t>Tiến độ: Hoàn thành | Ngày bắt đầu: 2026-03-09 00:00:00 | Ngày nộp: 2026-03-09 00:00:00 | Ngày HT: 2026-03-09 00:00:00 | Lần nộp: 1.0</t>
        </is>
      </c>
    </row>
    <row r="23" ht="15.75" customHeight="1" s="56">
      <c r="A23" s="37" t="inlineStr">
        <is>
          <t>BK-HS-0020</t>
        </is>
      </c>
      <c r="B23" s="27" t="n">
        <v>46090</v>
      </c>
      <c r="C23" s="37" t="inlineStr">
        <is>
          <t>Phòng Đo đạc</t>
        </is>
      </c>
      <c r="D23" s="37" t="inlineStr">
        <is>
          <t>Cấp đổi</t>
        </is>
      </c>
      <c r="E23" s="37" t="inlineStr">
        <is>
          <t>Đỗ Bình Trọng</t>
        </is>
      </c>
      <c r="F23" s="37" t="inlineStr">
        <is>
          <t>Anh Hoàng Nhà Đầu Tư</t>
        </is>
      </c>
      <c r="G23" s="37" t="n"/>
      <c r="H23" s="37" t="inlineStr">
        <is>
          <t>Long Trường</t>
        </is>
      </c>
      <c r="I23" s="37" t="inlineStr">
        <is>
          <t>Lê Văn Dựng</t>
        </is>
      </c>
      <c r="J23" s="37" t="inlineStr">
        <is>
          <t>Không cần</t>
        </is>
      </c>
      <c r="K23" s="37" t="inlineStr">
        <is>
          <t>Cao</t>
        </is>
      </c>
      <c r="L23" s="37" t="inlineStr">
        <is>
          <t>Nộp thành công - Chờ kết quả</t>
        </is>
      </c>
      <c r="M23" s="27" t="n">
        <v>46091</v>
      </c>
      <c r="N23" s="28">
        <f>IF(M23="","",M23-TODAY())</f>
        <v/>
      </c>
      <c r="O23" s="37">
        <f>IF(A23="","",IF(L23="Hoàn thành","XONG",IF(L23="Đã hủy","HỦY",IF(N23&lt;0,"QUÁ HẠN",IF(N23&lt;=THIET_LAP!$B$7,"SẮP HẠN","TRONG HẠN")))))</f>
        <v/>
      </c>
      <c r="P23" s="37" t="inlineStr">
        <is>
          <t>108/BK-2026</t>
        </is>
      </c>
      <c r="Q23" s="29" t="n"/>
      <c r="R23" s="37" t="n"/>
      <c r="S23" s="37" t="inlineStr">
        <is>
          <t>Tiến độ: Đã nộp | Ngày bắt đầu: 2026-03-09 00:00:00 | Ngày nộp: 2026-03-10 00:00:00 | Lần nộp: 1.0</t>
        </is>
      </c>
    </row>
    <row r="24" ht="15.75" customHeight="1" s="56">
      <c r="A24" s="37" t="inlineStr">
        <is>
          <t>BK-HS-0021</t>
        </is>
      </c>
      <c r="B24" s="27" t="n">
        <v>46088</v>
      </c>
      <c r="C24" s="37" t="inlineStr">
        <is>
          <t>Phòng Đo đạc</t>
        </is>
      </c>
      <c r="D24" s="37" t="inlineStr">
        <is>
          <t>Xin phép xây dựng</t>
        </is>
      </c>
      <c r="E24" s="37" t="inlineStr">
        <is>
          <t>Bùi Đình Khánh</t>
        </is>
      </c>
      <c r="F24" s="37" t="inlineStr">
        <is>
          <t>Công Ty</t>
        </is>
      </c>
      <c r="G24" s="37" t="inlineStr">
        <is>
          <t>0988737070</t>
        </is>
      </c>
      <c r="H24" s="37" t="inlineStr">
        <is>
          <t>Tăng Nhơn Phú</t>
        </is>
      </c>
      <c r="I24" s="37" t="inlineStr">
        <is>
          <t>Võ Tứ Hợp</t>
        </is>
      </c>
      <c r="J24" s="37" t="inlineStr">
        <is>
          <t>Không cần</t>
        </is>
      </c>
      <c r="K24" s="37" t="n"/>
      <c r="L24" s="37" t="inlineStr">
        <is>
          <t>Hủy</t>
        </is>
      </c>
      <c r="M24" s="27" t="n">
        <v>46091</v>
      </c>
      <c r="N24" s="28">
        <f>IF(M24="","",M24-TODAY())</f>
        <v/>
      </c>
      <c r="O24" s="37">
        <f>IF(A24="","",IF(L24="Hoàn thành","XONG",IF(L24="Đã hủy","HỦY",IF(N24&lt;0,"QUÁ HẠN",IF(N24&lt;=THIET_LAP!$B$7,"SẮP HẠN","TRONG HẠN")))))</f>
        <v/>
      </c>
      <c r="P24" s="37" t="inlineStr">
        <is>
          <t>107/BK-2026</t>
        </is>
      </c>
      <c r="Q24" s="29" t="n"/>
      <c r="R24" s="37" t="n"/>
      <c r="S24" s="37" t="inlineStr">
        <is>
          <t>Tiến độ: ĐÃ HỦY | Ngày bắt đầu: 2026-03-07 00:00:00 | Ngày nộp: 2026-03-07 00:00:00 | Lần nộp: 0.0</t>
        </is>
      </c>
    </row>
    <row r="25" ht="15.75" customHeight="1" s="56">
      <c r="A25" s="37" t="inlineStr">
        <is>
          <t>BK-HS-0022</t>
        </is>
      </c>
      <c r="B25" s="27" t="n">
        <v>46087</v>
      </c>
      <c r="C25" s="37" t="inlineStr">
        <is>
          <t>Phòng Đo đạc</t>
        </is>
      </c>
      <c r="D25" s="37" t="inlineStr">
        <is>
          <t>Hoàn công</t>
        </is>
      </c>
      <c r="E25" s="37" t="inlineStr">
        <is>
          <t>Trần Phi Long</t>
        </is>
      </c>
      <c r="F25" s="37" t="inlineStr">
        <is>
          <t>Công Ty</t>
        </is>
      </c>
      <c r="G25" s="37" t="inlineStr">
        <is>
          <t>0908449238</t>
        </is>
      </c>
      <c r="H25" s="37" t="inlineStr">
        <is>
          <t>Tam Bình</t>
        </is>
      </c>
      <c r="I25" s="37" t="inlineStr">
        <is>
          <t>Lê Văn Xây</t>
        </is>
      </c>
      <c r="J25" s="37" t="inlineStr">
        <is>
          <t>Võ Tứ Hợp</t>
        </is>
      </c>
      <c r="K25" s="37" t="n"/>
      <c r="L25" s="37" t="inlineStr">
        <is>
          <t>Nộp thành công - Chờ kết quả</t>
        </is>
      </c>
      <c r="M25" s="27" t="n">
        <v>46090</v>
      </c>
      <c r="N25" s="28">
        <f>IF(M25="","",M25-TODAY())</f>
        <v/>
      </c>
      <c r="O25" s="37">
        <f>IF(A25="","",IF(L25="Hoàn thành","XONG",IF(L25="Đã hủy","HỦY",IF(N25&lt;0,"QUÁ HẠN",IF(N25&lt;=THIET_LAP!$B$7,"SẮP HẠN","TRONG HẠN")))))</f>
        <v/>
      </c>
      <c r="P25" s="37" t="inlineStr">
        <is>
          <t>106/BK-2026</t>
        </is>
      </c>
      <c r="Q25" s="29" t="n"/>
      <c r="R25" s="37" t="n"/>
      <c r="S25" s="37" t="inlineStr">
        <is>
          <t>Tiến độ: Đã nộp | Ngày bắt đầu: 2026-03-06 00:00:00 | Ngày nộp: 2026-03-12 00:00:00 | Lần nộp: 0.0</t>
        </is>
      </c>
    </row>
    <row r="26" ht="15.75" customHeight="1" s="56">
      <c r="A26" s="37" t="inlineStr">
        <is>
          <t>BK-HS-0023</t>
        </is>
      </c>
      <c r="B26" s="27" t="n">
        <v>46086</v>
      </c>
      <c r="C26" s="37" t="inlineStr">
        <is>
          <t>Phòng Đo đạc</t>
        </is>
      </c>
      <c r="D26" s="37" t="inlineStr">
        <is>
          <t>Cắm mốc</t>
        </is>
      </c>
      <c r="E26" s="37" t="inlineStr">
        <is>
          <t>Phạm Thị Giao Linh</t>
        </is>
      </c>
      <c r="F26" s="37" t="inlineStr">
        <is>
          <t>Tùng Huế DV</t>
        </is>
      </c>
      <c r="G26" s="37" t="n"/>
      <c r="H26" s="37" t="inlineStr">
        <is>
          <t>Bình Trưng</t>
        </is>
      </c>
      <c r="I26" s="37" t="inlineStr">
        <is>
          <t>Lê Văn Dựng</t>
        </is>
      </c>
      <c r="J26" s="37" t="inlineStr">
        <is>
          <t>Võ Tứ Hợp</t>
        </is>
      </c>
      <c r="K26" s="37" t="n"/>
      <c r="L26" s="37" t="inlineStr">
        <is>
          <t>Hoàn thành</t>
        </is>
      </c>
      <c r="M26" s="27" t="n">
        <v>46089</v>
      </c>
      <c r="N26" s="28">
        <f>IF(M26="","",M26-TODAY())</f>
        <v/>
      </c>
      <c r="O26" s="37">
        <f>IF(A26="","",IF(L26="Hoàn thành","XONG",IF(L26="Đã hủy","HỦY",IF(N26&lt;0,"QUÁ HẠN",IF(N26&lt;=THIET_LAP!$B$7,"SẮP HẠN","TRONG HẠN")))))</f>
        <v/>
      </c>
      <c r="P26" s="37" t="inlineStr">
        <is>
          <t>105/BK-2026</t>
        </is>
      </c>
      <c r="Q26" s="29" t="n"/>
      <c r="R26" s="37" t="n"/>
      <c r="S26" s="37" t="inlineStr">
        <is>
          <t>Tiến độ: Hoàn thành | Ngày bắt đầu: 2026-03-05 00:00:00 | Ngày nộp: 2026-03-05 00:00:00 | Ngày HT: 2026-03-05 00:00:00 | Lần nộp: 0.0 | Số cọc: 6.0 | Loại cọc: Trụ xi măng</t>
        </is>
      </c>
    </row>
    <row r="27" ht="15.75" customHeight="1" s="56">
      <c r="A27" s="37" t="inlineStr">
        <is>
          <t>BK-HS-0024</t>
        </is>
      </c>
      <c r="B27" s="27" t="n">
        <v>46085</v>
      </c>
      <c r="C27" s="37" t="inlineStr">
        <is>
          <t>Phòng Đo đạc</t>
        </is>
      </c>
      <c r="D27" s="37" t="inlineStr">
        <is>
          <t>Cấp sổ lần đầu</t>
        </is>
      </c>
      <c r="E27" s="37" t="inlineStr">
        <is>
          <t>Trương Quế Phương</t>
        </is>
      </c>
      <c r="F27" s="37" t="inlineStr">
        <is>
          <t>Công Ty</t>
        </is>
      </c>
      <c r="G27" s="37" t="inlineStr">
        <is>
          <t>0903880063</t>
        </is>
      </c>
      <c r="H27" s="37" t="inlineStr">
        <is>
          <t>Hiệp Bình</t>
        </is>
      </c>
      <c r="I27" s="37" t="inlineStr">
        <is>
          <t>Trương Tấn Quốc</t>
        </is>
      </c>
      <c r="J27" s="37" t="inlineStr">
        <is>
          <t>Võ Tứ Hợp</t>
        </is>
      </c>
      <c r="K27" s="37" t="n"/>
      <c r="L27" s="37" t="inlineStr">
        <is>
          <t>Hoàn thành</t>
        </is>
      </c>
      <c r="M27" s="27" t="n">
        <v>46088</v>
      </c>
      <c r="N27" s="28">
        <f>IF(M27="","",M27-TODAY())</f>
        <v/>
      </c>
      <c r="O27" s="37">
        <f>IF(A27="","",IF(L27="Hoàn thành","XONG",IF(L27="Đã hủy","HỦY",IF(N27&lt;0,"QUÁ HẠN",IF(N27&lt;=THIET_LAP!$B$7,"SẮP HẠN","TRONG HẠN")))))</f>
        <v/>
      </c>
      <c r="P27" s="37" t="inlineStr">
        <is>
          <t>104/BK-2026</t>
        </is>
      </c>
      <c r="Q27" s="29" t="n"/>
      <c r="R27" s="37" t="n"/>
      <c r="S27" s="37" t="inlineStr">
        <is>
          <t>Tiến độ: Hoàn thành | Ngày bắt đầu: 2026-03-04 00:00:00 | Ngày nộp: 2026-03-05 00:00:00 | Ngày HT: 2026-03-05 00:00:00 | Lần nộp: 0.0 | Ghi chú: Lúc trước đã hủy, giờ vẽ nộp phường</t>
        </is>
      </c>
    </row>
    <row r="28" ht="15.75" customHeight="1" s="56">
      <c r="A28" s="37" t="inlineStr">
        <is>
          <t>BK-HS-0025</t>
        </is>
      </c>
      <c r="B28" s="27" t="n">
        <v>46085</v>
      </c>
      <c r="C28" s="37" t="inlineStr">
        <is>
          <t>Phòng Đo đạc</t>
        </is>
      </c>
      <c r="D28" s="37" t="inlineStr">
        <is>
          <t>Cắm mốc</t>
        </is>
      </c>
      <c r="E28" s="37" t="inlineStr">
        <is>
          <t>Đỗ Thị Trang</t>
        </is>
      </c>
      <c r="F28" s="37" t="inlineStr">
        <is>
          <t>Công Ty</t>
        </is>
      </c>
      <c r="G28" s="37" t="inlineStr">
        <is>
          <t>0977633333</t>
        </is>
      </c>
      <c r="H28" s="37" t="inlineStr">
        <is>
          <t>Tam Bình</t>
        </is>
      </c>
      <c r="I28" s="37" t="inlineStr">
        <is>
          <t>Lê Văn Dựng</t>
        </is>
      </c>
      <c r="J28" s="37" t="inlineStr">
        <is>
          <t>Võ Tứ Hợp</t>
        </is>
      </c>
      <c r="K28" s="37" t="n"/>
      <c r="L28" s="37" t="inlineStr">
        <is>
          <t>Hoàn thành</t>
        </is>
      </c>
      <c r="M28" s="27" t="n">
        <v>46088</v>
      </c>
      <c r="N28" s="28">
        <f>IF(M28="","",M28-TODAY())</f>
        <v/>
      </c>
      <c r="O28" s="37">
        <f>IF(A28="","",IF(L28="Hoàn thành","XONG",IF(L28="Đã hủy","HỦY",IF(N28&lt;0,"QUÁ HẠN",IF(N28&lt;=THIET_LAP!$B$7,"SẮP HẠN","TRONG HẠN")))))</f>
        <v/>
      </c>
      <c r="P28" s="37" t="inlineStr">
        <is>
          <t>103/BK-2026</t>
        </is>
      </c>
      <c r="Q28" s="29" t="n"/>
      <c r="R28" s="37" t="n"/>
      <c r="S28" s="37" t="inlineStr">
        <is>
          <t>Tiến độ: Hoàn thành | Ngày bắt đầu: 2026-03-04 00:00:00 | Ngày nộp: 2026-03-05 00:00:00 | Ngày HT: 2026-03-05 00:00:00 | Lần nộp: 1.0</t>
        </is>
      </c>
    </row>
    <row r="29" ht="15.75" customHeight="1" s="56">
      <c r="A29" s="37" t="inlineStr">
        <is>
          <t>BK-HS-0026</t>
        </is>
      </c>
      <c r="B29" s="27" t="n">
        <v>46085</v>
      </c>
      <c r="C29" s="37" t="inlineStr">
        <is>
          <t>Phòng Đo đạc</t>
        </is>
      </c>
      <c r="D29" s="37" t="inlineStr">
        <is>
          <t>Xác định diện tích</t>
        </is>
      </c>
      <c r="E29" s="37" t="inlineStr">
        <is>
          <t>Bùi Đình Khánh-Nguyễn Thị Kim Quyên</t>
        </is>
      </c>
      <c r="F29" s="37" t="inlineStr">
        <is>
          <t>Công Ty</t>
        </is>
      </c>
      <c r="G29" s="37" t="inlineStr">
        <is>
          <t>0988737070</t>
        </is>
      </c>
      <c r="H29" s="37" t="inlineStr">
        <is>
          <t>Tăng Nhơn Phú</t>
        </is>
      </c>
      <c r="I29" s="37" t="inlineStr">
        <is>
          <t>Trương Tấn Quốc</t>
        </is>
      </c>
      <c r="J29" s="37" t="inlineStr">
        <is>
          <t>Không cần</t>
        </is>
      </c>
      <c r="K29" s="37" t="n"/>
      <c r="L29" s="37" t="inlineStr">
        <is>
          <t>Hoàn thành</t>
        </is>
      </c>
      <c r="M29" s="27" t="n">
        <v>46088</v>
      </c>
      <c r="N29" s="28">
        <f>IF(M29="","",M29-TODAY())</f>
        <v/>
      </c>
      <c r="O29" s="37">
        <f>IF(A29="","",IF(L29="Hoàn thành","XONG",IF(L29="Đã hủy","HỦY",IF(N29&lt;0,"QUÁ HẠN",IF(N29&lt;=THIET_LAP!$B$7,"SẮP HẠN","TRONG HẠN")))))</f>
        <v/>
      </c>
      <c r="P29" s="37" t="inlineStr">
        <is>
          <t>102/BK-2026</t>
        </is>
      </c>
      <c r="Q29" s="29" t="n"/>
      <c r="R29" s="37" t="n"/>
      <c r="S29" s="37" t="inlineStr">
        <is>
          <t>Tiến độ: Hoàn thành | Ngày bắt đầu: 2026-03-04 00:00:00 | Ngày nộp: 2026-03-04 00:00:00 | Ngày HT: 2026-03-04 00:00:00 | Lần nộp: 1.0</t>
        </is>
      </c>
    </row>
    <row r="30" ht="15.75" customHeight="1" s="56">
      <c r="A30" s="37" t="inlineStr">
        <is>
          <t>BK-HS-0027</t>
        </is>
      </c>
      <c r="B30" s="27" t="n">
        <v>46085</v>
      </c>
      <c r="C30" s="37" t="inlineStr">
        <is>
          <t>Phòng Đo đạc</t>
        </is>
      </c>
      <c r="D30" s="37" t="inlineStr">
        <is>
          <t>Xác định diện tích</t>
        </is>
      </c>
      <c r="E30" s="37" t="inlineStr">
        <is>
          <t>Lê Quang Thạnh</t>
        </is>
      </c>
      <c r="F30" s="37" t="inlineStr">
        <is>
          <t>Công Ty</t>
        </is>
      </c>
      <c r="G30" s="37" t="inlineStr">
        <is>
          <t>0989698007</t>
        </is>
      </c>
      <c r="H30" s="37" t="inlineStr">
        <is>
          <t>Bình Trưng</t>
        </is>
      </c>
      <c r="I30" s="37" t="inlineStr">
        <is>
          <t>Lê Văn Dựng</t>
        </is>
      </c>
      <c r="J30" s="37" t="inlineStr">
        <is>
          <t>Không cần</t>
        </is>
      </c>
      <c r="K30" s="37" t="n"/>
      <c r="L30" s="37" t="inlineStr">
        <is>
          <t>Hoàn thành</t>
        </is>
      </c>
      <c r="M30" s="27" t="n">
        <v>46088</v>
      </c>
      <c r="N30" s="28">
        <f>IF(M30="","",M30-TODAY())</f>
        <v/>
      </c>
      <c r="O30" s="37">
        <f>IF(A30="","",IF(L30="Hoàn thành","XONG",IF(L30="Đã hủy","HỦY",IF(N30&lt;0,"QUÁ HẠN",IF(N30&lt;=THIET_LAP!$B$7,"SẮP HẠN","TRONG HẠN")))))</f>
        <v/>
      </c>
      <c r="P30" s="37" t="inlineStr">
        <is>
          <t>101/BK-2026</t>
        </is>
      </c>
      <c r="Q30" s="29" t="n"/>
      <c r="R30" s="37" t="n"/>
      <c r="S30" s="37" t="inlineStr">
        <is>
          <t>Tiến độ: Hoàn thành | Ngày bắt đầu: 2026-03-04 00:00:00 | Ngày nộp: 2026-03-05 00:00:00 | Ngày HT: 2026-03-05 00:00:00 | Lần nộp: 0.0 | Ghi chú: hồ sơ cấp đổi lấn thửa chủ nhà yêu cầu vẽ XDDT để đưa lên phường trình bày</t>
        </is>
      </c>
    </row>
    <row r="31" ht="15.75" customHeight="1" s="56">
      <c r="A31" s="37" t="inlineStr">
        <is>
          <t>BK-HS-0028</t>
        </is>
      </c>
      <c r="B31" s="27" t="n">
        <v>46085</v>
      </c>
      <c r="C31" s="37" t="inlineStr">
        <is>
          <t>Phòng Đo đạc</t>
        </is>
      </c>
      <c r="D31" s="37" t="inlineStr">
        <is>
          <t>Hoàn công</t>
        </is>
      </c>
      <c r="E31" s="37" t="inlineStr">
        <is>
          <t>Tô Thị MỸ Nương</t>
        </is>
      </c>
      <c r="F31" s="37" t="inlineStr">
        <is>
          <t>Tuấn Lộc</t>
        </is>
      </c>
      <c r="G31" s="37" t="n"/>
      <c r="H31" s="37" t="inlineStr">
        <is>
          <t>Cát Lái</t>
        </is>
      </c>
      <c r="I31" s="37" t="inlineStr">
        <is>
          <t>Tạ Khắc Tập</t>
        </is>
      </c>
      <c r="J31" s="37" t="inlineStr">
        <is>
          <t>Võ Tứ Hợp</t>
        </is>
      </c>
      <c r="K31" s="37" t="n"/>
      <c r="L31" s="37" t="inlineStr">
        <is>
          <t>Nộp thành công - Chờ kết quả</t>
        </is>
      </c>
      <c r="M31" s="27" t="n">
        <v>46088</v>
      </c>
      <c r="N31" s="28">
        <f>IF(M31="","",M31-TODAY())</f>
        <v/>
      </c>
      <c r="O31" s="37">
        <f>IF(A31="","",IF(L31="Hoàn thành","XONG",IF(L31="Đã hủy","HỦY",IF(N31&lt;0,"QUÁ HẠN",IF(N31&lt;=THIET_LAP!$B$7,"SẮP HẠN","TRONG HẠN")))))</f>
        <v/>
      </c>
      <c r="P31" s="37" t="inlineStr">
        <is>
          <t>100/BK-2026</t>
        </is>
      </c>
      <c r="Q31" s="29" t="n"/>
      <c r="R31" s="37" t="n"/>
      <c r="S31" s="37" t="inlineStr">
        <is>
          <t>Tiến độ: Đã nộp | Ngày bắt đầu: 2026-03-04 00:00:00 | Ngày nộp: 2026-03-07 00:00:00 | Lần nộp: 1.0 | Giải trình: GIAM DT+ VE THEO GPXD</t>
        </is>
      </c>
    </row>
    <row r="32" ht="15.75" customHeight="1" s="56">
      <c r="A32" s="37" t="inlineStr">
        <is>
          <t>BK-HS-0029</t>
        </is>
      </c>
      <c r="B32" s="27" t="n">
        <v>46085</v>
      </c>
      <c r="C32" s="37" t="inlineStr">
        <is>
          <t>Phòng Đo đạc</t>
        </is>
      </c>
      <c r="D32" s="37" t="inlineStr">
        <is>
          <t>Hoàn công</t>
        </is>
      </c>
      <c r="E32" s="37" t="inlineStr">
        <is>
          <t>Phan Trong Quang</t>
        </is>
      </c>
      <c r="F32" s="37" t="inlineStr">
        <is>
          <t>Công Ty</t>
        </is>
      </c>
      <c r="G32" s="37" t="n"/>
      <c r="H32" s="37" t="inlineStr">
        <is>
          <t>Long Phước</t>
        </is>
      </c>
      <c r="I32" s="37" t="inlineStr">
        <is>
          <t>Tạ Khắc Tập</t>
        </is>
      </c>
      <c r="J32" s="37" t="inlineStr">
        <is>
          <t>Võ Tứ Hợp</t>
        </is>
      </c>
      <c r="K32" s="37" t="n"/>
      <c r="L32" s="37" t="inlineStr">
        <is>
          <t>QUÁ HẠN</t>
        </is>
      </c>
      <c r="M32" s="27" t="n">
        <v>46088</v>
      </c>
      <c r="N32" s="28">
        <f>IF(M32="","",M32-TODAY())</f>
        <v/>
      </c>
      <c r="O32" s="37">
        <f>IF(A32="","",IF(L32="Hoàn thành","XONG",IF(L32="Đã hủy","HỦY",IF(N32&lt;0,"QUÁ HẠN",IF(N32&lt;=THIET_LAP!$B$7,"SẮP HẠN","TRONG HẠN")))))</f>
        <v/>
      </c>
      <c r="P32" s="37" t="inlineStr">
        <is>
          <t>099/BK-2026</t>
        </is>
      </c>
      <c r="Q32" s="29" t="n"/>
      <c r="R32" s="37" t="n"/>
      <c r="S32" s="37" t="inlineStr">
        <is>
          <t>Tiến độ: QUÁ HẠN | Ngày bắt đầu: 2026-03-04 00:00:00 | Lần nộp: 1.0 | Giải trình: SAI HIEN TRANG+ GIAY PHEP XD KO ĐÚNG BVXP CHỜ CHU NHÀ  RA PHUONG DDIEU CHINH GPXD</t>
        </is>
      </c>
    </row>
    <row r="33" ht="15.75" customHeight="1" s="56">
      <c r="A33" s="37" t="inlineStr">
        <is>
          <t>BK-HS-0030</t>
        </is>
      </c>
      <c r="B33" s="27" t="n">
        <v>46085</v>
      </c>
      <c r="C33" s="37" t="inlineStr">
        <is>
          <t>Phòng Đo đạc</t>
        </is>
      </c>
      <c r="D33" s="37" t="inlineStr">
        <is>
          <t>Cắm mốc</t>
        </is>
      </c>
      <c r="E33" s="37" t="inlineStr">
        <is>
          <t>Nguyễn Thị Cẩm Vân</t>
        </is>
      </c>
      <c r="F33" s="37" t="inlineStr">
        <is>
          <t>Công Ty</t>
        </is>
      </c>
      <c r="G33" s="37" t="n"/>
      <c r="H33" s="37" t="inlineStr">
        <is>
          <t>Long Phước</t>
        </is>
      </c>
      <c r="I33" s="37" t="inlineStr">
        <is>
          <t>Lê Văn Dựng</t>
        </is>
      </c>
      <c r="J33" s="37" t="inlineStr">
        <is>
          <t>Không cần</t>
        </is>
      </c>
      <c r="K33" s="37" t="n"/>
      <c r="L33" s="37" t="inlineStr">
        <is>
          <t>Hoàn thành</t>
        </is>
      </c>
      <c r="M33" s="27" t="n">
        <v>46088</v>
      </c>
      <c r="N33" s="28">
        <f>IF(M33="","",M33-TODAY())</f>
        <v/>
      </c>
      <c r="O33" s="37">
        <f>IF(A33="","",IF(L33="Hoàn thành","XONG",IF(L33="Đã hủy","HỦY",IF(N33&lt;0,"QUÁ HẠN",IF(N33&lt;=THIET_LAP!$B$7,"SẮP HẠN","TRONG HẠN")))))</f>
        <v/>
      </c>
      <c r="P33" s="37" t="inlineStr">
        <is>
          <t>098/BK-2026</t>
        </is>
      </c>
      <c r="Q33" s="29" t="n"/>
      <c r="R33" s="37" t="n"/>
      <c r="S33" s="37" t="inlineStr">
        <is>
          <t>Tiến độ: Hoàn thành | Ngày bắt đầu: 2026-03-04 00:00:00 | Ngày nộp: 2026-03-04 00:00:00 | Ngày HT: 2026-03-04 00:00:00 | Lần nộp: 1.0</t>
        </is>
      </c>
    </row>
    <row r="34" ht="15.75" customHeight="1" s="56">
      <c r="A34" s="37" t="inlineStr">
        <is>
          <t>BK-HS-0031</t>
        </is>
      </c>
      <c r="B34" s="27" t="n">
        <v>46084</v>
      </c>
      <c r="C34" s="37" t="inlineStr">
        <is>
          <t>Phòng Đo đạc</t>
        </is>
      </c>
      <c r="D34" s="37" t="inlineStr">
        <is>
          <t>Hoàn công</t>
        </is>
      </c>
      <c r="E34" s="37" t="inlineStr">
        <is>
          <t>Nguyễn Thị Ngọc Thuận</t>
        </is>
      </c>
      <c r="F34" s="37" t="inlineStr">
        <is>
          <t>Tuấn Lộc</t>
        </is>
      </c>
      <c r="G34" s="37" t="n"/>
      <c r="H34" s="37" t="inlineStr">
        <is>
          <t>Long Trường</t>
        </is>
      </c>
      <c r="I34" s="37" t="inlineStr">
        <is>
          <t>Lê Văn Xây</t>
        </is>
      </c>
      <c r="J34" s="37" t="inlineStr">
        <is>
          <t>Võ Tứ Hợp</t>
        </is>
      </c>
      <c r="K34" s="37" t="n"/>
      <c r="L34" s="37" t="inlineStr">
        <is>
          <t>QUÁ HẠN</t>
        </is>
      </c>
      <c r="M34" s="27" t="n">
        <v>46087</v>
      </c>
      <c r="N34" s="28">
        <f>IF(M34="","",M34-TODAY())</f>
        <v/>
      </c>
      <c r="O34" s="37">
        <f>IF(A34="","",IF(L34="Hoàn thành","XONG",IF(L34="Đã hủy","HỦY",IF(N34&lt;0,"QUÁ HẠN",IF(N34&lt;=THIET_LAP!$B$7,"SẮP HẠN","TRONG HẠN")))))</f>
        <v/>
      </c>
      <c r="P34" s="37" t="inlineStr">
        <is>
          <t>097/BK-2026</t>
        </is>
      </c>
      <c r="Q34" s="29" t="n"/>
      <c r="R34" s="37" t="n"/>
      <c r="S34" s="37" t="inlineStr">
        <is>
          <t>Tiến độ: QUÁ HẠN | Ngày bắt đầu: 2026-03-03 00:00:00 | Lần nộp: 1.0</t>
        </is>
      </c>
    </row>
    <row r="35" ht="15.75" customHeight="1" s="56">
      <c r="A35" s="37" t="inlineStr">
        <is>
          <t>BK-HS-0032</t>
        </is>
      </c>
      <c r="B35" s="27" t="n">
        <v>46084</v>
      </c>
      <c r="C35" s="37" t="inlineStr">
        <is>
          <t>Phòng Đo đạc</t>
        </is>
      </c>
      <c r="D35" s="37" t="inlineStr">
        <is>
          <t>Cấp đổi</t>
        </is>
      </c>
      <c r="E35" s="37" t="inlineStr">
        <is>
          <t>Nguyễn Quốc Chiến-Trần Thị Thu Hương</t>
        </is>
      </c>
      <c r="F35" s="37" t="inlineStr">
        <is>
          <t>Công Ty</t>
        </is>
      </c>
      <c r="G35" s="37" t="inlineStr">
        <is>
          <t>0989035122</t>
        </is>
      </c>
      <c r="H35" s="37" t="inlineStr">
        <is>
          <t>An Khánh</t>
        </is>
      </c>
      <c r="I35" s="37" t="inlineStr">
        <is>
          <t>Trương Tấn Quốc</t>
        </is>
      </c>
      <c r="J35" s="37" t="inlineStr">
        <is>
          <t>Võ Tứ Hợp</t>
        </is>
      </c>
      <c r="K35" s="37" t="n"/>
      <c r="L35" s="37" t="inlineStr">
        <is>
          <t>Nộp thành công - Chờ kết quả</t>
        </is>
      </c>
      <c r="M35" s="27" t="n">
        <v>46087</v>
      </c>
      <c r="N35" s="28">
        <f>IF(M35="","",M35-TODAY())</f>
        <v/>
      </c>
      <c r="O35" s="37">
        <f>IF(A35="","",IF(L35="Hoàn thành","XONG",IF(L35="Đã hủy","HỦY",IF(N35&lt;0,"QUÁ HẠN",IF(N35&lt;=THIET_LAP!$B$7,"SẮP HẠN","TRONG HẠN")))))</f>
        <v/>
      </c>
      <c r="P35" s="37" t="inlineStr">
        <is>
          <t>096/BK-2026</t>
        </is>
      </c>
      <c r="Q35" s="29" t="n"/>
      <c r="R35" s="37" t="n"/>
      <c r="S35" s="37" t="inlineStr">
        <is>
          <t>Tiến độ: Đã nộp | Ngày bắt đầu: 2026-03-03 00:00:00 | Ngày nộp: 2026-03-06 00:00:00 | Lần nộp: 1.0</t>
        </is>
      </c>
    </row>
    <row r="36" ht="15.75" customHeight="1" s="56">
      <c r="A36" s="37" t="inlineStr">
        <is>
          <t>BK-HS-0033</t>
        </is>
      </c>
      <c r="B36" s="27" t="n">
        <v>46083</v>
      </c>
      <c r="C36" s="37" t="inlineStr">
        <is>
          <t>Phòng Đo đạc</t>
        </is>
      </c>
      <c r="D36" s="37" t="inlineStr">
        <is>
          <t>Cấp sổ lần đầu</t>
        </is>
      </c>
      <c r="E36" s="37" t="inlineStr">
        <is>
          <t>Nguyễn Hoàng Tấn</t>
        </is>
      </c>
      <c r="F36" s="37" t="inlineStr">
        <is>
          <t>Nguyễn Tâm DV</t>
        </is>
      </c>
      <c r="G36" s="37" t="n"/>
      <c r="H36" s="37" t="inlineStr">
        <is>
          <t>Hiệp Bình</t>
        </is>
      </c>
      <c r="I36" s="37" t="inlineStr">
        <is>
          <t>Tạ Khắc Tập</t>
        </is>
      </c>
      <c r="J36" s="37" t="inlineStr">
        <is>
          <t>Lê Tấn Đạt</t>
        </is>
      </c>
      <c r="K36" s="37" t="n"/>
      <c r="L36" s="37" t="inlineStr">
        <is>
          <t>Hoàn thành</t>
        </is>
      </c>
      <c r="M36" s="27" t="n">
        <v>46086</v>
      </c>
      <c r="N36" s="28">
        <f>IF(M36="","",M36-TODAY())</f>
        <v/>
      </c>
      <c r="O36" s="37">
        <f>IF(A36="","",IF(L36="Hoàn thành","XONG",IF(L36="Đã hủy","HỦY",IF(N36&lt;0,"QUÁ HẠN",IF(N36&lt;=THIET_LAP!$B$7,"SẮP HẠN","TRONG HẠN")))))</f>
        <v/>
      </c>
      <c r="P36" s="37" t="inlineStr">
        <is>
          <t>095/BK-2026</t>
        </is>
      </c>
      <c r="Q36" s="29" t="n"/>
      <c r="R36" s="37" t="n"/>
      <c r="S36" s="37" t="inlineStr">
        <is>
          <t>Tiến độ: Hoàn thành | Ngày bắt đầu: 2026-03-02 00:00:00 | Ngày nộp: 2026-03-04 00:00:00 | Ngày HT: 2026-03-04 00:00:00 | Lần nộp: 1.0</t>
        </is>
      </c>
    </row>
    <row r="37" ht="15.75" customHeight="1" s="56">
      <c r="A37" s="37" t="inlineStr">
        <is>
          <t>BK-HS-0034</t>
        </is>
      </c>
      <c r="B37" s="27" t="n">
        <v>46080</v>
      </c>
      <c r="C37" s="37" t="inlineStr">
        <is>
          <t>Phòng Đo đạc</t>
        </is>
      </c>
      <c r="D37" s="37" t="inlineStr">
        <is>
          <t>Cấp đổi</t>
        </is>
      </c>
      <c r="E37" s="37" t="inlineStr">
        <is>
          <t>Lê Quang Thạnh</t>
        </is>
      </c>
      <c r="F37" s="37" t="inlineStr">
        <is>
          <t>Công Ty</t>
        </is>
      </c>
      <c r="G37" s="37" t="inlineStr">
        <is>
          <t>0918393071</t>
        </is>
      </c>
      <c r="H37" s="37" t="inlineStr">
        <is>
          <t>Bình Trưng</t>
        </is>
      </c>
      <c r="I37" s="37" t="inlineStr">
        <is>
          <t>Lê Văn Dựng</t>
        </is>
      </c>
      <c r="J37" s="37" t="inlineStr">
        <is>
          <t>Võ Tứ Hợp</t>
        </is>
      </c>
      <c r="K37" s="37" t="n"/>
      <c r="L37" s="37" t="inlineStr">
        <is>
          <t>QUÁ HẠN</t>
        </is>
      </c>
      <c r="M37" s="27" t="n">
        <v>46083</v>
      </c>
      <c r="N37" s="28">
        <f>IF(M37="","",M37-TODAY())</f>
        <v/>
      </c>
      <c r="O37" s="37">
        <f>IF(A37="","",IF(L37="Hoàn thành","XONG",IF(L37="Đã hủy","HỦY",IF(N37&lt;0,"QUÁ HẠN",IF(N37&lt;=THIET_LAP!$B$7,"SẮP HẠN","TRONG HẠN")))))</f>
        <v/>
      </c>
      <c r="P37" s="37" t="inlineStr">
        <is>
          <t>094/BK-2026</t>
        </is>
      </c>
      <c r="Q37" s="29" t="n"/>
      <c r="R37" s="37" t="n"/>
      <c r="S37" s="37" t="inlineStr">
        <is>
          <t>Tiến độ: QUÁ HẠN | Ngày bắt đầu: 2026-02-27 00:00:00 | Lần nộp: 1.0 | Ghi chú: Đợi chủ nhà đập hàng rào</t>
        </is>
      </c>
    </row>
    <row r="38" ht="15.75" customHeight="1" s="56">
      <c r="A38" s="37" t="inlineStr">
        <is>
          <t>BK-HS-0035</t>
        </is>
      </c>
      <c r="B38" s="27" t="n">
        <v>46080</v>
      </c>
      <c r="C38" s="37" t="inlineStr">
        <is>
          <t>Phòng Đo đạc</t>
        </is>
      </c>
      <c r="D38" s="37" t="inlineStr">
        <is>
          <t>Cắm mốc</t>
        </is>
      </c>
      <c r="E38" s="37" t="inlineStr">
        <is>
          <t>Thái Thị Bích Vân</t>
        </is>
      </c>
      <c r="F38" s="37" t="inlineStr">
        <is>
          <t>Anh Duẩn DV</t>
        </is>
      </c>
      <c r="G38" s="37" t="n"/>
      <c r="H38" s="37" t="inlineStr">
        <is>
          <t>Hiệp Bình</t>
        </is>
      </c>
      <c r="I38" s="37" t="inlineStr">
        <is>
          <t>Lê Văn Dựng</t>
        </is>
      </c>
      <c r="J38" s="37" t="inlineStr">
        <is>
          <t>Võ Tứ Hợp</t>
        </is>
      </c>
      <c r="K38" s="37" t="n"/>
      <c r="L38" s="37" t="inlineStr">
        <is>
          <t>Hoàn thành</t>
        </is>
      </c>
      <c r="M38" s="27" t="n">
        <v>46083</v>
      </c>
      <c r="N38" s="28">
        <f>IF(M38="","",M38-TODAY())</f>
        <v/>
      </c>
      <c r="O38" s="37">
        <f>IF(A38="","",IF(L38="Hoàn thành","XONG",IF(L38="Đã hủy","HỦY",IF(N38&lt;0,"QUÁ HẠN",IF(N38&lt;=THIET_LAP!$B$7,"SẮP HẠN","TRONG HẠN")))))</f>
        <v/>
      </c>
      <c r="P38" s="37" t="inlineStr">
        <is>
          <t>093/BK-2026</t>
        </is>
      </c>
      <c r="Q38" s="29" t="n"/>
      <c r="R38" s="37" t="n"/>
      <c r="S38" s="37" t="inlineStr">
        <is>
          <t>Tiến độ: Hoàn thành | Ngày bắt đầu: 2026-02-27 00:00:00 | Ngày nộp: 2026-02-28 00:00:00 | Ngày HT: 2026-02-28 00:00:00 | Lần nộp: 1.0 | Chi kỹ thuật: Đã thanh toán | Loại cọc: Cọc sắt</t>
        </is>
      </c>
    </row>
    <row r="39" ht="15.75" customHeight="1" s="56">
      <c r="A39" s="37" t="inlineStr">
        <is>
          <t>BK-HS-0036</t>
        </is>
      </c>
      <c r="B39" s="27" t="n">
        <v>46080</v>
      </c>
      <c r="C39" s="37" t="inlineStr">
        <is>
          <t>Phòng Đo đạc</t>
        </is>
      </c>
      <c r="D39" s="37" t="inlineStr">
        <is>
          <t>Điều chỉnh bản vẽ</t>
        </is>
      </c>
      <c r="E39" s="37" t="inlineStr">
        <is>
          <t>Phạm Thị Giao Linh</t>
        </is>
      </c>
      <c r="F39" s="37" t="inlineStr">
        <is>
          <t>Tùng Huế DV</t>
        </is>
      </c>
      <c r="G39" s="37" t="n"/>
      <c r="H39" s="37" t="inlineStr">
        <is>
          <t>Bình Trưng</t>
        </is>
      </c>
      <c r="I39" s="37" t="inlineStr">
        <is>
          <t>Trương Tấn Quốc</t>
        </is>
      </c>
      <c r="J39" s="37" t="inlineStr">
        <is>
          <t>Không cần</t>
        </is>
      </c>
      <c r="K39" s="37" t="n"/>
      <c r="L39" s="37" t="inlineStr">
        <is>
          <t>Nộp thành công - Chờ kết quả</t>
        </is>
      </c>
      <c r="M39" s="27" t="n">
        <v>46083</v>
      </c>
      <c r="N39" s="28">
        <f>IF(M39="","",M39-TODAY())</f>
        <v/>
      </c>
      <c r="O39" s="37">
        <f>IF(A39="","",IF(L39="Hoàn thành","XONG",IF(L39="Đã hủy","HỦY",IF(N39&lt;0,"QUÁ HẠN",IF(N39&lt;=THIET_LAP!$B$7,"SẮP HẠN","TRONG HẠN")))))</f>
        <v/>
      </c>
      <c r="P39" s="37" t="inlineStr">
        <is>
          <t>092/BK-2026</t>
        </is>
      </c>
      <c r="Q39" s="29" t="n"/>
      <c r="R39" s="37" t="n"/>
      <c r="S39" s="37" t="inlineStr">
        <is>
          <t>Tiến độ: Đã nộp | Ngày bắt đầu: 2026-02-27 00:00:00 | Ngày nộp: 2026-03-16 00:00:00 | Lần nộp: 1.0 | Ghi chú: Cần cắm lại trụ</t>
        </is>
      </c>
    </row>
    <row r="40" ht="15.75" customHeight="1" s="56">
      <c r="A40" s="37" t="inlineStr">
        <is>
          <t>BK-HS-0037</t>
        </is>
      </c>
      <c r="B40" s="27" t="n">
        <v>46080</v>
      </c>
      <c r="C40" s="37" t="inlineStr">
        <is>
          <t>Phòng Đo đạc</t>
        </is>
      </c>
      <c r="D40" s="37" t="inlineStr">
        <is>
          <t>Điều chỉnh bản vẽ</t>
        </is>
      </c>
      <c r="E40" s="37" t="inlineStr">
        <is>
          <t>Tôn Phượng Nga</t>
        </is>
      </c>
      <c r="F40" s="37" t="inlineStr">
        <is>
          <t>Công Ty</t>
        </is>
      </c>
      <c r="G40" s="37" t="inlineStr">
        <is>
          <t>0909256563</t>
        </is>
      </c>
      <c r="H40" s="37" t="inlineStr">
        <is>
          <t>Long Phước</t>
        </is>
      </c>
      <c r="I40" s="37" t="inlineStr">
        <is>
          <t>Trương Tấn Quốc</t>
        </is>
      </c>
      <c r="J40" s="37" t="inlineStr">
        <is>
          <t>Không cần</t>
        </is>
      </c>
      <c r="K40" s="37" t="n"/>
      <c r="L40" s="37" t="inlineStr">
        <is>
          <t>QUÁ HẠN</t>
        </is>
      </c>
      <c r="M40" s="27" t="n">
        <v>46083</v>
      </c>
      <c r="N40" s="28">
        <f>IF(M40="","",M40-TODAY())</f>
        <v/>
      </c>
      <c r="O40" s="37">
        <f>IF(A40="","",IF(L40="Hoàn thành","XONG",IF(L40="Đã hủy","HỦY",IF(N40&lt;0,"QUÁ HẠN",IF(N40&lt;=THIET_LAP!$B$7,"SẮP HẠN","TRONG HẠN")))))</f>
        <v/>
      </c>
      <c r="P40" s="37" t="inlineStr">
        <is>
          <t>091/BK-2026</t>
        </is>
      </c>
      <c r="Q40" s="29" t="n"/>
      <c r="R40" s="37" t="n"/>
      <c r="S40" s="37" t="inlineStr">
        <is>
          <t>Tiến độ: QUÁ HẠN | Ngày bắt đầu: 2026-02-27 00:00:00 | Lần nộp: 1.0 | Ghi chú: Cần cắm lại trụ | Giải trình: Đợi làm việc với phường</t>
        </is>
      </c>
    </row>
    <row r="41" ht="15.75" customHeight="1" s="56">
      <c r="A41" s="37" t="inlineStr">
        <is>
          <t>BK-HS-0038</t>
        </is>
      </c>
      <c r="B41" s="27" t="n">
        <v>46062</v>
      </c>
      <c r="C41" s="37" t="inlineStr">
        <is>
          <t>Phòng Đo đạc</t>
        </is>
      </c>
      <c r="D41" s="37" t="inlineStr">
        <is>
          <t>Xin phép xây dựng</t>
        </is>
      </c>
      <c r="E41" s="37" t="inlineStr">
        <is>
          <t>Ngô Thị Việt Hà - Nguyễn Văn Hoàng</t>
        </is>
      </c>
      <c r="F41" s="37" t="inlineStr">
        <is>
          <t>Công Ty</t>
        </is>
      </c>
      <c r="G41" s="37" t="inlineStr">
        <is>
          <t>zalo MP Xin Phép- Nhà chị Hà</t>
        </is>
      </c>
      <c r="H41" s="37" t="inlineStr">
        <is>
          <t>Cát Lái</t>
        </is>
      </c>
      <c r="I41" s="37" t="inlineStr">
        <is>
          <t>Võ Thành Minh</t>
        </is>
      </c>
      <c r="J41" s="37" t="inlineStr">
        <is>
          <t>Không cần</t>
        </is>
      </c>
      <c r="K41" s="37" t="n"/>
      <c r="L41" s="37" t="inlineStr">
        <is>
          <t>Nộp thành công - Chờ kết quả</t>
        </is>
      </c>
      <c r="M41" s="27" t="n">
        <v>46065</v>
      </c>
      <c r="N41" s="28">
        <f>IF(M41="","",M41-TODAY())</f>
        <v/>
      </c>
      <c r="O41" s="37">
        <f>IF(A41="","",IF(L41="Hoàn thành","XONG",IF(L41="Đã hủy","HỦY",IF(N41&lt;0,"QUÁ HẠN",IF(N41&lt;=THIET_LAP!$B$7,"SẮP HẠN","TRONG HẠN")))))</f>
        <v/>
      </c>
      <c r="P41" s="37" t="inlineStr">
        <is>
          <t>090/BK-2026</t>
        </is>
      </c>
      <c r="Q41" s="29" t="n"/>
      <c r="R41" s="37" t="n"/>
      <c r="S41" s="37" t="inlineStr">
        <is>
          <t>Tiến độ: Đã nộp | Ngày bắt đầu: 2026-02-09 00:00:00 | Ngày nộp: 2026-03-03 00:00:00 | Lần nộp: 1.0 | Ghi chú: Đợi chủ nhà trích lục bản vẽ sơ đồ vị trí</t>
        </is>
      </c>
    </row>
    <row r="42" ht="15.75" customHeight="1" s="56">
      <c r="A42" s="37" t="inlineStr">
        <is>
          <t>BK-HS-0039</t>
        </is>
      </c>
      <c r="B42" s="27" t="n">
        <v>46060</v>
      </c>
      <c r="C42" s="37" t="inlineStr">
        <is>
          <t>Phòng Đo đạc</t>
        </is>
      </c>
      <c r="D42" s="37" t="inlineStr">
        <is>
          <t>Hoàn công</t>
        </is>
      </c>
      <c r="E42" s="37" t="inlineStr">
        <is>
          <t>Phan Xuân Phước-Nguyễn Thị Bích Thủy</t>
        </is>
      </c>
      <c r="F42" s="37" t="inlineStr">
        <is>
          <t>Công Ty</t>
        </is>
      </c>
      <c r="G42" s="37" t="inlineStr">
        <is>
          <t>096 8080819</t>
        </is>
      </c>
      <c r="H42" s="37" t="inlineStr">
        <is>
          <t>Thủ Đức</t>
        </is>
      </c>
      <c r="I42" s="37" t="inlineStr">
        <is>
          <t>Trương Tấn Quốc</t>
        </is>
      </c>
      <c r="J42" s="37" t="inlineStr">
        <is>
          <t>Võ Tứ Hợp</t>
        </is>
      </c>
      <c r="K42" s="37" t="n"/>
      <c r="L42" s="37" t="inlineStr">
        <is>
          <t>Hoàn thành</t>
        </is>
      </c>
      <c r="M42" s="27" t="n">
        <v>46063</v>
      </c>
      <c r="N42" s="28">
        <f>IF(M42="","",M42-TODAY())</f>
        <v/>
      </c>
      <c r="O42" s="37">
        <f>IF(A42="","",IF(L42="Hoàn thành","XONG",IF(L42="Đã hủy","HỦY",IF(N42&lt;0,"QUÁ HẠN",IF(N42&lt;=THIET_LAP!$B$7,"SẮP HẠN","TRONG HẠN")))))</f>
        <v/>
      </c>
      <c r="P42" s="37" t="inlineStr">
        <is>
          <t>089/BK-2026</t>
        </is>
      </c>
      <c r="Q42" s="29" t="n"/>
      <c r="R42" s="37" t="n"/>
      <c r="S42" s="37" t="inlineStr">
        <is>
          <t>Tiến độ: Hoàn thành | Ngày bắt đầu: 2026-02-07 00:00:00 | Ngày nộp: 2026-03-16 00:00:00 | Ngày HT: 2026-03-16 00:00:00 | Lần nộp: 1.0 | Chi kỹ thuật: Đã thanh toán</t>
        </is>
      </c>
    </row>
    <row r="43" ht="15.75" customHeight="1" s="56">
      <c r="A43" s="37" t="inlineStr">
        <is>
          <t>BK-HS-0040</t>
        </is>
      </c>
      <c r="B43" s="27" t="n">
        <v>46059</v>
      </c>
      <c r="C43" s="37" t="inlineStr">
        <is>
          <t>Phòng Đo đạc</t>
        </is>
      </c>
      <c r="D43" s="37" t="inlineStr">
        <is>
          <t>Cắm mốc</t>
        </is>
      </c>
      <c r="E43" s="37" t="inlineStr">
        <is>
          <t>Nguyễn Quỳnh Lê- Nguyễn Thảo Linh</t>
        </is>
      </c>
      <c r="F43" s="37" t="inlineStr">
        <is>
          <t>Công Ty</t>
        </is>
      </c>
      <c r="G43" s="37" t="n"/>
      <c r="H43" s="37" t="inlineStr">
        <is>
          <t>Cát Lái</t>
        </is>
      </c>
      <c r="I43" s="37" t="inlineStr">
        <is>
          <t>Tạ Khắc Tập</t>
        </is>
      </c>
      <c r="J43" s="37" t="inlineStr">
        <is>
          <t>Võ Tứ Hợp</t>
        </is>
      </c>
      <c r="K43" s="37" t="n"/>
      <c r="L43" s="37" t="inlineStr">
        <is>
          <t>Hoàn thành</t>
        </is>
      </c>
      <c r="M43" s="27" t="n">
        <v>46062</v>
      </c>
      <c r="N43" s="28">
        <f>IF(M43="","",M43-TODAY())</f>
        <v/>
      </c>
      <c r="O43" s="37">
        <f>IF(A43="","",IF(L43="Hoàn thành","XONG",IF(L43="Đã hủy","HỦY",IF(N43&lt;0,"QUÁ HẠN",IF(N43&lt;=THIET_LAP!$B$7,"SẮP HẠN","TRONG HẠN")))))</f>
        <v/>
      </c>
      <c r="P43" s="37" t="inlineStr">
        <is>
          <t>088/BK-2026</t>
        </is>
      </c>
      <c r="Q43" s="29" t="n"/>
      <c r="R43" s="37" t="n"/>
      <c r="S43" s="37" t="inlineStr">
        <is>
          <t>Tiến độ: Hoàn thành | Ngày bắt đầu: 2026-02-06 00:00:00 | Ngày nộp: 2026-02-07 00:00:00 | Ngày HT: 2026-02-07 00:00:00 | Lần nộp: 1.0 | Chi kỹ thuật: Đã thanh toán | Số cọc: 5.0 | Loại cọc: Trụ xi măng | Ghi chú: ( Xây+Tâp)-Hơp</t>
        </is>
      </c>
    </row>
    <row r="44" ht="15.75" customHeight="1" s="56">
      <c r="A44" s="37" t="inlineStr">
        <is>
          <t>BK-HS-0041</t>
        </is>
      </c>
      <c r="B44" s="27" t="n">
        <v>46059</v>
      </c>
      <c r="C44" s="37" t="inlineStr">
        <is>
          <t>Phòng Đo đạc</t>
        </is>
      </c>
      <c r="D44" s="37" t="inlineStr">
        <is>
          <t>Cắm mốc</t>
        </is>
      </c>
      <c r="E44" s="37" t="inlineStr">
        <is>
          <t>Đỗ Thị Trang</t>
        </is>
      </c>
      <c r="F44" s="37" t="inlineStr">
        <is>
          <t>Công Ty</t>
        </is>
      </c>
      <c r="G44" s="37" t="inlineStr">
        <is>
          <t>0977633333</t>
        </is>
      </c>
      <c r="H44" s="37" t="inlineStr">
        <is>
          <t>Tam Bình</t>
        </is>
      </c>
      <c r="I44" s="37" t="inlineStr">
        <is>
          <t>Tạ Khắc Tập</t>
        </is>
      </c>
      <c r="J44" s="37" t="inlineStr">
        <is>
          <t>Võ Tứ Hợp</t>
        </is>
      </c>
      <c r="K44" s="37" t="n"/>
      <c r="L44" s="37" t="inlineStr">
        <is>
          <t>Hoàn thành</t>
        </is>
      </c>
      <c r="M44" s="27" t="n">
        <v>46062</v>
      </c>
      <c r="N44" s="28">
        <f>IF(M44="","",M44-TODAY())</f>
        <v/>
      </c>
      <c r="O44" s="37">
        <f>IF(A44="","",IF(L44="Hoàn thành","XONG",IF(L44="Đã hủy","HỦY",IF(N44&lt;0,"QUÁ HẠN",IF(N44&lt;=THIET_LAP!$B$7,"SẮP HẠN","TRONG HẠN")))))</f>
        <v/>
      </c>
      <c r="P44" s="37" t="inlineStr">
        <is>
          <t>087/BK-2026</t>
        </is>
      </c>
      <c r="Q44" s="29" t="n"/>
      <c r="R44" s="37" t="n"/>
      <c r="S44" s="37" t="inlineStr">
        <is>
          <t>Tiến độ: Hoàn thành | Ngày bắt đầu: 2026-02-06 00:00:00 | Ngày nộp: 2026-02-07 00:00:00 | Ngày HT: 2026-02-07 00:00:00 | Lần nộp: 1.0 | Chi kỹ thuật: Đã thanh toán | Số cọc: 4.0 | Loại cọc: Trụ xi măng</t>
        </is>
      </c>
    </row>
    <row r="45" ht="15.75" customHeight="1" s="56">
      <c r="A45" s="37" t="inlineStr">
        <is>
          <t>BK-HS-0042</t>
        </is>
      </c>
      <c r="B45" s="27" t="n">
        <v>46059</v>
      </c>
      <c r="C45" s="37" t="inlineStr">
        <is>
          <t>Phòng Đo đạc</t>
        </is>
      </c>
      <c r="D45" s="37" t="inlineStr">
        <is>
          <t>Cắm mốc</t>
        </is>
      </c>
      <c r="E45" s="37" t="inlineStr">
        <is>
          <t>Đỗ Thị Trang</t>
        </is>
      </c>
      <c r="F45" s="37" t="inlineStr">
        <is>
          <t>Công Ty</t>
        </is>
      </c>
      <c r="G45" s="37" t="n"/>
      <c r="H45" s="37" t="inlineStr">
        <is>
          <t>Tam Bình</t>
        </is>
      </c>
      <c r="I45" s="37" t="inlineStr">
        <is>
          <t>Tạ Khắc Tập</t>
        </is>
      </c>
      <c r="J45" s="37" t="inlineStr">
        <is>
          <t>Võ Tứ Hợp</t>
        </is>
      </c>
      <c r="K45" s="37" t="n"/>
      <c r="L45" s="37" t="inlineStr">
        <is>
          <t>Hoàn thành</t>
        </is>
      </c>
      <c r="M45" s="27" t="n">
        <v>46062</v>
      </c>
      <c r="N45" s="28">
        <f>IF(M45="","",M45-TODAY())</f>
        <v/>
      </c>
      <c r="O45" s="37">
        <f>IF(A45="","",IF(L45="Hoàn thành","XONG",IF(L45="Đã hủy","HỦY",IF(N45&lt;0,"QUÁ HẠN",IF(N45&lt;=THIET_LAP!$B$7,"SẮP HẠN","TRONG HẠN")))))</f>
        <v/>
      </c>
      <c r="P45" s="37" t="inlineStr">
        <is>
          <t>086/BK-2026</t>
        </is>
      </c>
      <c r="Q45" s="29" t="n"/>
      <c r="R45" s="37" t="n"/>
      <c r="S45" s="37" t="inlineStr">
        <is>
          <t>Tiến độ: Hoàn thành | Ngày bắt đầu: 2026-02-06 00:00:00 | Ngày nộp: 2026-02-07 00:00:00 | Ngày HT: 2026-02-07 00:00:00 | Lần nộp: 1.0 | Chi kỹ thuật: Đã thanh toán | Số cọc: 5.0 | Loại cọc: Trụ xi măng</t>
        </is>
      </c>
    </row>
    <row r="46" ht="15.75" customHeight="1" s="56">
      <c r="A46" s="37" t="inlineStr">
        <is>
          <t>BK-HS-0043</t>
        </is>
      </c>
      <c r="B46" s="27" t="n">
        <v>46058</v>
      </c>
      <c r="C46" s="37" t="inlineStr">
        <is>
          <t>Phòng Đo đạc</t>
        </is>
      </c>
      <c r="D46" s="37" t="inlineStr">
        <is>
          <t>Xác định diện tích</t>
        </is>
      </c>
      <c r="E46" s="37" t="inlineStr">
        <is>
          <t>Lê Tiến Nhật Minh</t>
        </is>
      </c>
      <c r="F46" s="37" t="inlineStr">
        <is>
          <t>Công Ty</t>
        </is>
      </c>
      <c r="G46" s="37" t="n"/>
      <c r="H46" s="37" t="inlineStr">
        <is>
          <t>Hiệp Bình</t>
        </is>
      </c>
      <c r="I46" s="37" t="inlineStr">
        <is>
          <t>Trương Tấn Quốc</t>
        </is>
      </c>
      <c r="J46" s="37" t="inlineStr">
        <is>
          <t>Không cần</t>
        </is>
      </c>
      <c r="K46" s="37" t="n"/>
      <c r="L46" s="37" t="inlineStr">
        <is>
          <t>Hoàn thành</t>
        </is>
      </c>
      <c r="M46" s="27" t="n">
        <v>46061</v>
      </c>
      <c r="N46" s="28">
        <f>IF(M46="","",M46-TODAY())</f>
        <v/>
      </c>
      <c r="O46" s="37">
        <f>IF(A46="","",IF(L46="Hoàn thành","XONG",IF(L46="Đã hủy","HỦY",IF(N46&lt;0,"QUÁ HẠN",IF(N46&lt;=THIET_LAP!$B$7,"SẮP HẠN","TRONG HẠN")))))</f>
        <v/>
      </c>
      <c r="P46" s="37" t="inlineStr">
        <is>
          <t>085/BK-2026</t>
        </is>
      </c>
      <c r="Q46" s="29" t="n"/>
      <c r="R46" s="37" t="n"/>
      <c r="S46" s="37" t="inlineStr">
        <is>
          <t>Tiến độ: Hoàn thành | Ngày bắt đầu: 2026-02-05 00:00:00 | Ngày nộp: 2026-02-07 00:00:00 | Ngày HT: 2026-02-07 00:00:00 | Lần nộp: 0.0 | Chi kỹ thuật: Đã thanh toán | Ghi chú: Đã hoàn thành</t>
        </is>
      </c>
    </row>
    <row r="47" ht="15.75" customHeight="1" s="56">
      <c r="A47" s="37" t="inlineStr">
        <is>
          <t>BK-HS-0044</t>
        </is>
      </c>
      <c r="B47" s="27" t="n">
        <v>46057</v>
      </c>
      <c r="C47" s="37" t="inlineStr">
        <is>
          <t>Phòng Đo đạc</t>
        </is>
      </c>
      <c r="D47" s="37" t="inlineStr">
        <is>
          <t>Xin phép xây dựng</t>
        </is>
      </c>
      <c r="E47" s="37" t="inlineStr">
        <is>
          <t>Đinh Văn Hòa</t>
        </is>
      </c>
      <c r="F47" s="37" t="inlineStr">
        <is>
          <t>Anh Tùng Bất Động Sản</t>
        </is>
      </c>
      <c r="G47" s="37" t="n"/>
      <c r="H47" s="37" t="inlineStr">
        <is>
          <t>Cát Lái</t>
        </is>
      </c>
      <c r="I47" s="37" t="inlineStr">
        <is>
          <t>Võ Thành Minh</t>
        </is>
      </c>
      <c r="J47" s="37" t="inlineStr">
        <is>
          <t>Không cần</t>
        </is>
      </c>
      <c r="K47" s="37" t="n"/>
      <c r="L47" s="37" t="inlineStr">
        <is>
          <t>Hủy</t>
        </is>
      </c>
      <c r="M47" s="27" t="n">
        <v>46060</v>
      </c>
      <c r="N47" s="28">
        <f>IF(M47="","",M47-TODAY())</f>
        <v/>
      </c>
      <c r="O47" s="37">
        <f>IF(A47="","",IF(L47="Hoàn thành","XONG",IF(L47="Đã hủy","HỦY",IF(N47&lt;0,"QUÁ HẠN",IF(N47&lt;=THIET_LAP!$B$7,"SẮP HẠN","TRONG HẠN")))))</f>
        <v/>
      </c>
      <c r="P47" s="37" t="inlineStr">
        <is>
          <t>084/BK-2026</t>
        </is>
      </c>
      <c r="Q47" s="29" t="n"/>
      <c r="R47" s="37" t="n"/>
      <c r="S47" s="37" t="inlineStr">
        <is>
          <t>Tiến độ: ĐÃ HỦY | Ngày bắt đầu: 2026-02-04 00:00:00 | Ngày nộp: 2026-03-03 00:00:00 | Lần nộp: 1.0 | Chi kỹ thuật: Đã thanh toán</t>
        </is>
      </c>
    </row>
    <row r="48" ht="15.75" customHeight="1" s="56">
      <c r="A48" s="37" t="inlineStr">
        <is>
          <t>BK-HS-0045</t>
        </is>
      </c>
      <c r="B48" s="27" t="n">
        <v>46057</v>
      </c>
      <c r="C48" s="37" t="inlineStr">
        <is>
          <t>Phòng Đo đạc</t>
        </is>
      </c>
      <c r="D48" s="37" t="inlineStr">
        <is>
          <t>Cấp đổi</t>
        </is>
      </c>
      <c r="E48" s="37" t="inlineStr">
        <is>
          <t>Vũ Thị Thùy Trang</t>
        </is>
      </c>
      <c r="F48" s="37" t="inlineStr">
        <is>
          <t>Công Ty</t>
        </is>
      </c>
      <c r="G48" s="37" t="inlineStr">
        <is>
          <t>0909204125</t>
        </is>
      </c>
      <c r="H48" s="37" t="inlineStr">
        <is>
          <t>Hiệp Bình</t>
        </is>
      </c>
      <c r="I48" s="37" t="inlineStr">
        <is>
          <t>Tạ Khắc Tập</t>
        </is>
      </c>
      <c r="J48" s="37" t="inlineStr">
        <is>
          <t>Võ Tứ Hợp</t>
        </is>
      </c>
      <c r="K48" s="37" t="n"/>
      <c r="L48" s="37" t="inlineStr">
        <is>
          <t>Hủy</t>
        </is>
      </c>
      <c r="M48" s="27" t="n">
        <v>46060</v>
      </c>
      <c r="N48" s="28">
        <f>IF(M48="","",M48-TODAY())</f>
        <v/>
      </c>
      <c r="O48" s="37">
        <f>IF(A48="","",IF(L48="Hoàn thành","XONG",IF(L48="Đã hủy","HỦY",IF(N48&lt;0,"QUÁ HẠN",IF(N48&lt;=THIET_LAP!$B$7,"SẮP HẠN","TRONG HẠN")))))</f>
        <v/>
      </c>
      <c r="P48" s="37" t="inlineStr">
        <is>
          <t>083/BK-2026</t>
        </is>
      </c>
      <c r="Q48" s="29" t="n"/>
      <c r="R48" s="37" t="n"/>
      <c r="S48" s="37" t="inlineStr">
        <is>
          <t>Tiến độ: ĐÃ HỦY | Ngày bắt đầu: 2026-02-04 00:00:00 | Ngày nộp: 2026-02-06 00:00:00 | Lần nộp: 0.0 | Chi kỹ thuật: Đã thanh toán</t>
        </is>
      </c>
    </row>
    <row r="49" ht="15.75" customHeight="1" s="56">
      <c r="A49" s="37" t="inlineStr">
        <is>
          <t>BK-HS-0046</t>
        </is>
      </c>
      <c r="B49" s="27" t="n">
        <v>46057</v>
      </c>
      <c r="C49" s="37" t="inlineStr">
        <is>
          <t>Phòng Đo đạc</t>
        </is>
      </c>
      <c r="D49" s="37" t="inlineStr">
        <is>
          <t>Cấp đổi</t>
        </is>
      </c>
      <c r="E49" s="37" t="inlineStr">
        <is>
          <t>Nguyễn Thị Hồng Trâm</t>
        </is>
      </c>
      <c r="F49" s="37" t="inlineStr">
        <is>
          <t>Cô Hoa</t>
        </is>
      </c>
      <c r="G49" s="37" t="n"/>
      <c r="H49" s="37" t="inlineStr">
        <is>
          <t>Hiệp Bình</t>
        </is>
      </c>
      <c r="I49" s="37" t="inlineStr">
        <is>
          <t>Tạ Khắc Tập</t>
        </is>
      </c>
      <c r="J49" s="37" t="inlineStr">
        <is>
          <t>Võ Tứ Hợp</t>
        </is>
      </c>
      <c r="K49" s="37" t="n"/>
      <c r="L49" s="37" t="inlineStr">
        <is>
          <t>Nộp thành công - Chờ kết quả</t>
        </is>
      </c>
      <c r="M49" s="27" t="n">
        <v>46060</v>
      </c>
      <c r="N49" s="28">
        <f>IF(M49="","",M49-TODAY())</f>
        <v/>
      </c>
      <c r="O49" s="37">
        <f>IF(A49="","",IF(L49="Hoàn thành","XONG",IF(L49="Đã hủy","HỦY",IF(N49&lt;0,"QUÁ HẠN",IF(N49&lt;=THIET_LAP!$B$7,"SẮP HẠN","TRONG HẠN")))))</f>
        <v/>
      </c>
      <c r="P49" s="37" t="inlineStr">
        <is>
          <t>082/BK-2026</t>
        </is>
      </c>
      <c r="Q49" s="29" t="n"/>
      <c r="R49" s="37" t="n"/>
      <c r="S49" s="37" t="inlineStr">
        <is>
          <t>Tiến độ: Đã nộp | Ngày bắt đầu: 2026-02-04 00:00:00 | Ngày nộp: 2026-02-09 00:00:00 | Lần nộp: 2.0 | Chi kỹ thuật: Đã thanh toán</t>
        </is>
      </c>
    </row>
    <row r="50" ht="15.75" customHeight="1" s="56">
      <c r="A50" s="37" t="inlineStr">
        <is>
          <t>BK-HS-0047</t>
        </is>
      </c>
      <c r="B50" s="27" t="n">
        <v>46057</v>
      </c>
      <c r="C50" s="37" t="inlineStr">
        <is>
          <t>Phòng Đo đạc</t>
        </is>
      </c>
      <c r="D50" s="37" t="inlineStr">
        <is>
          <t>Cắm mốc</t>
        </is>
      </c>
      <c r="E50" s="37" t="inlineStr">
        <is>
          <t>La Thị Thanh Duyên</t>
        </is>
      </c>
      <c r="F50" s="37" t="inlineStr">
        <is>
          <t>Công Ty</t>
        </is>
      </c>
      <c r="G50" s="37" t="n"/>
      <c r="H50" s="37" t="inlineStr">
        <is>
          <t>Tam Bình</t>
        </is>
      </c>
      <c r="I50" s="37" t="inlineStr">
        <is>
          <t>Tạ Khắc Tập</t>
        </is>
      </c>
      <c r="J50" s="37" t="inlineStr">
        <is>
          <t>Võ Tứ Hợp</t>
        </is>
      </c>
      <c r="K50" s="37" t="n"/>
      <c r="L50" s="37" t="inlineStr">
        <is>
          <t>Hoàn thành</t>
        </is>
      </c>
      <c r="M50" s="27" t="n">
        <v>46060</v>
      </c>
      <c r="N50" s="28">
        <f>IF(M50="","",M50-TODAY())</f>
        <v/>
      </c>
      <c r="O50" s="37">
        <f>IF(A50="","",IF(L50="Hoàn thành","XONG",IF(L50="Đã hủy","HỦY",IF(N50&lt;0,"QUÁ HẠN",IF(N50&lt;=THIET_LAP!$B$7,"SẮP HẠN","TRONG HẠN")))))</f>
        <v/>
      </c>
      <c r="P50" s="37" t="inlineStr">
        <is>
          <t>081/BK-2026</t>
        </is>
      </c>
      <c r="Q50" s="29" t="n"/>
      <c r="R50" s="37" t="n"/>
      <c r="S50" s="37" t="inlineStr">
        <is>
          <t>Tiến độ: Hoàn thành | Ngày bắt đầu: 2026-02-04 00:00:00 | Ngày nộp: 2026-02-05 00:00:00 | Ngày HT: 2026-02-05 00:00:00 | Lần nộp: 1.0 | Chi kỹ thuật: Đã thanh toán | Số cọc: 3.0 | Loại cọc: Trụ xi măng</t>
        </is>
      </c>
    </row>
    <row r="51" ht="15.75" customHeight="1" s="56">
      <c r="A51" s="37" t="inlineStr">
        <is>
          <t>BK-HS-0048</t>
        </is>
      </c>
      <c r="B51" s="27" t="n">
        <v>46057</v>
      </c>
      <c r="C51" s="37" t="inlineStr">
        <is>
          <t>Phòng Đo đạc</t>
        </is>
      </c>
      <c r="D51" s="37" t="inlineStr">
        <is>
          <t>Cắm mốc</t>
        </is>
      </c>
      <c r="E51" s="37" t="inlineStr">
        <is>
          <t>Nguyễn Thị Ngọc Thảo</t>
        </is>
      </c>
      <c r="F51" s="37" t="inlineStr">
        <is>
          <t>Đạt Việt Phát Land</t>
        </is>
      </c>
      <c r="G51" s="37" t="n"/>
      <c r="H51" s="37" t="inlineStr">
        <is>
          <t>Phước Long</t>
        </is>
      </c>
      <c r="I51" s="37" t="inlineStr">
        <is>
          <t>Tạ Khắc Tập</t>
        </is>
      </c>
      <c r="J51" s="37" t="inlineStr">
        <is>
          <t>Không cần</t>
        </is>
      </c>
      <c r="K51" s="37" t="n"/>
      <c r="L51" s="37" t="inlineStr">
        <is>
          <t>Hoàn thành</t>
        </is>
      </c>
      <c r="M51" s="27" t="n">
        <v>46060</v>
      </c>
      <c r="N51" s="28">
        <f>IF(M51="","",M51-TODAY())</f>
        <v/>
      </c>
      <c r="O51" s="37">
        <f>IF(A51="","",IF(L51="Hoàn thành","XONG",IF(L51="Đã hủy","HỦY",IF(N51&lt;0,"QUÁ HẠN",IF(N51&lt;=THIET_LAP!$B$7,"SẮP HẠN","TRONG HẠN")))))</f>
        <v/>
      </c>
      <c r="P51" s="37" t="inlineStr">
        <is>
          <t>080/BK-2026</t>
        </is>
      </c>
      <c r="Q51" s="29" t="n"/>
      <c r="R51" s="37" t="n"/>
      <c r="S51" s="37" t="inlineStr">
        <is>
          <t>Tiến độ: Hoàn thành | Ngày bắt đầu: 2026-02-04 00:00:00 | Ngày nộp: 2026-02-05 00:00:00 | Ngày HT: 2026-02-05 00:00:00 | Lần nộp: 0.0 | Chi kỹ thuật: Đã thanh toán | Số cọc: 2.0 | Loại cọc: Trụ xi măng</t>
        </is>
      </c>
    </row>
    <row r="52" ht="15.75" customHeight="1" s="56">
      <c r="A52" s="37" t="inlineStr">
        <is>
          <t>BK-HS-0049</t>
        </is>
      </c>
      <c r="B52" s="27" t="n">
        <v>46057</v>
      </c>
      <c r="C52" s="37" t="inlineStr">
        <is>
          <t>Phòng Đo đạc</t>
        </is>
      </c>
      <c r="D52" s="37" t="inlineStr">
        <is>
          <t>Cấp đổi</t>
        </is>
      </c>
      <c r="E52" s="37" t="inlineStr">
        <is>
          <t>Nguyễn Quỳnh Lê</t>
        </is>
      </c>
      <c r="F52" s="37" t="inlineStr">
        <is>
          <t>Công Ty</t>
        </is>
      </c>
      <c r="G52" s="37" t="inlineStr">
        <is>
          <t>0778860211</t>
        </is>
      </c>
      <c r="H52" s="37" t="inlineStr">
        <is>
          <t>Cát Lái</t>
        </is>
      </c>
      <c r="I52" s="37" t="inlineStr">
        <is>
          <t>Lê Văn Xây</t>
        </is>
      </c>
      <c r="J52" s="37" t="inlineStr">
        <is>
          <t>Võ Tứ Hợp</t>
        </is>
      </c>
      <c r="K52" s="37" t="n"/>
      <c r="L52" s="37" t="inlineStr">
        <is>
          <t>Hoàn thành</t>
        </is>
      </c>
      <c r="M52" s="27" t="n">
        <v>46060</v>
      </c>
      <c r="N52" s="28">
        <f>IF(M52="","",M52-TODAY())</f>
        <v/>
      </c>
      <c r="O52" s="37">
        <f>IF(A52="","",IF(L52="Hoàn thành","XONG",IF(L52="Đã hủy","HỦY",IF(N52&lt;0,"QUÁ HẠN",IF(N52&lt;=THIET_LAP!$B$7,"SẮP HẠN","TRONG HẠN")))))</f>
        <v/>
      </c>
      <c r="P52" s="37" t="inlineStr">
        <is>
          <t>079/BK-2026</t>
        </is>
      </c>
      <c r="Q52" s="29" t="n"/>
      <c r="R52" s="37" t="n"/>
      <c r="S52" s="37" t="inlineStr">
        <is>
          <t>Tiến độ: Hoàn thành | Ngày bắt đầu: 2026-02-04 00:00:00 | Ngày nộp: 2026-02-26 00:00:00 | Ngày HT: 2026-02-26 00:00:00 | Lần nộp: 1.0 | Chi kỹ thuật: Đã thanh toán</t>
        </is>
      </c>
    </row>
    <row r="53" ht="15.75" customHeight="1" s="56">
      <c r="A53" s="37" t="inlineStr">
        <is>
          <t>BK-HS-0050</t>
        </is>
      </c>
      <c r="B53" s="27" t="n">
        <v>46057</v>
      </c>
      <c r="C53" s="37" t="inlineStr">
        <is>
          <t>Phòng Đo đạc</t>
        </is>
      </c>
      <c r="D53" s="37" t="inlineStr">
        <is>
          <t>Cấp đổi</t>
        </is>
      </c>
      <c r="E53" s="37" t="inlineStr">
        <is>
          <t>Lê Minh Thạnh</t>
        </is>
      </c>
      <c r="F53" s="37" t="inlineStr">
        <is>
          <t>Công Ty</t>
        </is>
      </c>
      <c r="G53" s="37" t="inlineStr">
        <is>
          <t>0704115165</t>
        </is>
      </c>
      <c r="H53" s="37" t="inlineStr">
        <is>
          <t>Tam Bình</t>
        </is>
      </c>
      <c r="I53" s="37" t="inlineStr">
        <is>
          <t>Lê Văn Xây</t>
        </is>
      </c>
      <c r="J53" s="37" t="inlineStr">
        <is>
          <t>Võ Tứ Hợp</t>
        </is>
      </c>
      <c r="K53" s="37" t="n"/>
      <c r="L53" s="37" t="inlineStr">
        <is>
          <t>Hoàn thành</t>
        </is>
      </c>
      <c r="M53" s="27" t="n">
        <v>46060</v>
      </c>
      <c r="N53" s="28">
        <f>IF(M53="","",M53-TODAY())</f>
        <v/>
      </c>
      <c r="O53" s="37">
        <f>IF(A53="","",IF(L53="Hoàn thành","XONG",IF(L53="Đã hủy","HỦY",IF(N53&lt;0,"QUÁ HẠN",IF(N53&lt;=THIET_LAP!$B$7,"SẮP HẠN","TRONG HẠN")))))</f>
        <v/>
      </c>
      <c r="P53" s="37" t="inlineStr">
        <is>
          <t>078/BK-2026</t>
        </is>
      </c>
      <c r="Q53" s="29" t="n"/>
      <c r="R53" s="37" t="n"/>
      <c r="S53" s="37" t="inlineStr">
        <is>
          <t>Tiến độ: Hoàn thành | Ngày bắt đầu: 2026-02-04 00:00:00 | Ngày nộp: 2026-03-09 00:00:00 | Ngày HT: 2026-03-09 00:00:00 | Lần nộp: 2.0 | Chi kỹ thuật: Đã thanh toán</t>
        </is>
      </c>
    </row>
    <row r="54" ht="15.75" customHeight="1" s="56">
      <c r="A54" s="37" t="inlineStr">
        <is>
          <t>BK-HS-0051</t>
        </is>
      </c>
      <c r="B54" s="27" t="n">
        <v>46056</v>
      </c>
      <c r="C54" s="37" t="inlineStr">
        <is>
          <t>Phòng Đo đạc</t>
        </is>
      </c>
      <c r="D54" s="37" t="inlineStr">
        <is>
          <t>Xác định diện tích</t>
        </is>
      </c>
      <c r="E54" s="37" t="inlineStr">
        <is>
          <t>Nguyễn Phạm Hoài Vy</t>
        </is>
      </c>
      <c r="F54" s="37" t="inlineStr">
        <is>
          <t>Anh Long PCT</t>
        </is>
      </c>
      <c r="G54" s="37" t="n"/>
      <c r="H54" s="37" t="inlineStr">
        <is>
          <t>Hiệp Bình</t>
        </is>
      </c>
      <c r="I54" s="37" t="inlineStr">
        <is>
          <t>Lê Văn Dựng</t>
        </is>
      </c>
      <c r="J54" s="37" t="inlineStr">
        <is>
          <t>Không cần</t>
        </is>
      </c>
      <c r="K54" s="37" t="n"/>
      <c r="L54" s="37" t="inlineStr">
        <is>
          <t>Hoàn thành</t>
        </is>
      </c>
      <c r="M54" s="27" t="n">
        <v>46059</v>
      </c>
      <c r="N54" s="28">
        <f>IF(M54="","",M54-TODAY())</f>
        <v/>
      </c>
      <c r="O54" s="37">
        <f>IF(A54="","",IF(L54="Hoàn thành","XONG",IF(L54="Đã hủy","HỦY",IF(N54&lt;0,"QUÁ HẠN",IF(N54&lt;=THIET_LAP!$B$7,"SẮP HẠN","TRONG HẠN")))))</f>
        <v/>
      </c>
      <c r="P54" s="37" t="inlineStr">
        <is>
          <t>077/BK-2026</t>
        </is>
      </c>
      <c r="Q54" s="29" t="n"/>
      <c r="R54" s="37" t="n"/>
      <c r="S54" s="37" t="inlineStr">
        <is>
          <t>Tiến độ: Hoàn thành | Ngày bắt đầu: 2026-02-03 00:00:00 | Ngày nộp: 2026-02-03 00:00:00 | Ngày HT: 2026-02-03 00:00:00 | Lần nộp: 0.0 | Chi kỹ thuật: Đã thanh toán</t>
        </is>
      </c>
    </row>
    <row r="55" ht="15.75" customHeight="1" s="56">
      <c r="A55" s="37" t="inlineStr">
        <is>
          <t>BK-HS-0052</t>
        </is>
      </c>
      <c r="B55" s="27" t="n">
        <v>46056</v>
      </c>
      <c r="C55" s="37" t="inlineStr">
        <is>
          <t>Phòng Đo đạc</t>
        </is>
      </c>
      <c r="D55" s="37" t="inlineStr">
        <is>
          <t>Xác định diện tích</t>
        </is>
      </c>
      <c r="E55" s="37" t="inlineStr">
        <is>
          <t>Phan Thị Tố Như</t>
        </is>
      </c>
      <c r="F55" s="37" t="inlineStr">
        <is>
          <t>Anh Long PCT</t>
        </is>
      </c>
      <c r="G55" s="37" t="n"/>
      <c r="H55" s="37" t="inlineStr">
        <is>
          <t>Hiệp Bình</t>
        </is>
      </c>
      <c r="I55" s="37" t="inlineStr">
        <is>
          <t>Lê Văn Dựng</t>
        </is>
      </c>
      <c r="J55" s="37" t="inlineStr">
        <is>
          <t>Không cần</t>
        </is>
      </c>
      <c r="K55" s="37" t="n"/>
      <c r="L55" s="37" t="inlineStr">
        <is>
          <t>Hoàn thành</t>
        </is>
      </c>
      <c r="M55" s="27" t="n">
        <v>46059</v>
      </c>
      <c r="N55" s="28">
        <f>IF(M55="","",M55-TODAY())</f>
        <v/>
      </c>
      <c r="O55" s="37">
        <f>IF(A55="","",IF(L55="Hoàn thành","XONG",IF(L55="Đã hủy","HỦY",IF(N55&lt;0,"QUÁ HẠN",IF(N55&lt;=THIET_LAP!$B$7,"SẮP HẠN","TRONG HẠN")))))</f>
        <v/>
      </c>
      <c r="P55" s="37" t="inlineStr">
        <is>
          <t>076/BK-2026</t>
        </is>
      </c>
      <c r="Q55" s="29" t="n"/>
      <c r="R55" s="37" t="n"/>
      <c r="S55" s="37" t="inlineStr">
        <is>
          <t>Tiến độ: Hoàn thành | Ngày bắt đầu: 2026-02-03 00:00:00 | Ngày nộp: 2026-02-03 00:00:00 | Ngày HT: 2026-02-03 00:00:00 | Lần nộp: 1.0 | Chi kỹ thuật: Đã thanh toán</t>
        </is>
      </c>
    </row>
    <row r="56" ht="15.75" customHeight="1" s="56">
      <c r="A56" s="37" t="inlineStr">
        <is>
          <t>BK-HS-0053</t>
        </is>
      </c>
      <c r="B56" s="27" t="n">
        <v>46056</v>
      </c>
      <c r="C56" s="37" t="inlineStr">
        <is>
          <t>Phòng Đo đạc</t>
        </is>
      </c>
      <c r="D56" s="37" t="inlineStr">
        <is>
          <t>Điều chỉnh bản vẽ</t>
        </is>
      </c>
      <c r="E56" s="37" t="inlineStr">
        <is>
          <t>Hoàng Thị Cúc</t>
        </is>
      </c>
      <c r="F56" s="37" t="inlineStr">
        <is>
          <t>Công Ty</t>
        </is>
      </c>
      <c r="G56" s="37" t="inlineStr">
        <is>
          <t>0937183239</t>
        </is>
      </c>
      <c r="H56" s="37" t="inlineStr">
        <is>
          <t>Phước Long</t>
        </is>
      </c>
      <c r="I56" s="37" t="inlineStr">
        <is>
          <t>Trương Tấn Quốc</t>
        </is>
      </c>
      <c r="J56" s="37" t="inlineStr">
        <is>
          <t>Không cần</t>
        </is>
      </c>
      <c r="K56" s="37" t="n"/>
      <c r="L56" s="37" t="inlineStr">
        <is>
          <t>Nộp thành công - Chờ kết quả</t>
        </is>
      </c>
      <c r="M56" s="27" t="n">
        <v>46059</v>
      </c>
      <c r="N56" s="28">
        <f>IF(M56="","",M56-TODAY())</f>
        <v/>
      </c>
      <c r="O56" s="37">
        <f>IF(A56="","",IF(L56="Hoàn thành","XONG",IF(L56="Đã hủy","HỦY",IF(N56&lt;0,"QUÁ HẠN",IF(N56&lt;=THIET_LAP!$B$7,"SẮP HẠN","TRONG HẠN")))))</f>
        <v/>
      </c>
      <c r="P56" s="37" t="inlineStr">
        <is>
          <t>075/BK-2026</t>
        </is>
      </c>
      <c r="Q56" s="29" t="n"/>
      <c r="R56" s="37" t="n"/>
      <c r="S56" s="37" t="inlineStr">
        <is>
          <t>Tiến độ: Đã nộp | Ngày bắt đầu: 2026-02-03 00:00:00 | Ngày nộp: 2026-03-09 00:00:00 | Lần nộp: 4.0 | Chi kỹ thuật: Đã thanh toán | Ghi chú: Chưa bổ sung bản vẽ xin phép</t>
        </is>
      </c>
    </row>
    <row r="57" ht="15.75" customHeight="1" s="56">
      <c r="A57" s="37" t="inlineStr">
        <is>
          <t>BK-HS-0054</t>
        </is>
      </c>
      <c r="B57" s="27" t="n">
        <v>46055</v>
      </c>
      <c r="C57" s="37" t="inlineStr">
        <is>
          <t>Phòng Đo đạc</t>
        </is>
      </c>
      <c r="D57" s="37" t="inlineStr">
        <is>
          <t>Xác định diện tích</t>
        </is>
      </c>
      <c r="E57" s="37" t="inlineStr">
        <is>
          <t>Nguyễn Hoàng Phong</t>
        </is>
      </c>
      <c r="F57" s="37" t="inlineStr">
        <is>
          <t>Đạt Việt Phát Land</t>
        </is>
      </c>
      <c r="G57" s="37" t="n"/>
      <c r="H57" s="37" t="inlineStr">
        <is>
          <t>Thủ Đức</t>
        </is>
      </c>
      <c r="I57" s="37" t="inlineStr">
        <is>
          <t>Lê Văn Xây</t>
        </is>
      </c>
      <c r="J57" s="37" t="inlineStr">
        <is>
          <t>Võ Tứ Hợp</t>
        </is>
      </c>
      <c r="K57" s="37" t="n"/>
      <c r="L57" s="37" t="inlineStr">
        <is>
          <t>Hoàn thành</t>
        </is>
      </c>
      <c r="M57" s="27" t="n">
        <v>46058</v>
      </c>
      <c r="N57" s="28">
        <f>IF(M57="","",M57-TODAY())</f>
        <v/>
      </c>
      <c r="O57" s="37">
        <f>IF(A57="","",IF(L57="Hoàn thành","XONG",IF(L57="Đã hủy","HỦY",IF(N57&lt;0,"QUÁ HẠN",IF(N57&lt;=THIET_LAP!$B$7,"SẮP HẠN","TRONG HẠN")))))</f>
        <v/>
      </c>
      <c r="P57" s="37" t="inlineStr">
        <is>
          <t>074/BK-2026</t>
        </is>
      </c>
      <c r="Q57" s="29" t="n"/>
      <c r="R57" s="37" t="n"/>
      <c r="S57" s="37" t="inlineStr">
        <is>
          <t>Tiến độ: Hoàn thành | Ngày bắt đầu: 2026-02-02 00:00:00 | Ngày nộp: 2026-02-06 00:00:00 | Ngày HT: 2026-02-06 00:00:00 | Lần nộp: 1.0 | Chi kỹ thuật: Đã thanh toán</t>
        </is>
      </c>
    </row>
    <row r="58" ht="15.75" customHeight="1" s="56">
      <c r="A58" s="37" t="inlineStr">
        <is>
          <t>BK-HS-0055</t>
        </is>
      </c>
      <c r="B58" s="27" t="n">
        <v>46055</v>
      </c>
      <c r="C58" s="37" t="inlineStr">
        <is>
          <t>Phòng Đo đạc</t>
        </is>
      </c>
      <c r="D58" s="37" t="inlineStr">
        <is>
          <t>Cấp đổi</t>
        </is>
      </c>
      <c r="E58" s="37" t="inlineStr">
        <is>
          <t>Đào Thị Hòa</t>
        </is>
      </c>
      <c r="F58" s="37" t="inlineStr">
        <is>
          <t>Chị Xuân DV</t>
        </is>
      </c>
      <c r="G58" s="37" t="n"/>
      <c r="H58" s="37" t="inlineStr">
        <is>
          <t>Thủ Đức</t>
        </is>
      </c>
      <c r="I58" s="37" t="inlineStr">
        <is>
          <t>Lê Văn Xây</t>
        </is>
      </c>
      <c r="J58" s="37" t="inlineStr">
        <is>
          <t>Võ Tứ Hợp</t>
        </is>
      </c>
      <c r="K58" s="37" t="n"/>
      <c r="L58" s="37" t="inlineStr">
        <is>
          <t>Hoàn thành</t>
        </is>
      </c>
      <c r="M58" s="27" t="n">
        <v>46058</v>
      </c>
      <c r="N58" s="28">
        <f>IF(M58="","",M58-TODAY())</f>
        <v/>
      </c>
      <c r="O58" s="37">
        <f>IF(A58="","",IF(L58="Hoàn thành","XONG",IF(L58="Đã hủy","HỦY",IF(N58&lt;0,"QUÁ HẠN",IF(N58&lt;=THIET_LAP!$B$7,"SẮP HẠN","TRONG HẠN")))))</f>
        <v/>
      </c>
      <c r="P58" s="37" t="inlineStr">
        <is>
          <t>073/BK-2026</t>
        </is>
      </c>
      <c r="Q58" s="29" t="n"/>
      <c r="R58" s="37" t="n"/>
      <c r="S58" s="37" t="inlineStr">
        <is>
          <t>Tiến độ: Hoàn thành | Ngày bắt đầu: 2026-02-02 00:00:00 | Ngày nộp: 2026-03-16 00:00:00 | Ngày HT: 2026-03-16 00:00:00 | Lần nộp: 1.0</t>
        </is>
      </c>
    </row>
    <row r="59" ht="15.75" customHeight="1" s="56">
      <c r="A59" s="37" t="inlineStr">
        <is>
          <t>BK-HS-0056</t>
        </is>
      </c>
      <c r="B59" s="27" t="n">
        <v>46053</v>
      </c>
      <c r="C59" s="37" t="inlineStr">
        <is>
          <t>Phòng Đo đạc</t>
        </is>
      </c>
      <c r="D59" s="37" t="inlineStr">
        <is>
          <t>Tách Thửa</t>
        </is>
      </c>
      <c r="E59" s="37" t="inlineStr">
        <is>
          <t>Nguyễn Đình Phan- Nguyễn Thị Sa</t>
        </is>
      </c>
      <c r="F59" s="37" t="inlineStr">
        <is>
          <t>Công Ty</t>
        </is>
      </c>
      <c r="G59" s="37" t="inlineStr">
        <is>
          <t>0333609405</t>
        </is>
      </c>
      <c r="H59" s="37" t="inlineStr">
        <is>
          <t>Tam Bình</t>
        </is>
      </c>
      <c r="I59" s="37" t="inlineStr">
        <is>
          <t>Tạ Khắc Tập</t>
        </is>
      </c>
      <c r="J59" s="37" t="inlineStr">
        <is>
          <t>Võ Tứ Hợp</t>
        </is>
      </c>
      <c r="K59" s="37" t="n"/>
      <c r="L59" s="37" t="inlineStr">
        <is>
          <t>QUÁ HẠN</t>
        </is>
      </c>
      <c r="M59" s="27" t="n">
        <v>46056</v>
      </c>
      <c r="N59" s="28">
        <f>IF(M59="","",M59-TODAY())</f>
        <v/>
      </c>
      <c r="O59" s="37">
        <f>IF(A59="","",IF(L59="Hoàn thành","XONG",IF(L59="Đã hủy","HỦY",IF(N59&lt;0,"QUÁ HẠN",IF(N59&lt;=THIET_LAP!$B$7,"SẮP HẠN","TRONG HẠN")))))</f>
        <v/>
      </c>
      <c r="P59" s="37" t="inlineStr">
        <is>
          <t>072/BK-2026</t>
        </is>
      </c>
      <c r="Q59" s="29" t="n"/>
      <c r="R59" s="37" t="n"/>
      <c r="S59" s="37" t="inlineStr">
        <is>
          <t>Tiến độ: QUÁ HẠN | Ngày bắt đầu: 2026-01-31 00:00:00 | Lần nộp: 1.0 | Giải trình: sai hiện trạng+ lấn thửa+ giảm diện tích</t>
        </is>
      </c>
    </row>
    <row r="60" ht="15.75" customHeight="1" s="56">
      <c r="A60" s="37" t="inlineStr">
        <is>
          <t>BK-HS-0057</t>
        </is>
      </c>
      <c r="B60" s="27" t="n">
        <v>46052</v>
      </c>
      <c r="C60" s="37" t="inlineStr">
        <is>
          <t>Phòng Đo đạc</t>
        </is>
      </c>
      <c r="D60" s="37" t="inlineStr">
        <is>
          <t>Xin phép xây dựng</t>
        </is>
      </c>
      <c r="E60" s="37" t="inlineStr">
        <is>
          <t>Nguyễn Kim Chi</t>
        </is>
      </c>
      <c r="F60" s="37" t="inlineStr">
        <is>
          <t>Công Ty</t>
        </is>
      </c>
      <c r="G60" s="37" t="n"/>
      <c r="H60" s="37" t="inlineStr">
        <is>
          <t>An Khánh</t>
        </is>
      </c>
      <c r="I60" s="37" t="inlineStr">
        <is>
          <t>Võ Thành Minh</t>
        </is>
      </c>
      <c r="J60" s="37" t="inlineStr">
        <is>
          <t>Không cần</t>
        </is>
      </c>
      <c r="K60" s="37" t="n"/>
      <c r="L60" s="37" t="inlineStr">
        <is>
          <t>Nộp thành công - Chờ kết quả</t>
        </is>
      </c>
      <c r="M60" s="27" t="n">
        <v>46055</v>
      </c>
      <c r="N60" s="28">
        <f>IF(M60="","",M60-TODAY())</f>
        <v/>
      </c>
      <c r="O60" s="37">
        <f>IF(A60="","",IF(L60="Hoàn thành","XONG",IF(L60="Đã hủy","HỦY",IF(N60&lt;0,"QUÁ HẠN",IF(N60&lt;=THIET_LAP!$B$7,"SẮP HẠN","TRONG HẠN")))))</f>
        <v/>
      </c>
      <c r="P60" s="37" t="inlineStr">
        <is>
          <t>071/BK-2026</t>
        </is>
      </c>
      <c r="Q60" s="29" t="n"/>
      <c r="R60" s="37" t="n"/>
      <c r="S60" s="37" t="inlineStr">
        <is>
          <t>Tiến độ: Đã nộp | Ngày bắt đầu: 2026-01-30 00:00:00 | Ngày nộp: 2026-03-13 00:00:00 | Lần nộp: 1.0 | Chi kỹ thuật: Đã thanh toán</t>
        </is>
      </c>
    </row>
    <row r="61" ht="15.75" customHeight="1" s="56">
      <c r="A61" s="37" t="inlineStr">
        <is>
          <t>BK-HS-0058</t>
        </is>
      </c>
      <c r="B61" s="27" t="n">
        <v>46052</v>
      </c>
      <c r="C61" s="37" t="inlineStr">
        <is>
          <t>Phòng Đo đạc</t>
        </is>
      </c>
      <c r="D61" s="37" t="inlineStr">
        <is>
          <t>Xin phép xây dựng</t>
        </is>
      </c>
      <c r="E61" s="37" t="inlineStr">
        <is>
          <t>Đinh Gia Trí</t>
        </is>
      </c>
      <c r="F61" s="37" t="inlineStr">
        <is>
          <t>Công Ty</t>
        </is>
      </c>
      <c r="G61" s="37" t="n"/>
      <c r="H61" s="37" t="inlineStr">
        <is>
          <t>Bình Trưng</t>
        </is>
      </c>
      <c r="I61" s="37" t="inlineStr">
        <is>
          <t>Võ Thành Minh</t>
        </is>
      </c>
      <c r="J61" s="37" t="inlineStr">
        <is>
          <t>Không cần</t>
        </is>
      </c>
      <c r="K61" s="37" t="n"/>
      <c r="L61" s="37" t="inlineStr">
        <is>
          <t>Nộp thành công - Chờ kết quả</t>
        </is>
      </c>
      <c r="M61" s="27" t="n">
        <v>46055</v>
      </c>
      <c r="N61" s="28">
        <f>IF(M61="","",M61-TODAY())</f>
        <v/>
      </c>
      <c r="O61" s="37">
        <f>IF(A61="","",IF(L61="Hoàn thành","XONG",IF(L61="Đã hủy","HỦY",IF(N61&lt;0,"QUÁ HẠN",IF(N61&lt;=THIET_LAP!$B$7,"SẮP HẠN","TRONG HẠN")))))</f>
        <v/>
      </c>
      <c r="P61" s="37" t="inlineStr">
        <is>
          <t>070/BK-2026</t>
        </is>
      </c>
      <c r="Q61" s="29" t="n"/>
      <c r="R61" s="37" t="n"/>
      <c r="S61" s="37" t="inlineStr">
        <is>
          <t>Tiến độ: Đã nộp | Ngày bắt đầu: 2026-01-30 00:00:00 | Ngày nộp: 2026-01-30 00:00:00 | Lần nộp: 2.0 | Chi kỹ thuật: Đã thanh toán</t>
        </is>
      </c>
    </row>
    <row r="62" ht="15.75" customHeight="1" s="56">
      <c r="A62" s="37" t="inlineStr">
        <is>
          <t>BK-HS-0059</t>
        </is>
      </c>
      <c r="B62" s="27" t="n">
        <v>46052</v>
      </c>
      <c r="C62" s="37" t="inlineStr">
        <is>
          <t>Phòng Đo đạc</t>
        </is>
      </c>
      <c r="D62" s="37" t="inlineStr">
        <is>
          <t>Đo GPS</t>
        </is>
      </c>
      <c r="E62" s="37" t="inlineStr">
        <is>
          <t>Nguyễn Hữu Cường</t>
        </is>
      </c>
      <c r="F62" s="37" t="inlineStr">
        <is>
          <t>Công Ty</t>
        </is>
      </c>
      <c r="G62" s="37" t="inlineStr">
        <is>
          <t>0903323431</t>
        </is>
      </c>
      <c r="H62" s="37" t="inlineStr">
        <is>
          <t>An Khánh</t>
        </is>
      </c>
      <c r="I62" s="37" t="inlineStr">
        <is>
          <t>Lê Văn Dựng</t>
        </is>
      </c>
      <c r="J62" s="37" t="inlineStr">
        <is>
          <t>Không cần</t>
        </is>
      </c>
      <c r="K62" s="37" t="n"/>
      <c r="L62" s="37" t="inlineStr">
        <is>
          <t>Hoàn thành</t>
        </is>
      </c>
      <c r="M62" s="27" t="n">
        <v>46055</v>
      </c>
      <c r="N62" s="28">
        <f>IF(M62="","",M62-TODAY())</f>
        <v/>
      </c>
      <c r="O62" s="37">
        <f>IF(A62="","",IF(L62="Hoàn thành","XONG",IF(L62="Đã hủy","HỦY",IF(N62&lt;0,"QUÁ HẠN",IF(N62&lt;=THIET_LAP!$B$7,"SẮP HẠN","TRONG HẠN")))))</f>
        <v/>
      </c>
      <c r="P62" s="37" t="inlineStr">
        <is>
          <t>069/BK-2026</t>
        </is>
      </c>
      <c r="Q62" s="29" t="n"/>
      <c r="R62" s="37" t="n"/>
      <c r="S62" s="37" t="inlineStr">
        <is>
          <t>Tiến độ: Hoàn thành | Ngày bắt đầu: 2026-01-30 00:00:00 | Ngày nộp: 2026-01-30 00:00:00 | Ngày HT: 2026-01-30 00:00:00 | Lần nộp: 1.0 | Chi kỹ thuật: Đã thanh toán</t>
        </is>
      </c>
    </row>
    <row r="63" ht="15.75" customHeight="1" s="56">
      <c r="A63" s="37" t="inlineStr">
        <is>
          <t>BK-HS-0060</t>
        </is>
      </c>
      <c r="B63" s="27" t="n">
        <v>46052</v>
      </c>
      <c r="C63" s="37" t="inlineStr">
        <is>
          <t>Phòng Đo đạc</t>
        </is>
      </c>
      <c r="D63" s="37" t="inlineStr">
        <is>
          <t>Cắm mốc</t>
        </is>
      </c>
      <c r="E63" s="37" t="inlineStr">
        <is>
          <t>Đặng Văn Lẹ</t>
        </is>
      </c>
      <c r="F63" s="37" t="inlineStr">
        <is>
          <t>Anh Long PCT</t>
        </is>
      </c>
      <c r="G63" s="37" t="n"/>
      <c r="H63" s="37" t="inlineStr">
        <is>
          <t>Long Phước</t>
        </is>
      </c>
      <c r="I63" s="37" t="inlineStr">
        <is>
          <t>Tạ Khắc Tập</t>
        </is>
      </c>
      <c r="J63" s="37" t="inlineStr">
        <is>
          <t>Võ Tứ Hợp</t>
        </is>
      </c>
      <c r="K63" s="37" t="n"/>
      <c r="L63" s="37" t="inlineStr">
        <is>
          <t>Hoàn thành</t>
        </is>
      </c>
      <c r="M63" s="27" t="n">
        <v>46055</v>
      </c>
      <c r="N63" s="28">
        <f>IF(M63="","",M63-TODAY())</f>
        <v/>
      </c>
      <c r="O63" s="37">
        <f>IF(A63="","",IF(L63="Hoàn thành","XONG",IF(L63="Đã hủy","HỦY",IF(N63&lt;0,"QUÁ HẠN",IF(N63&lt;=THIET_LAP!$B$7,"SẮP HẠN","TRONG HẠN")))))</f>
        <v/>
      </c>
      <c r="P63" s="37" t="inlineStr">
        <is>
          <t>068/BK-2026</t>
        </is>
      </c>
      <c r="Q63" s="29" t="n"/>
      <c r="R63" s="37" t="n"/>
      <c r="S63" s="37" t="inlineStr">
        <is>
          <t>Tiến độ: Hoàn thành | Ngày bắt đầu: 2026-01-30 00:00:00 | Ngày nộp: 2026-01-30 00:00:00 | Ngày HT: 2026-01-30 00:00:00 | Lần nộp: 1.0 | Chi kỹ thuật: Đã thanh toán | Số cọc: 22.0 | Loại cọc: Cọc sắt</t>
        </is>
      </c>
    </row>
    <row r="64" ht="15.75" customHeight="1" s="56">
      <c r="A64" s="37" t="inlineStr">
        <is>
          <t>BK-HS-0061</t>
        </is>
      </c>
      <c r="B64" s="27" t="n">
        <v>46052</v>
      </c>
      <c r="C64" s="37" t="inlineStr">
        <is>
          <t>Phòng Đo đạc</t>
        </is>
      </c>
      <c r="D64" s="37" t="inlineStr">
        <is>
          <t>Đo GPS</t>
        </is>
      </c>
      <c r="E64" s="37" t="inlineStr">
        <is>
          <t>Đặng Văn Lẹ</t>
        </is>
      </c>
      <c r="F64" s="37" t="inlineStr">
        <is>
          <t>Anh Long PCT</t>
        </is>
      </c>
      <c r="G64" s="37" t="n"/>
      <c r="H64" s="37" t="inlineStr">
        <is>
          <t>Long Phước</t>
        </is>
      </c>
      <c r="I64" s="37" t="inlineStr">
        <is>
          <t>Lê Văn Dựng</t>
        </is>
      </c>
      <c r="J64" s="37" t="inlineStr">
        <is>
          <t>Không cần</t>
        </is>
      </c>
      <c r="K64" s="37" t="n"/>
      <c r="L64" s="37" t="inlineStr">
        <is>
          <t>Hoàn thành</t>
        </is>
      </c>
      <c r="M64" s="27" t="n">
        <v>46055</v>
      </c>
      <c r="N64" s="28">
        <f>IF(M64="","",M64-TODAY())</f>
        <v/>
      </c>
      <c r="O64" s="37">
        <f>IF(A64="","",IF(L64="Hoàn thành","XONG",IF(L64="Đã hủy","HỦY",IF(N64&lt;0,"QUÁ HẠN",IF(N64&lt;=THIET_LAP!$B$7,"SẮP HẠN","TRONG HẠN")))))</f>
        <v/>
      </c>
      <c r="P64" s="37" t="inlineStr">
        <is>
          <t>067/BK-2026</t>
        </is>
      </c>
      <c r="Q64" s="29" t="n"/>
      <c r="R64" s="37" t="n"/>
      <c r="S64" s="37" t="inlineStr">
        <is>
          <t>Tiến độ: Hoàn thành | Ngày bắt đầu: 2026-01-30 00:00:00 | Ngày nộp: 2026-01-30 00:00:00 | Ngày HT: 2026-01-30 00:00:00 | Lần nộp: 1.0 | Chi kỹ thuật: Đã thanh toán</t>
        </is>
      </c>
    </row>
    <row r="65" ht="15.75" customHeight="1" s="56">
      <c r="A65" s="37" t="inlineStr">
        <is>
          <t>BK-HS-0062</t>
        </is>
      </c>
      <c r="B65" s="27" t="n">
        <v>46051</v>
      </c>
      <c r="C65" s="37" t="inlineStr">
        <is>
          <t>Phòng Đo đạc</t>
        </is>
      </c>
      <c r="D65" s="37" t="inlineStr">
        <is>
          <t>Cấp sổ lần đầu</t>
        </is>
      </c>
      <c r="E65" s="37" t="inlineStr">
        <is>
          <t>Trần Thị Phước</t>
        </is>
      </c>
      <c r="F65" s="37" t="inlineStr">
        <is>
          <t>Chị Phấn DV</t>
        </is>
      </c>
      <c r="G65" s="37" t="n"/>
      <c r="H65" s="37" t="inlineStr">
        <is>
          <t>Hiệp Bình</t>
        </is>
      </c>
      <c r="I65" s="37" t="inlineStr">
        <is>
          <t>Tạ Khắc Tập</t>
        </is>
      </c>
      <c r="J65" s="37" t="inlineStr">
        <is>
          <t>Võ Tứ Hợp</t>
        </is>
      </c>
      <c r="K65" s="37" t="n"/>
      <c r="L65" s="37" t="inlineStr">
        <is>
          <t>Hoàn thành</t>
        </is>
      </c>
      <c r="M65" s="27" t="n">
        <v>46054</v>
      </c>
      <c r="N65" s="28">
        <f>IF(M65="","",M65-TODAY())</f>
        <v/>
      </c>
      <c r="O65" s="37">
        <f>IF(A65="","",IF(L65="Hoàn thành","XONG",IF(L65="Đã hủy","HỦY",IF(N65&lt;0,"QUÁ HẠN",IF(N65&lt;=THIET_LAP!$B$7,"SẮP HẠN","TRONG HẠN")))))</f>
        <v/>
      </c>
      <c r="P65" s="37" t="inlineStr">
        <is>
          <t>066/BK-2026</t>
        </is>
      </c>
      <c r="Q65" s="29" t="n"/>
      <c r="R65" s="37" t="n"/>
      <c r="S65" s="37" t="inlineStr">
        <is>
          <t>Tiến độ: Hoàn thành | Ngày bắt đầu: 2026-01-29 00:00:00 | Ngày nộp: 2026-03-06 00:00:00 | Ngày HT: 2026-03-06 00:00:00 | Lần nộp: 1.0</t>
        </is>
      </c>
    </row>
    <row r="66" ht="15.75" customHeight="1" s="56">
      <c r="A66" s="37" t="inlineStr">
        <is>
          <t>BK-HS-0063</t>
        </is>
      </c>
      <c r="B66" s="27" t="n">
        <v>46051</v>
      </c>
      <c r="C66" s="37" t="inlineStr">
        <is>
          <t>Phòng Đo đạc</t>
        </is>
      </c>
      <c r="D66" s="37" t="inlineStr">
        <is>
          <t>Cắm mốc</t>
        </is>
      </c>
      <c r="E66" s="37" t="inlineStr">
        <is>
          <t>Phạm Thị Ngọc Điệp</t>
        </is>
      </c>
      <c r="F66" s="37" t="inlineStr">
        <is>
          <t>Công Ty</t>
        </is>
      </c>
      <c r="G66" s="37" t="inlineStr">
        <is>
          <t>0934998539</t>
        </is>
      </c>
      <c r="H66" s="37" t="inlineStr">
        <is>
          <t>Ngoài Thủ Đức</t>
        </is>
      </c>
      <c r="I66" s="37" t="inlineStr">
        <is>
          <t>Tạ Khắc Tập</t>
        </is>
      </c>
      <c r="J66" s="37" t="inlineStr">
        <is>
          <t>Võ Tứ Hợp</t>
        </is>
      </c>
      <c r="K66" s="37" t="inlineStr">
        <is>
          <t>Cao</t>
        </is>
      </c>
      <c r="L66" s="37" t="inlineStr">
        <is>
          <t>Hoàn thành</t>
        </is>
      </c>
      <c r="M66" s="27" t="n">
        <v>46052</v>
      </c>
      <c r="N66" s="28">
        <f>IF(M66="","",M66-TODAY())</f>
        <v/>
      </c>
      <c r="O66" s="37">
        <f>IF(A66="","",IF(L66="Hoàn thành","XONG",IF(L66="Đã hủy","HỦY",IF(N66&lt;0,"QUÁ HẠN",IF(N66&lt;=THIET_LAP!$B$7,"SẮP HẠN","TRONG HẠN")))))</f>
        <v/>
      </c>
      <c r="P66" s="37" t="inlineStr">
        <is>
          <t>065/BK-2026</t>
        </is>
      </c>
      <c r="Q66" s="29" t="n"/>
      <c r="R66" s="37" t="n"/>
      <c r="S66" s="37" t="inlineStr">
        <is>
          <t>Tiến độ: Hoàn thành | Ngày bắt đầu: 2026-01-29 00:00:00 | Ngày nộp: 2026-01-30 00:00:00 | Ngày HT: 2026-01-30 00:00:00 | Lần nộp: 2.0 | Chi kỹ thuật: Đã thanh toán | Số cọc: 10.0 | Loại cọc: Cọc sắt</t>
        </is>
      </c>
    </row>
    <row r="67" ht="15.75" customHeight="1" s="56">
      <c r="A67" s="37" t="inlineStr">
        <is>
          <t>BK-HS-0064</t>
        </is>
      </c>
      <c r="B67" s="27" t="n">
        <v>46050</v>
      </c>
      <c r="C67" s="37" t="inlineStr">
        <is>
          <t>Phòng Đo đạc</t>
        </is>
      </c>
      <c r="D67" s="37" t="inlineStr">
        <is>
          <t>Cấp sổ lần đầu</t>
        </is>
      </c>
      <c r="E67" s="37" t="inlineStr">
        <is>
          <t>Lê Xuân Hưng - Nguyễn Thị Kim Yến</t>
        </is>
      </c>
      <c r="F67" s="37" t="inlineStr">
        <is>
          <t>Công Ty</t>
        </is>
      </c>
      <c r="G67" s="37" t="inlineStr">
        <is>
          <t>0938206063</t>
        </is>
      </c>
      <c r="H67" s="37" t="inlineStr">
        <is>
          <t>Bình Trưng</t>
        </is>
      </c>
      <c r="I67" s="37" t="inlineStr">
        <is>
          <t>Trương Tấn Quốc</t>
        </is>
      </c>
      <c r="J67" s="37" t="inlineStr">
        <is>
          <t>Không cần</t>
        </is>
      </c>
      <c r="K67" s="37" t="n"/>
      <c r="L67" s="37" t="inlineStr">
        <is>
          <t>Hoàn thành</t>
        </is>
      </c>
      <c r="M67" s="27" t="n">
        <v>46053</v>
      </c>
      <c r="N67" s="28">
        <f>IF(M67="","",M67-TODAY())</f>
        <v/>
      </c>
      <c r="O67" s="37">
        <f>IF(A67="","",IF(L67="Hoàn thành","XONG",IF(L67="Đã hủy","HỦY",IF(N67&lt;0,"QUÁ HẠN",IF(N67&lt;=THIET_LAP!$B$7,"SẮP HẠN","TRONG HẠN")))))</f>
        <v/>
      </c>
      <c r="P67" s="37" t="inlineStr">
        <is>
          <t>064/BK-2026</t>
        </is>
      </c>
      <c r="Q67" s="29" t="n"/>
      <c r="R67" s="37" t="n"/>
      <c r="S67" s="37" t="inlineStr">
        <is>
          <t>Tiến độ: Hoàn thành | Ngày bắt đầu: 2026-01-28 00:00:00 | Ngày nộp: 2026-02-06 00:00:00 | Ngày HT: 2026-02-06 00:00:00 | Lần nộp: 3.0 | Chi kỹ thuật: Đã thanh toán</t>
        </is>
      </c>
    </row>
    <row r="68" ht="15.75" customHeight="1" s="56">
      <c r="A68" s="37" t="inlineStr">
        <is>
          <t>BK-HS-0065</t>
        </is>
      </c>
      <c r="B68" s="27" t="n">
        <v>46050</v>
      </c>
      <c r="C68" s="37" t="inlineStr">
        <is>
          <t>Phòng Đo đạc</t>
        </is>
      </c>
      <c r="D68" s="37" t="inlineStr">
        <is>
          <t>Tách Thửa</t>
        </is>
      </c>
      <c r="E68" s="37" t="inlineStr">
        <is>
          <t>Dương Ngọc Sinh</t>
        </is>
      </c>
      <c r="F68" s="37" t="inlineStr">
        <is>
          <t>Anh Trường LS</t>
        </is>
      </c>
      <c r="G68" s="37" t="n"/>
      <c r="H68" s="37" t="inlineStr">
        <is>
          <t>Tam Bình</t>
        </is>
      </c>
      <c r="I68" s="37" t="inlineStr">
        <is>
          <t>Lê Văn Xây</t>
        </is>
      </c>
      <c r="J68" s="37" t="inlineStr">
        <is>
          <t>Võ Tứ Hợp</t>
        </is>
      </c>
      <c r="K68" s="37" t="n"/>
      <c r="L68" s="37" t="inlineStr">
        <is>
          <t>Hủy</t>
        </is>
      </c>
      <c r="M68" s="27" t="n">
        <v>46053</v>
      </c>
      <c r="N68" s="28">
        <f>IF(M68="","",M68-TODAY())</f>
        <v/>
      </c>
      <c r="O68" s="37">
        <f>IF(A68="","",IF(L68="Hoàn thành","XONG",IF(L68="Đã hủy","HỦY",IF(N68&lt;0,"QUÁ HẠN",IF(N68&lt;=THIET_LAP!$B$7,"SẮP HẠN","TRONG HẠN")))))</f>
        <v/>
      </c>
      <c r="P68" s="37" t="inlineStr">
        <is>
          <t>063/BK-2026</t>
        </is>
      </c>
      <c r="Q68" s="29" t="n"/>
      <c r="R68" s="37" t="n"/>
      <c r="S68" s="37" t="inlineStr">
        <is>
          <t>Tiến độ: ĐÃ HỦY | Ngày bắt đầu: 2026-01-28 00:00:00 | Ngày nộp: 2026-01-29 00:00:00 | Lần nộp: 1.0 | Chi kỹ thuật: Đã thanh toán</t>
        </is>
      </c>
    </row>
    <row r="69" ht="15.75" customHeight="1" s="56">
      <c r="A69" s="37" t="inlineStr">
        <is>
          <t>BK-HS-0066</t>
        </is>
      </c>
      <c r="B69" s="27" t="n">
        <v>46050</v>
      </c>
      <c r="C69" s="37" t="inlineStr">
        <is>
          <t>Phòng Đo đạc</t>
        </is>
      </c>
      <c r="D69" s="37" t="inlineStr">
        <is>
          <t>Hoàn công</t>
        </is>
      </c>
      <c r="E69" s="37" t="inlineStr">
        <is>
          <t>Nguyễn Thị Hương</t>
        </is>
      </c>
      <c r="F69" s="37" t="inlineStr">
        <is>
          <t>Công Ty</t>
        </is>
      </c>
      <c r="G69" s="37" t="n"/>
      <c r="H69" s="37" t="inlineStr">
        <is>
          <t>Linh Xuân</t>
        </is>
      </c>
      <c r="I69" s="37" t="inlineStr">
        <is>
          <t>Tạ Khắc Tập</t>
        </is>
      </c>
      <c r="J69" s="37" t="inlineStr">
        <is>
          <t>Võ Thành Minh</t>
        </is>
      </c>
      <c r="K69" s="37" t="n"/>
      <c r="L69" s="37" t="inlineStr">
        <is>
          <t>Nộp thành công - Chờ kết quả</t>
        </is>
      </c>
      <c r="M69" s="27" t="n">
        <v>46053</v>
      </c>
      <c r="N69" s="28">
        <f>IF(M69="","",M69-TODAY())</f>
        <v/>
      </c>
      <c r="O69" s="37">
        <f>IF(A69="","",IF(L69="Hoàn thành","XONG",IF(L69="Đã hủy","HỦY",IF(N69&lt;0,"QUÁ HẠN",IF(N69&lt;=THIET_LAP!$B$7,"SẮP HẠN","TRONG HẠN")))))</f>
        <v/>
      </c>
      <c r="P69" s="37" t="inlineStr">
        <is>
          <t>062/BK-2026</t>
        </is>
      </c>
      <c r="Q69" s="29" t="n"/>
      <c r="R69" s="37" t="n"/>
      <c r="S69" s="37" t="inlineStr">
        <is>
          <t>Tiến độ: Đã nộp | Ngày bắt đầu: 2026-01-28 00:00:00 | Ngày nộp: 2026-03-02 00:00:00 | Lần nộp: 1.0 | Chi kỹ thuật: Đã thanh toán</t>
        </is>
      </c>
    </row>
    <row r="70" ht="15.75" customHeight="1" s="56">
      <c r="A70" s="37" t="inlineStr">
        <is>
          <t>BK-HS-0067</t>
        </is>
      </c>
      <c r="B70" s="27" t="n">
        <v>46049</v>
      </c>
      <c r="C70" s="37" t="inlineStr">
        <is>
          <t>Phòng Đo đạc</t>
        </is>
      </c>
      <c r="D70" s="37" t="inlineStr">
        <is>
          <t>Tách Thửa</t>
        </is>
      </c>
      <c r="E70" s="37" t="inlineStr">
        <is>
          <t>Bùi Đình Khánh</t>
        </is>
      </c>
      <c r="F70" s="37" t="inlineStr">
        <is>
          <t>Công Ty</t>
        </is>
      </c>
      <c r="G70" s="37" t="inlineStr">
        <is>
          <t>0988737070</t>
        </is>
      </c>
      <c r="H70" s="37" t="inlineStr">
        <is>
          <t>Tăng Nhơn Phú</t>
        </is>
      </c>
      <c r="I70" s="37" t="inlineStr">
        <is>
          <t>Lê Văn Xây</t>
        </is>
      </c>
      <c r="J70" s="37" t="inlineStr">
        <is>
          <t>Không cần</t>
        </is>
      </c>
      <c r="K70" s="37" t="n"/>
      <c r="L70" s="37" t="inlineStr">
        <is>
          <t>Nộp thành công - Chờ kết quả</t>
        </is>
      </c>
      <c r="M70" s="27" t="n">
        <v>46052</v>
      </c>
      <c r="N70" s="28">
        <f>IF(M70="","",M70-TODAY())</f>
        <v/>
      </c>
      <c r="O70" s="37">
        <f>IF(A70="","",IF(L70="Hoàn thành","XONG",IF(L70="Đã hủy","HỦY",IF(N70&lt;0,"QUÁ HẠN",IF(N70&lt;=THIET_LAP!$B$7,"SẮP HẠN","TRONG HẠN")))))</f>
        <v/>
      </c>
      <c r="P70" s="37" t="inlineStr">
        <is>
          <t>061-2/BK-2026</t>
        </is>
      </c>
      <c r="Q70" s="29" t="n"/>
      <c r="R70" s="37" t="n"/>
      <c r="S70" s="37" t="inlineStr">
        <is>
          <t>Tiến độ: Đã nộp | Ngày bắt đầu: 2026-01-27 00:00:00 | Ngày nộp: 2026-01-28 00:00:00 | Lần nộp: 3.0 | Chi kỹ thuật: Đã thanh toán</t>
        </is>
      </c>
    </row>
    <row r="71" ht="15.75" customHeight="1" s="56">
      <c r="A71" s="37" t="inlineStr">
        <is>
          <t>BK-HS-0068</t>
        </is>
      </c>
      <c r="B71" s="27" t="n">
        <v>46049</v>
      </c>
      <c r="C71" s="37" t="inlineStr">
        <is>
          <t>Phòng Đo đạc</t>
        </is>
      </c>
      <c r="D71" s="37" t="inlineStr">
        <is>
          <t>Tách Thửa</t>
        </is>
      </c>
      <c r="E71" s="37" t="inlineStr">
        <is>
          <t>Bùi Đình Khánh</t>
        </is>
      </c>
      <c r="F71" s="37" t="inlineStr">
        <is>
          <t>Công Ty</t>
        </is>
      </c>
      <c r="G71" s="37" t="inlineStr">
        <is>
          <t>0988737070</t>
        </is>
      </c>
      <c r="H71" s="37" t="inlineStr">
        <is>
          <t>Tăng Nhơn Phú</t>
        </is>
      </c>
      <c r="I71" s="37" t="inlineStr">
        <is>
          <t>Lê Văn Xây</t>
        </is>
      </c>
      <c r="J71" s="37" t="inlineStr">
        <is>
          <t>Võ Tứ Hợp</t>
        </is>
      </c>
      <c r="K71" s="37" t="n"/>
      <c r="L71" s="37" t="inlineStr">
        <is>
          <t>Nộp thành công - Chờ kết quả</t>
        </is>
      </c>
      <c r="M71" s="27" t="n">
        <v>46052</v>
      </c>
      <c r="N71" s="28">
        <f>IF(M71="","",M71-TODAY())</f>
        <v/>
      </c>
      <c r="O71" s="37">
        <f>IF(A71="","",IF(L71="Hoàn thành","XONG",IF(L71="Đã hủy","HỦY",IF(N71&lt;0,"QUÁ HẠN",IF(N71&lt;=THIET_LAP!$B$7,"SẮP HẠN","TRONG HẠN")))))</f>
        <v/>
      </c>
      <c r="P71" s="37" t="inlineStr">
        <is>
          <t>061-1/BK-2026</t>
        </is>
      </c>
      <c r="Q71" s="29" t="n"/>
      <c r="R71" s="37" t="n"/>
      <c r="S71" s="37" t="inlineStr">
        <is>
          <t>Tiến độ: Đã nộp | Ngày bắt đầu: 2026-01-27 00:00:00 | Ngày nộp: 2026-01-28 00:00:00 | Lần nộp: 1.0 | Chi kỹ thuật: Đã thanh toán</t>
        </is>
      </c>
    </row>
    <row r="72" ht="15.75" customHeight="1" s="56">
      <c r="A72" s="37" t="inlineStr">
        <is>
          <t>BK-HS-0069</t>
        </is>
      </c>
      <c r="B72" s="27" t="n">
        <v>46049</v>
      </c>
      <c r="C72" s="37" t="inlineStr">
        <is>
          <t>Phòng Đo đạc</t>
        </is>
      </c>
      <c r="D72" s="37" t="inlineStr">
        <is>
          <t>Chuyển mục đích</t>
        </is>
      </c>
      <c r="E72" s="37" t="inlineStr">
        <is>
          <t>Đặng Văn Lẹ</t>
        </is>
      </c>
      <c r="F72" s="37" t="inlineStr">
        <is>
          <t>Anh Long PCT</t>
        </is>
      </c>
      <c r="G72" s="37" t="n"/>
      <c r="H72" s="37" t="inlineStr">
        <is>
          <t>Long Phước</t>
        </is>
      </c>
      <c r="I72" s="37" t="inlineStr">
        <is>
          <t>Tạ Khắc Tập</t>
        </is>
      </c>
      <c r="J72" s="37" t="inlineStr">
        <is>
          <t>Võ Tứ Hợp</t>
        </is>
      </c>
      <c r="K72" s="37" t="n"/>
      <c r="L72" s="37" t="inlineStr">
        <is>
          <t>Nộp thành công - Chờ kết quả</t>
        </is>
      </c>
      <c r="M72" s="27" t="n">
        <v>46052</v>
      </c>
      <c r="N72" s="28">
        <f>IF(M72="","",M72-TODAY())</f>
        <v/>
      </c>
      <c r="O72" s="37">
        <f>IF(A72="","",IF(L72="Hoàn thành","XONG",IF(L72="Đã hủy","HỦY",IF(N72&lt;0,"QUÁ HẠN",IF(N72&lt;=THIET_LAP!$B$7,"SẮP HẠN","TRONG HẠN")))))</f>
        <v/>
      </c>
      <c r="P72" s="37" t="inlineStr">
        <is>
          <t>060/BK-2026</t>
        </is>
      </c>
      <c r="Q72" s="29" t="n"/>
      <c r="R72" s="37" t="n"/>
      <c r="S72" s="37" t="inlineStr">
        <is>
          <t>Tiến độ: Đã nộp | Ngày bắt đầu: 2026-01-27 00:00:00 | Ngày nộp: 2026-02-03 00:00:00 | Lần nộp: 2.0 | Chi kỹ thuật: Đã thanh toán</t>
        </is>
      </c>
    </row>
    <row r="73" ht="15.75" customHeight="1" s="56">
      <c r="A73" s="37" t="inlineStr">
        <is>
          <t>BK-HS-0070</t>
        </is>
      </c>
      <c r="B73" s="27" t="n">
        <v>46049</v>
      </c>
      <c r="C73" s="37" t="inlineStr">
        <is>
          <t>Phòng Đo đạc</t>
        </is>
      </c>
      <c r="D73" s="37" t="inlineStr">
        <is>
          <t>Cắm mốc</t>
        </is>
      </c>
      <c r="E73" s="37" t="inlineStr">
        <is>
          <t>Đặng Văn Lẹ</t>
        </is>
      </c>
      <c r="F73" s="37" t="inlineStr">
        <is>
          <t>Anh Long PCT</t>
        </is>
      </c>
      <c r="G73" s="37" t="n"/>
      <c r="H73" s="37" t="inlineStr">
        <is>
          <t>Long Phước</t>
        </is>
      </c>
      <c r="I73" s="37" t="inlineStr">
        <is>
          <t>Tạ Khắc Tập</t>
        </is>
      </c>
      <c r="J73" s="37" t="inlineStr">
        <is>
          <t>Võ Tứ Hợp</t>
        </is>
      </c>
      <c r="K73" s="37" t="n"/>
      <c r="L73" s="37" t="inlineStr">
        <is>
          <t>Hoàn thành</t>
        </is>
      </c>
      <c r="M73" s="27" t="n">
        <v>46052</v>
      </c>
      <c r="N73" s="28">
        <f>IF(M73="","",M73-TODAY())</f>
        <v/>
      </c>
      <c r="O73" s="37">
        <f>IF(A73="","",IF(L73="Hoàn thành","XONG",IF(L73="Đã hủy","HỦY",IF(N73&lt;0,"QUÁ HẠN",IF(N73&lt;=THIET_LAP!$B$7,"SẮP HẠN","TRONG HẠN")))))</f>
        <v/>
      </c>
      <c r="P73" s="37" t="inlineStr">
        <is>
          <t>059/BK-2026</t>
        </is>
      </c>
      <c r="Q73" s="29" t="n"/>
      <c r="R73" s="37" t="n"/>
      <c r="S73" s="37" t="inlineStr">
        <is>
          <t>Tiến độ: Hoàn thành | Ngày bắt đầu: 2026-01-27 00:00:00 | Ngày nộp: 2026-01-27 00:00:00 | Ngày HT: 2026-01-27 00:00:00 | Lần nộp: 0.0 | Chi kỹ thuật: Đã thanh toán | Số cọc: 5.0 | Loại cọc: Cọc sắt</t>
        </is>
      </c>
    </row>
    <row r="74" ht="15.75" customHeight="1" s="56">
      <c r="A74" s="37" t="inlineStr">
        <is>
          <t>BK-HS-0071</t>
        </is>
      </c>
      <c r="B74" s="27" t="n">
        <v>46048</v>
      </c>
      <c r="C74" s="37" t="inlineStr">
        <is>
          <t>Phòng Đo đạc</t>
        </is>
      </c>
      <c r="D74" s="37" t="inlineStr">
        <is>
          <t>Xin phép xây dựng</t>
        </is>
      </c>
      <c r="E74" s="37" t="inlineStr">
        <is>
          <t>Lưu Sanh Đạt</t>
        </is>
      </c>
      <c r="F74" s="37" t="inlineStr">
        <is>
          <t>Đạt Việt Phát Land</t>
        </is>
      </c>
      <c r="G74" s="37" t="n"/>
      <c r="H74" s="37" t="inlineStr">
        <is>
          <t>Tăng Nhơn Phú</t>
        </is>
      </c>
      <c r="I74" s="37" t="inlineStr">
        <is>
          <t>Võ Thành Minh</t>
        </is>
      </c>
      <c r="J74" s="37" t="inlineStr">
        <is>
          <t>Không cần</t>
        </is>
      </c>
      <c r="K74" s="37" t="n"/>
      <c r="L74" s="37" t="inlineStr">
        <is>
          <t>Hoàn thành</t>
        </is>
      </c>
      <c r="M74" s="27" t="n">
        <v>46051</v>
      </c>
      <c r="N74" s="28">
        <f>IF(M74="","",M74-TODAY())</f>
        <v/>
      </c>
      <c r="O74" s="37">
        <f>IF(A74="","",IF(L74="Hoàn thành","XONG",IF(L74="Đã hủy","HỦY",IF(N74&lt;0,"QUÁ HẠN",IF(N74&lt;=THIET_LAP!$B$7,"SẮP HẠN","TRONG HẠN")))))</f>
        <v/>
      </c>
      <c r="P74" s="37" t="inlineStr">
        <is>
          <t>058/BK-2026</t>
        </is>
      </c>
      <c r="Q74" s="29" t="n"/>
      <c r="R74" s="37" t="n"/>
      <c r="S74" s="37" t="inlineStr">
        <is>
          <t>Tiến độ: Hoàn thành | Ngày bắt đầu: 2026-01-26 00:00:00 | Ngày nộp: 2026-03-03 00:00:00 | Ngày HT: 2026-03-03 00:00:00 | Lần nộp: 2.0 | Chi kỹ thuật: Đã thanh toán</t>
        </is>
      </c>
    </row>
    <row r="75" ht="15.75" customHeight="1" s="56">
      <c r="A75" s="37" t="inlineStr">
        <is>
          <t>BK-HS-0072</t>
        </is>
      </c>
      <c r="B75" s="27" t="n">
        <v>46048</v>
      </c>
      <c r="C75" s="37" t="inlineStr">
        <is>
          <t>Phòng Đo đạc</t>
        </is>
      </c>
      <c r="D75" s="37" t="inlineStr">
        <is>
          <t>Xin phép xây dựng</t>
        </is>
      </c>
      <c r="E75" s="37" t="inlineStr">
        <is>
          <t>Lê Thị Thu Hiền</t>
        </is>
      </c>
      <c r="F75" s="37" t="inlineStr">
        <is>
          <t>Công Ty</t>
        </is>
      </c>
      <c r="G75" s="37" t="n"/>
      <c r="H75" s="37" t="inlineStr">
        <is>
          <t>Thủ Đức</t>
        </is>
      </c>
      <c r="I75" s="37" t="inlineStr">
        <is>
          <t>Võ Thành Minh</t>
        </is>
      </c>
      <c r="J75" s="37" t="inlineStr">
        <is>
          <t>Không cần</t>
        </is>
      </c>
      <c r="K75" s="37" t="n"/>
      <c r="L75" s="37" t="inlineStr">
        <is>
          <t>Nộp thành công - Chờ kết quả</t>
        </is>
      </c>
      <c r="M75" s="27" t="n">
        <v>46051</v>
      </c>
      <c r="N75" s="28">
        <f>IF(M75="","",M75-TODAY())</f>
        <v/>
      </c>
      <c r="O75" s="37">
        <f>IF(A75="","",IF(L75="Hoàn thành","XONG",IF(L75="Đã hủy","HỦY",IF(N75&lt;0,"QUÁ HẠN",IF(N75&lt;=THIET_LAP!$B$7,"SẮP HẠN","TRONG HẠN")))))</f>
        <v/>
      </c>
      <c r="P75" s="37" t="inlineStr">
        <is>
          <t>052/BK-2026</t>
        </is>
      </c>
      <c r="Q75" s="29" t="n"/>
      <c r="R75" s="37" t="n"/>
      <c r="S75" s="37" t="inlineStr">
        <is>
          <t>Tiến độ: Đã nộp | Ngày bắt đầu: 2026-01-26 00:00:00 | Ngày nộp: 2026-03-03 00:00:00 | Lần nộp: 1.0 | Chi kỹ thuật: Đã thanh toán</t>
        </is>
      </c>
    </row>
    <row r="76" ht="15.75" customHeight="1" s="56">
      <c r="A76" s="37" t="inlineStr">
        <is>
          <t>BK-HS-0073</t>
        </is>
      </c>
      <c r="B76" s="27" t="n">
        <v>46048</v>
      </c>
      <c r="C76" s="37" t="inlineStr">
        <is>
          <t>Phòng Đo đạc</t>
        </is>
      </c>
      <c r="D76" s="37" t="inlineStr">
        <is>
          <t>Xin phép xây dựng</t>
        </is>
      </c>
      <c r="E76" s="37" t="inlineStr">
        <is>
          <t>Đào Thị Huyền Nhung</t>
        </is>
      </c>
      <c r="F76" s="37" t="inlineStr">
        <is>
          <t>Đạt Việt Phát Land</t>
        </is>
      </c>
      <c r="G76" s="37" t="n"/>
      <c r="H76" s="37" t="inlineStr">
        <is>
          <t>Hiệp Bình</t>
        </is>
      </c>
      <c r="I76" s="37" t="inlineStr">
        <is>
          <t>Võ Thành Minh</t>
        </is>
      </c>
      <c r="J76" s="37" t="inlineStr">
        <is>
          <t>Không cần</t>
        </is>
      </c>
      <c r="K76" s="37" t="n"/>
      <c r="L76" s="37" t="inlineStr">
        <is>
          <t>Hoàn thành</t>
        </is>
      </c>
      <c r="M76" s="27" t="n">
        <v>46051</v>
      </c>
      <c r="N76" s="28">
        <f>IF(M76="","",M76-TODAY())</f>
        <v/>
      </c>
      <c r="O76" s="37">
        <f>IF(A76="","",IF(L76="Hoàn thành","XONG",IF(L76="Đã hủy","HỦY",IF(N76&lt;0,"QUÁ HẠN",IF(N76&lt;=THIET_LAP!$B$7,"SẮP HẠN","TRONG HẠN")))))</f>
        <v/>
      </c>
      <c r="P76" s="37" t="inlineStr">
        <is>
          <t>056/BK-2026</t>
        </is>
      </c>
      <c r="Q76" s="29" t="n"/>
      <c r="R76" s="37" t="n"/>
      <c r="S76" s="37" t="inlineStr">
        <is>
          <t>Tiến độ: Hoàn thành | Ngày bắt đầu: 2026-01-26 00:00:00 | Ngày nộp: 2026-03-03 00:00:00 | Ngày HT: 2026-03-03 00:00:00 | Lần nộp: 1.0 | Chi kỹ thuật: Đã thanh toán</t>
        </is>
      </c>
    </row>
    <row r="77" ht="15.75" customHeight="1" s="56">
      <c r="A77" s="37" t="inlineStr">
        <is>
          <t>BK-HS-0074</t>
        </is>
      </c>
      <c r="B77" s="27" t="n">
        <v>46046</v>
      </c>
      <c r="C77" s="37" t="inlineStr">
        <is>
          <t>Phòng Đo đạc</t>
        </is>
      </c>
      <c r="D77" s="37" t="inlineStr">
        <is>
          <t>Điều chỉnh bản vẽ</t>
        </is>
      </c>
      <c r="E77" s="37" t="inlineStr">
        <is>
          <t>Đỗ Hoàng Sang</t>
        </is>
      </c>
      <c r="F77" s="37" t="inlineStr">
        <is>
          <t>Công Ty</t>
        </is>
      </c>
      <c r="G77" s="37" t="inlineStr">
        <is>
          <t>Zalo Lam Mai</t>
        </is>
      </c>
      <c r="H77" s="37" t="inlineStr">
        <is>
          <t>Hiệp Bình</t>
        </is>
      </c>
      <c r="I77" s="37" t="inlineStr">
        <is>
          <t>Trương Tấn Quốc</t>
        </is>
      </c>
      <c r="J77" s="37" t="inlineStr">
        <is>
          <t>Không cần</t>
        </is>
      </c>
      <c r="K77" s="37" t="n"/>
      <c r="L77" s="37" t="inlineStr">
        <is>
          <t>Nộp thành công - Chờ kết quả</t>
        </is>
      </c>
      <c r="M77" s="27" t="n">
        <v>46049</v>
      </c>
      <c r="N77" s="28">
        <f>IF(M77="","",M77-TODAY())</f>
        <v/>
      </c>
      <c r="O77" s="37">
        <f>IF(A77="","",IF(L77="Hoàn thành","XONG",IF(L77="Đã hủy","HỦY",IF(N77&lt;0,"QUÁ HẠN",IF(N77&lt;=THIET_LAP!$B$7,"SẮP HẠN","TRONG HẠN")))))</f>
        <v/>
      </c>
      <c r="P77" s="37" t="inlineStr">
        <is>
          <t>055/BK-2026</t>
        </is>
      </c>
      <c r="Q77" s="29" t="n"/>
      <c r="R77" s="37" t="n"/>
      <c r="S77" s="37" t="inlineStr">
        <is>
          <t>Tiến độ: Đã nộp | Ngày bắt đầu: 2026-01-24 00:00:00 | Ngày nộp: 2026-02-03 00:00:00 | Lần nộp: 1.0 | Chi kỹ thuật: Đã thanh toán</t>
        </is>
      </c>
    </row>
    <row r="78" ht="15.75" customHeight="1" s="56">
      <c r="A78" s="37" t="inlineStr">
        <is>
          <t>BK-HS-0075</t>
        </is>
      </c>
      <c r="B78" s="27" t="n">
        <v>46046</v>
      </c>
      <c r="C78" s="37" t="inlineStr">
        <is>
          <t>Phòng Đo đạc</t>
        </is>
      </c>
      <c r="D78" s="37" t="inlineStr">
        <is>
          <t>Cấp đổi</t>
        </is>
      </c>
      <c r="E78" s="37" t="inlineStr">
        <is>
          <t>Trần Thị Ngọc Minh</t>
        </is>
      </c>
      <c r="F78" s="37" t="inlineStr">
        <is>
          <t>Anh Tùng Bất Động Sản</t>
        </is>
      </c>
      <c r="G78" s="37" t="n"/>
      <c r="H78" s="37" t="inlineStr">
        <is>
          <t>Long Phước</t>
        </is>
      </c>
      <c r="I78" s="37" t="inlineStr">
        <is>
          <t>Trương Tấn Quốc</t>
        </is>
      </c>
      <c r="J78" s="37" t="inlineStr">
        <is>
          <t>Võ Tứ Hợp</t>
        </is>
      </c>
      <c r="K78" s="37" t="n"/>
      <c r="L78" s="37" t="inlineStr">
        <is>
          <t>Hủy</t>
        </is>
      </c>
      <c r="M78" s="27" t="n">
        <v>46049</v>
      </c>
      <c r="N78" s="28">
        <f>IF(M78="","",M78-TODAY())</f>
        <v/>
      </c>
      <c r="O78" s="37">
        <f>IF(A78="","",IF(L78="Hoàn thành","XONG",IF(L78="Đã hủy","HỦY",IF(N78&lt;0,"QUÁ HẠN",IF(N78&lt;=THIET_LAP!$B$7,"SẮP HẠN","TRONG HẠN")))))</f>
        <v/>
      </c>
      <c r="P78" s="37" t="inlineStr">
        <is>
          <t>054/BK-2026</t>
        </is>
      </c>
      <c r="Q78" s="29" t="n"/>
      <c r="R78" s="37" t="n"/>
      <c r="S78" s="37" t="inlineStr">
        <is>
          <t>Tiến độ: ĐÃ HỦY | Ngày bắt đầu: 2026-01-24 00:00:00 | Ngày nộp: 2026-02-06 00:00:00 | Lần nộp: 1.0 | Chi kỹ thuật: Đã thanh toán | Ghi chú: Đợi trao đổi phương án vs dịch vụ | Giải trình: Dịch vụ báo tạm ngưng</t>
        </is>
      </c>
    </row>
    <row r="79" ht="15.75" customHeight="1" s="56">
      <c r="A79" s="37" t="inlineStr">
        <is>
          <t>BK-HS-0076</t>
        </is>
      </c>
      <c r="B79" s="27" t="n">
        <v>46045</v>
      </c>
      <c r="C79" s="37" t="inlineStr">
        <is>
          <t>Phòng Đo đạc</t>
        </is>
      </c>
      <c r="D79" s="37" t="inlineStr">
        <is>
          <t>Cấp đổi</t>
        </is>
      </c>
      <c r="E79" s="37" t="inlineStr">
        <is>
          <t>Nguyễn Hữu Cường</t>
        </is>
      </c>
      <c r="F79" s="37" t="inlineStr">
        <is>
          <t>Công Ty</t>
        </is>
      </c>
      <c r="G79" s="37" t="inlineStr">
        <is>
          <t>0903323431</t>
        </is>
      </c>
      <c r="H79" s="37" t="inlineStr">
        <is>
          <t>An Khánh</t>
        </is>
      </c>
      <c r="I79" s="37" t="inlineStr">
        <is>
          <t>Lê Văn Dựng</t>
        </is>
      </c>
      <c r="J79" s="37" t="inlineStr">
        <is>
          <t>Không cần</t>
        </is>
      </c>
      <c r="K79" s="37" t="n"/>
      <c r="L79" s="37" t="inlineStr">
        <is>
          <t>Nộp thành công - Chờ kết quả</t>
        </is>
      </c>
      <c r="M79" s="27" t="n">
        <v>46048</v>
      </c>
      <c r="N79" s="28">
        <f>IF(M79="","",M79-TODAY())</f>
        <v/>
      </c>
      <c r="O79" s="37">
        <f>IF(A79="","",IF(L79="Hoàn thành","XONG",IF(L79="Đã hủy","HỦY",IF(N79&lt;0,"QUÁ HẠN",IF(N79&lt;=THIET_LAP!$B$7,"SẮP HẠN","TRONG HẠN")))))</f>
        <v/>
      </c>
      <c r="P79" s="37" t="inlineStr">
        <is>
          <t>053/BK-2026</t>
        </is>
      </c>
      <c r="Q79" s="29" t="n"/>
      <c r="R79" s="37" t="n"/>
      <c r="S79" s="37" t="inlineStr">
        <is>
          <t>Tiến độ: Đã nộp | Ngày bắt đầu: 2026-01-23 00:00:00 | Ngày nộp: 2026-02-03 00:00:00 | Lần nộp: 1.0 | Chi kỹ thuật: Đã thanh toán | Ghi chú: hồ sơ chưa xử lý được do khu đất có ao sâu không thể chôn trụ xi măng được,chờ khách hàng san lấp</t>
        </is>
      </c>
    </row>
    <row r="80" ht="15.75" customHeight="1" s="56">
      <c r="A80" s="37" t="inlineStr">
        <is>
          <t>BK-HS-0077</t>
        </is>
      </c>
      <c r="B80" s="27" t="n">
        <v>46045</v>
      </c>
      <c r="C80" s="37" t="inlineStr">
        <is>
          <t>Phòng Đo đạc</t>
        </is>
      </c>
      <c r="D80" s="37" t="inlineStr">
        <is>
          <t>Điều chỉnh bản vẽ</t>
        </is>
      </c>
      <c r="E80" s="37" t="inlineStr">
        <is>
          <t>Nguyễn Thị Phượng</t>
        </is>
      </c>
      <c r="F80" s="37" t="inlineStr">
        <is>
          <t>Chị Phấn DV</t>
        </is>
      </c>
      <c r="G80" s="37" t="n"/>
      <c r="H80" s="37" t="inlineStr">
        <is>
          <t>Thủ Đức</t>
        </is>
      </c>
      <c r="I80" s="37" t="inlineStr">
        <is>
          <t>Tạ Khắc Tập</t>
        </is>
      </c>
      <c r="J80" s="37" t="inlineStr">
        <is>
          <t>Không cần</t>
        </is>
      </c>
      <c r="K80" s="37" t="n"/>
      <c r="L80" s="37" t="inlineStr">
        <is>
          <t>Hoàn thành</t>
        </is>
      </c>
      <c r="M80" s="27" t="n">
        <v>46048</v>
      </c>
      <c r="N80" s="28">
        <f>IF(M80="","",M80-TODAY())</f>
        <v/>
      </c>
      <c r="O80" s="37">
        <f>IF(A80="","",IF(L80="Hoàn thành","XONG",IF(L80="Đã hủy","HỦY",IF(N80&lt;0,"QUÁ HẠN",IF(N80&lt;=THIET_LAP!$B$7,"SẮP HẠN","TRONG HẠN")))))</f>
        <v/>
      </c>
      <c r="P80" s="37" t="inlineStr">
        <is>
          <t>057/BK-2026</t>
        </is>
      </c>
      <c r="Q80" s="29" t="n"/>
      <c r="R80" s="37" t="n"/>
      <c r="S80" s="37" t="inlineStr">
        <is>
          <t>Tiến độ: Hoàn thành | Ngày bắt đầu: 2026-01-23 00:00:00 | Ngày nộp: 2026-03-09 00:00:00 | Ngày HT: 2026-03-09 00:00:00 | Lần nộp: 1.0 | Chi kỹ thuật: Đã thanh toán</t>
        </is>
      </c>
    </row>
    <row r="81" ht="15.75" customHeight="1" s="56">
      <c r="A81" s="37" t="inlineStr">
        <is>
          <t>BK-HS-0078</t>
        </is>
      </c>
      <c r="B81" s="27" t="n">
        <v>46045</v>
      </c>
      <c r="C81" s="37" t="inlineStr">
        <is>
          <t>Phòng Đo đạc</t>
        </is>
      </c>
      <c r="D81" s="37" t="inlineStr">
        <is>
          <t>Cắm mốc</t>
        </is>
      </c>
      <c r="E81" s="37" t="inlineStr">
        <is>
          <t>Đinh Văn Hòa</t>
        </is>
      </c>
      <c r="F81" s="37" t="inlineStr">
        <is>
          <t>Anh Tùng Bất Động Sản</t>
        </is>
      </c>
      <c r="G81" s="37" t="n"/>
      <c r="H81" s="37" t="inlineStr">
        <is>
          <t>Cát Lái</t>
        </is>
      </c>
      <c r="I81" s="37" t="inlineStr">
        <is>
          <t>Tạ Khắc Tập</t>
        </is>
      </c>
      <c r="J81" s="37" t="inlineStr">
        <is>
          <t>Võ Tứ Hợp</t>
        </is>
      </c>
      <c r="K81" s="37" t="n"/>
      <c r="L81" s="37" t="inlineStr">
        <is>
          <t>Hoàn thành</t>
        </is>
      </c>
      <c r="M81" s="27" t="n">
        <v>46048</v>
      </c>
      <c r="N81" s="28">
        <f>IF(M81="","",M81-TODAY())</f>
        <v/>
      </c>
      <c r="O81" s="37">
        <f>IF(A81="","",IF(L81="Hoàn thành","XONG",IF(L81="Đã hủy","HỦY",IF(N81&lt;0,"QUÁ HẠN",IF(N81&lt;=THIET_LAP!$B$7,"SẮP HẠN","TRONG HẠN")))))</f>
        <v/>
      </c>
      <c r="P81" s="37" t="inlineStr">
        <is>
          <t>051/BK-2026</t>
        </is>
      </c>
      <c r="Q81" s="29" t="n"/>
      <c r="R81" s="37" t="n"/>
      <c r="S81" s="37" t="inlineStr">
        <is>
          <t>Tiến độ: Hoàn thành | Ngày bắt đầu: 2026-01-23 00:00:00 | Ngày nộp: 2026-01-24 00:00:00 | Ngày HT: 2026-01-24 00:00:00 | Lần nộp: 2.0 | Chi kỹ thuật: Đã thanh toán | Số cọc: 4.0 | Loại cọc: Trụ xi măng</t>
        </is>
      </c>
    </row>
    <row r="82" ht="15.75" customHeight="1" s="56">
      <c r="A82" s="37" t="inlineStr">
        <is>
          <t>BK-HS-0079</t>
        </is>
      </c>
      <c r="B82" s="27" t="n">
        <v>46044</v>
      </c>
      <c r="C82" s="37" t="inlineStr">
        <is>
          <t>Phòng Đo đạc</t>
        </is>
      </c>
      <c r="D82" s="37" t="inlineStr">
        <is>
          <t>Cấp đổi</t>
        </is>
      </c>
      <c r="E82" s="37" t="inlineStr">
        <is>
          <t>Đinh Văn Hòa</t>
        </is>
      </c>
      <c r="F82" s="37" t="inlineStr">
        <is>
          <t>Anh Tùng Bất Động Sản</t>
        </is>
      </c>
      <c r="G82" s="37" t="n"/>
      <c r="H82" s="37" t="inlineStr">
        <is>
          <t>Cát Lái</t>
        </is>
      </c>
      <c r="I82" s="37" t="inlineStr">
        <is>
          <t>Trương Tấn Quốc</t>
        </is>
      </c>
      <c r="J82" s="37" t="inlineStr">
        <is>
          <t>Võ Tứ Hợp</t>
        </is>
      </c>
      <c r="K82" s="37" t="n"/>
      <c r="L82" s="37" t="inlineStr">
        <is>
          <t>Hoàn thành</t>
        </is>
      </c>
      <c r="M82" s="27" t="n">
        <v>46047</v>
      </c>
      <c r="N82" s="28">
        <f>IF(M82="","",M82-TODAY())</f>
        <v/>
      </c>
      <c r="O82" s="37">
        <f>IF(A82="","",IF(L82="Hoàn thành","XONG",IF(L82="Đã hủy","HỦY",IF(N82&lt;0,"QUÁ HẠN",IF(N82&lt;=THIET_LAP!$B$7,"SẮP HẠN","TRONG HẠN")))))</f>
        <v/>
      </c>
      <c r="P82" s="37" t="inlineStr">
        <is>
          <t>050/BK-2026</t>
        </is>
      </c>
      <c r="Q82" s="29" t="n"/>
      <c r="R82" s="37" t="n"/>
      <c r="S82" s="37" t="inlineStr">
        <is>
          <t>Tiến độ: Hoàn thành | Ngày bắt đầu: 2026-01-22 00:00:00 | Ngày nộp: 2026-02-02 00:00:00 | Ngày HT: 2026-02-02 00:00:00 | Lần nộp: 1.0 | Chi kỹ thuật: Đã thanh toán | Ghi chú: Chưa cắm trụ (4 trụ)</t>
        </is>
      </c>
    </row>
    <row r="83" ht="15.75" customHeight="1" s="56">
      <c r="A83" s="37" t="inlineStr">
        <is>
          <t>BK-HS-0080</t>
        </is>
      </c>
      <c r="B83" s="27" t="n">
        <v>46043</v>
      </c>
      <c r="C83" s="37" t="inlineStr">
        <is>
          <t>Phòng Đo đạc</t>
        </is>
      </c>
      <c r="D83" s="37" t="inlineStr">
        <is>
          <t>Hoàn công</t>
        </is>
      </c>
      <c r="E83" s="37" t="inlineStr">
        <is>
          <t>Tống Thị Mỹ Trang</t>
        </is>
      </c>
      <c r="F83" s="37" t="inlineStr">
        <is>
          <t>Đạt Việt Phát Land</t>
        </is>
      </c>
      <c r="G83" s="37" t="n"/>
      <c r="H83" s="37" t="inlineStr">
        <is>
          <t>Long Trường</t>
        </is>
      </c>
      <c r="I83" s="37" t="inlineStr">
        <is>
          <t>Lê Văn Xây</t>
        </is>
      </c>
      <c r="J83" s="37" t="inlineStr">
        <is>
          <t>Võ Tứ Hợp</t>
        </is>
      </c>
      <c r="K83" s="37" t="n"/>
      <c r="L83" s="37" t="inlineStr">
        <is>
          <t>Nộp thành công - Chờ kết quả</t>
        </is>
      </c>
      <c r="M83" s="27" t="n">
        <v>46046</v>
      </c>
      <c r="N83" s="28">
        <f>IF(M83="","",M83-TODAY())</f>
        <v/>
      </c>
      <c r="O83" s="37">
        <f>IF(A83="","",IF(L83="Hoàn thành","XONG",IF(L83="Đã hủy","HỦY",IF(N83&lt;0,"QUÁ HẠN",IF(N83&lt;=THIET_LAP!$B$7,"SẮP HẠN","TRONG HẠN")))))</f>
        <v/>
      </c>
      <c r="P83" s="37" t="inlineStr">
        <is>
          <t>049/BK-2026</t>
        </is>
      </c>
      <c r="Q83" s="29" t="n"/>
      <c r="R83" s="37" t="n"/>
      <c r="S83" s="37" t="inlineStr">
        <is>
          <t>Tiến độ: Đã nộp | Ngày bắt đầu: 2026-01-21 00:00:00 | Ngày nộp: 2026-01-23 00:00:00 | Lần nộp: 2.0 | Chi kỹ thuật: Đã thanh toán</t>
        </is>
      </c>
    </row>
    <row r="84" ht="15.75" customHeight="1" s="56">
      <c r="A84" s="37" t="inlineStr">
        <is>
          <t>BK-HS-0081</t>
        </is>
      </c>
      <c r="B84" s="27" t="n">
        <v>46043</v>
      </c>
      <c r="C84" s="37" t="inlineStr">
        <is>
          <t>Phòng Đo đạc</t>
        </is>
      </c>
      <c r="D84" s="37" t="inlineStr">
        <is>
          <t>Cắm mốc</t>
        </is>
      </c>
      <c r="E84" s="37" t="inlineStr">
        <is>
          <t>Phạm Thị Giao Linh</t>
        </is>
      </c>
      <c r="F84" s="37" t="inlineStr">
        <is>
          <t>Tùng Huế DV</t>
        </is>
      </c>
      <c r="G84" s="37" t="n"/>
      <c r="H84" s="37" t="inlineStr">
        <is>
          <t>Phước Long</t>
        </is>
      </c>
      <c r="I84" s="37" t="inlineStr">
        <is>
          <t>Tạ Khắc Tập</t>
        </is>
      </c>
      <c r="J84" s="37" t="inlineStr">
        <is>
          <t>Không cần</t>
        </is>
      </c>
      <c r="K84" s="37" t="n"/>
      <c r="L84" s="37" t="inlineStr">
        <is>
          <t>Hoàn thành</t>
        </is>
      </c>
      <c r="M84" s="27" t="n">
        <v>46046</v>
      </c>
      <c r="N84" s="28">
        <f>IF(M84="","",M84-TODAY())</f>
        <v/>
      </c>
      <c r="O84" s="37">
        <f>IF(A84="","",IF(L84="Hoàn thành","XONG",IF(L84="Đã hủy","HỦY",IF(N84&lt;0,"QUÁ HẠN",IF(N84&lt;=THIET_LAP!$B$7,"SẮP HẠN","TRONG HẠN")))))</f>
        <v/>
      </c>
      <c r="P84" s="37" t="inlineStr">
        <is>
          <t>048/BK-2026</t>
        </is>
      </c>
      <c r="Q84" s="29" t="n"/>
      <c r="R84" s="37" t="n"/>
      <c r="S84" s="37" t="inlineStr">
        <is>
          <t>Tiến độ: Hoàn thành | Ngày bắt đầu: 2026-01-21 00:00:00 | Ngày nộp: 2026-01-22 00:00:00 | Ngày HT: 2026-01-22 00:00:00 | Lần nộp: 1.0 | Chi kỹ thuật: Đã thanh toán | Số cọc: 2.0 | Loại cọc: Trụ xi măng</t>
        </is>
      </c>
    </row>
    <row r="85" ht="15.75" customHeight="1" s="56">
      <c r="A85" s="37" t="inlineStr">
        <is>
          <t>BK-HS-0082</t>
        </is>
      </c>
      <c r="B85" s="27" t="n">
        <v>46043</v>
      </c>
      <c r="C85" s="37" t="inlineStr">
        <is>
          <t>Phòng Đo đạc</t>
        </is>
      </c>
      <c r="D85" s="37" t="inlineStr">
        <is>
          <t>Cấp đổi</t>
        </is>
      </c>
      <c r="E85" s="37" t="inlineStr">
        <is>
          <t>Đặng Thị Kim Thiện</t>
        </is>
      </c>
      <c r="F85" s="37" t="inlineStr">
        <is>
          <t>Chị Phấn DV</t>
        </is>
      </c>
      <c r="G85" s="37" t="n"/>
      <c r="H85" s="37" t="inlineStr">
        <is>
          <t>Phước Long</t>
        </is>
      </c>
      <c r="I85" s="37" t="inlineStr">
        <is>
          <t>Tạ Khắc Tập</t>
        </is>
      </c>
      <c r="J85" s="37" t="inlineStr">
        <is>
          <t>Không cần</t>
        </is>
      </c>
      <c r="K85" s="37" t="n"/>
      <c r="L85" s="37" t="inlineStr">
        <is>
          <t>Hoàn thành</t>
        </is>
      </c>
      <c r="M85" s="27" t="n">
        <v>46046</v>
      </c>
      <c r="N85" s="28">
        <f>IF(M85="","",M85-TODAY())</f>
        <v/>
      </c>
      <c r="O85" s="37">
        <f>IF(A85="","",IF(L85="Hoàn thành","XONG",IF(L85="Đã hủy","HỦY",IF(N85&lt;0,"QUÁ HẠN",IF(N85&lt;=THIET_LAP!$B$7,"SẮP HẠN","TRONG HẠN")))))</f>
        <v/>
      </c>
      <c r="P85" s="37" t="inlineStr">
        <is>
          <t>047/BK-2026</t>
        </is>
      </c>
      <c r="Q85" s="29" t="n"/>
      <c r="R85" s="37" t="n"/>
      <c r="S85" s="37" t="inlineStr">
        <is>
          <t>Tiến độ: Hoàn thành | Ngày bắt đầu: 2026-01-21 00:00:00 | Ngày nộp: 2026-01-31 00:00:00 | Ngày HT: 2026-01-31 00:00:00 | Lần nộp: 1.0 | Chi kỹ thuật: Đã thanh toán</t>
        </is>
      </c>
    </row>
    <row r="86" ht="15.75" customHeight="1" s="56">
      <c r="A86" s="37" t="inlineStr">
        <is>
          <t>BK-HS-0083</t>
        </is>
      </c>
      <c r="B86" s="27" t="n">
        <v>46042</v>
      </c>
      <c r="C86" s="37" t="inlineStr">
        <is>
          <t>Phòng Đo đạc</t>
        </is>
      </c>
      <c r="D86" s="37" t="inlineStr">
        <is>
          <t>Cấp đổi</t>
        </is>
      </c>
      <c r="E86" s="37" t="inlineStr">
        <is>
          <t>Nguyễn Tiến Quân</t>
        </is>
      </c>
      <c r="F86" s="37" t="inlineStr">
        <is>
          <t>Hoàng Cương BĐS</t>
        </is>
      </c>
      <c r="G86" s="37" t="n"/>
      <c r="H86" s="37" t="inlineStr">
        <is>
          <t>Linh Xuân</t>
        </is>
      </c>
      <c r="I86" s="37" t="inlineStr">
        <is>
          <t>Tạ Khắc Tập</t>
        </is>
      </c>
      <c r="J86" s="37" t="inlineStr">
        <is>
          <t>Võ Tứ Hợp</t>
        </is>
      </c>
      <c r="K86" s="37" t="n"/>
      <c r="L86" s="37" t="inlineStr">
        <is>
          <t>QUÁ HẠN</t>
        </is>
      </c>
      <c r="M86" s="27" t="n">
        <v>46045</v>
      </c>
      <c r="N86" s="28">
        <f>IF(M86="","",M86-TODAY())</f>
        <v/>
      </c>
      <c r="O86" s="37">
        <f>IF(A86="","",IF(L86="Hoàn thành","XONG",IF(L86="Đã hủy","HỦY",IF(N86&lt;0,"QUÁ HẠN",IF(N86&lt;=THIET_LAP!$B$7,"SẮP HẠN","TRONG HẠN")))))</f>
        <v/>
      </c>
      <c r="P86" s="37" t="inlineStr">
        <is>
          <t>046/BK-2026</t>
        </is>
      </c>
      <c r="Q86" s="29" t="n"/>
      <c r="R86" s="37" t="n"/>
      <c r="S86" s="37" t="inlineStr">
        <is>
          <t>Tiến độ: QUÁ HẠN | Ngày bắt đầu: 2026-01-20 00:00:00 | Lần nộp: 1.0 | Giải trình: sai hiện trạng chơ phuong an</t>
        </is>
      </c>
    </row>
    <row r="87" ht="15.75" customHeight="1" s="56">
      <c r="A87" s="37" t="inlineStr">
        <is>
          <t>BK-HS-0084</t>
        </is>
      </c>
      <c r="B87" s="27" t="n">
        <v>46042</v>
      </c>
      <c r="C87" s="37" t="inlineStr">
        <is>
          <t>Phòng Đo đạc</t>
        </is>
      </c>
      <c r="D87" s="37" t="inlineStr">
        <is>
          <t>Xác định diện tích</t>
        </is>
      </c>
      <c r="E87" s="37" t="inlineStr">
        <is>
          <t>Phan Thanh Phong</t>
        </is>
      </c>
      <c r="F87" s="37" t="inlineStr">
        <is>
          <t>Anh Long PCT</t>
        </is>
      </c>
      <c r="G87" s="37" t="n"/>
      <c r="H87" s="37" t="inlineStr">
        <is>
          <t>Hiệp Bình</t>
        </is>
      </c>
      <c r="I87" s="37" t="inlineStr">
        <is>
          <t>Tạ Khắc Tập</t>
        </is>
      </c>
      <c r="J87" s="37" t="inlineStr">
        <is>
          <t>Võ Tứ Hợp</t>
        </is>
      </c>
      <c r="K87" s="37" t="n"/>
      <c r="L87" s="37" t="inlineStr">
        <is>
          <t>Hoàn thành</t>
        </is>
      </c>
      <c r="M87" s="27" t="n">
        <v>46045</v>
      </c>
      <c r="N87" s="28">
        <f>IF(M87="","",M87-TODAY())</f>
        <v/>
      </c>
      <c r="O87" s="37">
        <f>IF(A87="","",IF(L87="Hoàn thành","XONG",IF(L87="Đã hủy","HỦY",IF(N87&lt;0,"QUÁ HẠN",IF(N87&lt;=THIET_LAP!$B$7,"SẮP HẠN","TRONG HẠN")))))</f>
        <v/>
      </c>
      <c r="P87" s="37" t="inlineStr">
        <is>
          <t>045/BK-2026</t>
        </is>
      </c>
      <c r="Q87" s="29" t="n"/>
      <c r="R87" s="37" t="n"/>
      <c r="S87" s="37" t="inlineStr">
        <is>
          <t>Tiến độ: Hoàn thành | Ngày bắt đầu: 2026-01-20 00:00:00 | Ngày nộp: 2026-01-20 00:00:00 | Ngày HT: 2026-01-20 00:00:00 | Lần nộp: 1.0 | Chi kỹ thuật: Đã thanh toán</t>
        </is>
      </c>
    </row>
    <row r="88" ht="15.75" customHeight="1" s="56">
      <c r="A88" s="37" t="inlineStr">
        <is>
          <t>BK-HS-0085</t>
        </is>
      </c>
      <c r="B88" s="27" t="n">
        <v>46041</v>
      </c>
      <c r="C88" s="37" t="inlineStr">
        <is>
          <t>Phòng Đo đạc</t>
        </is>
      </c>
      <c r="D88" s="37" t="inlineStr">
        <is>
          <t>Hoàn công</t>
        </is>
      </c>
      <c r="E88" s="37" t="inlineStr">
        <is>
          <t>Lê Quang Đạo</t>
        </is>
      </c>
      <c r="F88" s="37" t="inlineStr">
        <is>
          <t>Chị Phấn DV</t>
        </is>
      </c>
      <c r="G88" s="37" t="n"/>
      <c r="H88" s="37" t="inlineStr">
        <is>
          <t>Cát Lái</t>
        </is>
      </c>
      <c r="I88" s="37" t="inlineStr">
        <is>
          <t>Trương Tấn Quốc</t>
        </is>
      </c>
      <c r="J88" s="37" t="inlineStr">
        <is>
          <t>Không cần</t>
        </is>
      </c>
      <c r="K88" s="37" t="n"/>
      <c r="L88" s="37" t="inlineStr">
        <is>
          <t>Nộp thành công - Chờ kết quả</t>
        </is>
      </c>
      <c r="M88" s="27" t="n">
        <v>46044</v>
      </c>
      <c r="N88" s="28">
        <f>IF(M88="","",M88-TODAY())</f>
        <v/>
      </c>
      <c r="O88" s="37">
        <f>IF(A88="","",IF(L88="Hoàn thành","XONG",IF(L88="Đã hủy","HỦY",IF(N88&lt;0,"QUÁ HẠN",IF(N88&lt;=THIET_LAP!$B$7,"SẮP HẠN","TRONG HẠN")))))</f>
        <v/>
      </c>
      <c r="P88" s="37" t="inlineStr">
        <is>
          <t>044/BK-2026</t>
        </is>
      </c>
      <c r="Q88" s="29" t="n"/>
      <c r="R88" s="37" t="n"/>
      <c r="S88" s="37" t="inlineStr">
        <is>
          <t>Tiến độ: Đã nộp | Ngày bắt đầu: 2026-01-19 00:00:00 | Ngày nộp: 2026-01-21 00:00:00 | Lần nộp: 2.0 | Chi kỹ thuật: Đã thanh toán</t>
        </is>
      </c>
    </row>
    <row r="89" ht="15.75" customHeight="1" s="56">
      <c r="A89" s="37" t="inlineStr">
        <is>
          <t>BK-HS-0086</t>
        </is>
      </c>
      <c r="B89" s="27" t="n">
        <v>46041</v>
      </c>
      <c r="C89" s="37" t="inlineStr">
        <is>
          <t>Phòng Đo đạc</t>
        </is>
      </c>
      <c r="D89" s="37" t="inlineStr">
        <is>
          <t>Xác định diện tích</t>
        </is>
      </c>
      <c r="E89" s="37" t="inlineStr">
        <is>
          <t>Võ Văn Hoa</t>
        </is>
      </c>
      <c r="F89" s="37" t="inlineStr">
        <is>
          <t>Công Ty</t>
        </is>
      </c>
      <c r="G89" s="37" t="n"/>
      <c r="H89" s="37" t="inlineStr">
        <is>
          <t>Hiệp Bình</t>
        </is>
      </c>
      <c r="I89" s="37" t="inlineStr">
        <is>
          <t>Trương Tấn Quốc</t>
        </is>
      </c>
      <c r="J89" s="37" t="inlineStr">
        <is>
          <t>Không cần</t>
        </is>
      </c>
      <c r="K89" s="37" t="n"/>
      <c r="L89" s="37" t="inlineStr">
        <is>
          <t>Hoàn thành</t>
        </is>
      </c>
      <c r="M89" s="27" t="n">
        <v>46044</v>
      </c>
      <c r="N89" s="28">
        <f>IF(M89="","",M89-TODAY())</f>
        <v/>
      </c>
      <c r="O89" s="37">
        <f>IF(A89="","",IF(L89="Hoàn thành","XONG",IF(L89="Đã hủy","HỦY",IF(N89&lt;0,"QUÁ HẠN",IF(N89&lt;=THIET_LAP!$B$7,"SẮP HẠN","TRONG HẠN")))))</f>
        <v/>
      </c>
      <c r="P89" s="37" t="inlineStr">
        <is>
          <t>043/BK-2026</t>
        </is>
      </c>
      <c r="Q89" s="29" t="n"/>
      <c r="R89" s="37" t="n"/>
      <c r="S89" s="37" t="inlineStr">
        <is>
          <t>Tiến độ: Hoàn thành | Ngày bắt đầu: 2026-01-19 00:00:00 | Ngày nộp: 2026-01-19 00:00:00 | Ngày HT: 2026-01-19 00:00:00 | Lần nộp: 2.0 | Chi kỹ thuật: Đã thanh toán | Ghi chú: Vẽ mẫu CMĐ gửi phường</t>
        </is>
      </c>
    </row>
    <row r="90" ht="15.75" customHeight="1" s="56">
      <c r="A90" s="37" t="inlineStr">
        <is>
          <t>BK-HS-0087</t>
        </is>
      </c>
      <c r="B90" s="27" t="n">
        <v>46041</v>
      </c>
      <c r="C90" s="37" t="inlineStr">
        <is>
          <t>Phòng Đo đạc</t>
        </is>
      </c>
      <c r="D90" s="37" t="inlineStr">
        <is>
          <t>Xác định diện tích</t>
        </is>
      </c>
      <c r="E90" s="37" t="inlineStr">
        <is>
          <t>Lê Thị Nguyệt</t>
        </is>
      </c>
      <c r="F90" s="37" t="inlineStr">
        <is>
          <t>Đạt Việt Phát Land</t>
        </is>
      </c>
      <c r="G90" s="37" t="n"/>
      <c r="H90" s="37" t="inlineStr">
        <is>
          <t>Tăng Nhơn Phú</t>
        </is>
      </c>
      <c r="I90" s="37" t="inlineStr">
        <is>
          <t>Lê Văn Xây</t>
        </is>
      </c>
      <c r="J90" s="37" t="inlineStr">
        <is>
          <t>Không cần</t>
        </is>
      </c>
      <c r="K90" s="37" t="n"/>
      <c r="L90" s="37" t="inlineStr">
        <is>
          <t>Hoàn thành</t>
        </is>
      </c>
      <c r="M90" s="27" t="n">
        <v>46044</v>
      </c>
      <c r="N90" s="28">
        <f>IF(M90="","",M90-TODAY())</f>
        <v/>
      </c>
      <c r="O90" s="37">
        <f>IF(A90="","",IF(L90="Hoàn thành","XONG",IF(L90="Đã hủy","HỦY",IF(N90&lt;0,"QUÁ HẠN",IF(N90&lt;=THIET_LAP!$B$7,"SẮP HẠN","TRONG HẠN")))))</f>
        <v/>
      </c>
      <c r="P90" s="37" t="inlineStr">
        <is>
          <t>042/BK-2026</t>
        </is>
      </c>
      <c r="Q90" s="29" t="n"/>
      <c r="R90" s="37" t="n"/>
      <c r="S90" s="37" t="inlineStr">
        <is>
          <t>Tiến độ: Hoàn thành | Ngày bắt đầu: 2026-01-19 00:00:00 | Ngày nộp: 2026-01-19 00:00:00 | Ngày HT: 2026-01-19 00:00:00 | Lần nộp: 2.0 | Chi kỹ thuật: Đã thanh toán</t>
        </is>
      </c>
    </row>
    <row r="91" ht="15.75" customHeight="1" s="56">
      <c r="A91" s="37" t="inlineStr">
        <is>
          <t>BK-HS-0088</t>
        </is>
      </c>
      <c r="B91" s="27" t="n">
        <v>46041</v>
      </c>
      <c r="C91" s="37" t="inlineStr">
        <is>
          <t>Phòng Đo đạc</t>
        </is>
      </c>
      <c r="D91" s="37" t="inlineStr">
        <is>
          <t>Hoàn công</t>
        </is>
      </c>
      <c r="E91" s="37" t="inlineStr">
        <is>
          <t>Đinh Văn Long</t>
        </is>
      </c>
      <c r="F91" s="37" t="inlineStr">
        <is>
          <t>Đạt Việt Phát Land</t>
        </is>
      </c>
      <c r="G91" s="37" t="n"/>
      <c r="H91" s="37" t="inlineStr">
        <is>
          <t>Thủ Đức</t>
        </is>
      </c>
      <c r="I91" s="37" t="inlineStr">
        <is>
          <t>Lê Văn Xây</t>
        </is>
      </c>
      <c r="J91" s="37" t="inlineStr">
        <is>
          <t>Võ Tứ Hợp</t>
        </is>
      </c>
      <c r="K91" s="37" t="n"/>
      <c r="L91" s="37" t="inlineStr">
        <is>
          <t>Nộp thành công - Chờ kết quả</t>
        </is>
      </c>
      <c r="M91" s="27" t="n">
        <v>46044</v>
      </c>
      <c r="N91" s="28">
        <f>IF(M91="","",M91-TODAY())</f>
        <v/>
      </c>
      <c r="O91" s="37">
        <f>IF(A91="","",IF(L91="Hoàn thành","XONG",IF(L91="Đã hủy","HỦY",IF(N91&lt;0,"QUÁ HẠN",IF(N91&lt;=THIET_LAP!$B$7,"SẮP HẠN","TRONG HẠN")))))</f>
        <v/>
      </c>
      <c r="P91" s="37" t="inlineStr">
        <is>
          <t>041/BK-2026</t>
        </is>
      </c>
      <c r="Q91" s="29" t="n"/>
      <c r="R91" s="37" t="n"/>
      <c r="S91" s="37" t="inlineStr">
        <is>
          <t>Tiến độ: Đã nộp | Ngày bắt đầu: 2026-01-19 00:00:00 | Ngày nộp: 2026-01-21 00:00:00 | Lần nộp: 2.0 | Chi kỹ thuật: Đã thanh toán</t>
        </is>
      </c>
    </row>
    <row r="92" ht="15.75" customHeight="1" s="56">
      <c r="A92" s="37" t="inlineStr">
        <is>
          <t>BK-HS-0089</t>
        </is>
      </c>
      <c r="B92" s="27" t="n">
        <v>46040</v>
      </c>
      <c r="C92" s="37" t="inlineStr">
        <is>
          <t>Phòng Đo đạc</t>
        </is>
      </c>
      <c r="D92" s="37" t="inlineStr">
        <is>
          <t>Cắm mốc</t>
        </is>
      </c>
      <c r="E92" s="37" t="inlineStr">
        <is>
          <t>Cắm mốc Tuấn BK</t>
        </is>
      </c>
      <c r="F92" s="37" t="inlineStr">
        <is>
          <t>Tuấn Lộc</t>
        </is>
      </c>
      <c r="G92" s="37" t="n"/>
      <c r="H92" s="37" t="inlineStr">
        <is>
          <t>Phước Long</t>
        </is>
      </c>
      <c r="I92" s="37" t="inlineStr">
        <is>
          <t>Lê Văn Dựng</t>
        </is>
      </c>
      <c r="J92" s="37" t="inlineStr">
        <is>
          <t>Võ Tứ Hợp</t>
        </is>
      </c>
      <c r="K92" s="37" t="n"/>
      <c r="L92" s="37" t="inlineStr">
        <is>
          <t>Hoàn thành</t>
        </is>
      </c>
      <c r="M92" s="27" t="n">
        <v>46043</v>
      </c>
      <c r="N92" s="28">
        <f>IF(M92="","",M92-TODAY())</f>
        <v/>
      </c>
      <c r="O92" s="37">
        <f>IF(A92="","",IF(L92="Hoàn thành","XONG",IF(L92="Đã hủy","HỦY",IF(N92&lt;0,"QUÁ HẠN",IF(N92&lt;=THIET_LAP!$B$7,"SẮP HẠN","TRONG HẠN")))))</f>
        <v/>
      </c>
      <c r="P92" s="37" t="inlineStr">
        <is>
          <t>040/BK-2026</t>
        </is>
      </c>
      <c r="Q92" s="29" t="n"/>
      <c r="R92" s="37" t="n"/>
      <c r="S92" s="37" t="inlineStr">
        <is>
          <t>Tiến độ: Hoàn thành | Ngày bắt đầu: 2026-01-18 00:00:00 | Ngày nộp: 2026-01-18 00:00:00 | Ngày HT: 2026-01-18 00:00:00 | Lần nộp: 1.0 | Chi kỹ thuật: Đã thanh toán | Số cọc: 1.0 | Loại cọc: Trụ xi măng | Ghi chú: Cắm mốc,Chôn trụ xi măng đã chốt khách hàng 4 triệu (chưa thanh toán)</t>
        </is>
      </c>
    </row>
    <row r="93" ht="15.75" customHeight="1" s="56">
      <c r="A93" s="37" t="inlineStr">
        <is>
          <t>BK-HS-0090</t>
        </is>
      </c>
      <c r="B93" s="27" t="n">
        <v>46039</v>
      </c>
      <c r="C93" s="37" t="inlineStr">
        <is>
          <t>Phòng Đo đạc</t>
        </is>
      </c>
      <c r="D93" s="37" t="inlineStr">
        <is>
          <t>Cắm mốc</t>
        </is>
      </c>
      <c r="E93" s="37" t="inlineStr">
        <is>
          <t>Trương Thị Ngọc Mai</t>
        </is>
      </c>
      <c r="F93" s="37" t="inlineStr">
        <is>
          <t>Công Ty</t>
        </is>
      </c>
      <c r="G93" s="37" t="inlineStr">
        <is>
          <t>0344276226</t>
        </is>
      </c>
      <c r="H93" s="37" t="inlineStr">
        <is>
          <t>Tam Bình</t>
        </is>
      </c>
      <c r="I93" s="37" t="inlineStr">
        <is>
          <t>Lê Văn Xây</t>
        </is>
      </c>
      <c r="J93" s="37" t="inlineStr">
        <is>
          <t>Võ Tứ Hợp</t>
        </is>
      </c>
      <c r="K93" s="37" t="n"/>
      <c r="L93" s="37" t="inlineStr">
        <is>
          <t>Hoàn thành</t>
        </is>
      </c>
      <c r="M93" s="27" t="n">
        <v>46042</v>
      </c>
      <c r="N93" s="28">
        <f>IF(M93="","",M93-TODAY())</f>
        <v/>
      </c>
      <c r="O93" s="37">
        <f>IF(A93="","",IF(L93="Hoàn thành","XONG",IF(L93="Đã hủy","HỦY",IF(N93&lt;0,"QUÁ HẠN",IF(N93&lt;=THIET_LAP!$B$7,"SẮP HẠN","TRONG HẠN")))))</f>
        <v/>
      </c>
      <c r="P93" s="37" t="inlineStr">
        <is>
          <t>039/BK-2026</t>
        </is>
      </c>
      <c r="Q93" s="29" t="n"/>
      <c r="R93" s="37" t="n"/>
      <c r="S93" s="37" t="inlineStr">
        <is>
          <t>Tiến độ: Hoàn thành | Ngày bắt đầu: 2026-01-17 00:00:00 | Ngày nộp: 2026-01-17 00:00:00 | Ngày HT: 2026-01-17 00:00:00 | Lần nộp: 1.0 | Chi kỹ thuật: Đã thanh toán | Số cọc: 4.0 | Loại cọc: Cọc sắt</t>
        </is>
      </c>
    </row>
    <row r="94" ht="15.75" customHeight="1" s="56">
      <c r="A94" s="37" t="inlineStr">
        <is>
          <t>BK-HS-0091</t>
        </is>
      </c>
      <c r="B94" s="27" t="n">
        <v>46039</v>
      </c>
      <c r="C94" s="37" t="inlineStr">
        <is>
          <t>Phòng Đo đạc</t>
        </is>
      </c>
      <c r="D94" s="37" t="inlineStr">
        <is>
          <t>Cấp đổi</t>
        </is>
      </c>
      <c r="E94" s="37" t="inlineStr">
        <is>
          <t>Nguyễn Thị Cẩm Vân</t>
        </is>
      </c>
      <c r="F94" s="37" t="inlineStr">
        <is>
          <t>Công Ty</t>
        </is>
      </c>
      <c r="G94" s="37" t="inlineStr">
        <is>
          <t>0902922367</t>
        </is>
      </c>
      <c r="H94" s="37" t="inlineStr">
        <is>
          <t>Long Phước</t>
        </is>
      </c>
      <c r="I94" s="37" t="inlineStr">
        <is>
          <t>Lê Văn Dựng</t>
        </is>
      </c>
      <c r="J94" s="37" t="inlineStr">
        <is>
          <t>Không cần</t>
        </is>
      </c>
      <c r="K94" s="37" t="n"/>
      <c r="L94" s="37" t="inlineStr">
        <is>
          <t>QUÁ HẠN</t>
        </is>
      </c>
      <c r="M94" s="27" t="n">
        <v>46042</v>
      </c>
      <c r="N94" s="28">
        <f>IF(M94="","",M94-TODAY())</f>
        <v/>
      </c>
      <c r="O94" s="37">
        <f>IF(A94="","",IF(L94="Hoàn thành","XONG",IF(L94="Đã hủy","HỦY",IF(N94&lt;0,"QUÁ HẠN",IF(N94&lt;=THIET_LAP!$B$7,"SẮP HẠN","TRONG HẠN")))))</f>
        <v/>
      </c>
      <c r="P94" s="37" t="inlineStr">
        <is>
          <t>038/BK-2026</t>
        </is>
      </c>
      <c r="Q94" s="29" t="n"/>
      <c r="R94" s="37" t="n"/>
      <c r="S94" s="37" t="inlineStr">
        <is>
          <t>Tiến độ: QUÁ HẠN | Ngày bắt đầu: 2026-01-17 00:00:00 | Lần nộp: 3.0 | Ghi chú: Đã đo chờ trao đổi với khách hàng do giảm diện tích</t>
        </is>
      </c>
    </row>
    <row r="95" ht="15.75" customHeight="1" s="56">
      <c r="A95" s="37" t="inlineStr">
        <is>
          <t>BK-HS-0092</t>
        </is>
      </c>
      <c r="B95" s="27" t="n">
        <v>46037</v>
      </c>
      <c r="C95" s="37" t="inlineStr">
        <is>
          <t>Phòng Đo đạc</t>
        </is>
      </c>
      <c r="D95" s="37" t="inlineStr">
        <is>
          <t>Hoàn công</t>
        </is>
      </c>
      <c r="E95" s="37" t="inlineStr">
        <is>
          <t>Nguyễn Thị An</t>
        </is>
      </c>
      <c r="F95" s="37" t="inlineStr">
        <is>
          <t>Công Ty</t>
        </is>
      </c>
      <c r="G95" s="37" t="inlineStr">
        <is>
          <t>0918096934</t>
        </is>
      </c>
      <c r="H95" s="37" t="inlineStr">
        <is>
          <t>Bình Trưng</t>
        </is>
      </c>
      <c r="I95" s="37" t="inlineStr">
        <is>
          <t>Lê Văn Dựng</t>
        </is>
      </c>
      <c r="J95" s="37" t="inlineStr">
        <is>
          <t>Võ Tứ Hợp</t>
        </is>
      </c>
      <c r="K95" s="37" t="n"/>
      <c r="L95" s="37" t="inlineStr">
        <is>
          <t>Nộp thành công - Chờ kết quả</t>
        </is>
      </c>
      <c r="M95" s="27" t="n">
        <v>46040</v>
      </c>
      <c r="N95" s="28">
        <f>IF(M95="","",M95-TODAY())</f>
        <v/>
      </c>
      <c r="O95" s="37">
        <f>IF(A95="","",IF(L95="Hoàn thành","XONG",IF(L95="Đã hủy","HỦY",IF(N95&lt;0,"QUÁ HẠN",IF(N95&lt;=THIET_LAP!$B$7,"SẮP HẠN","TRONG HẠN")))))</f>
        <v/>
      </c>
      <c r="P95" s="37" t="inlineStr">
        <is>
          <t>037/BK-2026</t>
        </is>
      </c>
      <c r="Q95" s="29" t="n"/>
      <c r="R95" s="37" t="n"/>
      <c r="S95" s="37" t="inlineStr">
        <is>
          <t>Tiến độ: Đã nộp | Ngày bắt đầu: 2026-01-15 00:00:00 | Ngày nộp: 2026-01-19 00:00:00 | Lần nộp: 1.0 | Chi kỹ thuật: Đã thanh toán</t>
        </is>
      </c>
    </row>
    <row r="96" ht="15.75" customHeight="1" s="56">
      <c r="A96" s="37" t="inlineStr">
        <is>
          <t>BK-HS-0093</t>
        </is>
      </c>
      <c r="B96" s="27" t="n">
        <v>46037</v>
      </c>
      <c r="C96" s="37" t="inlineStr">
        <is>
          <t>Phòng Đo đạc</t>
        </is>
      </c>
      <c r="D96" s="37" t="inlineStr">
        <is>
          <t>Đo GPS</t>
        </is>
      </c>
      <c r="E96" s="37" t="inlineStr">
        <is>
          <t>Phạm Thị Trang</t>
        </is>
      </c>
      <c r="F96" s="37" t="inlineStr">
        <is>
          <t>Cô Hoa</t>
        </is>
      </c>
      <c r="G96" s="37" t="n"/>
      <c r="H96" s="37" t="inlineStr">
        <is>
          <t>Tam Bình</t>
        </is>
      </c>
      <c r="I96" s="37" t="inlineStr">
        <is>
          <t>Lê Văn Dựng</t>
        </is>
      </c>
      <c r="J96" s="37" t="inlineStr">
        <is>
          <t>Không cần</t>
        </is>
      </c>
      <c r="K96" s="37" t="n"/>
      <c r="L96" s="37" t="inlineStr">
        <is>
          <t>Hoàn thành</t>
        </is>
      </c>
      <c r="M96" s="27" t="n">
        <v>46040</v>
      </c>
      <c r="N96" s="28">
        <f>IF(M96="","",M96-TODAY())</f>
        <v/>
      </c>
      <c r="O96" s="37">
        <f>IF(A96="","",IF(L96="Hoàn thành","XONG",IF(L96="Đã hủy","HỦY",IF(N96&lt;0,"QUÁ HẠN",IF(N96&lt;=THIET_LAP!$B$7,"SẮP HẠN","TRONG HẠN")))))</f>
        <v/>
      </c>
      <c r="P96" s="37" t="inlineStr">
        <is>
          <t>036/BK-2026</t>
        </is>
      </c>
      <c r="Q96" s="29" t="n"/>
      <c r="R96" s="37" t="n"/>
      <c r="S96" s="37" t="inlineStr">
        <is>
          <t>Tiến độ: Hoàn thành | Ngày bắt đầu: 2026-01-15 00:00:00 | Ngày nộp: 2026-01-16 00:00:00 | Ngày HT: 2026-01-16 00:00:00 | Lần nộp: 2.0 | Chi kỹ thuật: Đã thanh toán</t>
        </is>
      </c>
    </row>
    <row r="97" ht="15.75" customHeight="1" s="56">
      <c r="A97" s="37" t="inlineStr">
        <is>
          <t>BK-HS-0094</t>
        </is>
      </c>
      <c r="B97" s="27" t="n">
        <v>46037</v>
      </c>
      <c r="C97" s="37" t="inlineStr">
        <is>
          <t>Phòng Đo đạc</t>
        </is>
      </c>
      <c r="D97" s="37" t="inlineStr">
        <is>
          <t>Cấp đổi</t>
        </is>
      </c>
      <c r="E97" s="37" t="inlineStr">
        <is>
          <t>Nguyễn Thị Trúc Thanh-Hoàng Phi Hải</t>
        </is>
      </c>
      <c r="F97" s="37" t="inlineStr">
        <is>
          <t>Nguyễn Hương DV</t>
        </is>
      </c>
      <c r="G97" s="37" t="n"/>
      <c r="H97" s="37" t="inlineStr">
        <is>
          <t>Thủ Đức</t>
        </is>
      </c>
      <c r="I97" s="37" t="inlineStr">
        <is>
          <t>Trương Tấn Quốc</t>
        </is>
      </c>
      <c r="J97" s="37" t="inlineStr">
        <is>
          <t>Võ Tứ Hợp</t>
        </is>
      </c>
      <c r="K97" s="37" t="n"/>
      <c r="L97" s="37" t="inlineStr">
        <is>
          <t>Nộp thành công - Chờ kết quả</t>
        </is>
      </c>
      <c r="M97" s="27" t="n">
        <v>46040</v>
      </c>
      <c r="N97" s="28">
        <f>IF(M97="","",M97-TODAY())</f>
        <v/>
      </c>
      <c r="O97" s="37">
        <f>IF(A97="","",IF(L97="Hoàn thành","XONG",IF(L97="Đã hủy","HỦY",IF(N97&lt;0,"QUÁ HẠN",IF(N97&lt;=THIET_LAP!$B$7,"SẮP HẠN","TRONG HẠN")))))</f>
        <v/>
      </c>
      <c r="P97" s="37" t="inlineStr">
        <is>
          <t>035/BK-2026</t>
        </is>
      </c>
      <c r="Q97" s="29" t="n"/>
      <c r="R97" s="37" t="n"/>
      <c r="S97" s="37" t="inlineStr">
        <is>
          <t>Tiến độ: Đã nộp | Ngày bắt đầu: 2026-01-15 00:00:00 | Ngày nộp: 2026-01-19 00:00:00 | Lần nộp: 1.0 | Chi kỹ thuật: Đã thanh toán</t>
        </is>
      </c>
    </row>
    <row r="98" ht="15.75" customHeight="1" s="56">
      <c r="A98" s="37" t="inlineStr">
        <is>
          <t>BK-HS-0095</t>
        </is>
      </c>
      <c r="B98" s="27" t="n">
        <v>46037</v>
      </c>
      <c r="C98" s="37" t="inlineStr">
        <is>
          <t>Phòng Đo đạc</t>
        </is>
      </c>
      <c r="D98" s="37" t="inlineStr">
        <is>
          <t>Điều chỉnh bản vẽ</t>
        </is>
      </c>
      <c r="E98" s="37" t="inlineStr">
        <is>
          <t>Đỗ Thị Mười</t>
        </is>
      </c>
      <c r="F98" s="37" t="inlineStr">
        <is>
          <t>Công Ty</t>
        </is>
      </c>
      <c r="G98" s="37" t="inlineStr">
        <is>
          <t>0915165138</t>
        </is>
      </c>
      <c r="H98" s="37" t="inlineStr">
        <is>
          <t>Hiệp Bình</t>
        </is>
      </c>
      <c r="I98" s="37" t="inlineStr">
        <is>
          <t>Trương Tấn Quốc</t>
        </is>
      </c>
      <c r="J98" s="37" t="inlineStr">
        <is>
          <t>Không cần</t>
        </is>
      </c>
      <c r="K98" s="37" t="n"/>
      <c r="L98" s="37" t="inlineStr">
        <is>
          <t>Hoàn thành</t>
        </is>
      </c>
      <c r="M98" s="27" t="n">
        <v>46040</v>
      </c>
      <c r="N98" s="28">
        <f>IF(M98="","",M98-TODAY())</f>
        <v/>
      </c>
      <c r="O98" s="37">
        <f>IF(A98="","",IF(L98="Hoàn thành","XONG",IF(L98="Đã hủy","HỦY",IF(N98&lt;0,"QUÁ HẠN",IF(N98&lt;=THIET_LAP!$B$7,"SẮP HẠN","TRONG HẠN")))))</f>
        <v/>
      </c>
      <c r="P98" s="37" t="inlineStr">
        <is>
          <t>034/BK-2026</t>
        </is>
      </c>
      <c r="Q98" s="29" t="n"/>
      <c r="R98" s="37" t="n"/>
      <c r="S98" s="37" t="inlineStr">
        <is>
          <t>Tiến độ: Hoàn thành | Ngày bắt đầu: 2026-01-15 00:00:00 | Ngày nộp: 2026-02-11 00:00:00 | Ngày HT: 2026-02-11 00:00:00 | Lần nộp: 1.0 | Chi kỹ thuật: Đã thanh toán | Giải trình: Đợt dịch vụ chốt</t>
        </is>
      </c>
    </row>
    <row r="99" ht="15.75" customHeight="1" s="56">
      <c r="A99" s="37" t="inlineStr">
        <is>
          <t>BK-HS-0096</t>
        </is>
      </c>
      <c r="B99" s="27" t="n">
        <v>46037</v>
      </c>
      <c r="C99" s="37" t="inlineStr">
        <is>
          <t>Phòng Đo đạc</t>
        </is>
      </c>
      <c r="D99" s="37" t="inlineStr">
        <is>
          <t>Điều chỉnh bản vẽ</t>
        </is>
      </c>
      <c r="E99" s="37" t="inlineStr">
        <is>
          <t>Lê Văn Mạnh</t>
        </is>
      </c>
      <c r="F99" s="37" t="inlineStr">
        <is>
          <t>Công Ty</t>
        </is>
      </c>
      <c r="G99" s="37" t="inlineStr">
        <is>
          <t>0915165138</t>
        </is>
      </c>
      <c r="H99" s="37" t="inlineStr">
        <is>
          <t>Hiệp Bình</t>
        </is>
      </c>
      <c r="I99" s="37" t="inlineStr">
        <is>
          <t>Trương Tấn Quốc</t>
        </is>
      </c>
      <c r="J99" s="37" t="inlineStr">
        <is>
          <t>Không cần</t>
        </is>
      </c>
      <c r="K99" s="37" t="n"/>
      <c r="L99" s="37" t="inlineStr">
        <is>
          <t>Hoàn thành</t>
        </is>
      </c>
      <c r="M99" s="27" t="n">
        <v>46040</v>
      </c>
      <c r="N99" s="28">
        <f>IF(M99="","",M99-TODAY())</f>
        <v/>
      </c>
      <c r="O99" s="37">
        <f>IF(A99="","",IF(L99="Hoàn thành","XONG",IF(L99="Đã hủy","HỦY",IF(N99&lt;0,"QUÁ HẠN",IF(N99&lt;=THIET_LAP!$B$7,"SẮP HẠN","TRONG HẠN")))))</f>
        <v/>
      </c>
      <c r="P99" s="37" t="inlineStr">
        <is>
          <t>033/BK-2026</t>
        </is>
      </c>
      <c r="Q99" s="29" t="n"/>
      <c r="R99" s="37" t="n"/>
      <c r="S99" s="37" t="inlineStr">
        <is>
          <t>Tiến độ: Hoàn thành | Ngày bắt đầu: 2026-01-15 00:00:00 | Ngày nộp: 2026-02-11 00:00:00 | Ngày HT: 2026-02-11 00:00:00 | Lần nộp: 2.0 | Chi kỹ thuật: Đã thanh toán | Giải trình: Đợi dịch vụ chốt</t>
        </is>
      </c>
    </row>
    <row r="100" ht="15.75" customHeight="1" s="56">
      <c r="A100" s="37" t="inlineStr">
        <is>
          <t>BK-HS-0097</t>
        </is>
      </c>
      <c r="B100" s="27" t="n">
        <v>46037</v>
      </c>
      <c r="C100" s="37" t="inlineStr">
        <is>
          <t>Phòng Đo đạc</t>
        </is>
      </c>
      <c r="D100" s="37" t="inlineStr">
        <is>
          <t>Hoàn công</t>
        </is>
      </c>
      <c r="E100" s="37" t="inlineStr">
        <is>
          <t>Nguyễn Khắc Thọ-Nguyễn Thị Hồng</t>
        </is>
      </c>
      <c r="F100" s="37" t="inlineStr">
        <is>
          <t>Tạ Khắc Tập</t>
        </is>
      </c>
      <c r="G100" s="37" t="inlineStr">
        <is>
          <t>A Tập</t>
        </is>
      </c>
      <c r="H100" s="37" t="inlineStr">
        <is>
          <t>An Khánh</t>
        </is>
      </c>
      <c r="I100" s="37" t="inlineStr">
        <is>
          <t>Trương Tấn Quốc</t>
        </is>
      </c>
      <c r="J100" s="37" t="inlineStr">
        <is>
          <t>Võ Tứ Hợp</t>
        </is>
      </c>
      <c r="K100" s="37" t="n"/>
      <c r="L100" s="37" t="inlineStr">
        <is>
          <t>Hoàn thành</t>
        </is>
      </c>
      <c r="M100" s="27" t="n">
        <v>46040</v>
      </c>
      <c r="N100" s="28">
        <f>IF(M100="","",M100-TODAY())</f>
        <v/>
      </c>
      <c r="O100" s="37">
        <f>IF(A100="","",IF(L100="Hoàn thành","XONG",IF(L100="Đã hủy","HỦY",IF(N100&lt;0,"QUÁ HẠN",IF(N100&lt;=THIET_LAP!$B$7,"SẮP HẠN","TRONG HẠN")))))</f>
        <v/>
      </c>
      <c r="P100" s="37" t="inlineStr">
        <is>
          <t>032/BK-2026</t>
        </is>
      </c>
      <c r="Q100" s="29" t="n"/>
      <c r="R100" s="37" t="n"/>
      <c r="S100" s="37" t="inlineStr">
        <is>
          <t>Tiến độ: Hoàn thành | Ngày bắt đầu: 2026-01-15 00:00:00 | Ngày nộp: 2026-02-06 00:00:00 | Ngày HT: 2026-02-06 00:00:00 | Lần nộp: 0.0 | Chi kỹ thuật: Đã thanh toán | Ghi chú: Đợi sửa chửa đúng hiện trạng | Giải trình: Đã xử lý, đợi hoàn thành công trình</t>
        </is>
      </c>
    </row>
    <row r="101" ht="15.75" customHeight="1" s="56">
      <c r="A101" s="37" t="inlineStr">
        <is>
          <t>BK-HS-0098</t>
        </is>
      </c>
      <c r="B101" s="27" t="n">
        <v>46037</v>
      </c>
      <c r="C101" s="37" t="inlineStr">
        <is>
          <t>Phòng Đo đạc</t>
        </is>
      </c>
      <c r="D101" s="37" t="inlineStr">
        <is>
          <t>Hoàn công</t>
        </is>
      </c>
      <c r="E101" s="37" t="inlineStr">
        <is>
          <t>Trần Đình Sỹ Tấn</t>
        </is>
      </c>
      <c r="F101" s="37" t="inlineStr">
        <is>
          <t>Công Ty</t>
        </is>
      </c>
      <c r="G101" s="37" t="inlineStr">
        <is>
          <t>0974776305</t>
        </is>
      </c>
      <c r="H101" s="37" t="inlineStr">
        <is>
          <t>Hiệp Bình</t>
        </is>
      </c>
      <c r="I101" s="37" t="inlineStr">
        <is>
          <t>Trương Tấn Quốc</t>
        </is>
      </c>
      <c r="J101" s="37" t="inlineStr">
        <is>
          <t>Võ Tứ Hợp</t>
        </is>
      </c>
      <c r="K101" s="37" t="n"/>
      <c r="L101" s="37" t="inlineStr">
        <is>
          <t>Nộp thành công - Chờ kết quả</t>
        </is>
      </c>
      <c r="M101" s="27" t="n">
        <v>46040</v>
      </c>
      <c r="N101" s="28">
        <f>IF(M101="","",M101-TODAY())</f>
        <v/>
      </c>
      <c r="O101" s="37">
        <f>IF(A101="","",IF(L101="Hoàn thành","XONG",IF(L101="Đã hủy","HỦY",IF(N101&lt;0,"QUÁ HẠN",IF(N101&lt;=THIET_LAP!$B$7,"SẮP HẠN","TRONG HẠN")))))</f>
        <v/>
      </c>
      <c r="P101" s="37" t="inlineStr">
        <is>
          <t>031/BK-2026</t>
        </is>
      </c>
      <c r="Q101" s="29" t="n"/>
      <c r="R101" s="37" t="n"/>
      <c r="S101" s="37" t="inlineStr">
        <is>
          <t>Tiến độ: Đã nộp | Ngày bắt đầu: 2026-01-15 00:00:00 | Ngày nộp: 2026-01-27 00:00:00 | Lần nộp: 1.0 | Chi kỹ thuật: Đã thanh toán | Ghi chú: Đang hoàn thiện công trình | Giải trình: Đã xử lý, đợi hoàn thành công trình</t>
        </is>
      </c>
    </row>
    <row r="102" ht="15.75" customHeight="1" s="56">
      <c r="A102" s="37" t="inlineStr">
        <is>
          <t>BK-HS-0099</t>
        </is>
      </c>
      <c r="B102" s="27" t="n">
        <v>46036</v>
      </c>
      <c r="C102" s="37" t="inlineStr">
        <is>
          <t>Phòng Đo đạc</t>
        </is>
      </c>
      <c r="D102" s="37" t="inlineStr">
        <is>
          <t>Cắm mốc</t>
        </is>
      </c>
      <c r="E102" s="37" t="inlineStr">
        <is>
          <t>Trần Đức Phú</t>
        </is>
      </c>
      <c r="F102" s="37" t="inlineStr">
        <is>
          <t>Hoàng Quân</t>
        </is>
      </c>
      <c r="G102" s="37" t="n"/>
      <c r="H102" s="37" t="inlineStr">
        <is>
          <t>Long Phước</t>
        </is>
      </c>
      <c r="I102" s="37" t="inlineStr">
        <is>
          <t>Lê Văn Dựng</t>
        </is>
      </c>
      <c r="J102" s="37" t="inlineStr">
        <is>
          <t>Không cần</t>
        </is>
      </c>
      <c r="K102" s="37" t="n"/>
      <c r="L102" s="37" t="inlineStr">
        <is>
          <t>Hoàn thành</t>
        </is>
      </c>
      <c r="M102" s="27" t="n">
        <v>46039</v>
      </c>
      <c r="N102" s="28">
        <f>IF(M102="","",M102-TODAY())</f>
        <v/>
      </c>
      <c r="O102" s="37">
        <f>IF(A102="","",IF(L102="Hoàn thành","XONG",IF(L102="Đã hủy","HỦY",IF(N102&lt;0,"QUÁ HẠN",IF(N102&lt;=THIET_LAP!$B$7,"SẮP HẠN","TRONG HẠN")))))</f>
        <v/>
      </c>
      <c r="P102" s="37" t="inlineStr">
        <is>
          <t>030/BK-2026</t>
        </is>
      </c>
      <c r="Q102" s="29" t="n"/>
      <c r="R102" s="37" t="n"/>
      <c r="S102" s="37" t="inlineStr">
        <is>
          <t>Tiến độ: Hoàn thành | Ngày bắt đầu: 2026-01-14 00:00:00 | Ngày nộp: 2026-01-14 00:00:00 | Ngày HT: 2026-01-14 00:00:00 | Lần nộp: 1.0 | Chi kỹ thuật: Đã thanh toán | Số cọc: 6.0 | Loại cọc: Trụ xi măng</t>
        </is>
      </c>
    </row>
    <row r="103" ht="15.75" customHeight="1" s="56">
      <c r="A103" s="37" t="inlineStr">
        <is>
          <t>BK-HS-0100</t>
        </is>
      </c>
      <c r="B103" s="27" t="n">
        <v>46036</v>
      </c>
      <c r="C103" s="37" t="inlineStr">
        <is>
          <t>Phòng Đo đạc</t>
        </is>
      </c>
      <c r="D103" s="37" t="inlineStr">
        <is>
          <t>Hoàn công</t>
        </is>
      </c>
      <c r="E103" s="37" t="inlineStr">
        <is>
          <t>Nguyễn Văn Trung</t>
        </is>
      </c>
      <c r="F103" s="37" t="inlineStr">
        <is>
          <t>Cô Hoa</t>
        </is>
      </c>
      <c r="G103" s="37" t="inlineStr">
        <is>
          <t>0915779939</t>
        </is>
      </c>
      <c r="H103" s="37" t="inlineStr">
        <is>
          <t>Hiệp Bình</t>
        </is>
      </c>
      <c r="I103" s="37" t="inlineStr">
        <is>
          <t>Tạ Khắc Tập</t>
        </is>
      </c>
      <c r="J103" s="37" t="inlineStr">
        <is>
          <t>Võ Tứ Hợp</t>
        </is>
      </c>
      <c r="K103" s="37" t="n"/>
      <c r="L103" s="37" t="inlineStr">
        <is>
          <t>QUÁ HẠN</t>
        </is>
      </c>
      <c r="M103" s="27" t="n">
        <v>46039</v>
      </c>
      <c r="N103" s="28">
        <f>IF(M103="","",M103-TODAY())</f>
        <v/>
      </c>
      <c r="O103" s="37">
        <f>IF(A103="","",IF(L103="Hoàn thành","XONG",IF(L103="Đã hủy","HỦY",IF(N103&lt;0,"QUÁ HẠN",IF(N103&lt;=THIET_LAP!$B$7,"SẮP HẠN","TRONG HẠN")))))</f>
        <v/>
      </c>
      <c r="P103" s="37" t="inlineStr">
        <is>
          <t>029/BK-2026</t>
        </is>
      </c>
      <c r="Q103" s="29" t="n"/>
      <c r="R103" s="37" t="n"/>
      <c r="S103" s="37" t="inlineStr">
        <is>
          <t>Tiến độ: QUÁ HẠN | Ngày bắt đầu: 2026-01-14 00:00:00 | Lần nộp: 1.0</t>
        </is>
      </c>
    </row>
    <row r="104" ht="15.75" customHeight="1" s="56">
      <c r="A104" s="37" t="inlineStr">
        <is>
          <t>BK-HS-0101</t>
        </is>
      </c>
      <c r="B104" s="27" t="n">
        <v>46036</v>
      </c>
      <c r="C104" s="37" t="inlineStr">
        <is>
          <t>Phòng Đo đạc</t>
        </is>
      </c>
      <c r="D104" s="37" t="inlineStr">
        <is>
          <t>Hoàn công</t>
        </is>
      </c>
      <c r="E104" s="37" t="inlineStr">
        <is>
          <t>Phạm Hồng Sỹ</t>
        </is>
      </c>
      <c r="F104" s="37" t="inlineStr">
        <is>
          <t>Tuấn Lộc</t>
        </is>
      </c>
      <c r="G104" s="37" t="n"/>
      <c r="H104" s="37" t="inlineStr">
        <is>
          <t>Hiệp Bình</t>
        </is>
      </c>
      <c r="I104" s="37" t="inlineStr">
        <is>
          <t>Tạ Khắc Tập</t>
        </is>
      </c>
      <c r="J104" s="37" t="inlineStr">
        <is>
          <t>Võ Tứ Hợp</t>
        </is>
      </c>
      <c r="K104" s="37" t="n"/>
      <c r="L104" s="37" t="inlineStr">
        <is>
          <t>Hoàn thành</t>
        </is>
      </c>
      <c r="M104" s="27" t="n">
        <v>46039</v>
      </c>
      <c r="N104" s="28">
        <f>IF(M104="","",M104-TODAY())</f>
        <v/>
      </c>
      <c r="O104" s="37">
        <f>IF(A104="","",IF(L104="Hoàn thành","XONG",IF(L104="Đã hủy","HỦY",IF(N104&lt;0,"QUÁ HẠN",IF(N104&lt;=THIET_LAP!$B$7,"SẮP HẠN","TRONG HẠN")))))</f>
        <v/>
      </c>
      <c r="P104" s="37" t="inlineStr">
        <is>
          <t>028/BK-2026</t>
        </is>
      </c>
      <c r="Q104" s="29" t="n"/>
      <c r="R104" s="37" t="n"/>
      <c r="S104" s="37" t="inlineStr">
        <is>
          <t>Tiến độ: Hoàn thành | Ngày bắt đầu: 2026-01-14 00:00:00 | Ngày nộp: 2026-02-06 00:00:00 | Ngày HT: 2026-02-06 00:00:00 | Lần nộp: 1.0 | Chi kỹ thuật: Đã thanh toán</t>
        </is>
      </c>
    </row>
    <row r="105" ht="15.75" customHeight="1" s="56">
      <c r="A105" s="37" t="inlineStr">
        <is>
          <t>BK-HS-0102</t>
        </is>
      </c>
      <c r="B105" s="27" t="n">
        <v>46036</v>
      </c>
      <c r="C105" s="37" t="inlineStr">
        <is>
          <t>Phòng Đo đạc</t>
        </is>
      </c>
      <c r="D105" s="37" t="inlineStr">
        <is>
          <t>Hoàn công</t>
        </is>
      </c>
      <c r="E105" s="37" t="inlineStr">
        <is>
          <t>Vũ Thị Nhuần</t>
        </is>
      </c>
      <c r="F105" s="37" t="inlineStr">
        <is>
          <t>Công Ty</t>
        </is>
      </c>
      <c r="G105" s="37" t="inlineStr">
        <is>
          <t>0988337584</t>
        </is>
      </c>
      <c r="H105" s="37" t="inlineStr">
        <is>
          <t>Hiệp Bình</t>
        </is>
      </c>
      <c r="I105" s="37" t="inlineStr">
        <is>
          <t>Tạ Khắc Tập</t>
        </is>
      </c>
      <c r="J105" s="37" t="inlineStr">
        <is>
          <t>Võ Tứ Hợp</t>
        </is>
      </c>
      <c r="K105" s="37" t="n"/>
      <c r="L105" s="37" t="inlineStr">
        <is>
          <t>Nộp thành công - Chờ kết quả</t>
        </is>
      </c>
      <c r="M105" s="27" t="n">
        <v>46039</v>
      </c>
      <c r="N105" s="28">
        <f>IF(M105="","",M105-TODAY())</f>
        <v/>
      </c>
      <c r="O105" s="37">
        <f>IF(A105="","",IF(L105="Hoàn thành","XONG",IF(L105="Đã hủy","HỦY",IF(N105&lt;0,"QUÁ HẠN",IF(N105&lt;=THIET_LAP!$B$7,"SẮP HẠN","TRONG HẠN")))))</f>
        <v/>
      </c>
      <c r="P105" s="37" t="inlineStr">
        <is>
          <t>027/BK-2026</t>
        </is>
      </c>
      <c r="Q105" s="29" t="n"/>
      <c r="R105" s="37" t="n"/>
      <c r="S105" s="37" t="inlineStr">
        <is>
          <t>Tiến độ: Đã nộp | Ngày bắt đầu: 2026-01-14 00:00:00 | Ngày nộp: 2026-01-21 00:00:00 | Lần nộp: 1.0 | Chi kỹ thuật: Đã thanh toán</t>
        </is>
      </c>
    </row>
    <row r="106" ht="15.75" customHeight="1" s="56">
      <c r="A106" s="37" t="inlineStr">
        <is>
          <t>BK-HS-0103</t>
        </is>
      </c>
      <c r="B106" s="27" t="n">
        <v>46036</v>
      </c>
      <c r="C106" s="37" t="inlineStr">
        <is>
          <t>Phòng Đo đạc</t>
        </is>
      </c>
      <c r="D106" s="37" t="inlineStr">
        <is>
          <t>Cắm mốc</t>
        </is>
      </c>
      <c r="E106" s="37" t="inlineStr">
        <is>
          <t>Phạm Thị Trang</t>
        </is>
      </c>
      <c r="F106" s="37" t="inlineStr">
        <is>
          <t>Cô Hoa</t>
        </is>
      </c>
      <c r="G106" s="37" t="n"/>
      <c r="H106" s="37" t="inlineStr">
        <is>
          <t>Tam Bình</t>
        </is>
      </c>
      <c r="I106" s="37" t="inlineStr">
        <is>
          <t>Tạ Khắc Tập</t>
        </is>
      </c>
      <c r="J106" s="37" t="inlineStr">
        <is>
          <t>Võ Tứ Hợp</t>
        </is>
      </c>
      <c r="K106" s="37" t="n"/>
      <c r="L106" s="37" t="inlineStr">
        <is>
          <t>Hoàn thành</t>
        </is>
      </c>
      <c r="M106" s="27" t="n">
        <v>46039</v>
      </c>
      <c r="N106" s="28">
        <f>IF(M106="","",M106-TODAY())</f>
        <v/>
      </c>
      <c r="O106" s="37">
        <f>IF(A106="","",IF(L106="Hoàn thành","XONG",IF(L106="Đã hủy","HỦY",IF(N106&lt;0,"QUÁ HẠN",IF(N106&lt;=THIET_LAP!$B$7,"SẮP HẠN","TRONG HẠN")))))</f>
        <v/>
      </c>
      <c r="P106" s="37" t="inlineStr">
        <is>
          <t>026/BK-2026</t>
        </is>
      </c>
      <c r="Q106" s="29" t="n"/>
      <c r="R106" s="37" t="n"/>
      <c r="S106" s="37" t="inlineStr">
        <is>
          <t>Tiến độ: Hoàn thành | Ngày bắt đầu: 2026-01-14 00:00:00 | Ngày nộp: 2026-01-13 00:00:00 | Ngày HT: 2026-01-13 00:00:00 | Lần nộp: 1.0 | Chi kỹ thuật: Đã thanh toán | Số cọc: 7.0 | Loại cọc: Cọc sắt</t>
        </is>
      </c>
    </row>
    <row r="107" ht="15.75" customHeight="1" s="56">
      <c r="A107" s="37" t="inlineStr">
        <is>
          <t>BK-HS-0104</t>
        </is>
      </c>
      <c r="B107" s="27" t="n">
        <v>46035</v>
      </c>
      <c r="C107" s="37" t="inlineStr">
        <is>
          <t>Phòng Đo đạc</t>
        </is>
      </c>
      <c r="D107" s="37" t="inlineStr">
        <is>
          <t>Xác định diện tích</t>
        </is>
      </c>
      <c r="E107" s="37" t="inlineStr">
        <is>
          <t>Lê Thị Nguyệt</t>
        </is>
      </c>
      <c r="F107" s="37" t="inlineStr">
        <is>
          <t>Đạt Việt Phát Land</t>
        </is>
      </c>
      <c r="G107" s="37" t="n"/>
      <c r="H107" s="37" t="inlineStr">
        <is>
          <t>Tăng Nhơn Phú</t>
        </is>
      </c>
      <c r="I107" s="37" t="inlineStr">
        <is>
          <t>Lê Văn Dựng</t>
        </is>
      </c>
      <c r="J107" s="37" t="inlineStr">
        <is>
          <t>Không cần</t>
        </is>
      </c>
      <c r="K107" s="37" t="n"/>
      <c r="L107" s="37" t="inlineStr">
        <is>
          <t>Hoàn thành</t>
        </is>
      </c>
      <c r="M107" s="27" t="n">
        <v>46038</v>
      </c>
      <c r="N107" s="28">
        <f>IF(M107="","",M107-TODAY())</f>
        <v/>
      </c>
      <c r="O107" s="37">
        <f>IF(A107="","",IF(L107="Hoàn thành","XONG",IF(L107="Đã hủy","HỦY",IF(N107&lt;0,"QUÁ HẠN",IF(N107&lt;=THIET_LAP!$B$7,"SẮP HẠN","TRONG HẠN")))))</f>
        <v/>
      </c>
      <c r="P107" s="37" t="inlineStr">
        <is>
          <t>025/BK-2026</t>
        </is>
      </c>
      <c r="Q107" s="29" t="n"/>
      <c r="R107" s="37" t="n"/>
      <c r="S107" s="37" t="inlineStr">
        <is>
          <t>Tiến độ: Hoàn thành | Ngày bắt đầu: 2026-01-13 00:00:00 | Ngày nộp: 2026-01-13 00:00:00 | Ngày HT: 2026-01-13 00:00:00 | Lần nộp: 1.0 | Chi kỹ thuật: Đã thanh toán</t>
        </is>
      </c>
    </row>
    <row r="108" ht="15.75" customHeight="1" s="56">
      <c r="A108" s="37" t="inlineStr">
        <is>
          <t>BK-HS-0105</t>
        </is>
      </c>
      <c r="B108" s="27" t="n">
        <v>46035</v>
      </c>
      <c r="C108" s="37" t="inlineStr">
        <is>
          <t>Phòng Đo đạc</t>
        </is>
      </c>
      <c r="D108" s="37" t="inlineStr">
        <is>
          <t>Đo GPS</t>
        </is>
      </c>
      <c r="E108" s="37" t="inlineStr">
        <is>
          <t>Phạm Thị Giao Linh</t>
        </is>
      </c>
      <c r="F108" s="37" t="inlineStr">
        <is>
          <t>Tùng Huế DV</t>
        </is>
      </c>
      <c r="G108" s="37" t="n"/>
      <c r="H108" s="37" t="inlineStr">
        <is>
          <t>Bình Trưng</t>
        </is>
      </c>
      <c r="I108" s="37" t="inlineStr">
        <is>
          <t>Lê Văn Dựng</t>
        </is>
      </c>
      <c r="J108" s="37" t="inlineStr">
        <is>
          <t>Không cần</t>
        </is>
      </c>
      <c r="K108" s="37" t="n"/>
      <c r="L108" s="37" t="inlineStr">
        <is>
          <t>Hoàn thành</t>
        </is>
      </c>
      <c r="M108" s="27" t="n">
        <v>46038</v>
      </c>
      <c r="N108" s="28">
        <f>IF(M108="","",M108-TODAY())</f>
        <v/>
      </c>
      <c r="O108" s="37">
        <f>IF(A108="","",IF(L108="Hoàn thành","XONG",IF(L108="Đã hủy","HỦY",IF(N108&lt;0,"QUÁ HẠN",IF(N108&lt;=THIET_LAP!$B$7,"SẮP HẠN","TRONG HẠN")))))</f>
        <v/>
      </c>
      <c r="P108" s="37" t="inlineStr">
        <is>
          <t>024/BK-2026</t>
        </is>
      </c>
      <c r="Q108" s="29" t="n"/>
      <c r="R108" s="37" t="n"/>
      <c r="S108" s="37" t="inlineStr">
        <is>
          <t>Tiến độ: Hoàn thành | Ngày bắt đầu: 2026-01-13 00:00:00 | Ngày nộp: 2026-01-13 00:00:00 | Ngày HT: 2026-01-13 00:00:00 | Lần nộp: 0.0 | Chi kỹ thuật: Đã thanh toán</t>
        </is>
      </c>
    </row>
    <row r="109" ht="15.75" customHeight="1" s="56">
      <c r="A109" s="37" t="inlineStr">
        <is>
          <t>BK-HS-0106</t>
        </is>
      </c>
      <c r="B109" s="27" t="n">
        <v>46034</v>
      </c>
      <c r="C109" s="37" t="inlineStr">
        <is>
          <t>Phòng Đo đạc</t>
        </is>
      </c>
      <c r="D109" s="37" t="inlineStr">
        <is>
          <t>Hoàn công</t>
        </is>
      </c>
      <c r="E109" s="37" t="inlineStr">
        <is>
          <t>Lê Quý</t>
        </is>
      </c>
      <c r="F109" s="37" t="inlineStr">
        <is>
          <t>Đạt Việt Phát Land</t>
        </is>
      </c>
      <c r="G109" s="37" t="n"/>
      <c r="H109" s="37" t="inlineStr">
        <is>
          <t>Long Trường</t>
        </is>
      </c>
      <c r="I109" s="37" t="inlineStr">
        <is>
          <t>Lê Văn Xây</t>
        </is>
      </c>
      <c r="J109" s="37" t="inlineStr">
        <is>
          <t>Võ Tứ Hợp</t>
        </is>
      </c>
      <c r="K109" s="37" t="n"/>
      <c r="L109" s="37" t="inlineStr">
        <is>
          <t>Hoàn thành</t>
        </is>
      </c>
      <c r="M109" s="27" t="n">
        <v>46037</v>
      </c>
      <c r="N109" s="28">
        <f>IF(M109="","",M109-TODAY())</f>
        <v/>
      </c>
      <c r="O109" s="37">
        <f>IF(A109="","",IF(L109="Hoàn thành","XONG",IF(L109="Đã hủy","HỦY",IF(N109&lt;0,"QUÁ HẠN",IF(N109&lt;=THIET_LAP!$B$7,"SẮP HẠN","TRONG HẠN")))))</f>
        <v/>
      </c>
      <c r="P109" s="37" t="inlineStr">
        <is>
          <t>023/BK-2026</t>
        </is>
      </c>
      <c r="Q109" s="29" t="n"/>
      <c r="R109" s="37" t="n"/>
      <c r="S109" s="37" t="inlineStr">
        <is>
          <t>Tiến độ: Hoàn thành | Ngày bắt đầu: 2026-01-12 00:00:00 | Ngày nộp: 2026-02-26 00:00:00 | Ngày HT: 2026-02-26 00:00:00 | Lần nộp: 1.0 | Chi kỹ thuật: Đã thanh toán</t>
        </is>
      </c>
    </row>
    <row r="110" ht="15.75" customHeight="1" s="56">
      <c r="A110" s="37" t="inlineStr">
        <is>
          <t>BK-HS-0107</t>
        </is>
      </c>
      <c r="B110" s="27" t="n">
        <v>46034</v>
      </c>
      <c r="C110" s="37" t="inlineStr">
        <is>
          <t>Phòng Đo đạc</t>
        </is>
      </c>
      <c r="D110" s="37" t="inlineStr">
        <is>
          <t>Cắm mốc</t>
        </is>
      </c>
      <c r="E110" s="37" t="inlineStr">
        <is>
          <t>Nguyễn Thanh Tùng</t>
        </is>
      </c>
      <c r="F110" s="37" t="inlineStr">
        <is>
          <t>Công Ty</t>
        </is>
      </c>
      <c r="G110" s="37" t="n"/>
      <c r="H110" s="37" t="inlineStr">
        <is>
          <t>Long Phước</t>
        </is>
      </c>
      <c r="I110" s="37" t="inlineStr">
        <is>
          <t>Lê Văn Dựng</t>
        </is>
      </c>
      <c r="J110" s="37" t="inlineStr">
        <is>
          <t>Không cần</t>
        </is>
      </c>
      <c r="K110" s="37" t="n"/>
      <c r="L110" s="37" t="inlineStr">
        <is>
          <t>Hoàn thành</t>
        </is>
      </c>
      <c r="M110" s="27" t="n">
        <v>46037</v>
      </c>
      <c r="N110" s="28">
        <f>IF(M110="","",M110-TODAY())</f>
        <v/>
      </c>
      <c r="O110" s="37">
        <f>IF(A110="","",IF(L110="Hoàn thành","XONG",IF(L110="Đã hủy","HỦY",IF(N110&lt;0,"QUÁ HẠN",IF(N110&lt;=THIET_LAP!$B$7,"SẮP HẠN","TRONG HẠN")))))</f>
        <v/>
      </c>
      <c r="P110" s="37" t="inlineStr">
        <is>
          <t>022/BK-2026</t>
        </is>
      </c>
      <c r="Q110" s="29" t="n"/>
      <c r="R110" s="37" t="n"/>
      <c r="S110" s="37" t="inlineStr">
        <is>
          <t>Tiến độ: Hoàn thành | Ngày bắt đầu: 2026-01-12 00:00:00 | Ngày nộp: 2026-01-10 00:00:00 | Ngày HT: 2026-01-10 00:00:00 | Lần nộp: 1.0 | Chi kỹ thuật: Đã thanh toán | Số cọc: 8.0 | Loại cọc: Trụ xi măng</t>
        </is>
      </c>
    </row>
    <row r="111" ht="15.75" customHeight="1" s="56">
      <c r="A111" s="37" t="inlineStr">
        <is>
          <t>BK-HS-0108</t>
        </is>
      </c>
      <c r="B111" s="27" t="n">
        <v>46031</v>
      </c>
      <c r="C111" s="37" t="inlineStr">
        <is>
          <t>Phòng Đo đạc</t>
        </is>
      </c>
      <c r="D111" s="37" t="inlineStr">
        <is>
          <t>Cấp đổi</t>
        </is>
      </c>
      <c r="E111" s="37" t="inlineStr">
        <is>
          <t>Nguyễn Trần Ngọc Khoa</t>
        </is>
      </c>
      <c r="F111" s="37" t="inlineStr">
        <is>
          <t>Công Ty</t>
        </is>
      </c>
      <c r="G111" s="37" t="inlineStr">
        <is>
          <t>0988935451</t>
        </is>
      </c>
      <c r="H111" s="37" t="inlineStr">
        <is>
          <t>Linh Xuân</t>
        </is>
      </c>
      <c r="I111" s="37" t="inlineStr">
        <is>
          <t>Lê Văn Xây</t>
        </is>
      </c>
      <c r="J111" s="37" t="inlineStr">
        <is>
          <t>Võ Tứ Hợp</t>
        </is>
      </c>
      <c r="K111" s="37" t="n"/>
      <c r="L111" s="37" t="inlineStr">
        <is>
          <t>Hoàn thành</t>
        </is>
      </c>
      <c r="M111" s="27" t="n">
        <v>46034</v>
      </c>
      <c r="N111" s="28">
        <f>IF(M111="","",M111-TODAY())</f>
        <v/>
      </c>
      <c r="O111" s="37">
        <f>IF(A111="","",IF(L111="Hoàn thành","XONG",IF(L111="Đã hủy","HỦY",IF(N111&lt;0,"QUÁ HẠN",IF(N111&lt;=THIET_LAP!$B$7,"SẮP HẠN","TRONG HẠN")))))</f>
        <v/>
      </c>
      <c r="P111" s="37" t="inlineStr">
        <is>
          <t>021/BK-2026</t>
        </is>
      </c>
      <c r="Q111" s="29" t="n"/>
      <c r="R111" s="37" t="n"/>
      <c r="S111" s="37" t="inlineStr">
        <is>
          <t>Tiến độ: Hoàn thành | Ngày bắt đầu: 2026-01-09 00:00:00 | Ngày nộp: 2026-01-31 00:00:00 | Ngày HT: 2026-01-31 00:00:00 | Lần nộp: 1.0 | Chi kỹ thuật: Đã thanh toán</t>
        </is>
      </c>
    </row>
    <row r="112" ht="15.75" customHeight="1" s="56">
      <c r="A112" s="37" t="inlineStr">
        <is>
          <t>BK-HS-0109</t>
        </is>
      </c>
      <c r="B112" s="27" t="n">
        <v>46031</v>
      </c>
      <c r="C112" s="37" t="inlineStr">
        <is>
          <t>Phòng Đo đạc</t>
        </is>
      </c>
      <c r="D112" s="37" t="inlineStr">
        <is>
          <t>Cấp đổi</t>
        </is>
      </c>
      <c r="E112" s="37" t="inlineStr">
        <is>
          <t>Nguyễn Thị Hà</t>
        </is>
      </c>
      <c r="F112" s="37" t="inlineStr">
        <is>
          <t>Công Ty</t>
        </is>
      </c>
      <c r="G112" s="37" t="inlineStr">
        <is>
          <t>0384859894</t>
        </is>
      </c>
      <c r="H112" s="37" t="inlineStr">
        <is>
          <t>Hiệp Bình</t>
        </is>
      </c>
      <c r="I112" s="37" t="inlineStr">
        <is>
          <t>Lê Văn Dựng</t>
        </is>
      </c>
      <c r="J112" s="37" t="inlineStr">
        <is>
          <t>Võ Tứ Hợp</t>
        </is>
      </c>
      <c r="K112" s="37" t="n"/>
      <c r="L112" s="37" t="inlineStr">
        <is>
          <t>Hủy</t>
        </is>
      </c>
      <c r="M112" s="27" t="n">
        <v>46034</v>
      </c>
      <c r="N112" s="28">
        <f>IF(M112="","",M112-TODAY())</f>
        <v/>
      </c>
      <c r="O112" s="37">
        <f>IF(A112="","",IF(L112="Hoàn thành","XONG",IF(L112="Đã hủy","HỦY",IF(N112&lt;0,"QUÁ HẠN",IF(N112&lt;=THIET_LAP!$B$7,"SẮP HẠN","TRONG HẠN")))))</f>
        <v/>
      </c>
      <c r="P112" s="37" t="inlineStr">
        <is>
          <t>020/BK-2026</t>
        </is>
      </c>
      <c r="Q112" s="29" t="n"/>
      <c r="R112" s="37" t="n"/>
      <c r="S112" s="37" t="inlineStr">
        <is>
          <t>Tiến độ: ĐÃ HỦY | Ngày bắt đầu: 2026-01-09 00:00:00 | Ngày nộp: 2026-01-16 00:00:00 | Lần nộp: 3.0 | Chi kỹ thuật: Đã thanh toán</t>
        </is>
      </c>
    </row>
    <row r="113" ht="15.75" customHeight="1" s="56">
      <c r="A113" s="37" t="inlineStr">
        <is>
          <t>BK-HS-0110</t>
        </is>
      </c>
      <c r="B113" s="27" t="n">
        <v>46031</v>
      </c>
      <c r="C113" s="37" t="inlineStr">
        <is>
          <t>Phòng Đo đạc</t>
        </is>
      </c>
      <c r="D113" s="37" t="inlineStr">
        <is>
          <t>Cắm mốc</t>
        </is>
      </c>
      <c r="E113" s="37" t="inlineStr">
        <is>
          <t>Nguyễn Thị Xuân Lan</t>
        </is>
      </c>
      <c r="F113" s="37" t="inlineStr">
        <is>
          <t>Công Ty</t>
        </is>
      </c>
      <c r="G113" s="37" t="inlineStr">
        <is>
          <t>0903909323</t>
        </is>
      </c>
      <c r="H113" s="37" t="inlineStr">
        <is>
          <t>Hiệp Bình</t>
        </is>
      </c>
      <c r="I113" s="37" t="inlineStr">
        <is>
          <t>Lê Văn Dựng</t>
        </is>
      </c>
      <c r="J113" s="37" t="inlineStr">
        <is>
          <t>Võ Tứ Hợp</t>
        </is>
      </c>
      <c r="K113" s="37" t="n"/>
      <c r="L113" s="37" t="inlineStr">
        <is>
          <t>Hoàn thành</t>
        </is>
      </c>
      <c r="M113" s="27" t="n">
        <v>46034</v>
      </c>
      <c r="N113" s="28">
        <f>IF(M113="","",M113-TODAY())</f>
        <v/>
      </c>
      <c r="O113" s="37">
        <f>IF(A113="","",IF(L113="Hoàn thành","XONG",IF(L113="Đã hủy","HỦY",IF(N113&lt;0,"QUÁ HẠN",IF(N113&lt;=THIET_LAP!$B$7,"SẮP HẠN","TRONG HẠN")))))</f>
        <v/>
      </c>
      <c r="P113" s="37" t="inlineStr">
        <is>
          <t>019/BK-2026</t>
        </is>
      </c>
      <c r="Q113" s="29" t="n"/>
      <c r="R113" s="37" t="n"/>
      <c r="S113" s="37" t="inlineStr">
        <is>
          <t>Tiến độ: Hoàn thành | Ngày bắt đầu: 2026-01-09 00:00:00 | Ngày nộp: 2026-01-09 00:00:00 | Ngày HT: 2026-01-09 00:00:00 | Lần nộp: 4.0 | Chi kỹ thuật: Đã thanh toán | Số cọc: 2.0 | Loại cọc: Trụ xi măng | Ghi chú: khách hàng yêu cầu chôn 4 trụ xi măng (hiện trạng thực tế chỉ chôn được 2 trụ sau)</t>
        </is>
      </c>
    </row>
    <row r="114" ht="15.75" customHeight="1" s="56">
      <c r="A114" s="37" t="inlineStr">
        <is>
          <t>BK-HS-0111</t>
        </is>
      </c>
      <c r="B114" s="27" t="n">
        <v>46031</v>
      </c>
      <c r="C114" s="37" t="inlineStr">
        <is>
          <t>Phòng Đo đạc</t>
        </is>
      </c>
      <c r="D114" s="37" t="inlineStr">
        <is>
          <t>Cắm mốc</t>
        </is>
      </c>
      <c r="E114" s="37" t="inlineStr">
        <is>
          <t>Huỳnh Thị Bích Hồng</t>
        </is>
      </c>
      <c r="F114" s="37" t="inlineStr">
        <is>
          <t>Anh Chiến KTS</t>
        </is>
      </c>
      <c r="G114" s="37" t="n"/>
      <c r="H114" s="37" t="inlineStr">
        <is>
          <t>Thủ Đức</t>
        </is>
      </c>
      <c r="I114" s="37" t="inlineStr">
        <is>
          <t>Lê Văn Dựng</t>
        </is>
      </c>
      <c r="J114" s="37" t="inlineStr">
        <is>
          <t>Võ Tứ Hợp</t>
        </is>
      </c>
      <c r="K114" s="37" t="n"/>
      <c r="L114" s="37" t="inlineStr">
        <is>
          <t>Hoàn thành</t>
        </is>
      </c>
      <c r="M114" s="27" t="n">
        <v>46034</v>
      </c>
      <c r="N114" s="28">
        <f>IF(M114="","",M114-TODAY())</f>
        <v/>
      </c>
      <c r="O114" s="37">
        <f>IF(A114="","",IF(L114="Hoàn thành","XONG",IF(L114="Đã hủy","HỦY",IF(N114&lt;0,"QUÁ HẠN",IF(N114&lt;=THIET_LAP!$B$7,"SẮP HẠN","TRONG HẠN")))))</f>
        <v/>
      </c>
      <c r="P114" s="37" t="inlineStr">
        <is>
          <t>018/BK-2026</t>
        </is>
      </c>
      <c r="Q114" s="29" t="n"/>
      <c r="R114" s="37" t="n"/>
      <c r="S114" s="37" t="inlineStr">
        <is>
          <t>Tiến độ: Hoàn thành | Ngày bắt đầu: 2026-01-09 00:00:00 | Ngày nộp: 2026-01-09 00:00:00 | Ngày HT: 2026-01-09 00:00:00 | Lần nộp: 4.0 | Chi kỹ thuật: Đã thanh toán | Số cọc: 6.0 | Loại cọc: Trụ xi măng</t>
        </is>
      </c>
    </row>
    <row r="115" ht="15.75" customHeight="1" s="56">
      <c r="A115" s="37" t="inlineStr">
        <is>
          <t>BK-HS-0112</t>
        </is>
      </c>
      <c r="B115" s="27" t="n">
        <v>46031</v>
      </c>
      <c r="C115" s="37" t="inlineStr">
        <is>
          <t>Phòng Đo đạc</t>
        </is>
      </c>
      <c r="D115" s="37" t="inlineStr">
        <is>
          <t>Kiểm tra hiện trạng</t>
        </is>
      </c>
      <c r="E115" s="37" t="inlineStr">
        <is>
          <t>Hồng Thế Phương</t>
        </is>
      </c>
      <c r="F115" s="37" t="inlineStr">
        <is>
          <t>Cô Hoa</t>
        </is>
      </c>
      <c r="G115" s="37" t="n"/>
      <c r="H115" s="37" t="inlineStr">
        <is>
          <t>Tam Bình</t>
        </is>
      </c>
      <c r="I115" s="37" t="inlineStr">
        <is>
          <t>Tạ Khắc Tập</t>
        </is>
      </c>
      <c r="J115" s="37" t="inlineStr">
        <is>
          <t>Võ Tứ Hợp</t>
        </is>
      </c>
      <c r="K115" s="37" t="n"/>
      <c r="L115" s="37" t="inlineStr">
        <is>
          <t>Hoàn thành</t>
        </is>
      </c>
      <c r="M115" s="27" t="n">
        <v>46034</v>
      </c>
      <c r="N115" s="28">
        <f>IF(M115="","",M115-TODAY())</f>
        <v/>
      </c>
      <c r="O115" s="37">
        <f>IF(A115="","",IF(L115="Hoàn thành","XONG",IF(L115="Đã hủy","HỦY",IF(N115&lt;0,"QUÁ HẠN",IF(N115&lt;=THIET_LAP!$B$7,"SẮP HẠN","TRONG HẠN")))))</f>
        <v/>
      </c>
      <c r="P115" s="37" t="inlineStr">
        <is>
          <t>011/BK-2026</t>
        </is>
      </c>
      <c r="Q115" s="29" t="n"/>
      <c r="R115" s="37" t="n"/>
      <c r="S115" s="37" t="inlineStr">
        <is>
          <t>Tiến độ: Hoàn thành | Ngày bắt đầu: 2026-01-09 00:00:00 | Ngày nộp: 2026-01-09 00:00:00 | Ngày HT: 2026-01-09 00:00:00 | Lần nộp: 1.0 | Chi kỹ thuật: Đã thanh toán</t>
        </is>
      </c>
    </row>
    <row r="116" ht="15.75" customHeight="1" s="56">
      <c r="A116" s="37" t="inlineStr">
        <is>
          <t>BK-HS-0113</t>
        </is>
      </c>
      <c r="B116" s="27" t="n">
        <v>46031</v>
      </c>
      <c r="C116" s="37" t="inlineStr">
        <is>
          <t>Phòng Đo đạc</t>
        </is>
      </c>
      <c r="D116" s="37" t="inlineStr">
        <is>
          <t>Kiểm tra hiện trạng</t>
        </is>
      </c>
      <c r="E116" s="37" t="inlineStr">
        <is>
          <t>Hồng Thế Phương</t>
        </is>
      </c>
      <c r="F116" s="37" t="inlineStr">
        <is>
          <t>Cô Hoa</t>
        </is>
      </c>
      <c r="G116" s="37" t="n"/>
      <c r="H116" s="37" t="inlineStr">
        <is>
          <t>Tam Bình</t>
        </is>
      </c>
      <c r="I116" s="37" t="inlineStr">
        <is>
          <t>Tạ Khắc Tập</t>
        </is>
      </c>
      <c r="J116" s="37" t="inlineStr">
        <is>
          <t>Võ Tứ Hợp</t>
        </is>
      </c>
      <c r="K116" s="37" t="n"/>
      <c r="L116" s="37" t="inlineStr">
        <is>
          <t>Hoàn thành</t>
        </is>
      </c>
      <c r="M116" s="27" t="n">
        <v>46034</v>
      </c>
      <c r="N116" s="28">
        <f>IF(M116="","",M116-TODAY())</f>
        <v/>
      </c>
      <c r="O116" s="37">
        <f>IF(A116="","",IF(L116="Hoàn thành","XONG",IF(L116="Đã hủy","HỦY",IF(N116&lt;0,"QUÁ HẠN",IF(N116&lt;=THIET_LAP!$B$7,"SẮP HẠN","TRONG HẠN")))))</f>
        <v/>
      </c>
      <c r="P116" s="37" t="inlineStr">
        <is>
          <t>010/BK-2026</t>
        </is>
      </c>
      <c r="Q116" s="29" t="n"/>
      <c r="R116" s="37" t="n"/>
      <c r="S116" s="37" t="inlineStr">
        <is>
          <t>Tiến độ: Hoàn thành | Ngày bắt đầu: 2026-01-09 00:00:00 | Ngày nộp: 2026-01-09 00:00:00 | Ngày HT: 2026-01-09 00:00:00 | Lần nộp: 1.0 | Chi kỹ thuật: Đã thanh toán</t>
        </is>
      </c>
    </row>
    <row r="117" ht="15.75" customHeight="1" s="56">
      <c r="A117" s="37" t="inlineStr">
        <is>
          <t>BK-HS-0114</t>
        </is>
      </c>
      <c r="B117" s="27" t="n">
        <v>46030</v>
      </c>
      <c r="C117" s="37" t="inlineStr">
        <is>
          <t>Phòng Đo đạc</t>
        </is>
      </c>
      <c r="D117" s="37" t="inlineStr">
        <is>
          <t>Hoàn công</t>
        </is>
      </c>
      <c r="E117" s="37" t="inlineStr">
        <is>
          <t>Cao Viết Trọng</t>
        </is>
      </c>
      <c r="F117" s="37" t="inlineStr">
        <is>
          <t>Tùng Mập</t>
        </is>
      </c>
      <c r="G117" s="37" t="n"/>
      <c r="H117" s="37" t="inlineStr">
        <is>
          <t>Hiệp Bình</t>
        </is>
      </c>
      <c r="I117" s="37" t="inlineStr">
        <is>
          <t>Lê Văn Xây</t>
        </is>
      </c>
      <c r="J117" s="37" t="inlineStr">
        <is>
          <t>Võ Tứ Hợp</t>
        </is>
      </c>
      <c r="K117" s="37" t="n"/>
      <c r="L117" s="37" t="inlineStr">
        <is>
          <t>Hoàn thành</t>
        </is>
      </c>
      <c r="M117" s="27" t="n">
        <v>46033</v>
      </c>
      <c r="N117" s="28">
        <f>IF(M117="","",M117-TODAY())</f>
        <v/>
      </c>
      <c r="O117" s="37">
        <f>IF(A117="","",IF(L117="Hoàn thành","XONG",IF(L117="Đã hủy","HỦY",IF(N117&lt;0,"QUÁ HẠN",IF(N117&lt;=THIET_LAP!$B$7,"SẮP HẠN","TRONG HẠN")))))</f>
        <v/>
      </c>
      <c r="P117" s="37" t="inlineStr">
        <is>
          <t>017/BK-2026</t>
        </is>
      </c>
      <c r="Q117" s="29" t="n"/>
      <c r="R117" s="37" t="n"/>
      <c r="S117" s="37" t="inlineStr">
        <is>
          <t>Tiến độ: Hoàn thành | Ngày bắt đầu: 2026-01-08 00:00:00 | Ngày nộp: 2026-01-20 00:00:00 | Ngày HT: 2026-01-20 00:00:00 | Lần nộp: 1.0 | Chi kỹ thuật: Đã thanh toán</t>
        </is>
      </c>
    </row>
    <row r="118" ht="15.75" customHeight="1" s="56">
      <c r="A118" s="37" t="inlineStr">
        <is>
          <t>BK-HS-0115</t>
        </is>
      </c>
      <c r="B118" s="27" t="n">
        <v>46030</v>
      </c>
      <c r="C118" s="37" t="inlineStr">
        <is>
          <t>Phòng Đo đạc</t>
        </is>
      </c>
      <c r="D118" s="37" t="inlineStr">
        <is>
          <t>Cấp đổi</t>
        </is>
      </c>
      <c r="E118" s="37" t="inlineStr">
        <is>
          <t>Nguyễn Trung Thông</t>
        </is>
      </c>
      <c r="F118" s="37" t="inlineStr">
        <is>
          <t>Cô Hoa</t>
        </is>
      </c>
      <c r="G118" s="37" t="n"/>
      <c r="H118" s="37" t="inlineStr">
        <is>
          <t>Thủ Đức</t>
        </is>
      </c>
      <c r="I118" s="37" t="inlineStr">
        <is>
          <t>Lê Văn Xây</t>
        </is>
      </c>
      <c r="J118" s="37" t="inlineStr">
        <is>
          <t>Võ Tứ Hợp</t>
        </is>
      </c>
      <c r="K118" s="37" t="n"/>
      <c r="L118" s="37" t="inlineStr">
        <is>
          <t>Hoàn thành</t>
        </is>
      </c>
      <c r="M118" s="27" t="n">
        <v>46033</v>
      </c>
      <c r="N118" s="28">
        <f>IF(M118="","",M118-TODAY())</f>
        <v/>
      </c>
      <c r="O118" s="37">
        <f>IF(A118="","",IF(L118="Hoàn thành","XONG",IF(L118="Đã hủy","HỦY",IF(N118&lt;0,"QUÁ HẠN",IF(N118&lt;=THIET_LAP!$B$7,"SẮP HẠN","TRONG HẠN")))))</f>
        <v/>
      </c>
      <c r="P118" s="37" t="inlineStr">
        <is>
          <t>016/BK-2026</t>
        </is>
      </c>
      <c r="Q118" s="29" t="n"/>
      <c r="R118" s="37" t="n"/>
      <c r="S118" s="37" t="inlineStr">
        <is>
          <t>Tiến độ: Hoàn thành | Ngày bắt đầu: 2026-01-08 00:00:00 | Ngày nộp: 2026-01-15 00:00:00 | Ngày HT: 2026-01-15 00:00:00 | Lần nộp: 1.0 | Chi kỹ thuật: Đã thanh toán</t>
        </is>
      </c>
    </row>
    <row r="119" ht="15.75" customHeight="1" s="56">
      <c r="A119" s="37" t="inlineStr">
        <is>
          <t>BK-HS-0116</t>
        </is>
      </c>
      <c r="B119" s="27" t="n">
        <v>46030</v>
      </c>
      <c r="C119" s="37" t="inlineStr">
        <is>
          <t>Phòng Đo đạc</t>
        </is>
      </c>
      <c r="D119" s="37" t="inlineStr">
        <is>
          <t>Kiểm tra hiện trạng</t>
        </is>
      </c>
      <c r="E119" s="37" t="inlineStr">
        <is>
          <t>Nguyễn Trần Ngọc Khoa</t>
        </is>
      </c>
      <c r="F119" s="37" t="inlineStr">
        <is>
          <t>Công Ty</t>
        </is>
      </c>
      <c r="G119" s="37" t="inlineStr">
        <is>
          <t>0988935451</t>
        </is>
      </c>
      <c r="H119" s="37" t="inlineStr">
        <is>
          <t>Linh Xuân</t>
        </is>
      </c>
      <c r="I119" s="37" t="inlineStr">
        <is>
          <t>Lê Văn Dựng</t>
        </is>
      </c>
      <c r="J119" s="37" t="inlineStr">
        <is>
          <t>Võ Tứ Hợp</t>
        </is>
      </c>
      <c r="K119" s="37" t="n"/>
      <c r="L119" s="37" t="inlineStr">
        <is>
          <t>Hoàn thành</t>
        </is>
      </c>
      <c r="M119" s="27" t="n">
        <v>46033</v>
      </c>
      <c r="N119" s="28">
        <f>IF(M119="","",M119-TODAY())</f>
        <v/>
      </c>
      <c r="O119" s="37">
        <f>IF(A119="","",IF(L119="Hoàn thành","XONG",IF(L119="Đã hủy","HỦY",IF(N119&lt;0,"QUÁ HẠN",IF(N119&lt;=THIET_LAP!$B$7,"SẮP HẠN","TRONG HẠN")))))</f>
        <v/>
      </c>
      <c r="P119" s="37" t="inlineStr">
        <is>
          <t>015/BK-2026</t>
        </is>
      </c>
      <c r="Q119" s="29" t="n"/>
      <c r="R119" s="37" t="n"/>
      <c r="S119" s="37" t="inlineStr">
        <is>
          <t>Tiến độ: Hoàn thành | Ngày bắt đầu: 2026-01-08 00:00:00 | Ngày nộp: 2026-01-09 00:00:00 | Ngày HT: 2026-01-09 00:00:00 | Lần nộp: 0.0 | Chi kỹ thuật: Đã thanh toán</t>
        </is>
      </c>
    </row>
    <row r="120" ht="15.75" customHeight="1" s="56">
      <c r="A120" s="37" t="inlineStr">
        <is>
          <t>BK-HS-0117</t>
        </is>
      </c>
      <c r="B120" s="27" t="n">
        <v>46030</v>
      </c>
      <c r="C120" s="37" t="inlineStr">
        <is>
          <t>Phòng Đo đạc</t>
        </is>
      </c>
      <c r="D120" s="37" t="inlineStr">
        <is>
          <t>Đo GPS</t>
        </is>
      </c>
      <c r="E120" s="37" t="inlineStr">
        <is>
          <t>Nguyễn Thanh Tùng</t>
        </is>
      </c>
      <c r="F120" s="37" t="inlineStr">
        <is>
          <t>Công Ty</t>
        </is>
      </c>
      <c r="G120" s="37" t="inlineStr">
        <is>
          <t>0931840189</t>
        </is>
      </c>
      <c r="H120" s="37" t="inlineStr">
        <is>
          <t>Long Phước</t>
        </is>
      </c>
      <c r="I120" s="37" t="inlineStr">
        <is>
          <t>Lê Văn Dựng</t>
        </is>
      </c>
      <c r="J120" s="37" t="inlineStr">
        <is>
          <t>Không cần</t>
        </is>
      </c>
      <c r="K120" s="37" t="n"/>
      <c r="L120" s="37" t="inlineStr">
        <is>
          <t>Hoàn thành</t>
        </is>
      </c>
      <c r="M120" s="27" t="n">
        <v>46033</v>
      </c>
      <c r="N120" s="28">
        <f>IF(M120="","",M120-TODAY())</f>
        <v/>
      </c>
      <c r="O120" s="37">
        <f>IF(A120="","",IF(L120="Hoàn thành","XONG",IF(L120="Đã hủy","HỦY",IF(N120&lt;0,"QUÁ HẠN",IF(N120&lt;=THIET_LAP!$B$7,"SẮP HẠN","TRONG HẠN")))))</f>
        <v/>
      </c>
      <c r="P120" s="37" t="inlineStr">
        <is>
          <t>014/BK-2026</t>
        </is>
      </c>
      <c r="Q120" s="29" t="n"/>
      <c r="R120" s="37" t="n"/>
      <c r="S120" s="37" t="inlineStr">
        <is>
          <t>Tiến độ: Hoàn thành | Ngày bắt đầu: 2026-01-08 00:00:00 | Ngày nộp: 2026-01-08 00:00:00 | Ngày HT: 2026-01-08 00:00:00 | Lần nộp: 3.0 | Chi kỹ thuật: Đã thanh toán</t>
        </is>
      </c>
    </row>
    <row r="121" ht="15.75" customHeight="1" s="56">
      <c r="A121" s="37" t="inlineStr">
        <is>
          <t>BK-HS-0118</t>
        </is>
      </c>
      <c r="B121" s="27" t="n">
        <v>46030</v>
      </c>
      <c r="C121" s="37" t="inlineStr">
        <is>
          <t>Phòng Đo đạc</t>
        </is>
      </c>
      <c r="D121" s="37" t="inlineStr">
        <is>
          <t>Cấp đổi</t>
        </is>
      </c>
      <c r="E121" s="37" t="inlineStr">
        <is>
          <t>Nguyễn Thanh Tùng</t>
        </is>
      </c>
      <c r="F121" s="37" t="inlineStr">
        <is>
          <t>Công Ty</t>
        </is>
      </c>
      <c r="G121" s="37" t="inlineStr">
        <is>
          <t>0931840189</t>
        </is>
      </c>
      <c r="H121" s="37" t="inlineStr">
        <is>
          <t>Long Phước</t>
        </is>
      </c>
      <c r="I121" s="37" t="inlineStr">
        <is>
          <t>Lê Văn Dựng</t>
        </is>
      </c>
      <c r="J121" s="37" t="inlineStr">
        <is>
          <t>Không cần</t>
        </is>
      </c>
      <c r="K121" s="37" t="n"/>
      <c r="L121" s="37" t="inlineStr">
        <is>
          <t>Nộp thành công - Chờ kết quả</t>
        </is>
      </c>
      <c r="M121" s="27" t="n">
        <v>46033</v>
      </c>
      <c r="N121" s="28">
        <f>IF(M121="","",M121-TODAY())</f>
        <v/>
      </c>
      <c r="O121" s="37">
        <f>IF(A121="","",IF(L121="Hoàn thành","XONG",IF(L121="Đã hủy","HỦY",IF(N121&lt;0,"QUÁ HẠN",IF(N121&lt;=THIET_LAP!$B$7,"SẮP HẠN","TRONG HẠN")))))</f>
        <v/>
      </c>
      <c r="P121" s="37" t="inlineStr">
        <is>
          <t>013/BK-2026</t>
        </is>
      </c>
      <c r="Q121" s="29" t="n"/>
      <c r="R121" s="37" t="n"/>
      <c r="S121" s="37" t="inlineStr">
        <is>
          <t>Tiến độ: Đã nộp | Ngày bắt đầu: 2026-01-08 00:00:00 | Ngày nộp: 2026-01-31 00:00:00 | Lần nộp: 1.0 | Chi kỹ thuật: Đã thanh toán</t>
        </is>
      </c>
    </row>
    <row r="122" ht="15.75" customHeight="1" s="56">
      <c r="A122" s="37" t="inlineStr">
        <is>
          <t>BK-HS-0119</t>
        </is>
      </c>
      <c r="B122" s="27" t="n">
        <v>46030</v>
      </c>
      <c r="C122" s="37" t="inlineStr">
        <is>
          <t>Phòng Đo đạc</t>
        </is>
      </c>
      <c r="D122" s="37" t="inlineStr">
        <is>
          <t>Cấp đổi</t>
        </is>
      </c>
      <c r="E122" s="37" t="inlineStr">
        <is>
          <t>Phạm Thị Trang</t>
        </is>
      </c>
      <c r="F122" s="37" t="inlineStr">
        <is>
          <t>Cô Hoa</t>
        </is>
      </c>
      <c r="G122" s="37" t="n"/>
      <c r="H122" s="37" t="inlineStr">
        <is>
          <t>Tam Bình</t>
        </is>
      </c>
      <c r="I122" s="37" t="inlineStr">
        <is>
          <t>Tạ Khắc Tập</t>
        </is>
      </c>
      <c r="J122" s="37" t="inlineStr">
        <is>
          <t>Võ Tứ Hợp</t>
        </is>
      </c>
      <c r="K122" s="37" t="n"/>
      <c r="L122" s="37" t="inlineStr">
        <is>
          <t>Nộp thành công - Chờ kết quả</t>
        </is>
      </c>
      <c r="M122" s="27" t="n">
        <v>46033</v>
      </c>
      <c r="N122" s="28">
        <f>IF(M122="","",M122-TODAY())</f>
        <v/>
      </c>
      <c r="O122" s="37">
        <f>IF(A122="","",IF(L122="Hoàn thành","XONG",IF(L122="Đã hủy","HỦY",IF(N122&lt;0,"QUÁ HẠN",IF(N122&lt;=THIET_LAP!$B$7,"SẮP HẠN","TRONG HẠN")))))</f>
        <v/>
      </c>
      <c r="P122" s="37" t="inlineStr">
        <is>
          <t>012/BK-2026</t>
        </is>
      </c>
      <c r="Q122" s="29" t="n"/>
      <c r="R122" s="37" t="n"/>
      <c r="S122" s="37" t="inlineStr">
        <is>
          <t>Tiến độ: Đã nộp | Ngày bắt đầu: 2026-01-08 00:00:00 | Ngày nộp: 2026-01-19 00:00:00 | Lần nộp: 1.0 | Chi kỹ thuật: Đã thanh toán</t>
        </is>
      </c>
    </row>
    <row r="123" ht="15.75" customHeight="1" s="56">
      <c r="A123" s="37" t="inlineStr">
        <is>
          <t>BK-HS-0120</t>
        </is>
      </c>
      <c r="B123" s="27" t="n">
        <v>46029</v>
      </c>
      <c r="C123" s="37" t="inlineStr">
        <is>
          <t>Phòng Đo đạc</t>
        </is>
      </c>
      <c r="D123" s="37" t="inlineStr">
        <is>
          <t>Cắm mốc</t>
        </is>
      </c>
      <c r="E123" s="37" t="inlineStr">
        <is>
          <t>Thái Văn Nghĩa</t>
        </is>
      </c>
      <c r="F123" s="37" t="inlineStr">
        <is>
          <t>Công Ty</t>
        </is>
      </c>
      <c r="G123" s="37" t="inlineStr">
        <is>
          <t>0974776305</t>
        </is>
      </c>
      <c r="H123" s="37" t="inlineStr">
        <is>
          <t>Hiệp Bình</t>
        </is>
      </c>
      <c r="I123" s="37" t="inlineStr">
        <is>
          <t>Lê Văn Dựng</t>
        </is>
      </c>
      <c r="J123" s="37" t="inlineStr">
        <is>
          <t>Võ Tứ Hợp</t>
        </is>
      </c>
      <c r="K123" s="37" t="n"/>
      <c r="L123" s="37" t="inlineStr">
        <is>
          <t>Hoàn thành</t>
        </is>
      </c>
      <c r="M123" s="27" t="n">
        <v>46032</v>
      </c>
      <c r="N123" s="28">
        <f>IF(M123="","",M123-TODAY())</f>
        <v/>
      </c>
      <c r="O123" s="37">
        <f>IF(A123="","",IF(L123="Hoàn thành","XONG",IF(L123="Đã hủy","HỦY",IF(N123&lt;0,"QUÁ HẠN",IF(N123&lt;=THIET_LAP!$B$7,"SẮP HẠN","TRONG HẠN")))))</f>
        <v/>
      </c>
      <c r="P123" s="37" t="inlineStr">
        <is>
          <t>008/BK-2026</t>
        </is>
      </c>
      <c r="Q123" s="29" t="n"/>
      <c r="R123" s="37" t="n"/>
      <c r="S123" s="37" t="inlineStr">
        <is>
          <t>Tiến độ: Hoàn thành | Ngày bắt đầu: 2026-01-07 00:00:00 | Ngày nộp: 2026-01-07 00:00:00 | Ngày HT: 2026-01-07 00:00:00 | Lần nộp: 1.0 | Chi kỹ thuật: Đã thanh toán | Số cọc: 7.0 | Loại cọc: Trụ xi măng</t>
        </is>
      </c>
    </row>
    <row r="124" ht="15.75" customHeight="1" s="56">
      <c r="A124" s="37" t="inlineStr">
        <is>
          <t>BK-HS-0121</t>
        </is>
      </c>
      <c r="B124" s="27" t="n">
        <v>46029</v>
      </c>
      <c r="C124" s="37" t="inlineStr">
        <is>
          <t>Phòng Đo đạc</t>
        </is>
      </c>
      <c r="D124" s="37" t="inlineStr">
        <is>
          <t>Cấp đổi</t>
        </is>
      </c>
      <c r="E124" s="37" t="inlineStr">
        <is>
          <t>Đào Văn Duy</t>
        </is>
      </c>
      <c r="F124" s="37" t="inlineStr">
        <is>
          <t>Đạt Việt Phát Land</t>
        </is>
      </c>
      <c r="G124" s="37" t="n"/>
      <c r="H124" s="37" t="inlineStr">
        <is>
          <t>Bình Trưng</t>
        </is>
      </c>
      <c r="I124" s="37" t="inlineStr">
        <is>
          <t>Lê Văn Xây</t>
        </is>
      </c>
      <c r="J124" s="37" t="inlineStr">
        <is>
          <t>Võ Tứ Hợp</t>
        </is>
      </c>
      <c r="K124" s="37" t="n"/>
      <c r="L124" s="37" t="inlineStr">
        <is>
          <t>Hoàn thành</t>
        </is>
      </c>
      <c r="M124" s="27" t="n">
        <v>46032</v>
      </c>
      <c r="N124" s="28">
        <f>IF(M124="","",M124-TODAY())</f>
        <v/>
      </c>
      <c r="O124" s="37">
        <f>IF(A124="","",IF(L124="Hoàn thành","XONG",IF(L124="Đã hủy","HỦY",IF(N124&lt;0,"QUÁ HẠN",IF(N124&lt;=THIET_LAP!$B$7,"SẮP HẠN","TRONG HẠN")))))</f>
        <v/>
      </c>
      <c r="P124" s="37" t="inlineStr">
        <is>
          <t>009/BK-2026</t>
        </is>
      </c>
      <c r="Q124" s="29" t="n"/>
      <c r="R124" s="37" t="n"/>
      <c r="S124" s="37" t="inlineStr">
        <is>
          <t>Tiến độ: Hoàn thành | Ngày bắt đầu: 2026-01-07 00:00:00 | Ngày nộp: 2026-01-16 00:00:00 | Ngày HT: 2026-01-16 00:00:00 | Lần nộp: 4.0 | Chi kỹ thuật: Đã thanh toán</t>
        </is>
      </c>
    </row>
    <row r="125" ht="15.75" customHeight="1" s="56">
      <c r="A125" s="37" t="inlineStr">
        <is>
          <t>BK-HS-0122</t>
        </is>
      </c>
      <c r="B125" s="27" t="n">
        <v>46028</v>
      </c>
      <c r="C125" s="37" t="inlineStr">
        <is>
          <t>Phòng Đo đạc</t>
        </is>
      </c>
      <c r="D125" s="37" t="inlineStr">
        <is>
          <t>Hoàn công</t>
        </is>
      </c>
      <c r="E125" s="37" t="inlineStr">
        <is>
          <t>Nguyễn Đế Hiếu</t>
        </is>
      </c>
      <c r="F125" s="37" t="inlineStr">
        <is>
          <t>Hoàng Cương BĐS</t>
        </is>
      </c>
      <c r="G125" s="37" t="n"/>
      <c r="H125" s="37" t="inlineStr">
        <is>
          <t>Hiệp Bình</t>
        </is>
      </c>
      <c r="I125" s="37" t="inlineStr">
        <is>
          <t>Lê Văn Xây</t>
        </is>
      </c>
      <c r="J125" s="37" t="inlineStr">
        <is>
          <t>Võ Tứ Hợp</t>
        </is>
      </c>
      <c r="K125" s="37" t="n"/>
      <c r="L125" s="37" t="inlineStr">
        <is>
          <t>Hoàn thành</t>
        </is>
      </c>
      <c r="M125" s="27" t="n">
        <v>46031</v>
      </c>
      <c r="N125" s="28">
        <f>IF(M125="","",M125-TODAY())</f>
        <v/>
      </c>
      <c r="O125" s="37">
        <f>IF(A125="","",IF(L125="Hoàn thành","XONG",IF(L125="Đã hủy","HỦY",IF(N125&lt;0,"QUÁ HẠN",IF(N125&lt;=THIET_LAP!$B$7,"SẮP HẠN","TRONG HẠN")))))</f>
        <v/>
      </c>
      <c r="P125" s="37" t="inlineStr">
        <is>
          <t>007/BK-2026</t>
        </is>
      </c>
      <c r="Q125" s="29" t="n"/>
      <c r="R125" s="37" t="n"/>
      <c r="S125" s="37" t="inlineStr">
        <is>
          <t>Tiến độ: Hoàn thành | Ngày bắt đầu: 2026-01-06 00:00:00 | Ngày nộp: 2026-03-12 00:00:00 | Ngày HT: 2026-03-12 00:00:00 | Lần nộp: 2.0 | Chi kỹ thuật: Đã thanh toán</t>
        </is>
      </c>
    </row>
    <row r="126" ht="15.75" customHeight="1" s="56">
      <c r="A126" s="37" t="inlineStr">
        <is>
          <t>BK-HS-0123</t>
        </is>
      </c>
      <c r="B126" s="27" t="n">
        <v>46028</v>
      </c>
      <c r="C126" s="37" t="inlineStr">
        <is>
          <t>Phòng Đo đạc</t>
        </is>
      </c>
      <c r="D126" s="37" t="inlineStr">
        <is>
          <t>Hoàn công</t>
        </is>
      </c>
      <c r="E126" s="37" t="inlineStr">
        <is>
          <t>Nguyễn Đế Hiếu</t>
        </is>
      </c>
      <c r="F126" s="37" t="inlineStr">
        <is>
          <t>Hoàng Cương BĐS</t>
        </is>
      </c>
      <c r="G126" s="37" t="n"/>
      <c r="H126" s="37" t="inlineStr">
        <is>
          <t>Hiệp Bình</t>
        </is>
      </c>
      <c r="I126" s="37" t="inlineStr">
        <is>
          <t>Lê Văn Xây</t>
        </is>
      </c>
      <c r="J126" s="37" t="inlineStr">
        <is>
          <t>Võ Tứ Hợp</t>
        </is>
      </c>
      <c r="K126" s="37" t="n"/>
      <c r="L126" s="37" t="inlineStr">
        <is>
          <t>Hoàn thành</t>
        </is>
      </c>
      <c r="M126" s="27" t="n">
        <v>46031</v>
      </c>
      <c r="N126" s="28">
        <f>IF(M126="","",M126-TODAY())</f>
        <v/>
      </c>
      <c r="O126" s="37">
        <f>IF(A126="","",IF(L126="Hoàn thành","XONG",IF(L126="Đã hủy","HỦY",IF(N126&lt;0,"QUÁ HẠN",IF(N126&lt;=THIET_LAP!$B$7,"SẮP HẠN","TRONG HẠN")))))</f>
        <v/>
      </c>
      <c r="P126" s="37" t="inlineStr">
        <is>
          <t>006/BK-2026</t>
        </is>
      </c>
      <c r="Q126" s="29" t="n"/>
      <c r="R126" s="37" t="n"/>
      <c r="S126" s="37" t="inlineStr">
        <is>
          <t>Tiến độ: Hoàn thành | Ngày bắt đầu: 2026-01-06 00:00:00 | Ngày nộp: 2026-03-12 00:00:00 | Ngày HT: 2026-03-12 00:00:00 | Lần nộp: 1.0 | Chi kỹ thuật: Đã thanh toán</t>
        </is>
      </c>
    </row>
    <row r="127" ht="15.75" customHeight="1" s="56">
      <c r="A127" s="37" t="inlineStr">
        <is>
          <t>BK-HS-0124</t>
        </is>
      </c>
      <c r="B127" s="27" t="n">
        <v>46028</v>
      </c>
      <c r="C127" s="37" t="inlineStr">
        <is>
          <t>Phòng Đo đạc</t>
        </is>
      </c>
      <c r="D127" s="37" t="inlineStr">
        <is>
          <t>Hoàn công</t>
        </is>
      </c>
      <c r="E127" s="37" t="inlineStr">
        <is>
          <t>Nguyễn Bắc Nam</t>
        </is>
      </c>
      <c r="F127" s="37" t="inlineStr">
        <is>
          <t>Công Ty</t>
        </is>
      </c>
      <c r="G127" s="37" t="inlineStr">
        <is>
          <t>0918740199</t>
        </is>
      </c>
      <c r="H127" s="37" t="inlineStr">
        <is>
          <t>Linh Xuân</t>
        </is>
      </c>
      <c r="I127" s="37" t="inlineStr">
        <is>
          <t>Trương Tấn Quốc</t>
        </is>
      </c>
      <c r="J127" s="37" t="inlineStr">
        <is>
          <t>Võ Tứ Hợp</t>
        </is>
      </c>
      <c r="K127" s="37" t="n"/>
      <c r="L127" s="37" t="inlineStr">
        <is>
          <t>Hủy</t>
        </is>
      </c>
      <c r="M127" s="27" t="n">
        <v>46031</v>
      </c>
      <c r="N127" s="28">
        <f>IF(M127="","",M127-TODAY())</f>
        <v/>
      </c>
      <c r="O127" s="37">
        <f>IF(A127="","",IF(L127="Hoàn thành","XONG",IF(L127="Đã hủy","HỦY",IF(N127&lt;0,"QUÁ HẠN",IF(N127&lt;=THIET_LAP!$B$7,"SẮP HẠN","TRONG HẠN")))))</f>
        <v/>
      </c>
      <c r="P127" s="37" t="inlineStr">
        <is>
          <t>005/BK-2026</t>
        </is>
      </c>
      <c r="Q127" s="29" t="n"/>
      <c r="R127" s="37" t="n"/>
      <c r="S127" s="37" t="inlineStr">
        <is>
          <t>Tiến độ: ĐÃ HỦY | Ngày bắt đầu: 2026-01-06 00:00:00 | Ngày nộp: 2026-01-17 00:00:00 | Lần nộp: 1.0 | Chi kỹ thuật: Đã thanh toán | Giải trình: Lệch ranh - Đợi hoàn thành công trình</t>
        </is>
      </c>
    </row>
    <row r="128" ht="15.75" customHeight="1" s="56">
      <c r="A128" s="37" t="inlineStr">
        <is>
          <t>BK-HS-0125</t>
        </is>
      </c>
      <c r="B128" s="27" t="n">
        <v>46028</v>
      </c>
      <c r="C128" s="37" t="inlineStr">
        <is>
          <t>Phòng Đo đạc</t>
        </is>
      </c>
      <c r="D128" s="37" t="inlineStr">
        <is>
          <t>Cấp đổi</t>
        </is>
      </c>
      <c r="E128" s="37" t="inlineStr">
        <is>
          <t>Nguyễn Minh Trung - Nguyễn Thị Phương Thúy</t>
        </is>
      </c>
      <c r="F128" s="37" t="inlineStr">
        <is>
          <t>Công Ty</t>
        </is>
      </c>
      <c r="G128" s="37" t="inlineStr">
        <is>
          <t>0829552210 - 0901161878</t>
        </is>
      </c>
      <c r="H128" s="37" t="inlineStr">
        <is>
          <t>Thủ Đức</t>
        </is>
      </c>
      <c r="I128" s="37" t="inlineStr">
        <is>
          <t>Trương Tấn Quốc</t>
        </is>
      </c>
      <c r="J128" s="37" t="inlineStr">
        <is>
          <t>Võ Tứ Hợp</t>
        </is>
      </c>
      <c r="K128" s="37" t="n"/>
      <c r="L128" s="37" t="inlineStr">
        <is>
          <t>Hoàn thành</t>
        </is>
      </c>
      <c r="M128" s="27" t="n">
        <v>46031</v>
      </c>
      <c r="N128" s="28">
        <f>IF(M128="","",M128-TODAY())</f>
        <v/>
      </c>
      <c r="O128" s="37">
        <f>IF(A128="","",IF(L128="Hoàn thành","XONG",IF(L128="Đã hủy","HỦY",IF(N128&lt;0,"QUÁ HẠN",IF(N128&lt;=THIET_LAP!$B$7,"SẮP HẠN","TRONG HẠN")))))</f>
        <v/>
      </c>
      <c r="P128" s="37" t="inlineStr">
        <is>
          <t>004/BK-2026</t>
        </is>
      </c>
      <c r="Q128" s="29" t="n"/>
      <c r="R128" s="37" t="n"/>
      <c r="S128" s="37" t="inlineStr">
        <is>
          <t>Tiến độ: Hoàn thành | Ngày bắt đầu: 2026-01-06 00:00:00 | Ngày nộp: 2026-01-19 00:00:00 | Ngày HT: 2026-01-19 00:00:00 | Lần nộp: 1.0 | Chi kỹ thuật: Đã thanh toán</t>
        </is>
      </c>
    </row>
    <row r="129" ht="15.75" customHeight="1" s="56">
      <c r="A129" s="37" t="inlineStr">
        <is>
          <t>BK-HS-0126</t>
        </is>
      </c>
      <c r="B129" s="27" t="n">
        <v>46028</v>
      </c>
      <c r="C129" s="37" t="inlineStr">
        <is>
          <t>Phòng Đo đạc</t>
        </is>
      </c>
      <c r="D129" s="37" t="inlineStr">
        <is>
          <t>Đo GPS</t>
        </is>
      </c>
      <c r="E129" s="37" t="inlineStr">
        <is>
          <t>Đoàn Vân Anh</t>
        </is>
      </c>
      <c r="F129" s="37" t="inlineStr">
        <is>
          <t>Công Ty</t>
        </is>
      </c>
      <c r="G129" s="37" t="inlineStr">
        <is>
          <t>0918265242</t>
        </is>
      </c>
      <c r="H129" s="37" t="inlineStr">
        <is>
          <t>Long Phước</t>
        </is>
      </c>
      <c r="I129" s="37" t="inlineStr">
        <is>
          <t>Lê Văn Dựng</t>
        </is>
      </c>
      <c r="J129" s="37" t="inlineStr">
        <is>
          <t>Không cần</t>
        </is>
      </c>
      <c r="K129" s="37" t="n"/>
      <c r="L129" s="37" t="inlineStr">
        <is>
          <t>Hoàn thành</t>
        </is>
      </c>
      <c r="M129" s="27" t="n">
        <v>46031</v>
      </c>
      <c r="N129" s="28">
        <f>IF(M129="","",M129-TODAY())</f>
        <v/>
      </c>
      <c r="O129" s="37">
        <f>IF(A129="","",IF(L129="Hoàn thành","XONG",IF(L129="Đã hủy","HỦY",IF(N129&lt;0,"QUÁ HẠN",IF(N129&lt;=THIET_LAP!$B$7,"SẮP HẠN","TRONG HẠN")))))</f>
        <v/>
      </c>
      <c r="P129" s="37" t="inlineStr">
        <is>
          <t>003/BK-2026</t>
        </is>
      </c>
      <c r="Q129" s="29" t="n"/>
      <c r="R129" s="37" t="n"/>
      <c r="S129" s="37" t="inlineStr">
        <is>
          <t>Tiến độ: Hoàn thành | Ngày bắt đầu: 2026-01-06 00:00:00 | Ngày nộp: 2026-01-07 00:00:00 | Ngày HT: 2026-01-07 00:00:00 | Lần nộp: 2.0 | Chi kỹ thuật: Đã thanh toán</t>
        </is>
      </c>
    </row>
    <row r="130" ht="15.75" customHeight="1" s="56">
      <c r="A130" s="37" t="inlineStr">
        <is>
          <t>BK-HS-0127</t>
        </is>
      </c>
      <c r="B130" s="27" t="n">
        <v>46028</v>
      </c>
      <c r="C130" s="37" t="inlineStr">
        <is>
          <t>Phòng Đo đạc</t>
        </is>
      </c>
      <c r="D130" s="37" t="inlineStr">
        <is>
          <t>Cắm mốc</t>
        </is>
      </c>
      <c r="E130" s="37" t="inlineStr">
        <is>
          <t>Đoàn Vân Anh</t>
        </is>
      </c>
      <c r="F130" s="37" t="inlineStr">
        <is>
          <t>Công Ty</t>
        </is>
      </c>
      <c r="G130" s="37" t="inlineStr">
        <is>
          <t>0918265242</t>
        </is>
      </c>
      <c r="H130" s="37" t="inlineStr">
        <is>
          <t>Long Phước</t>
        </is>
      </c>
      <c r="I130" s="37" t="inlineStr">
        <is>
          <t>Lê Văn Dựng</t>
        </is>
      </c>
      <c r="J130" s="37" t="inlineStr">
        <is>
          <t>Không cần</t>
        </is>
      </c>
      <c r="K130" s="37" t="n"/>
      <c r="L130" s="37" t="inlineStr">
        <is>
          <t>Hoàn thành</t>
        </is>
      </c>
      <c r="M130" s="27" t="n">
        <v>46031</v>
      </c>
      <c r="N130" s="28">
        <f>IF(M130="","",M130-TODAY())</f>
        <v/>
      </c>
      <c r="O130" s="37">
        <f>IF(A130="","",IF(L130="Hoàn thành","XONG",IF(L130="Đã hủy","HỦY",IF(N130&lt;0,"QUÁ HẠN",IF(N130&lt;=THIET_LAP!$B$7,"SẮP HẠN","TRONG HẠN")))))</f>
        <v/>
      </c>
      <c r="P130" s="37" t="inlineStr">
        <is>
          <t>002/BK-2026</t>
        </is>
      </c>
      <c r="Q130" s="29" t="n"/>
      <c r="R130" s="37" t="n"/>
      <c r="S130" s="37" t="inlineStr">
        <is>
          <t>Tiến độ: Hoàn thành | Ngày bắt đầu: 2026-01-06 00:00:00 | Ngày nộp: 2026-01-06 00:00:00 | Ngày HT: 2026-01-06 00:00:00 | Lần nộp: 2.0 | Chi kỹ thuật: Đã thanh toán | Số cọc: 7.0 | Loại cọc: Trụ xi măng</t>
        </is>
      </c>
    </row>
    <row r="131" ht="15.75" customHeight="1" s="56">
      <c r="A131" s="37" t="inlineStr">
        <is>
          <t>BK-HS-0128</t>
        </is>
      </c>
      <c r="B131" s="27" t="n">
        <v>46028</v>
      </c>
      <c r="C131" s="37" t="inlineStr">
        <is>
          <t>Phòng Đo đạc</t>
        </is>
      </c>
      <c r="D131" s="37" t="inlineStr">
        <is>
          <t>Cấp đổi</t>
        </is>
      </c>
      <c r="E131" s="37" t="inlineStr">
        <is>
          <t>Đoàn Vân Anh</t>
        </is>
      </c>
      <c r="F131" s="37" t="inlineStr">
        <is>
          <t>Công Ty</t>
        </is>
      </c>
      <c r="G131" s="37" t="inlineStr">
        <is>
          <t>0918265242</t>
        </is>
      </c>
      <c r="H131" s="37" t="inlineStr">
        <is>
          <t>Long Phước</t>
        </is>
      </c>
      <c r="I131" s="37" t="inlineStr">
        <is>
          <t>Lê Văn Dựng</t>
        </is>
      </c>
      <c r="J131" s="37" t="inlineStr">
        <is>
          <t>Không cần</t>
        </is>
      </c>
      <c r="K131" s="37" t="n"/>
      <c r="L131" s="37" t="inlineStr">
        <is>
          <t>Hoàn thành</t>
        </is>
      </c>
      <c r="M131" s="27" t="n">
        <v>46031</v>
      </c>
      <c r="N131" s="28">
        <f>IF(M131="","",M131-TODAY())</f>
        <v/>
      </c>
      <c r="O131" s="37">
        <f>IF(A131="","",IF(L131="Hoàn thành","XONG",IF(L131="Đã hủy","HỦY",IF(N131&lt;0,"QUÁ HẠN",IF(N131&lt;=THIET_LAP!$B$7,"SẮP HẠN","TRONG HẠN")))))</f>
        <v/>
      </c>
      <c r="P131" s="37" t="inlineStr">
        <is>
          <t>001/BK-2026</t>
        </is>
      </c>
      <c r="Q131" s="29" t="n"/>
      <c r="R131" s="37" t="n"/>
      <c r="S131" s="37" t="inlineStr">
        <is>
          <t>Tiến độ: Hoàn thành | Ngày bắt đầu: 2026-01-06 00:00:00 | Ngày nộp: 2026-01-16 00:00:00 | Ngày HT: 2026-01-16 00:00:00 | Lần nộp: 1.0 | Chi kỹ thuật: Đã thanh toán</t>
        </is>
      </c>
    </row>
    <row r="132" ht="15.75" customHeight="1" s="56">
      <c r="A132" s="37" t="inlineStr">
        <is>
          <t>BK-HS-0129</t>
        </is>
      </c>
      <c r="B132" s="27" t="n">
        <v>46021</v>
      </c>
      <c r="C132" s="37" t="inlineStr">
        <is>
          <t>Phòng Đo đạc</t>
        </is>
      </c>
      <c r="D132" s="37" t="inlineStr">
        <is>
          <t>Xác định diện tích</t>
        </is>
      </c>
      <c r="E132" s="37" t="inlineStr">
        <is>
          <t>Từ Thị Lai</t>
        </is>
      </c>
      <c r="F132" s="37" t="inlineStr">
        <is>
          <t>Công Ty</t>
        </is>
      </c>
      <c r="G132" s="37" t="inlineStr">
        <is>
          <t>0908008461</t>
        </is>
      </c>
      <c r="H132" s="37" t="inlineStr">
        <is>
          <t>Hiệp Bình</t>
        </is>
      </c>
      <c r="I132" s="37" t="inlineStr">
        <is>
          <t>Lê Văn Xây</t>
        </is>
      </c>
      <c r="J132" s="37" t="inlineStr">
        <is>
          <t>Không cần</t>
        </is>
      </c>
      <c r="K132" s="37" t="n"/>
      <c r="L132" s="37" t="inlineStr">
        <is>
          <t>Hoàn thành</t>
        </is>
      </c>
      <c r="M132" s="27" t="n">
        <v>46024</v>
      </c>
      <c r="N132" s="28">
        <f>IF(M132="","",M132-TODAY())</f>
        <v/>
      </c>
      <c r="O132" s="37">
        <f>IF(A132="","",IF(L132="Hoàn thành","XONG",IF(L132="Đã hủy","HỦY",IF(N132&lt;0,"QUÁ HẠN",IF(N132&lt;=THIET_LAP!$B$7,"SẮP HẠN","TRONG HẠN")))))</f>
        <v/>
      </c>
      <c r="P132" s="37" t="inlineStr">
        <is>
          <t>678/BK-2025</t>
        </is>
      </c>
      <c r="Q132" s="29" t="n"/>
      <c r="R132" s="37" t="n"/>
      <c r="S132" s="37" t="inlineStr">
        <is>
          <t>Tiến độ: Hoàn thành | Ngày bắt đầu: 2025-12-30 00:00:00 | Ngày nộp: 2025-12-31 00:00:00 | Ngày HT: 2025-12-31 00:00:00 | Lần nộp: 1.0 | Chi kỹ thuật: Đã thanh toán</t>
        </is>
      </c>
    </row>
    <row r="133" ht="15.75" customHeight="1" s="56">
      <c r="A133" s="37" t="inlineStr">
        <is>
          <t>BK-HS-0130</t>
        </is>
      </c>
      <c r="B133" s="27" t="n">
        <v>46021</v>
      </c>
      <c r="C133" s="37" t="inlineStr">
        <is>
          <t>Phòng Đo đạc</t>
        </is>
      </c>
      <c r="D133" s="37" t="inlineStr">
        <is>
          <t>Điều chỉnh bản vẽ</t>
        </is>
      </c>
      <c r="E133" s="37" t="inlineStr">
        <is>
          <t>Nghiêm Uy Lân</t>
        </is>
      </c>
      <c r="F133" s="37" t="inlineStr">
        <is>
          <t>Công Ty</t>
        </is>
      </c>
      <c r="G133" s="37" t="inlineStr">
        <is>
          <t>0813877773</t>
        </is>
      </c>
      <c r="H133" s="37" t="inlineStr">
        <is>
          <t>Long Phước</t>
        </is>
      </c>
      <c r="I133" s="37" t="inlineStr">
        <is>
          <t>Tạ Khắc Tập</t>
        </is>
      </c>
      <c r="J133" s="37" t="inlineStr">
        <is>
          <t>Không cần</t>
        </is>
      </c>
      <c r="K133" s="37" t="n"/>
      <c r="L133" s="37" t="inlineStr">
        <is>
          <t>Hoàn thành</t>
        </is>
      </c>
      <c r="M133" s="27" t="n">
        <v>46024</v>
      </c>
      <c r="N133" s="28">
        <f>IF(M133="","",M133-TODAY())</f>
        <v/>
      </c>
      <c r="O133" s="37">
        <f>IF(A133="","",IF(L133="Hoàn thành","XONG",IF(L133="Đã hủy","HỦY",IF(N133&lt;0,"QUÁ HẠN",IF(N133&lt;=THIET_LAP!$B$7,"SẮP HẠN","TRONG HẠN")))))</f>
        <v/>
      </c>
      <c r="P133" s="37" t="inlineStr">
        <is>
          <t>395-DC/BK-2025</t>
        </is>
      </c>
      <c r="Q133" s="29" t="n"/>
      <c r="R133" s="37" t="n"/>
      <c r="S133" s="37" t="inlineStr">
        <is>
          <t>Tiến độ: Hoàn thành | Ngày bắt đầu: 2025-12-30 00:00:00 | Ngày nộp: 2026-01-20 00:00:00 | Ngày HT: 2026-01-20 00:00:00 | Lần nộp: 2.0 | Chi kỹ thuật: Đã thanh toán | Giải trình: DA NOP vy</t>
        </is>
      </c>
    </row>
    <row r="134" ht="15.75" customHeight="1" s="56">
      <c r="A134" s="37" t="inlineStr">
        <is>
          <t>BK-HS-0131</t>
        </is>
      </c>
      <c r="B134" s="27" t="n">
        <v>46021</v>
      </c>
      <c r="C134" s="37" t="inlineStr">
        <is>
          <t>Phòng Đo đạc</t>
        </is>
      </c>
      <c r="D134" s="37" t="inlineStr">
        <is>
          <t>Cấp đổi</t>
        </is>
      </c>
      <c r="E134" s="37" t="inlineStr">
        <is>
          <t>Phạm Thị Vân</t>
        </is>
      </c>
      <c r="F134" s="37" t="inlineStr">
        <is>
          <t>Công Ty</t>
        </is>
      </c>
      <c r="G134" s="37" t="inlineStr">
        <is>
          <t>0988511426</t>
        </is>
      </c>
      <c r="H134" s="37" t="inlineStr">
        <is>
          <t>Long Trường</t>
        </is>
      </c>
      <c r="I134" s="37" t="inlineStr">
        <is>
          <t>Tạ Khắc Tập</t>
        </is>
      </c>
      <c r="J134" s="37" t="inlineStr">
        <is>
          <t>Không cần</t>
        </is>
      </c>
      <c r="K134" s="37" t="n"/>
      <c r="L134" s="37" t="inlineStr">
        <is>
          <t>Hủy</t>
        </is>
      </c>
      <c r="M134" s="27" t="n">
        <v>46024</v>
      </c>
      <c r="N134" s="28">
        <f>IF(M134="","",M134-TODAY())</f>
        <v/>
      </c>
      <c r="O134" s="37">
        <f>IF(A134="","",IF(L134="Hoàn thành","XONG",IF(L134="Đã hủy","HỦY",IF(N134&lt;0,"QUÁ HẠN",IF(N134&lt;=THIET_LAP!$B$7,"SẮP HẠN","TRONG HẠN")))))</f>
        <v/>
      </c>
      <c r="P134" s="37" t="inlineStr">
        <is>
          <t>677/BK-2025</t>
        </is>
      </c>
      <c r="Q134" s="29" t="n"/>
      <c r="R134" s="37" t="n"/>
      <c r="S134" s="37" t="inlineStr">
        <is>
          <t>Tiến độ: ĐÃ HỦY | Ngày bắt đầu: 2025-12-30 00:00:00 | Ngày nộp: 2026-01-17 00:00:00 | Lần nộp: 1.0 | Chi kỹ thuật: Đã thanh toán | Giải trình: chờ chủ nhà bổ sung giấy tờ, trích lục BVCG, ĐO BÁO CAO GPS</t>
        </is>
      </c>
    </row>
    <row r="135" ht="15.75" customHeight="1" s="56">
      <c r="A135" s="37" t="inlineStr">
        <is>
          <t>BK-HS-0132</t>
        </is>
      </c>
      <c r="B135" s="27" t="n">
        <v>46021</v>
      </c>
      <c r="C135" s="37" t="inlineStr">
        <is>
          <t>Phòng Đo đạc</t>
        </is>
      </c>
      <c r="D135" s="37" t="inlineStr">
        <is>
          <t>Cấp đổi</t>
        </is>
      </c>
      <c r="E135" s="37" t="inlineStr">
        <is>
          <t>Phạm Thị Giao Linh</t>
        </is>
      </c>
      <c r="F135" s="37" t="inlineStr">
        <is>
          <t>Tùng Huế DV</t>
        </is>
      </c>
      <c r="G135" s="37" t="n"/>
      <c r="H135" s="37" t="inlineStr">
        <is>
          <t>Bình Trưng</t>
        </is>
      </c>
      <c r="I135" s="37" t="inlineStr">
        <is>
          <t>Lê Văn Dựng</t>
        </is>
      </c>
      <c r="J135" s="37" t="inlineStr">
        <is>
          <t>Võ Tứ Hợp</t>
        </is>
      </c>
      <c r="K135" s="37" t="n"/>
      <c r="L135" s="37" t="inlineStr">
        <is>
          <t>Hoàn thành</t>
        </is>
      </c>
      <c r="M135" s="27" t="n">
        <v>46024</v>
      </c>
      <c r="N135" s="28">
        <f>IF(M135="","",M135-TODAY())</f>
        <v/>
      </c>
      <c r="O135" s="37">
        <f>IF(A135="","",IF(L135="Hoàn thành","XONG",IF(L135="Đã hủy","HỦY",IF(N135&lt;0,"QUÁ HẠN",IF(N135&lt;=THIET_LAP!$B$7,"SẮP HẠN","TRONG HẠN")))))</f>
        <v/>
      </c>
      <c r="P135" s="37" t="inlineStr">
        <is>
          <t>676/BK-2025</t>
        </is>
      </c>
      <c r="Q135" s="29" t="n"/>
      <c r="R135" s="37" t="n"/>
      <c r="S135" s="37" t="inlineStr">
        <is>
          <t>Tiến độ: Hoàn thành | Ngày bắt đầu: 2025-12-30 00:00:00 | Ngày nộp: 2026-01-27 00:00:00 | Ngày HT: 2026-01-27 00:00:00 | Lần nộp: 1.0 | Chi kỹ thuật: Đã thanh toán</t>
        </is>
      </c>
    </row>
    <row r="136" ht="15.75" customHeight="1" s="56">
      <c r="A136" s="37" t="inlineStr">
        <is>
          <t>BK-HS-0133</t>
        </is>
      </c>
      <c r="B136" s="27" t="n">
        <v>46021</v>
      </c>
      <c r="C136" s="37" t="inlineStr">
        <is>
          <t>Phòng Đo đạc</t>
        </is>
      </c>
      <c r="D136" s="37" t="inlineStr">
        <is>
          <t>Cắm mốc</t>
        </is>
      </c>
      <c r="E136" s="37" t="inlineStr">
        <is>
          <t>Vũ Anh Tuấn</t>
        </is>
      </c>
      <c r="F136" s="37" t="inlineStr">
        <is>
          <t>Công Ty</t>
        </is>
      </c>
      <c r="G136" s="37" t="inlineStr">
        <is>
          <t>0934998539</t>
        </is>
      </c>
      <c r="H136" s="37" t="inlineStr">
        <is>
          <t>Cát Lái</t>
        </is>
      </c>
      <c r="I136" s="37" t="inlineStr">
        <is>
          <t>Lê Văn Dựng</t>
        </is>
      </c>
      <c r="J136" s="37" t="inlineStr">
        <is>
          <t>Võ Tứ Hợp</t>
        </is>
      </c>
      <c r="K136" s="37" t="n"/>
      <c r="L136" s="37" t="inlineStr">
        <is>
          <t>Hoàn thành</t>
        </is>
      </c>
      <c r="M136" s="27" t="n">
        <v>46024</v>
      </c>
      <c r="N136" s="28">
        <f>IF(M136="","",M136-TODAY())</f>
        <v/>
      </c>
      <c r="O136" s="37">
        <f>IF(A136="","",IF(L136="Hoàn thành","XONG",IF(L136="Đã hủy","HỦY",IF(N136&lt;0,"QUÁ HẠN",IF(N136&lt;=THIET_LAP!$B$7,"SẮP HẠN","TRONG HẠN")))))</f>
        <v/>
      </c>
      <c r="P136" s="37" t="inlineStr">
        <is>
          <t>675/BK-2025</t>
        </is>
      </c>
      <c r="Q136" s="29" t="n"/>
      <c r="R136" s="37" t="n"/>
      <c r="S136" s="37" t="inlineStr">
        <is>
          <t>Tiến độ: Hoàn thành | Ngày bắt đầu: 2025-12-30 00:00:00 | Ngày nộp: 2025-12-30 00:00:00 | Ngày HT: 2025-12-30 00:00:00 | Lần nộp: 1.0 | Chi kỹ thuật: Đã thanh toán | Số cọc: 4.0 | Loại cọc: Trụ xi măng</t>
        </is>
      </c>
    </row>
    <row r="137" ht="15.75" customHeight="1" s="56">
      <c r="A137" s="37" t="inlineStr">
        <is>
          <t>BK-HS-0134</t>
        </is>
      </c>
      <c r="B137" s="27" t="n">
        <v>46021</v>
      </c>
      <c r="C137" s="37" t="inlineStr">
        <is>
          <t>Phòng Đo đạc</t>
        </is>
      </c>
      <c r="D137" s="37" t="inlineStr">
        <is>
          <t>Điều chỉnh bản vẽ</t>
        </is>
      </c>
      <c r="E137" s="37" t="inlineStr">
        <is>
          <t>Nguyễn Văn Hải</t>
        </is>
      </c>
      <c r="F137" s="37" t="inlineStr">
        <is>
          <t>Cô Hoa</t>
        </is>
      </c>
      <c r="G137" s="37" t="n"/>
      <c r="H137" s="37" t="inlineStr">
        <is>
          <t>Tam Bình</t>
        </is>
      </c>
      <c r="I137" s="37" t="inlineStr">
        <is>
          <t>Trương Tấn Quốc</t>
        </is>
      </c>
      <c r="J137" s="37" t="inlineStr">
        <is>
          <t>Không cần</t>
        </is>
      </c>
      <c r="K137" s="37" t="n"/>
      <c r="L137" s="37" t="inlineStr">
        <is>
          <t>Hoàn thành</t>
        </is>
      </c>
      <c r="M137" s="27" t="n">
        <v>46024</v>
      </c>
      <c r="N137" s="28">
        <f>IF(M137="","",M137-TODAY())</f>
        <v/>
      </c>
      <c r="O137" s="37">
        <f>IF(A137="","",IF(L137="Hoàn thành","XONG",IF(L137="Đã hủy","HỦY",IF(N137&lt;0,"QUÁ HẠN",IF(N137&lt;=THIET_LAP!$B$7,"SẮP HẠN","TRONG HẠN")))))</f>
        <v/>
      </c>
      <c r="P137" s="37" t="inlineStr">
        <is>
          <t>674/BK-2025</t>
        </is>
      </c>
      <c r="Q137" s="29" t="n"/>
      <c r="R137" s="37" t="n"/>
      <c r="S137" s="37" t="inlineStr">
        <is>
          <t>Tiến độ: Hoàn thành | Ngày bắt đầu: 2025-12-30 00:00:00 | Ngày nộp: 2026-01-13 00:00:00 | Ngày HT: 2026-01-13 00:00:00 | Lần nộp: 2.0 | Chi kỹ thuật: Đã thanh toán</t>
        </is>
      </c>
    </row>
    <row r="138" ht="15.75" customHeight="1" s="56">
      <c r="A138" s="37" t="inlineStr">
        <is>
          <t>BK-HS-0135</t>
        </is>
      </c>
      <c r="B138" s="27" t="n">
        <v>46020</v>
      </c>
      <c r="C138" s="37" t="inlineStr">
        <is>
          <t>Phòng Đo đạc</t>
        </is>
      </c>
      <c r="D138" s="37" t="inlineStr">
        <is>
          <t>Điều chỉnh bản vẽ</t>
        </is>
      </c>
      <c r="E138" s="37" t="inlineStr">
        <is>
          <t>Nguyễn Minh Chữ</t>
        </is>
      </c>
      <c r="F138" s="37" t="inlineStr">
        <is>
          <t>Chú Loan DV</t>
        </is>
      </c>
      <c r="G138" s="37" t="n"/>
      <c r="H138" s="37" t="inlineStr">
        <is>
          <t>Hiệp Bình</t>
        </is>
      </c>
      <c r="I138" s="37" t="inlineStr">
        <is>
          <t>Tạ Khắc Tập</t>
        </is>
      </c>
      <c r="J138" s="37" t="inlineStr">
        <is>
          <t>Không cần</t>
        </is>
      </c>
      <c r="K138" s="37" t="n"/>
      <c r="L138" s="37" t="inlineStr">
        <is>
          <t>Hủy</t>
        </is>
      </c>
      <c r="M138" s="27" t="n">
        <v>46023</v>
      </c>
      <c r="N138" s="28">
        <f>IF(M138="","",M138-TODAY())</f>
        <v/>
      </c>
      <c r="O138" s="37">
        <f>IF(A138="","",IF(L138="Hoàn thành","XONG",IF(L138="Đã hủy","HỦY",IF(N138&lt;0,"QUÁ HẠN",IF(N138&lt;=THIET_LAP!$B$7,"SẮP HẠN","TRONG HẠN")))))</f>
        <v/>
      </c>
      <c r="P138" s="37" t="inlineStr">
        <is>
          <t>632-DC/BK-2025</t>
        </is>
      </c>
      <c r="Q138" s="29" t="n"/>
      <c r="R138" s="37" t="n"/>
      <c r="S138" s="37" t="inlineStr">
        <is>
          <t>Tiến độ: ĐÃ HỦY | Ngày bắt đầu: 2025-12-29 00:00:00 | Ngày nộp: 2026-01-16 00:00:00 | Lần nộp: 1.0 | Chi kỹ thuật: Đã thanh toán | Giải trình: HỖ TRỢ KHÁCH THÔI</t>
        </is>
      </c>
    </row>
    <row r="139" ht="15.75" customHeight="1" s="56">
      <c r="A139" s="37" t="inlineStr">
        <is>
          <t>BK-HS-0136</t>
        </is>
      </c>
      <c r="B139" s="27" t="n">
        <v>46020</v>
      </c>
      <c r="C139" s="37" t="inlineStr">
        <is>
          <t>Phòng Đo đạc</t>
        </is>
      </c>
      <c r="D139" s="37" t="inlineStr">
        <is>
          <t>Đo GPS</t>
        </is>
      </c>
      <c r="E139" s="37" t="inlineStr">
        <is>
          <t>Chu Trần Trọng</t>
        </is>
      </c>
      <c r="F139" s="37" t="inlineStr">
        <is>
          <t>Công Ty</t>
        </is>
      </c>
      <c r="G139" s="37" t="inlineStr">
        <is>
          <t>0903131109</t>
        </is>
      </c>
      <c r="H139" s="37" t="inlineStr">
        <is>
          <t>Hiệp Bình</t>
        </is>
      </c>
      <c r="I139" s="37" t="inlineStr">
        <is>
          <t>Lê Văn Dựng</t>
        </is>
      </c>
      <c r="J139" s="37" t="inlineStr">
        <is>
          <t>Không cần</t>
        </is>
      </c>
      <c r="K139" s="37" t="n"/>
      <c r="L139" s="37" t="inlineStr">
        <is>
          <t>Hoàn thành</t>
        </is>
      </c>
      <c r="M139" s="27" t="n">
        <v>46023</v>
      </c>
      <c r="N139" s="28">
        <f>IF(M139="","",M139-TODAY())</f>
        <v/>
      </c>
      <c r="O139" s="37">
        <f>IF(A139="","",IF(L139="Hoàn thành","XONG",IF(L139="Đã hủy","HỦY",IF(N139&lt;0,"QUÁ HẠN",IF(N139&lt;=THIET_LAP!$B$7,"SẮP HẠN","TRONG HẠN")))))</f>
        <v/>
      </c>
      <c r="P139" s="37" t="inlineStr">
        <is>
          <t>659-1/BK-2025</t>
        </is>
      </c>
      <c r="Q139" s="29" t="n"/>
      <c r="R139" s="37" t="n"/>
      <c r="S139" s="37" t="inlineStr">
        <is>
          <t>Tiến độ: Hoàn thành | Ngày bắt đầu: 2025-12-29 00:00:00 | Ngày nộp: 2025-12-29 00:00:00 | Ngày HT: 2025-12-29 00:00:00 | Lần nộp: 5.0 | Chi kỹ thuật: Đã thanh toán</t>
        </is>
      </c>
    </row>
    <row r="140" ht="15.75" customHeight="1" s="56">
      <c r="A140" s="37" t="inlineStr">
        <is>
          <t>BK-HS-0137</t>
        </is>
      </c>
      <c r="B140" s="27" t="n">
        <v>46020</v>
      </c>
      <c r="C140" s="37" t="inlineStr">
        <is>
          <t>Phòng Đo đạc</t>
        </is>
      </c>
      <c r="D140" s="37" t="inlineStr">
        <is>
          <t>Hoàn công</t>
        </is>
      </c>
      <c r="E140" s="37" t="inlineStr">
        <is>
          <t>Phạm Thị Trang</t>
        </is>
      </c>
      <c r="F140" s="37" t="inlineStr">
        <is>
          <t>Công Ty</t>
        </is>
      </c>
      <c r="G140" s="37" t="inlineStr">
        <is>
          <t>0902805770</t>
        </is>
      </c>
      <c r="H140" s="37" t="inlineStr">
        <is>
          <t>Long Bình</t>
        </is>
      </c>
      <c r="I140" s="37" t="inlineStr">
        <is>
          <t>Lê Văn Dựng</t>
        </is>
      </c>
      <c r="J140" s="37" t="inlineStr">
        <is>
          <t>Không cần</t>
        </is>
      </c>
      <c r="K140" s="37" t="n"/>
      <c r="L140" s="37" t="inlineStr">
        <is>
          <t>Hoàn thành</t>
        </is>
      </c>
      <c r="M140" s="27" t="n">
        <v>46023</v>
      </c>
      <c r="N140" s="28">
        <f>IF(M140="","",M140-TODAY())</f>
        <v/>
      </c>
      <c r="O140" s="37">
        <f>IF(A140="","",IF(L140="Hoàn thành","XONG",IF(L140="Đã hủy","HỦY",IF(N140&lt;0,"QUÁ HẠN",IF(N140&lt;=THIET_LAP!$B$7,"SẮP HẠN","TRONG HẠN")))))</f>
        <v/>
      </c>
      <c r="P140" s="37" t="inlineStr">
        <is>
          <t>673/BK-2025</t>
        </is>
      </c>
      <c r="Q140" s="29" t="n"/>
      <c r="R140" s="37" t="n"/>
      <c r="S140" s="37" t="inlineStr">
        <is>
          <t>Tiến độ: Hoàn thành | Ngày bắt đầu: 2025-12-29 00:00:00 | Ngày nộp: 2026-01-30 00:00:00 | Ngày HT: 2026-01-30 00:00:00 | Lần nộp: 5.0 | Chi kỹ thuật: Đã thanh toán</t>
        </is>
      </c>
    </row>
    <row r="141" ht="15.75" customHeight="1" s="56">
      <c r="A141" s="37" t="inlineStr">
        <is>
          <t>BK-HS-0138</t>
        </is>
      </c>
      <c r="B141" s="27" t="n">
        <v>46020</v>
      </c>
      <c r="C141" s="37" t="inlineStr">
        <is>
          <t>Phòng Đo đạc</t>
        </is>
      </c>
      <c r="D141" s="37" t="inlineStr">
        <is>
          <t>Cấp đổi</t>
        </is>
      </c>
      <c r="E141" s="37" t="inlineStr">
        <is>
          <t>Nguyễn Văn Trưởng - Nguyễn Thị Thúy</t>
        </is>
      </c>
      <c r="F141" s="37" t="inlineStr">
        <is>
          <t>Công Ty</t>
        </is>
      </c>
      <c r="G141" s="37" t="inlineStr">
        <is>
          <t>0359236158</t>
        </is>
      </c>
      <c r="H141" s="37" t="inlineStr">
        <is>
          <t>Long Trường</t>
        </is>
      </c>
      <c r="I141" s="37" t="inlineStr">
        <is>
          <t>Trương Tấn Quốc</t>
        </is>
      </c>
      <c r="J141" s="37" t="inlineStr">
        <is>
          <t>Võ Thành Minh</t>
        </is>
      </c>
      <c r="K141" s="37" t="n"/>
      <c r="L141" s="37" t="inlineStr">
        <is>
          <t>Hoàn thành</t>
        </is>
      </c>
      <c r="M141" s="27" t="n">
        <v>46023</v>
      </c>
      <c r="N141" s="28">
        <f>IF(M141="","",M141-TODAY())</f>
        <v/>
      </c>
      <c r="O141" s="37">
        <f>IF(A141="","",IF(L141="Hoàn thành","XONG",IF(L141="Đã hủy","HỦY",IF(N141&lt;0,"QUÁ HẠN",IF(N141&lt;=THIET_LAP!$B$7,"SẮP HẠN","TRONG HẠN")))))</f>
        <v/>
      </c>
      <c r="P141" s="37" t="inlineStr">
        <is>
          <t>672/BK-2025</t>
        </is>
      </c>
      <c r="Q141" s="29" t="n"/>
      <c r="R141" s="37" t="n"/>
      <c r="S141" s="37" t="inlineStr">
        <is>
          <t>Tiến độ: Hoàn thành | Ngày bắt đầu: 2025-12-29 00:00:00 | Ngày nộp: 2026-01-09 00:00:00 | Ngày HT: 2026-01-09 00:00:00 | Lần nộp: 1.0 | Chi kỹ thuật: Đã thanh toán</t>
        </is>
      </c>
    </row>
    <row r="142" ht="15.75" customHeight="1" s="56">
      <c r="A142" s="37" t="inlineStr">
        <is>
          <t>BK-HS-0139</t>
        </is>
      </c>
      <c r="B142" s="27" t="n">
        <v>46020</v>
      </c>
      <c r="C142" s="37" t="inlineStr">
        <is>
          <t>Phòng Đo đạc</t>
        </is>
      </c>
      <c r="D142" s="37" t="inlineStr">
        <is>
          <t>Hợp thửa</t>
        </is>
      </c>
      <c r="E142" s="37" t="inlineStr">
        <is>
          <t>Nguyễn Thị Xuân Lan</t>
        </is>
      </c>
      <c r="F142" s="37" t="inlineStr">
        <is>
          <t>Công Ty</t>
        </is>
      </c>
      <c r="G142" s="37" t="inlineStr">
        <is>
          <t>0903909323</t>
        </is>
      </c>
      <c r="H142" s="37" t="inlineStr">
        <is>
          <t>Hiệp Bình</t>
        </is>
      </c>
      <c r="I142" s="37" t="inlineStr">
        <is>
          <t>Lê Văn Xây</t>
        </is>
      </c>
      <c r="J142" s="37" t="inlineStr">
        <is>
          <t>Võ Tứ Hợp</t>
        </is>
      </c>
      <c r="K142" s="37" t="n"/>
      <c r="L142" s="37" t="inlineStr">
        <is>
          <t>Nộp thành công - Chờ kết quả</t>
        </is>
      </c>
      <c r="M142" s="27" t="n">
        <v>46023</v>
      </c>
      <c r="N142" s="28">
        <f>IF(M142="","",M142-TODAY())</f>
        <v/>
      </c>
      <c r="O142" s="37">
        <f>IF(A142="","",IF(L142="Hoàn thành","XONG",IF(L142="Đã hủy","HỦY",IF(N142&lt;0,"QUÁ HẠN",IF(N142&lt;=THIET_LAP!$B$7,"SẮP HẠN","TRONG HẠN")))))</f>
        <v/>
      </c>
      <c r="P142" s="37" t="inlineStr">
        <is>
          <t>671/BK-2025</t>
        </is>
      </c>
      <c r="Q142" s="29" t="n"/>
      <c r="R142" s="37" t="n"/>
      <c r="S142" s="37" t="inlineStr">
        <is>
          <t>Tiến độ: Đã nộp | Ngày bắt đầu: 2025-12-29 00:00:00 | Ngày nộp: 2026-01-06 00:00:00 | Lần nộp: 2.0 | Chi kỹ thuật: Đã thanh toán</t>
        </is>
      </c>
    </row>
    <row r="143" ht="15.75" customHeight="1" s="56">
      <c r="A143" s="37" t="inlineStr">
        <is>
          <t>BK-HS-0140</t>
        </is>
      </c>
      <c r="B143" s="27" t="n">
        <v>46020</v>
      </c>
      <c r="C143" s="37" t="inlineStr">
        <is>
          <t>Phòng Đo đạc</t>
        </is>
      </c>
      <c r="D143" s="37" t="inlineStr">
        <is>
          <t>Hợp thửa</t>
        </is>
      </c>
      <c r="E143" s="37" t="inlineStr">
        <is>
          <t>Hồ Trọng Dũng</t>
        </is>
      </c>
      <c r="F143" s="37" t="inlineStr">
        <is>
          <t>Công Ty</t>
        </is>
      </c>
      <c r="G143" s="37" t="inlineStr">
        <is>
          <t>0903887333</t>
        </is>
      </c>
      <c r="H143" s="37" t="inlineStr">
        <is>
          <t>Hiệp Bình</t>
        </is>
      </c>
      <c r="I143" s="37" t="inlineStr">
        <is>
          <t>Lê Văn Xây</t>
        </is>
      </c>
      <c r="J143" s="37" t="inlineStr">
        <is>
          <t>Võ Tứ Hợp</t>
        </is>
      </c>
      <c r="K143" s="37" t="n"/>
      <c r="L143" s="37" t="inlineStr">
        <is>
          <t>Hoàn thành</t>
        </is>
      </c>
      <c r="M143" s="27" t="n">
        <v>46023</v>
      </c>
      <c r="N143" s="28">
        <f>IF(M143="","",M143-TODAY())</f>
        <v/>
      </c>
      <c r="O143" s="37">
        <f>IF(A143="","",IF(L143="Hoàn thành","XONG",IF(L143="Đã hủy","HỦY",IF(N143&lt;0,"QUÁ HẠN",IF(N143&lt;=THIET_LAP!$B$7,"SẮP HẠN","TRONG HẠN")))))</f>
        <v/>
      </c>
      <c r="P143" s="37" t="inlineStr">
        <is>
          <t>670/BK-2025</t>
        </is>
      </c>
      <c r="Q143" s="29" t="n"/>
      <c r="R143" s="37" t="n"/>
      <c r="S143" s="37" t="inlineStr">
        <is>
          <t>Tiến độ: Hoàn thành | Ngày bắt đầu: 2025-12-29 00:00:00 | Ngày nộp: 2026-02-03 00:00:00 | Ngày HT: 2026-02-03 00:00:00 | Lần nộp: 1.0 | Chi kỹ thuật: Đã thanh toán</t>
        </is>
      </c>
    </row>
    <row r="144" ht="15.75" customHeight="1" s="56">
      <c r="A144" s="37" t="inlineStr">
        <is>
          <t>BK-HS-0141</t>
        </is>
      </c>
      <c r="B144" s="27" t="n">
        <v>46020</v>
      </c>
      <c r="C144" s="37" t="inlineStr">
        <is>
          <t>Phòng Đo đạc</t>
        </is>
      </c>
      <c r="D144" s="37" t="inlineStr">
        <is>
          <t>Hoàn công</t>
        </is>
      </c>
      <c r="E144" s="37" t="inlineStr">
        <is>
          <t>Phan Ngọc Bắc</t>
        </is>
      </c>
      <c r="F144" s="37" t="inlineStr">
        <is>
          <t>Tùng Mập</t>
        </is>
      </c>
      <c r="G144" s="37" t="n"/>
      <c r="H144" s="37" t="inlineStr">
        <is>
          <t>Hiệp Bình</t>
        </is>
      </c>
      <c r="I144" s="37" t="inlineStr">
        <is>
          <t>Lê Văn Xây</t>
        </is>
      </c>
      <c r="J144" s="37" t="inlineStr">
        <is>
          <t>Võ Tứ Hợp</t>
        </is>
      </c>
      <c r="K144" s="37" t="n"/>
      <c r="L144" s="37" t="inlineStr">
        <is>
          <t>Hoàn thành</t>
        </is>
      </c>
      <c r="M144" s="27" t="n">
        <v>46023</v>
      </c>
      <c r="N144" s="28">
        <f>IF(M144="","",M144-TODAY())</f>
        <v/>
      </c>
      <c r="O144" s="37">
        <f>IF(A144="","",IF(L144="Hoàn thành","XONG",IF(L144="Đã hủy","HỦY",IF(N144&lt;0,"QUÁ HẠN",IF(N144&lt;=THIET_LAP!$B$7,"SẮP HẠN","TRONG HẠN")))))</f>
        <v/>
      </c>
      <c r="P144" s="37" t="inlineStr">
        <is>
          <t>669/BK-2025</t>
        </is>
      </c>
      <c r="Q144" s="29" t="n"/>
      <c r="R144" s="37" t="n"/>
      <c r="S144" s="37" t="inlineStr">
        <is>
          <t>Tiến độ: Hoàn thành | Ngày bắt đầu: 2025-12-29 00:00:00 | Ngày nộp: 2026-01-10 00:00:00 | Ngày HT: 2026-01-10 00:00:00 | Lần nộp: 1.0 | Chi kỹ thuật: Đã thanh toán</t>
        </is>
      </c>
    </row>
    <row r="145" ht="15.75" customHeight="1" s="56">
      <c r="A145" s="37" t="inlineStr">
        <is>
          <t>BK-HS-0142</t>
        </is>
      </c>
      <c r="B145" s="27" t="n">
        <v>46020</v>
      </c>
      <c r="C145" s="37" t="inlineStr">
        <is>
          <t>Phòng Đo đạc</t>
        </is>
      </c>
      <c r="D145" s="37" t="inlineStr">
        <is>
          <t>Cấp đổi</t>
        </is>
      </c>
      <c r="E145" s="37" t="inlineStr">
        <is>
          <t>Phạm Thị Minh Uyên</t>
        </is>
      </c>
      <c r="F145" s="37" t="inlineStr">
        <is>
          <t>Công Ty</t>
        </is>
      </c>
      <c r="G145" s="37" t="inlineStr">
        <is>
          <t>0909971199</t>
        </is>
      </c>
      <c r="H145" s="37" t="inlineStr">
        <is>
          <t>Tam Bình</t>
        </is>
      </c>
      <c r="I145" s="37" t="inlineStr">
        <is>
          <t>Lê Văn Xây</t>
        </is>
      </c>
      <c r="J145" s="37" t="inlineStr">
        <is>
          <t>Võ Tứ Hợp</t>
        </is>
      </c>
      <c r="K145" s="37" t="n"/>
      <c r="L145" s="37" t="inlineStr">
        <is>
          <t>Hoàn thành</t>
        </is>
      </c>
      <c r="M145" s="27" t="n">
        <v>46023</v>
      </c>
      <c r="N145" s="28">
        <f>IF(M145="","",M145-TODAY())</f>
        <v/>
      </c>
      <c r="O145" s="37">
        <f>IF(A145="","",IF(L145="Hoàn thành","XONG",IF(L145="Đã hủy","HỦY",IF(N145&lt;0,"QUÁ HẠN",IF(N145&lt;=THIET_LAP!$B$7,"SẮP HẠN","TRONG HẠN")))))</f>
        <v/>
      </c>
      <c r="P145" s="37" t="inlineStr">
        <is>
          <t>668/BK-2025</t>
        </is>
      </c>
      <c r="Q145" s="29" t="n"/>
      <c r="R145" s="37" t="n"/>
      <c r="S145" s="37" t="inlineStr">
        <is>
          <t>Tiến độ: Hoàn thành | Ngày bắt đầu: 2025-12-29 00:00:00 | Ngày nộp: 2026-01-12 00:00:00 | Ngày HT: 2026-01-12 00:00:00 | Lần nộp: 2.0 | Chi kỹ thuật: Đã thanh toán</t>
        </is>
      </c>
    </row>
    <row r="146" ht="15.75" customHeight="1" s="56">
      <c r="A146" s="37" t="inlineStr">
        <is>
          <t>BK-HS-0143</t>
        </is>
      </c>
      <c r="B146" s="27" t="n">
        <v>46017</v>
      </c>
      <c r="C146" s="37" t="inlineStr">
        <is>
          <t>Phòng Đo đạc</t>
        </is>
      </c>
      <c r="D146" s="37" t="inlineStr">
        <is>
          <t>Cấp đổi</t>
        </is>
      </c>
      <c r="E146" s="37" t="inlineStr">
        <is>
          <t>Nguyễn Văn Biên</t>
        </is>
      </c>
      <c r="F146" s="37" t="inlineStr">
        <is>
          <t>Công Ty</t>
        </is>
      </c>
      <c r="G146" s="37" t="inlineStr">
        <is>
          <t>0903066111</t>
        </is>
      </c>
      <c r="H146" s="37" t="inlineStr">
        <is>
          <t>Tam Bình</t>
        </is>
      </c>
      <c r="I146" s="37" t="inlineStr">
        <is>
          <t>Lê Văn Xây</t>
        </is>
      </c>
      <c r="J146" s="37" t="inlineStr">
        <is>
          <t>Võ Tứ Hợp</t>
        </is>
      </c>
      <c r="K146" s="37" t="n"/>
      <c r="L146" s="37" t="inlineStr">
        <is>
          <t>Hoàn thành</t>
        </is>
      </c>
      <c r="M146" s="27" t="n">
        <v>46020</v>
      </c>
      <c r="N146" s="28">
        <f>IF(M146="","",M146-TODAY())</f>
        <v/>
      </c>
      <c r="O146" s="37">
        <f>IF(A146="","",IF(L146="Hoàn thành","XONG",IF(L146="Đã hủy","HỦY",IF(N146&lt;0,"QUÁ HẠN",IF(N146&lt;=THIET_LAP!$B$7,"SẮP HẠN","TRONG HẠN")))))</f>
        <v/>
      </c>
      <c r="P146" s="37" t="inlineStr">
        <is>
          <t>667/BK-2025</t>
        </is>
      </c>
      <c r="Q146" s="29" t="n"/>
      <c r="R146" s="37" t="n"/>
      <c r="S146" s="37" t="inlineStr">
        <is>
          <t>Tiến độ: Hoàn thành | Ngày bắt đầu: 2025-12-26 00:00:00 | Ngày nộp: 2026-01-13 00:00:00 | Ngày HT: 2026-01-13 00:00:00 | Lần nộp: 1.0 | Chi kỹ thuật: Đã thanh toán</t>
        </is>
      </c>
    </row>
    <row r="147" ht="15.75" customHeight="1" s="56">
      <c r="A147" s="37" t="inlineStr">
        <is>
          <t>BK-HS-0144</t>
        </is>
      </c>
      <c r="B147" s="27" t="n">
        <v>46017</v>
      </c>
      <c r="C147" s="37" t="inlineStr">
        <is>
          <t>Phòng Đo đạc</t>
        </is>
      </c>
      <c r="D147" s="37" t="inlineStr">
        <is>
          <t>Xác định diện tích</t>
        </is>
      </c>
      <c r="E147" s="37" t="inlineStr">
        <is>
          <t>Lại Quốc Huy</t>
        </is>
      </c>
      <c r="F147" s="37" t="inlineStr">
        <is>
          <t>Công Ty</t>
        </is>
      </c>
      <c r="G147" s="37" t="inlineStr">
        <is>
          <t>zalo</t>
        </is>
      </c>
      <c r="H147" s="37" t="inlineStr">
        <is>
          <t>Hiệp Bình</t>
        </is>
      </c>
      <c r="I147" s="37" t="inlineStr">
        <is>
          <t>Trương Tấn Quốc</t>
        </is>
      </c>
      <c r="J147" s="37" t="inlineStr">
        <is>
          <t>Không cần</t>
        </is>
      </c>
      <c r="K147" s="37" t="n"/>
      <c r="L147" s="37" t="inlineStr">
        <is>
          <t>Hoàn thành</t>
        </is>
      </c>
      <c r="M147" s="27" t="n">
        <v>46020</v>
      </c>
      <c r="N147" s="28">
        <f>IF(M147="","",M147-TODAY())</f>
        <v/>
      </c>
      <c r="O147" s="37">
        <f>IF(A147="","",IF(L147="Hoàn thành","XONG",IF(L147="Đã hủy","HỦY",IF(N147&lt;0,"QUÁ HẠN",IF(N147&lt;=THIET_LAP!$B$7,"SẮP HẠN","TRONG HẠN")))))</f>
        <v/>
      </c>
      <c r="P147" s="37" t="inlineStr">
        <is>
          <t>XĐDT 116/BK-2025</t>
        </is>
      </c>
      <c r="Q147" s="29" t="n"/>
      <c r="R147" s="37" t="n"/>
      <c r="S147" s="37" t="inlineStr">
        <is>
          <t>Tiến độ: Hoàn thành | Ngày bắt đầu: 2025-12-26 00:00:00 | Ngày nộp: 2025-12-26 00:00:00 | Ngày HT: 2025-12-26 00:00:00 | Lần nộp: 3.0 | Chi kỹ thuật: Đã thanh toán</t>
        </is>
      </c>
    </row>
    <row r="148" ht="15.75" customHeight="1" s="56">
      <c r="A148" s="37" t="inlineStr">
        <is>
          <t>BK-HS-0145</t>
        </is>
      </c>
      <c r="B148" s="27" t="n">
        <v>46017</v>
      </c>
      <c r="C148" s="37" t="inlineStr">
        <is>
          <t>Phòng Đo đạc</t>
        </is>
      </c>
      <c r="D148" s="37" t="inlineStr">
        <is>
          <t>Cắm mốc</t>
        </is>
      </c>
      <c r="E148" s="37" t="inlineStr">
        <is>
          <t>Nguyễn Thanh Hải - Nguyễn Thị Bé Năm</t>
        </is>
      </c>
      <c r="F148" s="37" t="inlineStr">
        <is>
          <t>Chị Xuân DV</t>
        </is>
      </c>
      <c r="G148" s="37" t="n"/>
      <c r="H148" s="37" t="inlineStr">
        <is>
          <t>Tăng Nhơn Phú</t>
        </is>
      </c>
      <c r="I148" s="37" t="inlineStr">
        <is>
          <t>Tạ Khắc Tập</t>
        </is>
      </c>
      <c r="J148" s="37" t="inlineStr">
        <is>
          <t>Lê Văn Dựng</t>
        </is>
      </c>
      <c r="K148" s="37" t="n"/>
      <c r="L148" s="37" t="inlineStr">
        <is>
          <t>Hoàn thành</t>
        </is>
      </c>
      <c r="M148" s="27" t="n">
        <v>46020</v>
      </c>
      <c r="N148" s="28">
        <f>IF(M148="","",M148-TODAY())</f>
        <v/>
      </c>
      <c r="O148" s="37">
        <f>IF(A148="","",IF(L148="Hoàn thành","XONG",IF(L148="Đã hủy","HỦY",IF(N148&lt;0,"QUÁ HẠN",IF(N148&lt;=THIET_LAP!$B$7,"SẮP HẠN","TRONG HẠN")))))</f>
        <v/>
      </c>
      <c r="P148" s="37" t="inlineStr">
        <is>
          <t>652-5/BK-2025</t>
        </is>
      </c>
      <c r="Q148" s="29" t="n"/>
      <c r="R148" s="37" t="n"/>
      <c r="S148" s="37" t="inlineStr">
        <is>
          <t>Tiến độ: Hoàn thành | Ngày bắt đầu: 2025-12-26 00:00:00 | Ngày nộp: 2025-12-26 00:00:00 | Ngày HT: 2025-12-26 00:00:00 | Lần nộp: 1.0 | Chi kỹ thuật: Đã thanh toán | Số cọc: 10.0 | Loại cọc: Trụ xi măng</t>
        </is>
      </c>
    </row>
    <row r="149" ht="15.75" customHeight="1" s="56">
      <c r="A149" s="37" t="inlineStr">
        <is>
          <t>BK-HS-0146</t>
        </is>
      </c>
      <c r="B149" s="27" t="n">
        <v>46016</v>
      </c>
      <c r="C149" s="37" t="inlineStr">
        <is>
          <t>Phòng Đo đạc</t>
        </is>
      </c>
      <c r="D149" s="37" t="inlineStr">
        <is>
          <t>Xác định diện tích</t>
        </is>
      </c>
      <c r="E149" s="37" t="inlineStr">
        <is>
          <t>XDDT Anh Đạt</t>
        </is>
      </c>
      <c r="F149" s="37" t="inlineStr">
        <is>
          <t>Đạt Việt Phát Land</t>
        </is>
      </c>
      <c r="G149" s="37" t="n"/>
      <c r="H149" s="37" t="inlineStr">
        <is>
          <t>Thủ Đức</t>
        </is>
      </c>
      <c r="I149" s="37" t="inlineStr">
        <is>
          <t>Tạ Khắc Tập</t>
        </is>
      </c>
      <c r="J149" s="37" t="inlineStr">
        <is>
          <t>Võ Tứ Hợp</t>
        </is>
      </c>
      <c r="K149" s="37" t="n"/>
      <c r="L149" s="37" t="inlineStr">
        <is>
          <t>Hoàn thành</t>
        </is>
      </c>
      <c r="M149" s="27" t="n">
        <v>46019</v>
      </c>
      <c r="N149" s="28">
        <f>IF(M149="","",M149-TODAY())</f>
        <v/>
      </c>
      <c r="O149" s="37">
        <f>IF(A149="","",IF(L149="Hoàn thành","XONG",IF(L149="Đã hủy","HỦY",IF(N149&lt;0,"QUÁ HẠN",IF(N149&lt;=THIET_LAP!$B$7,"SẮP HẠN","TRONG HẠN")))))</f>
        <v/>
      </c>
      <c r="P149" s="37" t="inlineStr">
        <is>
          <t>666/BK-2025</t>
        </is>
      </c>
      <c r="Q149" s="29" t="n"/>
      <c r="R149" s="37" t="n"/>
      <c r="S149" s="37" t="inlineStr">
        <is>
          <t>Tiến độ: Hoàn thành | Ngày bắt đầu: 2025-12-25 00:00:00 | Ngày nộp: 2025-12-25 00:00:00 | Ngày HT: 2025-12-25 00:00:00 | Lần nộp: 3.0 | Chi kỹ thuật: Đã thanh toán</t>
        </is>
      </c>
    </row>
    <row r="150" ht="15.75" customHeight="1" s="56">
      <c r="A150" s="37" t="inlineStr">
        <is>
          <t>BK-HS-0147</t>
        </is>
      </c>
      <c r="B150" s="27" t="n">
        <v>46015</v>
      </c>
      <c r="C150" s="37" t="inlineStr">
        <is>
          <t>Phòng Đo đạc</t>
        </is>
      </c>
      <c r="D150" s="37" t="inlineStr">
        <is>
          <t>Cắm mốc</t>
        </is>
      </c>
      <c r="E150" s="37" t="inlineStr">
        <is>
          <t>Hộ Lê Huỳnh</t>
        </is>
      </c>
      <c r="F150" s="37" t="inlineStr">
        <is>
          <t>Công Ty</t>
        </is>
      </c>
      <c r="G150" s="37" t="inlineStr">
        <is>
          <t>0396617912</t>
        </is>
      </c>
      <c r="H150" s="37" t="inlineStr">
        <is>
          <t>Long Bình</t>
        </is>
      </c>
      <c r="I150" s="37" t="inlineStr">
        <is>
          <t>Lê Văn Dựng</t>
        </is>
      </c>
      <c r="J150" s="37" t="inlineStr">
        <is>
          <t>Võ Tứ Hợp</t>
        </is>
      </c>
      <c r="K150" s="37" t="inlineStr">
        <is>
          <t>Cao</t>
        </is>
      </c>
      <c r="L150" s="37" t="inlineStr">
        <is>
          <t>Hoàn thành</t>
        </is>
      </c>
      <c r="M150" s="27" t="n">
        <v>46016</v>
      </c>
      <c r="N150" s="28">
        <f>IF(M150="","",M150-TODAY())</f>
        <v/>
      </c>
      <c r="O150" s="37">
        <f>IF(A150="","",IF(L150="Hoàn thành","XONG",IF(L150="Đã hủy","HỦY",IF(N150&lt;0,"QUÁ HẠN",IF(N150&lt;=THIET_LAP!$B$7,"SẮP HẠN","TRONG HẠN")))))</f>
        <v/>
      </c>
      <c r="P150" s="37" t="inlineStr">
        <is>
          <t>665-2/BK-2025</t>
        </is>
      </c>
      <c r="Q150" s="29" t="n"/>
      <c r="R150" s="37" t="n"/>
      <c r="S150" s="37" t="inlineStr">
        <is>
          <t>Tiến độ: Hoàn thành | Ngày bắt đầu: 2025-12-24 00:00:00 | Ngày nộp: 2025-12-25 00:00:00 | Ngày HT: 2025-12-25 00:00:00 | Lần nộp: 1.0 | Chi kỹ thuật: Đã thanh toán | Số cọc: 8.0 | Loại cọc: Trụ xi măng</t>
        </is>
      </c>
    </row>
    <row r="151" ht="15.75" customHeight="1" s="56">
      <c r="A151" s="37" t="inlineStr">
        <is>
          <t>BK-HS-0148</t>
        </is>
      </c>
      <c r="B151" s="27" t="n">
        <v>46015</v>
      </c>
      <c r="C151" s="37" t="inlineStr">
        <is>
          <t>Phòng Đo đạc</t>
        </is>
      </c>
      <c r="D151" s="37" t="inlineStr">
        <is>
          <t>Đo GPS</t>
        </is>
      </c>
      <c r="E151" s="37" t="inlineStr">
        <is>
          <t>Hộ Lê Huỳnh</t>
        </is>
      </c>
      <c r="F151" s="37" t="inlineStr">
        <is>
          <t>Công Ty</t>
        </is>
      </c>
      <c r="G151" s="37" t="inlineStr">
        <is>
          <t>0396617912</t>
        </is>
      </c>
      <c r="H151" s="37" t="inlineStr">
        <is>
          <t>Long Bình</t>
        </is>
      </c>
      <c r="I151" s="37" t="inlineStr">
        <is>
          <t>Lê Văn Dựng</t>
        </is>
      </c>
      <c r="J151" s="37" t="inlineStr">
        <is>
          <t>Không cần</t>
        </is>
      </c>
      <c r="K151" s="37" t="n"/>
      <c r="L151" s="37" t="inlineStr">
        <is>
          <t>Hoàn thành</t>
        </is>
      </c>
      <c r="M151" s="27" t="n">
        <v>46018</v>
      </c>
      <c r="N151" s="28">
        <f>IF(M151="","",M151-TODAY())</f>
        <v/>
      </c>
      <c r="O151" s="37">
        <f>IF(A151="","",IF(L151="Hoàn thành","XONG",IF(L151="Đã hủy","HỦY",IF(N151&lt;0,"QUÁ HẠN",IF(N151&lt;=THIET_LAP!$B$7,"SẮP HẠN","TRONG HẠN")))))</f>
        <v/>
      </c>
      <c r="P151" s="37" t="inlineStr">
        <is>
          <t>665-1/BK-2025</t>
        </is>
      </c>
      <c r="Q151" s="29" t="n"/>
      <c r="R151" s="37" t="n"/>
      <c r="S151" s="37" t="inlineStr">
        <is>
          <t>Tiến độ: Hoàn thành | Ngày bắt đầu: 2025-12-24 00:00:00 | Ngày nộp: 2025-12-25 00:00:00 | Ngày HT: 2025-12-25 00:00:00 | Lần nộp: 2.0 | Chi kỹ thuật: Đã thanh toán</t>
        </is>
      </c>
    </row>
    <row r="152" ht="15.75" customHeight="1" s="56">
      <c r="A152" s="37" t="inlineStr">
        <is>
          <t>BK-HS-0149</t>
        </is>
      </c>
      <c r="B152" s="27" t="n">
        <v>46015</v>
      </c>
      <c r="C152" s="37" t="inlineStr">
        <is>
          <t>Phòng Đo đạc</t>
        </is>
      </c>
      <c r="D152" s="37" t="inlineStr">
        <is>
          <t>Cấp đổi</t>
        </is>
      </c>
      <c r="E152" s="37" t="inlineStr">
        <is>
          <t>Hộ Lê Huỳnh</t>
        </is>
      </c>
      <c r="F152" s="37" t="inlineStr">
        <is>
          <t>Công Ty</t>
        </is>
      </c>
      <c r="G152" s="37" t="inlineStr">
        <is>
          <t>0396617912</t>
        </is>
      </c>
      <c r="H152" s="37" t="inlineStr">
        <is>
          <t>Long Bình</t>
        </is>
      </c>
      <c r="I152" s="37" t="inlineStr">
        <is>
          <t>Lê Văn Dựng</t>
        </is>
      </c>
      <c r="J152" s="37" t="inlineStr">
        <is>
          <t>Không cần</t>
        </is>
      </c>
      <c r="K152" s="37" t="n"/>
      <c r="L152" s="37" t="inlineStr">
        <is>
          <t>Hủy</t>
        </is>
      </c>
      <c r="M152" s="27" t="n">
        <v>46018</v>
      </c>
      <c r="N152" s="28">
        <f>IF(M152="","",M152-TODAY())</f>
        <v/>
      </c>
      <c r="O152" s="37">
        <f>IF(A152="","",IF(L152="Hoàn thành","XONG",IF(L152="Đã hủy","HỦY",IF(N152&lt;0,"QUÁ HẠN",IF(N152&lt;=THIET_LAP!$B$7,"SẮP HẠN","TRONG HẠN")))))</f>
        <v/>
      </c>
      <c r="P152" s="37" t="inlineStr">
        <is>
          <t>665/BK-2025</t>
        </is>
      </c>
      <c r="Q152" s="29" t="n"/>
      <c r="R152" s="37" t="n"/>
      <c r="S152" s="37" t="inlineStr">
        <is>
          <t>Tiến độ: ĐÃ HỦY | Ngày bắt đầu: 2025-12-24 00:00:00 | Ngày nộp: 2026-01-17 00:00:00 | Lần nộp: 1.0 | Chi kỹ thuật: Đã thanh toán</t>
        </is>
      </c>
    </row>
    <row r="153" ht="15.75" customHeight="1" s="56">
      <c r="A153" s="37" t="inlineStr">
        <is>
          <t>BK-HS-0150</t>
        </is>
      </c>
      <c r="B153" s="27" t="n">
        <v>46015</v>
      </c>
      <c r="C153" s="37" t="inlineStr">
        <is>
          <t>Phòng Đo đạc</t>
        </is>
      </c>
      <c r="D153" s="37" t="inlineStr">
        <is>
          <t>Đo GPS</t>
        </is>
      </c>
      <c r="E153" s="37" t="inlineStr">
        <is>
          <t>Nguyễn Lưu Như Ý</t>
        </is>
      </c>
      <c r="F153" s="37" t="inlineStr">
        <is>
          <t>Công Ty</t>
        </is>
      </c>
      <c r="G153" s="37" t="inlineStr">
        <is>
          <t>0978867100</t>
        </is>
      </c>
      <c r="H153" s="37" t="inlineStr">
        <is>
          <t>Tăng Nhơn Phú</t>
        </is>
      </c>
      <c r="I153" s="37" t="inlineStr">
        <is>
          <t>Lê Văn Dựng</t>
        </is>
      </c>
      <c r="J153" s="37" t="inlineStr">
        <is>
          <t>Không cần</t>
        </is>
      </c>
      <c r="K153" s="37" t="n"/>
      <c r="L153" s="37" t="inlineStr">
        <is>
          <t>Hoàn thành</t>
        </is>
      </c>
      <c r="M153" s="27" t="n">
        <v>46018</v>
      </c>
      <c r="N153" s="28">
        <f>IF(M153="","",M153-TODAY())</f>
        <v/>
      </c>
      <c r="O153" s="37">
        <f>IF(A153="","",IF(L153="Hoàn thành","XONG",IF(L153="Đã hủy","HỦY",IF(N153&lt;0,"QUÁ HẠN",IF(N153&lt;=THIET_LAP!$B$7,"SẮP HẠN","TRONG HẠN")))))</f>
        <v/>
      </c>
      <c r="P153" s="37" t="inlineStr">
        <is>
          <t>658-1/BK-2025</t>
        </is>
      </c>
      <c r="Q153" s="29" t="n"/>
      <c r="R153" s="37" t="n"/>
      <c r="S153" s="37" t="inlineStr">
        <is>
          <t>Tiến độ: Hoàn thành | Ngày bắt đầu: 2025-12-24 00:00:00 | Ngày nộp: 2025-12-20 00:00:00 | Ngày HT: 2025-12-20 00:00:00 | Lần nộp: 1.0 | Chi kỹ thuật: Đã thanh toán</t>
        </is>
      </c>
    </row>
    <row r="154" ht="15.75" customHeight="1" s="56">
      <c r="A154" s="37" t="inlineStr">
        <is>
          <t>BK-HS-0151</t>
        </is>
      </c>
      <c r="B154" s="27" t="n">
        <v>46015</v>
      </c>
      <c r="C154" s="37" t="inlineStr">
        <is>
          <t>Phòng Đo đạc</t>
        </is>
      </c>
      <c r="D154" s="37" t="inlineStr">
        <is>
          <t>Điều chỉnh bản vẽ</t>
        </is>
      </c>
      <c r="E154" s="37" t="inlineStr">
        <is>
          <t>Bùi Hà Anh</t>
        </is>
      </c>
      <c r="F154" s="37" t="inlineStr">
        <is>
          <t>Công Ty</t>
        </is>
      </c>
      <c r="G154" s="37" t="inlineStr">
        <is>
          <t>0989980399</t>
        </is>
      </c>
      <c r="H154" s="37" t="inlineStr">
        <is>
          <t>Bình Trưng</t>
        </is>
      </c>
      <c r="I154" s="37" t="inlineStr">
        <is>
          <t>Tạ Khắc Tập</t>
        </is>
      </c>
      <c r="J154" s="37" t="inlineStr">
        <is>
          <t>Không cần</t>
        </is>
      </c>
      <c r="K154" s="37" t="n"/>
      <c r="L154" s="37" t="inlineStr">
        <is>
          <t>Hoàn thành</t>
        </is>
      </c>
      <c r="M154" s="27" t="n">
        <v>46018</v>
      </c>
      <c r="N154" s="28">
        <f>IF(M154="","",M154-TODAY())</f>
        <v/>
      </c>
      <c r="O154" s="37">
        <f>IF(A154="","",IF(L154="Hoàn thành","XONG",IF(L154="Đã hủy","HỦY",IF(N154&lt;0,"QUÁ HẠN",IF(N154&lt;=THIET_LAP!$B$7,"SẮP HẠN","TRONG HẠN")))))</f>
        <v/>
      </c>
      <c r="P154" s="37" t="inlineStr">
        <is>
          <t>574-DC/BK-2025</t>
        </is>
      </c>
      <c r="Q154" s="29" t="n"/>
      <c r="R154" s="37" t="n"/>
      <c r="S154" s="37" t="inlineStr">
        <is>
          <t>Tiến độ: Hoàn thành | Ngày bắt đầu: 2025-12-24 00:00:00 | Ngày nộp: 2026-01-07 00:00:00 | Ngày HT: 2026-01-07 00:00:00 | Lần nộp: 4.0 | Chi kỹ thuật: Đã thanh toán</t>
        </is>
      </c>
    </row>
    <row r="155" ht="15.75" customHeight="1" s="56">
      <c r="A155" s="37" t="inlineStr">
        <is>
          <t>BK-HS-0152</t>
        </is>
      </c>
      <c r="B155" s="27" t="n">
        <v>46014</v>
      </c>
      <c r="C155" s="37" t="inlineStr">
        <is>
          <t>Phòng Đo đạc</t>
        </is>
      </c>
      <c r="D155" s="37" t="inlineStr">
        <is>
          <t>Cấp đổi</t>
        </is>
      </c>
      <c r="E155" s="37" t="inlineStr">
        <is>
          <t>Trương Thị Thu Hằng</t>
        </is>
      </c>
      <c r="F155" s="37" t="inlineStr">
        <is>
          <t>Nguyễn Hương DV</t>
        </is>
      </c>
      <c r="G155" s="37" t="n"/>
      <c r="H155" s="37" t="inlineStr">
        <is>
          <t>Linh Xuân</t>
        </is>
      </c>
      <c r="I155" s="37" t="inlineStr">
        <is>
          <t>Lê Văn Dựng</t>
        </is>
      </c>
      <c r="J155" s="37" t="inlineStr">
        <is>
          <t>Võ Tứ Hợp</t>
        </is>
      </c>
      <c r="K155" s="37" t="n"/>
      <c r="L155" s="37" t="inlineStr">
        <is>
          <t>Hủy</t>
        </is>
      </c>
      <c r="M155" s="27" t="n">
        <v>46017</v>
      </c>
      <c r="N155" s="28">
        <f>IF(M155="","",M155-TODAY())</f>
        <v/>
      </c>
      <c r="O155" s="37">
        <f>IF(A155="","",IF(L155="Hoàn thành","XONG",IF(L155="Đã hủy","HỦY",IF(N155&lt;0,"QUÁ HẠN",IF(N155&lt;=THIET_LAP!$B$7,"SẮP HẠN","TRONG HẠN")))))</f>
        <v/>
      </c>
      <c r="P155" s="37" t="inlineStr">
        <is>
          <t>664/BK-2025</t>
        </is>
      </c>
      <c r="Q155" s="29" t="n"/>
      <c r="R155" s="37" t="n"/>
      <c r="S155" s="37" t="inlineStr">
        <is>
          <t>Tiến độ: ĐÃ HỦY | Ngày bắt đầu: 2025-12-23 00:00:00 | Ngày nộp: 2026-01-17 00:00:00 | Lần nộp: 2.0 | Chi kỹ thuật: Đã thanh toán</t>
        </is>
      </c>
    </row>
    <row r="156" ht="15.75" customHeight="1" s="56">
      <c r="A156" s="37" t="inlineStr">
        <is>
          <t>BK-HS-0153</t>
        </is>
      </c>
      <c r="B156" s="27" t="n">
        <v>46014</v>
      </c>
      <c r="C156" s="37" t="inlineStr">
        <is>
          <t>Phòng Đo đạc</t>
        </is>
      </c>
      <c r="D156" s="37" t="inlineStr">
        <is>
          <t>Xác định diện tích</t>
        </is>
      </c>
      <c r="E156" s="37" t="inlineStr">
        <is>
          <t>Nguyễn Hồng Xuân</t>
        </is>
      </c>
      <c r="F156" s="37" t="inlineStr">
        <is>
          <t>Nguyễn Hương DV</t>
        </is>
      </c>
      <c r="G156" s="37" t="n"/>
      <c r="H156" s="37" t="inlineStr">
        <is>
          <t>Hiệp Bình</t>
        </is>
      </c>
      <c r="I156" s="37" t="inlineStr">
        <is>
          <t>Lê Văn Dựng</t>
        </is>
      </c>
      <c r="J156" s="37" t="inlineStr">
        <is>
          <t>Võ Tứ Hợp</t>
        </is>
      </c>
      <c r="K156" s="37" t="n"/>
      <c r="L156" s="37" t="inlineStr">
        <is>
          <t>Hoàn thành</t>
        </is>
      </c>
      <c r="M156" s="27" t="n">
        <v>46017</v>
      </c>
      <c r="N156" s="28">
        <f>IF(M156="","",M156-TODAY())</f>
        <v/>
      </c>
      <c r="O156" s="37">
        <f>IF(A156="","",IF(L156="Hoàn thành","XONG",IF(L156="Đã hủy","HỦY",IF(N156&lt;0,"QUÁ HẠN",IF(N156&lt;=THIET_LAP!$B$7,"SẮP HẠN","TRONG HẠN")))))</f>
        <v/>
      </c>
      <c r="P156" s="37" t="inlineStr">
        <is>
          <t>663/BK-2025</t>
        </is>
      </c>
      <c r="Q156" s="29" t="n"/>
      <c r="R156" s="37" t="n"/>
      <c r="S156" s="37" t="inlineStr">
        <is>
          <t>Tiến độ: Hoàn thành | Ngày bắt đầu: 2025-12-23 00:00:00 | Ngày nộp: 2025-12-25 00:00:00 | Ngày HT: 2025-12-25 00:00:00 | Lần nộp: 1.0 | Chi kỹ thuật: Đã thanh toán</t>
        </is>
      </c>
    </row>
    <row r="157" ht="15.75" customHeight="1" s="56">
      <c r="A157" s="37" t="inlineStr">
        <is>
          <t>BK-HS-0154</t>
        </is>
      </c>
      <c r="B157" s="27" t="n">
        <v>46014</v>
      </c>
      <c r="C157" s="37" t="inlineStr">
        <is>
          <t>Phòng Đo đạc</t>
        </is>
      </c>
      <c r="D157" s="37" t="inlineStr">
        <is>
          <t>Cắm mốc</t>
        </is>
      </c>
      <c r="E157" s="37" t="inlineStr">
        <is>
          <t>Anh Tiếp (Dragon)</t>
        </is>
      </c>
      <c r="F157" s="37" t="inlineStr">
        <is>
          <t>Công Ty</t>
        </is>
      </c>
      <c r="G157" s="37" t="inlineStr">
        <is>
          <t>0934111180</t>
        </is>
      </c>
      <c r="H157" s="37" t="inlineStr">
        <is>
          <t>Ngoài Thủ Đức</t>
        </is>
      </c>
      <c r="I157" s="37" t="inlineStr">
        <is>
          <t>Lê Văn Dựng</t>
        </is>
      </c>
      <c r="J157" s="37" t="inlineStr">
        <is>
          <t>Võ Tứ Hợp</t>
        </is>
      </c>
      <c r="K157" s="37" t="inlineStr">
        <is>
          <t>Cao</t>
        </is>
      </c>
      <c r="L157" s="37" t="inlineStr">
        <is>
          <t>Hoàn thành</t>
        </is>
      </c>
      <c r="M157" s="27" t="n">
        <v>46015</v>
      </c>
      <c r="N157" s="28">
        <f>IF(M157="","",M157-TODAY())</f>
        <v/>
      </c>
      <c r="O157" s="37">
        <f>IF(A157="","",IF(L157="Hoàn thành","XONG",IF(L157="Đã hủy","HỦY",IF(N157&lt;0,"QUÁ HẠN",IF(N157&lt;=THIET_LAP!$B$7,"SẮP HẠN","TRONG HẠN")))))</f>
        <v/>
      </c>
      <c r="P157" s="37" t="inlineStr">
        <is>
          <t>662/BK-2025</t>
        </is>
      </c>
      <c r="Q157" s="29" t="n"/>
      <c r="R157" s="37" t="n"/>
      <c r="S157" s="37" t="inlineStr">
        <is>
          <t>Tiến độ: Hoàn thành | Ngày bắt đầu: 2025-12-23 00:00:00 | Ngày nộp: 2025-12-23 00:00:00 | Ngày HT: 2025-12-23 00:00:00 | Lần nộp: 3.0 | Chi kỹ thuật: Đã thanh toán | Số cọc: 7.0 | Loại cọc: Trụ xi măng | Ghi chú: Quận 7</t>
        </is>
      </c>
    </row>
    <row r="158" ht="15.75" customHeight="1" s="56">
      <c r="A158" s="37" t="inlineStr">
        <is>
          <t>BK-HS-0155</t>
        </is>
      </c>
      <c r="B158" s="27" t="n">
        <v>46014</v>
      </c>
      <c r="C158" s="37" t="inlineStr">
        <is>
          <t>Phòng Đo đạc</t>
        </is>
      </c>
      <c r="D158" s="37" t="inlineStr">
        <is>
          <t>Cắm mốc</t>
        </is>
      </c>
      <c r="E158" s="37" t="inlineStr">
        <is>
          <t>Nguyễn Thanh Hải - Nguyễn Thị Bé</t>
        </is>
      </c>
      <c r="F158" s="37" t="inlineStr">
        <is>
          <t>Chị Xuân DV</t>
        </is>
      </c>
      <c r="G158" s="37" t="n"/>
      <c r="H158" s="37" t="inlineStr">
        <is>
          <t>Tăng Nhơn Phú</t>
        </is>
      </c>
      <c r="I158" s="37" t="inlineStr">
        <is>
          <t>Tạ Khắc Tập</t>
        </is>
      </c>
      <c r="J158" s="37" t="inlineStr">
        <is>
          <t>Võ Tứ Hợp</t>
        </is>
      </c>
      <c r="K158" s="37" t="n"/>
      <c r="L158" s="37" t="inlineStr">
        <is>
          <t>Hoàn thành</t>
        </is>
      </c>
      <c r="M158" s="27" t="n">
        <v>46017</v>
      </c>
      <c r="N158" s="28">
        <f>IF(M158="","",M158-TODAY())</f>
        <v/>
      </c>
      <c r="O158" s="37">
        <f>IF(A158="","",IF(L158="Hoàn thành","XONG",IF(L158="Đã hủy","HỦY",IF(N158&lt;0,"QUÁ HẠN",IF(N158&lt;=THIET_LAP!$B$7,"SẮP HẠN","TRONG HẠN")))))</f>
        <v/>
      </c>
      <c r="P158" s="37" t="inlineStr">
        <is>
          <t>518-3/BK-2025</t>
        </is>
      </c>
      <c r="Q158" s="29" t="n"/>
      <c r="R158" s="37" t="n"/>
      <c r="S158" s="37" t="inlineStr">
        <is>
          <t>Tiến độ: Hoàn thành | Ngày bắt đầu: 2025-12-23 00:00:00 | Ngày nộp: 2025-12-20 00:00:00 | Ngày HT: 2025-12-20 00:00:00 | Lần nộp: 2.0 | Chi kỹ thuật: Đã thanh toán | Số cọc: 9.0 | Loại cọc: Trụ xi măng | Ghi chú: 6 lô</t>
        </is>
      </c>
    </row>
    <row r="159" ht="15.75" customHeight="1" s="56">
      <c r="A159" s="37" t="inlineStr">
        <is>
          <t>BK-HS-0156</t>
        </is>
      </c>
      <c r="B159" s="27" t="n">
        <v>46014</v>
      </c>
      <c r="C159" s="37" t="inlineStr">
        <is>
          <t>Phòng Đo đạc</t>
        </is>
      </c>
      <c r="D159" s="37" t="inlineStr">
        <is>
          <t>Cắm mốc</t>
        </is>
      </c>
      <c r="E159" s="37" t="inlineStr">
        <is>
          <t>Trần Nguyễn Uyên Thanh Aka Tran Vivian</t>
        </is>
      </c>
      <c r="F159" s="37" t="inlineStr">
        <is>
          <t>Công Ty</t>
        </is>
      </c>
      <c r="G159" s="37" t="inlineStr">
        <is>
          <t>0976 356 641</t>
        </is>
      </c>
      <c r="H159" s="37" t="inlineStr">
        <is>
          <t>Long Phước</t>
        </is>
      </c>
      <c r="I159" s="37" t="inlineStr">
        <is>
          <t>Tạ Khắc Tập</t>
        </is>
      </c>
      <c r="J159" s="37" t="inlineStr">
        <is>
          <t>Không cần</t>
        </is>
      </c>
      <c r="K159" s="37" t="n"/>
      <c r="L159" s="37" t="inlineStr">
        <is>
          <t>Hoàn thành</t>
        </is>
      </c>
      <c r="M159" s="27" t="n">
        <v>46017</v>
      </c>
      <c r="N159" s="28">
        <f>IF(M159="","",M159-TODAY())</f>
        <v/>
      </c>
      <c r="O159" s="37">
        <f>IF(A159="","",IF(L159="Hoàn thành","XONG",IF(L159="Đã hủy","HỦY",IF(N159&lt;0,"QUÁ HẠN",IF(N159&lt;=THIET_LAP!$B$7,"SẮP HẠN","TRONG HẠN")))))</f>
        <v/>
      </c>
      <c r="P159" s="37" t="inlineStr">
        <is>
          <t>508-1/BK-2025</t>
        </is>
      </c>
      <c r="Q159" s="29" t="n"/>
      <c r="R159" s="37" t="n"/>
      <c r="S159" s="37" t="inlineStr">
        <is>
          <t>Tiến độ: Hoàn thành | Ngày bắt đầu: 2025-12-23 00:00:00 | Ngày nộp: 2025-12-23 00:00:00 | Ngày HT: 2025-12-23 00:00:00 | Lần nộp: 2.0 | Chi kỹ thuật: Đã thanh toán | Số cọc: 7.0 | Loại cọc: Trụ xi măng</t>
        </is>
      </c>
    </row>
    <row r="160" ht="15.75" customHeight="1" s="56">
      <c r="A160" s="37" t="inlineStr">
        <is>
          <t>BK-HS-0157</t>
        </is>
      </c>
      <c r="B160" s="27" t="n">
        <v>46011</v>
      </c>
      <c r="C160" s="37" t="inlineStr">
        <is>
          <t>Phòng Đo đạc</t>
        </is>
      </c>
      <c r="D160" s="37" t="inlineStr">
        <is>
          <t>Cấp đổi</t>
        </is>
      </c>
      <c r="E160" s="37" t="inlineStr">
        <is>
          <t>Nguyễn Văn Quân</t>
        </is>
      </c>
      <c r="F160" s="37" t="inlineStr">
        <is>
          <t>Công Ty</t>
        </is>
      </c>
      <c r="G160" s="37" t="inlineStr">
        <is>
          <t>Anh Tập BK</t>
        </is>
      </c>
      <c r="H160" s="37" t="inlineStr">
        <is>
          <t>Long Trường</t>
        </is>
      </c>
      <c r="I160" s="37" t="inlineStr">
        <is>
          <t>Tạ Khắc Tập</t>
        </is>
      </c>
      <c r="J160" s="37" t="inlineStr">
        <is>
          <t>Võ Tứ Hợp</t>
        </is>
      </c>
      <c r="K160" s="37" t="n"/>
      <c r="L160" s="37" t="inlineStr">
        <is>
          <t>Hoàn thành</t>
        </is>
      </c>
      <c r="M160" s="27" t="n">
        <v>46014</v>
      </c>
      <c r="N160" s="28">
        <f>IF(M160="","",M160-TODAY())</f>
        <v/>
      </c>
      <c r="O160" s="37">
        <f>IF(A160="","",IF(L160="Hoàn thành","XONG",IF(L160="Đã hủy","HỦY",IF(N160&lt;0,"QUÁ HẠN",IF(N160&lt;=THIET_LAP!$B$7,"SẮP HẠN","TRONG HẠN")))))</f>
        <v/>
      </c>
      <c r="P160" s="37" t="inlineStr">
        <is>
          <t>661/BK-2025</t>
        </is>
      </c>
      <c r="Q160" s="29" t="n"/>
      <c r="R160" s="37" t="n"/>
      <c r="S160" s="37" t="inlineStr">
        <is>
          <t>Tiến độ: Hoàn thành | Ngày bắt đầu: 2025-12-20 00:00:00 | Ngày nộp: 2026-01-10 00:00:00 | Ngày HT: 2026-01-10 00:00:00 | Lần nộp: 2.0 | Chi kỹ thuật: Đã thanh toán</t>
        </is>
      </c>
    </row>
    <row r="161" ht="15.75" customHeight="1" s="56">
      <c r="A161" s="37" t="inlineStr">
        <is>
          <t>BK-HS-0158</t>
        </is>
      </c>
      <c r="B161" s="27" t="n">
        <v>46011</v>
      </c>
      <c r="C161" s="37" t="inlineStr">
        <is>
          <t>Phòng Đo đạc</t>
        </is>
      </c>
      <c r="D161" s="37" t="inlineStr">
        <is>
          <t>Cấp đổi</t>
        </is>
      </c>
      <c r="E161" s="37" t="inlineStr">
        <is>
          <t>Nguyễn Hữu Nam</t>
        </is>
      </c>
      <c r="F161" s="37" t="inlineStr">
        <is>
          <t>Đạt Việt Phát Land</t>
        </is>
      </c>
      <c r="G161" s="37" t="n"/>
      <c r="H161" s="37" t="inlineStr">
        <is>
          <t>Thủ Đức</t>
        </is>
      </c>
      <c r="I161" s="37" t="inlineStr">
        <is>
          <t>Tạ Khắc Tập</t>
        </is>
      </c>
      <c r="J161" s="37" t="inlineStr">
        <is>
          <t>Võ Tứ Hợp</t>
        </is>
      </c>
      <c r="K161" s="37" t="n"/>
      <c r="L161" s="37" t="inlineStr">
        <is>
          <t>Hủy</t>
        </is>
      </c>
      <c r="M161" s="27" t="n">
        <v>46014</v>
      </c>
      <c r="N161" s="28">
        <f>IF(M161="","",M161-TODAY())</f>
        <v/>
      </c>
      <c r="O161" s="37">
        <f>IF(A161="","",IF(L161="Hoàn thành","XONG",IF(L161="Đã hủy","HỦY",IF(N161&lt;0,"QUÁ HẠN",IF(N161&lt;=THIET_LAP!$B$7,"SẮP HẠN","TRONG HẠN")))))</f>
        <v/>
      </c>
      <c r="P161" s="37" t="inlineStr">
        <is>
          <t>660/BK-2025</t>
        </is>
      </c>
      <c r="Q161" s="29" t="n"/>
      <c r="R161" s="37" t="n"/>
      <c r="S161" s="37" t="inlineStr">
        <is>
          <t>Tiến độ: ĐÃ HỦY | Ngày bắt đầu: 2025-12-20 00:00:00 | Ngày nộp: 2026-01-17 00:00:00 | Lần nộp: 1.0 | Chi kỹ thuật: Đã thanh toán | Giải trình: GIAM DT dat tre chua chot PA</t>
        </is>
      </c>
    </row>
    <row r="162" ht="15.75" customHeight="1" s="56">
      <c r="A162" s="37" t="inlineStr">
        <is>
          <t>BK-HS-0159</t>
        </is>
      </c>
      <c r="B162" s="27" t="n">
        <v>46010</v>
      </c>
      <c r="C162" s="37" t="inlineStr">
        <is>
          <t>Phòng Đo đạc</t>
        </is>
      </c>
      <c r="D162" s="37" t="inlineStr">
        <is>
          <t>Cắm mốc</t>
        </is>
      </c>
      <c r="E162" s="37" t="inlineStr">
        <is>
          <t>Võ Thị Thanh</t>
        </is>
      </c>
      <c r="F162" s="37" t="inlineStr">
        <is>
          <t>Công Ty</t>
        </is>
      </c>
      <c r="G162" s="37" t="inlineStr">
        <is>
          <t>0865725301</t>
        </is>
      </c>
      <c r="H162" s="37" t="inlineStr">
        <is>
          <t>Tam Bình</t>
        </is>
      </c>
      <c r="I162" s="37" t="inlineStr">
        <is>
          <t>Lê Văn Dựng</t>
        </is>
      </c>
      <c r="J162" s="37" t="inlineStr">
        <is>
          <t>Không cần</t>
        </is>
      </c>
      <c r="K162" s="37" t="n"/>
      <c r="L162" s="37" t="inlineStr">
        <is>
          <t>Hoàn thành</t>
        </is>
      </c>
      <c r="M162" s="27" t="n">
        <v>46013</v>
      </c>
      <c r="N162" s="28">
        <f>IF(M162="","",M162-TODAY())</f>
        <v/>
      </c>
      <c r="O162" s="37">
        <f>IF(A162="","",IF(L162="Hoàn thành","XONG",IF(L162="Đã hủy","HỦY",IF(N162&lt;0,"QUÁ HẠN",IF(N162&lt;=THIET_LAP!$B$7,"SẮP HẠN","TRONG HẠN")))))</f>
        <v/>
      </c>
      <c r="P162" s="37" t="inlineStr">
        <is>
          <t>651-1/BK-2025</t>
        </is>
      </c>
      <c r="Q162" s="29" t="n"/>
      <c r="R162" s="37" t="n"/>
      <c r="S162" s="37" t="inlineStr">
        <is>
          <t>Tiến độ: Hoàn thành | Ngày bắt đầu: 2025-12-19 00:00:00 | Ngày nộp: 2025-12-18 00:00:00 | Ngày HT: 2025-12-18 00:00:00 | Lần nộp: 1.0 | Chi kỹ thuật: Đã thanh toán | Số cọc: 4.0 | Loại cọc: Trụ xi măng</t>
        </is>
      </c>
    </row>
    <row r="163" ht="15.75" customHeight="1" s="56">
      <c r="A163" s="37" t="inlineStr">
        <is>
          <t>BK-HS-0160</t>
        </is>
      </c>
      <c r="B163" s="27" t="n">
        <v>46009</v>
      </c>
      <c r="C163" s="37" t="inlineStr">
        <is>
          <t>Phòng Đo đạc</t>
        </is>
      </c>
      <c r="D163" s="37" t="inlineStr">
        <is>
          <t>Cắm mốc</t>
        </is>
      </c>
      <c r="E163" s="37" t="inlineStr">
        <is>
          <t>Trần Thuỳ Giang</t>
        </is>
      </c>
      <c r="F163" s="37" t="inlineStr">
        <is>
          <t>Công Ty</t>
        </is>
      </c>
      <c r="G163" s="37" t="inlineStr">
        <is>
          <t>0901394185</t>
        </is>
      </c>
      <c r="H163" s="37" t="inlineStr">
        <is>
          <t>Tăng Nhơn Phú</t>
        </is>
      </c>
      <c r="I163" s="37" t="inlineStr">
        <is>
          <t>Tạ Khắc Tập</t>
        </is>
      </c>
      <c r="J163" s="37" t="inlineStr">
        <is>
          <t>Trương Tấn Quốc</t>
        </is>
      </c>
      <c r="K163" s="37" t="n"/>
      <c r="L163" s="37" t="inlineStr">
        <is>
          <t>Hoàn thành</t>
        </is>
      </c>
      <c r="M163" s="27" t="n">
        <v>46012</v>
      </c>
      <c r="N163" s="28">
        <f>IF(M163="","",M163-TODAY())</f>
        <v/>
      </c>
      <c r="O163" s="37">
        <f>IF(A163="","",IF(L163="Hoàn thành","XONG",IF(L163="Đã hủy","HỦY",IF(N163&lt;0,"QUÁ HẠN",IF(N163&lt;=THIET_LAP!$B$7,"SẮP HẠN","TRONG HẠN")))))</f>
        <v/>
      </c>
      <c r="P163" s="37" t="inlineStr">
        <is>
          <t>597-1/BK-2025</t>
        </is>
      </c>
      <c r="Q163" s="29" t="n"/>
      <c r="R163" s="37" t="n"/>
      <c r="S163" s="37" t="inlineStr">
        <is>
          <t>Tiến độ: Hoàn thành | Ngày bắt đầu: 2025-12-18 00:00:00 | Ngày nộp: 2025-12-17 00:00:00 | Ngày HT: 2025-12-17 00:00:00 | Lần nộp: 1.0 | Chi kỹ thuật: Đã thanh toán | Số cọc: 4.0 | Loại cọc: Trụ xi măng</t>
        </is>
      </c>
    </row>
    <row r="164" ht="15.75" customHeight="1" s="56">
      <c r="A164" s="37" t="inlineStr">
        <is>
          <t>BK-HS-0161</t>
        </is>
      </c>
      <c r="B164" s="27" t="n">
        <v>46009</v>
      </c>
      <c r="C164" s="37" t="inlineStr">
        <is>
          <t>Phòng Đo đạc</t>
        </is>
      </c>
      <c r="D164" s="37" t="inlineStr">
        <is>
          <t>Cấp đổi</t>
        </is>
      </c>
      <c r="E164" s="37" t="inlineStr">
        <is>
          <t>Chu Trần Trọng</t>
        </is>
      </c>
      <c r="F164" s="37" t="inlineStr">
        <is>
          <t>Công Ty</t>
        </is>
      </c>
      <c r="G164" s="37" t="inlineStr">
        <is>
          <t>0903131109</t>
        </is>
      </c>
      <c r="H164" s="37" t="inlineStr">
        <is>
          <t>Hiệp Bình</t>
        </is>
      </c>
      <c r="I164" s="37" t="inlineStr">
        <is>
          <t>Tạ Khắc Tập</t>
        </is>
      </c>
      <c r="J164" s="37" t="inlineStr">
        <is>
          <t>Võ Tứ Hợp</t>
        </is>
      </c>
      <c r="K164" s="37" t="n"/>
      <c r="L164" s="37" t="inlineStr">
        <is>
          <t>Hoàn thành</t>
        </is>
      </c>
      <c r="M164" s="27" t="n">
        <v>46012</v>
      </c>
      <c r="N164" s="28">
        <f>IF(M164="","",M164-TODAY())</f>
        <v/>
      </c>
      <c r="O164" s="37">
        <f>IF(A164="","",IF(L164="Hoàn thành","XONG",IF(L164="Đã hủy","HỦY",IF(N164&lt;0,"QUÁ HẠN",IF(N164&lt;=THIET_LAP!$B$7,"SẮP HẠN","TRONG HẠN")))))</f>
        <v/>
      </c>
      <c r="P164" s="37" t="inlineStr">
        <is>
          <t>659/BK-2025</t>
        </is>
      </c>
      <c r="Q164" s="29" t="n"/>
      <c r="R164" s="37" t="n"/>
      <c r="S164" s="37" t="inlineStr">
        <is>
          <t>Tiến độ: Hoàn thành | Ngày bắt đầu: 2025-12-18 00:00:00 | Ngày nộp: 2026-02-02 00:00:00 | Ngày HT: 2026-02-02 00:00:00 | Lần nộp: 1.0 | Chi kỹ thuật: Đã thanh toán | Giải trình: giamdt cho chu tháo tuong rao</t>
        </is>
      </c>
    </row>
    <row r="165" ht="15.75" customHeight="1" s="56">
      <c r="A165" s="37" t="inlineStr">
        <is>
          <t>BK-HS-0162</t>
        </is>
      </c>
      <c r="B165" s="27" t="n">
        <v>46009</v>
      </c>
      <c r="C165" s="37" t="inlineStr">
        <is>
          <t>Phòng Đo đạc</t>
        </is>
      </c>
      <c r="D165" s="37" t="inlineStr">
        <is>
          <t>Cấp đổi</t>
        </is>
      </c>
      <c r="E165" s="37" t="inlineStr">
        <is>
          <t>Nguyễn Lưu Như Ý</t>
        </is>
      </c>
      <c r="F165" s="37" t="inlineStr">
        <is>
          <t>Công Ty</t>
        </is>
      </c>
      <c r="G165" s="37" t="inlineStr">
        <is>
          <t>0978867100</t>
        </is>
      </c>
      <c r="H165" s="37" t="inlineStr">
        <is>
          <t>Tăng Nhơn Phú</t>
        </is>
      </c>
      <c r="I165" s="37" t="inlineStr">
        <is>
          <t>Tạ Khắc Tập</t>
        </is>
      </c>
      <c r="J165" s="37" t="inlineStr">
        <is>
          <t>Võ Tứ Hợp</t>
        </is>
      </c>
      <c r="K165" s="37" t="n"/>
      <c r="L165" s="37" t="inlineStr">
        <is>
          <t>Nộp thành công - Chờ kết quả</t>
        </is>
      </c>
      <c r="M165" s="27" t="n">
        <v>46012</v>
      </c>
      <c r="N165" s="28">
        <f>IF(M165="","",M165-TODAY())</f>
        <v/>
      </c>
      <c r="O165" s="37">
        <f>IF(A165="","",IF(L165="Hoàn thành","XONG",IF(L165="Đã hủy","HỦY",IF(N165&lt;0,"QUÁ HẠN",IF(N165&lt;=THIET_LAP!$B$7,"SẮP HẠN","TRONG HẠN")))))</f>
        <v/>
      </c>
      <c r="P165" s="37" t="inlineStr">
        <is>
          <t>658/BK-2025</t>
        </is>
      </c>
      <c r="Q165" s="29" t="n"/>
      <c r="R165" s="37" t="n"/>
      <c r="S165" s="37" t="inlineStr">
        <is>
          <t>Tiến độ: Đã nộp | Ngày bắt đầu: 2025-12-18 00:00:00 | Ngày nộp: 2026-03-13 00:00:00 | Lần nộp: 1.0 | Chi kỹ thuật: Đã thanh toán | Giải trình: CHO ĐO gps</t>
        </is>
      </c>
    </row>
    <row r="166" ht="15.75" customHeight="1" s="56">
      <c r="A166" s="37" t="inlineStr">
        <is>
          <t>BK-HS-0163</t>
        </is>
      </c>
      <c r="B166" s="27" t="n">
        <v>46009</v>
      </c>
      <c r="C166" s="37" t="inlineStr">
        <is>
          <t>Phòng Đo đạc</t>
        </is>
      </c>
      <c r="D166" s="37" t="inlineStr">
        <is>
          <t>Cấp sổ lần đầu</t>
        </is>
      </c>
      <c r="E166" s="37" t="inlineStr">
        <is>
          <t>Chung Thị Kim Anh</t>
        </is>
      </c>
      <c r="F166" s="37" t="inlineStr">
        <is>
          <t>Đạt Việt Phát Land</t>
        </is>
      </c>
      <c r="G166" s="37" t="n"/>
      <c r="H166" s="37" t="inlineStr">
        <is>
          <t>Tăng Nhơn Phú</t>
        </is>
      </c>
      <c r="I166" s="37" t="inlineStr">
        <is>
          <t>Trương Tấn Quốc</t>
        </is>
      </c>
      <c r="J166" s="37" t="inlineStr">
        <is>
          <t>Tạ Khắc Tập</t>
        </is>
      </c>
      <c r="K166" s="37" t="n"/>
      <c r="L166" s="37" t="inlineStr">
        <is>
          <t>Hoàn thành</t>
        </is>
      </c>
      <c r="M166" s="27" t="n">
        <v>46012</v>
      </c>
      <c r="N166" s="28">
        <f>IF(M166="","",M166-TODAY())</f>
        <v/>
      </c>
      <c r="O166" s="37">
        <f>IF(A166="","",IF(L166="Hoàn thành","XONG",IF(L166="Đã hủy","HỦY",IF(N166&lt;0,"QUÁ HẠN",IF(N166&lt;=THIET_LAP!$B$7,"SẮP HẠN","TRONG HẠN")))))</f>
        <v/>
      </c>
      <c r="P166" s="37" t="inlineStr">
        <is>
          <t>657/BK-2025</t>
        </is>
      </c>
      <c r="Q166" s="29" t="n"/>
      <c r="R166" s="37" t="n"/>
      <c r="S166" s="37" t="inlineStr">
        <is>
          <t>Tiến độ: Hoàn thành | Ngày bắt đầu: 2025-12-18 00:00:00 | Ngày nộp: 2026-01-12 00:00:00 | Ngày HT: 2026-01-12 00:00:00 | Lần nộp: 1.0 | Chi kỹ thuật: Đã thanh toán | Giải trình: Đợi trích lục</t>
        </is>
      </c>
    </row>
    <row r="167" ht="15.75" customHeight="1" s="56">
      <c r="A167" s="37" t="inlineStr">
        <is>
          <t>BK-HS-0164</t>
        </is>
      </c>
      <c r="B167" s="27" t="n">
        <v>46009</v>
      </c>
      <c r="C167" s="37" t="inlineStr">
        <is>
          <t>Phòng Đo đạc</t>
        </is>
      </c>
      <c r="D167" s="37" t="inlineStr">
        <is>
          <t>Hoàn công</t>
        </is>
      </c>
      <c r="E167" s="37" t="inlineStr">
        <is>
          <t>Nguyễn Trương - Nguyễn Thị Ba</t>
        </is>
      </c>
      <c r="F167" s="37" t="inlineStr">
        <is>
          <t>Công Ty</t>
        </is>
      </c>
      <c r="G167" s="37" t="n"/>
      <c r="H167" s="37" t="inlineStr">
        <is>
          <t>Thủ Đức</t>
        </is>
      </c>
      <c r="I167" s="37" t="inlineStr">
        <is>
          <t>Lê Văn Xây</t>
        </is>
      </c>
      <c r="J167" s="37" t="inlineStr">
        <is>
          <t>Không cần</t>
        </is>
      </c>
      <c r="K167" s="37" t="n"/>
      <c r="L167" s="37" t="inlineStr">
        <is>
          <t>Nộp thành công - Chờ kết quả</t>
        </is>
      </c>
      <c r="M167" s="27" t="n">
        <v>46012</v>
      </c>
      <c r="N167" s="28">
        <f>IF(M167="","",M167-TODAY())</f>
        <v/>
      </c>
      <c r="O167" s="37">
        <f>IF(A167="","",IF(L167="Hoàn thành","XONG",IF(L167="Đã hủy","HỦY",IF(N167&lt;0,"QUÁ HẠN",IF(N167&lt;=THIET_LAP!$B$7,"SẮP HẠN","TRONG HẠN")))))</f>
        <v/>
      </c>
      <c r="P167" s="37" t="inlineStr">
        <is>
          <t>656/BK-2025</t>
        </is>
      </c>
      <c r="Q167" s="29" t="n"/>
      <c r="R167" s="37" t="n"/>
      <c r="S167" s="37" t="inlineStr">
        <is>
          <t>Tiến độ: Đã nộp | Ngày bắt đầu: 2025-12-18 00:00:00 | Ngày nộp: 2026-01-27 00:00:00 | Lần nộp: 1.0 | Chi kỹ thuật: Đã thanh toán</t>
        </is>
      </c>
    </row>
    <row r="168" ht="15.75" customHeight="1" s="56">
      <c r="A168" s="37" t="inlineStr">
        <is>
          <t>BK-HS-0165</t>
        </is>
      </c>
      <c r="B168" s="27" t="n">
        <v>46007</v>
      </c>
      <c r="C168" s="37" t="inlineStr">
        <is>
          <t>Phòng Đo đạc</t>
        </is>
      </c>
      <c r="D168" s="37" t="inlineStr">
        <is>
          <t>Tách Thửa</t>
        </is>
      </c>
      <c r="E168" s="37" t="inlineStr">
        <is>
          <t>Đoàn Trọng Ân</t>
        </is>
      </c>
      <c r="F168" s="37" t="inlineStr">
        <is>
          <t>Công Ty</t>
        </is>
      </c>
      <c r="G168" s="37" t="inlineStr">
        <is>
          <t>0901936357</t>
        </is>
      </c>
      <c r="H168" s="37" t="inlineStr">
        <is>
          <t>Linh Xuân</t>
        </is>
      </c>
      <c r="I168" s="37" t="inlineStr">
        <is>
          <t>Lê Văn Xây</t>
        </is>
      </c>
      <c r="J168" s="37" t="inlineStr">
        <is>
          <t>Lê Tấn Đạt</t>
        </is>
      </c>
      <c r="K168" s="37" t="n"/>
      <c r="L168" s="37" t="inlineStr">
        <is>
          <t>Hoàn thành</t>
        </is>
      </c>
      <c r="M168" s="27" t="n">
        <v>46010</v>
      </c>
      <c r="N168" s="28">
        <f>IF(M168="","",M168-TODAY())</f>
        <v/>
      </c>
      <c r="O168" s="37">
        <f>IF(A168="","",IF(L168="Hoàn thành","XONG",IF(L168="Đã hủy","HỦY",IF(N168&lt;0,"QUÁ HẠN",IF(N168&lt;=THIET_LAP!$B$7,"SẮP HẠN","TRONG HẠN")))))</f>
        <v/>
      </c>
      <c r="P168" s="37" t="inlineStr">
        <is>
          <t>305-2/BK-2025</t>
        </is>
      </c>
      <c r="Q168" s="29" t="n"/>
      <c r="R168" s="37" t="n"/>
      <c r="S168" s="37" t="inlineStr">
        <is>
          <t>Tiến độ: Hoàn thành | Ngày bắt đầu: 2025-12-16 00:00:00 | Ngày nộp: 2026-01-15 00:00:00 | Ngày HT: 2026-01-15 00:00:00 | Lần nộp: 2.0 | Chi kỹ thuật: Đã thanh toán</t>
        </is>
      </c>
    </row>
    <row r="169" ht="15.75" customHeight="1" s="56">
      <c r="A169" s="37" t="inlineStr">
        <is>
          <t>BK-HS-0166</t>
        </is>
      </c>
      <c r="B169" s="27" t="n">
        <v>46006</v>
      </c>
      <c r="C169" s="37" t="inlineStr">
        <is>
          <t>Phòng Đo đạc</t>
        </is>
      </c>
      <c r="D169" s="37" t="inlineStr">
        <is>
          <t>Hoàn công</t>
        </is>
      </c>
      <c r="E169" s="37" t="inlineStr">
        <is>
          <t>Bùi Quý Thành - Lưu Vân Trang</t>
        </is>
      </c>
      <c r="F169" s="37" t="inlineStr">
        <is>
          <t>Công Ty</t>
        </is>
      </c>
      <c r="G169" s="37" t="inlineStr">
        <is>
          <t>0938585399</t>
        </is>
      </c>
      <c r="H169" s="37" t="inlineStr">
        <is>
          <t>An Khánh</t>
        </is>
      </c>
      <c r="I169" s="37" t="inlineStr">
        <is>
          <t>Lê Văn Dựng</t>
        </is>
      </c>
      <c r="J169" s="37" t="inlineStr">
        <is>
          <t>Võ Tứ Hợp</t>
        </is>
      </c>
      <c r="K169" s="37" t="n"/>
      <c r="L169" s="37" t="inlineStr">
        <is>
          <t>Nộp thành công - Chờ kết quả</t>
        </is>
      </c>
      <c r="M169" s="27" t="n">
        <v>46009</v>
      </c>
      <c r="N169" s="28">
        <f>IF(M169="","",M169-TODAY())</f>
        <v/>
      </c>
      <c r="O169" s="37">
        <f>IF(A169="","",IF(L169="Hoàn thành","XONG",IF(L169="Đã hủy","HỦY",IF(N169&lt;0,"QUÁ HẠN",IF(N169&lt;=THIET_LAP!$B$7,"SẮP HẠN","TRONG HẠN")))))</f>
        <v/>
      </c>
      <c r="P169" s="37" t="inlineStr">
        <is>
          <t>655/BK-2025</t>
        </is>
      </c>
      <c r="Q169" s="29" t="n"/>
      <c r="R169" s="37" t="n"/>
      <c r="S169" s="37" t="inlineStr">
        <is>
          <t>Tiến độ: Đã nộp | Ngày bắt đầu: 2025-12-15 00:00:00 | Ngày nộp: 2025-12-20 00:00:00 | Lần nộp: 1.0 | Chi kỹ thuật: Đã thanh toán</t>
        </is>
      </c>
    </row>
    <row r="170" ht="15.75" customHeight="1" s="56">
      <c r="A170" s="37" t="inlineStr">
        <is>
          <t>BK-HS-0167</t>
        </is>
      </c>
      <c r="B170" s="27" t="n">
        <v>46006</v>
      </c>
      <c r="C170" s="37" t="inlineStr">
        <is>
          <t>Phòng Đo đạc</t>
        </is>
      </c>
      <c r="D170" s="37" t="inlineStr">
        <is>
          <t>Hoàn công</t>
        </is>
      </c>
      <c r="E170" s="37" t="inlineStr">
        <is>
          <t>Lê Thị Thu Sương</t>
        </is>
      </c>
      <c r="F170" s="37" t="inlineStr">
        <is>
          <t>Tùng Mập</t>
        </is>
      </c>
      <c r="G170" s="37" t="n"/>
      <c r="H170" s="37" t="inlineStr">
        <is>
          <t>Hiệp Bình</t>
        </is>
      </c>
      <c r="I170" s="37" t="inlineStr">
        <is>
          <t>Lê Văn Dựng</t>
        </is>
      </c>
      <c r="J170" s="37" t="inlineStr">
        <is>
          <t>Võ Tứ Hợp</t>
        </is>
      </c>
      <c r="K170" s="37" t="n"/>
      <c r="L170" s="37" t="inlineStr">
        <is>
          <t>Nộp thành công - Chờ kết quả</t>
        </is>
      </c>
      <c r="M170" s="27" t="n">
        <v>46009</v>
      </c>
      <c r="N170" s="28">
        <f>IF(M170="","",M170-TODAY())</f>
        <v/>
      </c>
      <c r="O170" s="37">
        <f>IF(A170="","",IF(L170="Hoàn thành","XONG",IF(L170="Đã hủy","HỦY",IF(N170&lt;0,"QUÁ HẠN",IF(N170&lt;=THIET_LAP!$B$7,"SẮP HẠN","TRONG HẠN")))))</f>
        <v/>
      </c>
      <c r="P170" s="37" t="inlineStr">
        <is>
          <t>653/BK-2025</t>
        </is>
      </c>
      <c r="Q170" s="29" t="n"/>
      <c r="R170" s="37" t="n"/>
      <c r="S170" s="37" t="inlineStr">
        <is>
          <t>Tiến độ: Đã nộp | Ngày bắt đầu: 2025-12-15 00:00:00 | Ngày nộp: 2026-03-11 00:00:00 | Lần nộp: 1.0 | Chi kỹ thuật: Đã thanh toán</t>
        </is>
      </c>
    </row>
    <row r="171" ht="15.75" customHeight="1" s="56">
      <c r="A171" s="37" t="inlineStr">
        <is>
          <t>BK-HS-0168</t>
        </is>
      </c>
      <c r="B171" s="27" t="n">
        <v>46003</v>
      </c>
      <c r="C171" s="37" t="inlineStr">
        <is>
          <t>Phòng Đo đạc</t>
        </is>
      </c>
      <c r="D171" s="37" t="inlineStr">
        <is>
          <t>Tách Thửa</t>
        </is>
      </c>
      <c r="E171" s="37" t="inlineStr">
        <is>
          <t>Nguyễn Thanh Hải - Nguyễn Thị Bé Năm</t>
        </is>
      </c>
      <c r="F171" s="37" t="inlineStr">
        <is>
          <t>Chị Xuân DV</t>
        </is>
      </c>
      <c r="G171" s="37" t="n"/>
      <c r="H171" s="37" t="inlineStr">
        <is>
          <t>Tăng Nhơn Phú</t>
        </is>
      </c>
      <c r="I171" s="37" t="inlineStr">
        <is>
          <t>Trương Tấn Quốc</t>
        </is>
      </c>
      <c r="J171" s="37" t="inlineStr">
        <is>
          <t>Không cần</t>
        </is>
      </c>
      <c r="K171" s="37" t="n"/>
      <c r="L171" s="37" t="inlineStr">
        <is>
          <t>Hoàn thành</t>
        </is>
      </c>
      <c r="M171" s="27" t="n">
        <v>46006</v>
      </c>
      <c r="N171" s="28">
        <f>IF(M171="","",M171-TODAY())</f>
        <v/>
      </c>
      <c r="O171" s="37">
        <f>IF(A171="","",IF(L171="Hoàn thành","XONG",IF(L171="Đã hủy","HỦY",IF(N171&lt;0,"QUÁ HẠN",IF(N171&lt;=THIET_LAP!$B$7,"SẮP HẠN","TRONG HẠN")))))</f>
        <v/>
      </c>
      <c r="P171" s="37" t="inlineStr">
        <is>
          <t>652-4/BK-2025</t>
        </is>
      </c>
      <c r="Q171" s="29" t="n"/>
      <c r="R171" s="37" t="n"/>
      <c r="S171" s="37" t="inlineStr">
        <is>
          <t>Tiến độ: Hoàn thành | Ngày bắt đầu: 2025-12-12 00:00:00 | Ngày nộp: 2025-12-24 00:00:00 | Ngày HT: 2025-12-24 00:00:00 | Lần nộp: 1.0 | Chi kỹ thuật: Đã thanh toán</t>
        </is>
      </c>
    </row>
    <row r="172" ht="15.75" customHeight="1" s="56">
      <c r="A172" s="37" t="inlineStr">
        <is>
          <t>BK-HS-0169</t>
        </is>
      </c>
      <c r="B172" s="27" t="n">
        <v>46003</v>
      </c>
      <c r="C172" s="37" t="inlineStr">
        <is>
          <t>Phòng Đo đạc</t>
        </is>
      </c>
      <c r="D172" s="37" t="inlineStr">
        <is>
          <t>Tách Thửa</t>
        </is>
      </c>
      <c r="E172" s="37" t="inlineStr">
        <is>
          <t>Nguyễn Thanh Hải - Nguyễn Thị Bé Năm</t>
        </is>
      </c>
      <c r="F172" s="37" t="inlineStr">
        <is>
          <t>Chị Xuân DV</t>
        </is>
      </c>
      <c r="G172" s="37" t="n"/>
      <c r="H172" s="37" t="inlineStr">
        <is>
          <t>Tăng Nhơn Phú</t>
        </is>
      </c>
      <c r="I172" s="37" t="inlineStr">
        <is>
          <t>Trương Tấn Quốc</t>
        </is>
      </c>
      <c r="J172" s="37" t="inlineStr">
        <is>
          <t>Không cần</t>
        </is>
      </c>
      <c r="K172" s="37" t="n"/>
      <c r="L172" s="37" t="inlineStr">
        <is>
          <t>Hoàn thành</t>
        </is>
      </c>
      <c r="M172" s="27" t="n">
        <v>46006</v>
      </c>
      <c r="N172" s="28">
        <f>IF(M172="","",M172-TODAY())</f>
        <v/>
      </c>
      <c r="O172" s="37">
        <f>IF(A172="","",IF(L172="Hoàn thành","XONG",IF(L172="Đã hủy","HỦY",IF(N172&lt;0,"QUÁ HẠN",IF(N172&lt;=THIET_LAP!$B$7,"SẮP HẠN","TRONG HẠN")))))</f>
        <v/>
      </c>
      <c r="P172" s="37" t="inlineStr">
        <is>
          <t>652-3/BK-2025</t>
        </is>
      </c>
      <c r="Q172" s="29" t="n"/>
      <c r="R172" s="37" t="n"/>
      <c r="S172" s="37" t="inlineStr">
        <is>
          <t>Tiến độ: Hoàn thành | Ngày bắt đầu: 2025-12-12 00:00:00 | Ngày nộp: 2025-12-24 00:00:00 | Ngày HT: 2025-12-24 00:00:00 | Lần nộp: 1.0 | Chi kỹ thuật: Đã thanh toán</t>
        </is>
      </c>
    </row>
    <row r="173" ht="15.75" customHeight="1" s="56">
      <c r="A173" s="37" t="inlineStr">
        <is>
          <t>BK-HS-0170</t>
        </is>
      </c>
      <c r="B173" s="27" t="n">
        <v>46003</v>
      </c>
      <c r="C173" s="37" t="inlineStr">
        <is>
          <t>Phòng Đo đạc</t>
        </is>
      </c>
      <c r="D173" s="37" t="inlineStr">
        <is>
          <t>Tách Thửa</t>
        </is>
      </c>
      <c r="E173" s="37" t="inlineStr">
        <is>
          <t>Nguyễn Thanh Hải - Nguyễn Thị Bé Năm</t>
        </is>
      </c>
      <c r="F173" s="37" t="inlineStr">
        <is>
          <t>Chị Xuân DV</t>
        </is>
      </c>
      <c r="G173" s="37" t="n"/>
      <c r="H173" s="37" t="inlineStr">
        <is>
          <t>Tăng Nhơn Phú</t>
        </is>
      </c>
      <c r="I173" s="37" t="inlineStr">
        <is>
          <t>Trương Tấn Quốc</t>
        </is>
      </c>
      <c r="J173" s="37" t="inlineStr">
        <is>
          <t>Không cần</t>
        </is>
      </c>
      <c r="K173" s="37" t="n"/>
      <c r="L173" s="37" t="inlineStr">
        <is>
          <t>Hoàn thành</t>
        </is>
      </c>
      <c r="M173" s="27" t="n">
        <v>46006</v>
      </c>
      <c r="N173" s="28">
        <f>IF(M173="","",M173-TODAY())</f>
        <v/>
      </c>
      <c r="O173" s="37">
        <f>IF(A173="","",IF(L173="Hoàn thành","XONG",IF(L173="Đã hủy","HỦY",IF(N173&lt;0,"QUÁ HẠN",IF(N173&lt;=THIET_LAP!$B$7,"SẮP HẠN","TRONG HẠN")))))</f>
        <v/>
      </c>
      <c r="P173" s="37" t="inlineStr">
        <is>
          <t>652-2/BK-2025</t>
        </is>
      </c>
      <c r="Q173" s="29" t="n"/>
      <c r="R173" s="37" t="n"/>
      <c r="S173" s="37" t="inlineStr">
        <is>
          <t>Tiến độ: Hoàn thành | Ngày bắt đầu: 2025-12-12 00:00:00 | Ngày nộp: 2025-12-24 00:00:00 | Ngày HT: 2025-12-24 00:00:00 | Lần nộp: 1.0 | Chi kỹ thuật: Đã thanh toán</t>
        </is>
      </c>
    </row>
    <row r="174" ht="15.75" customHeight="1" s="56">
      <c r="A174" s="37" t="inlineStr">
        <is>
          <t>BK-HS-0171</t>
        </is>
      </c>
      <c r="B174" s="27" t="n">
        <v>46003</v>
      </c>
      <c r="C174" s="37" t="inlineStr">
        <is>
          <t>Phòng Đo đạc</t>
        </is>
      </c>
      <c r="D174" s="37" t="inlineStr">
        <is>
          <t>Tách Thửa</t>
        </is>
      </c>
      <c r="E174" s="37" t="inlineStr">
        <is>
          <t>Nguyễn Thanh Hải - Nguyễn Thị Bé Năm</t>
        </is>
      </c>
      <c r="F174" s="37" t="inlineStr">
        <is>
          <t>Chị Xuân DV</t>
        </is>
      </c>
      <c r="G174" s="37" t="n"/>
      <c r="H174" s="37" t="inlineStr">
        <is>
          <t>Tăng Nhơn Phú</t>
        </is>
      </c>
      <c r="I174" s="37" t="inlineStr">
        <is>
          <t>Trương Tấn Quốc</t>
        </is>
      </c>
      <c r="J174" s="37" t="inlineStr">
        <is>
          <t>Không cần</t>
        </is>
      </c>
      <c r="K174" s="37" t="n"/>
      <c r="L174" s="37" t="inlineStr">
        <is>
          <t>Hoàn thành</t>
        </is>
      </c>
      <c r="M174" s="27" t="n">
        <v>46006</v>
      </c>
      <c r="N174" s="28">
        <f>IF(M174="","",M174-TODAY())</f>
        <v/>
      </c>
      <c r="O174" s="37">
        <f>IF(A174="","",IF(L174="Hoàn thành","XONG",IF(L174="Đã hủy","HỦY",IF(N174&lt;0,"QUÁ HẠN",IF(N174&lt;=THIET_LAP!$B$7,"SẮP HẠN","TRONG HẠN")))))</f>
        <v/>
      </c>
      <c r="P174" s="37" t="inlineStr">
        <is>
          <t>652-1/BK-2025</t>
        </is>
      </c>
      <c r="Q174" s="29" t="n"/>
      <c r="R174" s="37" t="n"/>
      <c r="S174" s="37" t="inlineStr">
        <is>
          <t>Tiến độ: Hoàn thành | Ngày bắt đầu: 2025-12-12 00:00:00 | Ngày nộp: 2025-12-24 00:00:00 | Ngày HT: 2025-12-24 00:00:00 | Lần nộp: 3.0 | Chi kỹ thuật: Đã thanh toán</t>
        </is>
      </c>
    </row>
    <row r="175" ht="15.75" customHeight="1" s="56">
      <c r="A175" s="37" t="inlineStr">
        <is>
          <t>BK-HS-0172</t>
        </is>
      </c>
      <c r="B175" s="27" t="n">
        <v>46003</v>
      </c>
      <c r="C175" s="37" t="inlineStr">
        <is>
          <t>Phòng Đo đạc</t>
        </is>
      </c>
      <c r="D175" s="37" t="inlineStr">
        <is>
          <t>Cấp đổi</t>
        </is>
      </c>
      <c r="E175" s="37" t="inlineStr">
        <is>
          <t>Võ Thị Thanh</t>
        </is>
      </c>
      <c r="F175" s="37" t="inlineStr">
        <is>
          <t>Công Ty</t>
        </is>
      </c>
      <c r="G175" s="37" t="inlineStr">
        <is>
          <t>0865725301</t>
        </is>
      </c>
      <c r="H175" s="37" t="inlineStr">
        <is>
          <t>Tam Bình</t>
        </is>
      </c>
      <c r="I175" s="37" t="inlineStr">
        <is>
          <t>Lê Văn Dựng</t>
        </is>
      </c>
      <c r="J175" s="37" t="inlineStr">
        <is>
          <t>Võ Tứ Hợp</t>
        </is>
      </c>
      <c r="K175" s="37" t="n"/>
      <c r="L175" s="37" t="inlineStr">
        <is>
          <t>Hoàn thành</t>
        </is>
      </c>
      <c r="M175" s="27" t="n">
        <v>46006</v>
      </c>
      <c r="N175" s="28">
        <f>IF(M175="","",M175-TODAY())</f>
        <v/>
      </c>
      <c r="O175" s="37">
        <f>IF(A175="","",IF(L175="Hoàn thành","XONG",IF(L175="Đã hủy","HỦY",IF(N175&lt;0,"QUÁ HẠN",IF(N175&lt;=THIET_LAP!$B$7,"SẮP HẠN","TRONG HẠN")))))</f>
        <v/>
      </c>
      <c r="P175" s="37" t="inlineStr">
        <is>
          <t>651/BK-2025</t>
        </is>
      </c>
      <c r="Q175" s="29" t="n"/>
      <c r="R175" s="37" t="n"/>
      <c r="S175" s="37" t="inlineStr">
        <is>
          <t>Tiến độ: Hoàn thành | Ngày bắt đầu: 2025-12-12 00:00:00 | Ngày nộp: 2026-01-12 00:00:00 | Ngày HT: 2026-01-12 00:00:00 | Lần nộp: 1.0 | Chi kỹ thuật: Đã thanh toán</t>
        </is>
      </c>
    </row>
    <row r="176" ht="15.75" customHeight="1" s="56">
      <c r="A176" s="37" t="inlineStr">
        <is>
          <t>BK-HS-0173</t>
        </is>
      </c>
      <c r="B176" s="27" t="n">
        <v>46003</v>
      </c>
      <c r="C176" s="37" t="inlineStr">
        <is>
          <t>Phòng Đo đạc</t>
        </is>
      </c>
      <c r="D176" s="37" t="inlineStr">
        <is>
          <t>Kiểm tra hiện trạng</t>
        </is>
      </c>
      <c r="E176" s="37" t="inlineStr">
        <is>
          <t>Nguyễn Xuân Đức</t>
        </is>
      </c>
      <c r="F176" s="37" t="inlineStr">
        <is>
          <t>Công Ty</t>
        </is>
      </c>
      <c r="G176" s="37" t="inlineStr">
        <is>
          <t>0976852363</t>
        </is>
      </c>
      <c r="H176" s="37" t="inlineStr">
        <is>
          <t>Linh Xuân</t>
        </is>
      </c>
      <c r="I176" s="37" t="inlineStr">
        <is>
          <t>Tạ Khắc Tập</t>
        </is>
      </c>
      <c r="J176" s="37" t="inlineStr">
        <is>
          <t>Võ Tứ Hợp</t>
        </is>
      </c>
      <c r="K176" s="37" t="n"/>
      <c r="L176" s="37" t="inlineStr">
        <is>
          <t>Hoàn thành</t>
        </is>
      </c>
      <c r="M176" s="27" t="n">
        <v>46006</v>
      </c>
      <c r="N176" s="28">
        <f>IF(M176="","",M176-TODAY())</f>
        <v/>
      </c>
      <c r="O176" s="37">
        <f>IF(A176="","",IF(L176="Hoàn thành","XONG",IF(L176="Đã hủy","HỦY",IF(N176&lt;0,"QUÁ HẠN",IF(N176&lt;=THIET_LAP!$B$7,"SẮP HẠN","TRONG HẠN")))))</f>
        <v/>
      </c>
      <c r="P176" s="37" t="inlineStr">
        <is>
          <t>650/BK-2025</t>
        </is>
      </c>
      <c r="Q176" s="29" t="n"/>
      <c r="R176" s="37" t="n"/>
      <c r="S176" s="37" t="inlineStr">
        <is>
          <t>Tiến độ: Hoàn thành | Ngày bắt đầu: 2025-12-12 00:00:00 | Ngày nộp: 2026-03-06 00:00:00 | Ngày HT: 2026-03-06 00:00:00 | Lần nộp: 1.0</t>
        </is>
      </c>
    </row>
    <row r="177" ht="15.75" customHeight="1" s="56">
      <c r="A177" s="37" t="inlineStr">
        <is>
          <t>BK-HS-0174</t>
        </is>
      </c>
      <c r="B177" s="27" t="n">
        <v>46003</v>
      </c>
      <c r="C177" s="37" t="inlineStr">
        <is>
          <t>Phòng Đo đạc</t>
        </is>
      </c>
      <c r="D177" s="37" t="inlineStr">
        <is>
          <t>Chuyển mục đích</t>
        </is>
      </c>
      <c r="E177" s="37" t="inlineStr">
        <is>
          <t>Nguyễn Quang Hoàn</t>
        </is>
      </c>
      <c r="F177" s="37" t="inlineStr">
        <is>
          <t>Công Ty</t>
        </is>
      </c>
      <c r="G177" s="37" t="n"/>
      <c r="H177" s="37" t="inlineStr">
        <is>
          <t>Long Bình</t>
        </is>
      </c>
      <c r="I177" s="37" t="inlineStr">
        <is>
          <t>Lê Văn Dựng</t>
        </is>
      </c>
      <c r="J177" s="37" t="inlineStr">
        <is>
          <t>Không cần</t>
        </is>
      </c>
      <c r="K177" s="37" t="n"/>
      <c r="L177" s="37" t="inlineStr">
        <is>
          <t>Nộp thành công - Chờ kết quả</t>
        </is>
      </c>
      <c r="M177" s="27" t="n">
        <v>46006</v>
      </c>
      <c r="N177" s="28">
        <f>IF(M177="","",M177-TODAY())</f>
        <v/>
      </c>
      <c r="O177" s="37">
        <f>IF(A177="","",IF(L177="Hoàn thành","XONG",IF(L177="Đã hủy","HỦY",IF(N177&lt;0,"QUÁ HẠN",IF(N177&lt;=THIET_LAP!$B$7,"SẮP HẠN","TRONG HẠN")))))</f>
        <v/>
      </c>
      <c r="P177" s="37" t="inlineStr">
        <is>
          <t>649/BK-2025</t>
        </is>
      </c>
      <c r="Q177" s="29" t="n"/>
      <c r="R177" s="37" t="n"/>
      <c r="S177" s="37" t="inlineStr">
        <is>
          <t>Tiến độ: Đã nộp | Ngày bắt đầu: 2025-12-12 00:00:00 | Ngày nộp: 2025-12-13 00:00:00 | Lần nộp: 1.0 | Chi kỹ thuật: Đã thanh toán</t>
        </is>
      </c>
    </row>
    <row r="178" ht="15.75" customHeight="1" s="56">
      <c r="A178" s="37" t="inlineStr">
        <is>
          <t>BK-HS-0175</t>
        </is>
      </c>
      <c r="B178" s="27" t="n">
        <v>46002</v>
      </c>
      <c r="C178" s="37" t="inlineStr">
        <is>
          <t>Phòng Đo đạc</t>
        </is>
      </c>
      <c r="D178" s="37" t="inlineStr">
        <is>
          <t>Cấp đổi</t>
        </is>
      </c>
      <c r="E178" s="37" t="inlineStr">
        <is>
          <t>Vũ Phạm Minh Tú</t>
        </is>
      </c>
      <c r="F178" s="37" t="inlineStr">
        <is>
          <t>Công Ty</t>
        </is>
      </c>
      <c r="G178" s="37" t="inlineStr">
        <is>
          <t>0984494756</t>
        </is>
      </c>
      <c r="H178" s="37" t="inlineStr">
        <is>
          <t>Bình Trưng</t>
        </is>
      </c>
      <c r="I178" s="37" t="inlineStr">
        <is>
          <t>Lê Văn Dựng</t>
        </is>
      </c>
      <c r="J178" s="37" t="inlineStr">
        <is>
          <t>Võ Tứ Hợp</t>
        </is>
      </c>
      <c r="K178" s="37" t="n"/>
      <c r="L178" s="37" t="inlineStr">
        <is>
          <t>Hoàn thành</t>
        </is>
      </c>
      <c r="M178" s="27" t="n">
        <v>46005</v>
      </c>
      <c r="N178" s="28">
        <f>IF(M178="","",M178-TODAY())</f>
        <v/>
      </c>
      <c r="O178" s="37">
        <f>IF(A178="","",IF(L178="Hoàn thành","XONG",IF(L178="Đã hủy","HỦY",IF(N178&lt;0,"QUÁ HẠN",IF(N178&lt;=THIET_LAP!$B$7,"SẮP HẠN","TRONG HẠN")))))</f>
        <v/>
      </c>
      <c r="P178" s="37" t="inlineStr">
        <is>
          <t>648/BK-2025</t>
        </is>
      </c>
      <c r="Q178" s="29" t="n"/>
      <c r="R178" s="37" t="n"/>
      <c r="S178" s="37" t="inlineStr">
        <is>
          <t>Tiến độ: Hoàn thành | Ngày bắt đầu: 2025-12-11 00:00:00 | Ngày nộp: 2026-01-09 00:00:00 | Ngày HT: 2026-01-09 00:00:00 | Lần nộp: 5.0 | Chi kỹ thuật: Đã thanh toán</t>
        </is>
      </c>
    </row>
    <row r="179" ht="15.75" customHeight="1" s="56">
      <c r="A179" s="37" t="inlineStr">
        <is>
          <t>BK-HS-0176</t>
        </is>
      </c>
      <c r="B179" s="27" t="n">
        <v>46002</v>
      </c>
      <c r="C179" s="37" t="inlineStr">
        <is>
          <t>Phòng Đo đạc</t>
        </is>
      </c>
      <c r="D179" s="37" t="inlineStr">
        <is>
          <t>Cắm mốc</t>
        </is>
      </c>
      <c r="E179" s="37" t="inlineStr">
        <is>
          <t>Vũ Kiều Sa</t>
        </is>
      </c>
      <c r="F179" s="37" t="inlineStr">
        <is>
          <t>Đạt Việt Phát Land</t>
        </is>
      </c>
      <c r="G179" s="37" t="n"/>
      <c r="H179" s="37" t="inlineStr">
        <is>
          <t>Linh Xuân</t>
        </is>
      </c>
      <c r="I179" s="37" t="inlineStr">
        <is>
          <t>Lê Văn Dựng</t>
        </is>
      </c>
      <c r="J179" s="37" t="inlineStr">
        <is>
          <t>Võ Tứ Hợp</t>
        </is>
      </c>
      <c r="K179" s="37" t="n"/>
      <c r="L179" s="37" t="inlineStr">
        <is>
          <t>Hoàn thành</t>
        </is>
      </c>
      <c r="M179" s="27" t="n">
        <v>46005</v>
      </c>
      <c r="N179" s="28">
        <f>IF(M179="","",M179-TODAY())</f>
        <v/>
      </c>
      <c r="O179" s="37">
        <f>IF(A179="","",IF(L179="Hoàn thành","XONG",IF(L179="Đã hủy","HỦY",IF(N179&lt;0,"QUÁ HẠN",IF(N179&lt;=THIET_LAP!$B$7,"SẮP HẠN","TRONG HẠN")))))</f>
        <v/>
      </c>
      <c r="P179" s="37" t="inlineStr">
        <is>
          <t>647/BK-2025</t>
        </is>
      </c>
      <c r="Q179" s="29" t="n"/>
      <c r="R179" s="37" t="n"/>
      <c r="S179" s="37" t="inlineStr">
        <is>
          <t>Tiến độ: Hoàn thành | Ngày bắt đầu: 2025-12-11 00:00:00 | Ngày nộp: 2025-12-11 00:00:00 | Ngày HT: 2025-12-11 00:00:00 | Lần nộp: 5.0 | Chi kỹ thuật: Đã thanh toán | Số cọc: 4.0 | Loại cọc: Trụ xi măng</t>
        </is>
      </c>
    </row>
    <row r="180" ht="15.75" customHeight="1" s="56">
      <c r="A180" s="37" t="inlineStr">
        <is>
          <t>BK-HS-0177</t>
        </is>
      </c>
      <c r="B180" s="27" t="n">
        <v>46002</v>
      </c>
      <c r="C180" s="37" t="inlineStr">
        <is>
          <t>Phòng Đo đạc</t>
        </is>
      </c>
      <c r="D180" s="37" t="inlineStr">
        <is>
          <t>Cấp sổ lần đầu</t>
        </is>
      </c>
      <c r="E180" s="37" t="inlineStr">
        <is>
          <t>Nguyễn Tuấn Nghiêm</t>
        </is>
      </c>
      <c r="F180" s="37" t="inlineStr">
        <is>
          <t>Anh Long PCT</t>
        </is>
      </c>
      <c r="G180" s="37" t="n"/>
      <c r="H180" s="37" t="inlineStr">
        <is>
          <t>Linh Xuân</t>
        </is>
      </c>
      <c r="I180" s="37" t="inlineStr">
        <is>
          <t>Tạ Khắc Tập</t>
        </is>
      </c>
      <c r="J180" s="37" t="inlineStr">
        <is>
          <t>Võ Tứ Hợp</t>
        </is>
      </c>
      <c r="K180" s="37" t="n"/>
      <c r="L180" s="37" t="inlineStr">
        <is>
          <t>Hoàn thành</t>
        </is>
      </c>
      <c r="M180" s="27" t="n">
        <v>46005</v>
      </c>
      <c r="N180" s="28">
        <f>IF(M180="","",M180-TODAY())</f>
        <v/>
      </c>
      <c r="O180" s="37">
        <f>IF(A180="","",IF(L180="Hoàn thành","XONG",IF(L180="Đã hủy","HỦY",IF(N180&lt;0,"QUÁ HẠN",IF(N180&lt;=THIET_LAP!$B$7,"SẮP HẠN","TRONG HẠN")))))</f>
        <v/>
      </c>
      <c r="P180" s="37" t="inlineStr">
        <is>
          <t>646/BK-2025</t>
        </is>
      </c>
      <c r="Q180" s="29" t="n"/>
      <c r="R180" s="37" t="n"/>
      <c r="S180" s="37" t="inlineStr">
        <is>
          <t>Tiến độ: Hoàn thành | Ngày bắt đầu: 2025-12-11 00:00:00 | Ngày nộp: 2026-01-12 00:00:00 | Ngày HT: 2026-01-12 00:00:00 | Lần nộp: 3.0 | Chi kỹ thuật: Đã thanh toán | Giải trình: cho trich luc</t>
        </is>
      </c>
    </row>
    <row r="181" ht="15.75" customHeight="1" s="56">
      <c r="A181" s="37" t="inlineStr">
        <is>
          <t>BK-HS-0178</t>
        </is>
      </c>
      <c r="B181" s="27" t="n">
        <v>46002</v>
      </c>
      <c r="C181" s="37" t="inlineStr">
        <is>
          <t>Phòng Đo đạc</t>
        </is>
      </c>
      <c r="D181" s="37" t="inlineStr">
        <is>
          <t>Cấp đổi</t>
        </is>
      </c>
      <c r="E181" s="37" t="inlineStr">
        <is>
          <t>Dương Thị Thanh Tâm</t>
        </is>
      </c>
      <c r="F181" s="37" t="inlineStr">
        <is>
          <t>Anh Long PCT</t>
        </is>
      </c>
      <c r="G181" s="37" t="n"/>
      <c r="H181" s="37" t="inlineStr">
        <is>
          <t>Hiệp Bình</t>
        </is>
      </c>
      <c r="I181" s="37" t="inlineStr">
        <is>
          <t>Tạ Khắc Tập</t>
        </is>
      </c>
      <c r="J181" s="37" t="inlineStr">
        <is>
          <t>Võ Tứ Hợp</t>
        </is>
      </c>
      <c r="K181" s="37" t="n"/>
      <c r="L181" s="37" t="inlineStr">
        <is>
          <t>Nộp thành công - Chờ kết quả</t>
        </is>
      </c>
      <c r="M181" s="27" t="n">
        <v>46005</v>
      </c>
      <c r="N181" s="28">
        <f>IF(M181="","",M181-TODAY())</f>
        <v/>
      </c>
      <c r="O181" s="37">
        <f>IF(A181="","",IF(L181="Hoàn thành","XONG",IF(L181="Đã hủy","HỦY",IF(N181&lt;0,"QUÁ HẠN",IF(N181&lt;=THIET_LAP!$B$7,"SẮP HẠN","TRONG HẠN")))))</f>
        <v/>
      </c>
      <c r="P181" s="37" t="inlineStr">
        <is>
          <t>645/BK-2025</t>
        </is>
      </c>
      <c r="Q181" s="29" t="n"/>
      <c r="R181" s="37" t="n"/>
      <c r="S181" s="37" t="inlineStr">
        <is>
          <t>Tiến độ: Đã nộp | Ngày bắt đầu: 2025-12-11 00:00:00 | Ngày nộp: 2025-12-15 00:00:00 | Lần nộp: 2.0 | Chi kỹ thuật: Đã thanh toán</t>
        </is>
      </c>
    </row>
    <row r="182" ht="15.75" customHeight="1" s="56">
      <c r="A182" s="37" t="inlineStr">
        <is>
          <t>BK-HS-0179</t>
        </is>
      </c>
      <c r="B182" s="27" t="n">
        <v>46002</v>
      </c>
      <c r="C182" s="37" t="inlineStr">
        <is>
          <t>Phòng Đo đạc</t>
        </is>
      </c>
      <c r="D182" s="37" t="inlineStr">
        <is>
          <t>Cấp đổi</t>
        </is>
      </c>
      <c r="E182" s="37" t="inlineStr">
        <is>
          <t>Huỳnh Thị Ngọc Châu</t>
        </is>
      </c>
      <c r="F182" s="37" t="inlineStr">
        <is>
          <t>Anh Cường Sài Gòn DV</t>
        </is>
      </c>
      <c r="G182" s="37" t="n"/>
      <c r="H182" s="37" t="inlineStr">
        <is>
          <t>Thủ Đức</t>
        </is>
      </c>
      <c r="I182" s="37" t="inlineStr">
        <is>
          <t>Tạ Khắc Tập</t>
        </is>
      </c>
      <c r="J182" s="37" t="inlineStr">
        <is>
          <t>Võ Tứ Hợp</t>
        </is>
      </c>
      <c r="K182" s="37" t="n"/>
      <c r="L182" s="37" t="inlineStr">
        <is>
          <t>QUÁ HẠN</t>
        </is>
      </c>
      <c r="M182" s="27" t="n">
        <v>46005</v>
      </c>
      <c r="N182" s="28">
        <f>IF(M182="","",M182-TODAY())</f>
        <v/>
      </c>
      <c r="O182" s="37">
        <f>IF(A182="","",IF(L182="Hoàn thành","XONG",IF(L182="Đã hủy","HỦY",IF(N182&lt;0,"QUÁ HẠN",IF(N182&lt;=THIET_LAP!$B$7,"SẮP HẠN","TRONG HẠN")))))</f>
        <v/>
      </c>
      <c r="P182" s="37" t="inlineStr">
        <is>
          <t>644/BK-2025</t>
        </is>
      </c>
      <c r="Q182" s="29" t="n"/>
      <c r="R182" s="37" t="n"/>
      <c r="S182" s="37" t="inlineStr">
        <is>
          <t>Tiến độ: QUÁ HẠN | Ngày bắt đầu: 2025-12-11 00:00:00 | Lần nộp: 4.0 | Giải trình: cuong dv  b¸o chu nha ko chap nhan giam dat theo bv cu</t>
        </is>
      </c>
    </row>
    <row r="183" ht="15.75" customHeight="1" s="56">
      <c r="A183" s="37" t="inlineStr">
        <is>
          <t>BK-HS-0180</t>
        </is>
      </c>
      <c r="B183" s="27" t="n">
        <v>46002</v>
      </c>
      <c r="C183" s="37" t="inlineStr">
        <is>
          <t>Phòng Đo đạc</t>
        </is>
      </c>
      <c r="D183" s="37" t="inlineStr">
        <is>
          <t>Hoàn công</t>
        </is>
      </c>
      <c r="E183" s="37" t="inlineStr">
        <is>
          <t>Nguyễn Hữu Thịnh</t>
        </is>
      </c>
      <c r="F183" s="37" t="inlineStr">
        <is>
          <t>Công Ty</t>
        </is>
      </c>
      <c r="G183" s="37" t="inlineStr">
        <is>
          <t>0933690100</t>
        </is>
      </c>
      <c r="H183" s="37" t="inlineStr">
        <is>
          <t>Tam Bình</t>
        </is>
      </c>
      <c r="I183" s="37" t="inlineStr">
        <is>
          <t>Lê Văn Xây</t>
        </is>
      </c>
      <c r="J183" s="37" t="inlineStr">
        <is>
          <t>Võ Tứ Hợp</t>
        </is>
      </c>
      <c r="K183" s="37" t="n"/>
      <c r="L183" s="37" t="inlineStr">
        <is>
          <t>Hoàn thành</t>
        </is>
      </c>
      <c r="M183" s="27" t="n">
        <v>46005</v>
      </c>
      <c r="N183" s="28">
        <f>IF(M183="","",M183-TODAY())</f>
        <v/>
      </c>
      <c r="O183" s="37">
        <f>IF(A183="","",IF(L183="Hoàn thành","XONG",IF(L183="Đã hủy","HỦY",IF(N183&lt;0,"QUÁ HẠN",IF(N183&lt;=THIET_LAP!$B$7,"SẮP HẠN","TRONG HẠN")))))</f>
        <v/>
      </c>
      <c r="P183" s="37" t="inlineStr">
        <is>
          <t>643/BK-2025</t>
        </is>
      </c>
      <c r="Q183" s="29" t="n"/>
      <c r="R183" s="37" t="n"/>
      <c r="S183" s="37" t="inlineStr">
        <is>
          <t>Tiến độ: Hoàn thành | Ngày bắt đầu: 2025-12-11 00:00:00 | Ngày nộp: 2026-01-05 00:00:00 | Ngày HT: 2026-01-05 00:00:00 | Lần nộp: 1.0 | Chi kỹ thuật: Đã thanh toán</t>
        </is>
      </c>
    </row>
    <row r="184" ht="15.75" customHeight="1" s="56">
      <c r="A184" s="37" t="inlineStr">
        <is>
          <t>BK-HS-0181</t>
        </is>
      </c>
      <c r="B184" s="27" t="n">
        <v>46002</v>
      </c>
      <c r="C184" s="37" t="inlineStr">
        <is>
          <t>Phòng Đo đạc</t>
        </is>
      </c>
      <c r="D184" s="37" t="inlineStr">
        <is>
          <t>Hoàn công</t>
        </is>
      </c>
      <c r="E184" s="37" t="inlineStr">
        <is>
          <t>Hứa Thu Phụng</t>
        </is>
      </c>
      <c r="F184" s="37" t="inlineStr">
        <is>
          <t>Công Ty</t>
        </is>
      </c>
      <c r="G184" s="37" t="inlineStr">
        <is>
          <t>090 6332856</t>
        </is>
      </c>
      <c r="H184" s="37" t="inlineStr">
        <is>
          <t>Long Trường</t>
        </is>
      </c>
      <c r="I184" s="37" t="inlineStr">
        <is>
          <t>Lê Văn Xây</t>
        </is>
      </c>
      <c r="J184" s="37" t="inlineStr">
        <is>
          <t>Võ Tứ Hợp</t>
        </is>
      </c>
      <c r="K184" s="37" t="n"/>
      <c r="L184" s="37" t="inlineStr">
        <is>
          <t>Nộp thành công - Chờ kết quả</t>
        </is>
      </c>
      <c r="M184" s="27" t="n">
        <v>46005</v>
      </c>
      <c r="N184" s="28">
        <f>IF(M184="","",M184-TODAY())</f>
        <v/>
      </c>
      <c r="O184" s="37">
        <f>IF(A184="","",IF(L184="Hoàn thành","XONG",IF(L184="Đã hủy","HỦY",IF(N184&lt;0,"QUÁ HẠN",IF(N184&lt;=THIET_LAP!$B$7,"SẮP HẠN","TRONG HẠN")))))</f>
        <v/>
      </c>
      <c r="P184" s="37" t="inlineStr">
        <is>
          <t>642/BK-2025</t>
        </is>
      </c>
      <c r="Q184" s="29" t="n"/>
      <c r="R184" s="37" t="n"/>
      <c r="S184" s="37" t="inlineStr">
        <is>
          <t>Tiến độ: Đã nộp | Ngày bắt đầu: 2025-12-11 00:00:00 | Ngày nộp: 2025-12-15 00:00:00 | Lần nộp: 1.0 | Chi kỹ thuật: Đã thanh toán</t>
        </is>
      </c>
    </row>
    <row r="185" ht="15.75" customHeight="1" s="56">
      <c r="A185" s="37" t="inlineStr">
        <is>
          <t>BK-HS-0182</t>
        </is>
      </c>
      <c r="B185" s="27" t="n">
        <v>46001</v>
      </c>
      <c r="C185" s="37" t="inlineStr">
        <is>
          <t>Phòng Đo đạc</t>
        </is>
      </c>
      <c r="D185" s="37" t="inlineStr">
        <is>
          <t>Cấp đổi</t>
        </is>
      </c>
      <c r="E185" s="37" t="inlineStr">
        <is>
          <t>Nguyễn Thị Kim Ngọc</t>
        </is>
      </c>
      <c r="F185" s="37" t="inlineStr">
        <is>
          <t>Chị Xuân DV</t>
        </is>
      </c>
      <c r="G185" s="37" t="n"/>
      <c r="H185" s="37" t="inlineStr">
        <is>
          <t>Linh Xuân</t>
        </is>
      </c>
      <c r="I185" s="37" t="inlineStr">
        <is>
          <t>Lê Văn Xây</t>
        </is>
      </c>
      <c r="J185" s="37" t="inlineStr">
        <is>
          <t>Võ Tứ Hợp</t>
        </is>
      </c>
      <c r="K185" s="37" t="n"/>
      <c r="L185" s="37" t="inlineStr">
        <is>
          <t>Hoàn thành</t>
        </is>
      </c>
      <c r="M185" s="27" t="n">
        <v>46004</v>
      </c>
      <c r="N185" s="28">
        <f>IF(M185="","",M185-TODAY())</f>
        <v/>
      </c>
      <c r="O185" s="37">
        <f>IF(A185="","",IF(L185="Hoàn thành","XONG",IF(L185="Đã hủy","HỦY",IF(N185&lt;0,"QUÁ HẠN",IF(N185&lt;=THIET_LAP!$B$7,"SẮP HẠN","TRONG HẠN")))))</f>
        <v/>
      </c>
      <c r="P185" s="37" t="inlineStr">
        <is>
          <t>641/BK-2025</t>
        </is>
      </c>
      <c r="Q185" s="29" t="n"/>
      <c r="R185" s="37" t="n"/>
      <c r="S185" s="37" t="inlineStr">
        <is>
          <t>Tiến độ: Hoàn thành | Ngày bắt đầu: 2025-12-10 00:00:00 | Ngày nộp: 2026-01-22 00:00:00 | Ngày HT: 2026-01-22 00:00:00 | Lần nộp: 2.0 | Chi kỹ thuật: Đã thanh toán</t>
        </is>
      </c>
    </row>
    <row r="186" ht="15.75" customHeight="1" s="56">
      <c r="A186" s="37" t="inlineStr">
        <is>
          <t>BK-HS-0183</t>
        </is>
      </c>
      <c r="B186" s="27" t="n">
        <v>46001</v>
      </c>
      <c r="C186" s="37" t="inlineStr">
        <is>
          <t>Phòng Đo đạc</t>
        </is>
      </c>
      <c r="D186" s="37" t="inlineStr">
        <is>
          <t>Xác định diện tích</t>
        </is>
      </c>
      <c r="E186" s="37" t="inlineStr">
        <is>
          <t>Công ty Cổ phần Sài Gòn Riverview</t>
        </is>
      </c>
      <c r="F186" s="37" t="inlineStr">
        <is>
          <t>Công Ty</t>
        </is>
      </c>
      <c r="G186" s="37" t="inlineStr">
        <is>
          <t>zalo Mai Hoàng</t>
        </is>
      </c>
      <c r="H186" s="37" t="inlineStr">
        <is>
          <t>Hiệp Bình</t>
        </is>
      </c>
      <c r="I186" s="37" t="inlineStr">
        <is>
          <t>Trương Tấn Quốc</t>
        </is>
      </c>
      <c r="J186" s="37" t="inlineStr">
        <is>
          <t>Không cần</t>
        </is>
      </c>
      <c r="K186" s="37" t="n"/>
      <c r="L186" s="37" t="inlineStr">
        <is>
          <t>Hoàn thành</t>
        </is>
      </c>
      <c r="M186" s="27" t="n">
        <v>46004</v>
      </c>
      <c r="N186" s="28">
        <f>IF(M186="","",M186-TODAY())</f>
        <v/>
      </c>
      <c r="O186" s="37">
        <f>IF(A186="","",IF(L186="Hoàn thành","XONG",IF(L186="Đã hủy","HỦY",IF(N186&lt;0,"QUÁ HẠN",IF(N186&lt;=THIET_LAP!$B$7,"SẮP HẠN","TRONG HẠN")))))</f>
        <v/>
      </c>
      <c r="P186" s="37" t="inlineStr">
        <is>
          <t>640/BK-2025</t>
        </is>
      </c>
      <c r="Q186" s="29" t="n"/>
      <c r="R186" s="37" t="n"/>
      <c r="S186" s="37" t="inlineStr">
        <is>
          <t>Tiến độ: Hoàn thành | Ngày bắt đầu: 2025-12-10 00:00:00 | Ngày nộp: 2025-12-09 00:00:00 | Ngày HT: 2025-12-09 00:00:00 | Lần nộp: 2.0 | Chi kỹ thuật: Đã thanh toán</t>
        </is>
      </c>
    </row>
    <row r="187" ht="15.75" customHeight="1" s="56">
      <c r="A187" s="37" t="inlineStr">
        <is>
          <t>BK-HS-0184</t>
        </is>
      </c>
      <c r="B187" s="27" t="n">
        <v>46001</v>
      </c>
      <c r="C187" s="37" t="inlineStr">
        <is>
          <t>Phòng Đo đạc</t>
        </is>
      </c>
      <c r="D187" s="37" t="inlineStr">
        <is>
          <t>Xác định diện tích</t>
        </is>
      </c>
      <c r="E187" s="37" t="inlineStr">
        <is>
          <t>Công ty Cổ phần Đầu tư và Phát Triển Thành phố Hồ Chí Minh</t>
        </is>
      </c>
      <c r="F187" s="37" t="inlineStr">
        <is>
          <t>Công Ty</t>
        </is>
      </c>
      <c r="G187" s="37" t="inlineStr">
        <is>
          <t>zalo Mai Hoàng</t>
        </is>
      </c>
      <c r="H187" s="37" t="inlineStr">
        <is>
          <t>Hiệp Bình</t>
        </is>
      </c>
      <c r="I187" s="37" t="inlineStr">
        <is>
          <t>Trương Tấn Quốc</t>
        </is>
      </c>
      <c r="J187" s="37" t="inlineStr">
        <is>
          <t>Không cần</t>
        </is>
      </c>
      <c r="K187" s="37" t="n"/>
      <c r="L187" s="37" t="inlineStr">
        <is>
          <t>Hoàn thành</t>
        </is>
      </c>
      <c r="M187" s="27" t="n">
        <v>46004</v>
      </c>
      <c r="N187" s="28">
        <f>IF(M187="","",M187-TODAY())</f>
        <v/>
      </c>
      <c r="O187" s="37">
        <f>IF(A187="","",IF(L187="Hoàn thành","XONG",IF(L187="Đã hủy","HỦY",IF(N187&lt;0,"QUÁ HẠN",IF(N187&lt;=THIET_LAP!$B$7,"SẮP HẠN","TRONG HẠN")))))</f>
        <v/>
      </c>
      <c r="P187" s="37" t="inlineStr">
        <is>
          <t>639/BK-2025</t>
        </is>
      </c>
      <c r="Q187" s="29" t="n"/>
      <c r="R187" s="37" t="n"/>
      <c r="S187" s="37" t="inlineStr">
        <is>
          <t>Tiến độ: Hoàn thành | Ngày bắt đầu: 2025-12-10 00:00:00 | Ngày nộp: 2025-12-09 00:00:00 | Ngày HT: 2025-12-09 00:00:00 | Lần nộp: 2.0 | Chi kỹ thuật: Đã thanh toán</t>
        </is>
      </c>
    </row>
    <row r="188" ht="15.75" customHeight="1" s="56">
      <c r="A188" s="37" t="inlineStr">
        <is>
          <t>BK-HS-0185</t>
        </is>
      </c>
      <c r="B188" s="27" t="n">
        <v>46001</v>
      </c>
      <c r="C188" s="37" t="inlineStr">
        <is>
          <t>Phòng Đo đạc</t>
        </is>
      </c>
      <c r="D188" s="37" t="inlineStr">
        <is>
          <t>Xác định diện tích</t>
        </is>
      </c>
      <c r="E188" s="37" t="inlineStr">
        <is>
          <t>Công ty TNHH MTV EPIC LAND</t>
        </is>
      </c>
      <c r="F188" s="37" t="inlineStr">
        <is>
          <t>Công Ty</t>
        </is>
      </c>
      <c r="G188" s="37" t="inlineStr">
        <is>
          <t>zalo Mai Hoàng</t>
        </is>
      </c>
      <c r="H188" s="37" t="inlineStr">
        <is>
          <t>Hiệp Bình</t>
        </is>
      </c>
      <c r="I188" s="37" t="inlineStr">
        <is>
          <t>Trương Tấn Quốc</t>
        </is>
      </c>
      <c r="J188" s="37" t="inlineStr">
        <is>
          <t>Không cần</t>
        </is>
      </c>
      <c r="K188" s="37" t="n"/>
      <c r="L188" s="37" t="inlineStr">
        <is>
          <t>Hoàn thành</t>
        </is>
      </c>
      <c r="M188" s="27" t="n">
        <v>46004</v>
      </c>
      <c r="N188" s="28">
        <f>IF(M188="","",M188-TODAY())</f>
        <v/>
      </c>
      <c r="O188" s="37">
        <f>IF(A188="","",IF(L188="Hoàn thành","XONG",IF(L188="Đã hủy","HỦY",IF(N188&lt;0,"QUÁ HẠN",IF(N188&lt;=THIET_LAP!$B$7,"SẮP HẠN","TRONG HẠN")))))</f>
        <v/>
      </c>
      <c r="P188" s="37" t="inlineStr">
        <is>
          <t>638/BK-2025</t>
        </is>
      </c>
      <c r="Q188" s="29" t="n"/>
      <c r="R188" s="37" t="n"/>
      <c r="S188" s="37" t="inlineStr">
        <is>
          <t>Tiến độ: Hoàn thành | Ngày bắt đầu: 2025-12-10 00:00:00 | Ngày nộp: 2025-12-09 00:00:00 | Ngày HT: 2025-12-09 00:00:00 | Lần nộp: 2.0 | Chi kỹ thuật: Đã thanh toán</t>
        </is>
      </c>
    </row>
    <row r="189" ht="15.75" customHeight="1" s="56">
      <c r="A189" s="37" t="inlineStr">
        <is>
          <t>BK-HS-0186</t>
        </is>
      </c>
      <c r="B189" s="27" t="n">
        <v>46001</v>
      </c>
      <c r="C189" s="37" t="inlineStr">
        <is>
          <t>Phòng Đo đạc</t>
        </is>
      </c>
      <c r="D189" s="37" t="inlineStr">
        <is>
          <t>Xác định diện tích</t>
        </is>
      </c>
      <c r="E189" s="37" t="inlineStr">
        <is>
          <t>Công ty Cổ phần Đầu tư Dầu khí Thăng Long</t>
        </is>
      </c>
      <c r="F189" s="37" t="inlineStr">
        <is>
          <t>Công Ty</t>
        </is>
      </c>
      <c r="G189" s="37" t="inlineStr">
        <is>
          <t>zalo Mai Hoàng</t>
        </is>
      </c>
      <c r="H189" s="37" t="inlineStr">
        <is>
          <t>Phước Long</t>
        </is>
      </c>
      <c r="I189" s="37" t="inlineStr">
        <is>
          <t>Trương Tấn Quốc</t>
        </is>
      </c>
      <c r="J189" s="37" t="inlineStr">
        <is>
          <t>Không cần</t>
        </is>
      </c>
      <c r="K189" s="37" t="n"/>
      <c r="L189" s="37" t="inlineStr">
        <is>
          <t>Hoàn thành</t>
        </is>
      </c>
      <c r="M189" s="27" t="n">
        <v>46004</v>
      </c>
      <c r="N189" s="28">
        <f>IF(M189="","",M189-TODAY())</f>
        <v/>
      </c>
      <c r="O189" s="37">
        <f>IF(A189="","",IF(L189="Hoàn thành","XONG",IF(L189="Đã hủy","HỦY",IF(N189&lt;0,"QUÁ HẠN",IF(N189&lt;=THIET_LAP!$B$7,"SẮP HẠN","TRONG HẠN")))))</f>
        <v/>
      </c>
      <c r="P189" s="37" t="inlineStr">
        <is>
          <t>637/BK-2025</t>
        </is>
      </c>
      <c r="Q189" s="29" t="n"/>
      <c r="R189" s="37" t="n"/>
      <c r="S189" s="37" t="inlineStr">
        <is>
          <t>Tiến độ: Hoàn thành | Ngày bắt đầu: 2025-12-10 00:00:00 | Ngày nộp: 2025-12-09 00:00:00 | Ngày HT: 2025-12-09 00:00:00 | Lần nộp: 3.0 | Chi kỹ thuật: Đã thanh toán</t>
        </is>
      </c>
    </row>
    <row r="190" ht="15.75" customHeight="1" s="56">
      <c r="A190" s="37" t="inlineStr">
        <is>
          <t>BK-HS-0187</t>
        </is>
      </c>
      <c r="B190" s="27" t="n">
        <v>46000</v>
      </c>
      <c r="C190" s="37" t="inlineStr">
        <is>
          <t>Phòng Đo đạc</t>
        </is>
      </c>
      <c r="D190" s="37" t="inlineStr">
        <is>
          <t>Kiểm tra hiện trạng</t>
        </is>
      </c>
      <c r="E190" s="37" t="inlineStr">
        <is>
          <t>Đặng Thị Kim Thiện</t>
        </is>
      </c>
      <c r="F190" s="37" t="inlineStr">
        <is>
          <t>Chị Phấn DV</t>
        </is>
      </c>
      <c r="G190" s="37" t="n"/>
      <c r="H190" s="37" t="inlineStr">
        <is>
          <t>Phước Long</t>
        </is>
      </c>
      <c r="I190" s="37" t="inlineStr">
        <is>
          <t>Tạ Khắc Tập</t>
        </is>
      </c>
      <c r="J190" s="37" t="inlineStr">
        <is>
          <t>Không cần</t>
        </is>
      </c>
      <c r="K190" s="37" t="n"/>
      <c r="L190" s="37" t="inlineStr">
        <is>
          <t>Hoàn thành</t>
        </is>
      </c>
      <c r="M190" s="27" t="n">
        <v>46003</v>
      </c>
      <c r="N190" s="28">
        <f>IF(M190="","",M190-TODAY())</f>
        <v/>
      </c>
      <c r="O190" s="37">
        <f>IF(A190="","",IF(L190="Hoàn thành","XONG",IF(L190="Đã hủy","HỦY",IF(N190&lt;0,"QUÁ HẠN",IF(N190&lt;=THIET_LAP!$B$7,"SẮP HẠN","TRONG HẠN")))))</f>
        <v/>
      </c>
      <c r="P190" s="37" t="inlineStr">
        <is>
          <t>464-1/BK-2025</t>
        </is>
      </c>
      <c r="Q190" s="29" t="n"/>
      <c r="R190" s="37" t="n"/>
      <c r="S190" s="37" t="inlineStr">
        <is>
          <t>Tiến độ: Hoàn thành | Ngày bắt đầu: 2025-12-09 00:00:00 | Ngày nộp: 2026-01-17 00:00:00 | Ngày HT: 2026-01-17 00:00:00 | Lần nộp: 1.0 | Chi kỹ thuật: Đã thanh toán</t>
        </is>
      </c>
    </row>
    <row r="191" ht="15.75" customHeight="1" s="56">
      <c r="A191" s="37" t="inlineStr">
        <is>
          <t>BK-HS-0188</t>
        </is>
      </c>
      <c r="B191" s="27" t="n">
        <v>46000</v>
      </c>
      <c r="C191" s="37" t="inlineStr">
        <is>
          <t>Phòng Đo đạc</t>
        </is>
      </c>
      <c r="D191" s="37" t="inlineStr">
        <is>
          <t>Cắm mốc</t>
        </is>
      </c>
      <c r="E191" s="37" t="inlineStr">
        <is>
          <t>Đinh Thị Hằng</t>
        </is>
      </c>
      <c r="F191" s="37" t="inlineStr">
        <is>
          <t>Công Ty</t>
        </is>
      </c>
      <c r="G191" s="37" t="inlineStr">
        <is>
          <t>0982255006</t>
        </is>
      </c>
      <c r="H191" s="37" t="inlineStr">
        <is>
          <t>An Khánh</t>
        </is>
      </c>
      <c r="I191" s="37" t="inlineStr">
        <is>
          <t>Lê Văn Xây</t>
        </is>
      </c>
      <c r="J191" s="37" t="inlineStr">
        <is>
          <t>Võ Tứ Hợp</t>
        </is>
      </c>
      <c r="K191" s="37" t="n"/>
      <c r="L191" s="37" t="inlineStr">
        <is>
          <t>Hoàn thành</t>
        </is>
      </c>
      <c r="M191" s="27" t="n">
        <v>46003</v>
      </c>
      <c r="N191" s="28">
        <f>IF(M191="","",M191-TODAY())</f>
        <v/>
      </c>
      <c r="O191" s="37">
        <f>IF(A191="","",IF(L191="Hoàn thành","XONG",IF(L191="Đã hủy","HỦY",IF(N191&lt;0,"QUÁ HẠN",IF(N191&lt;=THIET_LAP!$B$7,"SẮP HẠN","TRONG HẠN")))))</f>
        <v/>
      </c>
      <c r="P191" s="37" t="inlineStr">
        <is>
          <t>618-1/BK-2025</t>
        </is>
      </c>
      <c r="Q191" s="29" t="n"/>
      <c r="R191" s="37" t="n"/>
      <c r="S191" s="37" t="inlineStr">
        <is>
          <t>Tiến độ: Hoàn thành | Ngày bắt đầu: 2025-12-09 00:00:00 | Ngày nộp: 2025-12-09 00:00:00 | Ngày HT: 2025-12-09 00:00:00 | Lần nộp: 1.0 | Chi kỹ thuật: Đã thanh toán | Số cọc: 4.0 | Loại cọc: Trụ xi măng</t>
        </is>
      </c>
    </row>
    <row r="192" ht="15.75" customHeight="1" s="56">
      <c r="A192" s="37" t="inlineStr">
        <is>
          <t>BK-HS-0189</t>
        </is>
      </c>
      <c r="B192" s="27" t="n">
        <v>46000</v>
      </c>
      <c r="C192" s="37" t="inlineStr">
        <is>
          <t>Phòng Đo đạc</t>
        </is>
      </c>
      <c r="D192" s="37" t="inlineStr">
        <is>
          <t>Cấp đổi</t>
        </is>
      </c>
      <c r="E192" s="37" t="inlineStr">
        <is>
          <t>Trịnh Thị Sinh</t>
        </is>
      </c>
      <c r="F192" s="37" t="inlineStr">
        <is>
          <t>Công Ty</t>
        </is>
      </c>
      <c r="G192" s="37" t="inlineStr">
        <is>
          <t>0379110557</t>
        </is>
      </c>
      <c r="H192" s="37" t="inlineStr">
        <is>
          <t>Hiệp Bình</t>
        </is>
      </c>
      <c r="I192" s="37" t="inlineStr">
        <is>
          <t>Tạ Khắc Tập</t>
        </is>
      </c>
      <c r="J192" s="37" t="inlineStr">
        <is>
          <t>Võ Tứ Hợp</t>
        </is>
      </c>
      <c r="K192" s="37" t="n"/>
      <c r="L192" s="37" t="inlineStr">
        <is>
          <t>Hủy</t>
        </is>
      </c>
      <c r="M192" s="27" t="n">
        <v>46003</v>
      </c>
      <c r="N192" s="28">
        <f>IF(M192="","",M192-TODAY())</f>
        <v/>
      </c>
      <c r="O192" s="37">
        <f>IF(A192="","",IF(L192="Hoàn thành","XONG",IF(L192="Đã hủy","HỦY",IF(N192&lt;0,"QUÁ HẠN",IF(N192&lt;=THIET_LAP!$B$7,"SẮP HẠN","TRONG HẠN")))))</f>
        <v/>
      </c>
      <c r="P192" s="37" t="inlineStr">
        <is>
          <t>636/BK-2025</t>
        </is>
      </c>
      <c r="Q192" s="29" t="n"/>
      <c r="R192" s="37" t="n"/>
      <c r="S192" s="37" t="inlineStr">
        <is>
          <t>Tiến độ: ĐÃ HỦY | Ngày bắt đầu: 2025-12-09 00:00:00 | Ngày nộp: 2026-01-17 00:00:00 | Lần nộp: 3.0 | Chi kỹ thuật: Đã thanh toán | Giải trình: chờ trích lục bv cap giay, chua chot hd voi chu nha</t>
        </is>
      </c>
    </row>
    <row r="193" ht="15.75" customHeight="1" s="56">
      <c r="A193" s="37" t="inlineStr">
        <is>
          <t>BK-HS-0190</t>
        </is>
      </c>
      <c r="B193" s="27" t="n">
        <v>46000</v>
      </c>
      <c r="C193" s="37" t="inlineStr">
        <is>
          <t>Phòng Đo đạc</t>
        </is>
      </c>
      <c r="D193" s="37" t="inlineStr">
        <is>
          <t>Cấp sổ lần đầu</t>
        </is>
      </c>
      <c r="E193" s="37" t="inlineStr">
        <is>
          <t>Nguyễn Văn Quang</t>
        </is>
      </c>
      <c r="F193" s="37" t="inlineStr">
        <is>
          <t>Anh Long PCT</t>
        </is>
      </c>
      <c r="G193" s="37" t="n"/>
      <c r="H193" s="37" t="inlineStr">
        <is>
          <t>Hiệp Bình</t>
        </is>
      </c>
      <c r="I193" s="37" t="inlineStr">
        <is>
          <t>Tạ Khắc Tập</t>
        </is>
      </c>
      <c r="J193" s="37" t="inlineStr">
        <is>
          <t>Võ Tứ Hợp</t>
        </is>
      </c>
      <c r="K193" s="37" t="n"/>
      <c r="L193" s="37" t="inlineStr">
        <is>
          <t>Nộp thành công - Chờ kết quả</t>
        </is>
      </c>
      <c r="M193" s="27" t="n">
        <v>46003</v>
      </c>
      <c r="N193" s="28">
        <f>IF(M193="","",M193-TODAY())</f>
        <v/>
      </c>
      <c r="O193" s="37">
        <f>IF(A193="","",IF(L193="Hoàn thành","XONG",IF(L193="Đã hủy","HỦY",IF(N193&lt;0,"QUÁ HẠN",IF(N193&lt;=THIET_LAP!$B$7,"SẮP HẠN","TRONG HẠN")))))</f>
        <v/>
      </c>
      <c r="P193" s="37" t="inlineStr">
        <is>
          <t>635/BK-2025</t>
        </is>
      </c>
      <c r="Q193" s="29" t="n"/>
      <c r="R193" s="37" t="n"/>
      <c r="S193" s="37" t="inlineStr">
        <is>
          <t>Tiến độ: Đã nộp | Ngày bắt đầu: 2025-12-09 00:00:00 | Ngày nộp: 2026-01-19 00:00:00 | Lần nộp: 1.0 | Chi kỹ thuật: Đã thanh toán | Giải trình: chờ trích lục bv cap giay</t>
        </is>
      </c>
    </row>
    <row r="194" ht="15.75" customHeight="1" s="56">
      <c r="A194" s="37" t="inlineStr">
        <is>
          <t>BK-HS-0191</t>
        </is>
      </c>
      <c r="B194" s="27" t="n">
        <v>46000</v>
      </c>
      <c r="C194" s="37" t="inlineStr">
        <is>
          <t>Phòng Đo đạc</t>
        </is>
      </c>
      <c r="D194" s="37" t="inlineStr">
        <is>
          <t>Cấp đổi</t>
        </is>
      </c>
      <c r="E194" s="37" t="inlineStr">
        <is>
          <t>Vũ Sơn Lâm</t>
        </is>
      </c>
      <c r="F194" s="37" t="inlineStr">
        <is>
          <t>Công Ty</t>
        </is>
      </c>
      <c r="G194" s="37" t="inlineStr">
        <is>
          <t>0984558140</t>
        </is>
      </c>
      <c r="H194" s="37" t="inlineStr">
        <is>
          <t>Tam Bình</t>
        </is>
      </c>
      <c r="I194" s="37" t="inlineStr">
        <is>
          <t>Tạ Khắc Tập</t>
        </is>
      </c>
      <c r="J194" s="37" t="inlineStr">
        <is>
          <t>Võ Tứ Hợp</t>
        </is>
      </c>
      <c r="K194" s="37" t="n"/>
      <c r="L194" s="37" t="inlineStr">
        <is>
          <t>Hủy</t>
        </is>
      </c>
      <c r="M194" s="27" t="n">
        <v>46003</v>
      </c>
      <c r="N194" s="28">
        <f>IF(M194="","",M194-TODAY())</f>
        <v/>
      </c>
      <c r="O194" s="37">
        <f>IF(A194="","",IF(L194="Hoàn thành","XONG",IF(L194="Đã hủy","HỦY",IF(N194&lt;0,"QUÁ HẠN",IF(N194&lt;=THIET_LAP!$B$7,"SẮP HẠN","TRONG HẠN")))))</f>
        <v/>
      </c>
      <c r="P194" s="37" t="inlineStr">
        <is>
          <t>634/BK-2025</t>
        </is>
      </c>
      <c r="Q194" s="29" t="n"/>
      <c r="R194" s="37" t="n"/>
      <c r="S194" s="37" t="inlineStr">
        <is>
          <t>Tiến độ: ĐÃ HỦY | Ngày bắt đầu: 2025-12-09 00:00:00 | Ngày nộp: 2026-01-17 00:00:00 | Lần nộp: 3.0 | Chi kỹ thuật: Đã thanh toán | Giải trình: lấn thửa, lấn đường sai hien trang</t>
        </is>
      </c>
    </row>
    <row r="195" ht="15.75" customHeight="1" s="56">
      <c r="A195" s="37" t="inlineStr">
        <is>
          <t>BK-HS-0192</t>
        </is>
      </c>
      <c r="B195" s="27" t="n">
        <v>46000</v>
      </c>
      <c r="C195" s="37" t="inlineStr">
        <is>
          <t>Phòng Đo đạc</t>
        </is>
      </c>
      <c r="D195" s="37" t="inlineStr">
        <is>
          <t>Cắm mốc</t>
        </is>
      </c>
      <c r="E195" s="37" t="inlineStr">
        <is>
          <t>Bùi Ngọc Minh</t>
        </is>
      </c>
      <c r="F195" s="37" t="inlineStr">
        <is>
          <t>Công Ty</t>
        </is>
      </c>
      <c r="G195" s="37" t="inlineStr">
        <is>
          <t>0986644781</t>
        </is>
      </c>
      <c r="H195" s="37" t="inlineStr">
        <is>
          <t>Long Phước</t>
        </is>
      </c>
      <c r="I195" s="37" t="inlineStr">
        <is>
          <t>Lê Văn Dựng</t>
        </is>
      </c>
      <c r="J195" s="37" t="inlineStr">
        <is>
          <t>Không cần</t>
        </is>
      </c>
      <c r="K195" s="37" t="n"/>
      <c r="L195" s="37" t="inlineStr">
        <is>
          <t>Hoàn thành</t>
        </is>
      </c>
      <c r="M195" s="27" t="n">
        <v>46003</v>
      </c>
      <c r="N195" s="28">
        <f>IF(M195="","",M195-TODAY())</f>
        <v/>
      </c>
      <c r="O195" s="37">
        <f>IF(A195="","",IF(L195="Hoàn thành","XONG",IF(L195="Đã hủy","HỦY",IF(N195&lt;0,"QUÁ HẠN",IF(N195&lt;=THIET_LAP!$B$7,"SẮP HẠN","TRONG HẠN")))))</f>
        <v/>
      </c>
      <c r="P195" s="37" t="inlineStr">
        <is>
          <t>16-1/BK-2025</t>
        </is>
      </c>
      <c r="Q195" s="29" t="n"/>
      <c r="R195" s="37" t="n"/>
      <c r="S195" s="37" t="inlineStr">
        <is>
          <t>Tiến độ: Hoàn thành | Ngày bắt đầu: 2025-12-09 00:00:00 | Ngày nộp: 2025-12-09 00:00:00 | Ngày HT: 2025-12-09 00:00:00 | Lần nộp: 1.0 | Chi kỹ thuật: Đã thanh toán | Số cọc: 10.0 | Loại cọc: Trụ xi măng</t>
        </is>
      </c>
    </row>
    <row r="196" ht="15.75" customHeight="1" s="56">
      <c r="A196" s="37" t="inlineStr">
        <is>
          <t>BK-HS-0193</t>
        </is>
      </c>
      <c r="B196" s="27" t="n">
        <v>46000</v>
      </c>
      <c r="C196" s="37" t="inlineStr">
        <is>
          <t>Phòng Đo đạc</t>
        </is>
      </c>
      <c r="D196" s="37" t="inlineStr">
        <is>
          <t>Đo GPS</t>
        </is>
      </c>
      <c r="E196" s="37" t="inlineStr">
        <is>
          <t>Trần Quang Vinh</t>
        </is>
      </c>
      <c r="F196" s="37" t="inlineStr">
        <is>
          <t>Hoàng Quân</t>
        </is>
      </c>
      <c r="G196" s="37" t="n"/>
      <c r="H196" s="37" t="inlineStr">
        <is>
          <t>Long Phước</t>
        </is>
      </c>
      <c r="I196" s="37" t="inlineStr">
        <is>
          <t>Lê Văn Dựng</t>
        </is>
      </c>
      <c r="J196" s="37" t="inlineStr">
        <is>
          <t>Không cần</t>
        </is>
      </c>
      <c r="K196" s="37" t="n"/>
      <c r="L196" s="37" t="inlineStr">
        <is>
          <t>Hoàn thành</t>
        </is>
      </c>
      <c r="M196" s="27" t="n">
        <v>46003</v>
      </c>
      <c r="N196" s="28">
        <f>IF(M196="","",M196-TODAY())</f>
        <v/>
      </c>
      <c r="O196" s="37">
        <f>IF(A196="","",IF(L196="Hoàn thành","XONG",IF(L196="Đã hủy","HỦY",IF(N196&lt;0,"QUÁ HẠN",IF(N196&lt;=THIET_LAP!$B$7,"SẮP HẠN","TRONG HẠN")))))</f>
        <v/>
      </c>
      <c r="P196" s="37" t="inlineStr">
        <is>
          <t>633-2/BK-2025</t>
        </is>
      </c>
      <c r="Q196" s="29" t="n"/>
      <c r="R196" s="37" t="n"/>
      <c r="S196" s="37" t="inlineStr">
        <is>
          <t>Tiến độ: Hoàn thành | Ngày bắt đầu: 2025-12-09 00:00:00 | Ngày nộp: 2025-12-09 00:00:00 | Ngày HT: 2025-12-09 00:00:00 | Lần nộp: 0.0 | Chi kỹ thuật: Đã thanh toán</t>
        </is>
      </c>
    </row>
    <row r="197" ht="15.75" customHeight="1" s="56">
      <c r="A197" s="37" t="inlineStr">
        <is>
          <t>BK-HS-0194</t>
        </is>
      </c>
      <c r="B197" s="27" t="n">
        <v>46000</v>
      </c>
      <c r="C197" s="37" t="inlineStr">
        <is>
          <t>Phòng Đo đạc</t>
        </is>
      </c>
      <c r="D197" s="37" t="inlineStr">
        <is>
          <t>Cắm mốc</t>
        </is>
      </c>
      <c r="E197" s="37" t="inlineStr">
        <is>
          <t>Trần Quang Vinh</t>
        </is>
      </c>
      <c r="F197" s="37" t="inlineStr">
        <is>
          <t>Hoàng Quân</t>
        </is>
      </c>
      <c r="G197" s="37" t="n"/>
      <c r="H197" s="37" t="inlineStr">
        <is>
          <t>Long Phước</t>
        </is>
      </c>
      <c r="I197" s="37" t="inlineStr">
        <is>
          <t>Lê Văn Dựng</t>
        </is>
      </c>
      <c r="J197" s="37" t="inlineStr">
        <is>
          <t>Không cần</t>
        </is>
      </c>
      <c r="K197" s="37" t="n"/>
      <c r="L197" s="37" t="inlineStr">
        <is>
          <t>Hoàn thành</t>
        </is>
      </c>
      <c r="M197" s="27" t="n">
        <v>46003</v>
      </c>
      <c r="N197" s="28">
        <f>IF(M197="","",M197-TODAY())</f>
        <v/>
      </c>
      <c r="O197" s="37">
        <f>IF(A197="","",IF(L197="Hoàn thành","XONG",IF(L197="Đã hủy","HỦY",IF(N197&lt;0,"QUÁ HẠN",IF(N197&lt;=THIET_LAP!$B$7,"SẮP HẠN","TRONG HẠN")))))</f>
        <v/>
      </c>
      <c r="P197" s="37" t="inlineStr">
        <is>
          <t>633-1/BK-2025</t>
        </is>
      </c>
      <c r="Q197" s="29" t="n"/>
      <c r="R197" s="37" t="n"/>
      <c r="S197" s="37" t="inlineStr">
        <is>
          <t>Tiến độ: Hoàn thành | Ngày bắt đầu: 2025-12-09 00:00:00 | Ngày nộp: 2025-12-09 00:00:00 | Ngày HT: 2025-12-09 00:00:00 | Lần nộp: 3.0 | Chi kỹ thuật: Đã thanh toán | Số cọc: 10.0 | Loại cọc: Trụ xi măng</t>
        </is>
      </c>
    </row>
    <row r="198" ht="15.75" customHeight="1" s="56">
      <c r="A198" s="37" t="inlineStr">
        <is>
          <t>BK-HS-0195</t>
        </is>
      </c>
      <c r="B198" s="27" t="n">
        <v>46000</v>
      </c>
      <c r="C198" s="37" t="inlineStr">
        <is>
          <t>Phòng Đo đạc</t>
        </is>
      </c>
      <c r="D198" s="37" t="inlineStr">
        <is>
          <t>Cấp đổi</t>
        </is>
      </c>
      <c r="E198" s="37" t="inlineStr">
        <is>
          <t>Trần Quang Vinh</t>
        </is>
      </c>
      <c r="F198" s="37" t="inlineStr">
        <is>
          <t>Hoàng Quân</t>
        </is>
      </c>
      <c r="G198" s="37" t="n"/>
      <c r="H198" s="37" t="inlineStr">
        <is>
          <t>Long Phước</t>
        </is>
      </c>
      <c r="I198" s="37" t="inlineStr">
        <is>
          <t>Lê Văn Dựng</t>
        </is>
      </c>
      <c r="J198" s="37" t="inlineStr">
        <is>
          <t>Không cần</t>
        </is>
      </c>
      <c r="K198" s="37" t="n"/>
      <c r="L198" s="37" t="inlineStr">
        <is>
          <t>Hoàn thành</t>
        </is>
      </c>
      <c r="M198" s="27" t="n">
        <v>46003</v>
      </c>
      <c r="N198" s="28">
        <f>IF(M198="","",M198-TODAY())</f>
        <v/>
      </c>
      <c r="O198" s="37">
        <f>IF(A198="","",IF(L198="Hoàn thành","XONG",IF(L198="Đã hủy","HỦY",IF(N198&lt;0,"QUÁ HẠN",IF(N198&lt;=THIET_LAP!$B$7,"SẮP HẠN","TRONG HẠN")))))</f>
        <v/>
      </c>
      <c r="P198" s="37" t="inlineStr">
        <is>
          <t>633/BK-2025</t>
        </is>
      </c>
      <c r="Q198" s="29" t="n"/>
      <c r="R198" s="37" t="n"/>
      <c r="S198" s="37" t="inlineStr">
        <is>
          <t>Tiến độ: Hoàn thành | Ngày bắt đầu: 2025-12-09 00:00:00 | Ngày nộp: 2025-12-19 00:00:00 | Ngày HT: 2025-12-19 00:00:00 | Lần nộp: 1.0 | Chi kỹ thuật: Đã thanh toán</t>
        </is>
      </c>
    </row>
    <row r="199" ht="15.75" customHeight="1" s="56">
      <c r="A199" s="37" t="inlineStr">
        <is>
          <t>BK-HS-0196</t>
        </is>
      </c>
      <c r="B199" s="27" t="n">
        <v>46000</v>
      </c>
      <c r="C199" s="37" t="inlineStr">
        <is>
          <t>Phòng Đo đạc</t>
        </is>
      </c>
      <c r="D199" s="37" t="inlineStr">
        <is>
          <t>Chuyển mục đích</t>
        </is>
      </c>
      <c r="E199" s="37" t="inlineStr">
        <is>
          <t>Nguyễn Minh Chữ</t>
        </is>
      </c>
      <c r="F199" s="37" t="inlineStr">
        <is>
          <t>Chú Loan DV</t>
        </is>
      </c>
      <c r="G199" s="37" t="n"/>
      <c r="H199" s="37" t="inlineStr">
        <is>
          <t>Hiệp Bình</t>
        </is>
      </c>
      <c r="I199" s="37" t="inlineStr">
        <is>
          <t>Tạ Khắc Tập</t>
        </is>
      </c>
      <c r="J199" s="37" t="inlineStr">
        <is>
          <t>Không cần</t>
        </is>
      </c>
      <c r="K199" s="37" t="n"/>
      <c r="L199" s="37" t="inlineStr">
        <is>
          <t>Hoàn thành</t>
        </is>
      </c>
      <c r="M199" s="27" t="n">
        <v>46003</v>
      </c>
      <c r="N199" s="28">
        <f>IF(M199="","",M199-TODAY())</f>
        <v/>
      </c>
      <c r="O199" s="37">
        <f>IF(A199="","",IF(L199="Hoàn thành","XONG",IF(L199="Đã hủy","HỦY",IF(N199&lt;0,"QUÁ HẠN",IF(N199&lt;=THIET_LAP!$B$7,"SẮP HẠN","TRONG HẠN")))))</f>
        <v/>
      </c>
      <c r="P199" s="37" t="inlineStr">
        <is>
          <t>632/BK-2025</t>
        </is>
      </c>
      <c r="Q199" s="29" t="n"/>
      <c r="R199" s="37" t="n"/>
      <c r="S199" s="37" t="inlineStr">
        <is>
          <t>Tiến độ: Hoàn thành | Ngày bắt đầu: 2025-12-09 00:00:00 | Ngày nộp: 2025-12-18 00:00:00 | Ngày HT: 2025-12-18 00:00:00 | Lần nộp: 4.0 | Chi kỹ thuật: Đã thanh toán</t>
        </is>
      </c>
    </row>
    <row r="200" ht="15.75" customHeight="1" s="56">
      <c r="A200" s="37" t="inlineStr">
        <is>
          <t>BK-HS-0197</t>
        </is>
      </c>
      <c r="B200" s="27" t="n">
        <v>45997</v>
      </c>
      <c r="C200" s="37" t="inlineStr">
        <is>
          <t>Phòng Đo đạc</t>
        </is>
      </c>
      <c r="D200" s="37" t="inlineStr">
        <is>
          <t>Cấp đổi</t>
        </is>
      </c>
      <c r="E200" s="37" t="inlineStr">
        <is>
          <t>Nguyễn Thị Bích Trâm</t>
        </is>
      </c>
      <c r="F200" s="37" t="inlineStr">
        <is>
          <t>Chị Xuân DV</t>
        </is>
      </c>
      <c r="G200" s="37" t="n"/>
      <c r="H200" s="37" t="inlineStr">
        <is>
          <t>Linh Xuân</t>
        </is>
      </c>
      <c r="I200" s="37" t="inlineStr">
        <is>
          <t>Tạ Khắc Tập</t>
        </is>
      </c>
      <c r="J200" s="37" t="inlineStr">
        <is>
          <t>Võ Tứ Hợp</t>
        </is>
      </c>
      <c r="K200" s="37" t="n"/>
      <c r="L200" s="37" t="inlineStr">
        <is>
          <t>Hoàn thành</t>
        </is>
      </c>
      <c r="M200" s="27" t="n">
        <v>46000</v>
      </c>
      <c r="N200" s="28">
        <f>IF(M200="","",M200-TODAY())</f>
        <v/>
      </c>
      <c r="O200" s="37">
        <f>IF(A200="","",IF(L200="Hoàn thành","XONG",IF(L200="Đã hủy","HỦY",IF(N200&lt;0,"QUÁ HẠN",IF(N200&lt;=THIET_LAP!$B$7,"SẮP HẠN","TRONG HẠN")))))</f>
        <v/>
      </c>
      <c r="P200" s="37" t="inlineStr">
        <is>
          <t>631/BK-2025</t>
        </is>
      </c>
      <c r="Q200" s="29" t="n"/>
      <c r="R200" s="37" t="n"/>
      <c r="S200" s="37" t="inlineStr">
        <is>
          <t>Tiến độ: Hoàn thành | Ngày bắt đầu: 2025-12-06 00:00:00 | Ngày nộp: 2026-01-22 00:00:00 | Ngày HT: 2026-01-22 00:00:00 | Lần nộp: 1.0 | Chi kỹ thuật: Đã thanh toán | Giải trình: dv chua cap du hs gcn</t>
        </is>
      </c>
    </row>
    <row r="201" ht="15.75" customHeight="1" s="56">
      <c r="A201" s="37" t="inlineStr">
        <is>
          <t>BK-HS-0198</t>
        </is>
      </c>
      <c r="B201" s="27" t="n">
        <v>45996</v>
      </c>
      <c r="C201" s="37" t="inlineStr">
        <is>
          <t>Phòng Đo đạc</t>
        </is>
      </c>
      <c r="D201" s="37" t="inlineStr">
        <is>
          <t>Chuyển mục đích</t>
        </is>
      </c>
      <c r="E201" s="37" t="inlineStr">
        <is>
          <t>Lê Tiến Hòa</t>
        </is>
      </c>
      <c r="F201" s="37" t="inlineStr">
        <is>
          <t>Nguyễn Hương DV</t>
        </is>
      </c>
      <c r="G201" s="37" t="n"/>
      <c r="H201" s="37" t="inlineStr">
        <is>
          <t>Hiệp Bình</t>
        </is>
      </c>
      <c r="I201" s="37" t="inlineStr">
        <is>
          <t>Lê Văn Xây</t>
        </is>
      </c>
      <c r="J201" s="37" t="inlineStr">
        <is>
          <t>Không cần</t>
        </is>
      </c>
      <c r="K201" s="37" t="n"/>
      <c r="L201" s="37" t="inlineStr">
        <is>
          <t>Nộp thành công - Chờ kết quả</t>
        </is>
      </c>
      <c r="M201" s="27" t="n">
        <v>45999</v>
      </c>
      <c r="N201" s="28">
        <f>IF(M201="","",M201-TODAY())</f>
        <v/>
      </c>
      <c r="O201" s="37">
        <f>IF(A201="","",IF(L201="Hoàn thành","XONG",IF(L201="Đã hủy","HỦY",IF(N201&lt;0,"QUÁ HẠN",IF(N201&lt;=THIET_LAP!$B$7,"SẮP HẠN","TRONG HẠN")))))</f>
        <v/>
      </c>
      <c r="P201" s="37" t="inlineStr">
        <is>
          <t>630/BK-2025</t>
        </is>
      </c>
      <c r="Q201" s="29" t="n"/>
      <c r="R201" s="37" t="n"/>
      <c r="S201" s="37" t="inlineStr">
        <is>
          <t>Tiến độ: Đã nộp | Ngày bắt đầu: 2025-12-05 00:00:00 | Ngày nộp: 2025-12-08 00:00:00 | Lần nộp: 1.0 | Chi kỹ thuật: Đã thanh toán</t>
        </is>
      </c>
    </row>
    <row r="202" ht="15.75" customHeight="1" s="56">
      <c r="A202" s="37" t="inlineStr">
        <is>
          <t>BK-HS-0199</t>
        </is>
      </c>
      <c r="B202" s="27" t="n">
        <v>45996</v>
      </c>
      <c r="C202" s="37" t="inlineStr">
        <is>
          <t>Phòng Đo đạc</t>
        </is>
      </c>
      <c r="D202" s="37" t="inlineStr">
        <is>
          <t>Chuyển mục đích</t>
        </is>
      </c>
      <c r="E202" s="37" t="inlineStr">
        <is>
          <t>Lô Bằng Giang</t>
        </is>
      </c>
      <c r="F202" s="37" t="inlineStr">
        <is>
          <t>Công Ty</t>
        </is>
      </c>
      <c r="G202" s="37" t="inlineStr">
        <is>
          <t>0938868876</t>
        </is>
      </c>
      <c r="H202" s="37" t="inlineStr">
        <is>
          <t>An Khánh</t>
        </is>
      </c>
      <c r="I202" s="37" t="inlineStr">
        <is>
          <t>Lê Văn Dựng</t>
        </is>
      </c>
      <c r="J202" s="37" t="inlineStr">
        <is>
          <t>Không cần</t>
        </is>
      </c>
      <c r="K202" s="37" t="n"/>
      <c r="L202" s="37" t="inlineStr">
        <is>
          <t>Hoàn thành</t>
        </is>
      </c>
      <c r="M202" s="27" t="n">
        <v>45999</v>
      </c>
      <c r="N202" s="28">
        <f>IF(M202="","",M202-TODAY())</f>
        <v/>
      </c>
      <c r="O202" s="37">
        <f>IF(A202="","",IF(L202="Hoàn thành","XONG",IF(L202="Đã hủy","HỦY",IF(N202&lt;0,"QUÁ HẠN",IF(N202&lt;=THIET_LAP!$B$7,"SẮP HẠN","TRONG HẠN")))))</f>
        <v/>
      </c>
      <c r="P202" s="37" t="inlineStr">
        <is>
          <t>629/BK-2025</t>
        </is>
      </c>
      <c r="Q202" s="29" t="n"/>
      <c r="R202" s="37" t="n"/>
      <c r="S202" s="37" t="inlineStr">
        <is>
          <t>Tiến độ: Hoàn thành | Ngày bắt đầu: 2025-12-05 00:00:00 | Ngày nộp: 2025-12-09 00:00:00 | Ngày HT: 2025-12-09 00:00:00 | Lần nộp: 1.0 | Chi kỹ thuật: Đã thanh toán</t>
        </is>
      </c>
    </row>
    <row r="203" ht="15.75" customHeight="1" s="56">
      <c r="A203" s="37" t="inlineStr">
        <is>
          <t>BK-HS-0200</t>
        </is>
      </c>
      <c r="B203" s="27" t="n">
        <v>45996</v>
      </c>
      <c r="C203" s="37" t="inlineStr">
        <is>
          <t>Phòng Đo đạc</t>
        </is>
      </c>
      <c r="D203" s="37" t="inlineStr">
        <is>
          <t>Chuyển mục đích</t>
        </is>
      </c>
      <c r="E203" s="37" t="inlineStr">
        <is>
          <t>Lô Bằng Giang</t>
        </is>
      </c>
      <c r="F203" s="37" t="inlineStr">
        <is>
          <t>Công Ty</t>
        </is>
      </c>
      <c r="G203" s="37" t="inlineStr">
        <is>
          <t>0938868876</t>
        </is>
      </c>
      <c r="H203" s="37" t="inlineStr">
        <is>
          <t>An Khánh</t>
        </is>
      </c>
      <c r="I203" s="37" t="inlineStr">
        <is>
          <t>Lê Văn Dựng</t>
        </is>
      </c>
      <c r="J203" s="37" t="inlineStr">
        <is>
          <t>Không cần</t>
        </is>
      </c>
      <c r="K203" s="37" t="n"/>
      <c r="L203" s="37" t="inlineStr">
        <is>
          <t>Hoàn thành</t>
        </is>
      </c>
      <c r="M203" s="27" t="n">
        <v>45999</v>
      </c>
      <c r="N203" s="28">
        <f>IF(M203="","",M203-TODAY())</f>
        <v/>
      </c>
      <c r="O203" s="37">
        <f>IF(A203="","",IF(L203="Hoàn thành","XONG",IF(L203="Đã hủy","HỦY",IF(N203&lt;0,"QUÁ HẠN",IF(N203&lt;=THIET_LAP!$B$7,"SẮP HẠN","TRONG HẠN")))))</f>
        <v/>
      </c>
      <c r="P203" s="37" t="inlineStr">
        <is>
          <t>628/BK-2025</t>
        </is>
      </c>
      <c r="Q203" s="29" t="n"/>
      <c r="R203" s="37" t="n"/>
      <c r="S203" s="37" t="inlineStr">
        <is>
          <t>Tiến độ: Hoàn thành | Ngày bắt đầu: 2025-12-05 00:00:00 | Ngày nộp: 2025-12-09 00:00:00 | Ngày HT: 2025-12-09 00:00:00 | Lần nộp: 1.0 | Chi kỹ thuật: Đã thanh toán</t>
        </is>
      </c>
    </row>
    <row r="204" ht="15.75" customHeight="1" s="56">
      <c r="A204" s="37" t="inlineStr">
        <is>
          <t>BK-HS-0201</t>
        </is>
      </c>
      <c r="B204" s="27" t="n">
        <v>45996</v>
      </c>
      <c r="C204" s="37" t="inlineStr">
        <is>
          <t>Phòng Đo đạc</t>
        </is>
      </c>
      <c r="D204" s="37" t="inlineStr">
        <is>
          <t>Cấp đổi</t>
        </is>
      </c>
      <c r="E204" s="37" t="inlineStr">
        <is>
          <t>Trần Thị Hạnh</t>
        </is>
      </c>
      <c r="F204" s="37" t="inlineStr">
        <is>
          <t>Nguyễn Khoa DV</t>
        </is>
      </c>
      <c r="G204" s="37" t="n"/>
      <c r="H204" s="37" t="inlineStr">
        <is>
          <t>Long Trường</t>
        </is>
      </c>
      <c r="I204" s="37" t="inlineStr">
        <is>
          <t>Tạ Khắc Tập</t>
        </is>
      </c>
      <c r="J204" s="37" t="inlineStr">
        <is>
          <t>Võ Tứ Hợp</t>
        </is>
      </c>
      <c r="K204" s="37" t="n"/>
      <c r="L204" s="37" t="inlineStr">
        <is>
          <t>Hoàn thành</t>
        </is>
      </c>
      <c r="M204" s="27" t="n">
        <v>45999</v>
      </c>
      <c r="N204" s="28">
        <f>IF(M204="","",M204-TODAY())</f>
        <v/>
      </c>
      <c r="O204" s="37">
        <f>IF(A204="","",IF(L204="Hoàn thành","XONG",IF(L204="Đã hủy","HỦY",IF(N204&lt;0,"QUÁ HẠN",IF(N204&lt;=THIET_LAP!$B$7,"SẮP HẠN","TRONG HẠN")))))</f>
        <v/>
      </c>
      <c r="P204" s="37" t="inlineStr">
        <is>
          <t>627/BK-2025</t>
        </is>
      </c>
      <c r="Q204" s="29" t="n"/>
      <c r="R204" s="37" t="n"/>
      <c r="S204" s="37" t="inlineStr">
        <is>
          <t>Tiến độ: Hoàn thành | Ngày bắt đầu: 2025-12-05 00:00:00 | Ngày nộp: 2025-12-18 00:00:00 | Ngày HT: 2025-12-18 00:00:00 | Lần nộp: 1.0 | Chi kỹ thuật: Đã thanh toán</t>
        </is>
      </c>
    </row>
    <row r="205" ht="15.75" customHeight="1" s="56">
      <c r="A205" s="37" t="inlineStr">
        <is>
          <t>BK-HS-0202</t>
        </is>
      </c>
      <c r="B205" s="27" t="n">
        <v>45996</v>
      </c>
      <c r="C205" s="37" t="inlineStr">
        <is>
          <t>Phòng Đo đạc</t>
        </is>
      </c>
      <c r="D205" s="37" t="inlineStr">
        <is>
          <t>Xác định diện tích</t>
        </is>
      </c>
      <c r="E205" s="37" t="inlineStr">
        <is>
          <t>Bùi Nam Giang</t>
        </is>
      </c>
      <c r="F205" s="37" t="inlineStr">
        <is>
          <t>Công Ty</t>
        </is>
      </c>
      <c r="G205" s="37" t="inlineStr">
        <is>
          <t>0988511426</t>
        </is>
      </c>
      <c r="H205" s="37" t="inlineStr">
        <is>
          <t>Long Trường</t>
        </is>
      </c>
      <c r="I205" s="37" t="inlineStr">
        <is>
          <t>Tạ Khắc Tập</t>
        </is>
      </c>
      <c r="J205" s="37" t="inlineStr">
        <is>
          <t>Võ Tứ Hợp</t>
        </is>
      </c>
      <c r="K205" s="37" t="n"/>
      <c r="L205" s="37" t="inlineStr">
        <is>
          <t>Hoàn thành</t>
        </is>
      </c>
      <c r="M205" s="27" t="n">
        <v>45999</v>
      </c>
      <c r="N205" s="28">
        <f>IF(M205="","",M205-TODAY())</f>
        <v/>
      </c>
      <c r="O205" s="37">
        <f>IF(A205="","",IF(L205="Hoàn thành","XONG",IF(L205="Đã hủy","HỦY",IF(N205&lt;0,"QUÁ HẠN",IF(N205&lt;=THIET_LAP!$B$7,"SẮP HẠN","TRONG HẠN")))))</f>
        <v/>
      </c>
      <c r="P205" s="37" t="inlineStr">
        <is>
          <t>626/BK-2025</t>
        </is>
      </c>
      <c r="Q205" s="29" t="n"/>
      <c r="R205" s="37" t="n"/>
      <c r="S205" s="37" t="inlineStr">
        <is>
          <t>Tiến độ: Hoàn thành | Ngày bắt đầu: 2025-12-05 00:00:00 | Ngày nộp: 2025-12-05 00:00:00 | Ngày HT: 2025-12-05 00:00:00 | Lần nộp: 1.0 | Chi kỹ thuật: Đã thanh toán</t>
        </is>
      </c>
    </row>
    <row r="206" ht="15.75" customHeight="1" s="56">
      <c r="A206" s="37" t="inlineStr">
        <is>
          <t>BK-HS-0203</t>
        </is>
      </c>
      <c r="B206" s="27" t="n">
        <v>45996</v>
      </c>
      <c r="C206" s="37" t="inlineStr">
        <is>
          <t>Phòng Đo đạc</t>
        </is>
      </c>
      <c r="D206" s="37" t="inlineStr">
        <is>
          <t>Cấp đổi</t>
        </is>
      </c>
      <c r="E206" s="37" t="inlineStr">
        <is>
          <t>Đặng Đức Ý</t>
        </is>
      </c>
      <c r="F206" s="37" t="inlineStr">
        <is>
          <t>Đạt Việt Phát Land</t>
        </is>
      </c>
      <c r="G206" s="37" t="n"/>
      <c r="H206" s="37" t="inlineStr">
        <is>
          <t>Tăng Nhơn Phú</t>
        </is>
      </c>
      <c r="I206" s="37" t="inlineStr">
        <is>
          <t>Lê Văn Dựng</t>
        </is>
      </c>
      <c r="J206" s="37" t="inlineStr">
        <is>
          <t>Không cần</t>
        </is>
      </c>
      <c r="K206" s="37" t="n"/>
      <c r="L206" s="37" t="inlineStr">
        <is>
          <t>Nộp thành công - Chờ kết quả</t>
        </is>
      </c>
      <c r="M206" s="27" t="n">
        <v>45999</v>
      </c>
      <c r="N206" s="28">
        <f>IF(M206="","",M206-TODAY())</f>
        <v/>
      </c>
      <c r="O206" s="37">
        <f>IF(A206="","",IF(L206="Hoàn thành","XONG",IF(L206="Đã hủy","HỦY",IF(N206&lt;0,"QUÁ HẠN",IF(N206&lt;=THIET_LAP!$B$7,"SẮP HẠN","TRONG HẠN")))))</f>
        <v/>
      </c>
      <c r="P206" s="37" t="inlineStr">
        <is>
          <t>353-1/BK-2025</t>
        </is>
      </c>
      <c r="Q206" s="29" t="n"/>
      <c r="R206" s="37" t="n"/>
      <c r="S206" s="37" t="inlineStr">
        <is>
          <t>Tiến độ: Đã nộp | Ngày bắt đầu: 2025-12-05 00:00:00 | Ngày nộp: 2026-03-13 00:00:00 | Lần nộp: 1.0 | Chi kỹ thuật: Đã thanh toán</t>
        </is>
      </c>
    </row>
    <row r="207" ht="15.75" customHeight="1" s="56">
      <c r="A207" s="37" t="inlineStr">
        <is>
          <t>BK-HS-0204</t>
        </is>
      </c>
      <c r="B207" s="27" t="n">
        <v>45995</v>
      </c>
      <c r="C207" s="37" t="inlineStr">
        <is>
          <t>Phòng Đo đạc</t>
        </is>
      </c>
      <c r="D207" s="37" t="inlineStr">
        <is>
          <t>Xác định diện tích</t>
        </is>
      </c>
      <c r="E207" s="37" t="inlineStr">
        <is>
          <t>Lô Bằng Giang</t>
        </is>
      </c>
      <c r="F207" s="37" t="inlineStr">
        <is>
          <t>Công Ty</t>
        </is>
      </c>
      <c r="G207" s="37" t="inlineStr">
        <is>
          <t>0938868876</t>
        </is>
      </c>
      <c r="H207" s="37" t="inlineStr">
        <is>
          <t>An Khánh</t>
        </is>
      </c>
      <c r="I207" s="37" t="inlineStr">
        <is>
          <t>Trương Tấn Quốc</t>
        </is>
      </c>
      <c r="J207" s="37" t="inlineStr">
        <is>
          <t>Tạ Khắc Tập</t>
        </is>
      </c>
      <c r="K207" s="37" t="inlineStr">
        <is>
          <t>Cao</t>
        </is>
      </c>
      <c r="L207" s="37" t="inlineStr">
        <is>
          <t>Hoàn thành</t>
        </is>
      </c>
      <c r="M207" s="27" t="n">
        <v>45996</v>
      </c>
      <c r="N207" s="28">
        <f>IF(M207="","",M207-TODAY())</f>
        <v/>
      </c>
      <c r="O207" s="37">
        <f>IF(A207="","",IF(L207="Hoàn thành","XONG",IF(L207="Đã hủy","HỦY",IF(N207&lt;0,"QUÁ HẠN",IF(N207&lt;=THIET_LAP!$B$7,"SẮP HẠN","TRONG HẠN")))))</f>
        <v/>
      </c>
      <c r="P207" s="37" t="inlineStr">
        <is>
          <t>625/BK-2025</t>
        </is>
      </c>
      <c r="Q207" s="29" t="n"/>
      <c r="R207" s="37" t="n"/>
      <c r="S207" s="37" t="inlineStr">
        <is>
          <t>Tiến độ: Hoàn thành | Ngày bắt đầu: 2025-12-04 00:00:00 | Ngày nộp: 2025-12-04 00:00:00 | Ngày HT: 2025-12-04 00:00:00 | Lần nộp: 2.0 | Chi kỹ thuật: Đã thanh toán</t>
        </is>
      </c>
    </row>
    <row r="208" ht="15.75" customHeight="1" s="56">
      <c r="A208" s="37" t="inlineStr">
        <is>
          <t>BK-HS-0205</t>
        </is>
      </c>
      <c r="B208" s="27" t="n">
        <v>45995</v>
      </c>
      <c r="C208" s="37" t="inlineStr">
        <is>
          <t>Phòng Đo đạc</t>
        </is>
      </c>
      <c r="D208" s="37" t="inlineStr">
        <is>
          <t>Xác định diện tích</t>
        </is>
      </c>
      <c r="E208" s="37" t="inlineStr">
        <is>
          <t>Lô Bằng Giang</t>
        </is>
      </c>
      <c r="F208" s="37" t="inlineStr">
        <is>
          <t>Công Ty</t>
        </is>
      </c>
      <c r="G208" s="37" t="inlineStr">
        <is>
          <t>0938868876</t>
        </is>
      </c>
      <c r="H208" s="37" t="inlineStr">
        <is>
          <t>An Khánh</t>
        </is>
      </c>
      <c r="I208" s="37" t="inlineStr">
        <is>
          <t>Trương Tấn Quốc</t>
        </is>
      </c>
      <c r="J208" s="37" t="inlineStr">
        <is>
          <t>Tạ Khắc Tập</t>
        </is>
      </c>
      <c r="K208" s="37" t="inlineStr">
        <is>
          <t>Cao</t>
        </is>
      </c>
      <c r="L208" s="37" t="inlineStr">
        <is>
          <t>Hoàn thành</t>
        </is>
      </c>
      <c r="M208" s="27" t="n">
        <v>45996</v>
      </c>
      <c r="N208" s="28">
        <f>IF(M208="","",M208-TODAY())</f>
        <v/>
      </c>
      <c r="O208" s="37">
        <f>IF(A208="","",IF(L208="Hoàn thành","XONG",IF(L208="Đã hủy","HỦY",IF(N208&lt;0,"QUÁ HẠN",IF(N208&lt;=THIET_LAP!$B$7,"SẮP HẠN","TRONG HẠN")))))</f>
        <v/>
      </c>
      <c r="P208" s="37" t="inlineStr">
        <is>
          <t>624/BK-2025</t>
        </is>
      </c>
      <c r="Q208" s="29" t="n"/>
      <c r="R208" s="37" t="n"/>
      <c r="S208" s="37" t="inlineStr">
        <is>
          <t>Tiến độ: Hoàn thành | Ngày bắt đầu: 2025-12-04 00:00:00 | Ngày nộp: 2025-12-04 00:00:00 | Ngày HT: 2025-12-04 00:00:00 | Lần nộp: 1.0 | Chi kỹ thuật: Đã thanh toán</t>
        </is>
      </c>
    </row>
    <row r="209" ht="15.75" customHeight="1" s="56">
      <c r="A209" s="37" t="inlineStr">
        <is>
          <t>BK-HS-0206</t>
        </is>
      </c>
      <c r="B209" s="27" t="n">
        <v>45995</v>
      </c>
      <c r="C209" s="37" t="inlineStr">
        <is>
          <t>Phòng Đo đạc</t>
        </is>
      </c>
      <c r="D209" s="37" t="inlineStr">
        <is>
          <t>Hoàn công</t>
        </is>
      </c>
      <c r="E209" s="37" t="inlineStr">
        <is>
          <t>Nguyễn Văn Quỳnh</t>
        </is>
      </c>
      <c r="F209" s="37" t="inlineStr">
        <is>
          <t>Cô Hoa</t>
        </is>
      </c>
      <c r="G209" s="37" t="n"/>
      <c r="H209" s="37" t="inlineStr">
        <is>
          <t>Hiệp Bình</t>
        </is>
      </c>
      <c r="I209" s="37" t="inlineStr">
        <is>
          <t>Lê Văn Dựng</t>
        </is>
      </c>
      <c r="J209" s="37" t="inlineStr">
        <is>
          <t>Võ Tứ Hợp</t>
        </is>
      </c>
      <c r="K209" s="37" t="n"/>
      <c r="L209" s="37" t="inlineStr">
        <is>
          <t>Hoàn thành</t>
        </is>
      </c>
      <c r="M209" s="27" t="n">
        <v>45998</v>
      </c>
      <c r="N209" s="28">
        <f>IF(M209="","",M209-TODAY())</f>
        <v/>
      </c>
      <c r="O209" s="37">
        <f>IF(A209="","",IF(L209="Hoàn thành","XONG",IF(L209="Đã hủy","HỦY",IF(N209&lt;0,"QUÁ HẠN",IF(N209&lt;=THIET_LAP!$B$7,"SẮP HẠN","TRONG HẠN")))))</f>
        <v/>
      </c>
      <c r="P209" s="37" t="inlineStr">
        <is>
          <t>623/BK-2025</t>
        </is>
      </c>
      <c r="Q209" s="29" t="n"/>
      <c r="R209" s="37" t="n"/>
      <c r="S209" s="37" t="inlineStr">
        <is>
          <t>Tiến độ: Hoàn thành | Ngày bắt đầu: 2025-12-04 00:00:00 | Ngày nộp: 2026-01-14 00:00:00 | Ngày HT: 2026-01-14 00:00:00 | Lần nộp: 1.0 | Chi kỹ thuật: Đã thanh toán</t>
        </is>
      </c>
    </row>
    <row r="210" ht="15.75" customHeight="1" s="56">
      <c r="A210" s="37" t="inlineStr">
        <is>
          <t>BK-HS-0207</t>
        </is>
      </c>
      <c r="B210" s="27" t="n">
        <v>45995</v>
      </c>
      <c r="C210" s="37" t="inlineStr">
        <is>
          <t>Phòng Đo đạc</t>
        </is>
      </c>
      <c r="D210" s="37" t="inlineStr">
        <is>
          <t>Hoàn công</t>
        </is>
      </c>
      <c r="E210" s="37" t="inlineStr">
        <is>
          <t>Nguyễn Thị Mến</t>
        </is>
      </c>
      <c r="F210" s="37" t="inlineStr">
        <is>
          <t>Cô Hoa</t>
        </is>
      </c>
      <c r="G210" s="37" t="n"/>
      <c r="H210" s="37" t="inlineStr">
        <is>
          <t>Hiệp Bình</t>
        </is>
      </c>
      <c r="I210" s="37" t="inlineStr">
        <is>
          <t>Lê Văn Dựng</t>
        </is>
      </c>
      <c r="J210" s="37" t="inlineStr">
        <is>
          <t>Võ Tứ Hợp</t>
        </is>
      </c>
      <c r="K210" s="37" t="n"/>
      <c r="L210" s="37" t="inlineStr">
        <is>
          <t>Hoàn thành</t>
        </is>
      </c>
      <c r="M210" s="27" t="n">
        <v>45998</v>
      </c>
      <c r="N210" s="28">
        <f>IF(M210="","",M210-TODAY())</f>
        <v/>
      </c>
      <c r="O210" s="37">
        <f>IF(A210="","",IF(L210="Hoàn thành","XONG",IF(L210="Đã hủy","HỦY",IF(N210&lt;0,"QUÁ HẠN",IF(N210&lt;=THIET_LAP!$B$7,"SẮP HẠN","TRONG HẠN")))))</f>
        <v/>
      </c>
      <c r="P210" s="37" t="inlineStr">
        <is>
          <t>622/BK-2025</t>
        </is>
      </c>
      <c r="Q210" s="29" t="n"/>
      <c r="R210" s="37" t="n"/>
      <c r="S210" s="37" t="inlineStr">
        <is>
          <t>Tiến độ: Hoàn thành | Ngày bắt đầu: 2025-12-04 00:00:00 | Ngày nộp: 2026-01-16 00:00:00 | Ngày HT: 2026-01-16 00:00:00 | Lần nộp: 1.0 | Chi kỹ thuật: Đã thanh toán</t>
        </is>
      </c>
    </row>
    <row r="211" ht="15.75" customHeight="1" s="56">
      <c r="A211" s="37" t="inlineStr">
        <is>
          <t>BK-HS-0208</t>
        </is>
      </c>
      <c r="B211" s="27" t="n">
        <v>45994</v>
      </c>
      <c r="C211" s="37" t="inlineStr">
        <is>
          <t>Phòng Đo đạc</t>
        </is>
      </c>
      <c r="D211" s="37" t="inlineStr">
        <is>
          <t>Điều chỉnh bản vẽ</t>
        </is>
      </c>
      <c r="E211" s="37" t="inlineStr">
        <is>
          <t>Lại Quốc Huy</t>
        </is>
      </c>
      <c r="F211" s="37" t="inlineStr">
        <is>
          <t>Công Ty</t>
        </is>
      </c>
      <c r="G211" s="37" t="inlineStr">
        <is>
          <t>zalo</t>
        </is>
      </c>
      <c r="H211" s="37" t="inlineStr">
        <is>
          <t>Hiệp Bình</t>
        </is>
      </c>
      <c r="I211" s="37" t="inlineStr">
        <is>
          <t>Lê Văn Dựng</t>
        </is>
      </c>
      <c r="J211" s="37" t="inlineStr">
        <is>
          <t>Không cần</t>
        </is>
      </c>
      <c r="K211" s="37" t="n"/>
      <c r="L211" s="37" t="inlineStr">
        <is>
          <t>Hoàn thành</t>
        </is>
      </c>
      <c r="M211" s="27" t="n">
        <v>45997</v>
      </c>
      <c r="N211" s="28">
        <f>IF(M211="","",M211-TODAY())</f>
        <v/>
      </c>
      <c r="O211" s="37">
        <f>IF(A211="","",IF(L211="Hoàn thành","XONG",IF(L211="Đã hủy","HỦY",IF(N211&lt;0,"QUÁ HẠN",IF(N211&lt;=THIET_LAP!$B$7,"SẮP HẠN","TRONG HẠN")))))</f>
        <v/>
      </c>
      <c r="P211" s="37" t="inlineStr">
        <is>
          <t>ĐC 116/BK-2025</t>
        </is>
      </c>
      <c r="Q211" s="29" t="n"/>
      <c r="R211" s="37" t="n"/>
      <c r="S211" s="37" t="inlineStr">
        <is>
          <t>Tiến độ: Hoàn thành | Ngày bắt đầu: 2025-12-03 00:00:00 | Ngày nộp: 2025-12-11 00:00:00 | Ngày HT: 2025-12-11 00:00:00 | Lần nộp: 1.0 | Chi kỹ thuật: Đã thanh toán</t>
        </is>
      </c>
    </row>
    <row r="212" ht="15.75" customHeight="1" s="56">
      <c r="A212" s="37" t="inlineStr">
        <is>
          <t>BK-HS-0209</t>
        </is>
      </c>
      <c r="B212" s="27" t="n">
        <v>45994</v>
      </c>
      <c r="C212" s="37" t="inlineStr">
        <is>
          <t>Phòng Đo đạc</t>
        </is>
      </c>
      <c r="D212" s="37" t="inlineStr">
        <is>
          <t>Cấp đổi</t>
        </is>
      </c>
      <c r="E212" s="37" t="inlineStr">
        <is>
          <t>Lê Thị Nguyệt</t>
        </is>
      </c>
      <c r="F212" s="37" t="inlineStr">
        <is>
          <t>Đạt Việt Phát Land</t>
        </is>
      </c>
      <c r="G212" s="37" t="n"/>
      <c r="H212" s="37" t="inlineStr">
        <is>
          <t>Tăng Nhơn Phú</t>
        </is>
      </c>
      <c r="I212" s="37" t="inlineStr">
        <is>
          <t>Lê Văn Xây</t>
        </is>
      </c>
      <c r="J212" s="37" t="inlineStr">
        <is>
          <t>Võ Tứ Hợp</t>
        </is>
      </c>
      <c r="K212" s="37" t="n"/>
      <c r="L212" s="37" t="inlineStr">
        <is>
          <t>Hoàn thành</t>
        </is>
      </c>
      <c r="M212" s="27" t="n">
        <v>45997</v>
      </c>
      <c r="N212" s="28">
        <f>IF(M212="","",M212-TODAY())</f>
        <v/>
      </c>
      <c r="O212" s="37">
        <f>IF(A212="","",IF(L212="Hoàn thành","XONG",IF(L212="Đã hủy","HỦY",IF(N212&lt;0,"QUÁ HẠN",IF(N212&lt;=THIET_LAP!$B$7,"SẮP HẠN","TRONG HẠN")))))</f>
        <v/>
      </c>
      <c r="P212" s="37" t="inlineStr">
        <is>
          <t>620/BK-2025</t>
        </is>
      </c>
      <c r="Q212" s="29" t="n"/>
      <c r="R212" s="37" t="n"/>
      <c r="S212" s="37" t="inlineStr">
        <is>
          <t>Tiến độ: Hoàn thành | Ngày bắt đầu: 2025-12-03 00:00:00 | Ngày nộp: 2025-12-23 00:00:00 | Ngày HT: 2025-12-23 00:00:00 | Lần nộp: 2.0 | Chi kỹ thuật: Đã thanh toán</t>
        </is>
      </c>
    </row>
    <row r="213" ht="15.75" customHeight="1" s="56">
      <c r="A213" s="37" t="inlineStr">
        <is>
          <t>BK-HS-0210</t>
        </is>
      </c>
      <c r="B213" s="27" t="n">
        <v>45993</v>
      </c>
      <c r="C213" s="37" t="inlineStr">
        <is>
          <t>Phòng Đo đạc</t>
        </is>
      </c>
      <c r="D213" s="37" t="inlineStr">
        <is>
          <t>Xin phép xây dựng</t>
        </is>
      </c>
      <c r="E213" s="37" t="inlineStr">
        <is>
          <t>Đinh Gia Trí</t>
        </is>
      </c>
      <c r="F213" s="37" t="inlineStr">
        <is>
          <t>Công Ty</t>
        </is>
      </c>
      <c r="G213" s="37" t="n"/>
      <c r="H213" s="37" t="inlineStr">
        <is>
          <t>Bình Trưng</t>
        </is>
      </c>
      <c r="I213" s="37" t="inlineStr">
        <is>
          <t>Võ Thành Minh</t>
        </is>
      </c>
      <c r="J213" s="37" t="inlineStr">
        <is>
          <t>Không cần</t>
        </is>
      </c>
      <c r="K213" s="37" t="n"/>
      <c r="L213" s="37" t="inlineStr">
        <is>
          <t>Hoàn thành</t>
        </is>
      </c>
      <c r="M213" s="27" t="n">
        <v>45996</v>
      </c>
      <c r="N213" s="28">
        <f>IF(M213="","",M213-TODAY())</f>
        <v/>
      </c>
      <c r="O213" s="37">
        <f>IF(A213="","",IF(L213="Hoàn thành","XONG",IF(L213="Đã hủy","HỦY",IF(N213&lt;0,"QUÁ HẠN",IF(N213&lt;=THIET_LAP!$B$7,"SẮP HẠN","TRONG HẠN")))))</f>
        <v/>
      </c>
      <c r="P213" s="37" t="inlineStr">
        <is>
          <t>619/BK-2025</t>
        </is>
      </c>
      <c r="Q213" s="29" t="n"/>
      <c r="R213" s="37" t="n"/>
      <c r="S213" s="37" t="inlineStr">
        <is>
          <t>Tiến độ: Hoàn thành | Ngày bắt đầu: 2025-12-02 00:00:00 | Ngày nộp: 2025-11-30 00:00:00 | Ngày HT: 2025-11-30 00:00:00 | Lần nộp: 2.0 | Chi kỹ thuật: Đã thanh toán</t>
        </is>
      </c>
    </row>
    <row r="214" ht="15.75" customHeight="1" s="56">
      <c r="A214" s="37" t="inlineStr">
        <is>
          <t>BK-HS-0211</t>
        </is>
      </c>
      <c r="B214" s="27" t="n">
        <v>45993</v>
      </c>
      <c r="C214" s="37" t="inlineStr">
        <is>
          <t>Phòng Đo đạc</t>
        </is>
      </c>
      <c r="D214" s="37" t="inlineStr">
        <is>
          <t>Xin phép xây dựng</t>
        </is>
      </c>
      <c r="E214" s="37" t="inlineStr">
        <is>
          <t>Đinh Thị Hằng</t>
        </is>
      </c>
      <c r="F214" s="37" t="inlineStr">
        <is>
          <t>Công Ty</t>
        </is>
      </c>
      <c r="G214" s="37" t="n"/>
      <c r="H214" s="37" t="inlineStr">
        <is>
          <t>An Khánh</t>
        </is>
      </c>
      <c r="I214" s="37" t="inlineStr">
        <is>
          <t>Võ Thành Minh</t>
        </is>
      </c>
      <c r="J214" s="37" t="inlineStr">
        <is>
          <t>Không cần</t>
        </is>
      </c>
      <c r="K214" s="37" t="n"/>
      <c r="L214" s="37" t="inlineStr">
        <is>
          <t>Hoàn thành</t>
        </is>
      </c>
      <c r="M214" s="27" t="n">
        <v>45996</v>
      </c>
      <c r="N214" s="28">
        <f>IF(M214="","",M214-TODAY())</f>
        <v/>
      </c>
      <c r="O214" s="37">
        <f>IF(A214="","",IF(L214="Hoàn thành","XONG",IF(L214="Đã hủy","HỦY",IF(N214&lt;0,"QUÁ HẠN",IF(N214&lt;=THIET_LAP!$B$7,"SẮP HẠN","TRONG HẠN")))))</f>
        <v/>
      </c>
      <c r="P214" s="37" t="inlineStr">
        <is>
          <t>618/BK-2025</t>
        </is>
      </c>
      <c r="Q214" s="29" t="n"/>
      <c r="R214" s="37" t="n"/>
      <c r="S214" s="37" t="inlineStr">
        <is>
          <t>Tiến độ: Hoàn thành | Ngày bắt đầu: 2025-12-02 00:00:00 | Ngày nộp: 2025-11-30 00:00:00 | Ngày HT: 2025-11-30 00:00:00 | Lần nộp: 3.0 | Chi kỹ thuật: Đã thanh toán</t>
        </is>
      </c>
    </row>
    <row r="215" ht="15.75" customHeight="1" s="56">
      <c r="A215" s="37" t="inlineStr">
        <is>
          <t>BK-HS-0212</t>
        </is>
      </c>
      <c r="B215" s="27" t="n">
        <v>45993</v>
      </c>
      <c r="C215" s="37" t="inlineStr">
        <is>
          <t>Phòng Đo đạc</t>
        </is>
      </c>
      <c r="D215" s="37" t="inlineStr">
        <is>
          <t>Xin phép xây dựng</t>
        </is>
      </c>
      <c r="E215" s="37" t="inlineStr">
        <is>
          <t>Hàn Ngọc Pho</t>
        </is>
      </c>
      <c r="F215" s="37" t="inlineStr">
        <is>
          <t>Đạt Việt Phát Land</t>
        </is>
      </c>
      <c r="G215" s="37" t="n"/>
      <c r="H215" s="37" t="inlineStr">
        <is>
          <t>Linh Xuân</t>
        </is>
      </c>
      <c r="I215" s="37" t="inlineStr">
        <is>
          <t>Võ Thành Minh</t>
        </is>
      </c>
      <c r="J215" s="37" t="inlineStr">
        <is>
          <t>Không cần</t>
        </is>
      </c>
      <c r="K215" s="37" t="n"/>
      <c r="L215" s="37" t="inlineStr">
        <is>
          <t>Hoàn thành</t>
        </is>
      </c>
      <c r="M215" s="27" t="n">
        <v>45996</v>
      </c>
      <c r="N215" s="28">
        <f>IF(M215="","",M215-TODAY())</f>
        <v/>
      </c>
      <c r="O215" s="37">
        <f>IF(A215="","",IF(L215="Hoàn thành","XONG",IF(L215="Đã hủy","HỦY",IF(N215&lt;0,"QUÁ HẠN",IF(N215&lt;=THIET_LAP!$B$7,"SẮP HẠN","TRONG HẠN")))))</f>
        <v/>
      </c>
      <c r="P215" s="37" t="inlineStr">
        <is>
          <t>617/BK-2025</t>
        </is>
      </c>
      <c r="Q215" s="29" t="n"/>
      <c r="R215" s="37" t="n"/>
      <c r="S215" s="37" t="inlineStr">
        <is>
          <t>Tiến độ: Hoàn thành | Ngày bắt đầu: 2025-12-02 00:00:00 | Ngày nộp: 2026-01-17 00:00:00 | Ngày HT: 2026-01-17 00:00:00 | Lần nộp: 1.0 | Chi kỹ thuật: Đã thanh toán</t>
        </is>
      </c>
    </row>
    <row r="216" ht="15.75" customHeight="1" s="56">
      <c r="A216" s="37" t="inlineStr">
        <is>
          <t>BK-HS-0213</t>
        </is>
      </c>
      <c r="B216" s="27" t="n">
        <v>45993</v>
      </c>
      <c r="C216" s="37" t="inlineStr">
        <is>
          <t>Phòng Đo đạc</t>
        </is>
      </c>
      <c r="D216" s="37" t="inlineStr">
        <is>
          <t>Xác định diện tích</t>
        </is>
      </c>
      <c r="E216" s="37" t="inlineStr">
        <is>
          <t>Vũ Thị Phương</t>
        </is>
      </c>
      <c r="F216" s="37" t="inlineStr">
        <is>
          <t>Cô Hải Dịch Vụ</t>
        </is>
      </c>
      <c r="G216" s="37" t="n"/>
      <c r="H216" s="37" t="inlineStr">
        <is>
          <t>Tam Bình</t>
        </is>
      </c>
      <c r="I216" s="37" t="inlineStr">
        <is>
          <t>Lê Văn Xây</t>
        </is>
      </c>
      <c r="J216" s="37" t="inlineStr">
        <is>
          <t>Không cần</t>
        </is>
      </c>
      <c r="K216" s="37" t="n"/>
      <c r="L216" s="37" t="inlineStr">
        <is>
          <t>Hoàn thành</t>
        </is>
      </c>
      <c r="M216" s="27" t="n">
        <v>45996</v>
      </c>
      <c r="N216" s="28">
        <f>IF(M216="","",M216-TODAY())</f>
        <v/>
      </c>
      <c r="O216" s="37">
        <f>IF(A216="","",IF(L216="Hoàn thành","XONG",IF(L216="Đã hủy","HỦY",IF(N216&lt;0,"QUÁ HẠN",IF(N216&lt;=THIET_LAP!$B$7,"SẮP HẠN","TRONG HẠN")))))</f>
        <v/>
      </c>
      <c r="P216" s="37" t="inlineStr">
        <is>
          <t>616/BK-2025</t>
        </is>
      </c>
      <c r="Q216" s="29" t="n"/>
      <c r="R216" s="37" t="n"/>
      <c r="S216" s="37" t="inlineStr">
        <is>
          <t>Tiến độ: Hoàn thành | Ngày bắt đầu: 2025-12-02 00:00:00 | Ngày nộp: 2026-01-17 00:00:00 | Ngày HT: 2026-01-17 00:00:00 | Lần nộp: 2.0 | Chi kỹ thuật: Đã thanh toán</t>
        </is>
      </c>
    </row>
    <row r="217" ht="15.75" customHeight="1" s="56">
      <c r="A217" s="37" t="inlineStr">
        <is>
          <t>BK-HS-0214</t>
        </is>
      </c>
      <c r="B217" s="27" t="n">
        <v>45993</v>
      </c>
      <c r="C217" s="37" t="inlineStr">
        <is>
          <t>Phòng Đo đạc</t>
        </is>
      </c>
      <c r="D217" s="37" t="inlineStr">
        <is>
          <t>Xác định diện tích</t>
        </is>
      </c>
      <c r="E217" s="37" t="inlineStr">
        <is>
          <t>Đoàn Ngọc Hải</t>
        </is>
      </c>
      <c r="F217" s="37" t="inlineStr">
        <is>
          <t>Cô Hải Dịch Vụ</t>
        </is>
      </c>
      <c r="G217" s="37" t="n"/>
      <c r="H217" s="37" t="inlineStr">
        <is>
          <t>Tam Bình</t>
        </is>
      </c>
      <c r="I217" s="37" t="inlineStr">
        <is>
          <t>Lê Văn Xây</t>
        </is>
      </c>
      <c r="J217" s="37" t="inlineStr">
        <is>
          <t>Không cần</t>
        </is>
      </c>
      <c r="K217" s="37" t="n"/>
      <c r="L217" s="37" t="inlineStr">
        <is>
          <t>Hoàn thành</t>
        </is>
      </c>
      <c r="M217" s="27" t="n">
        <v>45996</v>
      </c>
      <c r="N217" s="28">
        <f>IF(M217="","",M217-TODAY())</f>
        <v/>
      </c>
      <c r="O217" s="37">
        <f>IF(A217="","",IF(L217="Hoàn thành","XONG",IF(L217="Đã hủy","HỦY",IF(N217&lt;0,"QUÁ HẠN",IF(N217&lt;=THIET_LAP!$B$7,"SẮP HẠN","TRONG HẠN")))))</f>
        <v/>
      </c>
      <c r="P217" s="37" t="inlineStr">
        <is>
          <t>615/BK-2025</t>
        </is>
      </c>
      <c r="Q217" s="29" t="n"/>
      <c r="R217" s="37" t="n"/>
      <c r="S217" s="37" t="inlineStr">
        <is>
          <t>Tiến độ: Hoàn thành | Ngày bắt đầu: 2025-12-02 00:00:00 | Ngày nộp: 2026-01-17 00:00:00 | Ngày HT: 2026-01-17 00:00:00 | Lần nộp: 2.0 | Chi kỹ thuật: Đã thanh toán</t>
        </is>
      </c>
    </row>
    <row r="218" ht="15.75" customHeight="1" s="56">
      <c r="A218" s="37" t="inlineStr">
        <is>
          <t>BK-HS-0215</t>
        </is>
      </c>
      <c r="B218" s="27" t="n">
        <v>45993</v>
      </c>
      <c r="C218" s="37" t="inlineStr">
        <is>
          <t>Phòng Đo đạc</t>
        </is>
      </c>
      <c r="D218" s="37" t="inlineStr">
        <is>
          <t>Hoàn công</t>
        </is>
      </c>
      <c r="E218" s="37" t="inlineStr">
        <is>
          <t>Dương Hồng Cẩm</t>
        </is>
      </c>
      <c r="F218" s="37" t="inlineStr">
        <is>
          <t>Công Ty</t>
        </is>
      </c>
      <c r="G218" s="37" t="inlineStr">
        <is>
          <t>0938695645</t>
        </is>
      </c>
      <c r="H218" s="37" t="inlineStr">
        <is>
          <t>Hiệp Bình</t>
        </is>
      </c>
      <c r="I218" s="37" t="inlineStr">
        <is>
          <t>Trương Tấn Quốc</t>
        </is>
      </c>
      <c r="J218" s="37" t="inlineStr">
        <is>
          <t>Không cần</t>
        </is>
      </c>
      <c r="K218" s="37" t="n"/>
      <c r="L218" s="37" t="inlineStr">
        <is>
          <t>Hoàn thành</t>
        </is>
      </c>
      <c r="M218" s="27" t="n">
        <v>45996</v>
      </c>
      <c r="N218" s="28">
        <f>IF(M218="","",M218-TODAY())</f>
        <v/>
      </c>
      <c r="O218" s="37">
        <f>IF(A218="","",IF(L218="Hoàn thành","XONG",IF(L218="Đã hủy","HỦY",IF(N218&lt;0,"QUÁ HẠN",IF(N218&lt;=THIET_LAP!$B$7,"SẮP HẠN","TRONG HẠN")))))</f>
        <v/>
      </c>
      <c r="P218" s="37" t="inlineStr">
        <is>
          <t>614/BK-2025</t>
        </is>
      </c>
      <c r="Q218" s="29" t="n"/>
      <c r="R218" s="37" t="n"/>
      <c r="S218" s="37" t="inlineStr">
        <is>
          <t>Tiến độ: Hoàn thành | Ngày bắt đầu: 2025-12-02 00:00:00 | Ngày nộp: 2026-01-14 00:00:00 | Ngày HT: 2026-01-14 00:00:00 | Lần nộp: 2.0 | Chi kỹ thuật: Đã thanh toán</t>
        </is>
      </c>
    </row>
    <row r="219" ht="15.75" customHeight="1" s="56">
      <c r="A219" s="37" t="inlineStr">
        <is>
          <t>BK-HS-0216</t>
        </is>
      </c>
      <c r="B219" s="27" t="n">
        <v>45993</v>
      </c>
      <c r="C219" s="37" t="inlineStr">
        <is>
          <t>Phòng Đo đạc</t>
        </is>
      </c>
      <c r="D219" s="37" t="inlineStr">
        <is>
          <t>Hoàn công</t>
        </is>
      </c>
      <c r="E219" s="37" t="inlineStr">
        <is>
          <t>Nguyễn Trọng Nghĩa</t>
        </is>
      </c>
      <c r="F219" s="37" t="inlineStr">
        <is>
          <t>Đạt Việt Phát Land</t>
        </is>
      </c>
      <c r="G219" s="37" t="inlineStr">
        <is>
          <t>0909288661</t>
        </is>
      </c>
      <c r="H219" s="37" t="inlineStr">
        <is>
          <t>Linh Xuân</t>
        </is>
      </c>
      <c r="I219" s="37" t="inlineStr">
        <is>
          <t>Tạ Khắc Tập</t>
        </is>
      </c>
      <c r="J219" s="37" t="inlineStr">
        <is>
          <t>Võ Tứ Hợp</t>
        </is>
      </c>
      <c r="K219" s="37" t="n"/>
      <c r="L219" s="37" t="inlineStr">
        <is>
          <t>Hoàn thành</t>
        </is>
      </c>
      <c r="M219" s="27" t="n">
        <v>45996</v>
      </c>
      <c r="N219" s="28">
        <f>IF(M219="","",M219-TODAY())</f>
        <v/>
      </c>
      <c r="O219" s="37">
        <f>IF(A219="","",IF(L219="Hoàn thành","XONG",IF(L219="Đã hủy","HỦY",IF(N219&lt;0,"QUÁ HẠN",IF(N219&lt;=THIET_LAP!$B$7,"SẮP HẠN","TRONG HẠN")))))</f>
        <v/>
      </c>
      <c r="P219" s="37" t="inlineStr">
        <is>
          <t>613/BK-2025</t>
        </is>
      </c>
      <c r="Q219" s="29" t="n"/>
      <c r="R219" s="37" t="n"/>
      <c r="S219" s="37" t="inlineStr">
        <is>
          <t>Tiến độ: Hoàn thành | Ngày bắt đầu: 2025-12-02 00:00:00 | Ngày nộp: 2026-01-20 00:00:00 | Ngày HT: 2026-01-20 00:00:00 | Lần nộp: 1.0 | Chi kỹ thuật: Đã thanh toán</t>
        </is>
      </c>
    </row>
    <row r="220" ht="15.75" customHeight="1" s="56">
      <c r="A220" s="37" t="inlineStr">
        <is>
          <t>BK-HS-0217</t>
        </is>
      </c>
      <c r="B220" s="27" t="n">
        <v>45992</v>
      </c>
      <c r="C220" s="37" t="inlineStr">
        <is>
          <t>Phòng Đo đạc</t>
        </is>
      </c>
      <c r="D220" s="37" t="inlineStr">
        <is>
          <t>Đo GPS</t>
        </is>
      </c>
      <c r="E220" s="37" t="inlineStr">
        <is>
          <t>Lê Thị Nguyệt</t>
        </is>
      </c>
      <c r="F220" s="37" t="inlineStr">
        <is>
          <t>Công Ty</t>
        </is>
      </c>
      <c r="G220" s="37" t="n"/>
      <c r="H220" s="37" t="inlineStr">
        <is>
          <t>Ngoài Thủ Đức</t>
        </is>
      </c>
      <c r="I220" s="37" t="inlineStr">
        <is>
          <t>Lê Văn Dựng</t>
        </is>
      </c>
      <c r="J220" s="37" t="inlineStr">
        <is>
          <t>Không cần</t>
        </is>
      </c>
      <c r="K220" s="37" t="n"/>
      <c r="L220" s="37" t="inlineStr">
        <is>
          <t>Hoàn thành</t>
        </is>
      </c>
      <c r="M220" s="27" t="n">
        <v>45995</v>
      </c>
      <c r="N220" s="28">
        <f>IF(M220="","",M220-TODAY())</f>
        <v/>
      </c>
      <c r="O220" s="37">
        <f>IF(A220="","",IF(L220="Hoàn thành","XONG",IF(L220="Đã hủy","HỦY",IF(N220&lt;0,"QUÁ HẠN",IF(N220&lt;=THIET_LAP!$B$7,"SẮP HẠN","TRONG HẠN")))))</f>
        <v/>
      </c>
      <c r="P220" s="37" t="inlineStr">
        <is>
          <t>612/BK-2025</t>
        </is>
      </c>
      <c r="Q220" s="29" t="n"/>
      <c r="R220" s="37" t="n"/>
      <c r="S220" s="37" t="inlineStr">
        <is>
          <t>Tiến độ: Hoàn thành | Ngày bắt đầu: 2025-12-01 00:00:00 | Ngày nộp: 2025-12-01 00:00:00 | Ngày HT: 2025-12-01 00:00:00 | Lần nộp: 3.0 | Chi kỹ thuật: Đã thanh toán</t>
        </is>
      </c>
    </row>
    <row r="221" ht="15.75" customHeight="1" s="56">
      <c r="A221" s="37" t="inlineStr">
        <is>
          <t>BK-HS-0218</t>
        </is>
      </c>
      <c r="B221" s="27" t="n">
        <v>45992</v>
      </c>
      <c r="C221" s="37" t="inlineStr">
        <is>
          <t>Phòng Đo đạc</t>
        </is>
      </c>
      <c r="D221" s="37" t="inlineStr">
        <is>
          <t>Cắm mốc</t>
        </is>
      </c>
      <c r="E221" s="37" t="inlineStr">
        <is>
          <t>Trần Đức Phú</t>
        </is>
      </c>
      <c r="F221" s="37" t="inlineStr">
        <is>
          <t>Hoàng Quân</t>
        </is>
      </c>
      <c r="G221" s="37" t="n"/>
      <c r="H221" s="37" t="inlineStr">
        <is>
          <t>Long Phước</t>
        </is>
      </c>
      <c r="I221" s="37" t="inlineStr">
        <is>
          <t>Lê Văn Dựng</t>
        </is>
      </c>
      <c r="J221" s="37" t="inlineStr">
        <is>
          <t>Không cần</t>
        </is>
      </c>
      <c r="K221" s="37" t="n"/>
      <c r="L221" s="37" t="inlineStr">
        <is>
          <t>Hoàn thành</t>
        </is>
      </c>
      <c r="M221" s="27" t="n">
        <v>45995</v>
      </c>
      <c r="N221" s="28">
        <f>IF(M221="","",M221-TODAY())</f>
        <v/>
      </c>
      <c r="O221" s="37">
        <f>IF(A221="","",IF(L221="Hoàn thành","XONG",IF(L221="Đã hủy","HỦY",IF(N221&lt;0,"QUÁ HẠN",IF(N221&lt;=THIET_LAP!$B$7,"SẮP HẠN","TRONG HẠN")))))</f>
        <v/>
      </c>
      <c r="P221" s="37" t="inlineStr">
        <is>
          <t>611/BK-2025</t>
        </is>
      </c>
      <c r="Q221" s="29" t="n"/>
      <c r="R221" s="37" t="n"/>
      <c r="S221" s="37" t="inlineStr">
        <is>
          <t>Tiến độ: Hoàn thành | Ngày bắt đầu: 2025-12-01 00:00:00 | Ngày nộp: 2025-12-01 00:00:00 | Ngày HT: 2025-12-01 00:00:00 | Lần nộp: 1.0 | Chi kỹ thuật: Đã thanh toán | Số cọc: 9.0 | Loại cọc: Trụ xi măng | Ghi chú: shd cũ 136/BK-2025</t>
        </is>
      </c>
    </row>
    <row r="222" ht="15.75" customHeight="1" s="56">
      <c r="A222" s="37" t="inlineStr">
        <is>
          <t>BK-HS-0219</t>
        </is>
      </c>
      <c r="B222" s="27" t="n">
        <v>45990</v>
      </c>
      <c r="C222" s="37" t="inlineStr">
        <is>
          <t>Phòng Đo đạc</t>
        </is>
      </c>
      <c r="D222" s="37" t="inlineStr">
        <is>
          <t>Đo GPS</t>
        </is>
      </c>
      <c r="E222" s="37" t="inlineStr">
        <is>
          <t>Trần Đức Phú</t>
        </is>
      </c>
      <c r="F222" s="37" t="inlineStr">
        <is>
          <t>Hoàng Quân</t>
        </is>
      </c>
      <c r="G222" s="37" t="n"/>
      <c r="H222" s="37" t="inlineStr">
        <is>
          <t>Long Phước</t>
        </is>
      </c>
      <c r="I222" s="37" t="inlineStr">
        <is>
          <t>Lê Văn Dựng</t>
        </is>
      </c>
      <c r="J222" s="37" t="inlineStr">
        <is>
          <t>Không cần</t>
        </is>
      </c>
      <c r="K222" s="37" t="n"/>
      <c r="L222" s="37" t="inlineStr">
        <is>
          <t>Hoàn thành</t>
        </is>
      </c>
      <c r="M222" s="27" t="n">
        <v>45993</v>
      </c>
      <c r="N222" s="28">
        <f>IF(M222="","",M222-TODAY())</f>
        <v/>
      </c>
      <c r="O222" s="37">
        <f>IF(A222="","",IF(L222="Hoàn thành","XONG",IF(L222="Đã hủy","HỦY",IF(N222&lt;0,"QUÁ HẠN",IF(N222&lt;=THIET_LAP!$B$7,"SẮP HẠN","TRONG HẠN")))))</f>
        <v/>
      </c>
      <c r="P222" s="37" t="inlineStr">
        <is>
          <t>610-2/BK-2025</t>
        </is>
      </c>
      <c r="Q222" s="29" t="n"/>
      <c r="R222" s="37" t="n"/>
      <c r="S222" s="37" t="inlineStr">
        <is>
          <t>Tiến độ: Hoàn thành | Ngày bắt đầu: 2025-11-29 00:00:00 | Ngày nộp: 2025-12-01 00:00:00 | Ngày HT: 2025-12-01 00:00:00 | Lần nộp: 1.0 | Chi kỹ thuật: Đã thanh toán</t>
        </is>
      </c>
    </row>
    <row r="223" ht="15.75" customHeight="1" s="56">
      <c r="A223" s="37" t="inlineStr">
        <is>
          <t>BK-HS-0220</t>
        </is>
      </c>
      <c r="B223" s="27" t="n">
        <v>45990</v>
      </c>
      <c r="C223" s="37" t="inlineStr">
        <is>
          <t>Phòng Đo đạc</t>
        </is>
      </c>
      <c r="D223" s="37" t="inlineStr">
        <is>
          <t>Cắm mốc</t>
        </is>
      </c>
      <c r="E223" s="37" t="inlineStr">
        <is>
          <t>Trần Đức Phú</t>
        </is>
      </c>
      <c r="F223" s="37" t="inlineStr">
        <is>
          <t>Hoàng Quân</t>
        </is>
      </c>
      <c r="G223" s="37" t="n"/>
      <c r="H223" s="37" t="inlineStr">
        <is>
          <t>Long Phước</t>
        </is>
      </c>
      <c r="I223" s="37" t="inlineStr">
        <is>
          <t>Lê Văn Dựng</t>
        </is>
      </c>
      <c r="J223" s="37" t="inlineStr">
        <is>
          <t>Không cần</t>
        </is>
      </c>
      <c r="K223" s="37" t="n"/>
      <c r="L223" s="37" t="inlineStr">
        <is>
          <t>Hoàn thành</t>
        </is>
      </c>
      <c r="M223" s="27" t="n">
        <v>45993</v>
      </c>
      <c r="N223" s="28">
        <f>IF(M223="","",M223-TODAY())</f>
        <v/>
      </c>
      <c r="O223" s="37">
        <f>IF(A223="","",IF(L223="Hoàn thành","XONG",IF(L223="Đã hủy","HỦY",IF(N223&lt;0,"QUÁ HẠN",IF(N223&lt;=THIET_LAP!$B$7,"SẮP HẠN","TRONG HẠN")))))</f>
        <v/>
      </c>
      <c r="P223" s="37" t="inlineStr">
        <is>
          <t>610-1/BK-2025</t>
        </is>
      </c>
      <c r="Q223" s="29" t="n"/>
      <c r="R223" s="37" t="n"/>
      <c r="S223" s="37" t="inlineStr">
        <is>
          <t>Tiến độ: Hoàn thành | Ngày bắt đầu: 2025-11-29 00:00:00 | Ngày nộp: 2025-12-01 00:00:00 | Ngày HT: 2025-12-01 00:00:00 | Lần nộp: 3.0 | Chi kỹ thuật: Đã thanh toán | Số cọc: 40.0 | Loại cọc: Trụ xi măng</t>
        </is>
      </c>
    </row>
    <row r="224" ht="15.75" customHeight="1" s="56">
      <c r="A224" s="37" t="inlineStr">
        <is>
          <t>BK-HS-0221</t>
        </is>
      </c>
      <c r="B224" s="27" t="n">
        <v>45990</v>
      </c>
      <c r="C224" s="37" t="inlineStr">
        <is>
          <t>Phòng Đo đạc</t>
        </is>
      </c>
      <c r="D224" s="37" t="inlineStr">
        <is>
          <t>Cấp đổi</t>
        </is>
      </c>
      <c r="E224" s="37" t="inlineStr">
        <is>
          <t>Trần Đức Phú</t>
        </is>
      </c>
      <c r="F224" s="37" t="inlineStr">
        <is>
          <t>Hoàng Quân</t>
        </is>
      </c>
      <c r="G224" s="37" t="n"/>
      <c r="H224" s="37" t="inlineStr">
        <is>
          <t>Long Phước</t>
        </is>
      </c>
      <c r="I224" s="37" t="inlineStr">
        <is>
          <t>Lê Văn Dựng</t>
        </is>
      </c>
      <c r="J224" s="37" t="inlineStr">
        <is>
          <t>Không cần</t>
        </is>
      </c>
      <c r="K224" s="37" t="n"/>
      <c r="L224" s="37" t="inlineStr">
        <is>
          <t>Hoàn thành</t>
        </is>
      </c>
      <c r="M224" s="27" t="n">
        <v>45993</v>
      </c>
      <c r="N224" s="28">
        <f>IF(M224="","",M224-TODAY())</f>
        <v/>
      </c>
      <c r="O224" s="37">
        <f>IF(A224="","",IF(L224="Hoàn thành","XONG",IF(L224="Đã hủy","HỦY",IF(N224&lt;0,"QUÁ HẠN",IF(N224&lt;=THIET_LAP!$B$7,"SẮP HẠN","TRONG HẠN")))))</f>
        <v/>
      </c>
      <c r="P224" s="37" t="inlineStr">
        <is>
          <t>610/BK-2025</t>
        </is>
      </c>
      <c r="Q224" s="29" t="n"/>
      <c r="R224" s="37" t="n"/>
      <c r="S224" s="37" t="inlineStr">
        <is>
          <t>Tiến độ: Hoàn thành | Ngày bắt đầu: 2025-11-29 00:00:00 | Ngày nộp: 2025-12-11 00:00:00 | Ngày HT: 2025-12-11 00:00:00 | Lần nộp: 4.0 | Chi kỹ thuật: Đã thanh toán</t>
        </is>
      </c>
    </row>
    <row r="225" ht="15.75" customHeight="1" s="56">
      <c r="A225" s="37" t="inlineStr">
        <is>
          <t>BK-HS-0222</t>
        </is>
      </c>
      <c r="B225" s="27" t="n">
        <v>45990</v>
      </c>
      <c r="C225" s="37" t="inlineStr">
        <is>
          <t>Phòng Đo đạc</t>
        </is>
      </c>
      <c r="D225" s="37" t="inlineStr">
        <is>
          <t>Đo GPS</t>
        </is>
      </c>
      <c r="E225" s="37" t="inlineStr">
        <is>
          <t>Trần Quang Vinh</t>
        </is>
      </c>
      <c r="F225" s="37" t="inlineStr">
        <is>
          <t>Hoàng Quân</t>
        </is>
      </c>
      <c r="G225" s="37" t="n"/>
      <c r="H225" s="37" t="inlineStr">
        <is>
          <t>Long Phước</t>
        </is>
      </c>
      <c r="I225" s="37" t="inlineStr">
        <is>
          <t>Lê Văn Dựng</t>
        </is>
      </c>
      <c r="J225" s="37" t="inlineStr">
        <is>
          <t>Không cần</t>
        </is>
      </c>
      <c r="K225" s="37" t="n"/>
      <c r="L225" s="37" t="inlineStr">
        <is>
          <t>Hoàn thành</t>
        </is>
      </c>
      <c r="M225" s="27" t="n">
        <v>45993</v>
      </c>
      <c r="N225" s="28">
        <f>IF(M225="","",M225-TODAY())</f>
        <v/>
      </c>
      <c r="O225" s="37">
        <f>IF(A225="","",IF(L225="Hoàn thành","XONG",IF(L225="Đã hủy","HỦY",IF(N225&lt;0,"QUÁ HẠN",IF(N225&lt;=THIET_LAP!$B$7,"SẮP HẠN","TRONG HẠN")))))</f>
        <v/>
      </c>
      <c r="P225" s="37" t="inlineStr">
        <is>
          <t>609-2/BK-2025</t>
        </is>
      </c>
      <c r="Q225" s="29" t="n"/>
      <c r="R225" s="37" t="n"/>
      <c r="S225" s="37" t="inlineStr">
        <is>
          <t>Tiến độ: Hoàn thành | Ngày bắt đầu: 2025-11-29 00:00:00 | Ngày nộp: 2025-12-01 00:00:00 | Ngày HT: 2025-12-01 00:00:00 | Lần nộp: 2.0 | Chi kỹ thuật: Đã thanh toán</t>
        </is>
      </c>
    </row>
    <row r="226" ht="15.75" customHeight="1" s="56">
      <c r="A226" s="37" t="inlineStr">
        <is>
          <t>BK-HS-0223</t>
        </is>
      </c>
      <c r="B226" s="27" t="n">
        <v>45990</v>
      </c>
      <c r="C226" s="37" t="inlineStr">
        <is>
          <t>Phòng Đo đạc</t>
        </is>
      </c>
      <c r="D226" s="37" t="inlineStr">
        <is>
          <t>Cắm mốc</t>
        </is>
      </c>
      <c r="E226" s="37" t="inlineStr">
        <is>
          <t>Trần Quang Vinh</t>
        </is>
      </c>
      <c r="F226" s="37" t="inlineStr">
        <is>
          <t>Hoàng Quân</t>
        </is>
      </c>
      <c r="G226" s="37" t="n"/>
      <c r="H226" s="37" t="inlineStr">
        <is>
          <t>Long Phước</t>
        </is>
      </c>
      <c r="I226" s="37" t="inlineStr">
        <is>
          <t>Lê Văn Dựng</t>
        </is>
      </c>
      <c r="J226" s="37" t="inlineStr">
        <is>
          <t>Không cần</t>
        </is>
      </c>
      <c r="K226" s="37" t="n"/>
      <c r="L226" s="37" t="inlineStr">
        <is>
          <t>Hoàn thành</t>
        </is>
      </c>
      <c r="M226" s="27" t="n">
        <v>45993</v>
      </c>
      <c r="N226" s="28">
        <f>IF(M226="","",M226-TODAY())</f>
        <v/>
      </c>
      <c r="O226" s="37">
        <f>IF(A226="","",IF(L226="Hoàn thành","XONG",IF(L226="Đã hủy","HỦY",IF(N226&lt;0,"QUÁ HẠN",IF(N226&lt;=THIET_LAP!$B$7,"SẮP HẠN","TRONG HẠN")))))</f>
        <v/>
      </c>
      <c r="P226" s="37" t="inlineStr">
        <is>
          <t>609-1/BK-2025</t>
        </is>
      </c>
      <c r="Q226" s="29" t="n"/>
      <c r="R226" s="37" t="n"/>
      <c r="S226" s="37" t="inlineStr">
        <is>
          <t>Tiến độ: Hoàn thành | Ngày bắt đầu: 2025-11-29 00:00:00 | Ngày nộp: 2025-12-01 00:00:00 | Ngày HT: 2025-12-01 00:00:00 | Lần nộp: 3.0 | Chi kỹ thuật: Đã thanh toán | Số cọc: 4.0 | Loại cọc: Trụ xi măng</t>
        </is>
      </c>
    </row>
    <row r="227" ht="15.75" customHeight="1" s="56">
      <c r="A227" s="37" t="inlineStr">
        <is>
          <t>BK-HS-0224</t>
        </is>
      </c>
      <c r="B227" s="27" t="n">
        <v>45990</v>
      </c>
      <c r="C227" s="37" t="inlineStr">
        <is>
          <t>Phòng Đo đạc</t>
        </is>
      </c>
      <c r="D227" s="37" t="inlineStr">
        <is>
          <t>Cấp đổi</t>
        </is>
      </c>
      <c r="E227" s="37" t="inlineStr">
        <is>
          <t>Trần Quang Vinh</t>
        </is>
      </c>
      <c r="F227" s="37" t="inlineStr">
        <is>
          <t>Hoàng Quân</t>
        </is>
      </c>
      <c r="G227" s="37" t="n"/>
      <c r="H227" s="37" t="inlineStr">
        <is>
          <t>Long Phước</t>
        </is>
      </c>
      <c r="I227" s="37" t="inlineStr">
        <is>
          <t>Lê Văn Dựng</t>
        </is>
      </c>
      <c r="J227" s="37" t="inlineStr">
        <is>
          <t>Không cần</t>
        </is>
      </c>
      <c r="K227" s="37" t="n"/>
      <c r="L227" s="37" t="inlineStr">
        <is>
          <t>Nộp thành công - Chờ kết quả</t>
        </is>
      </c>
      <c r="M227" s="27" t="n">
        <v>45993</v>
      </c>
      <c r="N227" s="28">
        <f>IF(M227="","",M227-TODAY())</f>
        <v/>
      </c>
      <c r="O227" s="37">
        <f>IF(A227="","",IF(L227="Hoàn thành","XONG",IF(L227="Đã hủy","HỦY",IF(N227&lt;0,"QUÁ HẠN",IF(N227&lt;=THIET_LAP!$B$7,"SẮP HẠN","TRONG HẠN")))))</f>
        <v/>
      </c>
      <c r="P227" s="37" t="inlineStr">
        <is>
          <t>609/BK-2025</t>
        </is>
      </c>
      <c r="Q227" s="29" t="n"/>
      <c r="R227" s="37" t="n"/>
      <c r="S227" s="37" t="inlineStr">
        <is>
          <t>Tiến độ: Đã nộp | Ngày bắt đầu: 2025-11-29 00:00:00 | Ngày nộp: 2025-12-02 00:00:00 | Lần nộp: 1.0 | Chi kỹ thuật: Đã thanh toán</t>
        </is>
      </c>
    </row>
    <row r="228" ht="15.75" customHeight="1" s="56">
      <c r="A228" s="37" t="inlineStr">
        <is>
          <t>BK-HS-0225</t>
        </is>
      </c>
      <c r="B228" s="27" t="n">
        <v>45990</v>
      </c>
      <c r="C228" s="37" t="inlineStr">
        <is>
          <t>Phòng Đo đạc</t>
        </is>
      </c>
      <c r="D228" s="37" t="inlineStr">
        <is>
          <t>Đo GPS</t>
        </is>
      </c>
      <c r="E228" s="37" t="inlineStr">
        <is>
          <t>Trần Quang Vinh</t>
        </is>
      </c>
      <c r="F228" s="37" t="inlineStr">
        <is>
          <t>Hoàng Quân</t>
        </is>
      </c>
      <c r="G228" s="37" t="n"/>
      <c r="H228" s="37" t="inlineStr">
        <is>
          <t>Long Phước</t>
        </is>
      </c>
      <c r="I228" s="37" t="inlineStr">
        <is>
          <t>Lê Văn Dựng</t>
        </is>
      </c>
      <c r="J228" s="37" t="inlineStr">
        <is>
          <t>Không cần</t>
        </is>
      </c>
      <c r="K228" s="37" t="n"/>
      <c r="L228" s="37" t="inlineStr">
        <is>
          <t>Hoàn thành</t>
        </is>
      </c>
      <c r="M228" s="27" t="n">
        <v>45993</v>
      </c>
      <c r="N228" s="28">
        <f>IF(M228="","",M228-TODAY())</f>
        <v/>
      </c>
      <c r="O228" s="37">
        <f>IF(A228="","",IF(L228="Hoàn thành","XONG",IF(L228="Đã hủy","HỦY",IF(N228&lt;0,"QUÁ HẠN",IF(N228&lt;=THIET_LAP!$B$7,"SẮP HẠN","TRONG HẠN")))))</f>
        <v/>
      </c>
      <c r="P228" s="37" t="inlineStr">
        <is>
          <t>608-2/BK-2025</t>
        </is>
      </c>
      <c r="Q228" s="29" t="n"/>
      <c r="R228" s="37" t="n"/>
      <c r="S228" s="37" t="inlineStr">
        <is>
          <t>Tiến độ: Hoàn thành | Ngày bắt đầu: 2025-11-29 00:00:00 | Ngày nộp: 2025-12-01 00:00:00 | Ngày HT: 2025-12-01 00:00:00 | Lần nộp: 1.0 | Chi kỹ thuật: Đã thanh toán</t>
        </is>
      </c>
    </row>
    <row r="229" ht="15.75" customHeight="1" s="56">
      <c r="A229" s="37" t="inlineStr">
        <is>
          <t>BK-HS-0226</t>
        </is>
      </c>
      <c r="B229" s="27" t="n">
        <v>45990</v>
      </c>
      <c r="C229" s="37" t="inlineStr">
        <is>
          <t>Phòng Đo đạc</t>
        </is>
      </c>
      <c r="D229" s="37" t="inlineStr">
        <is>
          <t>Cắm mốc</t>
        </is>
      </c>
      <c r="E229" s="37" t="inlineStr">
        <is>
          <t>Trần Quang Vinh</t>
        </is>
      </c>
      <c r="F229" s="37" t="inlineStr">
        <is>
          <t>Hoàng Quân</t>
        </is>
      </c>
      <c r="G229" s="37" t="n"/>
      <c r="H229" s="37" t="inlineStr">
        <is>
          <t>Long Phước</t>
        </is>
      </c>
      <c r="I229" s="37" t="inlineStr">
        <is>
          <t>Lê Văn Dựng</t>
        </is>
      </c>
      <c r="J229" s="37" t="inlineStr">
        <is>
          <t>Không cần</t>
        </is>
      </c>
      <c r="K229" s="37" t="n"/>
      <c r="L229" s="37" t="inlineStr">
        <is>
          <t>Hoàn thành</t>
        </is>
      </c>
      <c r="M229" s="27" t="n">
        <v>45993</v>
      </c>
      <c r="N229" s="28">
        <f>IF(M229="","",M229-TODAY())</f>
        <v/>
      </c>
      <c r="O229" s="37">
        <f>IF(A229="","",IF(L229="Hoàn thành","XONG",IF(L229="Đã hủy","HỦY",IF(N229&lt;0,"QUÁ HẠN",IF(N229&lt;=THIET_LAP!$B$7,"SẮP HẠN","TRONG HẠN")))))</f>
        <v/>
      </c>
      <c r="P229" s="37" t="inlineStr">
        <is>
          <t>608-1/BK-2025</t>
        </is>
      </c>
      <c r="Q229" s="29" t="n"/>
      <c r="R229" s="37" t="n"/>
      <c r="S229" s="37" t="inlineStr">
        <is>
          <t>Tiến độ: Hoàn thành | Ngày bắt đầu: 2025-11-29 00:00:00 | Ngày nộp: 2025-12-01 00:00:00 | Ngày HT: 2025-12-01 00:00:00 | Lần nộp: 2.0 | Chi kỹ thuật: Đã thanh toán | Số cọc: 15.0 | Loại cọc: Trụ xi măng</t>
        </is>
      </c>
    </row>
    <row r="230" ht="15.75" customHeight="1" s="56">
      <c r="A230" s="37" t="inlineStr">
        <is>
          <t>BK-HS-0227</t>
        </is>
      </c>
      <c r="B230" s="27" t="n">
        <v>45990</v>
      </c>
      <c r="C230" s="37" t="inlineStr">
        <is>
          <t>Phòng Đo đạc</t>
        </is>
      </c>
      <c r="D230" s="37" t="inlineStr">
        <is>
          <t>Cấp đổi</t>
        </is>
      </c>
      <c r="E230" s="37" t="inlineStr">
        <is>
          <t>Trần Quang Vinh</t>
        </is>
      </c>
      <c r="F230" s="37" t="inlineStr">
        <is>
          <t>Hoàng Quân</t>
        </is>
      </c>
      <c r="G230" s="37" t="n"/>
      <c r="H230" s="37" t="inlineStr">
        <is>
          <t>Long Phước</t>
        </is>
      </c>
      <c r="I230" s="37" t="inlineStr">
        <is>
          <t>Lê Văn Dựng</t>
        </is>
      </c>
      <c r="J230" s="37" t="inlineStr">
        <is>
          <t>Không cần</t>
        </is>
      </c>
      <c r="K230" s="37" t="n"/>
      <c r="L230" s="37" t="inlineStr">
        <is>
          <t>Hoàn thành</t>
        </is>
      </c>
      <c r="M230" s="27" t="n">
        <v>45993</v>
      </c>
      <c r="N230" s="28">
        <f>IF(M230="","",M230-TODAY())</f>
        <v/>
      </c>
      <c r="O230" s="37">
        <f>IF(A230="","",IF(L230="Hoàn thành","XONG",IF(L230="Đã hủy","HỦY",IF(N230&lt;0,"QUÁ HẠN",IF(N230&lt;=THIET_LAP!$B$7,"SẮP HẠN","TRONG HẠN")))))</f>
        <v/>
      </c>
      <c r="P230" s="37" t="inlineStr">
        <is>
          <t>608/BK-2025</t>
        </is>
      </c>
      <c r="Q230" s="29" t="n"/>
      <c r="R230" s="37" t="n"/>
      <c r="S230" s="37" t="inlineStr">
        <is>
          <t>Tiến độ: Hoàn thành | Ngày bắt đầu: 2025-11-29 00:00:00 | Ngày nộp: 2025-12-22 00:00:00 | Ngày HT: 2025-12-22 00:00:00 | Lần nộp: 1.0 | Chi kỹ thuật: Đã thanh toán</t>
        </is>
      </c>
    </row>
    <row r="231" ht="15.75" customHeight="1" s="56">
      <c r="A231" s="37" t="inlineStr">
        <is>
          <t>BK-HS-0228</t>
        </is>
      </c>
      <c r="B231" s="27" t="n">
        <v>45990</v>
      </c>
      <c r="C231" s="37" t="inlineStr">
        <is>
          <t>Phòng Đo đạc</t>
        </is>
      </c>
      <c r="D231" s="37" t="inlineStr">
        <is>
          <t>Hoàn công</t>
        </is>
      </c>
      <c r="E231" s="37" t="inlineStr">
        <is>
          <t>Phan Văn Truyền-Nguyễn Thị Quy</t>
        </is>
      </c>
      <c r="F231" s="37" t="inlineStr">
        <is>
          <t>Đạt Việt Phát Land</t>
        </is>
      </c>
      <c r="G231" s="37" t="n"/>
      <c r="H231" s="37" t="inlineStr">
        <is>
          <t>Tam Bình</t>
        </is>
      </c>
      <c r="I231" s="37" t="inlineStr">
        <is>
          <t>Trương Tấn Quốc</t>
        </is>
      </c>
      <c r="J231" s="37" t="inlineStr">
        <is>
          <t>Võ Tứ Hợp</t>
        </is>
      </c>
      <c r="K231" s="37" t="n"/>
      <c r="L231" s="37" t="inlineStr">
        <is>
          <t>Hủy</t>
        </is>
      </c>
      <c r="M231" s="27" t="n">
        <v>45993</v>
      </c>
      <c r="N231" s="28">
        <f>IF(M231="","",M231-TODAY())</f>
        <v/>
      </c>
      <c r="O231" s="37">
        <f>IF(A231="","",IF(L231="Hoàn thành","XONG",IF(L231="Đã hủy","HỦY",IF(N231&lt;0,"QUÁ HẠN",IF(N231&lt;=THIET_LAP!$B$7,"SẮP HẠN","TRONG HẠN")))))</f>
        <v/>
      </c>
      <c r="P231" s="37" t="inlineStr">
        <is>
          <t>607/BK-2025</t>
        </is>
      </c>
      <c r="Q231" s="29" t="n"/>
      <c r="R231" s="37" t="n"/>
      <c r="S231" s="37" t="inlineStr">
        <is>
          <t>Tiến độ: ĐÃ HỦY | Ngày bắt đầu: 2025-11-29 00:00:00 | Ngày nộp: 2026-01-17 00:00:00 | Lần nộp: 1.0 | Chi kỹ thuật: Đã thanh toán | Giải trình: Đất thuộc toàn bộ quy hoạch đất giao thông</t>
        </is>
      </c>
    </row>
    <row r="232" ht="15.75" customHeight="1" s="56">
      <c r="A232" s="37" t="inlineStr">
        <is>
          <t>BK-HS-0229</t>
        </is>
      </c>
      <c r="B232" s="27" t="n">
        <v>45989</v>
      </c>
      <c r="C232" s="37" t="inlineStr">
        <is>
          <t>Phòng Đo đạc</t>
        </is>
      </c>
      <c r="D232" s="37" t="inlineStr">
        <is>
          <t>Hoàn công</t>
        </is>
      </c>
      <c r="E232" s="37" t="inlineStr">
        <is>
          <t>Trần Lâm</t>
        </is>
      </c>
      <c r="F232" s="37" t="inlineStr">
        <is>
          <t>Công Ty</t>
        </is>
      </c>
      <c r="G232" s="37" t="inlineStr">
        <is>
          <t>094 5861977</t>
        </is>
      </c>
      <c r="H232" s="37" t="inlineStr">
        <is>
          <t>Phước Long</t>
        </is>
      </c>
      <c r="I232" s="37" t="inlineStr">
        <is>
          <t>Tạ Khắc Tập</t>
        </is>
      </c>
      <c r="J232" s="37" t="inlineStr">
        <is>
          <t>Võ Tứ Hợp</t>
        </is>
      </c>
      <c r="K232" s="37" t="n"/>
      <c r="L232" s="37" t="inlineStr">
        <is>
          <t>Hủy</t>
        </is>
      </c>
      <c r="M232" s="27" t="n">
        <v>45992</v>
      </c>
      <c r="N232" s="28">
        <f>IF(M232="","",M232-TODAY())</f>
        <v/>
      </c>
      <c r="O232" s="37">
        <f>IF(A232="","",IF(L232="Hoàn thành","XONG",IF(L232="Đã hủy","HỦY",IF(N232&lt;0,"QUÁ HẠN",IF(N232&lt;=THIET_LAP!$B$7,"SẮP HẠN","TRONG HẠN")))))</f>
        <v/>
      </c>
      <c r="P232" s="37" t="inlineStr">
        <is>
          <t>605/BK-2025</t>
        </is>
      </c>
      <c r="Q232" s="29" t="n"/>
      <c r="R232" s="37" t="n"/>
      <c r="S232" s="37" t="inlineStr">
        <is>
          <t>Tiến độ: ĐÃ HỦY | Ngày bắt đầu: 2025-11-28 00:00:00 | Ngày nộp: 2026-01-17 00:00:00 | Lần nộp: 4.0 | Chi kỹ thuật: Đã thanh toán | Giải trình: huy( ko lam duoc hs)</t>
        </is>
      </c>
    </row>
    <row r="233" ht="15.75" customHeight="1" s="56">
      <c r="A233" s="37" t="inlineStr">
        <is>
          <t>BK-HS-0230</t>
        </is>
      </c>
      <c r="B233" s="27" t="n">
        <v>45989</v>
      </c>
      <c r="C233" s="37" t="inlineStr">
        <is>
          <t>Phòng Đo đạc</t>
        </is>
      </c>
      <c r="D233" s="37" t="inlineStr">
        <is>
          <t>Cắm mốc</t>
        </is>
      </c>
      <c r="E233" s="37" t="inlineStr">
        <is>
          <t>Nguyễn Khánh Lộc</t>
        </is>
      </c>
      <c r="F233" s="37" t="inlineStr">
        <is>
          <t>Nguyễn Tâm DV</t>
        </is>
      </c>
      <c r="G233" s="37" t="n"/>
      <c r="H233" s="37" t="inlineStr">
        <is>
          <t>Linh Xuân</t>
        </is>
      </c>
      <c r="I233" s="37" t="inlineStr">
        <is>
          <t>Lê Văn Dựng</t>
        </is>
      </c>
      <c r="J233" s="37" t="inlineStr">
        <is>
          <t>Võ Tứ Hợp</t>
        </is>
      </c>
      <c r="K233" s="37" t="n"/>
      <c r="L233" s="37" t="inlineStr">
        <is>
          <t>Hoàn thành</t>
        </is>
      </c>
      <c r="M233" s="27" t="n">
        <v>45992</v>
      </c>
      <c r="N233" s="28">
        <f>IF(M233="","",M233-TODAY())</f>
        <v/>
      </c>
      <c r="O233" s="37">
        <f>IF(A233="","",IF(L233="Hoàn thành","XONG",IF(L233="Đã hủy","HỦY",IF(N233&lt;0,"QUÁ HẠN",IF(N233&lt;=THIET_LAP!$B$7,"SẮP HẠN","TRONG HẠN")))))</f>
        <v/>
      </c>
      <c r="P233" s="37" t="inlineStr">
        <is>
          <t>526-1/BK-2025</t>
        </is>
      </c>
      <c r="Q233" s="29" t="n"/>
      <c r="R233" s="37" t="n"/>
      <c r="S233" s="37" t="inlineStr">
        <is>
          <t>Tiến độ: Hoàn thành | Ngày bắt đầu: 2025-11-28 00:00:00 | Ngày nộp: 2025-11-29 00:00:00 | Ngày HT: 2025-11-29 00:00:00 | Lần nộp: 5.0 | Chi kỹ thuật: Đã thanh toán | Số cọc: 4.0 | Loại cọc: Trụ xi măng</t>
        </is>
      </c>
    </row>
    <row r="234" ht="15.75" customHeight="1" s="56">
      <c r="A234" s="37" t="inlineStr">
        <is>
          <t>BK-HS-0231</t>
        </is>
      </c>
      <c r="B234" s="27" t="n">
        <v>45989</v>
      </c>
      <c r="C234" s="37" t="inlineStr">
        <is>
          <t>Phòng Đo đạc</t>
        </is>
      </c>
      <c r="D234" s="37" t="inlineStr">
        <is>
          <t>Kiểm tra hiện trạng</t>
        </is>
      </c>
      <c r="E234" s="37" t="inlineStr">
        <is>
          <t>Anh Lộc</t>
        </is>
      </c>
      <c r="F234" s="37" t="inlineStr">
        <is>
          <t>Đạt Việt Phát Land</t>
        </is>
      </c>
      <c r="G234" s="37" t="n"/>
      <c r="H234" s="37" t="inlineStr">
        <is>
          <t>Hiệp Bình</t>
        </is>
      </c>
      <c r="I234" s="37" t="inlineStr">
        <is>
          <t>Tạ Khắc Tập</t>
        </is>
      </c>
      <c r="J234" s="37" t="inlineStr">
        <is>
          <t>Võ Tứ Hợp</t>
        </is>
      </c>
      <c r="K234" s="37" t="n"/>
      <c r="L234" s="37" t="inlineStr">
        <is>
          <t>Hoàn thành</t>
        </is>
      </c>
      <c r="M234" s="27" t="n">
        <v>45992</v>
      </c>
      <c r="N234" s="28">
        <f>IF(M234="","",M234-TODAY())</f>
        <v/>
      </c>
      <c r="O234" s="37">
        <f>IF(A234="","",IF(L234="Hoàn thành","XONG",IF(L234="Đã hủy","HỦY",IF(N234&lt;0,"QUÁ HẠN",IF(N234&lt;=THIET_LAP!$B$7,"SẮP HẠN","TRONG HẠN")))))</f>
        <v/>
      </c>
      <c r="P234" s="37" t="inlineStr">
        <is>
          <t>604/BK-2025</t>
        </is>
      </c>
      <c r="Q234" s="29" t="n"/>
      <c r="R234" s="37" t="n"/>
      <c r="S234" s="37" t="inlineStr">
        <is>
          <t>Tiến độ: Hoàn thành | Ngày bắt đầu: 2025-11-28 00:00:00 | Ngày nộp: 2025-11-29 00:00:00 | Ngày HT: 2025-11-29 00:00:00 | Lần nộp: 1.0 | Chi kỹ thuật: Đã thanh toán | Số cọc: 4.0 | Ghi chú: đã bàn giao biên bản</t>
        </is>
      </c>
    </row>
    <row r="235" ht="15.75" customHeight="1" s="56">
      <c r="A235" s="37" t="inlineStr">
        <is>
          <t>BK-HS-0232</t>
        </is>
      </c>
      <c r="B235" s="27" t="n">
        <v>45989</v>
      </c>
      <c r="C235" s="37" t="inlineStr">
        <is>
          <t>Phòng Đo đạc</t>
        </is>
      </c>
      <c r="D235" s="37" t="inlineStr">
        <is>
          <t>Điều chỉnh bản vẽ</t>
        </is>
      </c>
      <c r="E235" s="37" t="inlineStr">
        <is>
          <t>Trần Thị Ngọc Dung</t>
        </is>
      </c>
      <c r="F235" s="37" t="inlineStr">
        <is>
          <t>Cô Hoa</t>
        </is>
      </c>
      <c r="G235" s="37" t="n"/>
      <c r="H235" s="37" t="inlineStr">
        <is>
          <t>Linh Xuân</t>
        </is>
      </c>
      <c r="I235" s="37" t="inlineStr">
        <is>
          <t>Trương Tấn Quốc</t>
        </is>
      </c>
      <c r="J235" s="37" t="inlineStr">
        <is>
          <t>Không cần</t>
        </is>
      </c>
      <c r="K235" s="37" t="n"/>
      <c r="L235" s="37" t="inlineStr">
        <is>
          <t>Hoàn thành</t>
        </is>
      </c>
      <c r="M235" s="27" t="n">
        <v>45992</v>
      </c>
      <c r="N235" s="28">
        <f>IF(M235="","",M235-TODAY())</f>
        <v/>
      </c>
      <c r="O235" s="37">
        <f>IF(A235="","",IF(L235="Hoàn thành","XONG",IF(L235="Đã hủy","HỦY",IF(N235&lt;0,"QUÁ HẠN",IF(N235&lt;=THIET_LAP!$B$7,"SẮP HẠN","TRONG HẠN")))))</f>
        <v/>
      </c>
      <c r="P235" s="37" t="inlineStr">
        <is>
          <t>504-DC/BK-2025</t>
        </is>
      </c>
      <c r="Q235" s="29" t="n"/>
      <c r="R235" s="37" t="n"/>
      <c r="S235" s="37" t="inlineStr">
        <is>
          <t>Tiến độ: Hoàn thành | Ngày bắt đầu: 2025-11-28 00:00:00 | Ngày nộp: 2025-12-17 00:00:00 | Ngày HT: 2025-12-17 00:00:00 | Lần nộp: 1.0 | Chi kỹ thuật: Đã thanh toán</t>
        </is>
      </c>
    </row>
    <row r="236" ht="15.75" customHeight="1" s="56">
      <c r="A236" s="37" t="inlineStr">
        <is>
          <t>BK-HS-0233</t>
        </is>
      </c>
      <c r="B236" s="27" t="n">
        <v>45989</v>
      </c>
      <c r="C236" s="37" t="inlineStr">
        <is>
          <t>Phòng Đo đạc</t>
        </is>
      </c>
      <c r="D236" s="37" t="inlineStr">
        <is>
          <t>Đo GPS</t>
        </is>
      </c>
      <c r="E236" s="37" t="inlineStr">
        <is>
          <t>Trần Đức Phú</t>
        </is>
      </c>
      <c r="F236" s="37" t="inlineStr">
        <is>
          <t>Hoàng Quân</t>
        </is>
      </c>
      <c r="G236" s="37" t="n"/>
      <c r="H236" s="37" t="inlineStr">
        <is>
          <t>Long Phước</t>
        </is>
      </c>
      <c r="I236" s="37" t="inlineStr">
        <is>
          <t>Lê Văn Dựng</t>
        </is>
      </c>
      <c r="J236" s="37" t="inlineStr">
        <is>
          <t>Không cần</t>
        </is>
      </c>
      <c r="K236" s="37" t="n"/>
      <c r="L236" s="37" t="inlineStr">
        <is>
          <t>Hoàn thành</t>
        </is>
      </c>
      <c r="M236" s="27" t="n">
        <v>45992</v>
      </c>
      <c r="N236" s="28">
        <f>IF(M236="","",M236-TODAY())</f>
        <v/>
      </c>
      <c r="O236" s="37">
        <f>IF(A236="","",IF(L236="Hoàn thành","XONG",IF(L236="Đã hủy","HỦY",IF(N236&lt;0,"QUÁ HẠN",IF(N236&lt;=THIET_LAP!$B$7,"SẮP HẠN","TRONG HẠN")))))</f>
        <v/>
      </c>
      <c r="P236" s="37" t="inlineStr">
        <is>
          <t>603-2/BK-2025</t>
        </is>
      </c>
      <c r="Q236" s="29" t="n"/>
      <c r="R236" s="37" t="n"/>
      <c r="S236" s="37" t="inlineStr">
        <is>
          <t>Tiến độ: Hoàn thành | Ngày bắt đầu: 2025-11-28 00:00:00 | Ngày nộp: 2025-11-29 00:00:00 | Ngày HT: 2025-11-29 00:00:00 | Lần nộp: 1.0 | Chi kỹ thuật: Đã thanh toán</t>
        </is>
      </c>
    </row>
    <row r="237" ht="15.75" customHeight="1" s="56">
      <c r="A237" s="37" t="inlineStr">
        <is>
          <t>BK-HS-0234</t>
        </is>
      </c>
      <c r="B237" s="27" t="n">
        <v>45989</v>
      </c>
      <c r="C237" s="37" t="inlineStr">
        <is>
          <t>Phòng Đo đạc</t>
        </is>
      </c>
      <c r="D237" s="37" t="inlineStr">
        <is>
          <t>Cắm mốc</t>
        </is>
      </c>
      <c r="E237" s="37" t="inlineStr">
        <is>
          <t>Trần Đức Phú</t>
        </is>
      </c>
      <c r="F237" s="37" t="inlineStr">
        <is>
          <t>Hoàng Quân</t>
        </is>
      </c>
      <c r="G237" s="37" t="n"/>
      <c r="H237" s="37" t="inlineStr">
        <is>
          <t>Long Phước</t>
        </is>
      </c>
      <c r="I237" s="37" t="inlineStr">
        <is>
          <t>Lê Văn Dựng</t>
        </is>
      </c>
      <c r="J237" s="37" t="inlineStr">
        <is>
          <t>Không cần</t>
        </is>
      </c>
      <c r="K237" s="37" t="n"/>
      <c r="L237" s="37" t="inlineStr">
        <is>
          <t>Hoàn thành</t>
        </is>
      </c>
      <c r="M237" s="27" t="n">
        <v>45992</v>
      </c>
      <c r="N237" s="28">
        <f>IF(M237="","",M237-TODAY())</f>
        <v/>
      </c>
      <c r="O237" s="37">
        <f>IF(A237="","",IF(L237="Hoàn thành","XONG",IF(L237="Đã hủy","HỦY",IF(N237&lt;0,"QUÁ HẠN",IF(N237&lt;=THIET_LAP!$B$7,"SẮP HẠN","TRONG HẠN")))))</f>
        <v/>
      </c>
      <c r="P237" s="37" t="inlineStr">
        <is>
          <t>603-1/BK-2025</t>
        </is>
      </c>
      <c r="Q237" s="29" t="n"/>
      <c r="R237" s="37" t="n"/>
      <c r="S237" s="37" t="inlineStr">
        <is>
          <t>Tiến độ: Hoàn thành | Ngày bắt đầu: 2025-11-28 00:00:00 | Ngày nộp: 2025-11-29 00:00:00 | Ngày HT: 2025-11-29 00:00:00 | Lần nộp: 1.0 | Chi kỹ thuật: Đã thanh toán | Số cọc: 8.0 | Loại cọc: Trụ xi măng</t>
        </is>
      </c>
    </row>
    <row r="238" ht="15.75" customHeight="1" s="56">
      <c r="A238" s="37" t="inlineStr">
        <is>
          <t>BK-HS-0235</t>
        </is>
      </c>
      <c r="B238" s="27" t="n">
        <v>45989</v>
      </c>
      <c r="C238" s="37" t="inlineStr">
        <is>
          <t>Phòng Đo đạc</t>
        </is>
      </c>
      <c r="D238" s="37" t="inlineStr">
        <is>
          <t>Cấp đổi</t>
        </is>
      </c>
      <c r="E238" s="37" t="inlineStr">
        <is>
          <t>Trần Đức Phú</t>
        </is>
      </c>
      <c r="F238" s="37" t="inlineStr">
        <is>
          <t>Hoàng Quân</t>
        </is>
      </c>
      <c r="G238" s="37" t="n"/>
      <c r="H238" s="37" t="inlineStr">
        <is>
          <t>Long Phước</t>
        </is>
      </c>
      <c r="I238" s="37" t="inlineStr">
        <is>
          <t>Lê Văn Dựng</t>
        </is>
      </c>
      <c r="J238" s="37" t="inlineStr">
        <is>
          <t>Không cần</t>
        </is>
      </c>
      <c r="K238" s="37" t="n"/>
      <c r="L238" s="37" t="inlineStr">
        <is>
          <t>Hoàn thành</t>
        </is>
      </c>
      <c r="M238" s="27" t="n">
        <v>45992</v>
      </c>
      <c r="N238" s="28">
        <f>IF(M238="","",M238-TODAY())</f>
        <v/>
      </c>
      <c r="O238" s="37">
        <f>IF(A238="","",IF(L238="Hoàn thành","XONG",IF(L238="Đã hủy","HỦY",IF(N238&lt;0,"QUÁ HẠN",IF(N238&lt;=THIET_LAP!$B$7,"SẮP HẠN","TRONG HẠN")))))</f>
        <v/>
      </c>
      <c r="P238" s="37" t="inlineStr">
        <is>
          <t>603/BK-2025</t>
        </is>
      </c>
      <c r="Q238" s="29" t="n"/>
      <c r="R238" s="37" t="n"/>
      <c r="S238" s="37" t="inlineStr">
        <is>
          <t>Tiến độ: Hoàn thành | Ngày bắt đầu: 2025-11-28 00:00:00 | Ngày nộp: 2025-12-25 00:00:00 | Ngày HT: 2025-12-25 00:00:00 | Lần nộp: 2.0 | Chi kỹ thuật: Đã thanh toán</t>
        </is>
      </c>
    </row>
    <row r="239" ht="15.75" customHeight="1" s="56">
      <c r="A239" s="37" t="inlineStr">
        <is>
          <t>BK-HS-0236</t>
        </is>
      </c>
      <c r="B239" s="27" t="n">
        <v>45989</v>
      </c>
      <c r="C239" s="37" t="inlineStr">
        <is>
          <t>Phòng Đo đạc</t>
        </is>
      </c>
      <c r="D239" s="37" t="inlineStr">
        <is>
          <t>Cắm mốc</t>
        </is>
      </c>
      <c r="E239" s="37" t="inlineStr">
        <is>
          <t>Trần Quang Vinh</t>
        </is>
      </c>
      <c r="F239" s="37" t="inlineStr">
        <is>
          <t>Hoàng Quân</t>
        </is>
      </c>
      <c r="G239" s="37" t="n"/>
      <c r="H239" s="37" t="inlineStr">
        <is>
          <t>Long Phước</t>
        </is>
      </c>
      <c r="I239" s="37" t="inlineStr">
        <is>
          <t>Lê Văn Dựng</t>
        </is>
      </c>
      <c r="J239" s="37" t="inlineStr">
        <is>
          <t>Không cần</t>
        </is>
      </c>
      <c r="K239" s="37" t="n"/>
      <c r="L239" s="37" t="inlineStr">
        <is>
          <t>Hoàn thành</t>
        </is>
      </c>
      <c r="M239" s="27" t="n">
        <v>45992</v>
      </c>
      <c r="N239" s="28">
        <f>IF(M239="","",M239-TODAY())</f>
        <v/>
      </c>
      <c r="O239" s="37">
        <f>IF(A239="","",IF(L239="Hoàn thành","XONG",IF(L239="Đã hủy","HỦY",IF(N239&lt;0,"QUÁ HẠN",IF(N239&lt;=THIET_LAP!$B$7,"SẮP HẠN","TRONG HẠN")))))</f>
        <v/>
      </c>
      <c r="P239" s="37" t="inlineStr">
        <is>
          <t>458-1/BK-2025</t>
        </is>
      </c>
      <c r="Q239" s="29" t="n"/>
      <c r="R239" s="37" t="n"/>
      <c r="S239" s="37" t="inlineStr">
        <is>
          <t>Tiến độ: Hoàn thành | Ngày bắt đầu: 2025-11-28 00:00:00 | Ngày nộp: 2025-11-29 00:00:00 | Ngày HT: 2025-11-29 00:00:00 | Lần nộp: 1.0 | Chi kỹ thuật: Đã thanh toán | Số cọc: 10.0 | Loại cọc: Trụ xi măng</t>
        </is>
      </c>
    </row>
    <row r="240" ht="15.75" customHeight="1" s="56">
      <c r="A240" s="37" t="inlineStr">
        <is>
          <t>BK-HS-0237</t>
        </is>
      </c>
      <c r="B240" s="27" t="n">
        <v>45989</v>
      </c>
      <c r="C240" s="37" t="inlineStr">
        <is>
          <t>Phòng Đo đạc</t>
        </is>
      </c>
      <c r="D240" s="37" t="inlineStr">
        <is>
          <t>Điều chỉnh bản vẽ</t>
        </is>
      </c>
      <c r="E240" s="37" t="inlineStr">
        <is>
          <t>Lâm Văn Thanh</t>
        </is>
      </c>
      <c r="F240" s="37" t="inlineStr">
        <is>
          <t>Công Ty</t>
        </is>
      </c>
      <c r="G240" s="37" t="inlineStr">
        <is>
          <t>0915165138</t>
        </is>
      </c>
      <c r="H240" s="37" t="inlineStr">
        <is>
          <t>Hiệp Bình</t>
        </is>
      </c>
      <c r="I240" s="37" t="inlineStr">
        <is>
          <t>Trương Tấn Quốc</t>
        </is>
      </c>
      <c r="J240" s="37" t="inlineStr">
        <is>
          <t>Không cần</t>
        </is>
      </c>
      <c r="K240" s="37" t="n"/>
      <c r="L240" s="37" t="inlineStr">
        <is>
          <t>Hoàn thành</t>
        </is>
      </c>
      <c r="M240" s="27" t="n">
        <v>45992</v>
      </c>
      <c r="N240" s="28">
        <f>IF(M240="","",M240-TODAY())</f>
        <v/>
      </c>
      <c r="O240" s="37">
        <f>IF(A240="","",IF(L240="Hoàn thành","XONG",IF(L240="Đã hủy","HỦY",IF(N240&lt;0,"QUÁ HẠN",IF(N240&lt;=THIET_LAP!$B$7,"SẮP HẠN","TRONG HẠN")))))</f>
        <v/>
      </c>
      <c r="P240" s="37" t="inlineStr">
        <is>
          <t>384-DC/BK-2025</t>
        </is>
      </c>
      <c r="Q240" s="29" t="n"/>
      <c r="R240" s="37" t="n"/>
      <c r="S240" s="37" t="inlineStr">
        <is>
          <t>Tiến độ: Hoàn thành | Ngày bắt đầu: 2025-11-28 00:00:00 | Ngày nộp: 2026-01-09 00:00:00 | Ngày HT: 2026-01-09 00:00:00 | Lần nộp: 1.0 | Chi kỹ thuật: Đã thanh toán | Giải trình: Đợi dịch vụ trao đổi phường</t>
        </is>
      </c>
    </row>
    <row r="241" ht="15.75" customHeight="1" s="56">
      <c r="A241" s="37" t="inlineStr">
        <is>
          <t>BK-HS-0238</t>
        </is>
      </c>
      <c r="B241" s="27" t="n">
        <v>45988</v>
      </c>
      <c r="C241" s="37" t="inlineStr">
        <is>
          <t>Phòng Đo đạc</t>
        </is>
      </c>
      <c r="D241" s="37" t="inlineStr">
        <is>
          <t>Cấp đổi</t>
        </is>
      </c>
      <c r="E241" s="37" t="inlineStr">
        <is>
          <t>Vũ Quang Tịnh</t>
        </is>
      </c>
      <c r="F241" s="37" t="inlineStr">
        <is>
          <t>Công Ty</t>
        </is>
      </c>
      <c r="G241" s="37" t="inlineStr">
        <is>
          <t>0972715317</t>
        </is>
      </c>
      <c r="H241" s="37" t="inlineStr">
        <is>
          <t>Linh Xuân</t>
        </is>
      </c>
      <c r="I241" s="37" t="inlineStr">
        <is>
          <t>Lê Văn Xây</t>
        </is>
      </c>
      <c r="J241" s="37" t="inlineStr">
        <is>
          <t>Võ Tứ Hợp</t>
        </is>
      </c>
      <c r="K241" s="37" t="n"/>
      <c r="L241" s="37" t="inlineStr">
        <is>
          <t>Hoàn thành</t>
        </is>
      </c>
      <c r="M241" s="27" t="n">
        <v>45991</v>
      </c>
      <c r="N241" s="28">
        <f>IF(M241="","",M241-TODAY())</f>
        <v/>
      </c>
      <c r="O241" s="37">
        <f>IF(A241="","",IF(L241="Hoàn thành","XONG",IF(L241="Đã hủy","HỦY",IF(N241&lt;0,"QUÁ HẠN",IF(N241&lt;=THIET_LAP!$B$7,"SẮP HẠN","TRONG HẠN")))))</f>
        <v/>
      </c>
      <c r="P241" s="37" t="inlineStr">
        <is>
          <t>602/BK-2025</t>
        </is>
      </c>
      <c r="Q241" s="29" t="n"/>
      <c r="R241" s="37" t="n"/>
      <c r="S241" s="37" t="inlineStr">
        <is>
          <t>Tiến độ: Hoàn thành | Ngày bắt đầu: 2025-11-27 00:00:00 | Ngày nộp: 2025-12-12 00:00:00 | Ngày HT: 2025-12-12 00:00:00 | Lần nộp: 1.0 | Chi kỹ thuật: Đã thanh toán</t>
        </is>
      </c>
    </row>
    <row r="242" ht="15.75" customHeight="1" s="56">
      <c r="A242" s="37" t="inlineStr">
        <is>
          <t>BK-HS-0239</t>
        </is>
      </c>
      <c r="B242" s="27" t="n">
        <v>45988</v>
      </c>
      <c r="C242" s="37" t="inlineStr">
        <is>
          <t>Phòng Đo đạc</t>
        </is>
      </c>
      <c r="D242" s="37" t="inlineStr">
        <is>
          <t>Cấp đổi</t>
        </is>
      </c>
      <c r="E242" s="37" t="inlineStr">
        <is>
          <t>Vương Thị Minh</t>
        </is>
      </c>
      <c r="F242" s="37" t="inlineStr">
        <is>
          <t>Công Ty</t>
        </is>
      </c>
      <c r="G242" s="37" t="inlineStr">
        <is>
          <t>096 3800369</t>
        </is>
      </c>
      <c r="H242" s="37" t="inlineStr">
        <is>
          <t>Linh Xuân</t>
        </is>
      </c>
      <c r="I242" s="37" t="inlineStr">
        <is>
          <t>Lê Văn Xây</t>
        </is>
      </c>
      <c r="J242" s="37" t="inlineStr">
        <is>
          <t>Võ Tứ Hợp</t>
        </is>
      </c>
      <c r="K242" s="37" t="n"/>
      <c r="L242" s="37" t="inlineStr">
        <is>
          <t>Hoàn thành</t>
        </is>
      </c>
      <c r="M242" s="27" t="n">
        <v>45991</v>
      </c>
      <c r="N242" s="28">
        <f>IF(M242="","",M242-TODAY())</f>
        <v/>
      </c>
      <c r="O242" s="37">
        <f>IF(A242="","",IF(L242="Hoàn thành","XONG",IF(L242="Đã hủy","HỦY",IF(N242&lt;0,"QUÁ HẠN",IF(N242&lt;=THIET_LAP!$B$7,"SẮP HẠN","TRONG HẠN")))))</f>
        <v/>
      </c>
      <c r="P242" s="37" t="inlineStr">
        <is>
          <t>601/BK-2025</t>
        </is>
      </c>
      <c r="Q242" s="29" t="n"/>
      <c r="R242" s="37" t="n"/>
      <c r="S242" s="37" t="inlineStr">
        <is>
          <t>Tiến độ: Hoàn thành | Ngày bắt đầu: 2025-11-27 00:00:00 | Ngày nộp: 2025-12-23 00:00:00 | Ngày HT: 2025-12-23 00:00:00 | Lần nộp: 1.0 | Chi kỹ thuật: Đã thanh toán</t>
        </is>
      </c>
    </row>
    <row r="243" ht="15.75" customHeight="1" s="56">
      <c r="A243" s="37" t="inlineStr">
        <is>
          <t>BK-HS-0240</t>
        </is>
      </c>
      <c r="B243" s="27" t="n">
        <v>45988</v>
      </c>
      <c r="C243" s="37" t="inlineStr">
        <is>
          <t>Phòng Đo đạc</t>
        </is>
      </c>
      <c r="D243" s="37" t="inlineStr">
        <is>
          <t>Cắm mốc</t>
        </is>
      </c>
      <c r="E243" s="37" t="inlineStr">
        <is>
          <t>Nguyễn Mạnh Hùng-Nguyễn Trần Huyền Trang</t>
        </is>
      </c>
      <c r="F243" s="37" t="inlineStr">
        <is>
          <t>Nguyễn Hương DV</t>
        </is>
      </c>
      <c r="G243" s="37" t="n"/>
      <c r="H243" s="37" t="inlineStr">
        <is>
          <t>Phước Long</t>
        </is>
      </c>
      <c r="I243" s="37" t="inlineStr">
        <is>
          <t>Tạ Khắc Tập</t>
        </is>
      </c>
      <c r="J243" s="37" t="inlineStr">
        <is>
          <t>Võ Tứ Hợp</t>
        </is>
      </c>
      <c r="K243" s="37" t="n"/>
      <c r="L243" s="37" t="inlineStr">
        <is>
          <t>Hoàn thành</t>
        </is>
      </c>
      <c r="M243" s="27" t="n">
        <v>45991</v>
      </c>
      <c r="N243" s="28">
        <f>IF(M243="","",M243-TODAY())</f>
        <v/>
      </c>
      <c r="O243" s="37">
        <f>IF(A243="","",IF(L243="Hoàn thành","XONG",IF(L243="Đã hủy","HỦY",IF(N243&lt;0,"QUÁ HẠN",IF(N243&lt;=THIET_LAP!$B$7,"SẮP HẠN","TRONG HẠN")))))</f>
        <v/>
      </c>
      <c r="P243" s="37" t="inlineStr">
        <is>
          <t>595-1/BK-2025</t>
        </is>
      </c>
      <c r="Q243" s="29" t="n"/>
      <c r="R243" s="37" t="n"/>
      <c r="S243" s="37" t="inlineStr">
        <is>
          <t>Tiến độ: Hoàn thành | Ngày bắt đầu: 2025-11-27 00:00:00 | Ngày nộp: 2025-11-27 00:00:00 | Ngày HT: 2025-11-27 00:00:00 | Lần nộp: 1.0 | Chi kỹ thuật: Đã thanh toán | Số cọc: 7.0 | Loại cọc: Trụ xi măng</t>
        </is>
      </c>
    </row>
    <row r="244" ht="15.75" customHeight="1" s="56">
      <c r="A244" s="37" t="inlineStr">
        <is>
          <t>BK-HS-0241</t>
        </is>
      </c>
      <c r="B244" s="27" t="n">
        <v>45988</v>
      </c>
      <c r="C244" s="37" t="inlineStr">
        <is>
          <t>Phòng Đo đạc</t>
        </is>
      </c>
      <c r="D244" s="37" t="inlineStr">
        <is>
          <t>Điều chỉnh bản vẽ</t>
        </is>
      </c>
      <c r="E244" s="37" t="inlineStr">
        <is>
          <t>Nguyễn Nhật Bằng</t>
        </is>
      </c>
      <c r="F244" s="37" t="inlineStr">
        <is>
          <t>Công Ty</t>
        </is>
      </c>
      <c r="G244" s="37" t="inlineStr">
        <is>
          <t>0986898244</t>
        </is>
      </c>
      <c r="H244" s="37" t="inlineStr">
        <is>
          <t>Tam Bình</t>
        </is>
      </c>
      <c r="I244" s="37" t="inlineStr">
        <is>
          <t>Trương Tấn Quốc</t>
        </is>
      </c>
      <c r="J244" s="37" t="inlineStr">
        <is>
          <t>Không cần</t>
        </is>
      </c>
      <c r="K244" s="37" t="n"/>
      <c r="L244" s="37" t="inlineStr">
        <is>
          <t>Hoàn thành</t>
        </is>
      </c>
      <c r="M244" s="27" t="n">
        <v>45991</v>
      </c>
      <c r="N244" s="28">
        <f>IF(M244="","",M244-TODAY())</f>
        <v/>
      </c>
      <c r="O244" s="37">
        <f>IF(A244="","",IF(L244="Hoàn thành","XONG",IF(L244="Đã hủy","HỦY",IF(N244&lt;0,"QUÁ HẠN",IF(N244&lt;=THIET_LAP!$B$7,"SẮP HẠN","TRONG HẠN")))))</f>
        <v/>
      </c>
      <c r="P244" s="37" t="inlineStr">
        <is>
          <t>400-DC-1/BK-2025</t>
        </is>
      </c>
      <c r="Q244" s="29" t="n"/>
      <c r="R244" s="37" t="n"/>
      <c r="S244" s="37" t="inlineStr">
        <is>
          <t>Tiến độ: Hoàn thành | Ngày bắt đầu: 2025-11-27 00:00:00 | Ngày nộp: 2025-12-09 00:00:00 | Ngày HT: 2025-12-09 00:00:00 | Lần nộp: 3.0 | Chi kỹ thuật: Đã thanh toán</t>
        </is>
      </c>
    </row>
    <row r="245" ht="15.75" customHeight="1" s="56">
      <c r="A245" s="37" t="inlineStr">
        <is>
          <t>BK-HS-0242</t>
        </is>
      </c>
      <c r="B245" s="27" t="n">
        <v>45988</v>
      </c>
      <c r="C245" s="37" t="inlineStr">
        <is>
          <t>Phòng Đo đạc</t>
        </is>
      </c>
      <c r="D245" s="37" t="inlineStr">
        <is>
          <t>Xác định diện tích</t>
        </is>
      </c>
      <c r="E245" s="37" t="inlineStr">
        <is>
          <t>Phan Thị Tố Như</t>
        </is>
      </c>
      <c r="F245" s="37" t="inlineStr">
        <is>
          <t>Anh Long PCT</t>
        </is>
      </c>
      <c r="G245" s="37" t="n"/>
      <c r="H245" s="37" t="inlineStr">
        <is>
          <t>Hiệp Bình</t>
        </is>
      </c>
      <c r="I245" s="37" t="inlineStr">
        <is>
          <t>Lê Văn Dựng</t>
        </is>
      </c>
      <c r="J245" s="37" t="inlineStr">
        <is>
          <t>Không cần</t>
        </is>
      </c>
      <c r="K245" s="37" t="n"/>
      <c r="L245" s="37" t="inlineStr">
        <is>
          <t>Nộp thành công - Chờ kết quả</t>
        </is>
      </c>
      <c r="M245" s="27" t="n">
        <v>45991</v>
      </c>
      <c r="N245" s="28">
        <f>IF(M245="","",M245-TODAY())</f>
        <v/>
      </c>
      <c r="O245" s="37">
        <f>IF(A245="","",IF(L245="Hoàn thành","XONG",IF(L245="Đã hủy","HỦY",IF(N245&lt;0,"QUÁ HẠN",IF(N245&lt;=THIET_LAP!$B$7,"SẮP HẠN","TRONG HẠN")))))</f>
        <v/>
      </c>
      <c r="P245" s="37" t="inlineStr">
        <is>
          <t>600/BK-2025</t>
        </is>
      </c>
      <c r="Q245" s="29" t="n"/>
      <c r="R245" s="37" t="n"/>
      <c r="S245" s="37" t="inlineStr">
        <is>
          <t>Tiến độ: Đã nộp | Ngày bắt đầu: 2025-11-27 00:00:00 | Ngày nộp: 2025-11-28 00:00:00 | Lần nộp: 1.0 | Chi kỹ thuật: Đã thanh toán</t>
        </is>
      </c>
    </row>
    <row r="246" ht="15.75" customHeight="1" s="56">
      <c r="A246" s="37" t="inlineStr">
        <is>
          <t>BK-HS-0243</t>
        </is>
      </c>
      <c r="B246" s="27" t="n">
        <v>45988</v>
      </c>
      <c r="C246" s="37" t="inlineStr">
        <is>
          <t>Phòng Đo đạc</t>
        </is>
      </c>
      <c r="D246" s="37" t="inlineStr">
        <is>
          <t>Xác định diện tích</t>
        </is>
      </c>
      <c r="E246" s="37" t="inlineStr">
        <is>
          <t>Nguyễn Phạm Hoài Vy</t>
        </is>
      </c>
      <c r="F246" s="37" t="inlineStr">
        <is>
          <t>Anh Long PCT</t>
        </is>
      </c>
      <c r="G246" s="37" t="n"/>
      <c r="H246" s="37" t="inlineStr">
        <is>
          <t>Hiệp Bình</t>
        </is>
      </c>
      <c r="I246" s="37" t="inlineStr">
        <is>
          <t>Lê Văn Dựng</t>
        </is>
      </c>
      <c r="J246" s="37" t="inlineStr">
        <is>
          <t>Không cần</t>
        </is>
      </c>
      <c r="K246" s="37" t="n"/>
      <c r="L246" s="37" t="inlineStr">
        <is>
          <t>Nộp thành công - Chờ kết quả</t>
        </is>
      </c>
      <c r="M246" s="27" t="n">
        <v>45991</v>
      </c>
      <c r="N246" s="28">
        <f>IF(M246="","",M246-TODAY())</f>
        <v/>
      </c>
      <c r="O246" s="37">
        <f>IF(A246="","",IF(L246="Hoàn thành","XONG",IF(L246="Đã hủy","HỦY",IF(N246&lt;0,"QUÁ HẠN",IF(N246&lt;=THIET_LAP!$B$7,"SẮP HẠN","TRONG HẠN")))))</f>
        <v/>
      </c>
      <c r="P246" s="37" t="inlineStr">
        <is>
          <t>599/BK-2025</t>
        </is>
      </c>
      <c r="Q246" s="29" t="n"/>
      <c r="R246" s="37" t="n"/>
      <c r="S246" s="37" t="inlineStr">
        <is>
          <t>Tiến độ: Đã nộp | Ngày bắt đầu: 2025-11-27 00:00:00 | Ngày nộp: 2025-11-28 00:00:00 | Lần nộp: 1.0 | Chi kỹ thuật: Đã thanh toán</t>
        </is>
      </c>
    </row>
    <row r="247" ht="15.75" customHeight="1" s="56">
      <c r="A247" s="37" t="inlineStr">
        <is>
          <t>BK-HS-0244</t>
        </is>
      </c>
      <c r="B247" s="27" t="n">
        <v>45988</v>
      </c>
      <c r="C247" s="37" t="inlineStr">
        <is>
          <t>Phòng Đo đạc</t>
        </is>
      </c>
      <c r="D247" s="37" t="inlineStr">
        <is>
          <t>Cắm mốc</t>
        </is>
      </c>
      <c r="E247" s="37" t="inlineStr">
        <is>
          <t>Trần Văn Quang</t>
        </is>
      </c>
      <c r="F247" s="37" t="inlineStr">
        <is>
          <t>Tuấn Lộc</t>
        </is>
      </c>
      <c r="G247" s="37" t="n"/>
      <c r="H247" s="37" t="inlineStr">
        <is>
          <t>Bình Trưng</t>
        </is>
      </c>
      <c r="I247" s="37" t="inlineStr">
        <is>
          <t>Lê Văn Xây</t>
        </is>
      </c>
      <c r="J247" s="37" t="inlineStr">
        <is>
          <t>Võ Tứ Hợp</t>
        </is>
      </c>
      <c r="K247" s="37" t="n"/>
      <c r="L247" s="37" t="inlineStr">
        <is>
          <t>Hoàn thành</t>
        </is>
      </c>
      <c r="M247" s="27" t="n">
        <v>45991</v>
      </c>
      <c r="N247" s="28">
        <f>IF(M247="","",M247-TODAY())</f>
        <v/>
      </c>
      <c r="O247" s="37">
        <f>IF(A247="","",IF(L247="Hoàn thành","XONG",IF(L247="Đã hủy","HỦY",IF(N247&lt;0,"QUÁ HẠN",IF(N247&lt;=THIET_LAP!$B$7,"SẮP HẠN","TRONG HẠN")))))</f>
        <v/>
      </c>
      <c r="P247" s="37" t="inlineStr">
        <is>
          <t>598/BK-2025</t>
        </is>
      </c>
      <c r="Q247" s="29" t="n"/>
      <c r="R247" s="37" t="n"/>
      <c r="S247" s="37" t="inlineStr">
        <is>
          <t>Tiến độ: Hoàn thành | Ngày bắt đầu: 2025-11-27 00:00:00 | Ngày nộp: 2025-11-26 00:00:00 | Ngày HT: 2025-11-26 00:00:00 | Lần nộp: 1.0 | Chi kỹ thuật: Đã thanh toán | Số cọc: 4.0 | Loại cọc: Trụ xi măng</t>
        </is>
      </c>
    </row>
    <row r="248" ht="15.75" customHeight="1" s="56">
      <c r="A248" s="37" t="inlineStr">
        <is>
          <t>BK-HS-0245</t>
        </is>
      </c>
      <c r="B248" s="27" t="n">
        <v>45987</v>
      </c>
      <c r="C248" s="37" t="inlineStr">
        <is>
          <t>Phòng Đo đạc</t>
        </is>
      </c>
      <c r="D248" s="37" t="inlineStr">
        <is>
          <t>Cấp đổi</t>
        </is>
      </c>
      <c r="E248" s="37" t="inlineStr">
        <is>
          <t>Trần Thuỳ Giang</t>
        </is>
      </c>
      <c r="F248" s="37" t="inlineStr">
        <is>
          <t>Công Ty</t>
        </is>
      </c>
      <c r="G248" s="37" t="inlineStr">
        <is>
          <t>0901394185</t>
        </is>
      </c>
      <c r="H248" s="37" t="inlineStr">
        <is>
          <t>Tăng Nhơn Phú</t>
        </is>
      </c>
      <c r="I248" s="37" t="inlineStr">
        <is>
          <t>Tạ Khắc Tập</t>
        </is>
      </c>
      <c r="J248" s="37" t="inlineStr">
        <is>
          <t>Võ Tứ Hợp</t>
        </is>
      </c>
      <c r="K248" s="37" t="n"/>
      <c r="L248" s="37" t="inlineStr">
        <is>
          <t>Hoàn thành</t>
        </is>
      </c>
      <c r="M248" s="27" t="n">
        <v>45990</v>
      </c>
      <c r="N248" s="28">
        <f>IF(M248="","",M248-TODAY())</f>
        <v/>
      </c>
      <c r="O248" s="37">
        <f>IF(A248="","",IF(L248="Hoàn thành","XONG",IF(L248="Đã hủy","HỦY",IF(N248&lt;0,"QUÁ HẠN",IF(N248&lt;=THIET_LAP!$B$7,"SẮP HẠN","TRONG HẠN")))))</f>
        <v/>
      </c>
      <c r="P248" s="37" t="inlineStr">
        <is>
          <t>597/BK-2025</t>
        </is>
      </c>
      <c r="Q248" s="29" t="n"/>
      <c r="R248" s="37" t="n"/>
      <c r="S248" s="37" t="inlineStr">
        <is>
          <t>Tiến độ: Hoàn thành | Ngày bắt đầu: 2025-11-26 00:00:00 | Ngày nộp: 2025-12-26 00:00:00 | Ngày HT: 2025-12-26 00:00:00 | Lần nộp: 1.0 | Chi kỹ thuật: Đã thanh toán | Giải trình: da nop vy</t>
        </is>
      </c>
    </row>
    <row r="249" ht="15.75" customHeight="1" s="56">
      <c r="A249" s="37" t="inlineStr">
        <is>
          <t>BK-HS-0246</t>
        </is>
      </c>
      <c r="B249" s="27" t="n">
        <v>45987</v>
      </c>
      <c r="C249" s="37" t="inlineStr">
        <is>
          <t>Phòng Đo đạc</t>
        </is>
      </c>
      <c r="D249" s="37" t="inlineStr">
        <is>
          <t>Cấp đổi</t>
        </is>
      </c>
      <c r="E249" s="37" t="inlineStr">
        <is>
          <t>Nguyễn Mạnh Hùng-Nguyễn Trần Huyền Trang</t>
        </is>
      </c>
      <c r="F249" s="37" t="inlineStr">
        <is>
          <t>Nguyễn Hương DV</t>
        </is>
      </c>
      <c r="G249" s="37" t="n"/>
      <c r="H249" s="37" t="inlineStr">
        <is>
          <t>Phước Long</t>
        </is>
      </c>
      <c r="I249" s="37" t="inlineStr">
        <is>
          <t>Trương Tấn Quốc</t>
        </is>
      </c>
      <c r="J249" s="37" t="inlineStr">
        <is>
          <t>Võ Tứ Hợp</t>
        </is>
      </c>
      <c r="K249" s="37" t="n"/>
      <c r="L249" s="37" t="inlineStr">
        <is>
          <t>Hoàn thành</t>
        </is>
      </c>
      <c r="M249" s="27" t="n">
        <v>45990</v>
      </c>
      <c r="N249" s="28">
        <f>IF(M249="","",M249-TODAY())</f>
        <v/>
      </c>
      <c r="O249" s="37">
        <f>IF(A249="","",IF(L249="Hoàn thành","XONG",IF(L249="Đã hủy","HỦY",IF(N249&lt;0,"QUÁ HẠN",IF(N249&lt;=THIET_LAP!$B$7,"SẮP HẠN","TRONG HẠN")))))</f>
        <v/>
      </c>
      <c r="P249" s="37" t="inlineStr">
        <is>
          <t>596/BK-2025</t>
        </is>
      </c>
      <c r="Q249" s="29" t="n"/>
      <c r="R249" s="37" t="n"/>
      <c r="S249" s="37" t="inlineStr">
        <is>
          <t>Tiến độ: Hoàn thành | Ngày bắt đầu: 2025-11-26 00:00:00 | Ngày nộp: 2025-12-12 00:00:00 | Ngày HT: 2025-12-12 00:00:00 | Lần nộp: 2.0 | Chi kỹ thuật: Đã thanh toán</t>
        </is>
      </c>
    </row>
    <row r="250" ht="15.75" customHeight="1" s="56">
      <c r="A250" s="37" t="inlineStr">
        <is>
          <t>BK-HS-0247</t>
        </is>
      </c>
      <c r="B250" s="27" t="n">
        <v>45987</v>
      </c>
      <c r="C250" s="37" t="inlineStr">
        <is>
          <t>Phòng Đo đạc</t>
        </is>
      </c>
      <c r="D250" s="37" t="inlineStr">
        <is>
          <t>Cấp đổi</t>
        </is>
      </c>
      <c r="E250" s="37" t="inlineStr">
        <is>
          <t>Nguyễn Mạnh Hùng-Nguyễn Trần Huyền Trang</t>
        </is>
      </c>
      <c r="F250" s="37" t="inlineStr">
        <is>
          <t>Nguyễn Hương DV</t>
        </is>
      </c>
      <c r="G250" s="37" t="n"/>
      <c r="H250" s="37" t="inlineStr">
        <is>
          <t>Phước Long</t>
        </is>
      </c>
      <c r="I250" s="37" t="inlineStr">
        <is>
          <t>Trương Tấn Quốc</t>
        </is>
      </c>
      <c r="J250" s="37" t="inlineStr">
        <is>
          <t>Võ Tứ Hợp</t>
        </is>
      </c>
      <c r="K250" s="37" t="n"/>
      <c r="L250" s="37" t="inlineStr">
        <is>
          <t>Hoàn thành</t>
        </is>
      </c>
      <c r="M250" s="27" t="n">
        <v>45990</v>
      </c>
      <c r="N250" s="28">
        <f>IF(M250="","",M250-TODAY())</f>
        <v/>
      </c>
      <c r="O250" s="37">
        <f>IF(A250="","",IF(L250="Hoàn thành","XONG",IF(L250="Đã hủy","HỦY",IF(N250&lt;0,"QUÁ HẠN",IF(N250&lt;=THIET_LAP!$B$7,"SẮP HẠN","TRONG HẠN")))))</f>
        <v/>
      </c>
      <c r="P250" s="37" t="inlineStr">
        <is>
          <t>595/BK-2025</t>
        </is>
      </c>
      <c r="Q250" s="29" t="n"/>
      <c r="R250" s="37" t="n"/>
      <c r="S250" s="37" t="inlineStr">
        <is>
          <t>Tiến độ: Hoàn thành | Ngày bắt đầu: 2025-11-26 00:00:00 | Ngày nộp: 2025-12-12 00:00:00 | Ngày HT: 2025-12-12 00:00:00 | Lần nộp: 1.0 | Chi kỹ thuật: Đã thanh toán</t>
        </is>
      </c>
    </row>
    <row r="251" ht="15.75" customHeight="1" s="56">
      <c r="A251" s="37" t="inlineStr">
        <is>
          <t>BK-HS-0248</t>
        </is>
      </c>
      <c r="B251" s="27" t="n">
        <v>45986</v>
      </c>
      <c r="C251" s="37" t="inlineStr">
        <is>
          <t>Phòng Đo đạc</t>
        </is>
      </c>
      <c r="D251" s="37" t="inlineStr">
        <is>
          <t>Cấp đổi</t>
        </is>
      </c>
      <c r="E251" s="37" t="inlineStr">
        <is>
          <t>Nguyễn Hồng Xuân</t>
        </is>
      </c>
      <c r="F251" s="37" t="inlineStr">
        <is>
          <t>Nguyễn Hương DV</t>
        </is>
      </c>
      <c r="G251" s="37" t="n"/>
      <c r="H251" s="37" t="inlineStr">
        <is>
          <t>Hiệp Bình</t>
        </is>
      </c>
      <c r="I251" s="37" t="inlineStr">
        <is>
          <t>Trương Tấn Quốc</t>
        </is>
      </c>
      <c r="J251" s="37" t="inlineStr">
        <is>
          <t>Không cần</t>
        </is>
      </c>
      <c r="K251" s="37" t="n"/>
      <c r="L251" s="37" t="inlineStr">
        <is>
          <t>Hoàn thành</t>
        </is>
      </c>
      <c r="M251" s="27" t="n">
        <v>45989</v>
      </c>
      <c r="N251" s="28">
        <f>IF(M251="","",M251-TODAY())</f>
        <v/>
      </c>
      <c r="O251" s="37">
        <f>IF(A251="","",IF(L251="Hoàn thành","XONG",IF(L251="Đã hủy","HỦY",IF(N251&lt;0,"QUÁ HẠN",IF(N251&lt;=THIET_LAP!$B$7,"SẮP HẠN","TRONG HẠN")))))</f>
        <v/>
      </c>
      <c r="P251" s="37" t="inlineStr">
        <is>
          <t>594/BK-2025</t>
        </is>
      </c>
      <c r="Q251" s="29" t="n"/>
      <c r="R251" s="37" t="n"/>
      <c r="S251" s="37" t="inlineStr">
        <is>
          <t>Tiến độ: Hoàn thành | Ngày bắt đầu: 2025-11-25 00:00:00 | Ngày nộp: 2025-12-25 00:00:00 | Ngày HT: 2025-12-25 00:00:00 | Lần nộp: 1.0 | Chi kỹ thuật: Đã thanh toán | Giải trình: Đợi Dịch vụ tháo dỡ hiện trạng</t>
        </is>
      </c>
    </row>
    <row r="252" ht="15.75" customHeight="1" s="56">
      <c r="A252" s="37" t="inlineStr">
        <is>
          <t>BK-HS-0249</t>
        </is>
      </c>
      <c r="B252" s="27" t="n">
        <v>45986</v>
      </c>
      <c r="C252" s="37" t="inlineStr">
        <is>
          <t>Phòng Đo đạc</t>
        </is>
      </c>
      <c r="D252" s="37" t="inlineStr">
        <is>
          <t>Cấp sổ lần đầu</t>
        </is>
      </c>
      <c r="E252" s="37" t="inlineStr">
        <is>
          <t>Nguyễn Thị À</t>
        </is>
      </c>
      <c r="F252" s="37" t="inlineStr">
        <is>
          <t>Anh Long PCT</t>
        </is>
      </c>
      <c r="G252" s="37" t="n"/>
      <c r="H252" s="37" t="inlineStr">
        <is>
          <t>Thủ Đức</t>
        </is>
      </c>
      <c r="I252" s="37" t="inlineStr">
        <is>
          <t>Trương Tấn Quốc</t>
        </is>
      </c>
      <c r="J252" s="37" t="inlineStr">
        <is>
          <t>Võ Tứ Hợp</t>
        </is>
      </c>
      <c r="K252" s="37" t="n"/>
      <c r="L252" s="37" t="inlineStr">
        <is>
          <t>Hoàn thành</t>
        </is>
      </c>
      <c r="M252" s="27" t="n">
        <v>45989</v>
      </c>
      <c r="N252" s="28">
        <f>IF(M252="","",M252-TODAY())</f>
        <v/>
      </c>
      <c r="O252" s="37">
        <f>IF(A252="","",IF(L252="Hoàn thành","XONG",IF(L252="Đã hủy","HỦY",IF(N252&lt;0,"QUÁ HẠN",IF(N252&lt;=THIET_LAP!$B$7,"SẮP HẠN","TRONG HẠN")))))</f>
        <v/>
      </c>
      <c r="P252" s="37" t="inlineStr">
        <is>
          <t>593/BK-2025</t>
        </is>
      </c>
      <c r="Q252" s="29" t="n"/>
      <c r="R252" s="37" t="n"/>
      <c r="S252" s="37" t="inlineStr">
        <is>
          <t>Tiến độ: Hoàn thành | Ngày bắt đầu: 2025-11-25 00:00:00 | Ngày nộp: 2025-12-09 00:00:00 | Ngày HT: 2025-12-09 00:00:00 | Lần nộp: 3.0 | Chi kỹ thuật: Đã thanh toán</t>
        </is>
      </c>
    </row>
    <row r="253" ht="15.75" customHeight="1" s="56">
      <c r="A253" s="37" t="inlineStr">
        <is>
          <t>BK-HS-0250</t>
        </is>
      </c>
      <c r="B253" s="27" t="n">
        <v>45986</v>
      </c>
      <c r="C253" s="37" t="inlineStr">
        <is>
          <t>Phòng Đo đạc</t>
        </is>
      </c>
      <c r="D253" s="37" t="inlineStr">
        <is>
          <t>Cấp sổ lần đầu</t>
        </is>
      </c>
      <c r="E253" s="37" t="inlineStr">
        <is>
          <t>Nguyễn Thị Đẹp</t>
        </is>
      </c>
      <c r="F253" s="37" t="inlineStr">
        <is>
          <t>Anh Long PCT</t>
        </is>
      </c>
      <c r="G253" s="37" t="n"/>
      <c r="H253" s="37" t="inlineStr">
        <is>
          <t>Thủ Đức</t>
        </is>
      </c>
      <c r="I253" s="37" t="inlineStr">
        <is>
          <t>Trương Tấn Quốc</t>
        </is>
      </c>
      <c r="J253" s="37" t="inlineStr">
        <is>
          <t>Võ Tứ Hợp</t>
        </is>
      </c>
      <c r="K253" s="37" t="n"/>
      <c r="L253" s="37" t="inlineStr">
        <is>
          <t>Hoàn thành</t>
        </is>
      </c>
      <c r="M253" s="27" t="n">
        <v>45989</v>
      </c>
      <c r="N253" s="28">
        <f>IF(M253="","",M253-TODAY())</f>
        <v/>
      </c>
      <c r="O253" s="37">
        <f>IF(A253="","",IF(L253="Hoàn thành","XONG",IF(L253="Đã hủy","HỦY",IF(N253&lt;0,"QUÁ HẠN",IF(N253&lt;=THIET_LAP!$B$7,"SẮP HẠN","TRONG HẠN")))))</f>
        <v/>
      </c>
      <c r="P253" s="37" t="inlineStr">
        <is>
          <t>592/BK-2025</t>
        </is>
      </c>
      <c r="Q253" s="29" t="n"/>
      <c r="R253" s="37" t="n"/>
      <c r="S253" s="37" t="inlineStr">
        <is>
          <t>Tiến độ: Hoàn thành | Ngày bắt đầu: 2025-11-25 00:00:00 | Ngày nộp: 2025-12-09 00:00:00 | Ngày HT: 2025-12-09 00:00:00 | Lần nộp: 1.0 | Chi kỹ thuật: Đã thanh toán</t>
        </is>
      </c>
    </row>
    <row r="254" ht="15.75" customHeight="1" s="56">
      <c r="A254" s="37" t="inlineStr">
        <is>
          <t>BK-HS-0251</t>
        </is>
      </c>
      <c r="B254" s="27" t="n">
        <v>45983</v>
      </c>
      <c r="C254" s="37" t="inlineStr">
        <is>
          <t>Phòng Đo đạc</t>
        </is>
      </c>
      <c r="D254" s="37" t="inlineStr">
        <is>
          <t>Cấp đổi</t>
        </is>
      </c>
      <c r="E254" s="37" t="inlineStr">
        <is>
          <t>Phạm Thị Vân</t>
        </is>
      </c>
      <c r="F254" s="37" t="inlineStr">
        <is>
          <t>Tùng Huế DV</t>
        </is>
      </c>
      <c r="G254" s="37" t="n"/>
      <c r="H254" s="37" t="inlineStr">
        <is>
          <t>Long Bình</t>
        </is>
      </c>
      <c r="I254" s="37" t="inlineStr">
        <is>
          <t>Tạ Khắc Tập</t>
        </is>
      </c>
      <c r="J254" s="37" t="inlineStr">
        <is>
          <t>Võ Tứ Hợp</t>
        </is>
      </c>
      <c r="K254" s="37" t="n"/>
      <c r="L254" s="37" t="inlineStr">
        <is>
          <t>Hủy</t>
        </is>
      </c>
      <c r="M254" s="27" t="n">
        <v>45986</v>
      </c>
      <c r="N254" s="28">
        <f>IF(M254="","",M254-TODAY())</f>
        <v/>
      </c>
      <c r="O254" s="37">
        <f>IF(A254="","",IF(L254="Hoàn thành","XONG",IF(L254="Đã hủy","HỦY",IF(N254&lt;0,"QUÁ HẠN",IF(N254&lt;=THIET_LAP!$B$7,"SẮP HẠN","TRONG HẠN")))))</f>
        <v/>
      </c>
      <c r="P254" s="37" t="inlineStr">
        <is>
          <t>591/BK-2025</t>
        </is>
      </c>
      <c r="Q254" s="29" t="n"/>
      <c r="R254" s="37" t="n"/>
      <c r="S254" s="37" t="inlineStr">
        <is>
          <t>Tiến độ: ĐÃ HỦY | Ngày bắt đầu: 2025-11-22 00:00:00 | Ngày nộp: 2026-01-17 00:00:00 | Lần nộp: 3.0 | Chi kỹ thuật: Đã thanh toán | Giải trình: lech ranh , chua co phuong an</t>
        </is>
      </c>
    </row>
    <row r="255" ht="15.75" customHeight="1" s="56">
      <c r="A255" s="37" t="inlineStr">
        <is>
          <t>BK-HS-0252</t>
        </is>
      </c>
      <c r="B255" s="27" t="n">
        <v>45983</v>
      </c>
      <c r="C255" s="37" t="inlineStr">
        <is>
          <t>Phòng Đo đạc</t>
        </is>
      </c>
      <c r="D255" s="37" t="inlineStr">
        <is>
          <t>Cắm mốc</t>
        </is>
      </c>
      <c r="E255" s="37" t="inlineStr">
        <is>
          <t>Trần Đức Cường</t>
        </is>
      </c>
      <c r="F255" s="37" t="inlineStr">
        <is>
          <t>Anh Chiến KTS</t>
        </is>
      </c>
      <c r="G255" s="37" t="n"/>
      <c r="H255" s="37" t="inlineStr">
        <is>
          <t>Tam Bình</t>
        </is>
      </c>
      <c r="I255" s="37" t="inlineStr">
        <is>
          <t>Tạ Khắc Tập</t>
        </is>
      </c>
      <c r="J255" s="37" t="inlineStr">
        <is>
          <t>Võ Tứ Hợp</t>
        </is>
      </c>
      <c r="K255" s="37" t="n"/>
      <c r="L255" s="37" t="inlineStr">
        <is>
          <t>Hoàn thành</t>
        </is>
      </c>
      <c r="M255" s="27" t="n">
        <v>45986</v>
      </c>
      <c r="N255" s="28">
        <f>IF(M255="","",M255-TODAY())</f>
        <v/>
      </c>
      <c r="O255" s="37">
        <f>IF(A255="","",IF(L255="Hoàn thành","XONG",IF(L255="Đã hủy","HỦY",IF(N255&lt;0,"QUÁ HẠN",IF(N255&lt;=THIET_LAP!$B$7,"SẮP HẠN","TRONG HẠN")))))</f>
        <v/>
      </c>
      <c r="P255" s="37" t="inlineStr">
        <is>
          <t>590/BK-2025</t>
        </is>
      </c>
      <c r="Q255" s="29" t="n"/>
      <c r="R255" s="37" t="n"/>
      <c r="S255" s="37" t="inlineStr">
        <is>
          <t>Tiến độ: Hoàn thành | Ngày bắt đầu: 2025-11-22 00:00:00 | Ngày nộp: 2025-11-21 00:00:00 | Ngày HT: 2025-11-21 00:00:00 | Lần nộp: 2.0 | Chi kỹ thuật: Đã thanh toán | Số cọc: 4.0 | Loại cọc: Trụ xi măng</t>
        </is>
      </c>
    </row>
    <row r="256" ht="15.75" customHeight="1" s="56">
      <c r="A256" s="37" t="inlineStr">
        <is>
          <t>BK-HS-0253</t>
        </is>
      </c>
      <c r="B256" s="27" t="n">
        <v>45981</v>
      </c>
      <c r="C256" s="37" t="inlineStr">
        <is>
          <t>Phòng Đo đạc</t>
        </is>
      </c>
      <c r="D256" s="37" t="inlineStr">
        <is>
          <t>Hoàn công</t>
        </is>
      </c>
      <c r="E256" s="37" t="inlineStr">
        <is>
          <t>Nguyễn Thị Thanh Tâm</t>
        </is>
      </c>
      <c r="F256" s="37" t="inlineStr">
        <is>
          <t>Anh Long PCT</t>
        </is>
      </c>
      <c r="G256" s="37" t="n"/>
      <c r="H256" s="37" t="inlineStr">
        <is>
          <t>Hiệp Bình</t>
        </is>
      </c>
      <c r="I256" s="37" t="inlineStr">
        <is>
          <t>Lê Văn Xây</t>
        </is>
      </c>
      <c r="J256" s="37" t="inlineStr">
        <is>
          <t>Võ Tứ Hợp</t>
        </is>
      </c>
      <c r="K256" s="37" t="n"/>
      <c r="L256" s="37" t="inlineStr">
        <is>
          <t>Hoàn thành</t>
        </is>
      </c>
      <c r="M256" s="27" t="n">
        <v>45984</v>
      </c>
      <c r="N256" s="28">
        <f>IF(M256="","",M256-TODAY())</f>
        <v/>
      </c>
      <c r="O256" s="37">
        <f>IF(A256="","",IF(L256="Hoàn thành","XONG",IF(L256="Đã hủy","HỦY",IF(N256&lt;0,"QUÁ HẠN",IF(N256&lt;=THIET_LAP!$B$7,"SẮP HẠN","TRONG HẠN")))))</f>
        <v/>
      </c>
      <c r="P256" s="37" t="inlineStr">
        <is>
          <t>589/BK-2025</t>
        </is>
      </c>
      <c r="Q256" s="29" t="n"/>
      <c r="R256" s="37" t="n"/>
      <c r="S256" s="37" t="inlineStr">
        <is>
          <t>Tiến độ: Hoàn thành | Ngày bắt đầu: 2025-11-20 00:00:00 | Ngày nộp: 2025-12-16 00:00:00 | Ngày HT: 2025-12-16 00:00:00 | Lần nộp: 3.0 | Chi kỹ thuật: Đã thanh toán</t>
        </is>
      </c>
    </row>
    <row r="257" ht="15.75" customHeight="1" s="56">
      <c r="A257" s="37" t="inlineStr">
        <is>
          <t>BK-HS-0254</t>
        </is>
      </c>
      <c r="B257" s="27" t="n">
        <v>45981</v>
      </c>
      <c r="C257" s="37" t="inlineStr">
        <is>
          <t>Phòng Đo đạc</t>
        </is>
      </c>
      <c r="D257" s="37" t="inlineStr">
        <is>
          <t>Tách Thửa</t>
        </is>
      </c>
      <c r="E257" s="37" t="inlineStr">
        <is>
          <t>Nguyễn Thanh Hải-Nguyễn Thị Bé Năm</t>
        </is>
      </c>
      <c r="F257" s="37" t="inlineStr">
        <is>
          <t>Chị Xuân DV</t>
        </is>
      </c>
      <c r="G257" s="37" t="n"/>
      <c r="H257" s="37" t="inlineStr">
        <is>
          <t>Tăng Nhơn Phú</t>
        </is>
      </c>
      <c r="I257" s="37" t="inlineStr">
        <is>
          <t>Trương Tấn Quốc</t>
        </is>
      </c>
      <c r="J257" s="37" t="inlineStr">
        <is>
          <t>Không cần</t>
        </is>
      </c>
      <c r="K257" s="37" t="n"/>
      <c r="L257" s="37" t="inlineStr">
        <is>
          <t>Hoàn thành</t>
        </is>
      </c>
      <c r="M257" s="27" t="n">
        <v>45984</v>
      </c>
      <c r="N257" s="28">
        <f>IF(M257="","",M257-TODAY())</f>
        <v/>
      </c>
      <c r="O257" s="37">
        <f>IF(A257="","",IF(L257="Hoàn thành","XONG",IF(L257="Đã hủy","HỦY",IF(N257&lt;0,"QUÁ HẠN",IF(N257&lt;=THIET_LAP!$B$7,"SẮP HẠN","TRONG HẠN")))))</f>
        <v/>
      </c>
      <c r="P257" s="37" t="inlineStr">
        <is>
          <t>588-3/BK-2025</t>
        </is>
      </c>
      <c r="Q257" s="29" t="n"/>
      <c r="R257" s="37" t="n"/>
      <c r="S257" s="37" t="inlineStr">
        <is>
          <t>Tiến độ: Hoàn thành | Ngày bắt đầu: 2025-11-20 00:00:00 | Ngày nộp: 2025-11-25 00:00:00 | Ngày HT: 2025-11-25 00:00:00 | Lần nộp: 1.0 | Chi kỹ thuật: Đã thanh toán</t>
        </is>
      </c>
    </row>
    <row r="258" ht="15.75" customHeight="1" s="56">
      <c r="A258" s="37" t="inlineStr">
        <is>
          <t>BK-HS-0255</t>
        </is>
      </c>
      <c r="B258" s="27" t="n">
        <v>45981</v>
      </c>
      <c r="C258" s="37" t="inlineStr">
        <is>
          <t>Phòng Đo đạc</t>
        </is>
      </c>
      <c r="D258" s="37" t="inlineStr">
        <is>
          <t>Tách Thửa</t>
        </is>
      </c>
      <c r="E258" s="37" t="inlineStr">
        <is>
          <t>Nguyễn Thanh Hải-Nguyễn Thị Bé Năm</t>
        </is>
      </c>
      <c r="F258" s="37" t="inlineStr">
        <is>
          <t>Chị Xuân DV</t>
        </is>
      </c>
      <c r="G258" s="37" t="n"/>
      <c r="H258" s="37" t="inlineStr">
        <is>
          <t>Tăng Nhơn Phú</t>
        </is>
      </c>
      <c r="I258" s="37" t="inlineStr">
        <is>
          <t>Trương Tấn Quốc</t>
        </is>
      </c>
      <c r="J258" s="37" t="inlineStr">
        <is>
          <t>Không cần</t>
        </is>
      </c>
      <c r="K258" s="37" t="n"/>
      <c r="L258" s="37" t="inlineStr">
        <is>
          <t>Hoàn thành</t>
        </is>
      </c>
      <c r="M258" s="27" t="n">
        <v>45984</v>
      </c>
      <c r="N258" s="28">
        <f>IF(M258="","",M258-TODAY())</f>
        <v/>
      </c>
      <c r="O258" s="37">
        <f>IF(A258="","",IF(L258="Hoàn thành","XONG",IF(L258="Đã hủy","HỦY",IF(N258&lt;0,"QUÁ HẠN",IF(N258&lt;=THIET_LAP!$B$7,"SẮP HẠN","TRONG HẠN")))))</f>
        <v/>
      </c>
      <c r="P258" s="37" t="inlineStr">
        <is>
          <t>588-2/BK-2025</t>
        </is>
      </c>
      <c r="Q258" s="29" t="n"/>
      <c r="R258" s="37" t="n"/>
      <c r="S258" s="37" t="inlineStr">
        <is>
          <t>Tiến độ: Hoàn thành | Ngày bắt đầu: 2025-11-20 00:00:00 | Ngày nộp: 2025-11-25 00:00:00 | Ngày HT: 2025-11-25 00:00:00 | Lần nộp: 2.0 | Chi kỹ thuật: Đã thanh toán</t>
        </is>
      </c>
    </row>
    <row r="259" ht="15.75" customHeight="1" s="56">
      <c r="A259" s="37" t="inlineStr">
        <is>
          <t>BK-HS-0256</t>
        </is>
      </c>
      <c r="B259" s="27" t="n">
        <v>45981</v>
      </c>
      <c r="C259" s="37" t="inlineStr">
        <is>
          <t>Phòng Đo đạc</t>
        </is>
      </c>
      <c r="D259" s="37" t="inlineStr">
        <is>
          <t>Tách Thửa</t>
        </is>
      </c>
      <c r="E259" s="37" t="inlineStr">
        <is>
          <t>Nguyễn Thanh Hải-Nguyễn Thị Bé Năm</t>
        </is>
      </c>
      <c r="F259" s="37" t="inlineStr">
        <is>
          <t>Chị Xuân DV</t>
        </is>
      </c>
      <c r="G259" s="37" t="n"/>
      <c r="H259" s="37" t="inlineStr">
        <is>
          <t>Tăng Nhơn Phú</t>
        </is>
      </c>
      <c r="I259" s="37" t="inlineStr">
        <is>
          <t>Trương Tấn Quốc</t>
        </is>
      </c>
      <c r="J259" s="37" t="inlineStr">
        <is>
          <t>Không cần</t>
        </is>
      </c>
      <c r="K259" s="37" t="n"/>
      <c r="L259" s="37" t="inlineStr">
        <is>
          <t>Hoàn thành</t>
        </is>
      </c>
      <c r="M259" s="27" t="n">
        <v>45984</v>
      </c>
      <c r="N259" s="28">
        <f>IF(M259="","",M259-TODAY())</f>
        <v/>
      </c>
      <c r="O259" s="37">
        <f>IF(A259="","",IF(L259="Hoàn thành","XONG",IF(L259="Đã hủy","HỦY",IF(N259&lt;0,"QUÁ HẠN",IF(N259&lt;=THIET_LAP!$B$7,"SẮP HẠN","TRONG HẠN")))))</f>
        <v/>
      </c>
      <c r="P259" s="37" t="inlineStr">
        <is>
          <t>588-1/BK-2025</t>
        </is>
      </c>
      <c r="Q259" s="29" t="n"/>
      <c r="R259" s="37" t="n"/>
      <c r="S259" s="37" t="inlineStr">
        <is>
          <t>Tiến độ: Hoàn thành | Ngày bắt đầu: 2025-11-20 00:00:00 | Ngày nộp: 2025-11-25 00:00:00 | Ngày HT: 2025-11-25 00:00:00 | Lần nộp: 1.0 | Chi kỹ thuật: Đã thanh toán</t>
        </is>
      </c>
    </row>
    <row r="260" ht="15.75" customHeight="1" s="56">
      <c r="A260" s="37" t="inlineStr">
        <is>
          <t>BK-HS-0257</t>
        </is>
      </c>
      <c r="B260" s="27" t="n">
        <v>45980</v>
      </c>
      <c r="C260" s="37" t="inlineStr">
        <is>
          <t>Phòng Đo đạc</t>
        </is>
      </c>
      <c r="D260" s="37" t="inlineStr">
        <is>
          <t>Hoàn công</t>
        </is>
      </c>
      <c r="E260" s="37" t="inlineStr">
        <is>
          <t>Vũ Xuân Thao</t>
        </is>
      </c>
      <c r="F260" s="37" t="inlineStr">
        <is>
          <t>Tuấn Lộc</t>
        </is>
      </c>
      <c r="G260" s="37" t="n"/>
      <c r="H260" s="37" t="inlineStr">
        <is>
          <t>Hiệp Bình</t>
        </is>
      </c>
      <c r="I260" s="37" t="inlineStr">
        <is>
          <t>Lê Văn Xây</t>
        </is>
      </c>
      <c r="J260" s="37" t="inlineStr">
        <is>
          <t>Võ Tứ Hợp</t>
        </is>
      </c>
      <c r="K260" s="37" t="n"/>
      <c r="L260" s="37" t="inlineStr">
        <is>
          <t>Hoàn thành</t>
        </is>
      </c>
      <c r="M260" s="27" t="n">
        <v>45983</v>
      </c>
      <c r="N260" s="28">
        <f>IF(M260="","",M260-TODAY())</f>
        <v/>
      </c>
      <c r="O260" s="37">
        <f>IF(A260="","",IF(L260="Hoàn thành","XONG",IF(L260="Đã hủy","HỦY",IF(N260&lt;0,"QUÁ HẠN",IF(N260&lt;=THIET_LAP!$B$7,"SẮP HẠN","TRONG HẠN")))))</f>
        <v/>
      </c>
      <c r="P260" s="37" t="inlineStr">
        <is>
          <t>587/BK-2025</t>
        </is>
      </c>
      <c r="Q260" s="29" t="n"/>
      <c r="R260" s="37" t="n"/>
      <c r="S260" s="37" t="inlineStr">
        <is>
          <t>Tiến độ: Hoàn thành | Ngày bắt đầu: 2025-11-19 00:00:00 | Ngày nộp: 2025-12-16 00:00:00 | Ngày HT: 2025-12-16 00:00:00 | Lần nộp: 1.0 | Chi kỹ thuật: Đã thanh toán</t>
        </is>
      </c>
    </row>
    <row r="261" ht="15.75" customHeight="1" s="56">
      <c r="A261" s="37" t="inlineStr">
        <is>
          <t>BK-HS-0258</t>
        </is>
      </c>
      <c r="B261" s="27" t="n">
        <v>45980</v>
      </c>
      <c r="C261" s="37" t="inlineStr">
        <is>
          <t>Phòng Đo đạc</t>
        </is>
      </c>
      <c r="D261" s="37" t="inlineStr">
        <is>
          <t>Cấp đổi</t>
        </is>
      </c>
      <c r="E261" s="37" t="inlineStr">
        <is>
          <t>Thái Hội Hiền</t>
        </is>
      </c>
      <c r="F261" s="37" t="inlineStr">
        <is>
          <t>Công Ty</t>
        </is>
      </c>
      <c r="G261" s="37" t="inlineStr">
        <is>
          <t>0908632737</t>
        </is>
      </c>
      <c r="H261" s="37" t="inlineStr">
        <is>
          <t>Long Trường</t>
        </is>
      </c>
      <c r="I261" s="37" t="inlineStr">
        <is>
          <t>Lê Văn Xây</t>
        </is>
      </c>
      <c r="J261" s="37" t="inlineStr">
        <is>
          <t>Võ Tứ Hợp</t>
        </is>
      </c>
      <c r="K261" s="37" t="n"/>
      <c r="L261" s="37" t="inlineStr">
        <is>
          <t>Hoàn thành</t>
        </is>
      </c>
      <c r="M261" s="27" t="n">
        <v>45983</v>
      </c>
      <c r="N261" s="28">
        <f>IF(M261="","",M261-TODAY())</f>
        <v/>
      </c>
      <c r="O261" s="37">
        <f>IF(A261="","",IF(L261="Hoàn thành","XONG",IF(L261="Đã hủy","HỦY",IF(N261&lt;0,"QUÁ HẠN",IF(N261&lt;=THIET_LAP!$B$7,"SẮP HẠN","TRONG HẠN")))))</f>
        <v/>
      </c>
      <c r="P261" s="37" t="inlineStr">
        <is>
          <t>586/BK-2025</t>
        </is>
      </c>
      <c r="Q261" s="29" t="n"/>
      <c r="R261" s="37" t="n"/>
      <c r="S261" s="37" t="inlineStr">
        <is>
          <t>Tiến độ: Hoàn thành | Ngày bắt đầu: 2025-11-19 00:00:00 | Ngày nộp: 2025-12-05 00:00:00 | Ngày HT: 2025-12-05 00:00:00 | Lần nộp: 1.0 | Chi kỹ thuật: Đã thanh toán</t>
        </is>
      </c>
    </row>
    <row r="262" ht="15.75" customHeight="1" s="56">
      <c r="A262" s="37" t="inlineStr">
        <is>
          <t>BK-HS-0259</t>
        </is>
      </c>
      <c r="B262" s="27" t="n">
        <v>45980</v>
      </c>
      <c r="C262" s="37" t="inlineStr">
        <is>
          <t>Phòng Đo đạc</t>
        </is>
      </c>
      <c r="D262" s="37" t="inlineStr">
        <is>
          <t>Điều chỉnh bản vẽ</t>
        </is>
      </c>
      <c r="E262" s="37" t="inlineStr">
        <is>
          <t>Hoàng Anh Tú</t>
        </is>
      </c>
      <c r="F262" s="37" t="inlineStr">
        <is>
          <t>Anh Long PCT</t>
        </is>
      </c>
      <c r="G262" s="37" t="n"/>
      <c r="H262" s="37" t="inlineStr">
        <is>
          <t>Long Phước</t>
        </is>
      </c>
      <c r="I262" s="37" t="inlineStr">
        <is>
          <t>Trương Tấn Quốc</t>
        </is>
      </c>
      <c r="J262" s="37" t="inlineStr">
        <is>
          <t>Không cần</t>
        </is>
      </c>
      <c r="K262" s="37" t="n"/>
      <c r="L262" s="37" t="inlineStr">
        <is>
          <t>Hoàn thành</t>
        </is>
      </c>
      <c r="M262" s="27" t="n">
        <v>45983</v>
      </c>
      <c r="N262" s="28">
        <f>IF(M262="","",M262-TODAY())</f>
        <v/>
      </c>
      <c r="O262" s="37">
        <f>IF(A262="","",IF(L262="Hoàn thành","XONG",IF(L262="Đã hủy","HỦY",IF(N262&lt;0,"QUÁ HẠN",IF(N262&lt;=THIET_LAP!$B$7,"SẮP HẠN","TRONG HẠN")))))</f>
        <v/>
      </c>
      <c r="P262" s="37" t="inlineStr">
        <is>
          <t>565-DC/BK-2025</t>
        </is>
      </c>
      <c r="Q262" s="29" t="n"/>
      <c r="R262" s="37" t="n"/>
      <c r="S262" s="37" t="inlineStr">
        <is>
          <t>Tiến độ: Hoàn thành | Ngày bắt đầu: 2025-11-19 00:00:00 | Ngày nộp: 2025-12-01 00:00:00 | Ngày HT: 2025-12-01 00:00:00 | Lần nộp: 3.0 | Chi kỹ thuật: Đã thanh toán</t>
        </is>
      </c>
    </row>
    <row r="263" ht="15.75" customHeight="1" s="56">
      <c r="A263" s="37" t="inlineStr">
        <is>
          <t>BK-HS-0260</t>
        </is>
      </c>
      <c r="B263" s="27" t="n">
        <v>45979</v>
      </c>
      <c r="C263" s="37" t="inlineStr">
        <is>
          <t>Phòng Đo đạc</t>
        </is>
      </c>
      <c r="D263" s="37" t="inlineStr">
        <is>
          <t>Hoàn công</t>
        </is>
      </c>
      <c r="E263" s="37" t="inlineStr">
        <is>
          <t>Nguyễn Thị Chữ</t>
        </is>
      </c>
      <c r="F263" s="37" t="inlineStr">
        <is>
          <t>Công Ty</t>
        </is>
      </c>
      <c r="G263" s="37" t="inlineStr">
        <is>
          <t>0932386332</t>
        </is>
      </c>
      <c r="H263" s="37" t="inlineStr">
        <is>
          <t>Long Trường</t>
        </is>
      </c>
      <c r="I263" s="37" t="inlineStr">
        <is>
          <t>Tạ Khắc Tập</t>
        </is>
      </c>
      <c r="J263" s="37" t="inlineStr">
        <is>
          <t>Võ Tứ Hợp</t>
        </is>
      </c>
      <c r="K263" s="37" t="n"/>
      <c r="L263" s="37" t="inlineStr">
        <is>
          <t>Hủy</t>
        </is>
      </c>
      <c r="M263" s="27" t="n">
        <v>45982</v>
      </c>
      <c r="N263" s="28">
        <f>IF(M263="","",M263-TODAY())</f>
        <v/>
      </c>
      <c r="O263" s="37">
        <f>IF(A263="","",IF(L263="Hoàn thành","XONG",IF(L263="Đã hủy","HỦY",IF(N263&lt;0,"QUÁ HẠN",IF(N263&lt;=THIET_LAP!$B$7,"SẮP HẠN","TRONG HẠN")))))</f>
        <v/>
      </c>
      <c r="P263" s="37" t="inlineStr">
        <is>
          <t>585/BK-2025</t>
        </is>
      </c>
      <c r="Q263" s="29" t="n"/>
      <c r="R263" s="37" t="n"/>
      <c r="S263" s="37" t="inlineStr">
        <is>
          <t>Tiến độ: ĐÃ HỦY | Ngày bắt đầu: 2025-11-18 00:00:00 | Ngày nộp: 2026-01-17 00:00:00 | Lần nộp: 2.0 | Chi kỹ thuật: Đã thanh toán | Giải trình: chủ nhà chưa chốt hợp đồng, nhà xây giảm so với GPXD</t>
        </is>
      </c>
    </row>
    <row r="264" ht="15.75" customHeight="1" s="56">
      <c r="A264" s="37" t="inlineStr">
        <is>
          <t>BK-HS-0261</t>
        </is>
      </c>
      <c r="B264" s="27" t="n">
        <v>45979</v>
      </c>
      <c r="C264" s="37" t="inlineStr">
        <is>
          <t>Phòng Đo đạc</t>
        </is>
      </c>
      <c r="D264" s="37" t="inlineStr">
        <is>
          <t>Cấp sổ lần đầu</t>
        </is>
      </c>
      <c r="E264" s="37" t="inlineStr">
        <is>
          <t>Nguyễn Thị Nhàn</t>
        </is>
      </c>
      <c r="F264" s="37" t="inlineStr">
        <is>
          <t>Công Ty</t>
        </is>
      </c>
      <c r="G264" s="37" t="inlineStr">
        <is>
          <t>0909045539</t>
        </is>
      </c>
      <c r="H264" s="37" t="inlineStr">
        <is>
          <t>Thủ Đức</t>
        </is>
      </c>
      <c r="I264" s="37" t="inlineStr">
        <is>
          <t>Tạ Khắc Tập</t>
        </is>
      </c>
      <c r="J264" s="37" t="inlineStr">
        <is>
          <t>Võ Tứ Hợp</t>
        </is>
      </c>
      <c r="K264" s="37" t="n"/>
      <c r="L264" s="37" t="inlineStr">
        <is>
          <t>Hoàn thành</t>
        </is>
      </c>
      <c r="M264" s="27" t="n">
        <v>45982</v>
      </c>
      <c r="N264" s="28">
        <f>IF(M264="","",M264-TODAY())</f>
        <v/>
      </c>
      <c r="O264" s="37">
        <f>IF(A264="","",IF(L264="Hoàn thành","XONG",IF(L264="Đã hủy","HỦY",IF(N264&lt;0,"QUÁ HẠN",IF(N264&lt;=THIET_LAP!$B$7,"SẮP HẠN","TRONG HẠN")))))</f>
        <v/>
      </c>
      <c r="P264" s="37" t="inlineStr">
        <is>
          <t>584/BK-2025</t>
        </is>
      </c>
      <c r="Q264" s="29" t="n"/>
      <c r="R264" s="37" t="n"/>
      <c r="S264" s="37" t="inlineStr">
        <is>
          <t>Tiến độ: Hoàn thành | Ngày bắt đầu: 2025-11-18 00:00:00 | Ngày nộp: 2025-12-03 00:00:00 | Ngày HT: 2025-12-03 00:00:00 | Lần nộp: 2.0 | Chi kỹ thuật: Đã thanh toán</t>
        </is>
      </c>
    </row>
    <row r="265" ht="15.75" customHeight="1" s="56">
      <c r="A265" s="37" t="inlineStr">
        <is>
          <t>BK-HS-0262</t>
        </is>
      </c>
      <c r="B265" s="27" t="n">
        <v>45979</v>
      </c>
      <c r="C265" s="37" t="inlineStr">
        <is>
          <t>Phòng Đo đạc</t>
        </is>
      </c>
      <c r="D265" s="37" t="inlineStr">
        <is>
          <t>Cắm mốc</t>
        </is>
      </c>
      <c r="E265" s="37" t="inlineStr">
        <is>
          <t>Bùi Văn Hoàng</t>
        </is>
      </c>
      <c r="F265" s="37" t="inlineStr">
        <is>
          <t>Anh Hoàng Nhà Đầu Tư</t>
        </is>
      </c>
      <c r="G265" s="37" t="n"/>
      <c r="H265" s="37" t="inlineStr">
        <is>
          <t>Long Trường</t>
        </is>
      </c>
      <c r="I265" s="37" t="inlineStr">
        <is>
          <t>Tạ Khắc Tập</t>
        </is>
      </c>
      <c r="J265" s="37" t="inlineStr">
        <is>
          <t>Võ Tứ Hợp</t>
        </is>
      </c>
      <c r="K265" s="37" t="n"/>
      <c r="L265" s="37" t="inlineStr">
        <is>
          <t>Hoàn thành</t>
        </is>
      </c>
      <c r="M265" s="27" t="n">
        <v>45982</v>
      </c>
      <c r="N265" s="28">
        <f>IF(M265="","",M265-TODAY())</f>
        <v/>
      </c>
      <c r="O265" s="37">
        <f>IF(A265="","",IF(L265="Hoàn thành","XONG",IF(L265="Đã hủy","HỦY",IF(N265&lt;0,"QUÁ HẠN",IF(N265&lt;=THIET_LAP!$B$7,"SẮP HẠN","TRONG HẠN")))))</f>
        <v/>
      </c>
      <c r="P265" s="37" t="inlineStr">
        <is>
          <t>580-1/BK-2025</t>
        </is>
      </c>
      <c r="Q265" s="29" t="n"/>
      <c r="R265" s="37" t="n"/>
      <c r="S265" s="37" t="inlineStr">
        <is>
          <t>Tiến độ: Hoàn thành | Ngày bắt đầu: 2025-11-18 00:00:00 | Ngày nộp: 2025-11-18 00:00:00 | Ngày HT: 2025-11-18 00:00:00 | Lần nộp: 3.0 | Chi kỹ thuật: Đã thanh toán | Số cọc: 3.0 | Loại cọc: Trụ xi măng</t>
        </is>
      </c>
    </row>
    <row r="266" ht="15.75" customHeight="1" s="56">
      <c r="A266" s="37" t="inlineStr">
        <is>
          <t>BK-HS-0263</t>
        </is>
      </c>
      <c r="B266" s="27" t="n">
        <v>45979</v>
      </c>
      <c r="C266" s="37" t="inlineStr">
        <is>
          <t>Phòng Đo đạc</t>
        </is>
      </c>
      <c r="D266" s="37" t="inlineStr">
        <is>
          <t>Cắm mốc</t>
        </is>
      </c>
      <c r="E266" s="37" t="inlineStr">
        <is>
          <t>Bùi Văn Hoàng</t>
        </is>
      </c>
      <c r="F266" s="37" t="inlineStr">
        <is>
          <t>Anh Hoàng Nhà Đầu Tư</t>
        </is>
      </c>
      <c r="G266" s="37" t="n"/>
      <c r="H266" s="37" t="inlineStr">
        <is>
          <t>Long Trường</t>
        </is>
      </c>
      <c r="I266" s="37" t="inlineStr">
        <is>
          <t>Tạ Khắc Tập</t>
        </is>
      </c>
      <c r="J266" s="37" t="inlineStr">
        <is>
          <t>Võ Tứ Hợp</t>
        </is>
      </c>
      <c r="K266" s="37" t="n"/>
      <c r="L266" s="37" t="inlineStr">
        <is>
          <t>Hoàn thành</t>
        </is>
      </c>
      <c r="M266" s="27" t="n">
        <v>45982</v>
      </c>
      <c r="N266" s="28">
        <f>IF(M266="","",M266-TODAY())</f>
        <v/>
      </c>
      <c r="O266" s="37">
        <f>IF(A266="","",IF(L266="Hoàn thành","XONG",IF(L266="Đã hủy","HỦY",IF(N266&lt;0,"QUÁ HẠN",IF(N266&lt;=THIET_LAP!$B$7,"SẮP HẠN","TRONG HẠN")))))</f>
        <v/>
      </c>
      <c r="P266" s="37" t="inlineStr">
        <is>
          <t>579-1/BK-2025</t>
        </is>
      </c>
      <c r="Q266" s="29" t="n"/>
      <c r="R266" s="37" t="n"/>
      <c r="S266" s="37" t="inlineStr">
        <is>
          <t>Tiến độ: Hoàn thành | Ngày bắt đầu: 2025-11-18 00:00:00 | Ngày nộp: 2025-11-18 00:00:00 | Ngày HT: 2025-11-18 00:00:00 | Lần nộp: 2.0 | Chi kỹ thuật: Đã thanh toán | Số cọc: 4.0 | Loại cọc: Trụ xi măng</t>
        </is>
      </c>
    </row>
    <row r="267" ht="15.75" customHeight="1" s="56">
      <c r="A267" s="37" t="inlineStr">
        <is>
          <t>BK-HS-0264</t>
        </is>
      </c>
      <c r="B267" s="27" t="n">
        <v>45975</v>
      </c>
      <c r="C267" s="37" t="inlineStr">
        <is>
          <t>Phòng Đo đạc</t>
        </is>
      </c>
      <c r="D267" s="37" t="inlineStr">
        <is>
          <t>Cấp đổi</t>
        </is>
      </c>
      <c r="E267" s="37" t="inlineStr">
        <is>
          <t>Trần Tuấn Anh</t>
        </is>
      </c>
      <c r="F267" s="37" t="inlineStr">
        <is>
          <t>Cô Hoa</t>
        </is>
      </c>
      <c r="G267" s="37" t="n"/>
      <c r="H267" s="37" t="inlineStr">
        <is>
          <t>Long Bình</t>
        </is>
      </c>
      <c r="I267" s="37" t="inlineStr">
        <is>
          <t>Lê Văn Xây</t>
        </is>
      </c>
      <c r="J267" s="37" t="inlineStr">
        <is>
          <t>Võ Tứ Hợp</t>
        </is>
      </c>
      <c r="K267" s="37" t="n"/>
      <c r="L267" s="37" t="inlineStr">
        <is>
          <t>Hủy</t>
        </is>
      </c>
      <c r="M267" s="27" t="n">
        <v>45978</v>
      </c>
      <c r="N267" s="28">
        <f>IF(M267="","",M267-TODAY())</f>
        <v/>
      </c>
      <c r="O267" s="37">
        <f>IF(A267="","",IF(L267="Hoàn thành","XONG",IF(L267="Đã hủy","HỦY",IF(N267&lt;0,"QUÁ HẠN",IF(N267&lt;=THIET_LAP!$B$7,"SẮP HẠN","TRONG HẠN")))))</f>
        <v/>
      </c>
      <c r="P267" s="37" t="inlineStr">
        <is>
          <t>583/BK-2025</t>
        </is>
      </c>
      <c r="Q267" s="29" t="n"/>
      <c r="R267" s="37" t="n"/>
      <c r="S267" s="37" t="inlineStr">
        <is>
          <t>Tiến độ: ĐÃ HỦY | Ngày bắt đầu: 2025-11-14 00:00:00 | Ngày nộp: 2026-01-17 00:00:00 | Lần nộp: 2.0 | Chi kỹ thuật: Đã thanh toán</t>
        </is>
      </c>
    </row>
    <row r="268" ht="15.75" customHeight="1" s="56">
      <c r="A268" s="37" t="inlineStr">
        <is>
          <t>BK-HS-0265</t>
        </is>
      </c>
      <c r="B268" s="27" t="n">
        <v>45975</v>
      </c>
      <c r="C268" s="37" t="inlineStr">
        <is>
          <t>Phòng Đo đạc</t>
        </is>
      </c>
      <c r="D268" s="37" t="inlineStr">
        <is>
          <t>Cấp đổi</t>
        </is>
      </c>
      <c r="E268" s="37" t="inlineStr">
        <is>
          <t>Nguyễn Trọng Khoa</t>
        </is>
      </c>
      <c r="F268" s="37" t="inlineStr">
        <is>
          <t>Cô Hoa</t>
        </is>
      </c>
      <c r="G268" s="37" t="n"/>
      <c r="H268" s="37" t="inlineStr">
        <is>
          <t>Long Bình</t>
        </is>
      </c>
      <c r="I268" s="37" t="inlineStr">
        <is>
          <t>Lê Văn Xây</t>
        </is>
      </c>
      <c r="J268" s="37" t="inlineStr">
        <is>
          <t>Võ Tứ Hợp</t>
        </is>
      </c>
      <c r="K268" s="37" t="n"/>
      <c r="L268" s="37" t="inlineStr">
        <is>
          <t>Hủy</t>
        </is>
      </c>
      <c r="M268" s="27" t="n">
        <v>45978</v>
      </c>
      <c r="N268" s="28">
        <f>IF(M268="","",M268-TODAY())</f>
        <v/>
      </c>
      <c r="O268" s="37">
        <f>IF(A268="","",IF(L268="Hoàn thành","XONG",IF(L268="Đã hủy","HỦY",IF(N268&lt;0,"QUÁ HẠN",IF(N268&lt;=THIET_LAP!$B$7,"SẮP HẠN","TRONG HẠN")))))</f>
        <v/>
      </c>
      <c r="P268" s="37" t="inlineStr">
        <is>
          <t>582/BK-2025</t>
        </is>
      </c>
      <c r="Q268" s="29" t="n"/>
      <c r="R268" s="37" t="n"/>
      <c r="S268" s="37" t="inlineStr">
        <is>
          <t>Tiến độ: ĐÃ HỦY | Ngày bắt đầu: 2025-11-14 00:00:00 | Ngày nộp: 2026-01-17 00:00:00 | Lần nộp: 1.0 | Chi kỹ thuật: Đã thanh toán</t>
        </is>
      </c>
    </row>
    <row r="269" ht="15.75" customHeight="1" s="56">
      <c r="A269" s="37" t="inlineStr">
        <is>
          <t>BK-HS-0266</t>
        </is>
      </c>
      <c r="B269" s="27" t="n">
        <v>45975</v>
      </c>
      <c r="C269" s="37" t="inlineStr">
        <is>
          <t>Phòng Đo đạc</t>
        </is>
      </c>
      <c r="D269" s="37" t="inlineStr">
        <is>
          <t>Cấp đổi</t>
        </is>
      </c>
      <c r="E269" s="37" t="inlineStr">
        <is>
          <t>Bùi Văn Hoàng</t>
        </is>
      </c>
      <c r="F269" s="37" t="inlineStr">
        <is>
          <t>Anh Hoàng Nhà Đầu Tư</t>
        </is>
      </c>
      <c r="G269" s="37" t="inlineStr">
        <is>
          <t>0917468888</t>
        </is>
      </c>
      <c r="H269" s="37" t="inlineStr">
        <is>
          <t>Long Trường</t>
        </is>
      </c>
      <c r="I269" s="37" t="inlineStr">
        <is>
          <t>Trương Tấn Quốc</t>
        </is>
      </c>
      <c r="J269" s="37" t="inlineStr">
        <is>
          <t>Không cần</t>
        </is>
      </c>
      <c r="K269" s="37" t="n"/>
      <c r="L269" s="37" t="inlineStr">
        <is>
          <t>Hoàn thành</t>
        </is>
      </c>
      <c r="M269" s="27" t="n">
        <v>45978</v>
      </c>
      <c r="N269" s="28">
        <f>IF(M269="","",M269-TODAY())</f>
        <v/>
      </c>
      <c r="O269" s="37">
        <f>IF(A269="","",IF(L269="Hoàn thành","XONG",IF(L269="Đã hủy","HỦY",IF(N269&lt;0,"QUÁ HẠN",IF(N269&lt;=THIET_LAP!$B$7,"SẮP HẠN","TRONG HẠN")))))</f>
        <v/>
      </c>
      <c r="P269" s="37" t="inlineStr">
        <is>
          <t>579/BK-2025</t>
        </is>
      </c>
      <c r="Q269" s="29" t="n"/>
      <c r="R269" s="37" t="n"/>
      <c r="S269" s="37" t="inlineStr">
        <is>
          <t>Tiến độ: Hoàn thành | Ngày bắt đầu: 2025-11-14 00:00:00 | Ngày nộp: 2025-12-01 00:00:00 | Ngày HT: 2025-12-01 00:00:00 | Lần nộp: 1.0 | Chi kỹ thuật: Đã thanh toán</t>
        </is>
      </c>
    </row>
    <row r="270" ht="15.75" customHeight="1" s="56">
      <c r="A270" s="37" t="inlineStr">
        <is>
          <t>BK-HS-0267</t>
        </is>
      </c>
      <c r="B270" s="27" t="n">
        <v>45974</v>
      </c>
      <c r="C270" s="37" t="inlineStr">
        <is>
          <t>Phòng Đo đạc</t>
        </is>
      </c>
      <c r="D270" s="37" t="inlineStr">
        <is>
          <t>Cấp đổi</t>
        </is>
      </c>
      <c r="E270" s="37" t="inlineStr">
        <is>
          <t>Nguyễn Văn Sơn</t>
        </is>
      </c>
      <c r="F270" s="37" t="inlineStr">
        <is>
          <t>Công Ty</t>
        </is>
      </c>
      <c r="G270" s="37" t="inlineStr">
        <is>
          <t>0933293619</t>
        </is>
      </c>
      <c r="H270" s="37" t="inlineStr">
        <is>
          <t>Linh Xuân</t>
        </is>
      </c>
      <c r="I270" s="37" t="inlineStr">
        <is>
          <t>Tạ Khắc Tập</t>
        </is>
      </c>
      <c r="J270" s="37" t="inlineStr">
        <is>
          <t>Võ Tứ Hợp</t>
        </is>
      </c>
      <c r="K270" s="37" t="inlineStr">
        <is>
          <t>Cao</t>
        </is>
      </c>
      <c r="L270" s="37" t="inlineStr">
        <is>
          <t>Hoàn thành</t>
        </is>
      </c>
      <c r="M270" s="27" t="n">
        <v>45975</v>
      </c>
      <c r="N270" s="28">
        <f>IF(M270="","",M270-TODAY())</f>
        <v/>
      </c>
      <c r="O270" s="37">
        <f>IF(A270="","",IF(L270="Hoàn thành","XONG",IF(L270="Đã hủy","HỦY",IF(N270&lt;0,"QUÁ HẠN",IF(N270&lt;=THIET_LAP!$B$7,"SẮP HẠN","TRONG HẠN")))))</f>
        <v/>
      </c>
      <c r="P270" s="37" t="inlineStr">
        <is>
          <t>578/BK-2025</t>
        </is>
      </c>
      <c r="Q270" s="29" t="n"/>
      <c r="R270" s="37" t="n"/>
      <c r="S270" s="37" t="inlineStr">
        <is>
          <t>Tiến độ: Hoàn thành | Ngày bắt đầu: 2025-11-13 00:00:00 | Ngày nộp: 2025-11-27 00:00:00 | Ngày HT: 2025-11-27 00:00:00 | Lần nộp: 3.0 | Chi kỹ thuật: Đã thanh toán</t>
        </is>
      </c>
    </row>
    <row r="271" ht="15.75" customHeight="1" s="56">
      <c r="A271" s="37" t="inlineStr">
        <is>
          <t>BK-HS-0268</t>
        </is>
      </c>
      <c r="B271" s="27" t="n">
        <v>45974</v>
      </c>
      <c r="C271" s="37" t="inlineStr">
        <is>
          <t>Phòng Đo đạc</t>
        </is>
      </c>
      <c r="D271" s="37" t="inlineStr">
        <is>
          <t>Hoàn công</t>
        </is>
      </c>
      <c r="E271" s="37" t="inlineStr">
        <is>
          <t>Nguyễn Bảo Trị</t>
        </is>
      </c>
      <c r="F271" s="37" t="inlineStr">
        <is>
          <t>Tùng Mập</t>
        </is>
      </c>
      <c r="G271" s="37" t="n"/>
      <c r="H271" s="37" t="inlineStr">
        <is>
          <t>Hiệp Bình</t>
        </is>
      </c>
      <c r="I271" s="37" t="inlineStr">
        <is>
          <t>Trương Tấn Quốc</t>
        </is>
      </c>
      <c r="J271" s="37" t="inlineStr">
        <is>
          <t>Tạ Khắc Tập</t>
        </is>
      </c>
      <c r="K271" s="37" t="n"/>
      <c r="L271" s="37" t="inlineStr">
        <is>
          <t>Nộp thành công - Chờ kết quả</t>
        </is>
      </c>
      <c r="M271" s="27" t="n">
        <v>45977</v>
      </c>
      <c r="N271" s="28">
        <f>IF(M271="","",M271-TODAY())</f>
        <v/>
      </c>
      <c r="O271" s="37">
        <f>IF(A271="","",IF(L271="Hoàn thành","XONG",IF(L271="Đã hủy","HỦY",IF(N271&lt;0,"QUÁ HẠN",IF(N271&lt;=THIET_LAP!$B$7,"SẮP HẠN","TRONG HẠN")))))</f>
        <v/>
      </c>
      <c r="P271" s="37" t="inlineStr">
        <is>
          <t>577/BK-2025</t>
        </is>
      </c>
      <c r="Q271" s="29" t="n"/>
      <c r="R271" s="37" t="n"/>
      <c r="S271" s="37" t="inlineStr">
        <is>
          <t>Tiến độ: Đã nộp | Ngày bắt đầu: 2025-11-13 00:00:00 | Ngày nộp: 2025-12-09 00:00:00 | Lần nộp: 2.0 | Chi kỹ thuật: Đã thanh toán | Giải trình: Sai hiện trạng, đợi phương án</t>
        </is>
      </c>
    </row>
    <row r="272" ht="15.75" customHeight="1" s="56">
      <c r="A272" s="37" t="inlineStr">
        <is>
          <t>BK-HS-0269</t>
        </is>
      </c>
      <c r="B272" s="27" t="n">
        <v>45973</v>
      </c>
      <c r="C272" s="37" t="inlineStr">
        <is>
          <t>Phòng Đo đạc</t>
        </is>
      </c>
      <c r="D272" s="37" t="inlineStr">
        <is>
          <t>Cấp đổi</t>
        </is>
      </c>
      <c r="E272" s="37" t="inlineStr">
        <is>
          <t>Bùi Ngọc Minh</t>
        </is>
      </c>
      <c r="F272" s="37" t="inlineStr">
        <is>
          <t>Công Ty</t>
        </is>
      </c>
      <c r="G272" s="37" t="inlineStr">
        <is>
          <t>0986644781</t>
        </is>
      </c>
      <c r="H272" s="37" t="inlineStr">
        <is>
          <t>Long Phước</t>
        </is>
      </c>
      <c r="I272" s="37" t="inlineStr">
        <is>
          <t>Lê Văn Dựng</t>
        </is>
      </c>
      <c r="J272" s="37" t="inlineStr">
        <is>
          <t>Không cần</t>
        </is>
      </c>
      <c r="K272" s="37" t="n"/>
      <c r="L272" s="37" t="inlineStr">
        <is>
          <t>Hoàn thành</t>
        </is>
      </c>
      <c r="M272" s="27" t="n">
        <v>45976</v>
      </c>
      <c r="N272" s="28">
        <f>IF(M272="","",M272-TODAY())</f>
        <v/>
      </c>
      <c r="O272" s="37">
        <f>IF(A272="","",IF(L272="Hoàn thành","XONG",IF(L272="Đã hủy","HỦY",IF(N272&lt;0,"QUÁ HẠN",IF(N272&lt;=THIET_LAP!$B$7,"SẮP HẠN","TRONG HẠN")))))</f>
        <v/>
      </c>
      <c r="P272" s="37" t="inlineStr">
        <is>
          <t>576/BK-2025</t>
        </is>
      </c>
      <c r="Q272" s="29" t="n"/>
      <c r="R272" s="37" t="n"/>
      <c r="S272" s="37" t="inlineStr">
        <is>
          <t>Tiến độ: Hoàn thành | Ngày bắt đầu: 2025-11-12 00:00:00 | Ngày nộp: 2025-11-25 00:00:00 | Ngày HT: 2025-11-25 00:00:00 | Lần nộp: 2.0 | Chi kỹ thuật: Đã thanh toán</t>
        </is>
      </c>
    </row>
    <row r="273" ht="15.75" customHeight="1" s="56">
      <c r="A273" s="37" t="inlineStr">
        <is>
          <t>BK-HS-0270</t>
        </is>
      </c>
      <c r="B273" s="27" t="n">
        <v>45972</v>
      </c>
      <c r="C273" s="37" t="inlineStr">
        <is>
          <t>Phòng Đo đạc</t>
        </is>
      </c>
      <c r="D273" s="37" t="inlineStr">
        <is>
          <t>Hoàn công</t>
        </is>
      </c>
      <c r="E273" s="37" t="inlineStr">
        <is>
          <t>Nguyễn Thị Huyền Vy</t>
        </is>
      </c>
      <c r="F273" s="37" t="inlineStr">
        <is>
          <t>Tùng Mập</t>
        </is>
      </c>
      <c r="G273" s="37" t="n"/>
      <c r="H273" s="37" t="inlineStr">
        <is>
          <t>Tăng Nhơn Phú</t>
        </is>
      </c>
      <c r="I273" s="37" t="inlineStr">
        <is>
          <t>Trương Tấn Quốc</t>
        </is>
      </c>
      <c r="J273" s="37" t="inlineStr">
        <is>
          <t>Tạ Khắc Tập</t>
        </is>
      </c>
      <c r="K273" s="37" t="n"/>
      <c r="L273" s="37" t="inlineStr">
        <is>
          <t>Nộp thành công - Chờ kết quả</t>
        </is>
      </c>
      <c r="M273" s="27" t="n">
        <v>45975</v>
      </c>
      <c r="N273" s="28">
        <f>IF(M273="","",M273-TODAY())</f>
        <v/>
      </c>
      <c r="O273" s="37">
        <f>IF(A273="","",IF(L273="Hoàn thành","XONG",IF(L273="Đã hủy","HỦY",IF(N273&lt;0,"QUÁ HẠN",IF(N273&lt;=THIET_LAP!$B$7,"SẮP HẠN","TRONG HẠN")))))</f>
        <v/>
      </c>
      <c r="P273" s="37" t="inlineStr">
        <is>
          <t>575/BK-2025</t>
        </is>
      </c>
      <c r="Q273" s="29" t="n"/>
      <c r="R273" s="37" t="n"/>
      <c r="S273" s="37" t="inlineStr">
        <is>
          <t>Tiến độ: Đã nộp | Ngày bắt đầu: 2025-11-11 00:00:00 | Ngày nộp: 2026-01-15 00:00:00 | Lần nộp: 2.0 | Chi kỹ thuật: Đã thanh toán | Giải trình: Đợi chủ nhà lắp rào kẽm (đã hoàn thiện hso)</t>
        </is>
      </c>
    </row>
    <row r="274" ht="15.75" customHeight="1" s="56">
      <c r="A274" s="37" t="inlineStr">
        <is>
          <t>BK-HS-0271</t>
        </is>
      </c>
      <c r="B274" s="27" t="n">
        <v>45972</v>
      </c>
      <c r="C274" s="37" t="inlineStr">
        <is>
          <t>Phòng Đo đạc</t>
        </is>
      </c>
      <c r="D274" s="37" t="inlineStr">
        <is>
          <t>Cấp đổi</t>
        </is>
      </c>
      <c r="E274" s="37" t="inlineStr">
        <is>
          <t>Nguyễn Thị Quỳnh Lan</t>
        </is>
      </c>
      <c r="F274" s="37" t="inlineStr">
        <is>
          <t>Công Ty</t>
        </is>
      </c>
      <c r="G274" s="37" t="inlineStr">
        <is>
          <t>0989980399</t>
        </is>
      </c>
      <c r="H274" s="37" t="inlineStr">
        <is>
          <t>Bình Trưng</t>
        </is>
      </c>
      <c r="I274" s="37" t="inlineStr">
        <is>
          <t>Tạ Khắc Tập</t>
        </is>
      </c>
      <c r="J274" s="37" t="inlineStr">
        <is>
          <t>Võ Tứ Hợp</t>
        </is>
      </c>
      <c r="K274" s="37" t="n"/>
      <c r="L274" s="37" t="inlineStr">
        <is>
          <t>Hoàn thành</t>
        </is>
      </c>
      <c r="M274" s="27" t="n">
        <v>45975</v>
      </c>
      <c r="N274" s="28">
        <f>IF(M274="","",M274-TODAY())</f>
        <v/>
      </c>
      <c r="O274" s="37">
        <f>IF(A274="","",IF(L274="Hoàn thành","XONG",IF(L274="Đã hủy","HỦY",IF(N274&lt;0,"QUÁ HẠN",IF(N274&lt;=THIET_LAP!$B$7,"SẮP HẠN","TRONG HẠN")))))</f>
        <v/>
      </c>
      <c r="P274" s="37" t="inlineStr">
        <is>
          <t>574/BK-2025</t>
        </is>
      </c>
      <c r="Q274" s="29" t="n"/>
      <c r="R274" s="37" t="n"/>
      <c r="S274" s="37" t="inlineStr">
        <is>
          <t>Tiến độ: Hoàn thành | Ngày bắt đầu: 2025-11-11 00:00:00 | Ngày nộp: 2025-12-22 00:00:00 | Ngày HT: 2025-12-22 00:00:00 | Lần nộp: 3.0 | Chi kỹ thuật: Đã thanh toán</t>
        </is>
      </c>
    </row>
    <row r="275" ht="15.75" customHeight="1" s="56">
      <c r="A275" s="37" t="inlineStr">
        <is>
          <t>BK-HS-0272</t>
        </is>
      </c>
      <c r="B275" s="27" t="n">
        <v>45971</v>
      </c>
      <c r="C275" s="37" t="inlineStr">
        <is>
          <t>Phòng Đo đạc</t>
        </is>
      </c>
      <c r="D275" s="37" t="inlineStr">
        <is>
          <t>Xác định diện tích</t>
        </is>
      </c>
      <c r="E275" s="37" t="inlineStr">
        <is>
          <t>Trần Đức Phú</t>
        </is>
      </c>
      <c r="F275" s="37" t="inlineStr">
        <is>
          <t>Hoàng Quân</t>
        </is>
      </c>
      <c r="G275" s="37" t="n"/>
      <c r="H275" s="37" t="inlineStr">
        <is>
          <t>Long Phước</t>
        </is>
      </c>
      <c r="I275" s="37" t="inlineStr">
        <is>
          <t>Lê Văn Dựng</t>
        </is>
      </c>
      <c r="J275" s="37" t="inlineStr">
        <is>
          <t>Không cần</t>
        </is>
      </c>
      <c r="K275" s="37" t="n"/>
      <c r="L275" s="37" t="inlineStr">
        <is>
          <t>Hoàn thành</t>
        </is>
      </c>
      <c r="M275" s="27" t="n">
        <v>45974</v>
      </c>
      <c r="N275" s="28">
        <f>IF(M275="","",M275-TODAY())</f>
        <v/>
      </c>
      <c r="O275" s="37">
        <f>IF(A275="","",IF(L275="Hoàn thành","XONG",IF(L275="Đã hủy","HỦY",IF(N275&lt;0,"QUÁ HẠN",IF(N275&lt;=THIET_LAP!$B$7,"SẮP HẠN","TRONG HẠN")))))</f>
        <v/>
      </c>
      <c r="P275" s="37" t="inlineStr">
        <is>
          <t>573/BK-2025</t>
        </is>
      </c>
      <c r="Q275" s="29" t="n"/>
      <c r="R275" s="37" t="n"/>
      <c r="S275" s="37" t="inlineStr">
        <is>
          <t>Tiến độ: Hoàn thành | Ngày bắt đầu: 2025-11-10 00:00:00 | Ngày nộp: 2025-11-10 00:00:00 | Ngày HT: 2025-11-10 00:00:00 | Lần nộp: 2.0 | Chi kỹ thuật: Đã thanh toán | Ghi chú: 4 sổ</t>
        </is>
      </c>
    </row>
    <row r="276" ht="15.75" customHeight="1" s="56">
      <c r="A276" s="37" t="inlineStr">
        <is>
          <t>BK-HS-0273</t>
        </is>
      </c>
      <c r="B276" s="27" t="n">
        <v>45971</v>
      </c>
      <c r="C276" s="37" t="inlineStr">
        <is>
          <t>Phòng Đo đạc</t>
        </is>
      </c>
      <c r="D276" s="37" t="inlineStr">
        <is>
          <t>Xác định diện tích</t>
        </is>
      </c>
      <c r="E276" s="37" t="inlineStr">
        <is>
          <t>Trần Quang Vinh</t>
        </is>
      </c>
      <c r="F276" s="37" t="inlineStr">
        <is>
          <t>Hoàng Quân</t>
        </is>
      </c>
      <c r="G276" s="37" t="n"/>
      <c r="H276" s="37" t="inlineStr">
        <is>
          <t>Long Phước</t>
        </is>
      </c>
      <c r="I276" s="37" t="inlineStr">
        <is>
          <t>Lê Văn Dựng</t>
        </is>
      </c>
      <c r="J276" s="37" t="inlineStr">
        <is>
          <t>Không cần</t>
        </is>
      </c>
      <c r="K276" s="37" t="n"/>
      <c r="L276" s="37" t="inlineStr">
        <is>
          <t>Hoàn thành</t>
        </is>
      </c>
      <c r="M276" s="27" t="n">
        <v>45974</v>
      </c>
      <c r="N276" s="28">
        <f>IF(M276="","",M276-TODAY())</f>
        <v/>
      </c>
      <c r="O276" s="37">
        <f>IF(A276="","",IF(L276="Hoàn thành","XONG",IF(L276="Đã hủy","HỦY",IF(N276&lt;0,"QUÁ HẠN",IF(N276&lt;=THIET_LAP!$B$7,"SẮP HẠN","TRONG HẠN")))))</f>
        <v/>
      </c>
      <c r="P276" s="37" t="inlineStr">
        <is>
          <t>572/BK-2025</t>
        </is>
      </c>
      <c r="Q276" s="29" t="n"/>
      <c r="R276" s="37" t="n"/>
      <c r="S276" s="37" t="inlineStr">
        <is>
          <t>Tiến độ: Hoàn thành | Ngày bắt đầu: 2025-11-10 00:00:00 | Ngày nộp: 2025-11-10 00:00:00 | Ngày HT: 2025-11-10 00:00:00 | Lần nộp: 2.0 | Chi kỹ thuật: Đã thanh toán | Ghi chú: 3 sổ</t>
        </is>
      </c>
    </row>
    <row r="277" ht="15.75" customHeight="1" s="56">
      <c r="A277" s="37" t="inlineStr">
        <is>
          <t>BK-HS-0274</t>
        </is>
      </c>
      <c r="B277" s="27" t="n">
        <v>45971</v>
      </c>
      <c r="C277" s="37" t="inlineStr">
        <is>
          <t>Phòng Đo đạc</t>
        </is>
      </c>
      <c r="D277" s="37" t="inlineStr">
        <is>
          <t>Xác định diện tích</t>
        </is>
      </c>
      <c r="E277" s="37" t="inlineStr">
        <is>
          <t>Trần Đức Phú</t>
        </is>
      </c>
      <c r="F277" s="37" t="inlineStr">
        <is>
          <t>Hoàng Quân</t>
        </is>
      </c>
      <c r="G277" s="37" t="n"/>
      <c r="H277" s="37" t="inlineStr">
        <is>
          <t>Long Phước</t>
        </is>
      </c>
      <c r="I277" s="37" t="inlineStr">
        <is>
          <t>Lê Văn Dựng</t>
        </is>
      </c>
      <c r="J277" s="37" t="inlineStr">
        <is>
          <t>Không cần</t>
        </is>
      </c>
      <c r="K277" s="37" t="n"/>
      <c r="L277" s="37" t="inlineStr">
        <is>
          <t>Hoàn thành</t>
        </is>
      </c>
      <c r="M277" s="27" t="n">
        <v>45974</v>
      </c>
      <c r="N277" s="28">
        <f>IF(M277="","",M277-TODAY())</f>
        <v/>
      </c>
      <c r="O277" s="37">
        <f>IF(A277="","",IF(L277="Hoàn thành","XONG",IF(L277="Đã hủy","HỦY",IF(N277&lt;0,"QUÁ HẠN",IF(N277&lt;=THIET_LAP!$B$7,"SẮP HẠN","TRONG HẠN")))))</f>
        <v/>
      </c>
      <c r="P277" s="37" t="inlineStr">
        <is>
          <t>571/BK-2025</t>
        </is>
      </c>
      <c r="Q277" s="29" t="n"/>
      <c r="R277" s="37" t="n"/>
      <c r="S277" s="37" t="inlineStr">
        <is>
          <t>Tiến độ: Hoàn thành | Ngày bắt đầu: 2025-11-10 00:00:00 | Ngày nộp: 2025-11-10 00:00:00 | Ngày HT: 2025-11-10 00:00:00 | Lần nộp: 1.0 | Chi kỹ thuật: Đã thanh toán</t>
        </is>
      </c>
    </row>
    <row r="278" ht="15.75" customHeight="1" s="56">
      <c r="A278" s="37" t="inlineStr">
        <is>
          <t>BK-HS-0275</t>
        </is>
      </c>
      <c r="B278" s="27" t="n">
        <v>45971</v>
      </c>
      <c r="C278" s="37" t="inlineStr">
        <is>
          <t>Phòng Đo đạc</t>
        </is>
      </c>
      <c r="D278" s="37" t="inlineStr">
        <is>
          <t>Cắm mốc</t>
        </is>
      </c>
      <c r="E278" s="37" t="inlineStr">
        <is>
          <t>Quang Hào</t>
        </is>
      </c>
      <c r="F278" s="37" t="inlineStr">
        <is>
          <t>Công Ty</t>
        </is>
      </c>
      <c r="G278" s="37" t="inlineStr">
        <is>
          <t>0903343383</t>
        </is>
      </c>
      <c r="H278" s="37" t="inlineStr">
        <is>
          <t>Long Phước</t>
        </is>
      </c>
      <c r="I278" s="37" t="inlineStr">
        <is>
          <t>Lê Văn Dựng</t>
        </is>
      </c>
      <c r="J278" s="37" t="inlineStr">
        <is>
          <t>Võ Tứ Hợp</t>
        </is>
      </c>
      <c r="K278" s="37" t="n"/>
      <c r="L278" s="37" t="inlineStr">
        <is>
          <t>Hoàn thành</t>
        </is>
      </c>
      <c r="M278" s="27" t="n">
        <v>45974</v>
      </c>
      <c r="N278" s="28">
        <f>IF(M278="","",M278-TODAY())</f>
        <v/>
      </c>
      <c r="O278" s="37">
        <f>IF(A278="","",IF(L278="Hoàn thành","XONG",IF(L278="Đã hủy","HỦY",IF(N278&lt;0,"QUÁ HẠN",IF(N278&lt;=THIET_LAP!$B$7,"SẮP HẠN","TRONG HẠN")))))</f>
        <v/>
      </c>
      <c r="P278" s="37" t="inlineStr">
        <is>
          <t>570/BK-2025</t>
        </is>
      </c>
      <c r="Q278" s="29" t="n"/>
      <c r="R278" s="37" t="n"/>
      <c r="S278" s="37" t="inlineStr">
        <is>
          <t>Tiến độ: Hoàn thành | Ngày bắt đầu: 2025-11-10 00:00:00 | Ngày nộp: 2025-11-10 00:00:00 | Ngày HT: 2025-11-10 00:00:00 | Lần nộp: 2.0 | Chi kỹ thuật: Đã thanh toán | Số cọc: 4.0 | Loại cọc: Trụ xi măng</t>
        </is>
      </c>
    </row>
    <row r="279" ht="15.75" customHeight="1" s="56">
      <c r="A279" s="37" t="inlineStr">
        <is>
          <t>BK-HS-0276</t>
        </is>
      </c>
      <c r="B279" s="27" t="n">
        <v>45971</v>
      </c>
      <c r="C279" s="37" t="inlineStr">
        <is>
          <t>Phòng Đo đạc</t>
        </is>
      </c>
      <c r="D279" s="37" t="inlineStr">
        <is>
          <t>Chuyển mục đích</t>
        </is>
      </c>
      <c r="E279" s="37" t="inlineStr">
        <is>
          <t>Nguyễn Văn Trường</t>
        </is>
      </c>
      <c r="F279" s="37" t="inlineStr">
        <is>
          <t>Công Ty</t>
        </is>
      </c>
      <c r="G279" s="37" t="inlineStr">
        <is>
          <t>0903086766</t>
        </is>
      </c>
      <c r="H279" s="37" t="inlineStr">
        <is>
          <t>Hiệp Bình</t>
        </is>
      </c>
      <c r="I279" s="37" t="inlineStr">
        <is>
          <t>Nguyễn Minh Thông</t>
        </is>
      </c>
      <c r="J279" s="37" t="inlineStr">
        <is>
          <t>Không cần</t>
        </is>
      </c>
      <c r="K279" s="37" t="n"/>
      <c r="L279" s="37" t="inlineStr">
        <is>
          <t>Nộp thành công - Chờ kết quả</t>
        </is>
      </c>
      <c r="M279" s="27" t="n">
        <v>45974</v>
      </c>
      <c r="N279" s="28">
        <f>IF(M279="","",M279-TODAY())</f>
        <v/>
      </c>
      <c r="O279" s="37">
        <f>IF(A279="","",IF(L279="Hoàn thành","XONG",IF(L279="Đã hủy","HỦY",IF(N279&lt;0,"QUÁ HẠN",IF(N279&lt;=THIET_LAP!$B$7,"SẮP HẠN","TRONG HẠN")))))</f>
        <v/>
      </c>
      <c r="P279" s="37" t="inlineStr">
        <is>
          <t>568/BK-2025</t>
        </is>
      </c>
      <c r="Q279" s="29" t="n"/>
      <c r="R279" s="37" t="n"/>
      <c r="S279" s="37" t="inlineStr">
        <is>
          <t>Tiến độ: Đã nộp | Ngày bắt đầu: 2025-11-10 00:00:00 | Ngày nộp: 2025-11-10 00:00:00 | Lần nộp: 1.0 | Chi kỹ thuật: Đã thanh toán</t>
        </is>
      </c>
    </row>
    <row r="280" ht="15.75" customHeight="1" s="56">
      <c r="A280" s="37" t="inlineStr">
        <is>
          <t>BK-HS-0277</t>
        </is>
      </c>
      <c r="B280" s="27" t="n">
        <v>45971</v>
      </c>
      <c r="C280" s="37" t="inlineStr">
        <is>
          <t>Phòng Đo đạc</t>
        </is>
      </c>
      <c r="D280" s="37" t="inlineStr">
        <is>
          <t>Cấp sổ lần đầu</t>
        </is>
      </c>
      <c r="E280" s="37" t="inlineStr">
        <is>
          <t>Nguyễn Thị Kim Cúc</t>
        </is>
      </c>
      <c r="F280" s="37" t="inlineStr">
        <is>
          <t>Đạt Việt Phát Land</t>
        </is>
      </c>
      <c r="G280" s="37" t="n"/>
      <c r="H280" s="37" t="inlineStr">
        <is>
          <t>Thủ Đức</t>
        </is>
      </c>
      <c r="I280" s="37" t="inlineStr">
        <is>
          <t>Trương Tấn Quốc</t>
        </is>
      </c>
      <c r="J280" s="37" t="inlineStr">
        <is>
          <t>Võ Tứ Hợp</t>
        </is>
      </c>
      <c r="K280" s="37" t="n"/>
      <c r="L280" s="37" t="inlineStr">
        <is>
          <t>Hoàn thành</t>
        </is>
      </c>
      <c r="M280" s="27" t="n">
        <v>45974</v>
      </c>
      <c r="N280" s="28">
        <f>IF(M280="","",M280-TODAY())</f>
        <v/>
      </c>
      <c r="O280" s="37">
        <f>IF(A280="","",IF(L280="Hoàn thành","XONG",IF(L280="Đã hủy","HỦY",IF(N280&lt;0,"QUÁ HẠN",IF(N280&lt;=THIET_LAP!$B$7,"SẮP HẠN","TRONG HẠN")))))</f>
        <v/>
      </c>
      <c r="P280" s="37" t="inlineStr">
        <is>
          <t>567/BK-2025</t>
        </is>
      </c>
      <c r="Q280" s="29" t="n"/>
      <c r="R280" s="37" t="n"/>
      <c r="S280" s="37" t="inlineStr">
        <is>
          <t>Tiến độ: Hoàn thành | Ngày bắt đầu: 2025-11-10 00:00:00 | Ngày nộp: 2025-11-24 00:00:00 | Ngày HT: 2025-11-24 00:00:00 | Lần nộp: 1.0 | Chi kỹ thuật: Đã thanh toán</t>
        </is>
      </c>
    </row>
    <row r="281" ht="15.75" customHeight="1" s="56">
      <c r="A281" s="37" t="inlineStr">
        <is>
          <t>BK-HS-0278</t>
        </is>
      </c>
      <c r="B281" s="27" t="n">
        <v>45969</v>
      </c>
      <c r="C281" s="37" t="inlineStr">
        <is>
          <t>Phòng Đo đạc</t>
        </is>
      </c>
      <c r="D281" s="37" t="inlineStr">
        <is>
          <t>Cắm mốc</t>
        </is>
      </c>
      <c r="E281" s="37" t="inlineStr">
        <is>
          <t>Nguyễn Văn Cơ</t>
        </is>
      </c>
      <c r="F281" s="37" t="inlineStr">
        <is>
          <t>Anh Minh DV HBP</t>
        </is>
      </c>
      <c r="G281" s="37" t="n"/>
      <c r="H281" s="37" t="inlineStr">
        <is>
          <t>Hiệp Bình</t>
        </is>
      </c>
      <c r="I281" s="37" t="inlineStr">
        <is>
          <t>Lê Văn Dựng</t>
        </is>
      </c>
      <c r="J281" s="37" t="inlineStr">
        <is>
          <t>Võ Tứ Hợp</t>
        </is>
      </c>
      <c r="K281" s="37" t="n"/>
      <c r="L281" s="37" t="inlineStr">
        <is>
          <t>Hoàn thành</t>
        </is>
      </c>
      <c r="M281" s="27" t="n">
        <v>45972</v>
      </c>
      <c r="N281" s="28">
        <f>IF(M281="","",M281-TODAY())</f>
        <v/>
      </c>
      <c r="O281" s="37">
        <f>IF(A281="","",IF(L281="Hoàn thành","XONG",IF(L281="Đã hủy","HỦY",IF(N281&lt;0,"QUÁ HẠN",IF(N281&lt;=THIET_LAP!$B$7,"SẮP HẠN","TRONG HẠN")))))</f>
        <v/>
      </c>
      <c r="P281" s="37" t="inlineStr">
        <is>
          <t>285-2/BK-2025</t>
        </is>
      </c>
      <c r="Q281" s="29" t="n"/>
      <c r="R281" s="37" t="n"/>
      <c r="S281" s="37" t="inlineStr">
        <is>
          <t>Tiến độ: Hoàn thành | Ngày bắt đầu: 2025-11-08 00:00:00 | Ngày nộp: 2025-11-08 00:00:00 | Ngày HT: 2025-11-08 00:00:00 | Lần nộp: 1.0 | Chi kỹ thuật: Đã thanh toán | Số cọc: 8.0 | Loại cọc: Trụ xi măng</t>
        </is>
      </c>
    </row>
    <row r="282" ht="15.75" customHeight="1" s="56">
      <c r="A282" s="37" t="inlineStr">
        <is>
          <t>BK-HS-0279</t>
        </is>
      </c>
      <c r="B282" s="27" t="n">
        <v>45969</v>
      </c>
      <c r="C282" s="37" t="inlineStr">
        <is>
          <t>Phòng Đo đạc</t>
        </is>
      </c>
      <c r="D282" s="37" t="inlineStr">
        <is>
          <t>Đo GPS</t>
        </is>
      </c>
      <c r="E282" s="37" t="inlineStr">
        <is>
          <t>Nguyễn Văn Cơ</t>
        </is>
      </c>
      <c r="F282" s="37" t="inlineStr">
        <is>
          <t>Anh Minh DV HBP</t>
        </is>
      </c>
      <c r="G282" s="37" t="n"/>
      <c r="H282" s="37" t="inlineStr">
        <is>
          <t>Hiệp Bình</t>
        </is>
      </c>
      <c r="I282" s="37" t="inlineStr">
        <is>
          <t>Lê Văn Dựng</t>
        </is>
      </c>
      <c r="J282" s="37" t="inlineStr">
        <is>
          <t>Không cần</t>
        </is>
      </c>
      <c r="K282" s="37" t="n"/>
      <c r="L282" s="37" t="inlineStr">
        <is>
          <t>Hoàn thành</t>
        </is>
      </c>
      <c r="M282" s="27" t="n">
        <v>45972</v>
      </c>
      <c r="N282" s="28">
        <f>IF(M282="","",M282-TODAY())</f>
        <v/>
      </c>
      <c r="O282" s="37">
        <f>IF(A282="","",IF(L282="Hoàn thành","XONG",IF(L282="Đã hủy","HỦY",IF(N282&lt;0,"QUÁ HẠN",IF(N282&lt;=THIET_LAP!$B$7,"SẮP HẠN","TRONG HẠN")))))</f>
        <v/>
      </c>
      <c r="P282" s="37" t="inlineStr">
        <is>
          <t>285-1/BK-2025</t>
        </is>
      </c>
      <c r="Q282" s="29" t="n"/>
      <c r="R282" s="37" t="n"/>
      <c r="S282" s="37" t="inlineStr">
        <is>
          <t>Tiến độ: Hoàn thành | Ngày bắt đầu: 2025-11-08 00:00:00 | Ngày nộp: 2025-11-08 00:00:00 | Ngày HT: 2025-11-08 00:00:00 | Lần nộp: 1.0 | Chi kỹ thuật: Đã thanh toán</t>
        </is>
      </c>
    </row>
    <row r="283" ht="15.75" customHeight="1" s="56">
      <c r="A283" s="37" t="inlineStr">
        <is>
          <t>BK-HS-0280</t>
        </is>
      </c>
      <c r="B283" s="27" t="n">
        <v>45968</v>
      </c>
      <c r="C283" s="37" t="inlineStr">
        <is>
          <t>Phòng Đo đạc</t>
        </is>
      </c>
      <c r="D283" s="37" t="inlineStr">
        <is>
          <t>Cắm mốc</t>
        </is>
      </c>
      <c r="E283" s="37" t="inlineStr">
        <is>
          <t>Nguyễn Văn Phúc</t>
        </is>
      </c>
      <c r="F283" s="37" t="inlineStr">
        <is>
          <t>Công Ty</t>
        </is>
      </c>
      <c r="G283" s="37" t="inlineStr">
        <is>
          <t>0934998539</t>
        </is>
      </c>
      <c r="H283" s="37" t="inlineStr">
        <is>
          <t>Ngoài Thủ Đức</t>
        </is>
      </c>
      <c r="I283" s="37" t="inlineStr">
        <is>
          <t>Tạ Khắc Tập</t>
        </is>
      </c>
      <c r="J283" s="37" t="inlineStr">
        <is>
          <t>Võ Tứ Hợp</t>
        </is>
      </c>
      <c r="K283" s="37" t="inlineStr">
        <is>
          <t>Cao</t>
        </is>
      </c>
      <c r="L283" s="37" t="inlineStr">
        <is>
          <t>Hoàn thành</t>
        </is>
      </c>
      <c r="M283" s="27" t="n">
        <v>45969</v>
      </c>
      <c r="N283" s="28">
        <f>IF(M283="","",M283-TODAY())</f>
        <v/>
      </c>
      <c r="O283" s="37">
        <f>IF(A283="","",IF(L283="Hoàn thành","XONG",IF(L283="Đã hủy","HỦY",IF(N283&lt;0,"QUÁ HẠN",IF(N283&lt;=THIET_LAP!$B$7,"SẮP HẠN","TRONG HẠN")))))</f>
        <v/>
      </c>
      <c r="P283" s="37" t="inlineStr">
        <is>
          <t>566/BK-2025</t>
        </is>
      </c>
      <c r="Q283" s="29" t="n"/>
      <c r="R283" s="37" t="n"/>
      <c r="S283" s="37" t="inlineStr">
        <is>
          <t>Tiến độ: Hoàn thành | Ngày bắt đầu: 2025-11-07 00:00:00 | Ngày nộp: 2025-11-07 00:00:00 | Ngày HT: 2025-11-07 00:00:00 | Lần nộp: 2.0 | Chi kỹ thuật: Đã thanh toán | Số cọc: 6.0 | Loại cọc: Trụ xi măng | Ghi chú: Quận Tân Bình - Hồ sơ xa</t>
        </is>
      </c>
    </row>
    <row r="284" ht="15.75" customHeight="1" s="56">
      <c r="A284" s="37" t="inlineStr">
        <is>
          <t>BK-HS-0281</t>
        </is>
      </c>
      <c r="B284" s="27" t="n">
        <v>45967</v>
      </c>
      <c r="C284" s="37" t="inlineStr">
        <is>
          <t>Phòng Đo đạc</t>
        </is>
      </c>
      <c r="D284" s="37" t="inlineStr">
        <is>
          <t>Chuyển mục đích</t>
        </is>
      </c>
      <c r="E284" s="37" t="inlineStr">
        <is>
          <t>Hoàng Anh Tú</t>
        </is>
      </c>
      <c r="F284" s="37" t="inlineStr">
        <is>
          <t>Anh Long PCT</t>
        </is>
      </c>
      <c r="G284" s="37" t="n"/>
      <c r="H284" s="37" t="inlineStr">
        <is>
          <t>Long Phước</t>
        </is>
      </c>
      <c r="I284" s="37" t="inlineStr">
        <is>
          <t>Nguyễn Minh Thông</t>
        </is>
      </c>
      <c r="J284" s="37" t="inlineStr">
        <is>
          <t>Không cần</t>
        </is>
      </c>
      <c r="K284" s="37" t="n"/>
      <c r="L284" s="37" t="inlineStr">
        <is>
          <t>Hoàn thành</t>
        </is>
      </c>
      <c r="M284" s="27" t="n">
        <v>45970</v>
      </c>
      <c r="N284" s="28">
        <f>IF(M284="","",M284-TODAY())</f>
        <v/>
      </c>
      <c r="O284" s="37">
        <f>IF(A284="","",IF(L284="Hoàn thành","XONG",IF(L284="Đã hủy","HỦY",IF(N284&lt;0,"QUÁ HẠN",IF(N284&lt;=THIET_LAP!$B$7,"SẮP HẠN","TRONG HẠN")))))</f>
        <v/>
      </c>
      <c r="P284" s="37" t="inlineStr">
        <is>
          <t>565/BK-2025</t>
        </is>
      </c>
      <c r="Q284" s="29" t="n"/>
      <c r="R284" s="37" t="n"/>
      <c r="S284" s="37" t="inlineStr">
        <is>
          <t>Tiến độ: Hoàn thành | Ngày bắt đầu: 2025-11-06 00:00:00 | Ngày nộp: 2025-11-18 00:00:00 | Ngày HT: 2025-11-18 00:00:00 | Lần nộp: 2.0 | Chi kỹ thuật: Đã thanh toán</t>
        </is>
      </c>
    </row>
    <row r="285" ht="15.75" customHeight="1" s="56">
      <c r="A285" s="37" t="inlineStr">
        <is>
          <t>BK-HS-0282</t>
        </is>
      </c>
      <c r="B285" s="27" t="n">
        <v>45967</v>
      </c>
      <c r="C285" s="37" t="inlineStr">
        <is>
          <t>Phòng Đo đạc</t>
        </is>
      </c>
      <c r="D285" s="37" t="inlineStr">
        <is>
          <t>Cắm mốc</t>
        </is>
      </c>
      <c r="E285" s="37" t="inlineStr">
        <is>
          <t>Nguyễn Thị Vinh</t>
        </is>
      </c>
      <c r="F285" s="37" t="inlineStr">
        <is>
          <t>Công Ty</t>
        </is>
      </c>
      <c r="G285" s="37" t="inlineStr">
        <is>
          <t>0978846040</t>
        </is>
      </c>
      <c r="H285" s="37" t="inlineStr">
        <is>
          <t>Long Phước</t>
        </is>
      </c>
      <c r="I285" s="37" t="inlineStr">
        <is>
          <t>Tạ Khắc Tập</t>
        </is>
      </c>
      <c r="J285" s="37" t="inlineStr">
        <is>
          <t>Võ Tứ Hợp</t>
        </is>
      </c>
      <c r="K285" s="37" t="n"/>
      <c r="L285" s="37" t="inlineStr">
        <is>
          <t>Hoàn thành</t>
        </is>
      </c>
      <c r="M285" s="27" t="n">
        <v>45970</v>
      </c>
      <c r="N285" s="28">
        <f>IF(M285="","",M285-TODAY())</f>
        <v/>
      </c>
      <c r="O285" s="37">
        <f>IF(A285="","",IF(L285="Hoàn thành","XONG",IF(L285="Đã hủy","HỦY",IF(N285&lt;0,"QUÁ HẠN",IF(N285&lt;=THIET_LAP!$B$7,"SẮP HẠN","TRONG HẠN")))))</f>
        <v/>
      </c>
      <c r="P285" s="37" t="inlineStr">
        <is>
          <t>355-1/BK-2025</t>
        </is>
      </c>
      <c r="Q285" s="29" t="n"/>
      <c r="R285" s="37" t="n"/>
      <c r="S285" s="37" t="inlineStr">
        <is>
          <t>Tiến độ: Hoàn thành | Ngày bắt đầu: 2025-11-06 00:00:00 | Ngày nộp: 2025-11-06 00:00:00 | Ngày HT: 2025-11-06 00:00:00 | Lần nộp: 1.0 | Chi kỹ thuật: Đã thanh toán | Số cọc: 4.0 | Loại cọc: Trụ xi măng</t>
        </is>
      </c>
    </row>
    <row r="286" ht="15.75" customHeight="1" s="56">
      <c r="A286" s="37" t="inlineStr">
        <is>
          <t>BK-HS-0283</t>
        </is>
      </c>
      <c r="B286" s="27" t="n">
        <v>45967</v>
      </c>
      <c r="C286" s="37" t="inlineStr">
        <is>
          <t>Phòng Đo đạc</t>
        </is>
      </c>
      <c r="D286" s="37" t="inlineStr">
        <is>
          <t>Hoàn công</t>
        </is>
      </c>
      <c r="E286" s="37" t="inlineStr">
        <is>
          <t>Phạm Gia Minh</t>
        </is>
      </c>
      <c r="F286" s="37" t="inlineStr">
        <is>
          <t>Anh Long PCT</t>
        </is>
      </c>
      <c r="G286" s="37" t="n"/>
      <c r="H286" s="37" t="inlineStr">
        <is>
          <t>Hiệp Bình</t>
        </is>
      </c>
      <c r="I286" s="37" t="inlineStr">
        <is>
          <t>Nguyễn Minh Thông</t>
        </is>
      </c>
      <c r="J286" s="37" t="inlineStr">
        <is>
          <t>Võ Tứ Hợp</t>
        </is>
      </c>
      <c r="K286" s="37" t="n"/>
      <c r="L286" s="37" t="inlineStr">
        <is>
          <t>Nộp thành công - Chờ kết quả</t>
        </is>
      </c>
      <c r="M286" s="27" t="n">
        <v>45970</v>
      </c>
      <c r="N286" s="28">
        <f>IF(M286="","",M286-TODAY())</f>
        <v/>
      </c>
      <c r="O286" s="37">
        <f>IF(A286="","",IF(L286="Hoàn thành","XONG",IF(L286="Đã hủy","HỦY",IF(N286&lt;0,"QUÁ HẠN",IF(N286&lt;=THIET_LAP!$B$7,"SẮP HẠN","TRONG HẠN")))))</f>
        <v/>
      </c>
      <c r="P286" s="37" t="inlineStr">
        <is>
          <t>564/BK-2025</t>
        </is>
      </c>
      <c r="Q286" s="29" t="n"/>
      <c r="R286" s="37" t="n"/>
      <c r="S286" s="37" t="inlineStr">
        <is>
          <t>Tiến độ: Đã nộp | Ngày bắt đầu: 2025-11-06 00:00:00 | Ngày nộp: 2025-11-07 00:00:00 | Lần nộp: 2.0 | Chi kỹ thuật: Đã thanh toán</t>
        </is>
      </c>
    </row>
    <row r="287" ht="15.75" customHeight="1" s="56">
      <c r="A287" s="37" t="inlineStr">
        <is>
          <t>BK-HS-0284</t>
        </is>
      </c>
      <c r="B287" s="27" t="n">
        <v>45967</v>
      </c>
      <c r="C287" s="37" t="inlineStr">
        <is>
          <t>Phòng Đo đạc</t>
        </is>
      </c>
      <c r="D287" s="37" t="inlineStr">
        <is>
          <t>Cắm mốc</t>
        </is>
      </c>
      <c r="E287" s="37" t="inlineStr">
        <is>
          <t>Trương Yến Chi</t>
        </is>
      </c>
      <c r="F287" s="37" t="inlineStr">
        <is>
          <t>Công Ty</t>
        </is>
      </c>
      <c r="G287" s="37" t="inlineStr">
        <is>
          <t>0916336605</t>
        </is>
      </c>
      <c r="H287" s="37" t="inlineStr">
        <is>
          <t>Long Trường</t>
        </is>
      </c>
      <c r="I287" s="37" t="inlineStr">
        <is>
          <t>Nguyễn Minh Thông</t>
        </is>
      </c>
      <c r="J287" s="37" t="inlineStr">
        <is>
          <t>Võ Tứ Hợp</t>
        </is>
      </c>
      <c r="K287" s="37" t="n"/>
      <c r="L287" s="37" t="inlineStr">
        <is>
          <t>Hoàn thành</t>
        </is>
      </c>
      <c r="M287" s="27" t="n">
        <v>45970</v>
      </c>
      <c r="N287" s="28">
        <f>IF(M287="","",M287-TODAY())</f>
        <v/>
      </c>
      <c r="O287" s="37">
        <f>IF(A287="","",IF(L287="Hoàn thành","XONG",IF(L287="Đã hủy","HỦY",IF(N287&lt;0,"QUÁ HẠN",IF(N287&lt;=THIET_LAP!$B$7,"SẮP HẠN","TRONG HẠN")))))</f>
        <v/>
      </c>
      <c r="P287" s="37" t="inlineStr">
        <is>
          <t>558-1/BK-2025</t>
        </is>
      </c>
      <c r="Q287" s="29" t="n"/>
      <c r="R287" s="37" t="n"/>
      <c r="S287" s="37" t="inlineStr">
        <is>
          <t>Tiến độ: Hoàn thành | Ngày bắt đầu: 2025-11-06 00:00:00 | Ngày nộp: 2025-11-05 00:00:00 | Ngày HT: 2025-11-05 00:00:00 | Lần nộp: 2.0 | Chi kỹ thuật: Đã thanh toán | Số cọc: 4.0 | Loại cọc: Trụ xi măng</t>
        </is>
      </c>
    </row>
    <row r="288" ht="15.75" customHeight="1" s="56">
      <c r="A288" s="37" t="inlineStr">
        <is>
          <t>BK-HS-0285</t>
        </is>
      </c>
      <c r="B288" s="27" t="n">
        <v>45967</v>
      </c>
      <c r="C288" s="37" t="inlineStr">
        <is>
          <t>Phòng Đo đạc</t>
        </is>
      </c>
      <c r="D288" s="37" t="inlineStr">
        <is>
          <t>Tách Thửa</t>
        </is>
      </c>
      <c r="E288" s="37" t="inlineStr">
        <is>
          <t>Đặng Minh Hoà</t>
        </is>
      </c>
      <c r="F288" s="37" t="inlineStr">
        <is>
          <t>Chinh Đen</t>
        </is>
      </c>
      <c r="G288" s="37" t="n"/>
      <c r="H288" s="37" t="inlineStr">
        <is>
          <t>Linh Xuân</t>
        </is>
      </c>
      <c r="I288" s="37" t="inlineStr">
        <is>
          <t>Tạ Khắc Tập</t>
        </is>
      </c>
      <c r="J288" s="37" t="inlineStr">
        <is>
          <t>Không cần</t>
        </is>
      </c>
      <c r="K288" s="37" t="n"/>
      <c r="L288" s="37" t="inlineStr">
        <is>
          <t>Hoàn thành</t>
        </is>
      </c>
      <c r="M288" s="27" t="n">
        <v>45970</v>
      </c>
      <c r="N288" s="28">
        <f>IF(M288="","",M288-TODAY())</f>
        <v/>
      </c>
      <c r="O288" s="37">
        <f>IF(A288="","",IF(L288="Hoàn thành","XONG",IF(L288="Đã hủy","HỦY",IF(N288&lt;0,"QUÁ HẠN",IF(N288&lt;=THIET_LAP!$B$7,"SẮP HẠN","TRONG HẠN")))))</f>
        <v/>
      </c>
      <c r="P288" s="37" t="inlineStr">
        <is>
          <t>563-2/BK-2025</t>
        </is>
      </c>
      <c r="Q288" s="29" t="n"/>
      <c r="R288" s="37" t="n"/>
      <c r="S288" s="37" t="inlineStr">
        <is>
          <t>Tiến độ: Hoàn thành | Ngày bắt đầu: 2025-11-06 00:00:00 | Ngày nộp: 2026-01-21 00:00:00 | Ngày HT: 2026-01-21 00:00:00 | Lần nộp: 4.0 | Chi kỹ thuật: Đã thanh toán</t>
        </is>
      </c>
    </row>
    <row r="289" ht="15.75" customHeight="1" s="56">
      <c r="A289" s="37" t="inlineStr">
        <is>
          <t>BK-HS-0286</t>
        </is>
      </c>
      <c r="B289" s="27" t="n">
        <v>45967</v>
      </c>
      <c r="C289" s="37" t="inlineStr">
        <is>
          <t>Phòng Đo đạc</t>
        </is>
      </c>
      <c r="D289" s="37" t="inlineStr">
        <is>
          <t>Tách Thửa</t>
        </is>
      </c>
      <c r="E289" s="37" t="inlineStr">
        <is>
          <t>Đặng Minh Hoà</t>
        </is>
      </c>
      <c r="F289" s="37" t="inlineStr">
        <is>
          <t>Chinh Đen</t>
        </is>
      </c>
      <c r="G289" s="37" t="n"/>
      <c r="H289" s="37" t="inlineStr">
        <is>
          <t>Linh Xuân</t>
        </is>
      </c>
      <c r="I289" s="37" t="inlineStr">
        <is>
          <t>Tạ Khắc Tập</t>
        </is>
      </c>
      <c r="J289" s="37" t="inlineStr">
        <is>
          <t>Võ Tứ Hợp</t>
        </is>
      </c>
      <c r="K289" s="37" t="n"/>
      <c r="L289" s="37" t="inlineStr">
        <is>
          <t>Hoàn thành</t>
        </is>
      </c>
      <c r="M289" s="27" t="n">
        <v>45970</v>
      </c>
      <c r="N289" s="28">
        <f>IF(M289="","",M289-TODAY())</f>
        <v/>
      </c>
      <c r="O289" s="37">
        <f>IF(A289="","",IF(L289="Hoàn thành","XONG",IF(L289="Đã hủy","HỦY",IF(N289&lt;0,"QUÁ HẠN",IF(N289&lt;=THIET_LAP!$B$7,"SẮP HẠN","TRONG HẠN")))))</f>
        <v/>
      </c>
      <c r="P289" s="37" t="inlineStr">
        <is>
          <t>563-1/BK-2025</t>
        </is>
      </c>
      <c r="Q289" s="29" t="n"/>
      <c r="R289" s="37" t="n"/>
      <c r="S289" s="37" t="inlineStr">
        <is>
          <t>Tiến độ: Hoàn thành | Ngày bắt đầu: 2025-11-06 00:00:00 | Ngày nộp: 2026-01-21 00:00:00 | Ngày HT: 2026-01-21 00:00:00 | Lần nộp: 1.0 | Chi kỹ thuật: Đã thanh toán</t>
        </is>
      </c>
    </row>
    <row r="290" ht="15.75" customHeight="1" s="56">
      <c r="A290" s="37" t="inlineStr">
        <is>
          <t>BK-HS-0287</t>
        </is>
      </c>
      <c r="B290" s="27" t="n">
        <v>45967</v>
      </c>
      <c r="C290" s="37" t="inlineStr">
        <is>
          <t>Phòng Đo đạc</t>
        </is>
      </c>
      <c r="D290" s="37" t="inlineStr">
        <is>
          <t>Xác định diện tích</t>
        </is>
      </c>
      <c r="E290" s="37" t="inlineStr">
        <is>
          <t>Lê Thị Nguyệt</t>
        </is>
      </c>
      <c r="F290" s="37" t="inlineStr">
        <is>
          <t>Công Ty</t>
        </is>
      </c>
      <c r="G290" s="37" t="inlineStr">
        <is>
          <t>0901851787</t>
        </is>
      </c>
      <c r="H290" s="37" t="inlineStr">
        <is>
          <t>Ngoài Thủ Đức</t>
        </is>
      </c>
      <c r="I290" s="37" t="inlineStr">
        <is>
          <t>Tạ Khắc Tập</t>
        </is>
      </c>
      <c r="J290" s="37" t="inlineStr">
        <is>
          <t>Trương Tấn Quốc</t>
        </is>
      </c>
      <c r="K290" s="37" t="inlineStr">
        <is>
          <t>Cao</t>
        </is>
      </c>
      <c r="L290" s="37" t="inlineStr">
        <is>
          <t>Hoàn thành</t>
        </is>
      </c>
      <c r="M290" s="27" t="n">
        <v>45968</v>
      </c>
      <c r="N290" s="28">
        <f>IF(M290="","",M290-TODAY())</f>
        <v/>
      </c>
      <c r="O290" s="37">
        <f>IF(A290="","",IF(L290="Hoàn thành","XONG",IF(L290="Đã hủy","HỦY",IF(N290&lt;0,"QUÁ HẠN",IF(N290&lt;=THIET_LAP!$B$7,"SẮP HẠN","TRONG HẠN")))))</f>
        <v/>
      </c>
      <c r="P290" s="37" t="inlineStr">
        <is>
          <t>562/BK-2025</t>
        </is>
      </c>
      <c r="Q290" s="29" t="n"/>
      <c r="R290" s="37" t="n"/>
      <c r="S290" s="37" t="inlineStr">
        <is>
          <t>Tiến độ: Hoàn thành | Ngày bắt đầu: 2025-11-06 00:00:00 | Ngày nộp: 2025-11-07 00:00:00 | Ngày HT: 2025-11-07 00:00:00 | Lần nộp: 1.0 | Chi kỹ thuật: Đã thanh toán | Ghi chú: Quận Tân Phú - Hồ sơ xa</t>
        </is>
      </c>
    </row>
    <row r="291" ht="15.75" customHeight="1" s="56">
      <c r="A291" s="37" t="inlineStr">
        <is>
          <t>BK-HS-0288</t>
        </is>
      </c>
      <c r="B291" s="27" t="n">
        <v>45964</v>
      </c>
      <c r="C291" s="37" t="inlineStr">
        <is>
          <t>Phòng Đo đạc</t>
        </is>
      </c>
      <c r="D291" s="37" t="inlineStr">
        <is>
          <t>Cắm mốc</t>
        </is>
      </c>
      <c r="E291" s="37" t="inlineStr">
        <is>
          <t>Dragon</t>
        </is>
      </c>
      <c r="F291" s="37" t="inlineStr">
        <is>
          <t>Công Ty</t>
        </is>
      </c>
      <c r="G291" s="37" t="inlineStr">
        <is>
          <t>0934111180</t>
        </is>
      </c>
      <c r="H291" s="37" t="inlineStr">
        <is>
          <t>Ngoài Thủ Đức</t>
        </is>
      </c>
      <c r="I291" s="37" t="inlineStr">
        <is>
          <t>Lê Văn Dựng</t>
        </is>
      </c>
      <c r="J291" s="37" t="inlineStr">
        <is>
          <t>Võ Tứ Hợp</t>
        </is>
      </c>
      <c r="K291" s="37" t="n"/>
      <c r="L291" s="37" t="inlineStr">
        <is>
          <t>Hoàn thành</t>
        </is>
      </c>
      <c r="M291" s="27" t="n">
        <v>45967</v>
      </c>
      <c r="N291" s="28">
        <f>IF(M291="","",M291-TODAY())</f>
        <v/>
      </c>
      <c r="O291" s="37">
        <f>IF(A291="","",IF(L291="Hoàn thành","XONG",IF(L291="Đã hủy","HỦY",IF(N291&lt;0,"QUÁ HẠN",IF(N291&lt;=THIET_LAP!$B$7,"SẮP HẠN","TRONG HẠN")))))</f>
        <v/>
      </c>
      <c r="P291" s="37" t="inlineStr">
        <is>
          <t>561/BK-2025</t>
        </is>
      </c>
      <c r="Q291" s="29" t="n"/>
      <c r="R291" s="37" t="n"/>
      <c r="S291" s="37" t="inlineStr">
        <is>
          <t>Tiến độ: Hoàn thành | Ngày bắt đầu: 2025-11-03 00:00:00 | Ngày nộp: 2025-11-04 00:00:00 | Ngày HT: 2025-11-04 00:00:00 | Lần nộp: 1.0 | Chi kỹ thuật: Đã thanh toán | Số cọc: 6.0 | Loại cọc: Trụ xi măng | Ghi chú: Địa chỉ: Quận Q7</t>
        </is>
      </c>
    </row>
    <row r="292" ht="15.75" customHeight="1" s="56">
      <c r="A292" s="37" t="inlineStr">
        <is>
          <t>BK-HS-0289</t>
        </is>
      </c>
      <c r="B292" s="27" t="n">
        <v>45964</v>
      </c>
      <c r="C292" s="37" t="inlineStr">
        <is>
          <t>Phòng Đo đạc</t>
        </is>
      </c>
      <c r="D292" s="37" t="inlineStr">
        <is>
          <t>Xác định diện tích</t>
        </is>
      </c>
      <c r="E292" s="37" t="inlineStr">
        <is>
          <t>Lương Chí Thìn</t>
        </is>
      </c>
      <c r="F292" s="37" t="inlineStr">
        <is>
          <t>Công Ty</t>
        </is>
      </c>
      <c r="G292" s="37" t="n"/>
      <c r="H292" s="37" t="inlineStr">
        <is>
          <t>Hiệp Bình</t>
        </is>
      </c>
      <c r="I292" s="37" t="inlineStr">
        <is>
          <t>Nguyễn Minh Thông</t>
        </is>
      </c>
      <c r="J292" s="37" t="inlineStr">
        <is>
          <t>Không cần</t>
        </is>
      </c>
      <c r="K292" s="37" t="n"/>
      <c r="L292" s="37" t="inlineStr">
        <is>
          <t>Hoàn thành</t>
        </is>
      </c>
      <c r="M292" s="27" t="n">
        <v>45967</v>
      </c>
      <c r="N292" s="28">
        <f>IF(M292="","",M292-TODAY())</f>
        <v/>
      </c>
      <c r="O292" s="37">
        <f>IF(A292="","",IF(L292="Hoàn thành","XONG",IF(L292="Đã hủy","HỦY",IF(N292&lt;0,"QUÁ HẠN",IF(N292&lt;=THIET_LAP!$B$7,"SẮP HẠN","TRONG HẠN")))))</f>
        <v/>
      </c>
      <c r="P292" s="37" t="inlineStr">
        <is>
          <t>560/BK-2025</t>
        </is>
      </c>
      <c r="Q292" s="29" t="n"/>
      <c r="R292" s="37" t="n"/>
      <c r="S292" s="37" t="inlineStr">
        <is>
          <t>Tiến độ: Hoàn thành | Ngày bắt đầu: 2025-11-03 00:00:00 | Ngày nộp: 2026-01-16 00:00:00 | Ngày HT: 2026-01-16 00:00:00 | Lần nộp: 1.0 | Chi kỹ thuật: Đã thanh toán</t>
        </is>
      </c>
    </row>
    <row r="293" ht="15.75" customHeight="1" s="56">
      <c r="A293" s="37" t="inlineStr">
        <is>
          <t>BK-HS-0290</t>
        </is>
      </c>
      <c r="B293" s="27" t="n">
        <v>45964</v>
      </c>
      <c r="C293" s="37" t="inlineStr">
        <is>
          <t>Phòng Đo đạc</t>
        </is>
      </c>
      <c r="D293" s="37" t="inlineStr">
        <is>
          <t>Điều chỉnh bản vẽ</t>
        </is>
      </c>
      <c r="E293" s="37" t="inlineStr">
        <is>
          <t>Hà Đăng Hiền</t>
        </is>
      </c>
      <c r="F293" s="37" t="inlineStr">
        <is>
          <t>Công Ty</t>
        </is>
      </c>
      <c r="G293" s="37" t="n"/>
      <c r="H293" s="37" t="inlineStr">
        <is>
          <t>Hiệp Bình</t>
        </is>
      </c>
      <c r="I293" s="37" t="inlineStr">
        <is>
          <t>Tạ Khắc Tập</t>
        </is>
      </c>
      <c r="J293" s="37" t="inlineStr">
        <is>
          <t>Không cần</t>
        </is>
      </c>
      <c r="K293" s="37" t="n"/>
      <c r="L293" s="37" t="inlineStr">
        <is>
          <t>Hoàn thành</t>
        </is>
      </c>
      <c r="M293" s="27" t="n">
        <v>45967</v>
      </c>
      <c r="N293" s="28">
        <f>IF(M293="","",M293-TODAY())</f>
        <v/>
      </c>
      <c r="O293" s="37">
        <f>IF(A293="","",IF(L293="Hoàn thành","XONG",IF(L293="Đã hủy","HỦY",IF(N293&lt;0,"QUÁ HẠN",IF(N293&lt;=THIET_LAP!$B$7,"SẮP HẠN","TRONG HẠN")))))</f>
        <v/>
      </c>
      <c r="P293" s="37" t="inlineStr">
        <is>
          <t>559/BK-2025</t>
        </is>
      </c>
      <c r="Q293" s="29" t="n"/>
      <c r="R293" s="37" t="n"/>
      <c r="S293" s="37" t="inlineStr">
        <is>
          <t>Tiến độ: Hoàn thành | Ngày bắt đầu: 2025-11-03 00:00:00 | Ngày nộp: 2025-11-04 00:00:00 | Ngày HT: 2025-11-04 00:00:00 | Lần nộp: 1.0 | Chi kỹ thuật: Đã thanh toán</t>
        </is>
      </c>
    </row>
    <row r="294" ht="15.75" customHeight="1" s="56">
      <c r="A294" s="37" t="inlineStr">
        <is>
          <t>BK-HS-0291</t>
        </is>
      </c>
      <c r="B294" s="27" t="n">
        <v>45964</v>
      </c>
      <c r="C294" s="37" t="inlineStr">
        <is>
          <t>Phòng Đo đạc</t>
        </is>
      </c>
      <c r="D294" s="37" t="inlineStr">
        <is>
          <t>Cấp đổi</t>
        </is>
      </c>
      <c r="E294" s="37" t="inlineStr">
        <is>
          <t>Trương Yến Chi</t>
        </is>
      </c>
      <c r="F294" s="37" t="inlineStr">
        <is>
          <t>Công Ty</t>
        </is>
      </c>
      <c r="G294" s="37" t="inlineStr">
        <is>
          <t>0916336605</t>
        </is>
      </c>
      <c r="H294" s="37" t="inlineStr">
        <is>
          <t>Long Trường</t>
        </is>
      </c>
      <c r="I294" s="37" t="inlineStr">
        <is>
          <t>Nguyễn Minh Thông</t>
        </is>
      </c>
      <c r="J294" s="37" t="inlineStr">
        <is>
          <t>Võ Tứ Hợp</t>
        </is>
      </c>
      <c r="K294" s="37" t="n"/>
      <c r="L294" s="37" t="inlineStr">
        <is>
          <t>Hoàn thành</t>
        </is>
      </c>
      <c r="M294" s="27" t="n">
        <v>45967</v>
      </c>
      <c r="N294" s="28">
        <f>IF(M294="","",M294-TODAY())</f>
        <v/>
      </c>
      <c r="O294" s="37">
        <f>IF(A294="","",IF(L294="Hoàn thành","XONG",IF(L294="Đã hủy","HỦY",IF(N294&lt;0,"QUÁ HẠN",IF(N294&lt;=THIET_LAP!$B$7,"SẮP HẠN","TRONG HẠN")))))</f>
        <v/>
      </c>
      <c r="P294" s="37" t="inlineStr">
        <is>
          <t>558/BK-2025</t>
        </is>
      </c>
      <c r="Q294" s="29" t="n"/>
      <c r="R294" s="37" t="n"/>
      <c r="S294" s="37" t="inlineStr">
        <is>
          <t>Tiến độ: Hoàn thành | Ngày bắt đầu: 2025-11-03 00:00:00 | Ngày nộp: 2025-12-23 00:00:00 | Ngày HT: 2025-12-23 00:00:00 | Lần nộp: 2.0 | Chi kỹ thuật: Đã thanh toán</t>
        </is>
      </c>
    </row>
    <row r="295" ht="15.75" customHeight="1" s="56">
      <c r="A295" s="37" t="inlineStr">
        <is>
          <t>BK-HS-0292</t>
        </is>
      </c>
      <c r="B295" s="27" t="n">
        <v>45964</v>
      </c>
      <c r="C295" s="37" t="inlineStr">
        <is>
          <t>Phòng Đo đạc</t>
        </is>
      </c>
      <c r="D295" s="37" t="inlineStr">
        <is>
          <t>Cấp đổi</t>
        </is>
      </c>
      <c r="E295" s="37" t="inlineStr">
        <is>
          <t>Trần Thị San</t>
        </is>
      </c>
      <c r="F295" s="37" t="inlineStr">
        <is>
          <t>Cô Hoa</t>
        </is>
      </c>
      <c r="G295" s="37" t="n"/>
      <c r="H295" s="37" t="inlineStr">
        <is>
          <t>Tam Bình</t>
        </is>
      </c>
      <c r="I295" s="37" t="inlineStr">
        <is>
          <t>Tạ Khắc Tập</t>
        </is>
      </c>
      <c r="J295" s="37" t="inlineStr">
        <is>
          <t>Võ Tứ Hợp</t>
        </is>
      </c>
      <c r="K295" s="37" t="n"/>
      <c r="L295" s="37" t="inlineStr">
        <is>
          <t>Hoàn thành</t>
        </is>
      </c>
      <c r="M295" s="27" t="n">
        <v>45967</v>
      </c>
      <c r="N295" s="28">
        <f>IF(M295="","",M295-TODAY())</f>
        <v/>
      </c>
      <c r="O295" s="37">
        <f>IF(A295="","",IF(L295="Hoàn thành","XONG",IF(L295="Đã hủy","HỦY",IF(N295&lt;0,"QUÁ HẠN",IF(N295&lt;=THIET_LAP!$B$7,"SẮP HẠN","TRONG HẠN")))))</f>
        <v/>
      </c>
      <c r="P295" s="37" t="inlineStr">
        <is>
          <t>557/BK-2025</t>
        </is>
      </c>
      <c r="Q295" s="29" t="n"/>
      <c r="R295" s="37" t="n"/>
      <c r="S295" s="37" t="inlineStr">
        <is>
          <t>Tiến độ: Hoàn thành | Ngày bắt đầu: 2025-11-03 00:00:00 | Ngày nộp: 2025-11-27 00:00:00 | Ngày HT: 2025-11-27 00:00:00 | Lần nộp: 1.0 | Chi kỹ thuật: Đã thanh toán</t>
        </is>
      </c>
    </row>
    <row r="296" ht="15.75" customHeight="1" s="56">
      <c r="A296" s="37" t="inlineStr">
        <is>
          <t>BK-HS-0293</t>
        </is>
      </c>
      <c r="B296" s="27" t="n">
        <v>45961</v>
      </c>
      <c r="C296" s="37" t="inlineStr">
        <is>
          <t>Phòng Đo đạc</t>
        </is>
      </c>
      <c r="D296" s="37" t="inlineStr">
        <is>
          <t>Cắm mốc</t>
        </is>
      </c>
      <c r="E296" s="37" t="inlineStr">
        <is>
          <t>Nguyễn Văn Đạo</t>
        </is>
      </c>
      <c r="F296" s="37" t="inlineStr">
        <is>
          <t>Hoàng Quân</t>
        </is>
      </c>
      <c r="G296" s="37" t="n"/>
      <c r="H296" s="37" t="inlineStr">
        <is>
          <t>Long Phước</t>
        </is>
      </c>
      <c r="I296" s="37" t="inlineStr">
        <is>
          <t>Lê Văn Dựng</t>
        </is>
      </c>
      <c r="J296" s="37" t="inlineStr">
        <is>
          <t>Không cần</t>
        </is>
      </c>
      <c r="K296" s="37" t="inlineStr">
        <is>
          <t>Cao</t>
        </is>
      </c>
      <c r="L296" s="37" t="inlineStr">
        <is>
          <t>Hoàn thành</t>
        </is>
      </c>
      <c r="M296" s="27" t="n">
        <v>45962</v>
      </c>
      <c r="N296" s="28">
        <f>IF(M296="","",M296-TODAY())</f>
        <v/>
      </c>
      <c r="O296" s="37">
        <f>IF(A296="","",IF(L296="Hoàn thành","XONG",IF(L296="Đã hủy","HỦY",IF(N296&lt;0,"QUÁ HẠN",IF(N296&lt;=THIET_LAP!$B$7,"SẮP HẠN","TRONG HẠN")))))</f>
        <v/>
      </c>
      <c r="P296" s="37" t="inlineStr">
        <is>
          <t>553/BK-2025</t>
        </is>
      </c>
      <c r="Q296" s="29" t="n"/>
      <c r="R296" s="37" t="n"/>
      <c r="S296" s="37" t="inlineStr">
        <is>
          <t>Tiến độ: Hoàn thành | Ngày bắt đầu: 2025-10-31 00:00:00 | Ngày nộp: 2025-10-31 00:00:00 | Ngày HT: 2025-10-31 00:00:00 | Lần nộp: 1.0 | Chi kỹ thuật: Đã thanh toán | Số cọc: 12.0 | Loại cọc: Trụ xi măng</t>
        </is>
      </c>
    </row>
    <row r="297" ht="15.75" customHeight="1" s="56">
      <c r="A297" s="37" t="inlineStr">
        <is>
          <t>BK-HS-0294</t>
        </is>
      </c>
      <c r="B297" s="27" t="n">
        <v>45961</v>
      </c>
      <c r="C297" s="37" t="inlineStr">
        <is>
          <t>Phòng Đo đạc</t>
        </is>
      </c>
      <c r="D297" s="37" t="inlineStr">
        <is>
          <t>Hoàn công</t>
        </is>
      </c>
      <c r="E297" s="37" t="inlineStr">
        <is>
          <t>Phùng Như Hòa- Lương Thị Bộ</t>
        </is>
      </c>
      <c r="F297" s="37" t="inlineStr">
        <is>
          <t>Công Ty</t>
        </is>
      </c>
      <c r="G297" s="37" t="n">
        <v>353423471</v>
      </c>
      <c r="H297" s="37" t="inlineStr">
        <is>
          <t>Long Bình</t>
        </is>
      </c>
      <c r="I297" s="37" t="inlineStr">
        <is>
          <t>Tạ Khắc Tập</t>
        </is>
      </c>
      <c r="J297" s="37" t="inlineStr">
        <is>
          <t>Võ Tứ Hợp</t>
        </is>
      </c>
      <c r="K297" s="37" t="n"/>
      <c r="L297" s="37" t="inlineStr">
        <is>
          <t>Nộp thành công - Chờ kết quả</t>
        </is>
      </c>
      <c r="M297" s="27" t="n">
        <v>45964</v>
      </c>
      <c r="N297" s="28">
        <f>IF(M297="","",M297-TODAY())</f>
        <v/>
      </c>
      <c r="O297" s="37">
        <f>IF(A297="","",IF(L297="Hoàn thành","XONG",IF(L297="Đã hủy","HỦY",IF(N297&lt;0,"QUÁ HẠN",IF(N297&lt;=THIET_LAP!$B$7,"SẮP HẠN","TRONG HẠN")))))</f>
        <v/>
      </c>
      <c r="P297" s="37" t="inlineStr">
        <is>
          <t>552/BK-2025</t>
        </is>
      </c>
      <c r="Q297" s="29" t="n"/>
      <c r="R297" s="37" t="n"/>
      <c r="S297" s="37" t="inlineStr">
        <is>
          <t>Tiến độ: Đã nộp | Ngày bắt đầu: 2025-10-31 00:00:00 | Ngày nộp: 2026-01-07 00:00:00 | Lần nộp: 1.0 | Chi kỹ thuật: Đã thanh toán | Ghi chú: Anh Hảo bạn Anh Dựng</t>
        </is>
      </c>
    </row>
    <row r="298" ht="15.75" customHeight="1" s="56">
      <c r="A298" s="37" t="inlineStr">
        <is>
          <t>BK-HS-0295</t>
        </is>
      </c>
      <c r="B298" s="27" t="n">
        <v>45960</v>
      </c>
      <c r="C298" s="37" t="inlineStr">
        <is>
          <t>Phòng Đo đạc</t>
        </is>
      </c>
      <c r="D298" s="37" t="inlineStr">
        <is>
          <t>Cắm mốc</t>
        </is>
      </c>
      <c r="E298" s="37" t="inlineStr">
        <is>
          <t>Lưu Thành Công</t>
        </is>
      </c>
      <c r="F298" s="37" t="inlineStr">
        <is>
          <t>Công Ty</t>
        </is>
      </c>
      <c r="G298" s="37" t="inlineStr">
        <is>
          <t>0977099652</t>
        </is>
      </c>
      <c r="H298" s="37" t="inlineStr">
        <is>
          <t>Long Trường</t>
        </is>
      </c>
      <c r="I298" s="37" t="inlineStr">
        <is>
          <t>Nguyễn Minh Thông</t>
        </is>
      </c>
      <c r="J298" s="37" t="inlineStr">
        <is>
          <t>Võ Tứ Hợp</t>
        </is>
      </c>
      <c r="K298" s="37" t="n"/>
      <c r="L298" s="37" t="inlineStr">
        <is>
          <t>Hoàn thành</t>
        </is>
      </c>
      <c r="M298" s="27" t="n">
        <v>45963</v>
      </c>
      <c r="N298" s="28">
        <f>IF(M298="","",M298-TODAY())</f>
        <v/>
      </c>
      <c r="O298" s="37">
        <f>IF(A298="","",IF(L298="Hoàn thành","XONG",IF(L298="Đã hủy","HỦY",IF(N298&lt;0,"QUÁ HẠN",IF(N298&lt;=THIET_LAP!$B$7,"SẮP HẠN","TRONG HẠN")))))</f>
        <v/>
      </c>
      <c r="P298" s="37" t="inlineStr">
        <is>
          <t>551-1/BK-2025</t>
        </is>
      </c>
      <c r="Q298" s="29" t="n"/>
      <c r="R298" s="37" t="n"/>
      <c r="S298" s="37" t="inlineStr">
        <is>
          <t>Tiến độ: Hoàn thành | Ngày bắt đầu: 2025-10-30 00:00:00 | Ngày nộp: 2025-10-29 00:00:00 | Ngày HT: 2025-10-29 00:00:00 | Lần nộp: 2.0 | Chi kỹ thuật: Đã thanh toán | Số cọc: 4.0 | Loại cọc: Trụ xi măng | Ghi chú: Dịch vụ Anh Xây Công ty</t>
        </is>
      </c>
    </row>
    <row r="299" ht="15.75" customHeight="1" s="56">
      <c r="A299" s="37" t="inlineStr">
        <is>
          <t>BK-HS-0296</t>
        </is>
      </c>
      <c r="B299" s="27" t="n">
        <v>45960</v>
      </c>
      <c r="C299" s="37" t="inlineStr">
        <is>
          <t>Phòng Đo đạc</t>
        </is>
      </c>
      <c r="D299" s="37" t="inlineStr">
        <is>
          <t>Cấp đổi</t>
        </is>
      </c>
      <c r="E299" s="37" t="inlineStr">
        <is>
          <t>Lưu Thành Công</t>
        </is>
      </c>
      <c r="F299" s="37" t="inlineStr">
        <is>
          <t>Công Ty</t>
        </is>
      </c>
      <c r="G299" s="37" t="inlineStr">
        <is>
          <t>0977099652</t>
        </is>
      </c>
      <c r="H299" s="37" t="inlineStr">
        <is>
          <t>Long Trường</t>
        </is>
      </c>
      <c r="I299" s="37" t="inlineStr">
        <is>
          <t>Nguyễn Minh Thông</t>
        </is>
      </c>
      <c r="J299" s="37" t="inlineStr">
        <is>
          <t>Võ Tứ Hợp</t>
        </is>
      </c>
      <c r="K299" s="37" t="n"/>
      <c r="L299" s="37" t="inlineStr">
        <is>
          <t>Hoàn thành</t>
        </is>
      </c>
      <c r="M299" s="27" t="n">
        <v>45963</v>
      </c>
      <c r="N299" s="28">
        <f>IF(M299="","",M299-TODAY())</f>
        <v/>
      </c>
      <c r="O299" s="37">
        <f>IF(A299="","",IF(L299="Hoàn thành","XONG",IF(L299="Đã hủy","HỦY",IF(N299&lt;0,"QUÁ HẠN",IF(N299&lt;=THIET_LAP!$B$7,"SẮP HẠN","TRONG HẠN")))))</f>
        <v/>
      </c>
      <c r="P299" s="37" t="inlineStr">
        <is>
          <t>551/BK-2025</t>
        </is>
      </c>
      <c r="Q299" s="29" t="n"/>
      <c r="R299" s="37" t="n"/>
      <c r="S299" s="37" t="inlineStr">
        <is>
          <t>Tiến độ: Hoàn thành | Ngày bắt đầu: 2025-10-30 00:00:00 | Ngày nộp: 2025-11-10 00:00:00 | Ngày HT: 2025-11-10 00:00:00 | Lần nộp: 1.0 | Chi kỹ thuật: Đã thanh toán</t>
        </is>
      </c>
    </row>
    <row r="300" ht="15.75" customHeight="1" s="56">
      <c r="A300" s="37" t="inlineStr">
        <is>
          <t>BK-HS-0297</t>
        </is>
      </c>
      <c r="B300" s="27" t="n">
        <v>45960</v>
      </c>
      <c r="C300" s="37" t="inlineStr">
        <is>
          <t>Phòng Đo đạc</t>
        </is>
      </c>
      <c r="D300" s="37" t="inlineStr">
        <is>
          <t>Cắm mốc</t>
        </is>
      </c>
      <c r="E300" s="37" t="inlineStr">
        <is>
          <t>Nguyễn Minh Chữ</t>
        </is>
      </c>
      <c r="F300" s="37" t="inlineStr">
        <is>
          <t>Chú Loan DV</t>
        </is>
      </c>
      <c r="G300" s="37" t="n"/>
      <c r="H300" s="37" t="inlineStr">
        <is>
          <t>Hiệp Bình</t>
        </is>
      </c>
      <c r="I300" s="37" t="inlineStr">
        <is>
          <t>Nguyễn Minh Thông</t>
        </is>
      </c>
      <c r="J300" s="37" t="inlineStr">
        <is>
          <t>Võ Tứ Hợp</t>
        </is>
      </c>
      <c r="K300" s="37" t="n"/>
      <c r="L300" s="37" t="inlineStr">
        <is>
          <t>Hoàn thành</t>
        </is>
      </c>
      <c r="M300" s="27" t="n">
        <v>45963</v>
      </c>
      <c r="N300" s="28">
        <f>IF(M300="","",M300-TODAY())</f>
        <v/>
      </c>
      <c r="O300" s="37">
        <f>IF(A300="","",IF(L300="Hoàn thành","XONG",IF(L300="Đã hủy","HỦY",IF(N300&lt;0,"QUÁ HẠN",IF(N300&lt;=THIET_LAP!$B$7,"SẮP HẠN","TRONG HẠN")))))</f>
        <v/>
      </c>
      <c r="P300" s="37" t="inlineStr">
        <is>
          <t>550/BK-2025</t>
        </is>
      </c>
      <c r="Q300" s="29" t="n"/>
      <c r="R300" s="37" t="n"/>
      <c r="S300" s="37" t="inlineStr">
        <is>
          <t>Tiến độ: Hoàn thành | Ngày bắt đầu: 2025-10-30 00:00:00 | Ngày nộp: 2025-10-28 00:00:00 | Ngày HT: 2025-10-28 00:00:00 | Lần nộp: 1.0 | Chi kỹ thuật: Đã thanh toán | Số cọc: 4.0 | Loại cọc: Trụ xi măng</t>
        </is>
      </c>
    </row>
    <row r="301" ht="15.75" customHeight="1" s="56">
      <c r="A301" s="37" t="inlineStr">
        <is>
          <t>BK-HS-0298</t>
        </is>
      </c>
      <c r="B301" s="27" t="n">
        <v>45958</v>
      </c>
      <c r="C301" s="37" t="inlineStr">
        <is>
          <t>Phòng Đo đạc</t>
        </is>
      </c>
      <c r="D301" s="37" t="inlineStr">
        <is>
          <t>Cắm mốc</t>
        </is>
      </c>
      <c r="E301" s="37" t="inlineStr">
        <is>
          <t>Trần Phước Vân</t>
        </is>
      </c>
      <c r="F301" s="37" t="inlineStr">
        <is>
          <t>Tuấn Đen</t>
        </is>
      </c>
      <c r="G301" s="37" t="n"/>
      <c r="H301" s="37" t="inlineStr">
        <is>
          <t>Cát Lái</t>
        </is>
      </c>
      <c r="I301" s="37" t="inlineStr">
        <is>
          <t>Tạ Khắc Tập</t>
        </is>
      </c>
      <c r="J301" s="37" t="inlineStr">
        <is>
          <t>Võ Tứ Hợp</t>
        </is>
      </c>
      <c r="K301" s="37" t="n"/>
      <c r="L301" s="37" t="inlineStr">
        <is>
          <t>Hoàn thành</t>
        </is>
      </c>
      <c r="M301" s="27" t="n">
        <v>45961</v>
      </c>
      <c r="N301" s="28">
        <f>IF(M301="","",M301-TODAY())</f>
        <v/>
      </c>
      <c r="O301" s="37">
        <f>IF(A301="","",IF(L301="Hoàn thành","XONG",IF(L301="Đã hủy","HỦY",IF(N301&lt;0,"QUÁ HẠN",IF(N301&lt;=THIET_LAP!$B$7,"SẮP HẠN","TRONG HẠN")))))</f>
        <v/>
      </c>
      <c r="P301" s="37" t="inlineStr">
        <is>
          <t>384-1/BK-2025</t>
        </is>
      </c>
      <c r="Q301" s="29" t="n"/>
      <c r="R301" s="37" t="n"/>
      <c r="S301" s="37" t="inlineStr">
        <is>
          <t>Tiến độ: Hoàn thành | Ngày bắt đầu: 2025-10-28 00:00:00 | Ngày nộp: 2025-10-28 00:00:00 | Ngày HT: 2025-10-28 00:00:00 | Lần nộp: 1.0 | Chi kỹ thuật: Đã thanh toán | Số cọc: 8.0 | Loại cọc: Trụ xi măng | Ghi chú: (cắm 3 lô shđ 384, 385, 386)</t>
        </is>
      </c>
    </row>
    <row r="302" ht="15.75" customHeight="1" s="56">
      <c r="A302" s="37" t="inlineStr">
        <is>
          <t>BK-HS-0299</t>
        </is>
      </c>
      <c r="B302" s="27" t="n">
        <v>45957</v>
      </c>
      <c r="C302" s="37" t="inlineStr">
        <is>
          <t>Phòng Đo đạc</t>
        </is>
      </c>
      <c r="D302" s="37" t="inlineStr">
        <is>
          <t>Xác định diện tích</t>
        </is>
      </c>
      <c r="E302" s="37" t="inlineStr">
        <is>
          <t>Phạm Thị Phương</t>
        </is>
      </c>
      <c r="F302" s="37" t="inlineStr">
        <is>
          <t>Nguyễn Khoa DV</t>
        </is>
      </c>
      <c r="G302" s="37" t="n"/>
      <c r="H302" s="37" t="inlineStr">
        <is>
          <t>Long Trường</t>
        </is>
      </c>
      <c r="I302" s="37" t="inlineStr">
        <is>
          <t>Tạ Khắc Tập</t>
        </is>
      </c>
      <c r="J302" s="37" t="inlineStr">
        <is>
          <t>Võ Tứ Hợp</t>
        </is>
      </c>
      <c r="K302" s="37" t="n"/>
      <c r="L302" s="37" t="inlineStr">
        <is>
          <t>Hoàn thành</t>
        </is>
      </c>
      <c r="M302" s="27" t="n">
        <v>45960</v>
      </c>
      <c r="N302" s="28">
        <f>IF(M302="","",M302-TODAY())</f>
        <v/>
      </c>
      <c r="O302" s="37">
        <f>IF(A302="","",IF(L302="Hoàn thành","XONG",IF(L302="Đã hủy","HỦY",IF(N302&lt;0,"QUÁ HẠN",IF(N302&lt;=THIET_LAP!$B$7,"SẮP HẠN","TRONG HẠN")))))</f>
        <v/>
      </c>
      <c r="P302" s="37" t="inlineStr">
        <is>
          <t>540-2/BK-2025</t>
        </is>
      </c>
      <c r="Q302" s="29" t="n"/>
      <c r="R302" s="37" t="n"/>
      <c r="S302" s="37" t="inlineStr">
        <is>
          <t>Tiến độ: Hoàn thành | Ngày bắt đầu: 2025-10-27 00:00:00 | Ngày nộp: 2025-10-27 00:00:00 | Ngày HT: 2025-10-27 00:00:00 | Lần nộp: 8.0 | Chi kỹ thuật: Đã thanh toán | Ghi chú: Phát cỏ</t>
        </is>
      </c>
    </row>
    <row r="303" ht="15.75" customHeight="1" s="56">
      <c r="A303" s="37" t="inlineStr">
        <is>
          <t>BK-HS-0300</t>
        </is>
      </c>
      <c r="B303" s="27" t="n">
        <v>45957</v>
      </c>
      <c r="C303" s="37" t="inlineStr">
        <is>
          <t>Phòng Đo đạc</t>
        </is>
      </c>
      <c r="D303" s="37" t="inlineStr">
        <is>
          <t>Cắm mốc</t>
        </is>
      </c>
      <c r="E303" s="37" t="inlineStr">
        <is>
          <t>Phạm Thị Phương</t>
        </is>
      </c>
      <c r="F303" s="37" t="inlineStr">
        <is>
          <t>Nguyễn Khoa DV</t>
        </is>
      </c>
      <c r="G303" s="37" t="n"/>
      <c r="H303" s="37" t="inlineStr">
        <is>
          <t>Long Trường</t>
        </is>
      </c>
      <c r="I303" s="37" t="inlineStr">
        <is>
          <t>Tạ Khắc Tập</t>
        </is>
      </c>
      <c r="J303" s="37" t="inlineStr">
        <is>
          <t>Võ Tứ Hợp</t>
        </is>
      </c>
      <c r="K303" s="37" t="n"/>
      <c r="L303" s="37" t="inlineStr">
        <is>
          <t>Hoàn thành</t>
        </is>
      </c>
      <c r="M303" s="27" t="n">
        <v>45960</v>
      </c>
      <c r="N303" s="28">
        <f>IF(M303="","",M303-TODAY())</f>
        <v/>
      </c>
      <c r="O303" s="37">
        <f>IF(A303="","",IF(L303="Hoàn thành","XONG",IF(L303="Đã hủy","HỦY",IF(N303&lt;0,"QUÁ HẠN",IF(N303&lt;=THIET_LAP!$B$7,"SẮP HẠN","TRONG HẠN")))))</f>
        <v/>
      </c>
      <c r="P303" s="37" t="inlineStr">
        <is>
          <t>540-1/BK-2025</t>
        </is>
      </c>
      <c r="Q303" s="29" t="n"/>
      <c r="R303" s="37" t="n"/>
      <c r="S303" s="37" t="inlineStr">
        <is>
          <t>Tiến độ: Hoàn thành | Ngày bắt đầu: 2025-10-27 00:00:00 | Ngày nộp: 2025-10-27 00:00:00 | Ngày HT: 2025-10-27 00:00:00 | Lần nộp: 8.0 | Chi kỹ thuật: Đã thanh toán | Số cọc: 3.0 | Loại cọc: Trụ xi măng</t>
        </is>
      </c>
    </row>
    <row r="304" ht="15.75" customHeight="1" s="56">
      <c r="A304" s="37" t="inlineStr">
        <is>
          <t>BK-HS-0301</t>
        </is>
      </c>
      <c r="B304" s="27" t="n">
        <v>45957</v>
      </c>
      <c r="C304" s="37" t="inlineStr">
        <is>
          <t>Phòng Đo đạc</t>
        </is>
      </c>
      <c r="D304" s="37" t="inlineStr">
        <is>
          <t>Hoàn công</t>
        </is>
      </c>
      <c r="E304" s="37" t="inlineStr">
        <is>
          <t>Lý Thị Mỹ Phượng</t>
        </is>
      </c>
      <c r="F304" s="37" t="inlineStr">
        <is>
          <t>Tấn Hiếu DV</t>
        </is>
      </c>
      <c r="G304" s="37" t="n"/>
      <c r="H304" s="37" t="inlineStr">
        <is>
          <t>Linh Xuân</t>
        </is>
      </c>
      <c r="I304" s="37" t="inlineStr">
        <is>
          <t>Trương Tấn Quốc</t>
        </is>
      </c>
      <c r="J304" s="37" t="inlineStr">
        <is>
          <t>Võ Tứ Hợp</t>
        </is>
      </c>
      <c r="K304" s="37" t="n"/>
      <c r="L304" s="37" t="inlineStr">
        <is>
          <t>Hủy</t>
        </is>
      </c>
      <c r="M304" s="27" t="n">
        <v>45960</v>
      </c>
      <c r="N304" s="28">
        <f>IF(M304="","",M304-TODAY())</f>
        <v/>
      </c>
      <c r="O304" s="37">
        <f>IF(A304="","",IF(L304="Hoàn thành","XONG",IF(L304="Đã hủy","HỦY",IF(N304&lt;0,"QUÁ HẠN",IF(N304&lt;=THIET_LAP!$B$7,"SẮP HẠN","TRONG HẠN")))))</f>
        <v/>
      </c>
      <c r="P304" s="37" t="inlineStr">
        <is>
          <t>549/BK-2025</t>
        </is>
      </c>
      <c r="Q304" s="29" t="n"/>
      <c r="R304" s="37" t="n"/>
      <c r="S304" s="37" t="inlineStr">
        <is>
          <t>Tiến độ: ĐÃ HỦY | Ngày bắt đầu: 2025-10-27 00:00:00 | Ngày nộp: 2026-01-16 00:00:00 | Lần nộp: 1.0 | Chi kỹ thuật: Đã thanh toán | Ghi chú: nhà sai hiện trạng, đợi phương án | Giải trình: Sai hiện trạng</t>
        </is>
      </c>
    </row>
    <row r="305" ht="15.75" customHeight="1" s="56">
      <c r="A305" s="37" t="inlineStr">
        <is>
          <t>BK-HS-0302</t>
        </is>
      </c>
      <c r="B305" s="27" t="n">
        <v>45957</v>
      </c>
      <c r="C305" s="37" t="inlineStr">
        <is>
          <t>Phòng Đo đạc</t>
        </is>
      </c>
      <c r="D305" s="37" t="inlineStr">
        <is>
          <t>Cắm mốc</t>
        </is>
      </c>
      <c r="E305" s="37" t="inlineStr">
        <is>
          <t>Võ Văn Ninh</t>
        </is>
      </c>
      <c r="F305" s="37" t="inlineStr">
        <is>
          <t>Công Ty</t>
        </is>
      </c>
      <c r="G305" s="37" t="inlineStr">
        <is>
          <t>0389796570</t>
        </is>
      </c>
      <c r="H305" s="37" t="inlineStr">
        <is>
          <t>Long Trường</t>
        </is>
      </c>
      <c r="I305" s="37" t="inlineStr">
        <is>
          <t>Lê Văn Dựng</t>
        </is>
      </c>
      <c r="J305" s="37" t="inlineStr">
        <is>
          <t>Tạ Khắc Tập</t>
        </is>
      </c>
      <c r="K305" s="37" t="n"/>
      <c r="L305" s="37" t="inlineStr">
        <is>
          <t>Hoàn thành</t>
        </is>
      </c>
      <c r="M305" s="27" t="n">
        <v>45960</v>
      </c>
      <c r="N305" s="28">
        <f>IF(M305="","",M305-TODAY())</f>
        <v/>
      </c>
      <c r="O305" s="37">
        <f>IF(A305="","",IF(L305="Hoàn thành","XONG",IF(L305="Đã hủy","HỦY",IF(N305&lt;0,"QUÁ HẠN",IF(N305&lt;=THIET_LAP!$B$7,"SẮP HẠN","TRONG HẠN")))))</f>
        <v/>
      </c>
      <c r="P305" s="37" t="inlineStr">
        <is>
          <t>535-2/BK-2025</t>
        </is>
      </c>
      <c r="Q305" s="29" t="n"/>
      <c r="R305" s="37" t="n"/>
      <c r="S305" s="37" t="inlineStr">
        <is>
          <t>Tiến độ: Hoàn thành | Ngày bắt đầu: 2025-10-27 00:00:00 | Ngày nộp: 2025-10-27 00:00:00 | Ngày HT: 2025-10-27 00:00:00 | Lần nộp: 1.0 | Chi kỹ thuật: Đã thanh toán | Số cọc: 2.0 | Loại cọc: Trụ xi măng</t>
        </is>
      </c>
    </row>
    <row r="306" ht="15.75" customHeight="1" s="56">
      <c r="A306" s="37" t="inlineStr">
        <is>
          <t>BK-HS-0303</t>
        </is>
      </c>
      <c r="B306" s="27" t="n">
        <v>45957</v>
      </c>
      <c r="C306" s="37" t="inlineStr">
        <is>
          <t>Phòng Đo đạc</t>
        </is>
      </c>
      <c r="D306" s="37" t="inlineStr">
        <is>
          <t>Cắm mốc</t>
        </is>
      </c>
      <c r="E306" s="37" t="inlineStr">
        <is>
          <t>Ngô Thanh Quyền</t>
        </is>
      </c>
      <c r="F306" s="37" t="inlineStr">
        <is>
          <t>Nguyễn Hương DV</t>
        </is>
      </c>
      <c r="G306" s="37" t="n"/>
      <c r="H306" s="37" t="inlineStr">
        <is>
          <t>Long Phước</t>
        </is>
      </c>
      <c r="I306" s="37" t="inlineStr">
        <is>
          <t>Lê Văn Dựng</t>
        </is>
      </c>
      <c r="J306" s="37" t="inlineStr">
        <is>
          <t>Tạ Khắc Tập</t>
        </is>
      </c>
      <c r="K306" s="37" t="n"/>
      <c r="L306" s="37" t="inlineStr">
        <is>
          <t>Hoàn thành</t>
        </is>
      </c>
      <c r="M306" s="27" t="n">
        <v>45960</v>
      </c>
      <c r="N306" s="28">
        <f>IF(M306="","",M306-TODAY())</f>
        <v/>
      </c>
      <c r="O306" s="37">
        <f>IF(A306="","",IF(L306="Hoàn thành","XONG",IF(L306="Đã hủy","HỦY",IF(N306&lt;0,"QUÁ HẠN",IF(N306&lt;=THIET_LAP!$B$7,"SẮP HẠN","TRONG HẠN")))))</f>
        <v/>
      </c>
      <c r="P306" s="37" t="inlineStr">
        <is>
          <t>548-1/BK-2025</t>
        </is>
      </c>
      <c r="Q306" s="29" t="n"/>
      <c r="R306" s="37" t="n"/>
      <c r="S306" s="37" t="inlineStr">
        <is>
          <t>Tiến độ: Hoàn thành | Ngày bắt đầu: 2025-10-27 00:00:00 | Ngày nộp: 2025-10-27 00:00:00 | Ngày HT: 2025-10-27 00:00:00 | Lần nộp: 1.0 | Chi kỹ thuật: Đã thanh toán | Số cọc: 2.0 | Loại cọc: Trụ xi măng</t>
        </is>
      </c>
    </row>
    <row r="307" ht="15.75" customHeight="1" s="56">
      <c r="A307" s="37" t="inlineStr">
        <is>
          <t>BK-HS-0304</t>
        </is>
      </c>
      <c r="B307" s="27" t="n">
        <v>45955</v>
      </c>
      <c r="C307" s="37" t="inlineStr">
        <is>
          <t>Phòng Đo đạc</t>
        </is>
      </c>
      <c r="D307" s="37" t="inlineStr">
        <is>
          <t>Cấp đổi</t>
        </is>
      </c>
      <c r="E307" s="37" t="inlineStr">
        <is>
          <t>Ngô Thanh Quyền</t>
        </is>
      </c>
      <c r="F307" s="37" t="inlineStr">
        <is>
          <t>Nguyễn Hương DV</t>
        </is>
      </c>
      <c r="G307" s="37" t="n"/>
      <c r="H307" s="37" t="inlineStr">
        <is>
          <t>Long Phước</t>
        </is>
      </c>
      <c r="I307" s="37" t="inlineStr">
        <is>
          <t>Nguyễn Minh Thông</t>
        </is>
      </c>
      <c r="J307" s="37" t="inlineStr">
        <is>
          <t>Không cần</t>
        </is>
      </c>
      <c r="K307" s="37" t="n"/>
      <c r="L307" s="37" t="inlineStr">
        <is>
          <t>Hoàn thành</t>
        </is>
      </c>
      <c r="M307" s="27" t="n">
        <v>45958</v>
      </c>
      <c r="N307" s="28">
        <f>IF(M307="","",M307-TODAY())</f>
        <v/>
      </c>
      <c r="O307" s="37">
        <f>IF(A307="","",IF(L307="Hoàn thành","XONG",IF(L307="Đã hủy","HỦY",IF(N307&lt;0,"QUÁ HẠN",IF(N307&lt;=THIET_LAP!$B$7,"SẮP HẠN","TRONG HẠN")))))</f>
        <v/>
      </c>
      <c r="P307" s="37" t="inlineStr">
        <is>
          <t>548/BK-2025</t>
        </is>
      </c>
      <c r="Q307" s="29" t="n"/>
      <c r="R307" s="37" t="n"/>
      <c r="S307" s="37" t="inlineStr">
        <is>
          <t>Tiến độ: Hoàn thành | Ngày bắt đầu: 2025-10-25 00:00:00 | Ngày nộp: 2025-11-07 00:00:00 | Ngày HT: 2025-11-07 00:00:00 | Lần nộp: 1.0 | Chi kỹ thuật: Đã thanh toán | Ghi chú: Hồ sơ anh Dựng đo</t>
        </is>
      </c>
    </row>
    <row r="308" ht="15.75" customHeight="1" s="56">
      <c r="A308" s="37" t="inlineStr">
        <is>
          <t>BK-HS-0305</t>
        </is>
      </c>
      <c r="B308" s="27" t="n">
        <v>45954</v>
      </c>
      <c r="C308" s="37" t="inlineStr">
        <is>
          <t>Phòng Đo đạc</t>
        </is>
      </c>
      <c r="D308" s="37" t="inlineStr">
        <is>
          <t>Cắm mốc</t>
        </is>
      </c>
      <c r="E308" s="37" t="inlineStr">
        <is>
          <t>Trần Quang Vinh</t>
        </is>
      </c>
      <c r="F308" s="37" t="inlineStr">
        <is>
          <t>Hoàng Quân</t>
        </is>
      </c>
      <c r="G308" s="37" t="n"/>
      <c r="H308" s="37" t="inlineStr">
        <is>
          <t>Long Phước</t>
        </is>
      </c>
      <c r="I308" s="37" t="inlineStr">
        <is>
          <t>Lê Văn Dựng</t>
        </is>
      </c>
      <c r="J308" s="37" t="inlineStr">
        <is>
          <t>Không cần</t>
        </is>
      </c>
      <c r="K308" s="37" t="n"/>
      <c r="L308" s="37" t="inlineStr">
        <is>
          <t>Hoàn thành</t>
        </is>
      </c>
      <c r="M308" s="27" t="n">
        <v>45957</v>
      </c>
      <c r="N308" s="28">
        <f>IF(M308="","",M308-TODAY())</f>
        <v/>
      </c>
      <c r="O308" s="37">
        <f>IF(A308="","",IF(L308="Hoàn thành","XONG",IF(L308="Đã hủy","HỦY",IF(N308&lt;0,"QUÁ HẠN",IF(N308&lt;=THIET_LAP!$B$7,"SẮP HẠN","TRONG HẠN")))))</f>
        <v/>
      </c>
      <c r="P308" s="37" t="inlineStr">
        <is>
          <t>547/BK-2025</t>
        </is>
      </c>
      <c r="Q308" s="29" t="n"/>
      <c r="R308" s="37" t="n"/>
      <c r="S308" s="37" t="inlineStr">
        <is>
          <t>Tiến độ: Hoàn thành | Ngày bắt đầu: 2025-10-24 00:00:00 | Ngày nộp: 2025-10-25 00:00:00 | Ngày HT: 2025-10-25 00:00:00 | Lần nộp: 4.0 | Chi kỹ thuật: Đã thanh toán | Số cọc: 4.0 | Loại cọc: Trụ xi măng</t>
        </is>
      </c>
    </row>
    <row r="309" ht="15.75" customHeight="1" s="56">
      <c r="A309" s="37" t="inlineStr">
        <is>
          <t>BK-HS-0306</t>
        </is>
      </c>
      <c r="B309" s="27" t="n">
        <v>45954</v>
      </c>
      <c r="C309" s="37" t="inlineStr">
        <is>
          <t>Phòng Đo đạc</t>
        </is>
      </c>
      <c r="D309" s="37" t="inlineStr">
        <is>
          <t>Cắm mốc</t>
        </is>
      </c>
      <c r="E309" s="37" t="inlineStr">
        <is>
          <t>Trần Quang Vinh</t>
        </is>
      </c>
      <c r="F309" s="37" t="inlineStr">
        <is>
          <t>Hoàng Quân</t>
        </is>
      </c>
      <c r="G309" s="37" t="n"/>
      <c r="H309" s="37" t="inlineStr">
        <is>
          <t>Long Phước</t>
        </is>
      </c>
      <c r="I309" s="37" t="inlineStr">
        <is>
          <t>Lê Văn Dựng</t>
        </is>
      </c>
      <c r="J309" s="37" t="inlineStr">
        <is>
          <t>Không cần</t>
        </is>
      </c>
      <c r="K309" s="37" t="n"/>
      <c r="L309" s="37" t="inlineStr">
        <is>
          <t>Hoàn thành</t>
        </is>
      </c>
      <c r="M309" s="27" t="n">
        <v>45957</v>
      </c>
      <c r="N309" s="28">
        <f>IF(M309="","",M309-TODAY())</f>
        <v/>
      </c>
      <c r="O309" s="37">
        <f>IF(A309="","",IF(L309="Hoàn thành","XONG",IF(L309="Đã hủy","HỦY",IF(N309&lt;0,"QUÁ HẠN",IF(N309&lt;=THIET_LAP!$B$7,"SẮP HẠN","TRONG HẠN")))))</f>
        <v/>
      </c>
      <c r="P309" s="37" t="inlineStr">
        <is>
          <t>546/BK-2025</t>
        </is>
      </c>
      <c r="Q309" s="29" t="n"/>
      <c r="R309" s="37" t="n"/>
      <c r="S309" s="37" t="inlineStr">
        <is>
          <t>Tiến độ: Hoàn thành | Ngày bắt đầu: 2025-10-24 00:00:00 | Ngày nộp: 2025-10-25 00:00:00 | Ngày HT: 2025-10-25 00:00:00 | Lần nộp: 2.0 | Chi kỹ thuật: Đã thanh toán | Số cọc: 4.0 | Loại cọc: Trụ xi măng</t>
        </is>
      </c>
    </row>
    <row r="310" ht="15.75" customHeight="1" s="56">
      <c r="A310" s="37" t="inlineStr">
        <is>
          <t>BK-HS-0307</t>
        </is>
      </c>
      <c r="B310" s="27" t="n">
        <v>45954</v>
      </c>
      <c r="C310" s="37" t="inlineStr">
        <is>
          <t>Phòng Đo đạc</t>
        </is>
      </c>
      <c r="D310" s="37" t="inlineStr">
        <is>
          <t>Cắm mốc</t>
        </is>
      </c>
      <c r="E310" s="37" t="inlineStr">
        <is>
          <t>Trần Quang Vinh</t>
        </is>
      </c>
      <c r="F310" s="37" t="inlineStr">
        <is>
          <t>Hoàng Quân</t>
        </is>
      </c>
      <c r="G310" s="37" t="n"/>
      <c r="H310" s="37" t="inlineStr">
        <is>
          <t>Long Phước</t>
        </is>
      </c>
      <c r="I310" s="37" t="inlineStr">
        <is>
          <t>Lê Văn Dựng</t>
        </is>
      </c>
      <c r="J310" s="37" t="inlineStr">
        <is>
          <t>Không cần</t>
        </is>
      </c>
      <c r="K310" s="37" t="n"/>
      <c r="L310" s="37" t="inlineStr">
        <is>
          <t>Hoàn thành</t>
        </is>
      </c>
      <c r="M310" s="27" t="n">
        <v>45957</v>
      </c>
      <c r="N310" s="28">
        <f>IF(M310="","",M310-TODAY())</f>
        <v/>
      </c>
      <c r="O310" s="37">
        <f>IF(A310="","",IF(L310="Hoàn thành","XONG",IF(L310="Đã hủy","HỦY",IF(N310&lt;0,"QUÁ HẠN",IF(N310&lt;=THIET_LAP!$B$7,"SẮP HẠN","TRONG HẠN")))))</f>
        <v/>
      </c>
      <c r="P310" s="37" t="inlineStr">
        <is>
          <t>545/BK-2025</t>
        </is>
      </c>
      <c r="Q310" s="29" t="n"/>
      <c r="R310" s="37" t="n"/>
      <c r="S310" s="37" t="inlineStr">
        <is>
          <t>Tiến độ: Hoàn thành | Ngày bắt đầu: 2025-10-24 00:00:00 | Ngày nộp: 2025-10-25 00:00:00 | Ngày HT: 2025-10-25 00:00:00 | Lần nộp: 1.0 | Chi kỹ thuật: Đã thanh toán | Số cọc: 4.0 | Loại cọc: Trụ xi măng</t>
        </is>
      </c>
    </row>
    <row r="311" ht="15.75" customHeight="1" s="56">
      <c r="A311" s="37" t="inlineStr">
        <is>
          <t>BK-HS-0308</t>
        </is>
      </c>
      <c r="B311" s="27" t="n">
        <v>45954</v>
      </c>
      <c r="C311" s="37" t="inlineStr">
        <is>
          <t>Phòng Đo đạc</t>
        </is>
      </c>
      <c r="D311" s="37" t="inlineStr">
        <is>
          <t>Đo GPS</t>
        </is>
      </c>
      <c r="E311" s="37" t="inlineStr">
        <is>
          <t>Trần Đức Phú</t>
        </is>
      </c>
      <c r="F311" s="37" t="inlineStr">
        <is>
          <t>Hoàng Quân</t>
        </is>
      </c>
      <c r="G311" s="37" t="n"/>
      <c r="H311" s="37" t="inlineStr">
        <is>
          <t>Long Phước</t>
        </is>
      </c>
      <c r="I311" s="37" t="inlineStr">
        <is>
          <t>Lê Văn Dựng</t>
        </is>
      </c>
      <c r="J311" s="37" t="inlineStr">
        <is>
          <t>Không cần</t>
        </is>
      </c>
      <c r="K311" s="37" t="n"/>
      <c r="L311" s="37" t="inlineStr">
        <is>
          <t>Hoàn thành</t>
        </is>
      </c>
      <c r="M311" s="27" t="n">
        <v>45957</v>
      </c>
      <c r="N311" s="28">
        <f>IF(M311="","",M311-TODAY())</f>
        <v/>
      </c>
      <c r="O311" s="37">
        <f>IF(A311="","",IF(L311="Hoàn thành","XONG",IF(L311="Đã hủy","HỦY",IF(N311&lt;0,"QUÁ HẠN",IF(N311&lt;=THIET_LAP!$B$7,"SẮP HẠN","TRONG HẠN")))))</f>
        <v/>
      </c>
      <c r="P311" s="37" t="inlineStr">
        <is>
          <t>544-2/BK-2025</t>
        </is>
      </c>
      <c r="Q311" s="29" t="n"/>
      <c r="R311" s="37" t="n"/>
      <c r="S311" s="37" t="inlineStr">
        <is>
          <t>Tiến độ: Hoàn thành | Ngày bắt đầu: 2025-10-24 00:00:00 | Ngày nộp: 2025-10-25 00:00:00 | Ngày HT: 2025-10-25 00:00:00 | Lần nộp: 2.0 | Chi kỹ thuật: Đã thanh toán</t>
        </is>
      </c>
    </row>
    <row r="312" ht="15.75" customHeight="1" s="56">
      <c r="A312" s="37" t="inlineStr">
        <is>
          <t>BK-HS-0309</t>
        </is>
      </c>
      <c r="B312" s="27" t="n">
        <v>45954</v>
      </c>
      <c r="C312" s="37" t="inlineStr">
        <is>
          <t>Phòng Đo đạc</t>
        </is>
      </c>
      <c r="D312" s="37" t="inlineStr">
        <is>
          <t>Cắm mốc</t>
        </is>
      </c>
      <c r="E312" s="37" t="inlineStr">
        <is>
          <t>Trần Đức Phú</t>
        </is>
      </c>
      <c r="F312" s="37" t="inlineStr">
        <is>
          <t>Hoàng Quân</t>
        </is>
      </c>
      <c r="G312" s="37" t="n"/>
      <c r="H312" s="37" t="inlineStr">
        <is>
          <t>Long Phước</t>
        </is>
      </c>
      <c r="I312" s="37" t="inlineStr">
        <is>
          <t>Lê Văn Dựng</t>
        </is>
      </c>
      <c r="J312" s="37" t="inlineStr">
        <is>
          <t>Không cần</t>
        </is>
      </c>
      <c r="K312" s="37" t="n"/>
      <c r="L312" s="37" t="inlineStr">
        <is>
          <t>Hoàn thành</t>
        </is>
      </c>
      <c r="M312" s="27" t="n">
        <v>45957</v>
      </c>
      <c r="N312" s="28">
        <f>IF(M312="","",M312-TODAY())</f>
        <v/>
      </c>
      <c r="O312" s="37">
        <f>IF(A312="","",IF(L312="Hoàn thành","XONG",IF(L312="Đã hủy","HỦY",IF(N312&lt;0,"QUÁ HẠN",IF(N312&lt;=THIET_LAP!$B$7,"SẮP HẠN","TRONG HẠN")))))</f>
        <v/>
      </c>
      <c r="P312" s="37" t="inlineStr">
        <is>
          <t>544-1/BK-2025</t>
        </is>
      </c>
      <c r="Q312" s="29" t="n"/>
      <c r="R312" s="37" t="n"/>
      <c r="S312" s="37" t="inlineStr">
        <is>
          <t>Tiến độ: Hoàn thành | Ngày bắt đầu: 2025-10-24 00:00:00 | Ngày nộp: 2025-10-25 00:00:00 | Ngày HT: 2025-10-25 00:00:00 | Lần nộp: 1.0 | Chi kỹ thuật: Đã thanh toán | Số cọc: 13.0 | Loại cọc: Trụ xi măng</t>
        </is>
      </c>
    </row>
    <row r="313" ht="15.75" customHeight="1" s="56">
      <c r="A313" s="37" t="inlineStr">
        <is>
          <t>BK-HS-0310</t>
        </is>
      </c>
      <c r="B313" s="27" t="n">
        <v>45954</v>
      </c>
      <c r="C313" s="37" t="inlineStr">
        <is>
          <t>Phòng Đo đạc</t>
        </is>
      </c>
      <c r="D313" s="37" t="inlineStr">
        <is>
          <t>Cấp đổi</t>
        </is>
      </c>
      <c r="E313" s="37" t="inlineStr">
        <is>
          <t>Trần Đức Phú</t>
        </is>
      </c>
      <c r="F313" s="37" t="inlineStr">
        <is>
          <t>Hoàng Quân</t>
        </is>
      </c>
      <c r="G313" s="37" t="n"/>
      <c r="H313" s="37" t="inlineStr">
        <is>
          <t>Long Phước</t>
        </is>
      </c>
      <c r="I313" s="37" t="inlineStr">
        <is>
          <t>Lê Văn Dựng</t>
        </is>
      </c>
      <c r="J313" s="37" t="inlineStr">
        <is>
          <t>Không cần</t>
        </is>
      </c>
      <c r="K313" s="37" t="n"/>
      <c r="L313" s="37" t="inlineStr">
        <is>
          <t>Hoàn thành</t>
        </is>
      </c>
      <c r="M313" s="27" t="n">
        <v>45957</v>
      </c>
      <c r="N313" s="28">
        <f>IF(M313="","",M313-TODAY())</f>
        <v/>
      </c>
      <c r="O313" s="37">
        <f>IF(A313="","",IF(L313="Hoàn thành","XONG",IF(L313="Đã hủy","HỦY",IF(N313&lt;0,"QUÁ HẠN",IF(N313&lt;=THIET_LAP!$B$7,"SẮP HẠN","TRONG HẠN")))))</f>
        <v/>
      </c>
      <c r="P313" s="37" t="inlineStr">
        <is>
          <t>544/BK-2025</t>
        </is>
      </c>
      <c r="Q313" s="29" t="n"/>
      <c r="R313" s="37" t="n"/>
      <c r="S313" s="37" t="inlineStr">
        <is>
          <t>Tiến độ: Hoàn thành | Ngày bắt đầu: 2025-10-24 00:00:00 | Ngày nộp: 2025-11-14 00:00:00 | Ngày HT: 2025-11-14 00:00:00 | Lần nộp: 2.0 | Chi kỹ thuật: Đã thanh toán</t>
        </is>
      </c>
    </row>
    <row r="314" ht="15.75" customHeight="1" s="56">
      <c r="A314" s="37" t="inlineStr">
        <is>
          <t>BK-HS-0311</t>
        </is>
      </c>
      <c r="B314" s="27" t="n">
        <v>45954</v>
      </c>
      <c r="C314" s="37" t="inlineStr">
        <is>
          <t>Phòng Đo đạc</t>
        </is>
      </c>
      <c r="D314" s="37" t="inlineStr">
        <is>
          <t>Đo GPS</t>
        </is>
      </c>
      <c r="E314" s="37" t="inlineStr">
        <is>
          <t>Trần Đức Phú</t>
        </is>
      </c>
      <c r="F314" s="37" t="inlineStr">
        <is>
          <t>Hoàng Quân</t>
        </is>
      </c>
      <c r="G314" s="37" t="n"/>
      <c r="H314" s="37" t="inlineStr">
        <is>
          <t>Long Phước</t>
        </is>
      </c>
      <c r="I314" s="37" t="inlineStr">
        <is>
          <t>Lê Văn Dựng</t>
        </is>
      </c>
      <c r="J314" s="37" t="inlineStr">
        <is>
          <t>Không cần</t>
        </is>
      </c>
      <c r="K314" s="37" t="n"/>
      <c r="L314" s="37" t="inlineStr">
        <is>
          <t>Hoàn thành</t>
        </is>
      </c>
      <c r="M314" s="27" t="n">
        <v>45957</v>
      </c>
      <c r="N314" s="28">
        <f>IF(M314="","",M314-TODAY())</f>
        <v/>
      </c>
      <c r="O314" s="37">
        <f>IF(A314="","",IF(L314="Hoàn thành","XONG",IF(L314="Đã hủy","HỦY",IF(N314&lt;0,"QUÁ HẠN",IF(N314&lt;=THIET_LAP!$B$7,"SẮP HẠN","TRONG HẠN")))))</f>
        <v/>
      </c>
      <c r="P314" s="37" t="inlineStr">
        <is>
          <t>543-2/BK-2025</t>
        </is>
      </c>
      <c r="Q314" s="29" t="n"/>
      <c r="R314" s="37" t="n"/>
      <c r="S314" s="37" t="inlineStr">
        <is>
          <t>Tiến độ: Hoàn thành | Ngày bắt đầu: 2025-10-24 00:00:00 | Ngày nộp: 2025-10-25 00:00:00 | Ngày HT: 2025-10-25 00:00:00 | Lần nộp: 1.0 | Chi kỹ thuật: Đã thanh toán</t>
        </is>
      </c>
    </row>
    <row r="315" ht="15.75" customHeight="1" s="56">
      <c r="A315" s="37" t="inlineStr">
        <is>
          <t>BK-HS-0312</t>
        </is>
      </c>
      <c r="B315" s="27" t="n">
        <v>45954</v>
      </c>
      <c r="C315" s="37" t="inlineStr">
        <is>
          <t>Phòng Đo đạc</t>
        </is>
      </c>
      <c r="D315" s="37" t="inlineStr">
        <is>
          <t>Cắm mốc</t>
        </is>
      </c>
      <c r="E315" s="37" t="inlineStr">
        <is>
          <t>Trần Đức Phú</t>
        </is>
      </c>
      <c r="F315" s="37" t="inlineStr">
        <is>
          <t>Hoàng Quân</t>
        </is>
      </c>
      <c r="G315" s="37" t="n"/>
      <c r="H315" s="37" t="inlineStr">
        <is>
          <t>Long Phước</t>
        </is>
      </c>
      <c r="I315" s="37" t="inlineStr">
        <is>
          <t>Lê Văn Dựng</t>
        </is>
      </c>
      <c r="J315" s="37" t="inlineStr">
        <is>
          <t>Không cần</t>
        </is>
      </c>
      <c r="K315" s="37" t="n"/>
      <c r="L315" s="37" t="inlineStr">
        <is>
          <t>Hoàn thành</t>
        </is>
      </c>
      <c r="M315" s="27" t="n">
        <v>45957</v>
      </c>
      <c r="N315" s="28">
        <f>IF(M315="","",M315-TODAY())</f>
        <v/>
      </c>
      <c r="O315" s="37">
        <f>IF(A315="","",IF(L315="Hoàn thành","XONG",IF(L315="Đã hủy","HỦY",IF(N315&lt;0,"QUÁ HẠN",IF(N315&lt;=THIET_LAP!$B$7,"SẮP HẠN","TRONG HẠN")))))</f>
        <v/>
      </c>
      <c r="P315" s="37" t="inlineStr">
        <is>
          <t>543-1/BK-2025</t>
        </is>
      </c>
      <c r="Q315" s="29" t="n"/>
      <c r="R315" s="37" t="n"/>
      <c r="S315" s="37" t="inlineStr">
        <is>
          <t>Tiến độ: Hoàn thành | Ngày bắt đầu: 2025-10-24 00:00:00 | Ngày nộp: 2025-10-25 00:00:00 | Ngày HT: 2025-10-25 00:00:00 | Lần nộp: 1.0 | Chi kỹ thuật: Đã thanh toán | Số cọc: 12.0 | Loại cọc: Trụ xi măng</t>
        </is>
      </c>
    </row>
    <row r="316" ht="15.75" customHeight="1" s="56">
      <c r="A316" s="37" t="inlineStr">
        <is>
          <t>BK-HS-0313</t>
        </is>
      </c>
      <c r="B316" s="27" t="n">
        <v>45954</v>
      </c>
      <c r="C316" s="37" t="inlineStr">
        <is>
          <t>Phòng Đo đạc</t>
        </is>
      </c>
      <c r="D316" s="37" t="inlineStr">
        <is>
          <t>Cấp đổi</t>
        </is>
      </c>
      <c r="E316" s="37" t="inlineStr">
        <is>
          <t>Trần Đức Phú</t>
        </is>
      </c>
      <c r="F316" s="37" t="inlineStr">
        <is>
          <t>Hoàng Quân</t>
        </is>
      </c>
      <c r="G316" s="37" t="n"/>
      <c r="H316" s="37" t="inlineStr">
        <is>
          <t>Long Phước</t>
        </is>
      </c>
      <c r="I316" s="37" t="inlineStr">
        <is>
          <t>Lê Văn Dựng</t>
        </is>
      </c>
      <c r="J316" s="37" t="inlineStr">
        <is>
          <t>Không cần</t>
        </is>
      </c>
      <c r="K316" s="37" t="n"/>
      <c r="L316" s="37" t="inlineStr">
        <is>
          <t>Nộp thành công - Chờ kết quả</t>
        </is>
      </c>
      <c r="M316" s="27" t="n">
        <v>45957</v>
      </c>
      <c r="N316" s="28">
        <f>IF(M316="","",M316-TODAY())</f>
        <v/>
      </c>
      <c r="O316" s="37">
        <f>IF(A316="","",IF(L316="Hoàn thành","XONG",IF(L316="Đã hủy","HỦY",IF(N316&lt;0,"QUÁ HẠN",IF(N316&lt;=THIET_LAP!$B$7,"SẮP HẠN","TRONG HẠN")))))</f>
        <v/>
      </c>
      <c r="P316" s="37" t="inlineStr">
        <is>
          <t>543/BK-2025</t>
        </is>
      </c>
      <c r="Q316" s="29" t="n"/>
      <c r="R316" s="37" t="n"/>
      <c r="S316" s="37" t="inlineStr">
        <is>
          <t>Tiến độ: Đã nộp | Ngày bắt đầu: 2025-10-24 00:00:00 | Ngày nộp: 2025-10-27 00:00:00 | Lần nộp: 1.0 | Chi kỹ thuật: Đã thanh toán</t>
        </is>
      </c>
    </row>
    <row r="317" ht="15.75" customHeight="1" s="56">
      <c r="A317" s="37" t="inlineStr">
        <is>
          <t>BK-HS-0314</t>
        </is>
      </c>
      <c r="B317" s="27" t="n">
        <v>45954</v>
      </c>
      <c r="C317" s="37" t="inlineStr">
        <is>
          <t>Phòng Đo đạc</t>
        </is>
      </c>
      <c r="D317" s="37" t="inlineStr">
        <is>
          <t>Cấp đổi</t>
        </is>
      </c>
      <c r="E317" s="37" t="inlineStr">
        <is>
          <t>Phạm Thị Phương</t>
        </is>
      </c>
      <c r="F317" s="37" t="inlineStr">
        <is>
          <t>Nguyễn Khoa DV</t>
        </is>
      </c>
      <c r="G317" s="37" t="n"/>
      <c r="H317" s="37" t="inlineStr">
        <is>
          <t>Long Trường</t>
        </is>
      </c>
      <c r="I317" s="37" t="inlineStr">
        <is>
          <t>Trương Tấn Quốc</t>
        </is>
      </c>
      <c r="J317" s="37" t="inlineStr">
        <is>
          <t>Võ Tứ Hợp</t>
        </is>
      </c>
      <c r="K317" s="37" t="n"/>
      <c r="L317" s="37" t="inlineStr">
        <is>
          <t>Hoàn thành</t>
        </is>
      </c>
      <c r="M317" s="27" t="n">
        <v>45957</v>
      </c>
      <c r="N317" s="28">
        <f>IF(M317="","",M317-TODAY())</f>
        <v/>
      </c>
      <c r="O317" s="37">
        <f>IF(A317="","",IF(L317="Hoàn thành","XONG",IF(L317="Đã hủy","HỦY",IF(N317&lt;0,"QUÁ HẠN",IF(N317&lt;=THIET_LAP!$B$7,"SẮP HẠN","TRONG HẠN")))))</f>
        <v/>
      </c>
      <c r="P317" s="37" t="inlineStr">
        <is>
          <t>540/BK-2025</t>
        </is>
      </c>
      <c r="Q317" s="29" t="n"/>
      <c r="R317" s="37" t="n"/>
      <c r="S317" s="37" t="inlineStr">
        <is>
          <t>Tiến độ: Hoàn thành | Ngày bắt đầu: 2025-10-24 00:00:00 | Ngày nộp: 2025-11-17 00:00:00 | Ngày HT: 2025-11-17 00:00:00 | Lần nộp: 1.0 | Chi kỹ thuật: Đã thanh toán</t>
        </is>
      </c>
    </row>
    <row r="318" ht="15.75" customHeight="1" s="56">
      <c r="A318" s="37" t="inlineStr">
        <is>
          <t>BK-HS-0315</t>
        </is>
      </c>
      <c r="B318" s="27" t="n">
        <v>45953</v>
      </c>
      <c r="C318" s="37" t="inlineStr">
        <is>
          <t>Phòng Đo đạc</t>
        </is>
      </c>
      <c r="D318" s="37" t="inlineStr">
        <is>
          <t>Tách Thửa</t>
        </is>
      </c>
      <c r="E318" s="37" t="inlineStr">
        <is>
          <t>Nguyễn Tấn Thanh</t>
        </is>
      </c>
      <c r="F318" s="37" t="inlineStr">
        <is>
          <t>Chị Xuân DV</t>
        </is>
      </c>
      <c r="G318" s="37" t="n"/>
      <c r="H318" s="37" t="inlineStr">
        <is>
          <t>Thủ Đức</t>
        </is>
      </c>
      <c r="I318" s="37" t="inlineStr">
        <is>
          <t>Trương Tấn Quốc</t>
        </is>
      </c>
      <c r="J318" s="37" t="inlineStr">
        <is>
          <t>Không cần</t>
        </is>
      </c>
      <c r="K318" s="37" t="n"/>
      <c r="L318" s="37" t="inlineStr">
        <is>
          <t>Hoàn thành</t>
        </is>
      </c>
      <c r="M318" s="27" t="n">
        <v>45956</v>
      </c>
      <c r="N318" s="28">
        <f>IF(M318="","",M318-TODAY())</f>
        <v/>
      </c>
      <c r="O318" s="37">
        <f>IF(A318="","",IF(L318="Hoàn thành","XONG",IF(L318="Đã hủy","HỦY",IF(N318&lt;0,"QUÁ HẠN",IF(N318&lt;=THIET_LAP!$B$7,"SẮP HẠN","TRONG HẠN")))))</f>
        <v/>
      </c>
      <c r="P318" s="37" t="inlineStr">
        <is>
          <t>542/BK-2025</t>
        </is>
      </c>
      <c r="Q318" s="29" t="n"/>
      <c r="R318" s="37" t="n"/>
      <c r="S318" s="37" t="inlineStr">
        <is>
          <t>Tiến độ: Hoàn thành | Ngày bắt đầu: 2025-10-23 00:00:00 | Ngày nộp: 2025-11-07 00:00:00 | Ngày HT: 2025-11-07 00:00:00 | Lần nộp: 1.0 | Chi kỹ thuật: Đã thanh toán</t>
        </is>
      </c>
    </row>
    <row r="319" ht="15.75" customHeight="1" s="56">
      <c r="A319" s="37" t="inlineStr">
        <is>
          <t>BK-HS-0316</t>
        </is>
      </c>
      <c r="B319" s="27" t="n">
        <v>45953</v>
      </c>
      <c r="C319" s="37" t="inlineStr">
        <is>
          <t>Phòng Đo đạc</t>
        </is>
      </c>
      <c r="D319" s="37" t="inlineStr">
        <is>
          <t>Tách Thửa</t>
        </is>
      </c>
      <c r="E319" s="37" t="inlineStr">
        <is>
          <t>Nguyễn Tấn Thanh</t>
        </is>
      </c>
      <c r="F319" s="37" t="inlineStr">
        <is>
          <t>Chị Xuân DV</t>
        </is>
      </c>
      <c r="G319" s="37" t="n"/>
      <c r="H319" s="37" t="inlineStr">
        <is>
          <t>Thủ Đức</t>
        </is>
      </c>
      <c r="I319" s="37" t="inlineStr">
        <is>
          <t>Trương Tấn Quốc</t>
        </is>
      </c>
      <c r="J319" s="37" t="inlineStr">
        <is>
          <t>Không cần</t>
        </is>
      </c>
      <c r="K319" s="37" t="n"/>
      <c r="L319" s="37" t="inlineStr">
        <is>
          <t>Hoàn thành</t>
        </is>
      </c>
      <c r="M319" s="27" t="n">
        <v>45956</v>
      </c>
      <c r="N319" s="28">
        <f>IF(M319="","",M319-TODAY())</f>
        <v/>
      </c>
      <c r="O319" s="37">
        <f>IF(A319="","",IF(L319="Hoàn thành","XONG",IF(L319="Đã hủy","HỦY",IF(N319&lt;0,"QUÁ HẠN",IF(N319&lt;=THIET_LAP!$B$7,"SẮP HẠN","TRONG HẠN")))))</f>
        <v/>
      </c>
      <c r="P319" s="37" t="inlineStr">
        <is>
          <t>541/BK-2025</t>
        </is>
      </c>
      <c r="Q319" s="29" t="n"/>
      <c r="R319" s="37" t="n"/>
      <c r="S319" s="37" t="inlineStr">
        <is>
          <t>Tiến độ: Hoàn thành | Ngày bắt đầu: 2025-10-23 00:00:00 | Ngày nộp: 2025-11-07 00:00:00 | Ngày HT: 2025-11-07 00:00:00 | Lần nộp: 1.0 | Chi kỹ thuật: Đã thanh toán</t>
        </is>
      </c>
    </row>
    <row r="320" ht="15.75" customHeight="1" s="56">
      <c r="A320" s="37" t="inlineStr">
        <is>
          <t>BK-HS-0317</t>
        </is>
      </c>
      <c r="B320" s="27" t="n">
        <v>45953</v>
      </c>
      <c r="C320" s="37" t="inlineStr">
        <is>
          <t>Phòng Đo đạc</t>
        </is>
      </c>
      <c r="D320" s="37" t="inlineStr">
        <is>
          <t>Hoàn công</t>
        </is>
      </c>
      <c r="E320" s="37" t="inlineStr">
        <is>
          <t>Vũ Thị Hương Giang</t>
        </is>
      </c>
      <c r="F320" s="37" t="inlineStr">
        <is>
          <t>Công Ty</t>
        </is>
      </c>
      <c r="G320" s="37" t="inlineStr">
        <is>
          <t>0907074488</t>
        </is>
      </c>
      <c r="H320" s="37" t="inlineStr">
        <is>
          <t>Thủ Đức</t>
        </is>
      </c>
      <c r="I320" s="37" t="inlineStr">
        <is>
          <t>Nguyễn Minh Thông</t>
        </is>
      </c>
      <c r="J320" s="37" t="inlineStr">
        <is>
          <t>Võ Tứ Hợp</t>
        </is>
      </c>
      <c r="K320" s="37" t="n"/>
      <c r="L320" s="37" t="inlineStr">
        <is>
          <t>Hoàn thành</t>
        </is>
      </c>
      <c r="M320" s="27" t="n">
        <v>45956</v>
      </c>
      <c r="N320" s="28">
        <f>IF(M320="","",M320-TODAY())</f>
        <v/>
      </c>
      <c r="O320" s="37">
        <f>IF(A320="","",IF(L320="Hoàn thành","XONG",IF(L320="Đã hủy","HỦY",IF(N320&lt;0,"QUÁ HẠN",IF(N320&lt;=THIET_LAP!$B$7,"SẮP HẠN","TRONG HẠN")))))</f>
        <v/>
      </c>
      <c r="P320" s="37" t="inlineStr">
        <is>
          <t>539/BK-2025</t>
        </is>
      </c>
      <c r="Q320" s="29" t="n"/>
      <c r="R320" s="37" t="n"/>
      <c r="S320" s="37" t="inlineStr">
        <is>
          <t>Tiến độ: Hoàn thành | Ngày bắt đầu: 2025-10-23 00:00:00 | Ngày nộp: 2025-11-04 00:00:00 | Ngày HT: 2025-11-04 00:00:00 | Lần nộp: 1.0 | Chi kỹ thuật: Đã thanh toán</t>
        </is>
      </c>
    </row>
    <row r="321" ht="15.75" customHeight="1" s="56">
      <c r="A321" s="37" t="inlineStr">
        <is>
          <t>BK-HS-0318</t>
        </is>
      </c>
      <c r="B321" s="27" t="n">
        <v>45951</v>
      </c>
      <c r="C321" s="37" t="inlineStr">
        <is>
          <t>Phòng Đo đạc</t>
        </is>
      </c>
      <c r="D321" s="37" t="inlineStr">
        <is>
          <t>Cắm mốc</t>
        </is>
      </c>
      <c r="E321" s="37" t="inlineStr">
        <is>
          <t>TRương Quế Phương</t>
        </is>
      </c>
      <c r="F321" s="37" t="inlineStr">
        <is>
          <t>Anh Chiến KTS</t>
        </is>
      </c>
      <c r="G321" s="37" t="n"/>
      <c r="H321" s="37" t="inlineStr">
        <is>
          <t>Tam Bình</t>
        </is>
      </c>
      <c r="I321" s="37" t="inlineStr">
        <is>
          <t>Nguyễn Minh Thông</t>
        </is>
      </c>
      <c r="J321" s="37" t="inlineStr">
        <is>
          <t>Võ Tứ Hợp</t>
        </is>
      </c>
      <c r="K321" s="37" t="n"/>
      <c r="L321" s="37" t="inlineStr">
        <is>
          <t>Hoàn thành</t>
        </is>
      </c>
      <c r="M321" s="27" t="n">
        <v>45954</v>
      </c>
      <c r="N321" s="28">
        <f>IF(M321="","",M321-TODAY())</f>
        <v/>
      </c>
      <c r="O321" s="37">
        <f>IF(A321="","",IF(L321="Hoàn thành","XONG",IF(L321="Đã hủy","HỦY",IF(N321&lt;0,"QUÁ HẠN",IF(N321&lt;=THIET_LAP!$B$7,"SẮP HẠN","TRONG HẠN")))))</f>
        <v/>
      </c>
      <c r="P321" s="37" t="inlineStr">
        <is>
          <t>538/BK-2025</t>
        </is>
      </c>
      <c r="Q321" s="29" t="n"/>
      <c r="R321" s="37" t="n"/>
      <c r="S321" s="37" t="inlineStr">
        <is>
          <t>Tiến độ: Hoàn thành | Ngày bắt đầu: 2025-10-21 00:00:00 | Ngày nộp: 2025-10-21 00:00:00 | Ngày HT: 2025-10-21 00:00:00 | Lần nộp: 3.0 | Chi kỹ thuật: Đã thanh toán | Số cọc: 11.0 | Loại cọc: Trụ xi măng</t>
        </is>
      </c>
    </row>
    <row r="322" ht="15.75" customHeight="1" s="56">
      <c r="A322" s="37" t="inlineStr">
        <is>
          <t>BK-HS-0319</t>
        </is>
      </c>
      <c r="B322" s="27" t="n">
        <v>45951</v>
      </c>
      <c r="C322" s="37" t="inlineStr">
        <is>
          <t>Phòng Đo đạc</t>
        </is>
      </c>
      <c r="D322" s="37" t="inlineStr">
        <is>
          <t>Cấp đổi</t>
        </is>
      </c>
      <c r="E322" s="37" t="inlineStr">
        <is>
          <t>Nguyễn Thanh Vũ</t>
        </is>
      </c>
      <c r="F322" s="37" t="inlineStr">
        <is>
          <t>Công Ty</t>
        </is>
      </c>
      <c r="G322" s="37" t="inlineStr">
        <is>
          <t>0903339111</t>
        </is>
      </c>
      <c r="H322" s="37" t="inlineStr">
        <is>
          <t>An Khánh</t>
        </is>
      </c>
      <c r="I322" s="37" t="inlineStr">
        <is>
          <t>Lê Văn Dựng</t>
        </is>
      </c>
      <c r="J322" s="37" t="inlineStr">
        <is>
          <t>Võ Tứ Hợp</t>
        </is>
      </c>
      <c r="K322" s="37" t="n"/>
      <c r="L322" s="37" t="inlineStr">
        <is>
          <t>Hoàn thành</t>
        </is>
      </c>
      <c r="M322" s="27" t="n">
        <v>45954</v>
      </c>
      <c r="N322" s="28">
        <f>IF(M322="","",M322-TODAY())</f>
        <v/>
      </c>
      <c r="O322" s="37">
        <f>IF(A322="","",IF(L322="Hoàn thành","XONG",IF(L322="Đã hủy","HỦY",IF(N322&lt;0,"QUÁ HẠN",IF(N322&lt;=THIET_LAP!$B$7,"SẮP HẠN","TRONG HẠN")))))</f>
        <v/>
      </c>
      <c r="P322" s="37" t="inlineStr">
        <is>
          <t>537/BK-2025</t>
        </is>
      </c>
      <c r="Q322" s="29" t="n"/>
      <c r="R322" s="37" t="n"/>
      <c r="S322" s="37" t="inlineStr">
        <is>
          <t>Tiến độ: Hoàn thành | Ngày bắt đầu: 2025-10-21 00:00:00 | Ngày nộp: 2025-11-10 00:00:00 | Ngày HT: 2025-11-10 00:00:00 | Lần nộp: 1.0 | Chi kỹ thuật: Đã thanh toán</t>
        </is>
      </c>
    </row>
    <row r="323" ht="15.75" customHeight="1" s="56">
      <c r="A323" s="37" t="inlineStr">
        <is>
          <t>BK-HS-0320</t>
        </is>
      </c>
      <c r="B323" s="27" t="n">
        <v>45951</v>
      </c>
      <c r="C323" s="37" t="inlineStr">
        <is>
          <t>Phòng Đo đạc</t>
        </is>
      </c>
      <c r="D323" s="37" t="inlineStr">
        <is>
          <t>Đo GPS</t>
        </is>
      </c>
      <c r="E323" s="37" t="inlineStr">
        <is>
          <t>Nguyễn Hoàng Quân</t>
        </is>
      </c>
      <c r="F323" s="37" t="inlineStr">
        <is>
          <t>Hoàng Quân</t>
        </is>
      </c>
      <c r="G323" s="37" t="n"/>
      <c r="H323" s="37" t="inlineStr">
        <is>
          <t>Long Phước</t>
        </is>
      </c>
      <c r="I323" s="37" t="inlineStr">
        <is>
          <t>Lê Văn Dựng</t>
        </is>
      </c>
      <c r="J323" s="37" t="inlineStr">
        <is>
          <t>Không cần</t>
        </is>
      </c>
      <c r="K323" s="37" t="n"/>
      <c r="L323" s="37" t="inlineStr">
        <is>
          <t>Hoàn thành</t>
        </is>
      </c>
      <c r="M323" s="27" t="n">
        <v>45954</v>
      </c>
      <c r="N323" s="28">
        <f>IF(M323="","",M323-TODAY())</f>
        <v/>
      </c>
      <c r="O323" s="37">
        <f>IF(A323="","",IF(L323="Hoàn thành","XONG",IF(L323="Đã hủy","HỦY",IF(N323&lt;0,"QUÁ HẠN",IF(N323&lt;=THIET_LAP!$B$7,"SẮP HẠN","TRONG HẠN")))))</f>
        <v/>
      </c>
      <c r="P323" s="37" t="inlineStr">
        <is>
          <t>488-2/BK-2025</t>
        </is>
      </c>
      <c r="Q323" s="29" t="n"/>
      <c r="R323" s="37" t="n"/>
      <c r="S323" s="37" t="inlineStr">
        <is>
          <t>Tiến độ: Hoàn thành | Ngày bắt đầu: 2025-10-21 00:00:00 | Ngày nộp: 2025-10-21 00:00:00 | Ngày HT: 2025-10-21 00:00:00 | Lần nộp: 1.0 | Chi kỹ thuật: Đã thanh toán</t>
        </is>
      </c>
    </row>
    <row r="324" ht="15.75" customHeight="1" s="56">
      <c r="A324" s="37" t="inlineStr">
        <is>
          <t>BK-HS-0321</t>
        </is>
      </c>
      <c r="B324" s="27" t="inlineStr">
        <is>
          <t>2026-06-23</t>
        </is>
      </c>
      <c r="C324" s="37" t="inlineStr">
        <is>
          <t>Phòng Đo đạc</t>
        </is>
      </c>
      <c r="D324" s="37" t="inlineStr">
        <is>
          <t>Đo hiện trạng</t>
        </is>
      </c>
      <c r="E324" s="37" t="inlineStr">
        <is>
          <t>Khảo sát khu dân cư Linh Tây</t>
        </is>
      </c>
      <c r="F324" s="37" t="inlineStr">
        <is>
          <t>Nguyễn Văn A</t>
        </is>
      </c>
      <c r="G324" s="37" t="inlineStr">
        <is>
          <t>0912345678</t>
        </is>
      </c>
      <c r="H324" s="37" t="inlineStr">
        <is>
          <t>Linh Tây</t>
        </is>
      </c>
      <c r="I324" s="37" t="inlineStr">
        <is>
          <t>Võ Thành Minh</t>
        </is>
      </c>
      <c r="J324" s="37" t="inlineStr">
        <is>
          <t>Lê Văn Dựng</t>
        </is>
      </c>
      <c r="K324" s="37" t="n"/>
      <c r="L324" s="37" t="inlineStr">
        <is>
          <t>Mỗi tiếp nhận</t>
        </is>
      </c>
      <c r="M324" s="27" t="inlineStr">
        <is>
          <t>2026-07-10</t>
        </is>
      </c>
      <c r="N324" s="28">
        <f>IF(M324="","",M324-TODAY())</f>
        <v/>
      </c>
      <c r="O324" s="37">
        <f>IF(A324="","",IF(L324="Hoàn thành","XONG",IF(N324&lt;0,"QUÁ HẠN","Trong hạn")))</f>
        <v/>
      </c>
      <c r="P324" s="37" t="n"/>
      <c r="Q324" s="29" t="n"/>
      <c r="R324" s="37" t="n"/>
      <c r="S324" s="37" t="n"/>
    </row>
    <row r="325" ht="15.75" customHeight="1" s="56">
      <c r="A325" s="37" t="inlineStr">
        <is>
          <t>BK-HS-0322</t>
        </is>
      </c>
      <c r="B325" s="27" t="inlineStr">
        <is>
          <t>2026-06-23</t>
        </is>
      </c>
      <c r="C325" s="37" t="inlineStr">
        <is>
          <t>Phòng Đo đạc</t>
        </is>
      </c>
      <c r="D325" s="37" t="inlineStr">
        <is>
          <t>Đo hiện trạng</t>
        </is>
      </c>
      <c r="E325" s="37" t="inlineStr">
        <is>
          <t>Khảo sát khu dân cư Linh Tây</t>
        </is>
      </c>
      <c r="F325" s="37" t="inlineStr">
        <is>
          <t>Nguyễn Văn A</t>
        </is>
      </c>
      <c r="G325" s="37" t="inlineStr">
        <is>
          <t>0912345678</t>
        </is>
      </c>
      <c r="H325" s="37" t="inlineStr">
        <is>
          <t>Linh Tây</t>
        </is>
      </c>
      <c r="I325" s="37" t="inlineStr">
        <is>
          <t>Võ Thành Minh</t>
        </is>
      </c>
      <c r="J325" s="37" t="inlineStr">
        <is>
          <t>Lê Văn Dựng</t>
        </is>
      </c>
      <c r="K325" s="37" t="n"/>
      <c r="L325" s="37" t="inlineStr">
        <is>
          <t>Mỗi tiếp nhận</t>
        </is>
      </c>
      <c r="M325" s="27" t="inlineStr">
        <is>
          <t>2026-07-10</t>
        </is>
      </c>
      <c r="N325" s="28">
        <f>IF(M325="","",M325-TODAY())</f>
        <v/>
      </c>
      <c r="O325" s="37">
        <f>IF(A325="","",IF(L325="Hoàn thành","XONG",IF(N325&lt;0,"QUÁ HẠN","Trong hạn")))</f>
        <v/>
      </c>
      <c r="P325" s="37" t="n"/>
      <c r="Q325" s="29" t="n"/>
      <c r="R325" s="37" t="n"/>
      <c r="S325" s="37" t="n"/>
    </row>
    <row r="326" ht="15.75" customHeight="1" s="56">
      <c r="A326" s="37" t="inlineStr">
        <is>
          <t>BK-HS-0323</t>
        </is>
      </c>
      <c r="B326" s="27" t="inlineStr">
        <is>
          <t>2026-06-23</t>
        </is>
      </c>
      <c r="C326" s="37" t="inlineStr">
        <is>
          <t>Phòng Đo đạc</t>
        </is>
      </c>
      <c r="D326" s="37" t="inlineStr">
        <is>
          <t>Đo hiện trạng</t>
        </is>
      </c>
      <c r="E326" s="37" t="inlineStr">
        <is>
          <t>Khảo sát khu dân cư Linh Tây</t>
        </is>
      </c>
      <c r="F326" s="37" t="inlineStr">
        <is>
          <t>Nguyễn Văn A</t>
        </is>
      </c>
      <c r="G326" s="37" t="inlineStr">
        <is>
          <t>0912345678</t>
        </is>
      </c>
      <c r="H326" s="37" t="inlineStr">
        <is>
          <t>Linh Tây</t>
        </is>
      </c>
      <c r="I326" s="37" t="inlineStr">
        <is>
          <t>Võ Thành Minh</t>
        </is>
      </c>
      <c r="J326" s="37" t="inlineStr">
        <is>
          <t>Lê Văn Dựng</t>
        </is>
      </c>
      <c r="K326" s="37" t="n"/>
      <c r="L326" s="37" t="inlineStr">
        <is>
          <t>Mỗi tiếp nhận</t>
        </is>
      </c>
      <c r="M326" s="27" t="inlineStr">
        <is>
          <t>2026-07-10</t>
        </is>
      </c>
      <c r="N326" s="28">
        <f>IF(M326="","",M326-TODAY())</f>
        <v/>
      </c>
      <c r="O326" s="37">
        <f>IF(A326="","",IF(L326="Hoàn thành","XONG",IF(N326&lt;0,"QUÁ HẠN","Trong hạn")))</f>
        <v/>
      </c>
      <c r="P326" s="37" t="n"/>
      <c r="Q326" s="29" t="n"/>
      <c r="R326" s="37" t="n"/>
      <c r="S326" s="37" t="n"/>
    </row>
    <row r="327" ht="15.75" customHeight="1" s="56">
      <c r="A327" s="37" t="inlineStr">
        <is>
          <t>BK-HS-0324</t>
        </is>
      </c>
      <c r="B327" s="27" t="inlineStr">
        <is>
          <t>2026-06-23</t>
        </is>
      </c>
      <c r="C327" s="37" t="inlineStr">
        <is>
          <t>Phòng Đo đạc</t>
        </is>
      </c>
      <c r="D327" s="37" t="inlineStr">
        <is>
          <t>Đo hiện trạng</t>
        </is>
      </c>
      <c r="E327" s="37" t="inlineStr">
        <is>
          <t>Khao sat khu dan cu Linh Tay</t>
        </is>
      </c>
      <c r="F327" s="37" t="inlineStr">
        <is>
          <t>Nguyen Van A</t>
        </is>
      </c>
      <c r="G327" s="37" t="inlineStr">
        <is>
          <t>0912345678</t>
        </is>
      </c>
      <c r="H327" s="37" t="inlineStr">
        <is>
          <t>Linh Tay</t>
        </is>
      </c>
      <c r="I327" s="37" t="inlineStr">
        <is>
          <t>Vo Thanh Minh</t>
        </is>
      </c>
      <c r="J327" s="37" t="inlineStr">
        <is>
          <t>Le Van Dung</t>
        </is>
      </c>
      <c r="K327" s="37" t="n"/>
      <c r="L327" s="37" t="inlineStr">
        <is>
          <t>Mới tiếp nhận</t>
        </is>
      </c>
      <c r="M327" s="27" t="inlineStr">
        <is>
          <t>2026-07-10</t>
        </is>
      </c>
      <c r="N327" s="28">
        <f>IF(M327="","",M327-TODAY())</f>
        <v/>
      </c>
      <c r="O327" s="37">
        <f>IF(A327="","",IF(L327="Hoàn thành","XONG",IF(N327&lt;0,"QUÁ HẠN","Trong hạn")))</f>
        <v/>
      </c>
      <c r="P327" s="37" t="n"/>
      <c r="Q327" s="29" t="n"/>
      <c r="R327" s="37" t="n"/>
      <c r="S327" s="37" t="n"/>
    </row>
    <row r="328" ht="15.75" customHeight="1" s="56">
      <c r="A328" s="37" t="inlineStr">
        <is>
          <t>BK-HS-0325</t>
        </is>
      </c>
      <c r="B328" s="27" t="inlineStr">
        <is>
          <t>2026-06-23</t>
        </is>
      </c>
      <c r="C328" s="37" t="inlineStr">
        <is>
          <t>Phòng Đo đạc</t>
        </is>
      </c>
      <c r="D328" s="37" t="inlineStr">
        <is>
          <t>Đo hiện trạng</t>
        </is>
      </c>
      <c r="E328" s="37" t="inlineStr">
        <is>
          <t>Khao sat khu dan cu Linh Tay</t>
        </is>
      </c>
      <c r="F328" s="37" t="inlineStr">
        <is>
          <t>Nguyen Van A</t>
        </is>
      </c>
      <c r="G328" s="37" t="inlineStr">
        <is>
          <t>0912345678</t>
        </is>
      </c>
      <c r="H328" s="37" t="inlineStr">
        <is>
          <t>Linh Tay</t>
        </is>
      </c>
      <c r="I328" s="37" t="inlineStr">
        <is>
          <t>Vo Thanh Minh</t>
        </is>
      </c>
      <c r="J328" s="37" t="inlineStr">
        <is>
          <t>Le Van Dung</t>
        </is>
      </c>
      <c r="K328" s="37" t="n"/>
      <c r="L328" s="37" t="inlineStr">
        <is>
          <t>Mới tiếp nhận</t>
        </is>
      </c>
      <c r="M328" s="27" t="inlineStr">
        <is>
          <t>2026-07-10</t>
        </is>
      </c>
      <c r="N328" s="28">
        <f>IF(M328="","",M328-TODAY())</f>
        <v/>
      </c>
      <c r="O328" s="37">
        <f>IF(A328="","",IF(L328="Hoàn thành","XONG",IF(N328&lt;0,"QUÁ HẠN","Trong hạn")))</f>
        <v/>
      </c>
      <c r="P328" s="37" t="n"/>
      <c r="Q328" s="29" t="n"/>
      <c r="R328" s="37" t="n"/>
      <c r="S328" s="37" t="n"/>
    </row>
    <row r="329" ht="15.75" customHeight="1" s="56">
      <c r="A329" s="37" t="inlineStr">
        <is>
          <t>BK-HS-0326</t>
        </is>
      </c>
      <c r="B329" s="27" t="inlineStr">
        <is>
          <t>2026-06-23</t>
        </is>
      </c>
      <c r="C329" s="37" t="inlineStr">
        <is>
          <t>Phòng Đo đạc</t>
        </is>
      </c>
      <c r="D329" s="37" t="inlineStr">
        <is>
          <t>Đo hiện trạng</t>
        </is>
      </c>
      <c r="E329" s="37" t="inlineStr">
        <is>
          <t>Test Python auto</t>
        </is>
      </c>
      <c r="F329" s="37" t="inlineStr">
        <is>
          <t>Khách Test</t>
        </is>
      </c>
      <c r="G329" s="37" t="inlineStr">
        <is>
          <t>0909123456</t>
        </is>
      </c>
      <c r="H329" s="37" t="inlineStr">
        <is>
          <t>Linh Trung</t>
        </is>
      </c>
      <c r="I329" s="37" t="inlineStr">
        <is>
          <t>Lê Văn Dựng</t>
        </is>
      </c>
      <c r="J329" s="37" t="inlineStr">
        <is>
          <t>Không cần</t>
        </is>
      </c>
      <c r="K329" s="37" t="n"/>
      <c r="L329" s="37" t="inlineStr">
        <is>
          <t>Mới tiếp nhận</t>
        </is>
      </c>
      <c r="M329" s="27" t="inlineStr">
        <is>
          <t>2026-07-23</t>
        </is>
      </c>
      <c r="N329" s="28">
        <f>IF(M329="","",M329-TODAY())</f>
        <v/>
      </c>
      <c r="O329" s="37">
        <f>IF(A329="","",IF(L329="Hoàn thành","XONG",IF(N329&lt;0,"QUÁ HẠN","Trong hạn")))</f>
        <v/>
      </c>
      <c r="P329" s="37" t="n"/>
      <c r="Q329" s="29" t="n"/>
      <c r="R329" s="37" t="n"/>
      <c r="S329" s="37" t="n"/>
    </row>
    <row r="330" ht="15.75" customHeight="1" s="56">
      <c r="A330" s="37" t="n"/>
      <c r="B330" s="27" t="n"/>
      <c r="C330" s="37" t="n"/>
      <c r="D330" s="37" t="n"/>
      <c r="E330" s="37" t="n"/>
      <c r="F330" s="37" t="n"/>
      <c r="G330" s="37" t="n"/>
      <c r="H330" s="37" t="n"/>
      <c r="I330" s="37" t="n"/>
      <c r="J330" s="37" t="n"/>
      <c r="K330" s="37" t="n"/>
      <c r="L330" s="37" t="n"/>
      <c r="M330" s="27" t="n"/>
      <c r="N330" s="28">
        <f>IF(M330="","",M330-TODAY())</f>
        <v/>
      </c>
      <c r="O330" s="37">
        <f>IF(A330="","",IF(L330="Hoàn thành","XONG",IF(L330="Đã hủy","HỦY",IF(N330&lt;0,"QUÁ HẠN",IF(N330&lt;=THIET_LAP!$B$7,"SẮP HẠN","TRONG HẠN")))))</f>
        <v/>
      </c>
      <c r="P330" s="37" t="n"/>
      <c r="Q330" s="29" t="n"/>
      <c r="R330" s="37" t="n"/>
      <c r="S330" s="37" t="n"/>
    </row>
    <row r="331" ht="15.75" customHeight="1" s="56">
      <c r="A331" s="37" t="n"/>
      <c r="B331" s="27" t="n"/>
      <c r="C331" s="37" t="n"/>
      <c r="D331" s="37" t="n"/>
      <c r="E331" s="37" t="n"/>
      <c r="F331" s="37" t="n"/>
      <c r="G331" s="37" t="n"/>
      <c r="H331" s="37" t="n"/>
      <c r="I331" s="37" t="n"/>
      <c r="J331" s="37" t="n"/>
      <c r="K331" s="37" t="n"/>
      <c r="L331" s="37" t="n"/>
      <c r="M331" s="27" t="n"/>
      <c r="N331" s="28">
        <f>IF(M331="","",M331-TODAY())</f>
        <v/>
      </c>
      <c r="O331" s="37">
        <f>IF(A331="","",IF(L331="Hoàn thành","XONG",IF(L331="Đã hủy","HỦY",IF(N331&lt;0,"QUÁ HẠN",IF(N331&lt;=THIET_LAP!$B$7,"SẮP HẠN","TRONG HẠN")))))</f>
        <v/>
      </c>
      <c r="P331" s="37" t="n"/>
      <c r="Q331" s="29" t="n"/>
      <c r="R331" s="37" t="n"/>
      <c r="S331" s="37" t="n"/>
    </row>
    <row r="332" ht="15.75" customHeight="1" s="56">
      <c r="A332" s="37" t="n"/>
      <c r="B332" s="27" t="n"/>
      <c r="C332" s="37" t="n"/>
      <c r="D332" s="37" t="n"/>
      <c r="E332" s="37" t="n"/>
      <c r="F332" s="37" t="n"/>
      <c r="G332" s="37" t="n"/>
      <c r="H332" s="37" t="n"/>
      <c r="I332" s="37" t="n"/>
      <c r="J332" s="37" t="n"/>
      <c r="K332" s="37" t="n"/>
      <c r="L332" s="37" t="n"/>
      <c r="M332" s="27" t="n"/>
      <c r="N332" s="28">
        <f>IF(M332="","",M332-TODAY())</f>
        <v/>
      </c>
      <c r="O332" s="37">
        <f>IF(A332="","",IF(L332="Hoàn thành","XONG",IF(L332="Đã hủy","HỦY",IF(N332&lt;0,"QUÁ HẠN",IF(N332&lt;=THIET_LAP!$B$7,"SẮP HẠN","TRONG HẠN")))))</f>
        <v/>
      </c>
      <c r="P332" s="37" t="n"/>
      <c r="Q332" s="29" t="n"/>
      <c r="R332" s="37" t="n"/>
      <c r="S332" s="37" t="n"/>
    </row>
    <row r="333" ht="15.75" customHeight="1" s="56">
      <c r="A333" s="37" t="n"/>
      <c r="B333" s="27" t="n"/>
      <c r="C333" s="37" t="n"/>
      <c r="D333" s="37" t="n"/>
      <c r="E333" s="37" t="n"/>
      <c r="F333" s="37" t="n"/>
      <c r="G333" s="37" t="n"/>
      <c r="H333" s="37" t="n"/>
      <c r="I333" s="37" t="n"/>
      <c r="J333" s="37" t="n"/>
      <c r="K333" s="37" t="n"/>
      <c r="L333" s="37" t="n"/>
      <c r="M333" s="27" t="n"/>
      <c r="N333" s="28">
        <f>IF(M333="","",M333-TODAY())</f>
        <v/>
      </c>
      <c r="O333" s="37">
        <f>IF(A333="","",IF(L333="Hoàn thành","XONG",IF(L333="Đã hủy","HỦY",IF(N333&lt;0,"QUÁ HẠN",IF(N333&lt;=THIET_LAP!$B$7,"SẮP HẠN","TRONG HẠN")))))</f>
        <v/>
      </c>
      <c r="P333" s="37" t="n"/>
      <c r="Q333" s="29" t="n"/>
      <c r="R333" s="37" t="n"/>
      <c r="S333" s="37" t="n"/>
    </row>
    <row r="334" ht="15.75" customHeight="1" s="56">
      <c r="A334" s="37" t="n"/>
      <c r="B334" s="27" t="n"/>
      <c r="C334" s="37" t="n"/>
      <c r="D334" s="37" t="n"/>
      <c r="E334" s="37" t="n"/>
      <c r="F334" s="37" t="n"/>
      <c r="G334" s="37" t="n"/>
      <c r="H334" s="37" t="n"/>
      <c r="I334" s="37" t="n"/>
      <c r="J334" s="37" t="n"/>
      <c r="K334" s="37" t="n"/>
      <c r="L334" s="37" t="n"/>
      <c r="M334" s="27" t="n"/>
      <c r="N334" s="28">
        <f>IF(M334="","",M334-TODAY())</f>
        <v/>
      </c>
      <c r="O334" s="37">
        <f>IF(A334="","",IF(L334="Hoàn thành","XONG",IF(L334="Đã hủy","HỦY",IF(N334&lt;0,"QUÁ HẠN",IF(N334&lt;=THIET_LAP!$B$7,"SẮP HẠN","TRONG HẠN")))))</f>
        <v/>
      </c>
      <c r="P334" s="37" t="n"/>
      <c r="Q334" s="29" t="n"/>
      <c r="R334" s="37" t="n"/>
      <c r="S334" s="37" t="n"/>
    </row>
    <row r="335" ht="15.75" customHeight="1" s="56">
      <c r="A335" s="37" t="n"/>
      <c r="B335" s="27" t="n"/>
      <c r="C335" s="37" t="n"/>
      <c r="D335" s="37" t="n"/>
      <c r="E335" s="37" t="n"/>
      <c r="F335" s="37" t="n"/>
      <c r="G335" s="37" t="n"/>
      <c r="H335" s="37" t="n"/>
      <c r="I335" s="37" t="n"/>
      <c r="J335" s="37" t="n"/>
      <c r="K335" s="37" t="n"/>
      <c r="L335" s="37" t="n"/>
      <c r="M335" s="27" t="n"/>
      <c r="N335" s="28">
        <f>IF(M335="","",M335-TODAY())</f>
        <v/>
      </c>
      <c r="O335" s="37">
        <f>IF(A335="","",IF(L335="Hoàn thành","XONG",IF(L335="Đã hủy","HỦY",IF(N335&lt;0,"QUÁ HẠN",IF(N335&lt;=THIET_LAP!$B$7,"SẮP HẠN","TRONG HẠN")))))</f>
        <v/>
      </c>
      <c r="P335" s="37" t="n"/>
      <c r="Q335" s="29" t="n"/>
      <c r="R335" s="37" t="n"/>
      <c r="S335" s="37" t="n"/>
    </row>
    <row r="336" ht="15.75" customHeight="1" s="56">
      <c r="A336" s="37" t="n"/>
      <c r="B336" s="27" t="n"/>
      <c r="C336" s="37" t="n"/>
      <c r="D336" s="37" t="n"/>
      <c r="E336" s="37" t="n"/>
      <c r="F336" s="37" t="n"/>
      <c r="G336" s="37" t="n"/>
      <c r="H336" s="37" t="n"/>
      <c r="I336" s="37" t="n"/>
      <c r="J336" s="37" t="n"/>
      <c r="K336" s="37" t="n"/>
      <c r="L336" s="37" t="n"/>
      <c r="M336" s="27" t="n"/>
      <c r="N336" s="28">
        <f>IF(M336="","",M336-TODAY())</f>
        <v/>
      </c>
      <c r="O336" s="37">
        <f>IF(A336="","",IF(L336="Hoàn thành","XONG",IF(L336="Đã hủy","HỦY",IF(N336&lt;0,"QUÁ HẠN",IF(N336&lt;=THIET_LAP!$B$7,"SẮP HẠN","TRONG HẠN")))))</f>
        <v/>
      </c>
      <c r="P336" s="37" t="n"/>
      <c r="Q336" s="29" t="n"/>
      <c r="R336" s="37" t="n"/>
      <c r="S336" s="37" t="n"/>
    </row>
    <row r="337" ht="15.75" customHeight="1" s="56">
      <c r="A337" s="37" t="n"/>
      <c r="B337" s="27" t="n"/>
      <c r="C337" s="37" t="n"/>
      <c r="D337" s="37" t="n"/>
      <c r="E337" s="37" t="n"/>
      <c r="F337" s="37" t="n"/>
      <c r="G337" s="37" t="n"/>
      <c r="H337" s="37" t="n"/>
      <c r="I337" s="37" t="n"/>
      <c r="J337" s="37" t="n"/>
      <c r="K337" s="37" t="n"/>
      <c r="L337" s="37" t="n"/>
      <c r="M337" s="27" t="n"/>
      <c r="N337" s="28">
        <f>IF(M337="","",M337-TODAY())</f>
        <v/>
      </c>
      <c r="O337" s="37">
        <f>IF(A337="","",IF(L337="Hoàn thành","XONG",IF(L337="Đã hủy","HỦY",IF(N337&lt;0,"QUÁ HẠN",IF(N337&lt;=THIET_LAP!$B$7,"SẮP HẠN","TRONG HẠN")))))</f>
        <v/>
      </c>
      <c r="P337" s="37" t="n"/>
      <c r="Q337" s="29" t="n"/>
      <c r="R337" s="37" t="n"/>
      <c r="S337" s="37" t="n"/>
    </row>
    <row r="338" ht="15.75" customHeight="1" s="56">
      <c r="A338" s="37" t="n"/>
      <c r="B338" s="27" t="n"/>
      <c r="C338" s="37" t="n"/>
      <c r="D338" s="37" t="n"/>
      <c r="E338" s="37" t="n"/>
      <c r="F338" s="37" t="n"/>
      <c r="G338" s="37" t="n"/>
      <c r="H338" s="37" t="n"/>
      <c r="I338" s="37" t="n"/>
      <c r="J338" s="37" t="n"/>
      <c r="K338" s="37" t="n"/>
      <c r="L338" s="37" t="n"/>
      <c r="M338" s="27" t="n"/>
      <c r="N338" s="28">
        <f>IF(M338="","",M338-TODAY())</f>
        <v/>
      </c>
      <c r="O338" s="37">
        <f>IF(A338="","",IF(L338="Hoàn thành","XONG",IF(L338="Đã hủy","HỦY",IF(N338&lt;0,"QUÁ HẠN",IF(N338&lt;=THIET_LAP!$B$7,"SẮP HẠN","TRONG HẠN")))))</f>
        <v/>
      </c>
      <c r="P338" s="37" t="n"/>
      <c r="Q338" s="29" t="n"/>
      <c r="R338" s="37" t="n"/>
      <c r="S338" s="37" t="n"/>
    </row>
    <row r="339" ht="15.75" customHeight="1" s="56">
      <c r="A339" s="37" t="n"/>
      <c r="B339" s="27" t="n"/>
      <c r="C339" s="37" t="n"/>
      <c r="D339" s="37" t="n"/>
      <c r="E339" s="37" t="n"/>
      <c r="F339" s="37" t="n"/>
      <c r="G339" s="37" t="n"/>
      <c r="H339" s="37" t="n"/>
      <c r="I339" s="37" t="n"/>
      <c r="J339" s="37" t="n"/>
      <c r="K339" s="37" t="n"/>
      <c r="L339" s="37" t="n"/>
      <c r="M339" s="27" t="n"/>
      <c r="N339" s="28">
        <f>IF(M339="","",M339-TODAY())</f>
        <v/>
      </c>
      <c r="O339" s="37">
        <f>IF(A339="","",IF(L339="Hoàn thành","XONG",IF(L339="Đã hủy","HỦY",IF(N339&lt;0,"QUÁ HẠN",IF(N339&lt;=THIET_LAP!$B$7,"SẮP HẠN","TRONG HẠN")))))</f>
        <v/>
      </c>
      <c r="P339" s="37" t="n"/>
      <c r="Q339" s="29" t="n"/>
      <c r="R339" s="37" t="n"/>
      <c r="S339" s="37" t="n"/>
    </row>
    <row r="340" ht="15.75" customHeight="1" s="56">
      <c r="A340" s="37" t="n"/>
      <c r="B340" s="27" t="n"/>
      <c r="C340" s="37" t="n"/>
      <c r="D340" s="37" t="n"/>
      <c r="E340" s="37" t="n"/>
      <c r="F340" s="37" t="n"/>
      <c r="G340" s="37" t="n"/>
      <c r="H340" s="37" t="n"/>
      <c r="I340" s="37" t="n"/>
      <c r="J340" s="37" t="n"/>
      <c r="K340" s="37" t="n"/>
      <c r="L340" s="37" t="n"/>
      <c r="M340" s="27" t="n"/>
      <c r="N340" s="28">
        <f>IF(M340="","",M340-TODAY())</f>
        <v/>
      </c>
      <c r="O340" s="37">
        <f>IF(A340="","",IF(L340="Hoàn thành","XONG",IF(L340="Đã hủy","HỦY",IF(N340&lt;0,"QUÁ HẠN",IF(N340&lt;=THIET_LAP!$B$7,"SẮP HẠN","TRONG HẠN")))))</f>
        <v/>
      </c>
      <c r="P340" s="37" t="n"/>
      <c r="Q340" s="29" t="n"/>
      <c r="R340" s="37" t="n"/>
      <c r="S340" s="37" t="n"/>
    </row>
    <row r="341" ht="15.75" customHeight="1" s="56">
      <c r="A341" s="37" t="n"/>
      <c r="B341" s="27" t="n"/>
      <c r="C341" s="37" t="n"/>
      <c r="D341" s="37" t="n"/>
      <c r="E341" s="37" t="n"/>
      <c r="F341" s="37" t="n"/>
      <c r="G341" s="37" t="n"/>
      <c r="H341" s="37" t="n"/>
      <c r="I341" s="37" t="n"/>
      <c r="J341" s="37" t="n"/>
      <c r="K341" s="37" t="n"/>
      <c r="L341" s="37" t="n"/>
      <c r="M341" s="27" t="n"/>
      <c r="N341" s="28">
        <f>IF(M341="","",M341-TODAY())</f>
        <v/>
      </c>
      <c r="O341" s="37">
        <f>IF(A341="","",IF(L341="Hoàn thành","XONG",IF(L341="Đã hủy","HỦY",IF(N341&lt;0,"QUÁ HẠN",IF(N341&lt;=THIET_LAP!$B$7,"SẮP HẠN","TRONG HẠN")))))</f>
        <v/>
      </c>
      <c r="P341" s="37" t="n"/>
      <c r="Q341" s="29" t="n"/>
      <c r="R341" s="37" t="n"/>
      <c r="S341" s="37" t="n"/>
    </row>
    <row r="342" ht="15.75" customHeight="1" s="56">
      <c r="A342" s="37" t="n"/>
      <c r="B342" s="27" t="n"/>
      <c r="C342" s="37" t="n"/>
      <c r="D342" s="37" t="n"/>
      <c r="E342" s="37" t="n"/>
      <c r="F342" s="37" t="n"/>
      <c r="G342" s="37" t="n"/>
      <c r="H342" s="37" t="n"/>
      <c r="I342" s="37" t="n"/>
      <c r="J342" s="37" t="n"/>
      <c r="K342" s="37" t="n"/>
      <c r="L342" s="37" t="n"/>
      <c r="M342" s="27" t="n"/>
      <c r="N342" s="28">
        <f>IF(M342="","",M342-TODAY())</f>
        <v/>
      </c>
      <c r="O342" s="37">
        <f>IF(A342="","",IF(L342="Hoàn thành","XONG",IF(L342="Đã hủy","HỦY",IF(N342&lt;0,"QUÁ HẠN",IF(N342&lt;=THIET_LAP!$B$7,"SẮP HẠN","TRONG HẠN")))))</f>
        <v/>
      </c>
      <c r="P342" s="37" t="n"/>
      <c r="Q342" s="29" t="n"/>
      <c r="R342" s="37" t="n"/>
      <c r="S342" s="37" t="n"/>
    </row>
    <row r="343" ht="15.75" customHeight="1" s="56">
      <c r="A343" s="37" t="n"/>
      <c r="B343" s="27" t="n"/>
      <c r="C343" s="37" t="n"/>
      <c r="D343" s="37" t="n"/>
      <c r="E343" s="37" t="n"/>
      <c r="F343" s="37" t="n"/>
      <c r="G343" s="37" t="n"/>
      <c r="H343" s="37" t="n"/>
      <c r="I343" s="37" t="n"/>
      <c r="J343" s="37" t="n"/>
      <c r="K343" s="37" t="n"/>
      <c r="L343" s="37" t="n"/>
      <c r="M343" s="27" t="n"/>
      <c r="N343" s="28">
        <f>IF(M343="","",M343-TODAY())</f>
        <v/>
      </c>
      <c r="O343" s="37">
        <f>IF(A343="","",IF(L343="Hoàn thành","XONG",IF(L343="Đã hủy","HỦY",IF(N343&lt;0,"QUÁ HẠN",IF(N343&lt;=THIET_LAP!$B$7,"SẮP HẠN","TRONG HẠN")))))</f>
        <v/>
      </c>
      <c r="P343" s="37" t="n"/>
      <c r="Q343" s="29" t="n"/>
      <c r="R343" s="37" t="n"/>
      <c r="S343" s="37" t="n"/>
    </row>
    <row r="344" ht="15.75" customHeight="1" s="56">
      <c r="A344" s="37">
        <f>IF(B344="","",THIET_LAP!$B$4&amp;"-HS-"&amp;TEXT(COUNT($B$4:B344),"0000"))</f>
        <v/>
      </c>
      <c r="B344" s="27" t="n"/>
      <c r="C344" s="37" t="n"/>
      <c r="D344" s="37" t="n"/>
      <c r="E344" s="37" t="n"/>
      <c r="F344" s="37" t="n"/>
      <c r="G344" s="37" t="n"/>
      <c r="H344" s="37" t="n"/>
      <c r="I344" s="37" t="n"/>
      <c r="J344" s="37" t="n"/>
      <c r="K344" s="37" t="n"/>
      <c r="L344" s="37" t="n"/>
      <c r="M344" s="27" t="n"/>
      <c r="N344" s="28">
        <f>IF(M344="","",M344-TODAY())</f>
        <v/>
      </c>
      <c r="O344" s="37">
        <f>IF(A344="","",IF(L344="Hoàn thành","XONG",IF(L344="Đã hủy","HỦY",IF(N344&lt;0,"QUÁ HẠN",IF(N344&lt;=THIET_LAP!$B$7,"SẮP HẠN","TRONG HẠN")))))</f>
        <v/>
      </c>
      <c r="P344" s="37" t="n"/>
      <c r="Q344" s="29" t="n"/>
      <c r="R344" s="37" t="n"/>
      <c r="S344" s="37" t="n"/>
    </row>
    <row r="345" ht="15.75" customHeight="1" s="56">
      <c r="A345" s="37">
        <f>IF(B345="","",THIET_LAP!$B$4&amp;"-HS-"&amp;TEXT(COUNT($B$4:B345),"0000"))</f>
        <v/>
      </c>
      <c r="B345" s="27" t="n"/>
      <c r="C345" s="37" t="n"/>
      <c r="D345" s="37" t="n"/>
      <c r="E345" s="37" t="n"/>
      <c r="F345" s="37" t="n"/>
      <c r="G345" s="37" t="n"/>
      <c r="H345" s="37" t="n"/>
      <c r="I345" s="37" t="n"/>
      <c r="J345" s="37" t="n"/>
      <c r="K345" s="37" t="n"/>
      <c r="L345" s="37" t="n"/>
      <c r="M345" s="27" t="n"/>
      <c r="N345" s="28">
        <f>IF(M345="","",M345-TODAY())</f>
        <v/>
      </c>
      <c r="O345" s="37">
        <f>IF(A345="","",IF(L345="Hoàn thành","XONG",IF(L345="Đã hủy","HỦY",IF(N345&lt;0,"QUÁ HẠN",IF(N345&lt;=THIET_LAP!$B$7,"SẮP HẠN","TRONG HẠN")))))</f>
        <v/>
      </c>
      <c r="P345" s="37" t="n"/>
      <c r="Q345" s="29" t="n"/>
      <c r="R345" s="37" t="n"/>
      <c r="S345" s="37" t="n"/>
    </row>
    <row r="346" ht="15.75" customHeight="1" s="56">
      <c r="A346" s="37">
        <f>IF(B346="","",THIET_LAP!$B$4&amp;"-HS-"&amp;TEXT(COUNT($B$4:B346),"0000"))</f>
        <v/>
      </c>
      <c r="B346" s="27" t="n"/>
      <c r="C346" s="37" t="n"/>
      <c r="D346" s="37" t="n"/>
      <c r="E346" s="37" t="n"/>
      <c r="F346" s="37" t="n"/>
      <c r="G346" s="37" t="n"/>
      <c r="H346" s="37" t="n"/>
      <c r="I346" s="37" t="n"/>
      <c r="J346" s="37" t="n"/>
      <c r="K346" s="37" t="n"/>
      <c r="L346" s="37" t="n"/>
      <c r="M346" s="27" t="n"/>
      <c r="N346" s="28">
        <f>IF(M346="","",M346-TODAY())</f>
        <v/>
      </c>
      <c r="O346" s="37">
        <f>IF(A346="","",IF(L346="Hoàn thành","XONG",IF(L346="Đã hủy","HỦY",IF(N346&lt;0,"QUÁ HẠN",IF(N346&lt;=THIET_LAP!$B$7,"SẮP HẠN","TRONG HẠN")))))</f>
        <v/>
      </c>
      <c r="P346" s="37" t="n"/>
      <c r="Q346" s="29" t="n"/>
      <c r="R346" s="37" t="n"/>
      <c r="S346" s="37" t="n"/>
    </row>
    <row r="347" ht="15.75" customHeight="1" s="56">
      <c r="A347" s="37">
        <f>IF(B347="","",THIET_LAP!$B$4&amp;"-HS-"&amp;TEXT(COUNT($B$4:B347),"0000"))</f>
        <v/>
      </c>
      <c r="B347" s="27" t="n"/>
      <c r="C347" s="37" t="n"/>
      <c r="D347" s="37" t="n"/>
      <c r="E347" s="37" t="n"/>
      <c r="F347" s="37" t="n"/>
      <c r="G347" s="37" t="n"/>
      <c r="H347" s="37" t="n"/>
      <c r="I347" s="37" t="n"/>
      <c r="J347" s="37" t="n"/>
      <c r="K347" s="37" t="n"/>
      <c r="L347" s="37" t="n"/>
      <c r="M347" s="27" t="n"/>
      <c r="N347" s="28">
        <f>IF(M347="","",M347-TODAY())</f>
        <v/>
      </c>
      <c r="O347" s="37">
        <f>IF(A347="","",IF(L347="Hoàn thành","XONG",IF(L347="Đã hủy","HỦY",IF(N347&lt;0,"QUÁ HẠN",IF(N347&lt;=THIET_LAP!$B$7,"SẮP HẠN","TRONG HẠN")))))</f>
        <v/>
      </c>
      <c r="P347" s="37" t="n"/>
      <c r="Q347" s="29" t="n"/>
      <c r="R347" s="37" t="n"/>
      <c r="S347" s="37" t="n"/>
    </row>
    <row r="348" ht="15.75" customHeight="1" s="56">
      <c r="A348" s="37">
        <f>IF(B348="","",THIET_LAP!$B$4&amp;"-HS-"&amp;TEXT(COUNT($B$4:B348),"0000"))</f>
        <v/>
      </c>
      <c r="B348" s="27" t="n"/>
      <c r="C348" s="37" t="n"/>
      <c r="D348" s="37" t="n"/>
      <c r="E348" s="37" t="n"/>
      <c r="F348" s="37" t="n"/>
      <c r="G348" s="37" t="n"/>
      <c r="H348" s="37" t="n"/>
      <c r="I348" s="37" t="n"/>
      <c r="J348" s="37" t="n"/>
      <c r="K348" s="37" t="n"/>
      <c r="L348" s="37" t="n"/>
      <c r="M348" s="27" t="n"/>
      <c r="N348" s="28">
        <f>IF(M348="","",M348-TODAY())</f>
        <v/>
      </c>
      <c r="O348" s="37">
        <f>IF(A348="","",IF(L348="Hoàn thành","XONG",IF(L348="Đã hủy","HỦY",IF(N348&lt;0,"QUÁ HẠN",IF(N348&lt;=THIET_LAP!$B$7,"SẮP HẠN","TRONG HẠN")))))</f>
        <v/>
      </c>
      <c r="P348" s="37" t="n"/>
      <c r="Q348" s="29" t="n"/>
      <c r="R348" s="37" t="n"/>
      <c r="S348" s="37" t="n"/>
    </row>
    <row r="349" ht="15.75" customHeight="1" s="56">
      <c r="A349" s="37">
        <f>IF(B349="","",THIET_LAP!$B$4&amp;"-HS-"&amp;TEXT(COUNT($B$4:B349),"0000"))</f>
        <v/>
      </c>
      <c r="B349" s="27" t="n"/>
      <c r="C349" s="37" t="n"/>
      <c r="D349" s="37" t="n"/>
      <c r="E349" s="37" t="n"/>
      <c r="F349" s="37" t="n"/>
      <c r="G349" s="37" t="n"/>
      <c r="H349" s="37" t="n"/>
      <c r="I349" s="37" t="n"/>
      <c r="J349" s="37" t="n"/>
      <c r="K349" s="37" t="n"/>
      <c r="L349" s="37" t="n"/>
      <c r="M349" s="27" t="n"/>
      <c r="N349" s="28">
        <f>IF(M349="","",M349-TODAY())</f>
        <v/>
      </c>
      <c r="O349" s="37">
        <f>IF(A349="","",IF(L349="Hoàn thành","XONG",IF(L349="Đã hủy","HỦY",IF(N349&lt;0,"QUÁ HẠN",IF(N349&lt;=THIET_LAP!$B$7,"SẮP HẠN","TRONG HẠN")))))</f>
        <v/>
      </c>
      <c r="P349" s="37" t="n"/>
      <c r="Q349" s="29" t="n"/>
      <c r="R349" s="37" t="n"/>
      <c r="S349" s="37" t="n"/>
    </row>
    <row r="350" ht="15.75" customHeight="1" s="56">
      <c r="A350" s="37">
        <f>IF(B350="","",THIET_LAP!$B$4&amp;"-HS-"&amp;TEXT(COUNT($B$4:B350),"0000"))</f>
        <v/>
      </c>
      <c r="B350" s="27" t="n"/>
      <c r="C350" s="37" t="n"/>
      <c r="D350" s="37" t="n"/>
      <c r="E350" s="37" t="n"/>
      <c r="F350" s="37" t="n"/>
      <c r="G350" s="37" t="n"/>
      <c r="H350" s="37" t="n"/>
      <c r="I350" s="37" t="n"/>
      <c r="J350" s="37" t="n"/>
      <c r="K350" s="37" t="n"/>
      <c r="L350" s="37" t="n"/>
      <c r="M350" s="27" t="n"/>
      <c r="N350" s="28">
        <f>IF(M350="","",M350-TODAY())</f>
        <v/>
      </c>
      <c r="O350" s="37">
        <f>IF(A350="","",IF(L350="Hoàn thành","XONG",IF(L350="Đã hủy","HỦY",IF(N350&lt;0,"QUÁ HẠN",IF(N350&lt;=THIET_LAP!$B$7,"SẮP HẠN","TRONG HẠN")))))</f>
        <v/>
      </c>
      <c r="P350" s="37" t="n"/>
      <c r="Q350" s="29" t="n"/>
      <c r="R350" s="37" t="n"/>
      <c r="S350" s="37" t="n"/>
    </row>
    <row r="351" ht="15.75" customHeight="1" s="56">
      <c r="A351" s="37">
        <f>IF(B351="","",THIET_LAP!$B$4&amp;"-HS-"&amp;TEXT(COUNT($B$4:B351),"0000"))</f>
        <v/>
      </c>
      <c r="B351" s="27" t="n"/>
      <c r="C351" s="37" t="n"/>
      <c r="D351" s="37" t="n"/>
      <c r="E351" s="37" t="n"/>
      <c r="F351" s="37" t="n"/>
      <c r="G351" s="37" t="n"/>
      <c r="H351" s="37" t="n"/>
      <c r="I351" s="37" t="n"/>
      <c r="J351" s="37" t="n"/>
      <c r="K351" s="37" t="n"/>
      <c r="L351" s="37" t="n"/>
      <c r="M351" s="27" t="n"/>
      <c r="N351" s="28">
        <f>IF(M351="","",M351-TODAY())</f>
        <v/>
      </c>
      <c r="O351" s="37">
        <f>IF(A351="","",IF(L351="Hoàn thành","XONG",IF(L351="Đã hủy","HỦY",IF(N351&lt;0,"QUÁ HẠN",IF(N351&lt;=THIET_LAP!$B$7,"SẮP HẠN","TRONG HẠN")))))</f>
        <v/>
      </c>
      <c r="P351" s="37" t="n"/>
      <c r="Q351" s="29" t="n"/>
      <c r="R351" s="37" t="n"/>
      <c r="S351" s="37" t="n"/>
    </row>
    <row r="352" ht="15.75" customHeight="1" s="56">
      <c r="A352" s="37">
        <f>IF(B352="","",THIET_LAP!$B$4&amp;"-HS-"&amp;TEXT(COUNT($B$4:B352),"0000"))</f>
        <v/>
      </c>
      <c r="B352" s="27" t="n"/>
      <c r="C352" s="37" t="n"/>
      <c r="D352" s="37" t="n"/>
      <c r="E352" s="37" t="n"/>
      <c r="F352" s="37" t="n"/>
      <c r="G352" s="37" t="n"/>
      <c r="H352" s="37" t="n"/>
      <c r="I352" s="37" t="n"/>
      <c r="J352" s="37" t="n"/>
      <c r="K352" s="37" t="n"/>
      <c r="L352" s="37" t="n"/>
      <c r="M352" s="27" t="n"/>
      <c r="N352" s="28">
        <f>IF(M352="","",M352-TODAY())</f>
        <v/>
      </c>
      <c r="O352" s="37">
        <f>IF(A352="","",IF(L352="Hoàn thành","XONG",IF(L352="Đã hủy","HỦY",IF(N352&lt;0,"QUÁ HẠN",IF(N352&lt;=THIET_LAP!$B$7,"SẮP HẠN","TRONG HẠN")))))</f>
        <v/>
      </c>
      <c r="P352" s="37" t="n"/>
      <c r="Q352" s="29" t="n"/>
      <c r="R352" s="37" t="n"/>
      <c r="S352" s="37" t="n"/>
    </row>
    <row r="353" ht="15.75" customHeight="1" s="56">
      <c r="A353" s="37">
        <f>IF(B353="","",THIET_LAP!$B$4&amp;"-HS-"&amp;TEXT(COUNT($B$4:B353),"0000"))</f>
        <v/>
      </c>
      <c r="B353" s="27" t="n"/>
      <c r="C353" s="37" t="n"/>
      <c r="D353" s="37" t="n"/>
      <c r="E353" s="37" t="n"/>
      <c r="F353" s="37" t="n"/>
      <c r="G353" s="37" t="n"/>
      <c r="H353" s="37" t="n"/>
      <c r="I353" s="37" t="n"/>
      <c r="J353" s="37" t="n"/>
      <c r="K353" s="37" t="n"/>
      <c r="L353" s="37" t="n"/>
      <c r="M353" s="27" t="n"/>
      <c r="N353" s="28">
        <f>IF(M353="","",M353-TODAY())</f>
        <v/>
      </c>
      <c r="O353" s="37">
        <f>IF(A353="","",IF(L353="Hoàn thành","XONG",IF(L353="Đã hủy","HỦY",IF(N353&lt;0,"QUÁ HẠN",IF(N353&lt;=THIET_LAP!$B$7,"SẮP HẠN","TRONG HẠN")))))</f>
        <v/>
      </c>
      <c r="P353" s="37" t="n"/>
      <c r="Q353" s="29" t="n"/>
      <c r="R353" s="37" t="n"/>
      <c r="S353" s="37" t="n"/>
    </row>
    <row r="354" ht="15.75" customHeight="1" s="56">
      <c r="A354" s="37">
        <f>IF(B354="","",THIET_LAP!$B$4&amp;"-HS-"&amp;TEXT(COUNT($B$4:B354),"0000"))</f>
        <v/>
      </c>
      <c r="B354" s="27" t="n"/>
      <c r="C354" s="37" t="n"/>
      <c r="D354" s="37" t="n"/>
      <c r="E354" s="37" t="n"/>
      <c r="F354" s="37" t="n"/>
      <c r="G354" s="37" t="n"/>
      <c r="H354" s="37" t="n"/>
      <c r="I354" s="37" t="n"/>
      <c r="J354" s="37" t="n"/>
      <c r="K354" s="37" t="n"/>
      <c r="L354" s="37" t="n"/>
      <c r="M354" s="27" t="n"/>
      <c r="N354" s="28">
        <f>IF(M354="","",M354-TODAY())</f>
        <v/>
      </c>
      <c r="O354" s="37">
        <f>IF(A354="","",IF(L354="Hoàn thành","XONG",IF(L354="Đã hủy","HỦY",IF(N354&lt;0,"QUÁ HẠN",IF(N354&lt;=THIET_LAP!$B$7,"SẮP HẠN","TRONG HẠN")))))</f>
        <v/>
      </c>
      <c r="P354" s="37" t="n"/>
      <c r="Q354" s="29" t="n"/>
      <c r="R354" s="37" t="n"/>
      <c r="S354" s="37" t="n"/>
    </row>
    <row r="355" ht="15.75" customHeight="1" s="56">
      <c r="A355" s="37">
        <f>IF(B355="","",THIET_LAP!$B$4&amp;"-HS-"&amp;TEXT(COUNT($B$4:B355),"0000"))</f>
        <v/>
      </c>
      <c r="B355" s="27" t="n"/>
      <c r="C355" s="37" t="n"/>
      <c r="D355" s="37" t="n"/>
      <c r="E355" s="37" t="n"/>
      <c r="F355" s="37" t="n"/>
      <c r="G355" s="37" t="n"/>
      <c r="H355" s="37" t="n"/>
      <c r="I355" s="37" t="n"/>
      <c r="J355" s="37" t="n"/>
      <c r="K355" s="37" t="n"/>
      <c r="L355" s="37" t="n"/>
      <c r="M355" s="27" t="n"/>
      <c r="N355" s="28">
        <f>IF(M355="","",M355-TODAY())</f>
        <v/>
      </c>
      <c r="O355" s="37">
        <f>IF(A355="","",IF(L355="Hoàn thành","XONG",IF(L355="Đã hủy","HỦY",IF(N355&lt;0,"QUÁ HẠN",IF(N355&lt;=THIET_LAP!$B$7,"SẮP HẠN","TRONG HẠN")))))</f>
        <v/>
      </c>
      <c r="P355" s="37" t="n"/>
      <c r="Q355" s="29" t="n"/>
      <c r="R355" s="37" t="n"/>
      <c r="S355" s="37" t="n"/>
    </row>
    <row r="356" ht="15.75" customHeight="1" s="56">
      <c r="A356" s="37">
        <f>IF(B356="","",THIET_LAP!$B$4&amp;"-HS-"&amp;TEXT(COUNT($B$4:B356),"0000"))</f>
        <v/>
      </c>
      <c r="B356" s="27" t="n"/>
      <c r="C356" s="37" t="n"/>
      <c r="D356" s="37" t="n"/>
      <c r="E356" s="37" t="n"/>
      <c r="F356" s="37" t="n"/>
      <c r="G356" s="37" t="n"/>
      <c r="H356" s="37" t="n"/>
      <c r="I356" s="37" t="n"/>
      <c r="J356" s="37" t="n"/>
      <c r="K356" s="37" t="n"/>
      <c r="L356" s="37" t="n"/>
      <c r="M356" s="27" t="n"/>
      <c r="N356" s="28">
        <f>IF(M356="","",M356-TODAY())</f>
        <v/>
      </c>
      <c r="O356" s="37">
        <f>IF(A356="","",IF(L356="Hoàn thành","XONG",IF(L356="Đã hủy","HỦY",IF(N356&lt;0,"QUÁ HẠN",IF(N356&lt;=THIET_LAP!$B$7,"SẮP HẠN","TRONG HẠN")))))</f>
        <v/>
      </c>
      <c r="P356" s="37" t="n"/>
      <c r="Q356" s="29" t="n"/>
      <c r="R356" s="37" t="n"/>
      <c r="S356" s="37" t="n"/>
    </row>
    <row r="357" ht="15.75" customHeight="1" s="56">
      <c r="A357" s="37">
        <f>IF(B357="","",THIET_LAP!$B$4&amp;"-HS-"&amp;TEXT(COUNT($B$4:B357),"0000"))</f>
        <v/>
      </c>
      <c r="B357" s="27" t="n"/>
      <c r="C357" s="37" t="n"/>
      <c r="D357" s="37" t="n"/>
      <c r="E357" s="37" t="n"/>
      <c r="F357" s="37" t="n"/>
      <c r="G357" s="37" t="n"/>
      <c r="H357" s="37" t="n"/>
      <c r="I357" s="37" t="n"/>
      <c r="J357" s="37" t="n"/>
      <c r="K357" s="37" t="n"/>
      <c r="L357" s="37" t="n"/>
      <c r="M357" s="27" t="n"/>
      <c r="N357" s="28">
        <f>IF(M357="","",M357-TODAY())</f>
        <v/>
      </c>
      <c r="O357" s="37">
        <f>IF(A357="","",IF(L357="Hoàn thành","XONG",IF(L357="Đã hủy","HỦY",IF(N357&lt;0,"QUÁ HẠN",IF(N357&lt;=THIET_LAP!$B$7,"SẮP HẠN","TRONG HẠN")))))</f>
        <v/>
      </c>
      <c r="P357" s="37" t="n"/>
      <c r="Q357" s="29" t="n"/>
      <c r="R357" s="37" t="n"/>
      <c r="S357" s="37" t="n"/>
    </row>
    <row r="358" ht="15.75" customHeight="1" s="56">
      <c r="A358" s="37">
        <f>IF(B358="","",THIET_LAP!$B$4&amp;"-HS-"&amp;TEXT(COUNT($B$4:B358),"0000"))</f>
        <v/>
      </c>
      <c r="B358" s="27" t="n"/>
      <c r="C358" s="37" t="n"/>
      <c r="D358" s="37" t="n"/>
      <c r="E358" s="37" t="n"/>
      <c r="F358" s="37" t="n"/>
      <c r="G358" s="37" t="n"/>
      <c r="H358" s="37" t="n"/>
      <c r="I358" s="37" t="n"/>
      <c r="J358" s="37" t="n"/>
      <c r="K358" s="37" t="n"/>
      <c r="L358" s="37" t="n"/>
      <c r="M358" s="27" t="n"/>
      <c r="N358" s="28">
        <f>IF(M358="","",M358-TODAY())</f>
        <v/>
      </c>
      <c r="O358" s="37">
        <f>IF(A358="","",IF(L358="Hoàn thành","XONG",IF(L358="Đã hủy","HỦY",IF(N358&lt;0,"QUÁ HẠN",IF(N358&lt;=THIET_LAP!$B$7,"SẮP HẠN","TRONG HẠN")))))</f>
        <v/>
      </c>
      <c r="P358" s="37" t="n"/>
      <c r="Q358" s="29" t="n"/>
      <c r="R358" s="37" t="n"/>
      <c r="S358" s="37" t="n"/>
    </row>
    <row r="359" ht="15.75" customHeight="1" s="56">
      <c r="A359" s="37">
        <f>IF(B359="","",THIET_LAP!$B$4&amp;"-HS-"&amp;TEXT(COUNT($B$4:B359),"0000"))</f>
        <v/>
      </c>
      <c r="B359" s="27" t="n"/>
      <c r="C359" s="37" t="n"/>
      <c r="D359" s="37" t="n"/>
      <c r="E359" s="37" t="n"/>
      <c r="F359" s="37" t="n"/>
      <c r="G359" s="37" t="n"/>
      <c r="H359" s="37" t="n"/>
      <c r="I359" s="37" t="n"/>
      <c r="J359" s="37" t="n"/>
      <c r="K359" s="37" t="n"/>
      <c r="L359" s="37" t="n"/>
      <c r="M359" s="27" t="n"/>
      <c r="N359" s="28">
        <f>IF(M359="","",M359-TODAY())</f>
        <v/>
      </c>
      <c r="O359" s="37">
        <f>IF(A359="","",IF(L359="Hoàn thành","XONG",IF(L359="Đã hủy","HỦY",IF(N359&lt;0,"QUÁ HẠN",IF(N359&lt;=THIET_LAP!$B$7,"SẮP HẠN","TRONG HẠN")))))</f>
        <v/>
      </c>
      <c r="P359" s="37" t="n"/>
      <c r="Q359" s="29" t="n"/>
      <c r="R359" s="37" t="n"/>
      <c r="S359" s="37" t="n"/>
    </row>
    <row r="360" ht="15.75" customHeight="1" s="56">
      <c r="A360" s="37">
        <f>IF(B360="","",THIET_LAP!$B$4&amp;"-HS-"&amp;TEXT(COUNT($B$4:B360),"0000"))</f>
        <v/>
      </c>
      <c r="B360" s="27" t="n"/>
      <c r="C360" s="37" t="n"/>
      <c r="D360" s="37" t="n"/>
      <c r="E360" s="37" t="n"/>
      <c r="F360" s="37" t="n"/>
      <c r="G360" s="37" t="n"/>
      <c r="H360" s="37" t="n"/>
      <c r="I360" s="37" t="n"/>
      <c r="J360" s="37" t="n"/>
      <c r="K360" s="37" t="n"/>
      <c r="L360" s="37" t="n"/>
      <c r="M360" s="27" t="n"/>
      <c r="N360" s="28">
        <f>IF(M360="","",M360-TODAY())</f>
        <v/>
      </c>
      <c r="O360" s="37">
        <f>IF(A360="","",IF(L360="Hoàn thành","XONG",IF(L360="Đã hủy","HỦY",IF(N360&lt;0,"QUÁ HẠN",IF(N360&lt;=THIET_LAP!$B$7,"SẮP HẠN","TRONG HẠN")))))</f>
        <v/>
      </c>
      <c r="P360" s="37" t="n"/>
      <c r="Q360" s="29" t="n"/>
      <c r="R360" s="37" t="n"/>
      <c r="S360" s="37" t="n"/>
    </row>
    <row r="361" ht="15.75" customHeight="1" s="56">
      <c r="A361" s="37">
        <f>IF(B361="","",THIET_LAP!$B$4&amp;"-HS-"&amp;TEXT(COUNT($B$4:B361),"0000"))</f>
        <v/>
      </c>
      <c r="B361" s="27" t="n"/>
      <c r="C361" s="37" t="n"/>
      <c r="D361" s="37" t="n"/>
      <c r="E361" s="37" t="n"/>
      <c r="F361" s="37" t="n"/>
      <c r="G361" s="37" t="n"/>
      <c r="H361" s="37" t="n"/>
      <c r="I361" s="37" t="n"/>
      <c r="J361" s="37" t="n"/>
      <c r="K361" s="37" t="n"/>
      <c r="L361" s="37" t="n"/>
      <c r="M361" s="27" t="n"/>
      <c r="N361" s="28">
        <f>IF(M361="","",M361-TODAY())</f>
        <v/>
      </c>
      <c r="O361" s="37">
        <f>IF(A361="","",IF(L361="Hoàn thành","XONG",IF(L361="Đã hủy","HỦY",IF(N361&lt;0,"QUÁ HẠN",IF(N361&lt;=THIET_LAP!$B$7,"SẮP HẠN","TRONG HẠN")))))</f>
        <v/>
      </c>
      <c r="P361" s="37" t="n"/>
      <c r="Q361" s="29" t="n"/>
      <c r="R361" s="37" t="n"/>
      <c r="S361" s="37" t="n"/>
    </row>
    <row r="362" ht="15.75" customHeight="1" s="56">
      <c r="A362" s="37">
        <f>IF(B362="","",THIET_LAP!$B$4&amp;"-HS-"&amp;TEXT(COUNT($B$4:B362),"0000"))</f>
        <v/>
      </c>
      <c r="B362" s="27" t="n"/>
      <c r="C362" s="37" t="n"/>
      <c r="D362" s="37" t="n"/>
      <c r="E362" s="37" t="n"/>
      <c r="F362" s="37" t="n"/>
      <c r="G362" s="37" t="n"/>
      <c r="H362" s="37" t="n"/>
      <c r="I362" s="37" t="n"/>
      <c r="J362" s="37" t="n"/>
      <c r="K362" s="37" t="n"/>
      <c r="L362" s="37" t="n"/>
      <c r="M362" s="27" t="n"/>
      <c r="N362" s="28">
        <f>IF(M362="","",M362-TODAY())</f>
        <v/>
      </c>
      <c r="O362" s="37">
        <f>IF(A362="","",IF(L362="Hoàn thành","XONG",IF(L362="Đã hủy","HỦY",IF(N362&lt;0,"QUÁ HẠN",IF(N362&lt;=THIET_LAP!$B$7,"SẮP HẠN","TRONG HẠN")))))</f>
        <v/>
      </c>
      <c r="P362" s="37" t="n"/>
      <c r="Q362" s="29" t="n"/>
      <c r="R362" s="37" t="n"/>
      <c r="S362" s="37" t="n"/>
    </row>
    <row r="363" ht="15.75" customHeight="1" s="56">
      <c r="A363" s="37">
        <f>IF(B363="","",THIET_LAP!$B$4&amp;"-HS-"&amp;TEXT(COUNT($B$4:B363),"0000"))</f>
        <v/>
      </c>
      <c r="B363" s="27" t="n"/>
      <c r="C363" s="37" t="n"/>
      <c r="D363" s="37" t="n"/>
      <c r="E363" s="37" t="n"/>
      <c r="F363" s="37" t="n"/>
      <c r="G363" s="37" t="n"/>
      <c r="H363" s="37" t="n"/>
      <c r="I363" s="37" t="n"/>
      <c r="J363" s="37" t="n"/>
      <c r="K363" s="37" t="n"/>
      <c r="L363" s="37" t="n"/>
      <c r="M363" s="27" t="n"/>
      <c r="N363" s="28">
        <f>IF(M363="","",M363-TODAY())</f>
        <v/>
      </c>
      <c r="O363" s="37">
        <f>IF(A363="","",IF(L363="Hoàn thành","XONG",IF(L363="Đã hủy","HỦY",IF(N363&lt;0,"QUÁ HẠN",IF(N363&lt;=THIET_LAP!$B$7,"SẮP HẠN","TRONG HẠN")))))</f>
        <v/>
      </c>
      <c r="P363" s="37" t="n"/>
      <c r="Q363" s="29" t="n"/>
      <c r="R363" s="37" t="n"/>
      <c r="S363" s="37" t="n"/>
    </row>
    <row r="364" ht="15.75" customHeight="1" s="56">
      <c r="A364" s="37">
        <f>IF(B364="","",THIET_LAP!$B$4&amp;"-HS-"&amp;TEXT(COUNT($B$4:B364),"0000"))</f>
        <v/>
      </c>
      <c r="B364" s="27" t="n"/>
      <c r="C364" s="37" t="n"/>
      <c r="D364" s="37" t="n"/>
      <c r="E364" s="37" t="n"/>
      <c r="F364" s="37" t="n"/>
      <c r="G364" s="37" t="n"/>
      <c r="H364" s="37" t="n"/>
      <c r="I364" s="37" t="n"/>
      <c r="J364" s="37" t="n"/>
      <c r="K364" s="37" t="n"/>
      <c r="L364" s="37" t="n"/>
      <c r="M364" s="27" t="n"/>
      <c r="N364" s="28">
        <f>IF(M364="","",M364-TODAY())</f>
        <v/>
      </c>
      <c r="O364" s="37">
        <f>IF(A364="","",IF(L364="Hoàn thành","XONG",IF(L364="Đã hủy","HỦY",IF(N364&lt;0,"QUÁ HẠN",IF(N364&lt;=THIET_LAP!$B$7,"SẮP HẠN","TRONG HẠN")))))</f>
        <v/>
      </c>
      <c r="P364" s="37" t="n"/>
      <c r="Q364" s="29" t="n"/>
      <c r="R364" s="37" t="n"/>
      <c r="S364" s="37" t="n"/>
    </row>
    <row r="365" ht="15.75" customHeight="1" s="56">
      <c r="A365" s="37">
        <f>IF(B365="","",THIET_LAP!$B$4&amp;"-HS-"&amp;TEXT(COUNT($B$4:B365),"0000"))</f>
        <v/>
      </c>
      <c r="B365" s="27" t="n"/>
      <c r="C365" s="37" t="n"/>
      <c r="D365" s="37" t="n"/>
      <c r="E365" s="37" t="n"/>
      <c r="F365" s="37" t="n"/>
      <c r="G365" s="37" t="n"/>
      <c r="H365" s="37" t="n"/>
      <c r="I365" s="37" t="n"/>
      <c r="J365" s="37" t="n"/>
      <c r="K365" s="37" t="n"/>
      <c r="L365" s="37" t="n"/>
      <c r="M365" s="27" t="n"/>
      <c r="N365" s="28">
        <f>IF(M365="","",M365-TODAY())</f>
        <v/>
      </c>
      <c r="O365" s="37">
        <f>IF(A365="","",IF(L365="Hoàn thành","XONG",IF(L365="Đã hủy","HỦY",IF(N365&lt;0,"QUÁ HẠN",IF(N365&lt;=THIET_LAP!$B$7,"SẮP HẠN","TRONG HẠN")))))</f>
        <v/>
      </c>
      <c r="P365" s="37" t="n"/>
      <c r="Q365" s="29" t="n"/>
      <c r="R365" s="37" t="n"/>
      <c r="S365" s="37" t="n"/>
    </row>
    <row r="366" ht="15.75" customHeight="1" s="56">
      <c r="A366" s="37">
        <f>IF(B366="","",THIET_LAP!$B$4&amp;"-HS-"&amp;TEXT(COUNT($B$4:B366),"0000"))</f>
        <v/>
      </c>
      <c r="B366" s="27" t="n"/>
      <c r="C366" s="37" t="n"/>
      <c r="D366" s="37" t="n"/>
      <c r="E366" s="37" t="n"/>
      <c r="F366" s="37" t="n"/>
      <c r="G366" s="37" t="n"/>
      <c r="H366" s="37" t="n"/>
      <c r="I366" s="37" t="n"/>
      <c r="J366" s="37" t="n"/>
      <c r="K366" s="37" t="n"/>
      <c r="L366" s="37" t="n"/>
      <c r="M366" s="27" t="n"/>
      <c r="N366" s="28">
        <f>IF(M366="","",M366-TODAY())</f>
        <v/>
      </c>
      <c r="O366" s="37">
        <f>IF(A366="","",IF(L366="Hoàn thành","XONG",IF(L366="Đã hủy","HỦY",IF(N366&lt;0,"QUÁ HẠN",IF(N366&lt;=THIET_LAP!$B$7,"SẮP HẠN","TRONG HẠN")))))</f>
        <v/>
      </c>
      <c r="P366" s="37" t="n"/>
      <c r="Q366" s="29" t="n"/>
      <c r="R366" s="37" t="n"/>
      <c r="S366" s="37" t="n"/>
    </row>
    <row r="367" ht="15.75" customHeight="1" s="56">
      <c r="A367" s="37">
        <f>IF(B367="","",THIET_LAP!$B$4&amp;"-HS-"&amp;TEXT(COUNT($B$4:B367),"0000"))</f>
        <v/>
      </c>
      <c r="B367" s="27" t="n"/>
      <c r="C367" s="37" t="n"/>
      <c r="D367" s="37" t="n"/>
      <c r="E367" s="37" t="n"/>
      <c r="F367" s="37" t="n"/>
      <c r="G367" s="37" t="n"/>
      <c r="H367" s="37" t="n"/>
      <c r="I367" s="37" t="n"/>
      <c r="J367" s="37" t="n"/>
      <c r="K367" s="37" t="n"/>
      <c r="L367" s="37" t="n"/>
      <c r="M367" s="27" t="n"/>
      <c r="N367" s="28">
        <f>IF(M367="","",M367-TODAY())</f>
        <v/>
      </c>
      <c r="O367" s="37">
        <f>IF(A367="","",IF(L367="Hoàn thành","XONG",IF(L367="Đã hủy","HỦY",IF(N367&lt;0,"QUÁ HẠN",IF(N367&lt;=THIET_LAP!$B$7,"SẮP HẠN","TRONG HẠN")))))</f>
        <v/>
      </c>
      <c r="P367" s="37" t="n"/>
      <c r="Q367" s="29" t="n"/>
      <c r="R367" s="37" t="n"/>
      <c r="S367" s="37" t="n"/>
    </row>
    <row r="368" ht="15.75" customHeight="1" s="56">
      <c r="A368" s="37">
        <f>IF(B368="","",THIET_LAP!$B$4&amp;"-HS-"&amp;TEXT(COUNT($B$4:B368),"0000"))</f>
        <v/>
      </c>
      <c r="B368" s="27" t="n"/>
      <c r="C368" s="37" t="n"/>
      <c r="D368" s="37" t="n"/>
      <c r="E368" s="37" t="n"/>
      <c r="F368" s="37" t="n"/>
      <c r="G368" s="37" t="n"/>
      <c r="H368" s="37" t="n"/>
      <c r="I368" s="37" t="n"/>
      <c r="J368" s="37" t="n"/>
      <c r="K368" s="37" t="n"/>
      <c r="L368" s="37" t="n"/>
      <c r="M368" s="27" t="n"/>
      <c r="N368" s="28">
        <f>IF(M368="","",M368-TODAY())</f>
        <v/>
      </c>
      <c r="O368" s="37">
        <f>IF(A368="","",IF(L368="Hoàn thành","XONG",IF(L368="Đã hủy","HỦY",IF(N368&lt;0,"QUÁ HẠN",IF(N368&lt;=THIET_LAP!$B$7,"SẮP HẠN","TRONG HẠN")))))</f>
        <v/>
      </c>
      <c r="P368" s="37" t="n"/>
      <c r="Q368" s="29" t="n"/>
      <c r="R368" s="37" t="n"/>
      <c r="S368" s="37" t="n"/>
    </row>
    <row r="369" ht="15.75" customHeight="1" s="56">
      <c r="A369" s="37">
        <f>IF(B369="","",THIET_LAP!$B$4&amp;"-HS-"&amp;TEXT(COUNT($B$4:B369),"0000"))</f>
        <v/>
      </c>
      <c r="B369" s="27" t="n"/>
      <c r="C369" s="37" t="n"/>
      <c r="D369" s="37" t="n"/>
      <c r="E369" s="37" t="n"/>
      <c r="F369" s="37" t="n"/>
      <c r="G369" s="37" t="n"/>
      <c r="H369" s="37" t="n"/>
      <c r="I369" s="37" t="n"/>
      <c r="J369" s="37" t="n"/>
      <c r="K369" s="37" t="n"/>
      <c r="L369" s="37" t="n"/>
      <c r="M369" s="27" t="n"/>
      <c r="N369" s="28">
        <f>IF(M369="","",M369-TODAY())</f>
        <v/>
      </c>
      <c r="O369" s="37">
        <f>IF(A369="","",IF(L369="Hoàn thành","XONG",IF(L369="Đã hủy","HỦY",IF(N369&lt;0,"QUÁ HẠN",IF(N369&lt;=THIET_LAP!$B$7,"SẮP HẠN","TRONG HẠN")))))</f>
        <v/>
      </c>
      <c r="P369" s="37" t="n"/>
      <c r="Q369" s="29" t="n"/>
      <c r="R369" s="37" t="n"/>
      <c r="S369" s="37" t="n"/>
    </row>
    <row r="370" ht="15.75" customHeight="1" s="56">
      <c r="A370" s="37">
        <f>IF(B370="","",THIET_LAP!$B$4&amp;"-HS-"&amp;TEXT(COUNT($B$4:B370),"0000"))</f>
        <v/>
      </c>
      <c r="B370" s="27" t="n"/>
      <c r="C370" s="37" t="n"/>
      <c r="D370" s="37" t="n"/>
      <c r="E370" s="37" t="n"/>
      <c r="F370" s="37" t="n"/>
      <c r="G370" s="37" t="n"/>
      <c r="H370" s="37" t="n"/>
      <c r="I370" s="37" t="n"/>
      <c r="J370" s="37" t="n"/>
      <c r="K370" s="37" t="n"/>
      <c r="L370" s="37" t="n"/>
      <c r="M370" s="27" t="n"/>
      <c r="N370" s="28">
        <f>IF(M370="","",M370-TODAY())</f>
        <v/>
      </c>
      <c r="O370" s="37">
        <f>IF(A370="","",IF(L370="Hoàn thành","XONG",IF(L370="Đã hủy","HỦY",IF(N370&lt;0,"QUÁ HẠN",IF(N370&lt;=THIET_LAP!$B$7,"SẮP HẠN","TRONG HẠN")))))</f>
        <v/>
      </c>
      <c r="P370" s="37" t="n"/>
      <c r="Q370" s="29" t="n"/>
      <c r="R370" s="37" t="n"/>
      <c r="S370" s="37" t="n"/>
    </row>
    <row r="371" ht="15.75" customHeight="1" s="56">
      <c r="A371" s="37">
        <f>IF(B371="","",THIET_LAP!$B$4&amp;"-HS-"&amp;TEXT(COUNT($B$4:B371),"0000"))</f>
        <v/>
      </c>
      <c r="B371" s="27" t="n"/>
      <c r="C371" s="37" t="n"/>
      <c r="D371" s="37" t="n"/>
      <c r="E371" s="37" t="n"/>
      <c r="F371" s="37" t="n"/>
      <c r="G371" s="37" t="n"/>
      <c r="H371" s="37" t="n"/>
      <c r="I371" s="37" t="n"/>
      <c r="J371" s="37" t="n"/>
      <c r="K371" s="37" t="n"/>
      <c r="L371" s="37" t="n"/>
      <c r="M371" s="27" t="n"/>
      <c r="N371" s="28">
        <f>IF(M371="","",M371-TODAY())</f>
        <v/>
      </c>
      <c r="O371" s="37">
        <f>IF(A371="","",IF(L371="Hoàn thành","XONG",IF(L371="Đã hủy","HỦY",IF(N371&lt;0,"QUÁ HẠN",IF(N371&lt;=THIET_LAP!$B$7,"SẮP HẠN","TRONG HẠN")))))</f>
        <v/>
      </c>
      <c r="P371" s="37" t="n"/>
      <c r="Q371" s="29" t="n"/>
      <c r="R371" s="37" t="n"/>
      <c r="S371" s="37" t="n"/>
    </row>
    <row r="372" ht="15.75" customHeight="1" s="56">
      <c r="A372" s="37">
        <f>IF(B372="","",THIET_LAP!$B$4&amp;"-HS-"&amp;TEXT(COUNT($B$4:B372),"0000"))</f>
        <v/>
      </c>
      <c r="B372" s="27" t="n"/>
      <c r="C372" s="37" t="n"/>
      <c r="D372" s="37" t="n"/>
      <c r="E372" s="37" t="n"/>
      <c r="F372" s="37" t="n"/>
      <c r="G372" s="37" t="n"/>
      <c r="H372" s="37" t="n"/>
      <c r="I372" s="37" t="n"/>
      <c r="J372" s="37" t="n"/>
      <c r="K372" s="37" t="n"/>
      <c r="L372" s="37" t="n"/>
      <c r="M372" s="27" t="n"/>
      <c r="N372" s="28">
        <f>IF(M372="","",M372-TODAY())</f>
        <v/>
      </c>
      <c r="O372" s="37">
        <f>IF(A372="","",IF(L372="Hoàn thành","XONG",IF(L372="Đã hủy","HỦY",IF(N372&lt;0,"QUÁ HẠN",IF(N372&lt;=THIET_LAP!$B$7,"SẮP HẠN","TRONG HẠN")))))</f>
        <v/>
      </c>
      <c r="P372" s="37" t="n"/>
      <c r="Q372" s="29" t="n"/>
      <c r="R372" s="37" t="n"/>
      <c r="S372" s="37" t="n"/>
    </row>
    <row r="373" ht="15.75" customHeight="1" s="56">
      <c r="A373" s="37">
        <f>IF(B373="","",THIET_LAP!$B$4&amp;"-HS-"&amp;TEXT(COUNT($B$4:B373),"0000"))</f>
        <v/>
      </c>
      <c r="B373" s="27" t="n"/>
      <c r="C373" s="37" t="n"/>
      <c r="D373" s="37" t="n"/>
      <c r="E373" s="37" t="n"/>
      <c r="F373" s="37" t="n"/>
      <c r="G373" s="37" t="n"/>
      <c r="H373" s="37" t="n"/>
      <c r="I373" s="37" t="n"/>
      <c r="J373" s="37" t="n"/>
      <c r="K373" s="37" t="n"/>
      <c r="L373" s="37" t="n"/>
      <c r="M373" s="27" t="n"/>
      <c r="N373" s="28">
        <f>IF(M373="","",M373-TODAY())</f>
        <v/>
      </c>
      <c r="O373" s="37">
        <f>IF(A373="","",IF(L373="Hoàn thành","XONG",IF(L373="Đã hủy","HỦY",IF(N373&lt;0,"QUÁ HẠN",IF(N373&lt;=THIET_LAP!$B$7,"SẮP HẠN","TRONG HẠN")))))</f>
        <v/>
      </c>
      <c r="P373" s="37" t="n"/>
      <c r="Q373" s="29" t="n"/>
      <c r="R373" s="37" t="n"/>
      <c r="S373" s="37" t="n"/>
    </row>
    <row r="374" ht="15.75" customHeight="1" s="56">
      <c r="A374" s="37">
        <f>IF(B374="","",THIET_LAP!$B$4&amp;"-HS-"&amp;TEXT(COUNT($B$4:B374),"0000"))</f>
        <v/>
      </c>
      <c r="B374" s="27" t="n"/>
      <c r="C374" s="37" t="n"/>
      <c r="D374" s="37" t="n"/>
      <c r="E374" s="37" t="n"/>
      <c r="F374" s="37" t="n"/>
      <c r="G374" s="37" t="n"/>
      <c r="H374" s="37" t="n"/>
      <c r="I374" s="37" t="n"/>
      <c r="J374" s="37" t="n"/>
      <c r="K374" s="37" t="n"/>
      <c r="L374" s="37" t="n"/>
      <c r="M374" s="27" t="n"/>
      <c r="N374" s="28">
        <f>IF(M374="","",M374-TODAY())</f>
        <v/>
      </c>
      <c r="O374" s="37">
        <f>IF(A374="","",IF(L374="Hoàn thành","XONG",IF(L374="Đã hủy","HỦY",IF(N374&lt;0,"QUÁ HẠN",IF(N374&lt;=THIET_LAP!$B$7,"SẮP HẠN","TRONG HẠN")))))</f>
        <v/>
      </c>
      <c r="P374" s="37" t="n"/>
      <c r="Q374" s="29" t="n"/>
      <c r="R374" s="37" t="n"/>
      <c r="S374" s="37" t="n"/>
    </row>
    <row r="375" ht="15.75" customHeight="1" s="56">
      <c r="A375" s="37">
        <f>IF(B375="","",THIET_LAP!$B$4&amp;"-HS-"&amp;TEXT(COUNT($B$4:B375),"0000"))</f>
        <v/>
      </c>
      <c r="B375" s="27" t="n"/>
      <c r="C375" s="37" t="n"/>
      <c r="D375" s="37" t="n"/>
      <c r="E375" s="37" t="n"/>
      <c r="F375" s="37" t="n"/>
      <c r="G375" s="37" t="n"/>
      <c r="H375" s="37" t="n"/>
      <c r="I375" s="37" t="n"/>
      <c r="J375" s="37" t="n"/>
      <c r="K375" s="37" t="n"/>
      <c r="L375" s="37" t="n"/>
      <c r="M375" s="27" t="n"/>
      <c r="N375" s="28">
        <f>IF(M375="","",M375-TODAY())</f>
        <v/>
      </c>
      <c r="O375" s="37">
        <f>IF(A375="","",IF(L375="Hoàn thành","XONG",IF(L375="Đã hủy","HỦY",IF(N375&lt;0,"QUÁ HẠN",IF(N375&lt;=THIET_LAP!$B$7,"SẮP HẠN","TRONG HẠN")))))</f>
        <v/>
      </c>
      <c r="P375" s="37" t="n"/>
      <c r="Q375" s="29" t="n"/>
      <c r="R375" s="37" t="n"/>
      <c r="S375" s="37" t="n"/>
    </row>
    <row r="376" ht="15.75" customHeight="1" s="56">
      <c r="A376" s="37">
        <f>IF(B376="","",THIET_LAP!$B$4&amp;"-HS-"&amp;TEXT(COUNT($B$4:B376),"0000"))</f>
        <v/>
      </c>
      <c r="B376" s="27" t="n"/>
      <c r="C376" s="37" t="n"/>
      <c r="D376" s="37" t="n"/>
      <c r="E376" s="37" t="n"/>
      <c r="F376" s="37" t="n"/>
      <c r="G376" s="37" t="n"/>
      <c r="H376" s="37" t="n"/>
      <c r="I376" s="37" t="n"/>
      <c r="J376" s="37" t="n"/>
      <c r="K376" s="37" t="n"/>
      <c r="L376" s="37" t="n"/>
      <c r="M376" s="27" t="n"/>
      <c r="N376" s="28">
        <f>IF(M376="","",M376-TODAY())</f>
        <v/>
      </c>
      <c r="O376" s="37">
        <f>IF(A376="","",IF(L376="Hoàn thành","XONG",IF(L376="Đã hủy","HỦY",IF(N376&lt;0,"QUÁ HẠN",IF(N376&lt;=THIET_LAP!$B$7,"SẮP HẠN","TRONG HẠN")))))</f>
        <v/>
      </c>
      <c r="P376" s="37" t="n"/>
      <c r="Q376" s="29" t="n"/>
      <c r="R376" s="37" t="n"/>
      <c r="S376" s="37" t="n"/>
    </row>
    <row r="377" ht="15.75" customHeight="1" s="56">
      <c r="A377" s="37">
        <f>IF(B377="","",THIET_LAP!$B$4&amp;"-HS-"&amp;TEXT(COUNT($B$4:B377),"0000"))</f>
        <v/>
      </c>
      <c r="B377" s="27" t="n"/>
      <c r="C377" s="37" t="n"/>
      <c r="D377" s="37" t="n"/>
      <c r="E377" s="37" t="n"/>
      <c r="F377" s="37" t="n"/>
      <c r="G377" s="37" t="n"/>
      <c r="H377" s="37" t="n"/>
      <c r="I377" s="37" t="n"/>
      <c r="J377" s="37" t="n"/>
      <c r="K377" s="37" t="n"/>
      <c r="L377" s="37" t="n"/>
      <c r="M377" s="27" t="n"/>
      <c r="N377" s="28">
        <f>IF(M377="","",M377-TODAY())</f>
        <v/>
      </c>
      <c r="O377" s="37">
        <f>IF(A377="","",IF(L377="Hoàn thành","XONG",IF(L377="Đã hủy","HỦY",IF(N377&lt;0,"QUÁ HẠN",IF(N377&lt;=THIET_LAP!$B$7,"SẮP HẠN","TRONG HẠN")))))</f>
        <v/>
      </c>
      <c r="P377" s="37" t="n"/>
      <c r="Q377" s="29" t="n"/>
      <c r="R377" s="37" t="n"/>
      <c r="S377" s="37" t="n"/>
    </row>
    <row r="378" ht="15.75" customHeight="1" s="56">
      <c r="A378" s="37">
        <f>IF(B378="","",THIET_LAP!$B$4&amp;"-HS-"&amp;TEXT(COUNT($B$4:B378),"0000"))</f>
        <v/>
      </c>
      <c r="B378" s="27" t="n"/>
      <c r="C378" s="37" t="n"/>
      <c r="D378" s="37" t="n"/>
      <c r="E378" s="37" t="n"/>
      <c r="F378" s="37" t="n"/>
      <c r="G378" s="37" t="n"/>
      <c r="H378" s="37" t="n"/>
      <c r="I378" s="37" t="n"/>
      <c r="J378" s="37" t="n"/>
      <c r="K378" s="37" t="n"/>
      <c r="L378" s="37" t="n"/>
      <c r="M378" s="27" t="n"/>
      <c r="N378" s="28">
        <f>IF(M378="","",M378-TODAY())</f>
        <v/>
      </c>
      <c r="O378" s="37">
        <f>IF(A378="","",IF(L378="Hoàn thành","XONG",IF(L378="Đã hủy","HỦY",IF(N378&lt;0,"QUÁ HẠN",IF(N378&lt;=THIET_LAP!$B$7,"SẮP HẠN","TRONG HẠN")))))</f>
        <v/>
      </c>
      <c r="P378" s="37" t="n"/>
      <c r="Q378" s="29" t="n"/>
      <c r="R378" s="37" t="n"/>
      <c r="S378" s="37" t="n"/>
    </row>
    <row r="379" ht="15.75" customHeight="1" s="56">
      <c r="A379" s="37">
        <f>IF(B379="","",THIET_LAP!$B$4&amp;"-HS-"&amp;TEXT(COUNT($B$4:B379),"0000"))</f>
        <v/>
      </c>
      <c r="B379" s="27" t="n"/>
      <c r="C379" s="37" t="n"/>
      <c r="D379" s="37" t="n"/>
      <c r="E379" s="37" t="n"/>
      <c r="F379" s="37" t="n"/>
      <c r="G379" s="37" t="n"/>
      <c r="H379" s="37" t="n"/>
      <c r="I379" s="37" t="n"/>
      <c r="J379" s="37" t="n"/>
      <c r="K379" s="37" t="n"/>
      <c r="L379" s="37" t="n"/>
      <c r="M379" s="27" t="n"/>
      <c r="N379" s="28">
        <f>IF(M379="","",M379-TODAY())</f>
        <v/>
      </c>
      <c r="O379" s="37">
        <f>IF(A379="","",IF(L379="Hoàn thành","XONG",IF(L379="Đã hủy","HỦY",IF(N379&lt;0,"QUÁ HẠN",IF(N379&lt;=THIET_LAP!$B$7,"SẮP HẠN","TRONG HẠN")))))</f>
        <v/>
      </c>
      <c r="P379" s="37" t="n"/>
      <c r="Q379" s="29" t="n"/>
      <c r="R379" s="37" t="n"/>
      <c r="S379" s="37" t="n"/>
    </row>
    <row r="380" ht="15.75" customHeight="1" s="56">
      <c r="A380" s="37">
        <f>IF(B380="","",THIET_LAP!$B$4&amp;"-HS-"&amp;TEXT(COUNT($B$4:B380),"0000"))</f>
        <v/>
      </c>
      <c r="B380" s="27" t="n"/>
      <c r="C380" s="37" t="n"/>
      <c r="D380" s="37" t="n"/>
      <c r="E380" s="37" t="n"/>
      <c r="F380" s="37" t="n"/>
      <c r="G380" s="37" t="n"/>
      <c r="H380" s="37" t="n"/>
      <c r="I380" s="37" t="n"/>
      <c r="J380" s="37" t="n"/>
      <c r="K380" s="37" t="n"/>
      <c r="L380" s="37" t="n"/>
      <c r="M380" s="27" t="n"/>
      <c r="N380" s="28">
        <f>IF(M380="","",M380-TODAY())</f>
        <v/>
      </c>
      <c r="O380" s="37">
        <f>IF(A380="","",IF(L380="Hoàn thành","XONG",IF(L380="Đã hủy","HỦY",IF(N380&lt;0,"QUÁ HẠN",IF(N380&lt;=THIET_LAP!$B$7,"SẮP HẠN","TRONG HẠN")))))</f>
        <v/>
      </c>
      <c r="P380" s="37" t="n"/>
      <c r="Q380" s="29" t="n"/>
      <c r="R380" s="37" t="n"/>
      <c r="S380" s="37" t="n"/>
    </row>
    <row r="381" ht="15.75" customHeight="1" s="56">
      <c r="A381" s="37">
        <f>IF(B381="","",THIET_LAP!$B$4&amp;"-HS-"&amp;TEXT(COUNT($B$4:B381),"0000"))</f>
        <v/>
      </c>
      <c r="B381" s="27" t="n"/>
      <c r="C381" s="37" t="n"/>
      <c r="D381" s="37" t="n"/>
      <c r="E381" s="37" t="n"/>
      <c r="F381" s="37" t="n"/>
      <c r="G381" s="37" t="n"/>
      <c r="H381" s="37" t="n"/>
      <c r="I381" s="37" t="n"/>
      <c r="J381" s="37" t="n"/>
      <c r="K381" s="37" t="n"/>
      <c r="L381" s="37" t="n"/>
      <c r="M381" s="27" t="n"/>
      <c r="N381" s="28">
        <f>IF(M381="","",M381-TODAY())</f>
        <v/>
      </c>
      <c r="O381" s="37">
        <f>IF(A381="","",IF(L381="Hoàn thành","XONG",IF(L381="Đã hủy","HỦY",IF(N381&lt;0,"QUÁ HẠN",IF(N381&lt;=THIET_LAP!$B$7,"SẮP HẠN","TRONG HẠN")))))</f>
        <v/>
      </c>
      <c r="P381" s="37" t="n"/>
      <c r="Q381" s="29" t="n"/>
      <c r="R381" s="37" t="n"/>
      <c r="S381" s="37" t="n"/>
    </row>
    <row r="382" ht="15.75" customHeight="1" s="56">
      <c r="A382" s="37">
        <f>IF(B382="","",THIET_LAP!$B$4&amp;"-HS-"&amp;TEXT(COUNT($B$4:B382),"0000"))</f>
        <v/>
      </c>
      <c r="B382" s="27" t="n"/>
      <c r="C382" s="37" t="n"/>
      <c r="D382" s="37" t="n"/>
      <c r="E382" s="37" t="n"/>
      <c r="F382" s="37" t="n"/>
      <c r="G382" s="37" t="n"/>
      <c r="H382" s="37" t="n"/>
      <c r="I382" s="37" t="n"/>
      <c r="J382" s="37" t="n"/>
      <c r="K382" s="37" t="n"/>
      <c r="L382" s="37" t="n"/>
      <c r="M382" s="27" t="n"/>
      <c r="N382" s="28">
        <f>IF(M382="","",M382-TODAY())</f>
        <v/>
      </c>
      <c r="O382" s="37">
        <f>IF(A382="","",IF(L382="Hoàn thành","XONG",IF(L382="Đã hủy","HỦY",IF(N382&lt;0,"QUÁ HẠN",IF(N382&lt;=THIET_LAP!$B$7,"SẮP HẠN","TRONG HẠN")))))</f>
        <v/>
      </c>
      <c r="P382" s="37" t="n"/>
      <c r="Q382" s="29" t="n"/>
      <c r="R382" s="37" t="n"/>
      <c r="S382" s="37" t="n"/>
    </row>
    <row r="383" ht="15.75" customHeight="1" s="56">
      <c r="A383" s="37">
        <f>IF(B383="","",THIET_LAP!$B$4&amp;"-HS-"&amp;TEXT(COUNT($B$4:B383),"0000"))</f>
        <v/>
      </c>
      <c r="B383" s="27" t="n"/>
      <c r="C383" s="37" t="n"/>
      <c r="D383" s="37" t="n"/>
      <c r="E383" s="37" t="n"/>
      <c r="F383" s="37" t="n"/>
      <c r="G383" s="37" t="n"/>
      <c r="H383" s="37" t="n"/>
      <c r="I383" s="37" t="n"/>
      <c r="J383" s="37" t="n"/>
      <c r="K383" s="37" t="n"/>
      <c r="L383" s="37" t="n"/>
      <c r="M383" s="27" t="n"/>
      <c r="N383" s="28">
        <f>IF(M383="","",M383-TODAY())</f>
        <v/>
      </c>
      <c r="O383" s="37">
        <f>IF(A383="","",IF(L383="Hoàn thành","XONG",IF(L383="Đã hủy","HỦY",IF(N383&lt;0,"QUÁ HẠN",IF(N383&lt;=THIET_LAP!$B$7,"SẮP HẠN","TRONG HẠN")))))</f>
        <v/>
      </c>
      <c r="P383" s="37" t="n"/>
      <c r="Q383" s="29" t="n"/>
      <c r="R383" s="37" t="n"/>
      <c r="S383" s="37" t="n"/>
    </row>
    <row r="384" ht="15.75" customHeight="1" s="56">
      <c r="A384" s="37">
        <f>IF(B384="","",THIET_LAP!$B$4&amp;"-HS-"&amp;TEXT(COUNT($B$4:B384),"0000"))</f>
        <v/>
      </c>
      <c r="B384" s="27" t="n"/>
      <c r="C384" s="37" t="n"/>
      <c r="D384" s="37" t="n"/>
      <c r="E384" s="37" t="n"/>
      <c r="F384" s="37" t="n"/>
      <c r="G384" s="37" t="n"/>
      <c r="H384" s="37" t="n"/>
      <c r="I384" s="37" t="n"/>
      <c r="J384" s="37" t="n"/>
      <c r="K384" s="37" t="n"/>
      <c r="L384" s="37" t="n"/>
      <c r="M384" s="27" t="n"/>
      <c r="N384" s="28">
        <f>IF(M384="","",M384-TODAY())</f>
        <v/>
      </c>
      <c r="O384" s="37">
        <f>IF(A384="","",IF(L384="Hoàn thành","XONG",IF(L384="Đã hủy","HỦY",IF(N384&lt;0,"QUÁ HẠN",IF(N384&lt;=THIET_LAP!$B$7,"SẮP HẠN","TRONG HẠN")))))</f>
        <v/>
      </c>
      <c r="P384" s="37" t="n"/>
      <c r="Q384" s="29" t="n"/>
      <c r="R384" s="37" t="n"/>
      <c r="S384" s="37" t="n"/>
    </row>
    <row r="385" ht="15.75" customHeight="1" s="56">
      <c r="A385" s="37">
        <f>IF(B385="","",THIET_LAP!$B$4&amp;"-HS-"&amp;TEXT(COUNT($B$4:B385),"0000"))</f>
        <v/>
      </c>
      <c r="B385" s="27" t="n"/>
      <c r="C385" s="37" t="n"/>
      <c r="D385" s="37" t="n"/>
      <c r="E385" s="37" t="n"/>
      <c r="F385" s="37" t="n"/>
      <c r="G385" s="37" t="n"/>
      <c r="H385" s="37" t="n"/>
      <c r="I385" s="37" t="n"/>
      <c r="J385" s="37" t="n"/>
      <c r="K385" s="37" t="n"/>
      <c r="L385" s="37" t="n"/>
      <c r="M385" s="27" t="n"/>
      <c r="N385" s="28">
        <f>IF(M385="","",M385-TODAY())</f>
        <v/>
      </c>
      <c r="O385" s="37">
        <f>IF(A385="","",IF(L385="Hoàn thành","XONG",IF(L385="Đã hủy","HỦY",IF(N385&lt;0,"QUÁ HẠN",IF(N385&lt;=THIET_LAP!$B$7,"SẮP HẠN","TRONG HẠN")))))</f>
        <v/>
      </c>
      <c r="P385" s="37" t="n"/>
      <c r="Q385" s="29" t="n"/>
      <c r="R385" s="37" t="n"/>
      <c r="S385" s="37" t="n"/>
    </row>
    <row r="386" ht="15.75" customHeight="1" s="56">
      <c r="A386" s="37">
        <f>IF(B386="","",THIET_LAP!$B$4&amp;"-HS-"&amp;TEXT(COUNT($B$4:B386),"0000"))</f>
        <v/>
      </c>
      <c r="B386" s="27" t="n"/>
      <c r="C386" s="37" t="n"/>
      <c r="D386" s="37" t="n"/>
      <c r="E386" s="37" t="n"/>
      <c r="F386" s="37" t="n"/>
      <c r="G386" s="37" t="n"/>
      <c r="H386" s="37" t="n"/>
      <c r="I386" s="37" t="n"/>
      <c r="J386" s="37" t="n"/>
      <c r="K386" s="37" t="n"/>
      <c r="L386" s="37" t="n"/>
      <c r="M386" s="27" t="n"/>
      <c r="N386" s="28">
        <f>IF(M386="","",M386-TODAY())</f>
        <v/>
      </c>
      <c r="O386" s="37">
        <f>IF(A386="","",IF(L386="Hoàn thành","XONG",IF(L386="Đã hủy","HỦY",IF(N386&lt;0,"QUÁ HẠN",IF(N386&lt;=THIET_LAP!$B$7,"SẮP HẠN","TRONG HẠN")))))</f>
        <v/>
      </c>
      <c r="P386" s="37" t="n"/>
      <c r="Q386" s="29" t="n"/>
      <c r="R386" s="37" t="n"/>
      <c r="S386" s="37" t="n"/>
    </row>
    <row r="387" ht="15.75" customHeight="1" s="56">
      <c r="A387" s="37">
        <f>IF(B387="","",THIET_LAP!$B$4&amp;"-HS-"&amp;TEXT(COUNT($B$4:B387),"0000"))</f>
        <v/>
      </c>
      <c r="B387" s="27" t="n"/>
      <c r="C387" s="37" t="n"/>
      <c r="D387" s="37" t="n"/>
      <c r="E387" s="37" t="n"/>
      <c r="F387" s="37" t="n"/>
      <c r="G387" s="37" t="n"/>
      <c r="H387" s="37" t="n"/>
      <c r="I387" s="37" t="n"/>
      <c r="J387" s="37" t="n"/>
      <c r="K387" s="37" t="n"/>
      <c r="L387" s="37" t="n"/>
      <c r="M387" s="27" t="n"/>
      <c r="N387" s="28">
        <f>IF(M387="","",M387-TODAY())</f>
        <v/>
      </c>
      <c r="O387" s="37">
        <f>IF(A387="","",IF(L387="Hoàn thành","XONG",IF(L387="Đã hủy","HỦY",IF(N387&lt;0,"QUÁ HẠN",IF(N387&lt;=THIET_LAP!$B$7,"SẮP HẠN","TRONG HẠN")))))</f>
        <v/>
      </c>
      <c r="P387" s="37" t="n"/>
      <c r="Q387" s="29" t="n"/>
      <c r="R387" s="37" t="n"/>
      <c r="S387" s="37" t="n"/>
    </row>
    <row r="388" ht="15.75" customHeight="1" s="56">
      <c r="A388" s="37">
        <f>IF(B388="","",THIET_LAP!$B$4&amp;"-HS-"&amp;TEXT(COUNT($B$4:B388),"0000"))</f>
        <v/>
      </c>
      <c r="B388" s="27" t="n"/>
      <c r="C388" s="37" t="n"/>
      <c r="D388" s="37" t="n"/>
      <c r="E388" s="37" t="n"/>
      <c r="F388" s="37" t="n"/>
      <c r="G388" s="37" t="n"/>
      <c r="H388" s="37" t="n"/>
      <c r="I388" s="37" t="n"/>
      <c r="J388" s="37" t="n"/>
      <c r="K388" s="37" t="n"/>
      <c r="L388" s="37" t="n"/>
      <c r="M388" s="27" t="n"/>
      <c r="N388" s="28">
        <f>IF(M388="","",M388-TODAY())</f>
        <v/>
      </c>
      <c r="O388" s="37">
        <f>IF(A388="","",IF(L388="Hoàn thành","XONG",IF(L388="Đã hủy","HỦY",IF(N388&lt;0,"QUÁ HẠN",IF(N388&lt;=THIET_LAP!$B$7,"SẮP HẠN","TRONG HẠN")))))</f>
        <v/>
      </c>
      <c r="P388" s="37" t="n"/>
      <c r="Q388" s="29" t="n"/>
      <c r="R388" s="37" t="n"/>
      <c r="S388" s="37" t="n"/>
    </row>
    <row r="389" ht="15.75" customHeight="1" s="56">
      <c r="A389" s="37">
        <f>IF(B389="","",THIET_LAP!$B$4&amp;"-HS-"&amp;TEXT(COUNT($B$4:B389),"0000"))</f>
        <v/>
      </c>
      <c r="B389" s="27" t="n"/>
      <c r="C389" s="37" t="n"/>
      <c r="D389" s="37" t="n"/>
      <c r="E389" s="37" t="n"/>
      <c r="F389" s="37" t="n"/>
      <c r="G389" s="37" t="n"/>
      <c r="H389" s="37" t="n"/>
      <c r="I389" s="37" t="n"/>
      <c r="J389" s="37" t="n"/>
      <c r="K389" s="37" t="n"/>
      <c r="L389" s="37" t="n"/>
      <c r="M389" s="27" t="n"/>
      <c r="N389" s="28">
        <f>IF(M389="","",M389-TODAY())</f>
        <v/>
      </c>
      <c r="O389" s="37">
        <f>IF(A389="","",IF(L389="Hoàn thành","XONG",IF(L389="Đã hủy","HỦY",IF(N389&lt;0,"QUÁ HẠN",IF(N389&lt;=THIET_LAP!$B$7,"SẮP HẠN","TRONG HẠN")))))</f>
        <v/>
      </c>
      <c r="P389" s="37" t="n"/>
      <c r="Q389" s="29" t="n"/>
      <c r="R389" s="37" t="n"/>
      <c r="S389" s="37" t="n"/>
    </row>
    <row r="390" ht="15.75" customHeight="1" s="56">
      <c r="A390" s="37">
        <f>IF(B390="","",THIET_LAP!$B$4&amp;"-HS-"&amp;TEXT(COUNT($B$4:B390),"0000"))</f>
        <v/>
      </c>
      <c r="B390" s="27" t="n"/>
      <c r="C390" s="37" t="n"/>
      <c r="D390" s="37" t="n"/>
      <c r="E390" s="37" t="n"/>
      <c r="F390" s="37" t="n"/>
      <c r="G390" s="37" t="n"/>
      <c r="H390" s="37" t="n"/>
      <c r="I390" s="37" t="n"/>
      <c r="J390" s="37" t="n"/>
      <c r="K390" s="37" t="n"/>
      <c r="L390" s="37" t="n"/>
      <c r="M390" s="27" t="n"/>
      <c r="N390" s="28">
        <f>IF(M390="","",M390-TODAY())</f>
        <v/>
      </c>
      <c r="O390" s="37">
        <f>IF(A390="","",IF(L390="Hoàn thành","XONG",IF(L390="Đã hủy","HỦY",IF(N390&lt;0,"QUÁ HẠN",IF(N390&lt;=THIET_LAP!$B$7,"SẮP HẠN","TRONG HẠN")))))</f>
        <v/>
      </c>
      <c r="P390" s="37" t="n"/>
      <c r="Q390" s="29" t="n"/>
      <c r="R390" s="37" t="n"/>
      <c r="S390" s="37" t="n"/>
    </row>
    <row r="391" ht="15.75" customHeight="1" s="56">
      <c r="A391" s="37">
        <f>IF(B391="","",THIET_LAP!$B$4&amp;"-HS-"&amp;TEXT(COUNT($B$4:B391),"0000"))</f>
        <v/>
      </c>
      <c r="B391" s="27" t="n"/>
      <c r="C391" s="37" t="n"/>
      <c r="D391" s="37" t="n"/>
      <c r="E391" s="37" t="n"/>
      <c r="F391" s="37" t="n"/>
      <c r="G391" s="37" t="n"/>
      <c r="H391" s="37" t="n"/>
      <c r="I391" s="37" t="n"/>
      <c r="J391" s="37" t="n"/>
      <c r="K391" s="37" t="n"/>
      <c r="L391" s="37" t="n"/>
      <c r="M391" s="27" t="n"/>
      <c r="N391" s="28">
        <f>IF(M391="","",M391-TODAY())</f>
        <v/>
      </c>
      <c r="O391" s="37">
        <f>IF(A391="","",IF(L391="Hoàn thành","XONG",IF(L391="Đã hủy","HỦY",IF(N391&lt;0,"QUÁ HẠN",IF(N391&lt;=THIET_LAP!$B$7,"SẮP HẠN","TRONG HẠN")))))</f>
        <v/>
      </c>
      <c r="P391" s="37" t="n"/>
      <c r="Q391" s="29" t="n"/>
      <c r="R391" s="37" t="n"/>
      <c r="S391" s="37" t="n"/>
    </row>
    <row r="392" ht="15.75" customHeight="1" s="56">
      <c r="A392" s="37">
        <f>IF(B392="","",THIET_LAP!$B$4&amp;"-HS-"&amp;TEXT(COUNT($B$4:B392),"0000"))</f>
        <v/>
      </c>
      <c r="B392" s="27" t="n"/>
      <c r="C392" s="37" t="n"/>
      <c r="D392" s="37" t="n"/>
      <c r="E392" s="37" t="n"/>
      <c r="F392" s="37" t="n"/>
      <c r="G392" s="37" t="n"/>
      <c r="H392" s="37" t="n"/>
      <c r="I392" s="37" t="n"/>
      <c r="J392" s="37" t="n"/>
      <c r="K392" s="37" t="n"/>
      <c r="L392" s="37" t="n"/>
      <c r="M392" s="27" t="n"/>
      <c r="N392" s="28">
        <f>IF(M392="","",M392-TODAY())</f>
        <v/>
      </c>
      <c r="O392" s="37">
        <f>IF(A392="","",IF(L392="Hoàn thành","XONG",IF(L392="Đã hủy","HỦY",IF(N392&lt;0,"QUÁ HẠN",IF(N392&lt;=THIET_LAP!$B$7,"SẮP HẠN","TRONG HẠN")))))</f>
        <v/>
      </c>
      <c r="P392" s="37" t="n"/>
      <c r="Q392" s="29" t="n"/>
      <c r="R392" s="37" t="n"/>
      <c r="S392" s="37" t="n"/>
    </row>
    <row r="393" ht="15.75" customHeight="1" s="56">
      <c r="A393" s="37">
        <f>IF(B393="","",THIET_LAP!$B$4&amp;"-HS-"&amp;TEXT(COUNT($B$4:B393),"0000"))</f>
        <v/>
      </c>
      <c r="B393" s="27" t="n"/>
      <c r="C393" s="37" t="n"/>
      <c r="D393" s="37" t="n"/>
      <c r="E393" s="37" t="n"/>
      <c r="F393" s="37" t="n"/>
      <c r="G393" s="37" t="n"/>
      <c r="H393" s="37" t="n"/>
      <c r="I393" s="37" t="n"/>
      <c r="J393" s="37" t="n"/>
      <c r="K393" s="37" t="n"/>
      <c r="L393" s="37" t="n"/>
      <c r="M393" s="27" t="n"/>
      <c r="N393" s="28">
        <f>IF(M393="","",M393-TODAY())</f>
        <v/>
      </c>
      <c r="O393" s="37">
        <f>IF(A393="","",IF(L393="Hoàn thành","XONG",IF(L393="Đã hủy","HỦY",IF(N393&lt;0,"QUÁ HẠN",IF(N393&lt;=THIET_LAP!$B$7,"SẮP HẠN","TRONG HẠN")))))</f>
        <v/>
      </c>
      <c r="P393" s="37" t="n"/>
      <c r="Q393" s="29" t="n"/>
      <c r="R393" s="37" t="n"/>
      <c r="S393" s="37" t="n"/>
    </row>
    <row r="394" ht="15.75" customHeight="1" s="56">
      <c r="A394" s="37">
        <f>IF(B394="","",THIET_LAP!$B$4&amp;"-HS-"&amp;TEXT(COUNT($B$4:B394),"0000"))</f>
        <v/>
      </c>
      <c r="B394" s="27" t="n"/>
      <c r="C394" s="37" t="n"/>
      <c r="D394" s="37" t="n"/>
      <c r="E394" s="37" t="n"/>
      <c r="F394" s="37" t="n"/>
      <c r="G394" s="37" t="n"/>
      <c r="H394" s="37" t="n"/>
      <c r="I394" s="37" t="n"/>
      <c r="J394" s="37" t="n"/>
      <c r="K394" s="37" t="n"/>
      <c r="L394" s="37" t="n"/>
      <c r="M394" s="27" t="n"/>
      <c r="N394" s="28">
        <f>IF(M394="","",M394-TODAY())</f>
        <v/>
      </c>
      <c r="O394" s="37">
        <f>IF(A394="","",IF(L394="Hoàn thành","XONG",IF(L394="Đã hủy","HỦY",IF(N394&lt;0,"QUÁ HẠN",IF(N394&lt;=THIET_LAP!$B$7,"SẮP HẠN","TRONG HẠN")))))</f>
        <v/>
      </c>
      <c r="P394" s="37" t="n"/>
      <c r="Q394" s="29" t="n"/>
      <c r="R394" s="37" t="n"/>
      <c r="S394" s="37" t="n"/>
    </row>
    <row r="395" ht="15.75" customHeight="1" s="56">
      <c r="A395" s="37">
        <f>IF(B395="","",THIET_LAP!$B$4&amp;"-HS-"&amp;TEXT(COUNT($B$4:B395),"0000"))</f>
        <v/>
      </c>
      <c r="B395" s="27" t="n"/>
      <c r="C395" s="37" t="n"/>
      <c r="D395" s="37" t="n"/>
      <c r="E395" s="37" t="n"/>
      <c r="F395" s="37" t="n"/>
      <c r="G395" s="37" t="n"/>
      <c r="H395" s="37" t="n"/>
      <c r="I395" s="37" t="n"/>
      <c r="J395" s="37" t="n"/>
      <c r="K395" s="37" t="n"/>
      <c r="L395" s="37" t="n"/>
      <c r="M395" s="27" t="n"/>
      <c r="N395" s="28">
        <f>IF(M395="","",M395-TODAY())</f>
        <v/>
      </c>
      <c r="O395" s="37">
        <f>IF(A395="","",IF(L395="Hoàn thành","XONG",IF(L395="Đã hủy","HỦY",IF(N395&lt;0,"QUÁ HẠN",IF(N395&lt;=THIET_LAP!$B$7,"SẮP HẠN","TRONG HẠN")))))</f>
        <v/>
      </c>
      <c r="P395" s="37" t="n"/>
      <c r="Q395" s="29" t="n"/>
      <c r="R395" s="37" t="n"/>
      <c r="S395" s="37" t="n"/>
    </row>
    <row r="396" ht="15.75" customHeight="1" s="56">
      <c r="A396" s="37">
        <f>IF(B396="","",THIET_LAP!$B$4&amp;"-HS-"&amp;TEXT(COUNT($B$4:B396),"0000"))</f>
        <v/>
      </c>
      <c r="B396" s="27" t="n"/>
      <c r="C396" s="37" t="n"/>
      <c r="D396" s="37" t="n"/>
      <c r="E396" s="37" t="n"/>
      <c r="F396" s="37" t="n"/>
      <c r="G396" s="37" t="n"/>
      <c r="H396" s="37" t="n"/>
      <c r="I396" s="37" t="n"/>
      <c r="J396" s="37" t="n"/>
      <c r="K396" s="37" t="n"/>
      <c r="L396" s="37" t="n"/>
      <c r="M396" s="27" t="n"/>
      <c r="N396" s="28">
        <f>IF(M396="","",M396-TODAY())</f>
        <v/>
      </c>
      <c r="O396" s="37">
        <f>IF(A396="","",IF(L396="Hoàn thành","XONG",IF(L396="Đã hủy","HỦY",IF(N396&lt;0,"QUÁ HẠN",IF(N396&lt;=THIET_LAP!$B$7,"SẮP HẠN","TRONG HẠN")))))</f>
        <v/>
      </c>
      <c r="P396" s="37" t="n"/>
      <c r="Q396" s="29" t="n"/>
      <c r="R396" s="37" t="n"/>
      <c r="S396" s="37" t="n"/>
    </row>
    <row r="397" ht="15.75" customHeight="1" s="56">
      <c r="A397" s="37">
        <f>IF(B397="","",THIET_LAP!$B$4&amp;"-HS-"&amp;TEXT(COUNT($B$4:B397),"0000"))</f>
        <v/>
      </c>
      <c r="B397" s="27" t="n"/>
      <c r="C397" s="37" t="n"/>
      <c r="D397" s="37" t="n"/>
      <c r="E397" s="37" t="n"/>
      <c r="F397" s="37" t="n"/>
      <c r="G397" s="37" t="n"/>
      <c r="H397" s="37" t="n"/>
      <c r="I397" s="37" t="n"/>
      <c r="J397" s="37" t="n"/>
      <c r="K397" s="37" t="n"/>
      <c r="L397" s="37" t="n"/>
      <c r="M397" s="27" t="n"/>
      <c r="N397" s="28">
        <f>IF(M397="","",M397-TODAY())</f>
        <v/>
      </c>
      <c r="O397" s="37">
        <f>IF(A397="","",IF(L397="Hoàn thành","XONG",IF(L397="Đã hủy","HỦY",IF(N397&lt;0,"QUÁ HẠN",IF(N397&lt;=THIET_LAP!$B$7,"SẮP HẠN","TRONG HẠN")))))</f>
        <v/>
      </c>
      <c r="P397" s="37" t="n"/>
      <c r="Q397" s="29" t="n"/>
      <c r="R397" s="37" t="n"/>
      <c r="S397" s="37" t="n"/>
    </row>
    <row r="398" ht="15.75" customHeight="1" s="56">
      <c r="A398" s="37">
        <f>IF(B398="","",THIET_LAP!$B$4&amp;"-HS-"&amp;TEXT(COUNT($B$4:B398),"0000"))</f>
        <v/>
      </c>
      <c r="B398" s="27" t="n"/>
      <c r="C398" s="37" t="n"/>
      <c r="D398" s="37" t="n"/>
      <c r="E398" s="37" t="n"/>
      <c r="F398" s="37" t="n"/>
      <c r="G398" s="37" t="n"/>
      <c r="H398" s="37" t="n"/>
      <c r="I398" s="37" t="n"/>
      <c r="J398" s="37" t="n"/>
      <c r="K398" s="37" t="n"/>
      <c r="L398" s="37" t="n"/>
      <c r="M398" s="27" t="n"/>
      <c r="N398" s="28">
        <f>IF(M398="","",M398-TODAY())</f>
        <v/>
      </c>
      <c r="O398" s="37">
        <f>IF(A398="","",IF(L398="Hoàn thành","XONG",IF(L398="Đã hủy","HỦY",IF(N398&lt;0,"QUÁ HẠN",IF(N398&lt;=THIET_LAP!$B$7,"SẮP HẠN","TRONG HẠN")))))</f>
        <v/>
      </c>
      <c r="P398" s="37" t="n"/>
      <c r="Q398" s="29" t="n"/>
      <c r="R398" s="37" t="n"/>
      <c r="S398" s="37" t="n"/>
    </row>
    <row r="399" ht="15.75" customHeight="1" s="56">
      <c r="A399" s="37">
        <f>IF(B399="","",THIET_LAP!$B$4&amp;"-HS-"&amp;TEXT(COUNT($B$4:B399),"0000"))</f>
        <v/>
      </c>
      <c r="B399" s="27" t="n"/>
      <c r="C399" s="37" t="n"/>
      <c r="D399" s="37" t="n"/>
      <c r="E399" s="37" t="n"/>
      <c r="F399" s="37" t="n"/>
      <c r="G399" s="37" t="n"/>
      <c r="H399" s="37" t="n"/>
      <c r="I399" s="37" t="n"/>
      <c r="J399" s="37" t="n"/>
      <c r="K399" s="37" t="n"/>
      <c r="L399" s="37" t="n"/>
      <c r="M399" s="27" t="n"/>
      <c r="N399" s="28">
        <f>IF(M399="","",M399-TODAY())</f>
        <v/>
      </c>
      <c r="O399" s="37">
        <f>IF(A399="","",IF(L399="Hoàn thành","XONG",IF(L399="Đã hủy","HỦY",IF(N399&lt;0,"QUÁ HẠN",IF(N399&lt;=THIET_LAP!$B$7,"SẮP HẠN","TRONG HẠN")))))</f>
        <v/>
      </c>
      <c r="P399" s="37" t="n"/>
      <c r="Q399" s="29" t="n"/>
      <c r="R399" s="37" t="n"/>
      <c r="S399" s="37" t="n"/>
    </row>
    <row r="400" ht="15.75" customHeight="1" s="56">
      <c r="A400" s="37">
        <f>IF(B400="","",THIET_LAP!$B$4&amp;"-HS-"&amp;TEXT(COUNT($B$4:B400),"0000"))</f>
        <v/>
      </c>
      <c r="B400" s="27" t="n"/>
      <c r="C400" s="37" t="n"/>
      <c r="D400" s="37" t="n"/>
      <c r="E400" s="37" t="n"/>
      <c r="F400" s="37" t="n"/>
      <c r="G400" s="37" t="n"/>
      <c r="H400" s="37" t="n"/>
      <c r="I400" s="37" t="n"/>
      <c r="J400" s="37" t="n"/>
      <c r="K400" s="37" t="n"/>
      <c r="L400" s="37" t="n"/>
      <c r="M400" s="27" t="n"/>
      <c r="N400" s="28">
        <f>IF(M400="","",M400-TODAY())</f>
        <v/>
      </c>
      <c r="O400" s="37">
        <f>IF(A400="","",IF(L400="Hoàn thành","XONG",IF(L400="Đã hủy","HỦY",IF(N400&lt;0,"QUÁ HẠN",IF(N400&lt;=THIET_LAP!$B$7,"SẮP HẠN","TRONG HẠN")))))</f>
        <v/>
      </c>
      <c r="P400" s="37" t="n"/>
      <c r="Q400" s="29" t="n"/>
      <c r="R400" s="37" t="n"/>
      <c r="S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S$400"/>
  <mergeCells count="2">
    <mergeCell ref="A2:S2"/>
    <mergeCell ref="A1:S1"/>
  </mergeCells>
  <conditionalFormatting sqref="O4:O400">
    <cfRule type="expression" priority="1" dxfId="0">
      <formula>$O4="QUÁ HẠN"</formula>
    </cfRule>
    <cfRule type="expression" priority="2" dxfId="1">
      <formula>$O4="SẮP HẠN"</formula>
    </cfRule>
    <cfRule type="expression" priority="3" dxfId="2">
      <formula>$O4="XONG"</formula>
    </cfRule>
  </conditionalFormatting>
  <dataValidations count="5">
    <dataValidation sqref="I4:J400" showDropDown="0" showInputMessage="0" showErrorMessage="0" allowBlank="1" type="list">
      <formula1>DM_NHANSU</formula1>
    </dataValidation>
    <dataValidation sqref="D4:D400" showDropDown="0" showInputMessage="0" showErrorMessage="0" allowBlank="1" type="list">
      <formula1>DM_DICHVU</formula1>
    </dataValidation>
    <dataValidation sqref="K4:K400" showDropDown="0" showInputMessage="0" showErrorMessage="0" allowBlank="1" type="list">
      <formula1>DM_UUTIEN</formula1>
    </dataValidation>
    <dataValidation sqref="L4:L400" showDropDown="0" showInputMessage="0" showErrorMessage="0" allowBlank="1" type="list">
      <formula1>DM_TRANGTHAI_HOSO</formula1>
    </dataValidation>
    <dataValidation sqref="C4:C400" showDropDown="0" showInputMessage="0" showErrorMessage="0" allowBlank="1" type="list">
      <formula1>DM_PHONGBAN</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N4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2"/>
    <col width="18" customWidth="1" style="56" min="3" max="3"/>
    <col width="28" customWidth="1" style="56" min="4" max="4"/>
    <col width="18" customWidth="1" style="56" min="5" max="6"/>
    <col width="13" customWidth="1" style="56" min="7" max="8"/>
    <col width="12" customWidth="1" style="56" min="9" max="9"/>
    <col width="16" customWidth="1" style="56" min="10" max="10"/>
    <col width="24" customWidth="1" style="56" min="11" max="11"/>
    <col width="12" customWidth="1" style="56" min="12" max="12"/>
    <col width="14" customWidth="1" style="56" min="13" max="13"/>
    <col width="26" customWidth="1" style="56" min="14" max="14"/>
    <col width="8.710000000000001" customWidth="1" style="56" min="15" max="26"/>
  </cols>
  <sheetData>
    <row r="1">
      <c r="A1" s="63" t="inlineStr">
        <is>
          <t>DATABASE TASK</t>
        </is>
      </c>
      <c r="B1" s="58" t="n"/>
      <c r="C1" s="58" t="n"/>
      <c r="D1" s="58" t="n"/>
      <c r="E1" s="58" t="n"/>
      <c r="F1" s="58" t="n"/>
      <c r="G1" s="58" t="n"/>
      <c r="H1" s="58" t="n"/>
      <c r="I1" s="58" t="n"/>
      <c r="J1" s="58" t="n"/>
      <c r="K1" s="58" t="n"/>
      <c r="L1" s="58" t="n"/>
      <c r="M1" s="58" t="n"/>
      <c r="N1" s="59" t="n"/>
    </row>
    <row r="2">
      <c r="A2" s="23" t="inlineStr">
        <is>
          <t>Bảng giao việc liên phòng. Mỗi task là 1 đầu việc.</t>
        </is>
      </c>
    </row>
    <row r="3">
      <c r="A3" s="31" t="inlineStr">
        <is>
          <t>Mã task</t>
        </is>
      </c>
      <c r="B3" s="31" t="inlineStr">
        <is>
          <t>Mã hồ sơ</t>
        </is>
      </c>
      <c r="C3" s="31" t="inlineStr">
        <is>
          <t>Phòng ban</t>
        </is>
      </c>
      <c r="D3" s="31" t="inlineStr">
        <is>
          <t>Tên công việc</t>
        </is>
      </c>
      <c r="E3" s="31" t="inlineStr">
        <is>
          <t>Người giao</t>
        </is>
      </c>
      <c r="F3" s="31" t="inlineStr">
        <is>
          <t>Người nhận</t>
        </is>
      </c>
      <c r="G3" s="31" t="inlineStr">
        <is>
          <t>Ngày giao</t>
        </is>
      </c>
      <c r="H3" s="31" t="inlineStr">
        <is>
          <t>Deadline</t>
        </is>
      </c>
      <c r="I3" s="31" t="inlineStr">
        <is>
          <t>Ưu tiên</t>
        </is>
      </c>
      <c r="J3" s="31" t="inlineStr">
        <is>
          <t>Trạng thái</t>
        </is>
      </c>
      <c r="K3" s="31" t="inlineStr">
        <is>
          <t>Kết quả</t>
        </is>
      </c>
      <c r="L3" s="31" t="inlineStr">
        <is>
          <t>Quá hạn?</t>
        </is>
      </c>
      <c r="M3" s="31" t="inlineStr">
        <is>
          <t>Ngày hoàn thành</t>
        </is>
      </c>
      <c r="N3" s="31" t="inlineStr">
        <is>
          <t>Ghi chú</t>
        </is>
      </c>
    </row>
    <row r="4">
      <c r="A4" s="37" t="inlineStr">
        <is>
          <t>BK-TSK-0001</t>
        </is>
      </c>
      <c r="B4" s="37" t="inlineStr">
        <is>
          <t>BK-HS-0001</t>
        </is>
      </c>
      <c r="C4" s="37" t="inlineStr">
        <is>
          <t>Phòng Đo đạc</t>
        </is>
      </c>
      <c r="D4" s="37" t="inlineStr">
        <is>
          <t>Xin phép xây dựng</t>
        </is>
      </c>
      <c r="E4" s="37" t="inlineStr">
        <is>
          <t>Giám đốc</t>
        </is>
      </c>
      <c r="F4" s="37" t="inlineStr">
        <is>
          <t>Võ Thành Minh</t>
        </is>
      </c>
      <c r="G4" s="27" t="n">
        <v>46097</v>
      </c>
      <c r="H4" s="27" t="n">
        <v>46100</v>
      </c>
      <c r="I4" s="37" t="n"/>
      <c r="J4" s="37" t="inlineStr">
        <is>
          <t>Trong hạn</t>
        </is>
      </c>
      <c r="K4" s="37" t="inlineStr">
        <is>
          <t>Trong hạn</t>
        </is>
      </c>
      <c r="L4" s="37">
        <f>IF(OR(H4="",J4="Hoàn thành",J4="Đã hủy"),"",IF(H4&lt;TODAY(),"QUÁ HẠN",IF(H4-TODAY()&lt;=THIET_LAP!$B$8,"SẮP HẠN","TRONG HẠN")))</f>
        <v/>
      </c>
      <c r="M4" s="27" t="n"/>
      <c r="N4" s="37" t="n"/>
    </row>
    <row r="5">
      <c r="A5" s="37" t="inlineStr">
        <is>
          <t>BK-TSK-0002</t>
        </is>
      </c>
      <c r="B5" s="37" t="inlineStr">
        <is>
          <t>BK-HS-0002</t>
        </is>
      </c>
      <c r="C5" s="37" t="inlineStr">
        <is>
          <t>Phòng Đo đạc</t>
        </is>
      </c>
      <c r="D5" s="37" t="inlineStr">
        <is>
          <t>Cấp đổi</t>
        </is>
      </c>
      <c r="E5" s="37" t="inlineStr">
        <is>
          <t>Giám đốc</t>
        </is>
      </c>
      <c r="F5" s="37" t="inlineStr">
        <is>
          <t>Trương Tấn Quốc</t>
        </is>
      </c>
      <c r="G5" s="27" t="n">
        <v>46094</v>
      </c>
      <c r="H5" s="27" t="n">
        <v>46097</v>
      </c>
      <c r="I5" s="37" t="n"/>
      <c r="J5" s="37" t="inlineStr">
        <is>
          <t>Trong hạn</t>
        </is>
      </c>
      <c r="K5" s="37" t="inlineStr">
        <is>
          <t>Trong hạn</t>
        </is>
      </c>
      <c r="L5" s="37">
        <f>IF(OR(H5="",J5="Hoàn thành",J5="Đã hủy"),"",IF(H5&lt;TODAY(),"QUÁ HẠN",IF(H5-TODAY()&lt;=THIET_LAP!$B$8,"SẮP HẠN","TRONG HẠN")))</f>
        <v/>
      </c>
      <c r="M5" s="27" t="n"/>
      <c r="N5" s="37" t="inlineStr">
        <is>
          <t>Đợi trao đổi với dịch vụ</t>
        </is>
      </c>
    </row>
    <row r="6">
      <c r="A6" s="37" t="inlineStr">
        <is>
          <t>BK-TSK-0003</t>
        </is>
      </c>
      <c r="B6" s="37" t="inlineStr">
        <is>
          <t>BK-HS-0003</t>
        </is>
      </c>
      <c r="C6" s="37" t="inlineStr">
        <is>
          <t>Phòng Đo đạc</t>
        </is>
      </c>
      <c r="D6" s="37" t="inlineStr">
        <is>
          <t>Hoàn công</t>
        </is>
      </c>
      <c r="E6" s="37" t="inlineStr">
        <is>
          <t>Giám đốc</t>
        </is>
      </c>
      <c r="F6" s="37" t="inlineStr">
        <is>
          <t>Lê Văn Xây</t>
        </is>
      </c>
      <c r="G6" s="27" t="n">
        <v>46094</v>
      </c>
      <c r="H6" s="27" t="n">
        <v>46097</v>
      </c>
      <c r="I6" s="37" t="n"/>
      <c r="J6" s="37" t="inlineStr">
        <is>
          <t>Nộp thành công - Chờ kết quả</t>
        </is>
      </c>
      <c r="K6" s="37" t="inlineStr">
        <is>
          <t>Đã nộp</t>
        </is>
      </c>
      <c r="L6" s="37">
        <f>IF(OR(H6="",J6="Hoàn thành",J6="Đã hủy"),"",IF(H6&lt;TODAY(),"QUÁ HẠN",IF(H6-TODAY()&lt;=THIET_LAP!$B$8,"SẮP HẠN","TRONG HẠN")))</f>
        <v/>
      </c>
      <c r="M6" s="27" t="n"/>
      <c r="N6" s="37" t="n"/>
    </row>
    <row r="7">
      <c r="A7" s="37" t="inlineStr">
        <is>
          <t>BK-TSK-0004</t>
        </is>
      </c>
      <c r="B7" s="37" t="inlineStr">
        <is>
          <t>BK-HS-0004</t>
        </is>
      </c>
      <c r="C7" s="37" t="inlineStr">
        <is>
          <t>Phòng Đo đạc</t>
        </is>
      </c>
      <c r="D7" s="37" t="inlineStr">
        <is>
          <t>Cấp đổi</t>
        </is>
      </c>
      <c r="E7" s="37" t="inlineStr">
        <is>
          <t>Giám đốc</t>
        </is>
      </c>
      <c r="F7" s="37" t="inlineStr">
        <is>
          <t>Tạ Khắc Tập</t>
        </is>
      </c>
      <c r="G7" s="27" t="n">
        <v>46094</v>
      </c>
      <c r="H7" s="27" t="n">
        <v>46097</v>
      </c>
      <c r="I7" s="37" t="n"/>
      <c r="J7" s="37" t="inlineStr">
        <is>
          <t>Nộp thành công - Chờ kết quả</t>
        </is>
      </c>
      <c r="K7" s="37" t="inlineStr">
        <is>
          <t>Đã nộp</t>
        </is>
      </c>
      <c r="L7" s="37">
        <f>IF(OR(H7="",J7="Hoàn thành",J7="Đã hủy"),"",IF(H7&lt;TODAY(),"QUÁ HẠN",IF(H7-TODAY()&lt;=THIET_LAP!$B$8,"SẮP HẠN","TRONG HẠN")))</f>
        <v/>
      </c>
      <c r="M7" s="27" t="n"/>
      <c r="N7" s="37" t="n"/>
    </row>
    <row r="8">
      <c r="A8" s="37" t="inlineStr">
        <is>
          <t>BK-TSK-0005</t>
        </is>
      </c>
      <c r="B8" s="37" t="inlineStr">
        <is>
          <t>BK-HS-0005</t>
        </is>
      </c>
      <c r="C8" s="37" t="inlineStr">
        <is>
          <t>Phòng Đo đạc</t>
        </is>
      </c>
      <c r="D8" s="37" t="inlineStr">
        <is>
          <t>Cấp đổi</t>
        </is>
      </c>
      <c r="E8" s="37" t="inlineStr">
        <is>
          <t>Giám đốc</t>
        </is>
      </c>
      <c r="F8" s="37" t="inlineStr">
        <is>
          <t>Tạ Khắc Tập</t>
        </is>
      </c>
      <c r="G8" s="27" t="n">
        <v>46094</v>
      </c>
      <c r="H8" s="27" t="n">
        <v>46097</v>
      </c>
      <c r="I8" s="37" t="n"/>
      <c r="J8" s="37" t="inlineStr">
        <is>
          <t>Nộp thành công - Chờ kết quả</t>
        </is>
      </c>
      <c r="K8" s="37" t="inlineStr">
        <is>
          <t>Đã nộp</t>
        </is>
      </c>
      <c r="L8" s="37">
        <f>IF(OR(H8="",J8="Hoàn thành",J8="Đã hủy"),"",IF(H8&lt;TODAY(),"QUÁ HẠN",IF(H8-TODAY()&lt;=THIET_LAP!$B$8,"SẮP HẠN","TRONG HẠN")))</f>
        <v/>
      </c>
      <c r="M8" s="27" t="n"/>
      <c r="N8" s="37" t="n"/>
    </row>
    <row r="9">
      <c r="A9" s="37" t="inlineStr">
        <is>
          <t>BK-TSK-0006</t>
        </is>
      </c>
      <c r="B9" s="37" t="inlineStr">
        <is>
          <t>BK-HS-0006</t>
        </is>
      </c>
      <c r="C9" s="37" t="inlineStr">
        <is>
          <t>Phòng Đo đạc</t>
        </is>
      </c>
      <c r="D9" s="37" t="inlineStr">
        <is>
          <t>Cắm mốc</t>
        </is>
      </c>
      <c r="E9" s="37" t="inlineStr">
        <is>
          <t>Giám đốc</t>
        </is>
      </c>
      <c r="F9" s="37" t="inlineStr">
        <is>
          <t>Tạ Khắc Tập</t>
        </is>
      </c>
      <c r="G9" s="27" t="n">
        <v>46094</v>
      </c>
      <c r="H9" s="27" t="n">
        <v>46097</v>
      </c>
      <c r="I9" s="37" t="n"/>
      <c r="J9" s="37" t="inlineStr">
        <is>
          <t>Hoàn thành</t>
        </is>
      </c>
      <c r="K9" s="37" t="inlineStr">
        <is>
          <t>Hoàn thành</t>
        </is>
      </c>
      <c r="L9" s="37">
        <f>IF(OR(H9="",J9="Hoàn thành",J9="Đã hủy"),"",IF(H9&lt;TODAY(),"QUÁ HẠN",IF(H9-TODAY()&lt;=THIET_LAP!$B$8,"SẮP HẠN","TRONG HẠN")))</f>
        <v/>
      </c>
      <c r="M9" s="27" t="n">
        <v>46094</v>
      </c>
      <c r="N9" s="37" t="n"/>
    </row>
    <row r="10">
      <c r="A10" s="37" t="inlineStr">
        <is>
          <t>BK-TSK-0007</t>
        </is>
      </c>
      <c r="B10" s="37" t="inlineStr">
        <is>
          <t>BK-HS-0007</t>
        </is>
      </c>
      <c r="C10" s="37" t="inlineStr">
        <is>
          <t>Phòng Đo đạc</t>
        </is>
      </c>
      <c r="D10" s="37" t="inlineStr">
        <is>
          <t>Cấp đổi</t>
        </is>
      </c>
      <c r="E10" s="37" t="inlineStr">
        <is>
          <t>Giám đốc</t>
        </is>
      </c>
      <c r="F10" s="37" t="inlineStr">
        <is>
          <t>Lê Văn Dựng</t>
        </is>
      </c>
      <c r="G10" s="27" t="n">
        <v>46093</v>
      </c>
      <c r="H10" s="27" t="n">
        <v>46096</v>
      </c>
      <c r="I10" s="37" t="n"/>
      <c r="J10" s="37" t="inlineStr">
        <is>
          <t>QUÁ HẠN</t>
        </is>
      </c>
      <c r="K10" s="37" t="inlineStr">
        <is>
          <t>QUÁ HẠN</t>
        </is>
      </c>
      <c r="L10" s="37">
        <f>IF(OR(H10="",J10="Hoàn thành",J10="Đã hủy"),"",IF(H10&lt;TODAY(),"QUÁ HẠN",IF(H10-TODAY()&lt;=THIET_LAP!$B$8,"SẮP HẠN","TRONG HẠN")))</f>
        <v/>
      </c>
      <c r="M10" s="27" t="n"/>
      <c r="N10" s="37" t="inlineStr">
        <is>
          <t>hồ sơ lệch ranh chờ pa</t>
        </is>
      </c>
    </row>
    <row r="11">
      <c r="A11" s="37" t="inlineStr">
        <is>
          <t>BK-TSK-0008</t>
        </is>
      </c>
      <c r="B11" s="37" t="inlineStr">
        <is>
          <t>BK-HS-0008</t>
        </is>
      </c>
      <c r="C11" s="37" t="inlineStr">
        <is>
          <t>Phòng Đo đạc</t>
        </is>
      </c>
      <c r="D11" s="37" t="inlineStr">
        <is>
          <t>Hoàn công</t>
        </is>
      </c>
      <c r="E11" s="37" t="inlineStr">
        <is>
          <t>Giám đốc</t>
        </is>
      </c>
      <c r="F11" s="37" t="inlineStr">
        <is>
          <t>Lê Văn Dựng</t>
        </is>
      </c>
      <c r="G11" s="27" t="n">
        <v>46093</v>
      </c>
      <c r="H11" s="27" t="n">
        <v>46096</v>
      </c>
      <c r="I11" s="37" t="n"/>
      <c r="J11" s="37" t="inlineStr">
        <is>
          <t>QUÁ HẠN</t>
        </is>
      </c>
      <c r="K11" s="37" t="inlineStr">
        <is>
          <t>QUÁ HẠN</t>
        </is>
      </c>
      <c r="L11" s="37">
        <f>IF(OR(H11="",J11="Hoàn thành",J11="Đã hủy"),"",IF(H11&lt;TODAY(),"QUÁ HẠN",IF(H11-TODAY()&lt;=THIET_LAP!$B$8,"SẮP HẠN","TRONG HẠN")))</f>
        <v/>
      </c>
      <c r="M11" s="27" t="n"/>
      <c r="N11" s="37" t="n"/>
    </row>
    <row r="12">
      <c r="A12" s="37" t="inlineStr">
        <is>
          <t>BK-TSK-0009</t>
        </is>
      </c>
      <c r="B12" s="37" t="inlineStr">
        <is>
          <t>BK-HS-0009</t>
        </is>
      </c>
      <c r="C12" s="37" t="inlineStr">
        <is>
          <t>Phòng Đo đạc</t>
        </is>
      </c>
      <c r="D12" s="37" t="inlineStr">
        <is>
          <t>Xác định diện tích</t>
        </is>
      </c>
      <c r="E12" s="37" t="inlineStr">
        <is>
          <t>Giám đốc</t>
        </is>
      </c>
      <c r="F12" s="37" t="inlineStr">
        <is>
          <t>Lê Văn Xây</t>
        </is>
      </c>
      <c r="G12" s="27" t="n">
        <v>46092</v>
      </c>
      <c r="H12" s="27" t="n">
        <v>46095</v>
      </c>
      <c r="I12" s="37" t="n"/>
      <c r="J12" s="37" t="inlineStr">
        <is>
          <t>QUÁ HẠN</t>
        </is>
      </c>
      <c r="K12" s="37" t="inlineStr">
        <is>
          <t>QUÁ HẠN</t>
        </is>
      </c>
      <c r="L12" s="37">
        <f>IF(OR(H12="",J12="Hoàn thành",J12="Đã hủy"),"",IF(H12&lt;TODAY(),"QUÁ HẠN",IF(H12-TODAY()&lt;=THIET_LAP!$B$8,"SẮP HẠN","TRONG HẠN")))</f>
        <v/>
      </c>
      <c r="M12" s="27" t="n"/>
      <c r="N12" s="37" t="n"/>
    </row>
    <row r="13">
      <c r="A13" s="37" t="inlineStr">
        <is>
          <t>BK-TSK-0010</t>
        </is>
      </c>
      <c r="B13" s="37" t="inlineStr">
        <is>
          <t>BK-HS-0010</t>
        </is>
      </c>
      <c r="C13" s="37" t="inlineStr">
        <is>
          <t>Phòng Đo đạc</t>
        </is>
      </c>
      <c r="D13" s="37" t="inlineStr">
        <is>
          <t>Hoàn công</t>
        </is>
      </c>
      <c r="E13" s="37" t="inlineStr">
        <is>
          <t>Giám đốc</t>
        </is>
      </c>
      <c r="F13" s="37" t="inlineStr">
        <is>
          <t>Lê Văn Xây</t>
        </is>
      </c>
      <c r="G13" s="27" t="n">
        <v>46092</v>
      </c>
      <c r="H13" s="27" t="n">
        <v>46095</v>
      </c>
      <c r="I13" s="37" t="n"/>
      <c r="J13" s="37" t="inlineStr">
        <is>
          <t>QUÁ HẠN</t>
        </is>
      </c>
      <c r="K13" s="37" t="inlineStr">
        <is>
          <t>QUÁ HẠN</t>
        </is>
      </c>
      <c r="L13" s="37">
        <f>IF(OR(H13="",J13="Hoàn thành",J13="Đã hủy"),"",IF(H13&lt;TODAY(),"QUÁ HẠN",IF(H13-TODAY()&lt;=THIET_LAP!$B$8,"SẮP HẠN","TRONG HẠN")))</f>
        <v/>
      </c>
      <c r="M13" s="27" t="n"/>
      <c r="N13" s="37" t="n"/>
    </row>
    <row r="14">
      <c r="A14" s="37" t="inlineStr">
        <is>
          <t>BK-TSK-0011</t>
        </is>
      </c>
      <c r="B14" s="37" t="inlineStr">
        <is>
          <t>BK-HS-0011</t>
        </is>
      </c>
      <c r="C14" s="37" t="inlineStr">
        <is>
          <t>Phòng Đo đạc</t>
        </is>
      </c>
      <c r="D14" s="37" t="inlineStr">
        <is>
          <t>Cấp đổi</t>
        </is>
      </c>
      <c r="E14" s="37" t="inlineStr">
        <is>
          <t>Giám đốc</t>
        </is>
      </c>
      <c r="F14" s="37" t="inlineStr">
        <is>
          <t>Trương Tấn Quốc</t>
        </is>
      </c>
      <c r="G14" s="27" t="n">
        <v>46092</v>
      </c>
      <c r="H14" s="27" t="n">
        <v>46095</v>
      </c>
      <c r="I14" s="37" t="n"/>
      <c r="J14" s="37" t="inlineStr">
        <is>
          <t>Nộp thành công - Chờ kết quả</t>
        </is>
      </c>
      <c r="K14" s="37" t="inlineStr">
        <is>
          <t>Đã nộp</t>
        </is>
      </c>
      <c r="L14" s="37">
        <f>IF(OR(H14="",J14="Hoàn thành",J14="Đã hủy"),"",IF(H14&lt;TODAY(),"QUÁ HẠN",IF(H14-TODAY()&lt;=THIET_LAP!$B$8,"SẮP HẠN","TRONG HẠN")))</f>
        <v/>
      </c>
      <c r="M14" s="27" t="n"/>
      <c r="N14" s="37" t="inlineStr">
        <is>
          <t>Cần cắm mốc | Đợi trích lục</t>
        </is>
      </c>
    </row>
    <row r="15">
      <c r="A15" s="37" t="inlineStr">
        <is>
          <t>BK-TSK-0012</t>
        </is>
      </c>
      <c r="B15" s="37" t="inlineStr">
        <is>
          <t>BK-HS-0012</t>
        </is>
      </c>
      <c r="C15" s="37" t="inlineStr">
        <is>
          <t>Phòng Đo đạc</t>
        </is>
      </c>
      <c r="D15" s="37" t="inlineStr">
        <is>
          <t>Cắm mốc</t>
        </is>
      </c>
      <c r="E15" s="37" t="inlineStr">
        <is>
          <t>Giám đốc</t>
        </is>
      </c>
      <c r="F15" s="37" t="inlineStr">
        <is>
          <t>Tạ Khắc Tập</t>
        </is>
      </c>
      <c r="G15" s="27" t="n">
        <v>46091</v>
      </c>
      <c r="H15" s="27" t="n">
        <v>46094</v>
      </c>
      <c r="I15" s="37" t="n"/>
      <c r="J15" s="37" t="inlineStr">
        <is>
          <t>Hoàn thành</t>
        </is>
      </c>
      <c r="K15" s="37" t="inlineStr">
        <is>
          <t>Hoàn thành</t>
        </is>
      </c>
      <c r="L15" s="37">
        <f>IF(OR(H15="",J15="Hoàn thành",J15="Đã hủy"),"",IF(H15&lt;TODAY(),"QUÁ HẠN",IF(H15-TODAY()&lt;=THIET_LAP!$B$8,"SẮP HẠN","TRONG HẠN")))</f>
        <v/>
      </c>
      <c r="M15" s="27" t="n">
        <v>46091</v>
      </c>
      <c r="N15" s="37" t="n"/>
    </row>
    <row r="16">
      <c r="A16" s="37" t="inlineStr">
        <is>
          <t>BK-TSK-0013</t>
        </is>
      </c>
      <c r="B16" s="37" t="inlineStr">
        <is>
          <t>BK-HS-0013</t>
        </is>
      </c>
      <c r="C16" s="37" t="inlineStr">
        <is>
          <t>Phòng Đo đạc</t>
        </is>
      </c>
      <c r="D16" s="37" t="inlineStr">
        <is>
          <t>Chuyển mục đích</t>
        </is>
      </c>
      <c r="E16" s="37" t="inlineStr">
        <is>
          <t>Giám đốc</t>
        </is>
      </c>
      <c r="F16" s="37" t="inlineStr">
        <is>
          <t>Lê Văn Xây</t>
        </is>
      </c>
      <c r="G16" s="27" t="n">
        <v>46091</v>
      </c>
      <c r="H16" s="27" t="n">
        <v>46094</v>
      </c>
      <c r="I16" s="37" t="n"/>
      <c r="J16" s="37" t="inlineStr">
        <is>
          <t>QUÁ HẠN</t>
        </is>
      </c>
      <c r="K16" s="37" t="inlineStr">
        <is>
          <t>QUÁ HẠN</t>
        </is>
      </c>
      <c r="L16" s="37">
        <f>IF(OR(H16="",J16="Hoàn thành",J16="Đã hủy"),"",IF(H16&lt;TODAY(),"QUÁ HẠN",IF(H16-TODAY()&lt;=THIET_LAP!$B$8,"SẮP HẠN","TRONG HẠN")))</f>
        <v/>
      </c>
      <c r="M16" s="27" t="n"/>
      <c r="N16" s="37" t="n"/>
    </row>
    <row r="17">
      <c r="A17" s="37" t="inlineStr">
        <is>
          <t>BK-TSK-0014</t>
        </is>
      </c>
      <c r="B17" s="37" t="inlineStr">
        <is>
          <t>BK-HS-0014</t>
        </is>
      </c>
      <c r="C17" s="37" t="inlineStr">
        <is>
          <t>Phòng Đo đạc</t>
        </is>
      </c>
      <c r="D17" s="37" t="inlineStr">
        <is>
          <t>Cắm mốc</t>
        </is>
      </c>
      <c r="E17" s="37" t="inlineStr">
        <is>
          <t>Giám đốc</t>
        </is>
      </c>
      <c r="F17" s="37" t="inlineStr">
        <is>
          <t>Tạ Khắc Tập</t>
        </is>
      </c>
      <c r="G17" s="27" t="n">
        <v>46091</v>
      </c>
      <c r="H17" s="27" t="n">
        <v>46094</v>
      </c>
      <c r="I17" s="37" t="n"/>
      <c r="J17" s="37" t="inlineStr">
        <is>
          <t>Hoàn thành</t>
        </is>
      </c>
      <c r="K17" s="37" t="inlineStr">
        <is>
          <t>Hoàn thành</t>
        </is>
      </c>
      <c r="L17" s="37">
        <f>IF(OR(H17="",J17="Hoàn thành",J17="Đã hủy"),"",IF(H17&lt;TODAY(),"QUÁ HẠN",IF(H17-TODAY()&lt;=THIET_LAP!$B$8,"SẮP HẠN","TRONG HẠN")))</f>
        <v/>
      </c>
      <c r="M17" s="27" t="n">
        <v>46091</v>
      </c>
      <c r="N17" s="37" t="n"/>
    </row>
    <row r="18">
      <c r="A18" s="37" t="inlineStr">
        <is>
          <t>BK-TSK-0015</t>
        </is>
      </c>
      <c r="B18" s="37" t="inlineStr">
        <is>
          <t>BK-HS-0015</t>
        </is>
      </c>
      <c r="C18" s="37" t="inlineStr">
        <is>
          <t>Phòng Đo đạc</t>
        </is>
      </c>
      <c r="D18" s="37" t="inlineStr">
        <is>
          <t>Xác định diện tích</t>
        </is>
      </c>
      <c r="E18" s="37" t="inlineStr">
        <is>
          <t>Giám đốc</t>
        </is>
      </c>
      <c r="F18" s="37" t="inlineStr">
        <is>
          <t>Lê Văn Dựng</t>
        </is>
      </c>
      <c r="G18" s="27" t="n">
        <v>46091</v>
      </c>
      <c r="H18" s="27" t="n">
        <v>46094</v>
      </c>
      <c r="I18" s="37" t="n"/>
      <c r="J18" s="37" t="inlineStr">
        <is>
          <t>Hoàn thành</t>
        </is>
      </c>
      <c r="K18" s="37" t="inlineStr">
        <is>
          <t>Hoàn thành</t>
        </is>
      </c>
      <c r="L18" s="37">
        <f>IF(OR(H18="",J18="Hoàn thành",J18="Đã hủy"),"",IF(H18&lt;TODAY(),"QUÁ HẠN",IF(H18-TODAY()&lt;=THIET_LAP!$B$8,"SẮP HẠN","TRONG HẠN")))</f>
        <v/>
      </c>
      <c r="M18" s="27" t="n">
        <v>46091</v>
      </c>
      <c r="N18" s="37" t="n"/>
    </row>
    <row r="19">
      <c r="A19" s="37" t="inlineStr">
        <is>
          <t>BK-TSK-0016</t>
        </is>
      </c>
      <c r="B19" s="37" t="inlineStr">
        <is>
          <t>BK-HS-0016</t>
        </is>
      </c>
      <c r="C19" s="37" t="inlineStr">
        <is>
          <t>Phòng Đo đạc</t>
        </is>
      </c>
      <c r="D19" s="37" t="inlineStr">
        <is>
          <t>Xác định diện tích</t>
        </is>
      </c>
      <c r="E19" s="37" t="inlineStr">
        <is>
          <t>Giám đốc</t>
        </is>
      </c>
      <c r="F19" s="37" t="inlineStr">
        <is>
          <t>Lê Văn Dựng</t>
        </is>
      </c>
      <c r="G19" s="27" t="n">
        <v>46091</v>
      </c>
      <c r="H19" s="27" t="n">
        <v>46094</v>
      </c>
      <c r="I19" s="37" t="n"/>
      <c r="J19" s="37" t="inlineStr">
        <is>
          <t>Hoàn thành</t>
        </is>
      </c>
      <c r="K19" s="37" t="inlineStr">
        <is>
          <t>Hoàn thành</t>
        </is>
      </c>
      <c r="L19" s="37">
        <f>IF(OR(H19="",J19="Hoàn thành",J19="Đã hủy"),"",IF(H19&lt;TODAY(),"QUÁ HẠN",IF(H19-TODAY()&lt;=THIET_LAP!$B$8,"SẮP HẠN","TRONG HẠN")))</f>
        <v/>
      </c>
      <c r="M19" s="27" t="n">
        <v>46091</v>
      </c>
      <c r="N19" s="37" t="n"/>
    </row>
    <row r="20">
      <c r="A20" s="37" t="inlineStr">
        <is>
          <t>BK-TSK-0017</t>
        </is>
      </c>
      <c r="B20" s="37" t="inlineStr">
        <is>
          <t>BK-HS-0017</t>
        </is>
      </c>
      <c r="C20" s="37" t="inlineStr">
        <is>
          <t>Phòng Đo đạc</t>
        </is>
      </c>
      <c r="D20" s="37" t="inlineStr">
        <is>
          <t>Đo GPS</t>
        </is>
      </c>
      <c r="E20" s="37" t="inlineStr">
        <is>
          <t>Giám đốc</t>
        </is>
      </c>
      <c r="F20" s="37" t="inlineStr">
        <is>
          <t>Lê Văn Dựng</t>
        </is>
      </c>
      <c r="G20" s="27" t="n">
        <v>46090</v>
      </c>
      <c r="H20" s="27" t="n">
        <v>46093</v>
      </c>
      <c r="I20" s="37" t="n"/>
      <c r="J20" s="37" t="inlineStr">
        <is>
          <t>Hoàn thành</t>
        </is>
      </c>
      <c r="K20" s="37" t="inlineStr">
        <is>
          <t>Hoàn thành</t>
        </is>
      </c>
      <c r="L20" s="37">
        <f>IF(OR(H20="",J20="Hoàn thành",J20="Đã hủy"),"",IF(H20&lt;TODAY(),"QUÁ HẠN",IF(H20-TODAY()&lt;=THIET_LAP!$B$8,"SẮP HẠN","TRONG HẠN")))</f>
        <v/>
      </c>
      <c r="M20" s="27" t="n">
        <v>46091</v>
      </c>
      <c r="N20" s="37" t="n"/>
    </row>
    <row r="21" ht="15.75" customHeight="1" s="56">
      <c r="A21" s="37" t="inlineStr">
        <is>
          <t>BK-TSK-0018</t>
        </is>
      </c>
      <c r="B21" s="37" t="inlineStr">
        <is>
          <t>BK-HS-0018</t>
        </is>
      </c>
      <c r="C21" s="37" t="inlineStr">
        <is>
          <t>Phòng Đo đạc</t>
        </is>
      </c>
      <c r="D21" s="37" t="inlineStr">
        <is>
          <t>Cấp sổ lần đầu</t>
        </is>
      </c>
      <c r="E21" s="37" t="inlineStr">
        <is>
          <t>Giám đốc</t>
        </is>
      </c>
      <c r="F21" s="37" t="inlineStr">
        <is>
          <t>Tạ Khắc Tập</t>
        </is>
      </c>
      <c r="G21" s="27" t="n">
        <v>46090</v>
      </c>
      <c r="H21" s="27" t="n">
        <v>46093</v>
      </c>
      <c r="I21" s="37" t="n"/>
      <c r="J21" s="37" t="inlineStr">
        <is>
          <t>Hoàn thành</t>
        </is>
      </c>
      <c r="K21" s="37" t="inlineStr">
        <is>
          <t>Hoàn thành</t>
        </is>
      </c>
      <c r="L21" s="37">
        <f>IF(OR(H21="",J21="Hoàn thành",J21="Đã hủy"),"",IF(H21&lt;TODAY(),"QUÁ HẠN",IF(H21-TODAY()&lt;=THIET_LAP!$B$8,"SẮP HẠN","TRONG HẠN")))</f>
        <v/>
      </c>
      <c r="M21" s="27" t="n">
        <v>46092</v>
      </c>
      <c r="N21" s="37" t="inlineStr">
        <is>
          <t>BAO CAO GPS</t>
        </is>
      </c>
    </row>
    <row r="22" ht="15.75" customHeight="1" s="56">
      <c r="A22" s="37" t="inlineStr">
        <is>
          <t>BK-TSK-0019</t>
        </is>
      </c>
      <c r="B22" s="37" t="inlineStr">
        <is>
          <t>BK-HS-0019</t>
        </is>
      </c>
      <c r="C22" s="37" t="inlineStr">
        <is>
          <t>Phòng Đo đạc</t>
        </is>
      </c>
      <c r="D22" s="37" t="inlineStr">
        <is>
          <t>Đo GPS</t>
        </is>
      </c>
      <c r="E22" s="37" t="inlineStr">
        <is>
          <t>Giám đốc</t>
        </is>
      </c>
      <c r="F22" s="37" t="inlineStr">
        <is>
          <t>Lê Văn Dựng</t>
        </is>
      </c>
      <c r="G22" s="27" t="n">
        <v>46090</v>
      </c>
      <c r="H22" s="27" t="n">
        <v>46093</v>
      </c>
      <c r="I22" s="37" t="n"/>
      <c r="J22" s="37" t="inlineStr">
        <is>
          <t>Hoàn thành</t>
        </is>
      </c>
      <c r="K22" s="37" t="inlineStr">
        <is>
          <t>Hoàn thành</t>
        </is>
      </c>
      <c r="L22" s="37">
        <f>IF(OR(H22="",J22="Hoàn thành",J22="Đã hủy"),"",IF(H22&lt;TODAY(),"QUÁ HẠN",IF(H22-TODAY()&lt;=THIET_LAP!$B$8,"SẮP HẠN","TRONG HẠN")))</f>
        <v/>
      </c>
      <c r="M22" s="27" t="n">
        <v>46090</v>
      </c>
      <c r="N22" s="37" t="n"/>
    </row>
    <row r="23" ht="15.75" customHeight="1" s="56">
      <c r="A23" s="37" t="inlineStr">
        <is>
          <t>BK-TSK-0020</t>
        </is>
      </c>
      <c r="B23" s="37" t="inlineStr">
        <is>
          <t>BK-HS-0020</t>
        </is>
      </c>
      <c r="C23" s="37" t="inlineStr">
        <is>
          <t>Phòng Đo đạc</t>
        </is>
      </c>
      <c r="D23" s="37" t="inlineStr">
        <is>
          <t>Cấp đổi</t>
        </is>
      </c>
      <c r="E23" s="37" t="inlineStr">
        <is>
          <t>Giám đốc</t>
        </is>
      </c>
      <c r="F23" s="37" t="inlineStr">
        <is>
          <t>Lê Văn Dựng</t>
        </is>
      </c>
      <c r="G23" s="27" t="n">
        <v>46090</v>
      </c>
      <c r="H23" s="27" t="n">
        <v>46091</v>
      </c>
      <c r="I23" s="37" t="inlineStr">
        <is>
          <t>Cao</t>
        </is>
      </c>
      <c r="J23" s="37" t="inlineStr">
        <is>
          <t>Nộp thành công - Chờ kết quả</t>
        </is>
      </c>
      <c r="K23" s="37" t="inlineStr">
        <is>
          <t>Đã nộp</t>
        </is>
      </c>
      <c r="L23" s="37">
        <f>IF(OR(H23="",J23="Hoàn thành",J23="Đã hủy"),"",IF(H23&lt;TODAY(),"QUÁ HẠN",IF(H23-TODAY()&lt;=THIET_LAP!$B$8,"SẮP HẠN","TRONG HẠN")))</f>
        <v/>
      </c>
      <c r="M23" s="27" t="n"/>
      <c r="N23" s="37" t="n"/>
    </row>
    <row r="24" ht="15.75" customHeight="1" s="56">
      <c r="A24" s="37" t="inlineStr">
        <is>
          <t>BK-TSK-0021</t>
        </is>
      </c>
      <c r="B24" s="37" t="inlineStr">
        <is>
          <t>BK-HS-0021</t>
        </is>
      </c>
      <c r="C24" s="37" t="inlineStr">
        <is>
          <t>Phòng Đo đạc</t>
        </is>
      </c>
      <c r="D24" s="37" t="inlineStr">
        <is>
          <t>Xin phép xây dựng</t>
        </is>
      </c>
      <c r="E24" s="37" t="inlineStr">
        <is>
          <t>Giám đốc</t>
        </is>
      </c>
      <c r="F24" s="37" t="inlineStr">
        <is>
          <t>Võ Tứ Hợp</t>
        </is>
      </c>
      <c r="G24" s="27" t="n">
        <v>46088</v>
      </c>
      <c r="H24" s="27" t="n">
        <v>46091</v>
      </c>
      <c r="I24" s="37" t="n"/>
      <c r="J24" s="37" t="inlineStr">
        <is>
          <t>Hủy</t>
        </is>
      </c>
      <c r="K24" s="37" t="inlineStr">
        <is>
          <t>ĐÃ HỦY</t>
        </is>
      </c>
      <c r="L24" s="37">
        <f>IF(OR(H24="",J24="Hoàn thành",J24="Đã hủy"),"",IF(H24&lt;TODAY(),"QUÁ HẠN",IF(H24-TODAY()&lt;=THIET_LAP!$B$8,"SẮP HẠN","TRONG HẠN")))</f>
        <v/>
      </c>
      <c r="M24" s="27" t="n"/>
      <c r="N24" s="37" t="n"/>
    </row>
    <row r="25" ht="15.75" customHeight="1" s="56">
      <c r="A25" s="37" t="inlineStr">
        <is>
          <t>BK-TSK-0022</t>
        </is>
      </c>
      <c r="B25" s="37" t="inlineStr">
        <is>
          <t>BK-HS-0022</t>
        </is>
      </c>
      <c r="C25" s="37" t="inlineStr">
        <is>
          <t>Phòng Đo đạc</t>
        </is>
      </c>
      <c r="D25" s="37" t="inlineStr">
        <is>
          <t>Hoàn công</t>
        </is>
      </c>
      <c r="E25" s="37" t="inlineStr">
        <is>
          <t>Giám đốc</t>
        </is>
      </c>
      <c r="F25" s="37" t="inlineStr">
        <is>
          <t>Lê Văn Xây</t>
        </is>
      </c>
      <c r="G25" s="27" t="n">
        <v>46087</v>
      </c>
      <c r="H25" s="27" t="n">
        <v>46090</v>
      </c>
      <c r="I25" s="37" t="n"/>
      <c r="J25" s="37" t="inlineStr">
        <is>
          <t>Nộp thành công - Chờ kết quả</t>
        </is>
      </c>
      <c r="K25" s="37" t="inlineStr">
        <is>
          <t>Đã nộp</t>
        </is>
      </c>
      <c r="L25" s="37">
        <f>IF(OR(H25="",J25="Hoàn thành",J25="Đã hủy"),"",IF(H25&lt;TODAY(),"QUÁ HẠN",IF(H25-TODAY()&lt;=THIET_LAP!$B$8,"SẮP HẠN","TRONG HẠN")))</f>
        <v/>
      </c>
      <c r="M25" s="27" t="n"/>
      <c r="N25" s="37" t="n"/>
    </row>
    <row r="26" ht="15.75" customHeight="1" s="56">
      <c r="A26" s="37" t="inlineStr">
        <is>
          <t>BK-TSK-0023</t>
        </is>
      </c>
      <c r="B26" s="37" t="inlineStr">
        <is>
          <t>BK-HS-0023</t>
        </is>
      </c>
      <c r="C26" s="37" t="inlineStr">
        <is>
          <t>Phòng Đo đạc</t>
        </is>
      </c>
      <c r="D26" s="37" t="inlineStr">
        <is>
          <t>Cắm mốc</t>
        </is>
      </c>
      <c r="E26" s="37" t="inlineStr">
        <is>
          <t>Giám đốc</t>
        </is>
      </c>
      <c r="F26" s="37" t="inlineStr">
        <is>
          <t>Lê Văn Dựng</t>
        </is>
      </c>
      <c r="G26" s="27" t="n">
        <v>46086</v>
      </c>
      <c r="H26" s="27" t="n">
        <v>46089</v>
      </c>
      <c r="I26" s="37" t="n"/>
      <c r="J26" s="37" t="inlineStr">
        <is>
          <t>Hoàn thành</t>
        </is>
      </c>
      <c r="K26" s="37" t="inlineStr">
        <is>
          <t>Hoàn thành</t>
        </is>
      </c>
      <c r="L26" s="37">
        <f>IF(OR(H26="",J26="Hoàn thành",J26="Đã hủy"),"",IF(H26&lt;TODAY(),"QUÁ HẠN",IF(H26-TODAY()&lt;=THIET_LAP!$B$8,"SẮP HẠN","TRONG HẠN")))</f>
        <v/>
      </c>
      <c r="M26" s="27" t="n">
        <v>46086</v>
      </c>
      <c r="N26" s="37" t="n"/>
    </row>
    <row r="27" ht="15.75" customHeight="1" s="56">
      <c r="A27" s="37" t="inlineStr">
        <is>
          <t>BK-TSK-0024</t>
        </is>
      </c>
      <c r="B27" s="37" t="inlineStr">
        <is>
          <t>BK-HS-0024</t>
        </is>
      </c>
      <c r="C27" s="37" t="inlineStr">
        <is>
          <t>Phòng Đo đạc</t>
        </is>
      </c>
      <c r="D27" s="37" t="inlineStr">
        <is>
          <t>Cấp sổ lần đầu</t>
        </is>
      </c>
      <c r="E27" s="37" t="inlineStr">
        <is>
          <t>Giám đốc</t>
        </is>
      </c>
      <c r="F27" s="37" t="inlineStr">
        <is>
          <t>Trương Tấn Quốc</t>
        </is>
      </c>
      <c r="G27" s="27" t="n">
        <v>46085</v>
      </c>
      <c r="H27" s="27" t="n">
        <v>46088</v>
      </c>
      <c r="I27" s="37" t="n"/>
      <c r="J27" s="37" t="inlineStr">
        <is>
          <t>Hoàn thành</t>
        </is>
      </c>
      <c r="K27" s="37" t="inlineStr">
        <is>
          <t>Hoàn thành</t>
        </is>
      </c>
      <c r="L27" s="37">
        <f>IF(OR(H27="",J27="Hoàn thành",J27="Đã hủy"),"",IF(H27&lt;TODAY(),"QUÁ HẠN",IF(H27-TODAY()&lt;=THIET_LAP!$B$8,"SẮP HẠN","TRONG HẠN")))</f>
        <v/>
      </c>
      <c r="M27" s="27" t="n">
        <v>46086</v>
      </c>
      <c r="N27" s="37" t="inlineStr">
        <is>
          <t>Lúc trước đã hủy, giờ vẽ nộp phường</t>
        </is>
      </c>
    </row>
    <row r="28" ht="15.75" customHeight="1" s="56">
      <c r="A28" s="37" t="inlineStr">
        <is>
          <t>BK-TSK-0025</t>
        </is>
      </c>
      <c r="B28" s="37" t="inlineStr">
        <is>
          <t>BK-HS-0025</t>
        </is>
      </c>
      <c r="C28" s="37" t="inlineStr">
        <is>
          <t>Phòng Đo đạc</t>
        </is>
      </c>
      <c r="D28" s="37" t="inlineStr">
        <is>
          <t>Cắm mốc</t>
        </is>
      </c>
      <c r="E28" s="37" t="inlineStr">
        <is>
          <t>Giám đốc</t>
        </is>
      </c>
      <c r="F28" s="37" t="inlineStr">
        <is>
          <t>Lê Văn Dựng</t>
        </is>
      </c>
      <c r="G28" s="27" t="n">
        <v>46085</v>
      </c>
      <c r="H28" s="27" t="n">
        <v>46088</v>
      </c>
      <c r="I28" s="37" t="n"/>
      <c r="J28" s="37" t="inlineStr">
        <is>
          <t>Hoàn thành</t>
        </is>
      </c>
      <c r="K28" s="37" t="inlineStr">
        <is>
          <t>Hoàn thành</t>
        </is>
      </c>
      <c r="L28" s="37">
        <f>IF(OR(H28="",J28="Hoàn thành",J28="Đã hủy"),"",IF(H28&lt;TODAY(),"QUÁ HẠN",IF(H28-TODAY()&lt;=THIET_LAP!$B$8,"SẮP HẠN","TRONG HẠN")))</f>
        <v/>
      </c>
      <c r="M28" s="27" t="n">
        <v>46086</v>
      </c>
      <c r="N28" s="37" t="n"/>
    </row>
    <row r="29" ht="15.75" customHeight="1" s="56">
      <c r="A29" s="37" t="inlineStr">
        <is>
          <t>BK-TSK-0026</t>
        </is>
      </c>
      <c r="B29" s="37" t="inlineStr">
        <is>
          <t>BK-HS-0026</t>
        </is>
      </c>
      <c r="C29" s="37" t="inlineStr">
        <is>
          <t>Phòng Đo đạc</t>
        </is>
      </c>
      <c r="D29" s="37" t="inlineStr">
        <is>
          <t>Xác định diện tích</t>
        </is>
      </c>
      <c r="E29" s="37" t="inlineStr">
        <is>
          <t>Giám đốc</t>
        </is>
      </c>
      <c r="F29" s="37" t="inlineStr">
        <is>
          <t>Trương Tấn Quốc</t>
        </is>
      </c>
      <c r="G29" s="27" t="n">
        <v>46085</v>
      </c>
      <c r="H29" s="27" t="n">
        <v>46088</v>
      </c>
      <c r="I29" s="37" t="n"/>
      <c r="J29" s="37" t="inlineStr">
        <is>
          <t>Hoàn thành</t>
        </is>
      </c>
      <c r="K29" s="37" t="inlineStr">
        <is>
          <t>Hoàn thành</t>
        </is>
      </c>
      <c r="L29" s="37">
        <f>IF(OR(H29="",J29="Hoàn thành",J29="Đã hủy"),"",IF(H29&lt;TODAY(),"QUÁ HẠN",IF(H29-TODAY()&lt;=THIET_LAP!$B$8,"SẮP HẠN","TRONG HẠN")))</f>
        <v/>
      </c>
      <c r="M29" s="27" t="n">
        <v>46085</v>
      </c>
      <c r="N29" s="37" t="n"/>
    </row>
    <row r="30" ht="15.75" customHeight="1" s="56">
      <c r="A30" s="37" t="inlineStr">
        <is>
          <t>BK-TSK-0027</t>
        </is>
      </c>
      <c r="B30" s="37" t="inlineStr">
        <is>
          <t>BK-HS-0027</t>
        </is>
      </c>
      <c r="C30" s="37" t="inlineStr">
        <is>
          <t>Phòng Đo đạc</t>
        </is>
      </c>
      <c r="D30" s="37" t="inlineStr">
        <is>
          <t>Xác định diện tích</t>
        </is>
      </c>
      <c r="E30" s="37" t="inlineStr">
        <is>
          <t>Giám đốc</t>
        </is>
      </c>
      <c r="F30" s="37" t="inlineStr">
        <is>
          <t>Lê Văn Dựng</t>
        </is>
      </c>
      <c r="G30" s="27" t="n">
        <v>46085</v>
      </c>
      <c r="H30" s="27" t="n">
        <v>46088</v>
      </c>
      <c r="I30" s="37" t="n"/>
      <c r="J30" s="37" t="inlineStr">
        <is>
          <t>Hoàn thành</t>
        </is>
      </c>
      <c r="K30" s="37" t="inlineStr">
        <is>
          <t>Hoàn thành</t>
        </is>
      </c>
      <c r="L30" s="37">
        <f>IF(OR(H30="",J30="Hoàn thành",J30="Đã hủy"),"",IF(H30&lt;TODAY(),"QUÁ HẠN",IF(H30-TODAY()&lt;=THIET_LAP!$B$8,"SẮP HẠN","TRONG HẠN")))</f>
        <v/>
      </c>
      <c r="M30" s="27" t="n">
        <v>46086</v>
      </c>
      <c r="N30" s="37" t="inlineStr">
        <is>
          <t>hồ sơ cấp đổi lấn thửa chủ nhà yêu cầu vẽ XDDT để đưa lên phường trình bày</t>
        </is>
      </c>
    </row>
    <row r="31" ht="15.75" customHeight="1" s="56">
      <c r="A31" s="37" t="inlineStr">
        <is>
          <t>BK-TSK-0028</t>
        </is>
      </c>
      <c r="B31" s="37" t="inlineStr">
        <is>
          <t>BK-HS-0028</t>
        </is>
      </c>
      <c r="C31" s="37" t="inlineStr">
        <is>
          <t>Phòng Đo đạc</t>
        </is>
      </c>
      <c r="D31" s="37" t="inlineStr">
        <is>
          <t>Hoàn công</t>
        </is>
      </c>
      <c r="E31" s="37" t="inlineStr">
        <is>
          <t>Giám đốc</t>
        </is>
      </c>
      <c r="F31" s="37" t="inlineStr">
        <is>
          <t>Tạ Khắc Tập</t>
        </is>
      </c>
      <c r="G31" s="27" t="n">
        <v>46085</v>
      </c>
      <c r="H31" s="27" t="n">
        <v>46088</v>
      </c>
      <c r="I31" s="37" t="n"/>
      <c r="J31" s="37" t="inlineStr">
        <is>
          <t>Nộp thành công - Chờ kết quả</t>
        </is>
      </c>
      <c r="K31" s="37" t="inlineStr">
        <is>
          <t>Đã nộp</t>
        </is>
      </c>
      <c r="L31" s="37">
        <f>IF(OR(H31="",J31="Hoàn thành",J31="Đã hủy"),"",IF(H31&lt;TODAY(),"QUÁ HẠN",IF(H31-TODAY()&lt;=THIET_LAP!$B$8,"SẮP HẠN","TRONG HẠN")))</f>
        <v/>
      </c>
      <c r="M31" s="27" t="n"/>
      <c r="N31" s="37" t="inlineStr">
        <is>
          <t>GIAM DT+ VE THEO GPXD</t>
        </is>
      </c>
    </row>
    <row r="32" ht="15.75" customHeight="1" s="56">
      <c r="A32" s="37" t="inlineStr">
        <is>
          <t>BK-TSK-0029</t>
        </is>
      </c>
      <c r="B32" s="37" t="inlineStr">
        <is>
          <t>BK-HS-0029</t>
        </is>
      </c>
      <c r="C32" s="37" t="inlineStr">
        <is>
          <t>Phòng Đo đạc</t>
        </is>
      </c>
      <c r="D32" s="37" t="inlineStr">
        <is>
          <t>Hoàn công</t>
        </is>
      </c>
      <c r="E32" s="37" t="inlineStr">
        <is>
          <t>Giám đốc</t>
        </is>
      </c>
      <c r="F32" s="37" t="inlineStr">
        <is>
          <t>Tạ Khắc Tập</t>
        </is>
      </c>
      <c r="G32" s="27" t="n">
        <v>46085</v>
      </c>
      <c r="H32" s="27" t="n">
        <v>46088</v>
      </c>
      <c r="I32" s="37" t="n"/>
      <c r="J32" s="37" t="inlineStr">
        <is>
          <t>QUÁ HẠN</t>
        </is>
      </c>
      <c r="K32" s="37" t="inlineStr">
        <is>
          <t>QUÁ HẠN</t>
        </is>
      </c>
      <c r="L32" s="37">
        <f>IF(OR(H32="",J32="Hoàn thành",J32="Đã hủy"),"",IF(H32&lt;TODAY(),"QUÁ HẠN",IF(H32-TODAY()&lt;=THIET_LAP!$B$8,"SẮP HẠN","TRONG HẠN")))</f>
        <v/>
      </c>
      <c r="M32" s="27" t="n"/>
      <c r="N32" s="37" t="inlineStr">
        <is>
          <t>SAI HIEN TRANG+ GIAY PHEP XD KO ĐÚNG BVXP CHỜ CHU NHÀ  RA PHUONG DDIEU CHINH GPXD</t>
        </is>
      </c>
    </row>
    <row r="33" ht="15.75" customHeight="1" s="56">
      <c r="A33" s="37" t="inlineStr">
        <is>
          <t>BK-TSK-0030</t>
        </is>
      </c>
      <c r="B33" s="37" t="inlineStr">
        <is>
          <t>BK-HS-0030</t>
        </is>
      </c>
      <c r="C33" s="37" t="inlineStr">
        <is>
          <t>Phòng Đo đạc</t>
        </is>
      </c>
      <c r="D33" s="37" t="inlineStr">
        <is>
          <t>Cắm mốc</t>
        </is>
      </c>
      <c r="E33" s="37" t="inlineStr">
        <is>
          <t>Giám đốc</t>
        </is>
      </c>
      <c r="F33" s="37" t="inlineStr">
        <is>
          <t>Lê Văn Dựng</t>
        </is>
      </c>
      <c r="G33" s="27" t="n">
        <v>46085</v>
      </c>
      <c r="H33" s="27" t="n">
        <v>46088</v>
      </c>
      <c r="I33" s="37" t="n"/>
      <c r="J33" s="37" t="inlineStr">
        <is>
          <t>Hoàn thành</t>
        </is>
      </c>
      <c r="K33" s="37" t="inlineStr">
        <is>
          <t>Hoàn thành</t>
        </is>
      </c>
      <c r="L33" s="37">
        <f>IF(OR(H33="",J33="Hoàn thành",J33="Đã hủy"),"",IF(H33&lt;TODAY(),"QUÁ HẠN",IF(H33-TODAY()&lt;=THIET_LAP!$B$8,"SẮP HẠN","TRONG HẠN")))</f>
        <v/>
      </c>
      <c r="M33" s="27" t="n">
        <v>46085</v>
      </c>
      <c r="N33" s="37" t="n"/>
    </row>
    <row r="34" ht="15.75" customHeight="1" s="56">
      <c r="A34" s="37" t="inlineStr">
        <is>
          <t>BK-TSK-0031</t>
        </is>
      </c>
      <c r="B34" s="37" t="inlineStr">
        <is>
          <t>BK-HS-0031</t>
        </is>
      </c>
      <c r="C34" s="37" t="inlineStr">
        <is>
          <t>Phòng Đo đạc</t>
        </is>
      </c>
      <c r="D34" s="37" t="inlineStr">
        <is>
          <t>Hoàn công</t>
        </is>
      </c>
      <c r="E34" s="37" t="inlineStr">
        <is>
          <t>Giám đốc</t>
        </is>
      </c>
      <c r="F34" s="37" t="inlineStr">
        <is>
          <t>Lê Văn Xây</t>
        </is>
      </c>
      <c r="G34" s="27" t="n">
        <v>46084</v>
      </c>
      <c r="H34" s="27" t="n">
        <v>46087</v>
      </c>
      <c r="I34" s="37" t="n"/>
      <c r="J34" s="37" t="inlineStr">
        <is>
          <t>QUÁ HẠN</t>
        </is>
      </c>
      <c r="K34" s="37" t="inlineStr">
        <is>
          <t>QUÁ HẠN</t>
        </is>
      </c>
      <c r="L34" s="37">
        <f>IF(OR(H34="",J34="Hoàn thành",J34="Đã hủy"),"",IF(H34&lt;TODAY(),"QUÁ HẠN",IF(H34-TODAY()&lt;=THIET_LAP!$B$8,"SẮP HẠN","TRONG HẠN")))</f>
        <v/>
      </c>
      <c r="M34" s="27" t="n"/>
      <c r="N34" s="37" t="n"/>
    </row>
    <row r="35" ht="15.75" customHeight="1" s="56">
      <c r="A35" s="37" t="inlineStr">
        <is>
          <t>BK-TSK-0032</t>
        </is>
      </c>
      <c r="B35" s="37" t="inlineStr">
        <is>
          <t>BK-HS-0032</t>
        </is>
      </c>
      <c r="C35" s="37" t="inlineStr">
        <is>
          <t>Phòng Đo đạc</t>
        </is>
      </c>
      <c r="D35" s="37" t="inlineStr">
        <is>
          <t>Cấp đổi</t>
        </is>
      </c>
      <c r="E35" s="37" t="inlineStr">
        <is>
          <t>Giám đốc</t>
        </is>
      </c>
      <c r="F35" s="37" t="inlineStr">
        <is>
          <t>Trương Tấn Quốc</t>
        </is>
      </c>
      <c r="G35" s="27" t="n">
        <v>46084</v>
      </c>
      <c r="H35" s="27" t="n">
        <v>46087</v>
      </c>
      <c r="I35" s="37" t="n"/>
      <c r="J35" s="37" t="inlineStr">
        <is>
          <t>Nộp thành công - Chờ kết quả</t>
        </is>
      </c>
      <c r="K35" s="37" t="inlineStr">
        <is>
          <t>Đã nộp</t>
        </is>
      </c>
      <c r="L35" s="37">
        <f>IF(OR(H35="",J35="Hoàn thành",J35="Đã hủy"),"",IF(H35&lt;TODAY(),"QUÁ HẠN",IF(H35-TODAY()&lt;=THIET_LAP!$B$8,"SẮP HẠN","TRONG HẠN")))</f>
        <v/>
      </c>
      <c r="M35" s="27" t="n"/>
      <c r="N35" s="37" t="n"/>
    </row>
    <row r="36" ht="15.75" customHeight="1" s="56">
      <c r="A36" s="37" t="inlineStr">
        <is>
          <t>BK-TSK-0033</t>
        </is>
      </c>
      <c r="B36" s="37" t="inlineStr">
        <is>
          <t>BK-HS-0033</t>
        </is>
      </c>
      <c r="C36" s="37" t="inlineStr">
        <is>
          <t>Phòng Đo đạc</t>
        </is>
      </c>
      <c r="D36" s="37" t="inlineStr">
        <is>
          <t>Cấp sổ lần đầu</t>
        </is>
      </c>
      <c r="E36" s="37" t="inlineStr">
        <is>
          <t>Giám đốc</t>
        </is>
      </c>
      <c r="F36" s="37" t="inlineStr">
        <is>
          <t>Tạ Khắc Tập</t>
        </is>
      </c>
      <c r="G36" s="27" t="n">
        <v>46083</v>
      </c>
      <c r="H36" s="27" t="n">
        <v>46086</v>
      </c>
      <c r="I36" s="37" t="n"/>
      <c r="J36" s="37" t="inlineStr">
        <is>
          <t>Hoàn thành</t>
        </is>
      </c>
      <c r="K36" s="37" t="inlineStr">
        <is>
          <t>Hoàn thành</t>
        </is>
      </c>
      <c r="L36" s="37">
        <f>IF(OR(H36="",J36="Hoàn thành",J36="Đã hủy"),"",IF(H36&lt;TODAY(),"QUÁ HẠN",IF(H36-TODAY()&lt;=THIET_LAP!$B$8,"SẮP HẠN","TRONG HẠN")))</f>
        <v/>
      </c>
      <c r="M36" s="27" t="n">
        <v>46085</v>
      </c>
      <c r="N36" s="37" t="n"/>
    </row>
    <row r="37" ht="15.75" customHeight="1" s="56">
      <c r="A37" s="37" t="inlineStr">
        <is>
          <t>BK-TSK-0034</t>
        </is>
      </c>
      <c r="B37" s="37" t="inlineStr">
        <is>
          <t>BK-HS-0034</t>
        </is>
      </c>
      <c r="C37" s="37" t="inlineStr">
        <is>
          <t>Phòng Đo đạc</t>
        </is>
      </c>
      <c r="D37" s="37" t="inlineStr">
        <is>
          <t>Cấp đổi</t>
        </is>
      </c>
      <c r="E37" s="37" t="inlineStr">
        <is>
          <t>Giám đốc</t>
        </is>
      </c>
      <c r="F37" s="37" t="inlineStr">
        <is>
          <t>Lê Văn Dựng</t>
        </is>
      </c>
      <c r="G37" s="27" t="n">
        <v>46080</v>
      </c>
      <c r="H37" s="27" t="n">
        <v>46083</v>
      </c>
      <c r="I37" s="37" t="n"/>
      <c r="J37" s="37" t="inlineStr">
        <is>
          <t>QUÁ HẠN</t>
        </is>
      </c>
      <c r="K37" s="37" t="inlineStr">
        <is>
          <t>QUÁ HẠN</t>
        </is>
      </c>
      <c r="L37" s="37">
        <f>IF(OR(H37="",J37="Hoàn thành",J37="Đã hủy"),"",IF(H37&lt;TODAY(),"QUÁ HẠN",IF(H37-TODAY()&lt;=THIET_LAP!$B$8,"SẮP HẠN","TRONG HẠN")))</f>
        <v/>
      </c>
      <c r="M37" s="27" t="n"/>
      <c r="N37" s="37" t="inlineStr">
        <is>
          <t>Đợi chủ nhà đập hàng rào</t>
        </is>
      </c>
    </row>
    <row r="38" ht="15.75" customHeight="1" s="56">
      <c r="A38" s="37" t="inlineStr">
        <is>
          <t>BK-TSK-0035</t>
        </is>
      </c>
      <c r="B38" s="37" t="inlineStr">
        <is>
          <t>BK-HS-0035</t>
        </is>
      </c>
      <c r="C38" s="37" t="inlineStr">
        <is>
          <t>Phòng Đo đạc</t>
        </is>
      </c>
      <c r="D38" s="37" t="inlineStr">
        <is>
          <t>Cắm mốc</t>
        </is>
      </c>
      <c r="E38" s="37" t="inlineStr">
        <is>
          <t>Giám đốc</t>
        </is>
      </c>
      <c r="F38" s="37" t="inlineStr">
        <is>
          <t>Lê Văn Dựng</t>
        </is>
      </c>
      <c r="G38" s="27" t="n">
        <v>46080</v>
      </c>
      <c r="H38" s="27" t="n">
        <v>46083</v>
      </c>
      <c r="I38" s="37" t="n"/>
      <c r="J38" s="37" t="inlineStr">
        <is>
          <t>Hoàn thành</t>
        </is>
      </c>
      <c r="K38" s="37" t="inlineStr">
        <is>
          <t>Hoàn thành</t>
        </is>
      </c>
      <c r="L38" s="37">
        <f>IF(OR(H38="",J38="Hoàn thành",J38="Đã hủy"),"",IF(H38&lt;TODAY(),"QUÁ HẠN",IF(H38-TODAY()&lt;=THIET_LAP!$B$8,"SẮP HẠN","TRONG HẠN")))</f>
        <v/>
      </c>
      <c r="M38" s="27" t="n">
        <v>46081</v>
      </c>
      <c r="N38" s="37" t="n"/>
    </row>
    <row r="39" ht="15.75" customHeight="1" s="56">
      <c r="A39" s="37" t="inlineStr">
        <is>
          <t>BK-TSK-0036</t>
        </is>
      </c>
      <c r="B39" s="37" t="inlineStr">
        <is>
          <t>BK-HS-0036</t>
        </is>
      </c>
      <c r="C39" s="37" t="inlineStr">
        <is>
          <t>Phòng Đo đạc</t>
        </is>
      </c>
      <c r="D39" s="37" t="inlineStr">
        <is>
          <t>Điều chỉnh bản vẽ</t>
        </is>
      </c>
      <c r="E39" s="37" t="inlineStr">
        <is>
          <t>Giám đốc</t>
        </is>
      </c>
      <c r="F39" s="37" t="inlineStr">
        <is>
          <t>Trương Tấn Quốc</t>
        </is>
      </c>
      <c r="G39" s="27" t="n">
        <v>46080</v>
      </c>
      <c r="H39" s="27" t="n">
        <v>46083</v>
      </c>
      <c r="I39" s="37" t="n"/>
      <c r="J39" s="37" t="inlineStr">
        <is>
          <t>Nộp thành công - Chờ kết quả</t>
        </is>
      </c>
      <c r="K39" s="37" t="inlineStr">
        <is>
          <t>Đã nộp</t>
        </is>
      </c>
      <c r="L39" s="37">
        <f>IF(OR(H39="",J39="Hoàn thành",J39="Đã hủy"),"",IF(H39&lt;TODAY(),"QUÁ HẠN",IF(H39-TODAY()&lt;=THIET_LAP!$B$8,"SẮP HẠN","TRONG HẠN")))</f>
        <v/>
      </c>
      <c r="M39" s="27" t="n"/>
      <c r="N39" s="37" t="inlineStr">
        <is>
          <t>Cần cắm lại trụ</t>
        </is>
      </c>
    </row>
    <row r="40" ht="15.75" customHeight="1" s="56">
      <c r="A40" s="37" t="inlineStr">
        <is>
          <t>BK-TSK-0037</t>
        </is>
      </c>
      <c r="B40" s="37" t="inlineStr">
        <is>
          <t>BK-HS-0037</t>
        </is>
      </c>
      <c r="C40" s="37" t="inlineStr">
        <is>
          <t>Phòng Đo đạc</t>
        </is>
      </c>
      <c r="D40" s="37" t="inlineStr">
        <is>
          <t>Điều chỉnh bản vẽ</t>
        </is>
      </c>
      <c r="E40" s="37" t="inlineStr">
        <is>
          <t>Giám đốc</t>
        </is>
      </c>
      <c r="F40" s="37" t="inlineStr">
        <is>
          <t>Trương Tấn Quốc</t>
        </is>
      </c>
      <c r="G40" s="27" t="n">
        <v>46080</v>
      </c>
      <c r="H40" s="27" t="n">
        <v>46083</v>
      </c>
      <c r="I40" s="37" t="n"/>
      <c r="J40" s="37" t="inlineStr">
        <is>
          <t>QUÁ HẠN</t>
        </is>
      </c>
      <c r="K40" s="37" t="inlineStr">
        <is>
          <t>QUÁ HẠN</t>
        </is>
      </c>
      <c r="L40" s="37">
        <f>IF(OR(H40="",J40="Hoàn thành",J40="Đã hủy"),"",IF(H40&lt;TODAY(),"QUÁ HẠN",IF(H40-TODAY()&lt;=THIET_LAP!$B$8,"SẮP HẠN","TRONG HẠN")))</f>
        <v/>
      </c>
      <c r="M40" s="27" t="n"/>
      <c r="N40" s="37" t="inlineStr">
        <is>
          <t>Cần cắm lại trụ | Đợi làm việc với phường</t>
        </is>
      </c>
    </row>
    <row r="41" ht="15.75" customHeight="1" s="56">
      <c r="A41" s="37" t="inlineStr">
        <is>
          <t>BK-TSK-0038</t>
        </is>
      </c>
      <c r="B41" s="37" t="inlineStr">
        <is>
          <t>BK-HS-0038</t>
        </is>
      </c>
      <c r="C41" s="37" t="inlineStr">
        <is>
          <t>Phòng Đo đạc</t>
        </is>
      </c>
      <c r="D41" s="37" t="inlineStr">
        <is>
          <t>Xin phép xây dựng</t>
        </is>
      </c>
      <c r="E41" s="37" t="inlineStr">
        <is>
          <t>Giám đốc</t>
        </is>
      </c>
      <c r="F41" s="37" t="inlineStr">
        <is>
          <t>Võ Thành Minh</t>
        </is>
      </c>
      <c r="G41" s="27" t="n">
        <v>46062</v>
      </c>
      <c r="H41" s="27" t="n">
        <v>46065</v>
      </c>
      <c r="I41" s="37" t="n"/>
      <c r="J41" s="37" t="inlineStr">
        <is>
          <t>Nộp thành công - Chờ kết quả</t>
        </is>
      </c>
      <c r="K41" s="37" t="inlineStr">
        <is>
          <t>Đã nộp</t>
        </is>
      </c>
      <c r="L41" s="37">
        <f>IF(OR(H41="",J41="Hoàn thành",J41="Đã hủy"),"",IF(H41&lt;TODAY(),"QUÁ HẠN",IF(H41-TODAY()&lt;=THIET_LAP!$B$8,"SẮP HẠN","TRONG HẠN")))</f>
        <v/>
      </c>
      <c r="M41" s="27" t="n"/>
      <c r="N41" s="37" t="inlineStr">
        <is>
          <t>Đợi chủ nhà trích lục bản vẽ sơ đồ vị trí</t>
        </is>
      </c>
    </row>
    <row r="42" ht="15.75" customHeight="1" s="56">
      <c r="A42" s="37" t="inlineStr">
        <is>
          <t>BK-TSK-0039</t>
        </is>
      </c>
      <c r="B42" s="37" t="inlineStr">
        <is>
          <t>BK-HS-0039</t>
        </is>
      </c>
      <c r="C42" s="37" t="inlineStr">
        <is>
          <t>Phòng Đo đạc</t>
        </is>
      </c>
      <c r="D42" s="37" t="inlineStr">
        <is>
          <t>Hoàn công</t>
        </is>
      </c>
      <c r="E42" s="37" t="inlineStr">
        <is>
          <t>Giám đốc</t>
        </is>
      </c>
      <c r="F42" s="37" t="inlineStr">
        <is>
          <t>Trương Tấn Quốc</t>
        </is>
      </c>
      <c r="G42" s="27" t="n">
        <v>46060</v>
      </c>
      <c r="H42" s="27" t="n">
        <v>46063</v>
      </c>
      <c r="I42" s="37" t="n"/>
      <c r="J42" s="37" t="inlineStr">
        <is>
          <t>Hoàn thành</t>
        </is>
      </c>
      <c r="K42" s="37" t="inlineStr">
        <is>
          <t>Hoàn thành</t>
        </is>
      </c>
      <c r="L42" s="37">
        <f>IF(OR(H42="",J42="Hoàn thành",J42="Đã hủy"),"",IF(H42&lt;TODAY(),"QUÁ HẠN",IF(H42-TODAY()&lt;=THIET_LAP!$B$8,"SẮP HẠN","TRONG HẠN")))</f>
        <v/>
      </c>
      <c r="M42" s="27" t="n">
        <v>46097</v>
      </c>
      <c r="N42" s="37" t="n"/>
    </row>
    <row r="43" ht="15.75" customHeight="1" s="56">
      <c r="A43" s="37" t="inlineStr">
        <is>
          <t>BK-TSK-0040</t>
        </is>
      </c>
      <c r="B43" s="37" t="inlineStr">
        <is>
          <t>BK-HS-0040</t>
        </is>
      </c>
      <c r="C43" s="37" t="inlineStr">
        <is>
          <t>Phòng Đo đạc</t>
        </is>
      </c>
      <c r="D43" s="37" t="inlineStr">
        <is>
          <t>Cắm mốc</t>
        </is>
      </c>
      <c r="E43" s="37" t="inlineStr">
        <is>
          <t>Giám đốc</t>
        </is>
      </c>
      <c r="F43" s="37" t="inlineStr">
        <is>
          <t>Tạ Khắc Tập</t>
        </is>
      </c>
      <c r="G43" s="27" t="n">
        <v>46059</v>
      </c>
      <c r="H43" s="27" t="n">
        <v>46062</v>
      </c>
      <c r="I43" s="37" t="n"/>
      <c r="J43" s="37" t="inlineStr">
        <is>
          <t>Hoàn thành</t>
        </is>
      </c>
      <c r="K43" s="37" t="inlineStr">
        <is>
          <t>Hoàn thành</t>
        </is>
      </c>
      <c r="L43" s="37">
        <f>IF(OR(H43="",J43="Hoàn thành",J43="Đã hủy"),"",IF(H43&lt;TODAY(),"QUÁ HẠN",IF(H43-TODAY()&lt;=THIET_LAP!$B$8,"SẮP HẠN","TRONG HẠN")))</f>
        <v/>
      </c>
      <c r="M43" s="27" t="n">
        <v>46060</v>
      </c>
      <c r="N43" s="37" t="inlineStr">
        <is>
          <t>( Xây+Tâp)-Hơp</t>
        </is>
      </c>
    </row>
    <row r="44" ht="15.75" customHeight="1" s="56">
      <c r="A44" s="37" t="inlineStr">
        <is>
          <t>BK-TSK-0041</t>
        </is>
      </c>
      <c r="B44" s="37" t="inlineStr">
        <is>
          <t>BK-HS-0041</t>
        </is>
      </c>
      <c r="C44" s="37" t="inlineStr">
        <is>
          <t>Phòng Đo đạc</t>
        </is>
      </c>
      <c r="D44" s="37" t="inlineStr">
        <is>
          <t>Cắm mốc</t>
        </is>
      </c>
      <c r="E44" s="37" t="inlineStr">
        <is>
          <t>Giám đốc</t>
        </is>
      </c>
      <c r="F44" s="37" t="inlineStr">
        <is>
          <t>Tạ Khắc Tập</t>
        </is>
      </c>
      <c r="G44" s="27" t="n">
        <v>46059</v>
      </c>
      <c r="H44" s="27" t="n">
        <v>46062</v>
      </c>
      <c r="I44" s="37" t="n"/>
      <c r="J44" s="37" t="inlineStr">
        <is>
          <t>Hoàn thành</t>
        </is>
      </c>
      <c r="K44" s="37" t="inlineStr">
        <is>
          <t>Hoàn thành</t>
        </is>
      </c>
      <c r="L44" s="37">
        <f>IF(OR(H44="",J44="Hoàn thành",J44="Đã hủy"),"",IF(H44&lt;TODAY(),"QUÁ HẠN",IF(H44-TODAY()&lt;=THIET_LAP!$B$8,"SẮP HẠN","TRONG HẠN")))</f>
        <v/>
      </c>
      <c r="M44" s="27" t="n">
        <v>46060</v>
      </c>
      <c r="N44" s="37" t="n"/>
    </row>
    <row r="45" ht="15.75" customHeight="1" s="56">
      <c r="A45" s="37" t="inlineStr">
        <is>
          <t>BK-TSK-0042</t>
        </is>
      </c>
      <c r="B45" s="37" t="inlineStr">
        <is>
          <t>BK-HS-0042</t>
        </is>
      </c>
      <c r="C45" s="37" t="inlineStr">
        <is>
          <t>Phòng Đo đạc</t>
        </is>
      </c>
      <c r="D45" s="37" t="inlineStr">
        <is>
          <t>Cắm mốc</t>
        </is>
      </c>
      <c r="E45" s="37" t="inlineStr">
        <is>
          <t>Giám đốc</t>
        </is>
      </c>
      <c r="F45" s="37" t="inlineStr">
        <is>
          <t>Tạ Khắc Tập</t>
        </is>
      </c>
      <c r="G45" s="27" t="n">
        <v>46059</v>
      </c>
      <c r="H45" s="27" t="n">
        <v>46062</v>
      </c>
      <c r="I45" s="37" t="n"/>
      <c r="J45" s="37" t="inlineStr">
        <is>
          <t>Hoàn thành</t>
        </is>
      </c>
      <c r="K45" s="37" t="inlineStr">
        <is>
          <t>Hoàn thành</t>
        </is>
      </c>
      <c r="L45" s="37">
        <f>IF(OR(H45="",J45="Hoàn thành",J45="Đã hủy"),"",IF(H45&lt;TODAY(),"QUÁ HẠN",IF(H45-TODAY()&lt;=THIET_LAP!$B$8,"SẮP HẠN","TRONG HẠN")))</f>
        <v/>
      </c>
      <c r="M45" s="27" t="n">
        <v>46060</v>
      </c>
      <c r="N45" s="37" t="n"/>
    </row>
    <row r="46" ht="15.75" customHeight="1" s="56">
      <c r="A46" s="37" t="inlineStr">
        <is>
          <t>BK-TSK-0043</t>
        </is>
      </c>
      <c r="B46" s="37" t="inlineStr">
        <is>
          <t>BK-HS-0043</t>
        </is>
      </c>
      <c r="C46" s="37" t="inlineStr">
        <is>
          <t>Phòng Đo đạc</t>
        </is>
      </c>
      <c r="D46" s="37" t="inlineStr">
        <is>
          <t>Xác định diện tích</t>
        </is>
      </c>
      <c r="E46" s="37" t="inlineStr">
        <is>
          <t>Giám đốc</t>
        </is>
      </c>
      <c r="F46" s="37" t="inlineStr">
        <is>
          <t>Trương Tấn Quốc</t>
        </is>
      </c>
      <c r="G46" s="27" t="n">
        <v>46058</v>
      </c>
      <c r="H46" s="27" t="n">
        <v>46061</v>
      </c>
      <c r="I46" s="37" t="n"/>
      <c r="J46" s="37" t="inlineStr">
        <is>
          <t>Hoàn thành</t>
        </is>
      </c>
      <c r="K46" s="37" t="inlineStr">
        <is>
          <t>Hoàn thành</t>
        </is>
      </c>
      <c r="L46" s="37">
        <f>IF(OR(H46="",J46="Hoàn thành",J46="Đã hủy"),"",IF(H46&lt;TODAY(),"QUÁ HẠN",IF(H46-TODAY()&lt;=THIET_LAP!$B$8,"SẮP HẠN","TRONG HẠN")))</f>
        <v/>
      </c>
      <c r="M46" s="27" t="n">
        <v>46060</v>
      </c>
      <c r="N46" s="37" t="inlineStr">
        <is>
          <t>Đã hoàn thành</t>
        </is>
      </c>
    </row>
    <row r="47" ht="15.75" customHeight="1" s="56">
      <c r="A47" s="37" t="inlineStr">
        <is>
          <t>BK-TSK-0044</t>
        </is>
      </c>
      <c r="B47" s="37" t="inlineStr">
        <is>
          <t>BK-HS-0044</t>
        </is>
      </c>
      <c r="C47" s="37" t="inlineStr">
        <is>
          <t>Phòng Đo đạc</t>
        </is>
      </c>
      <c r="D47" s="37" t="inlineStr">
        <is>
          <t>Xin phép xây dựng</t>
        </is>
      </c>
      <c r="E47" s="37" t="inlineStr">
        <is>
          <t>Giám đốc</t>
        </is>
      </c>
      <c r="F47" s="37" t="inlineStr">
        <is>
          <t>Võ Thành Minh</t>
        </is>
      </c>
      <c r="G47" s="27" t="n">
        <v>46057</v>
      </c>
      <c r="H47" s="27" t="n">
        <v>46060</v>
      </c>
      <c r="I47" s="37" t="n"/>
      <c r="J47" s="37" t="inlineStr">
        <is>
          <t>Hủy</t>
        </is>
      </c>
      <c r="K47" s="37" t="inlineStr">
        <is>
          <t>ĐÃ HỦY</t>
        </is>
      </c>
      <c r="L47" s="37">
        <f>IF(OR(H47="",J47="Hoàn thành",J47="Đã hủy"),"",IF(H47&lt;TODAY(),"QUÁ HẠN",IF(H47-TODAY()&lt;=THIET_LAP!$B$8,"SẮP HẠN","TRONG HẠN")))</f>
        <v/>
      </c>
      <c r="M47" s="27" t="n"/>
      <c r="N47" s="37" t="n"/>
    </row>
    <row r="48" ht="15.75" customHeight="1" s="56">
      <c r="A48" s="37" t="inlineStr">
        <is>
          <t>BK-TSK-0045</t>
        </is>
      </c>
      <c r="B48" s="37" t="inlineStr">
        <is>
          <t>BK-HS-0045</t>
        </is>
      </c>
      <c r="C48" s="37" t="inlineStr">
        <is>
          <t>Phòng Đo đạc</t>
        </is>
      </c>
      <c r="D48" s="37" t="inlineStr">
        <is>
          <t>Cấp đổi</t>
        </is>
      </c>
      <c r="E48" s="37" t="inlineStr">
        <is>
          <t>Giám đốc</t>
        </is>
      </c>
      <c r="F48" s="37" t="inlineStr">
        <is>
          <t>Tạ Khắc Tập</t>
        </is>
      </c>
      <c r="G48" s="27" t="n">
        <v>46057</v>
      </c>
      <c r="H48" s="27" t="n">
        <v>46060</v>
      </c>
      <c r="I48" s="37" t="n"/>
      <c r="J48" s="37" t="inlineStr">
        <is>
          <t>Hủy</t>
        </is>
      </c>
      <c r="K48" s="37" t="inlineStr">
        <is>
          <t>ĐÃ HỦY</t>
        </is>
      </c>
      <c r="L48" s="37">
        <f>IF(OR(H48="",J48="Hoàn thành",J48="Đã hủy"),"",IF(H48&lt;TODAY(),"QUÁ HẠN",IF(H48-TODAY()&lt;=THIET_LAP!$B$8,"SẮP HẠN","TRONG HẠN")))</f>
        <v/>
      </c>
      <c r="M48" s="27" t="n"/>
      <c r="N48" s="37" t="n"/>
    </row>
    <row r="49" ht="15.75" customHeight="1" s="56">
      <c r="A49" s="37" t="inlineStr">
        <is>
          <t>BK-TSK-0046</t>
        </is>
      </c>
      <c r="B49" s="37" t="inlineStr">
        <is>
          <t>BK-HS-0046</t>
        </is>
      </c>
      <c r="C49" s="37" t="inlineStr">
        <is>
          <t>Phòng Đo đạc</t>
        </is>
      </c>
      <c r="D49" s="37" t="inlineStr">
        <is>
          <t>Cấp đổi</t>
        </is>
      </c>
      <c r="E49" s="37" t="inlineStr">
        <is>
          <t>Giám đốc</t>
        </is>
      </c>
      <c r="F49" s="37" t="inlineStr">
        <is>
          <t>Tạ Khắc Tập</t>
        </is>
      </c>
      <c r="G49" s="27" t="n">
        <v>46057</v>
      </c>
      <c r="H49" s="27" t="n">
        <v>46060</v>
      </c>
      <c r="I49" s="37" t="n"/>
      <c r="J49" s="37" t="inlineStr">
        <is>
          <t>Nộp thành công - Chờ kết quả</t>
        </is>
      </c>
      <c r="K49" s="37" t="inlineStr">
        <is>
          <t>Đã nộp</t>
        </is>
      </c>
      <c r="L49" s="37">
        <f>IF(OR(H49="",J49="Hoàn thành",J49="Đã hủy"),"",IF(H49&lt;TODAY(),"QUÁ HẠN",IF(H49-TODAY()&lt;=THIET_LAP!$B$8,"SẮP HẠN","TRONG HẠN")))</f>
        <v/>
      </c>
      <c r="M49" s="27" t="n"/>
      <c r="N49" s="37" t="n"/>
    </row>
    <row r="50" ht="15.75" customHeight="1" s="56">
      <c r="A50" s="37" t="inlineStr">
        <is>
          <t>BK-TSK-0047</t>
        </is>
      </c>
      <c r="B50" s="37" t="inlineStr">
        <is>
          <t>BK-HS-0047</t>
        </is>
      </c>
      <c r="C50" s="37" t="inlineStr">
        <is>
          <t>Phòng Đo đạc</t>
        </is>
      </c>
      <c r="D50" s="37" t="inlineStr">
        <is>
          <t>Cắm mốc</t>
        </is>
      </c>
      <c r="E50" s="37" t="inlineStr">
        <is>
          <t>Giám đốc</t>
        </is>
      </c>
      <c r="F50" s="37" t="inlineStr">
        <is>
          <t>Tạ Khắc Tập</t>
        </is>
      </c>
      <c r="G50" s="27" t="n">
        <v>46057</v>
      </c>
      <c r="H50" s="27" t="n">
        <v>46060</v>
      </c>
      <c r="I50" s="37" t="n"/>
      <c r="J50" s="37" t="inlineStr">
        <is>
          <t>Hoàn thành</t>
        </is>
      </c>
      <c r="K50" s="37" t="inlineStr">
        <is>
          <t>Hoàn thành</t>
        </is>
      </c>
      <c r="L50" s="37">
        <f>IF(OR(H50="",J50="Hoàn thành",J50="Đã hủy"),"",IF(H50&lt;TODAY(),"QUÁ HẠN",IF(H50-TODAY()&lt;=THIET_LAP!$B$8,"SẮP HẠN","TRONG HẠN")))</f>
        <v/>
      </c>
      <c r="M50" s="27" t="n">
        <v>46058</v>
      </c>
      <c r="N50" s="37" t="n"/>
    </row>
    <row r="51" ht="15.75" customHeight="1" s="56">
      <c r="A51" s="37" t="inlineStr">
        <is>
          <t>BK-TSK-0048</t>
        </is>
      </c>
      <c r="B51" s="37" t="inlineStr">
        <is>
          <t>BK-HS-0048</t>
        </is>
      </c>
      <c r="C51" s="37" t="inlineStr">
        <is>
          <t>Phòng Đo đạc</t>
        </is>
      </c>
      <c r="D51" s="37" t="inlineStr">
        <is>
          <t>Cắm mốc</t>
        </is>
      </c>
      <c r="E51" s="37" t="inlineStr">
        <is>
          <t>Giám đốc</t>
        </is>
      </c>
      <c r="F51" s="37" t="inlineStr">
        <is>
          <t>Tạ Khắc Tập</t>
        </is>
      </c>
      <c r="G51" s="27" t="n">
        <v>46057</v>
      </c>
      <c r="H51" s="27" t="n">
        <v>46060</v>
      </c>
      <c r="I51" s="37" t="n"/>
      <c r="J51" s="37" t="inlineStr">
        <is>
          <t>Hoàn thành</t>
        </is>
      </c>
      <c r="K51" s="37" t="inlineStr">
        <is>
          <t>Hoàn thành</t>
        </is>
      </c>
      <c r="L51" s="37">
        <f>IF(OR(H51="",J51="Hoàn thành",J51="Đã hủy"),"",IF(H51&lt;TODAY(),"QUÁ HẠN",IF(H51-TODAY()&lt;=THIET_LAP!$B$8,"SẮP HẠN","TRONG HẠN")))</f>
        <v/>
      </c>
      <c r="M51" s="27" t="n">
        <v>46058</v>
      </c>
      <c r="N51" s="37" t="n"/>
    </row>
    <row r="52" ht="15.75" customHeight="1" s="56">
      <c r="A52" s="37" t="inlineStr">
        <is>
          <t>BK-TSK-0049</t>
        </is>
      </c>
      <c r="B52" s="37" t="inlineStr">
        <is>
          <t>BK-HS-0049</t>
        </is>
      </c>
      <c r="C52" s="37" t="inlineStr">
        <is>
          <t>Phòng Đo đạc</t>
        </is>
      </c>
      <c r="D52" s="37" t="inlineStr">
        <is>
          <t>Cấp đổi</t>
        </is>
      </c>
      <c r="E52" s="37" t="inlineStr">
        <is>
          <t>Giám đốc</t>
        </is>
      </c>
      <c r="F52" s="37" t="inlineStr">
        <is>
          <t>Lê Văn Xây</t>
        </is>
      </c>
      <c r="G52" s="27" t="n">
        <v>46057</v>
      </c>
      <c r="H52" s="27" t="n">
        <v>46060</v>
      </c>
      <c r="I52" s="37" t="n"/>
      <c r="J52" s="37" t="inlineStr">
        <is>
          <t>Hoàn thành</t>
        </is>
      </c>
      <c r="K52" s="37" t="inlineStr">
        <is>
          <t>Hoàn thành</t>
        </is>
      </c>
      <c r="L52" s="37">
        <f>IF(OR(H52="",J52="Hoàn thành",J52="Đã hủy"),"",IF(H52&lt;TODAY(),"QUÁ HẠN",IF(H52-TODAY()&lt;=THIET_LAP!$B$8,"SẮP HẠN","TRONG HẠN")))</f>
        <v/>
      </c>
      <c r="M52" s="27" t="n">
        <v>46079</v>
      </c>
      <c r="N52" s="37" t="n"/>
    </row>
    <row r="53" ht="15.75" customHeight="1" s="56">
      <c r="A53" s="37" t="inlineStr">
        <is>
          <t>BK-TSK-0050</t>
        </is>
      </c>
      <c r="B53" s="37" t="inlineStr">
        <is>
          <t>BK-HS-0050</t>
        </is>
      </c>
      <c r="C53" s="37" t="inlineStr">
        <is>
          <t>Phòng Đo đạc</t>
        </is>
      </c>
      <c r="D53" s="37" t="inlineStr">
        <is>
          <t>Cấp đổi</t>
        </is>
      </c>
      <c r="E53" s="37" t="inlineStr">
        <is>
          <t>Giám đốc</t>
        </is>
      </c>
      <c r="F53" s="37" t="inlineStr">
        <is>
          <t>Lê Văn Xây</t>
        </is>
      </c>
      <c r="G53" s="27" t="n">
        <v>46057</v>
      </c>
      <c r="H53" s="27" t="n">
        <v>46060</v>
      </c>
      <c r="I53" s="37" t="n"/>
      <c r="J53" s="37" t="inlineStr">
        <is>
          <t>Hoàn thành</t>
        </is>
      </c>
      <c r="K53" s="37" t="inlineStr">
        <is>
          <t>Hoàn thành</t>
        </is>
      </c>
      <c r="L53" s="37">
        <f>IF(OR(H53="",J53="Hoàn thành",J53="Đã hủy"),"",IF(H53&lt;TODAY(),"QUÁ HẠN",IF(H53-TODAY()&lt;=THIET_LAP!$B$8,"SẮP HẠN","TRONG HẠN")))</f>
        <v/>
      </c>
      <c r="M53" s="27" t="n">
        <v>46090</v>
      </c>
      <c r="N53" s="37" t="n"/>
    </row>
    <row r="54" ht="15.75" customHeight="1" s="56">
      <c r="A54" s="37" t="inlineStr">
        <is>
          <t>BK-TSK-0051</t>
        </is>
      </c>
      <c r="B54" s="37" t="inlineStr">
        <is>
          <t>BK-HS-0051</t>
        </is>
      </c>
      <c r="C54" s="37" t="inlineStr">
        <is>
          <t>Phòng Đo đạc</t>
        </is>
      </c>
      <c r="D54" s="37" t="inlineStr">
        <is>
          <t>Xác định diện tích</t>
        </is>
      </c>
      <c r="E54" s="37" t="inlineStr">
        <is>
          <t>Giám đốc</t>
        </is>
      </c>
      <c r="F54" s="37" t="inlineStr">
        <is>
          <t>Lê Văn Dựng</t>
        </is>
      </c>
      <c r="G54" s="27" t="n">
        <v>46056</v>
      </c>
      <c r="H54" s="27" t="n">
        <v>46059</v>
      </c>
      <c r="I54" s="37" t="n"/>
      <c r="J54" s="37" t="inlineStr">
        <is>
          <t>Hoàn thành</t>
        </is>
      </c>
      <c r="K54" s="37" t="inlineStr">
        <is>
          <t>Hoàn thành</t>
        </is>
      </c>
      <c r="L54" s="37">
        <f>IF(OR(H54="",J54="Hoàn thành",J54="Đã hủy"),"",IF(H54&lt;TODAY(),"QUÁ HẠN",IF(H54-TODAY()&lt;=THIET_LAP!$B$8,"SẮP HẠN","TRONG HẠN")))</f>
        <v/>
      </c>
      <c r="M54" s="27" t="n">
        <v>46056</v>
      </c>
      <c r="N54" s="37" t="n"/>
    </row>
    <row r="55" ht="15.75" customHeight="1" s="56">
      <c r="A55" s="37" t="inlineStr">
        <is>
          <t>BK-TSK-0052</t>
        </is>
      </c>
      <c r="B55" s="37" t="inlineStr">
        <is>
          <t>BK-HS-0052</t>
        </is>
      </c>
      <c r="C55" s="37" t="inlineStr">
        <is>
          <t>Phòng Đo đạc</t>
        </is>
      </c>
      <c r="D55" s="37" t="inlineStr">
        <is>
          <t>Xác định diện tích</t>
        </is>
      </c>
      <c r="E55" s="37" t="inlineStr">
        <is>
          <t>Giám đốc</t>
        </is>
      </c>
      <c r="F55" s="37" t="inlineStr">
        <is>
          <t>Lê Văn Dựng</t>
        </is>
      </c>
      <c r="G55" s="27" t="n">
        <v>46056</v>
      </c>
      <c r="H55" s="27" t="n">
        <v>46059</v>
      </c>
      <c r="I55" s="37" t="n"/>
      <c r="J55" s="37" t="inlineStr">
        <is>
          <t>Hoàn thành</t>
        </is>
      </c>
      <c r="K55" s="37" t="inlineStr">
        <is>
          <t>Hoàn thành</t>
        </is>
      </c>
      <c r="L55" s="37">
        <f>IF(OR(H55="",J55="Hoàn thành",J55="Đã hủy"),"",IF(H55&lt;TODAY(),"QUÁ HẠN",IF(H55-TODAY()&lt;=THIET_LAP!$B$8,"SẮP HẠN","TRONG HẠN")))</f>
        <v/>
      </c>
      <c r="M55" s="27" t="n">
        <v>46056</v>
      </c>
      <c r="N55" s="37" t="n"/>
    </row>
    <row r="56" ht="15.75" customHeight="1" s="56">
      <c r="A56" s="37" t="inlineStr">
        <is>
          <t>BK-TSK-0053</t>
        </is>
      </c>
      <c r="B56" s="37" t="inlineStr">
        <is>
          <t>BK-HS-0053</t>
        </is>
      </c>
      <c r="C56" s="37" t="inlineStr">
        <is>
          <t>Phòng Đo đạc</t>
        </is>
      </c>
      <c r="D56" s="37" t="inlineStr">
        <is>
          <t>Điều chỉnh bản vẽ</t>
        </is>
      </c>
      <c r="E56" s="37" t="inlineStr">
        <is>
          <t>Giám đốc</t>
        </is>
      </c>
      <c r="F56" s="37" t="inlineStr">
        <is>
          <t>Trương Tấn Quốc</t>
        </is>
      </c>
      <c r="G56" s="27" t="n">
        <v>46056</v>
      </c>
      <c r="H56" s="27" t="n">
        <v>46059</v>
      </c>
      <c r="I56" s="37" t="n"/>
      <c r="J56" s="37" t="inlineStr">
        <is>
          <t>Nộp thành công - Chờ kết quả</t>
        </is>
      </c>
      <c r="K56" s="37" t="inlineStr">
        <is>
          <t>Đã nộp</t>
        </is>
      </c>
      <c r="L56" s="37">
        <f>IF(OR(H56="",J56="Hoàn thành",J56="Đã hủy"),"",IF(H56&lt;TODAY(),"QUÁ HẠN",IF(H56-TODAY()&lt;=THIET_LAP!$B$8,"SẮP HẠN","TRONG HẠN")))</f>
        <v/>
      </c>
      <c r="M56" s="27" t="n"/>
      <c r="N56" s="37" t="inlineStr">
        <is>
          <t>Chưa bổ sung bản vẽ xin phép</t>
        </is>
      </c>
    </row>
    <row r="57" ht="15.75" customHeight="1" s="56">
      <c r="A57" s="37" t="inlineStr">
        <is>
          <t>BK-TSK-0054</t>
        </is>
      </c>
      <c r="B57" s="37" t="inlineStr">
        <is>
          <t>BK-HS-0054</t>
        </is>
      </c>
      <c r="C57" s="37" t="inlineStr">
        <is>
          <t>Phòng Đo đạc</t>
        </is>
      </c>
      <c r="D57" s="37" t="inlineStr">
        <is>
          <t>Xác định diện tích</t>
        </is>
      </c>
      <c r="E57" s="37" t="inlineStr">
        <is>
          <t>Giám đốc</t>
        </is>
      </c>
      <c r="F57" s="37" t="inlineStr">
        <is>
          <t>Lê Văn Xây</t>
        </is>
      </c>
      <c r="G57" s="27" t="n">
        <v>46055</v>
      </c>
      <c r="H57" s="27" t="n">
        <v>46058</v>
      </c>
      <c r="I57" s="37" t="n"/>
      <c r="J57" s="37" t="inlineStr">
        <is>
          <t>Hoàn thành</t>
        </is>
      </c>
      <c r="K57" s="37" t="inlineStr">
        <is>
          <t>Hoàn thành</t>
        </is>
      </c>
      <c r="L57" s="37">
        <f>IF(OR(H57="",J57="Hoàn thành",J57="Đã hủy"),"",IF(H57&lt;TODAY(),"QUÁ HẠN",IF(H57-TODAY()&lt;=THIET_LAP!$B$8,"SẮP HẠN","TRONG HẠN")))</f>
        <v/>
      </c>
      <c r="M57" s="27" t="n">
        <v>46059</v>
      </c>
      <c r="N57" s="37" t="n"/>
    </row>
    <row r="58" ht="15.75" customHeight="1" s="56">
      <c r="A58" s="37" t="inlineStr">
        <is>
          <t>BK-TSK-0055</t>
        </is>
      </c>
      <c r="B58" s="37" t="inlineStr">
        <is>
          <t>BK-HS-0055</t>
        </is>
      </c>
      <c r="C58" s="37" t="inlineStr">
        <is>
          <t>Phòng Đo đạc</t>
        </is>
      </c>
      <c r="D58" s="37" t="inlineStr">
        <is>
          <t>Cấp đổi</t>
        </is>
      </c>
      <c r="E58" s="37" t="inlineStr">
        <is>
          <t>Giám đốc</t>
        </is>
      </c>
      <c r="F58" s="37" t="inlineStr">
        <is>
          <t>Lê Văn Xây</t>
        </is>
      </c>
      <c r="G58" s="27" t="n">
        <v>46055</v>
      </c>
      <c r="H58" s="27" t="n">
        <v>46058</v>
      </c>
      <c r="I58" s="37" t="n"/>
      <c r="J58" s="37" t="inlineStr">
        <is>
          <t>Hoàn thành</t>
        </is>
      </c>
      <c r="K58" s="37" t="inlineStr">
        <is>
          <t>Hoàn thành</t>
        </is>
      </c>
      <c r="L58" s="37">
        <f>IF(OR(H58="",J58="Hoàn thành",J58="Đã hủy"),"",IF(H58&lt;TODAY(),"QUÁ HẠN",IF(H58-TODAY()&lt;=THIET_LAP!$B$8,"SẮP HẠN","TRONG HẠN")))</f>
        <v/>
      </c>
      <c r="M58" s="27" t="n">
        <v>46097</v>
      </c>
      <c r="N58" s="37" t="n"/>
    </row>
    <row r="59" ht="15.75" customHeight="1" s="56">
      <c r="A59" s="37" t="inlineStr">
        <is>
          <t>BK-TSK-0056</t>
        </is>
      </c>
      <c r="B59" s="37" t="inlineStr">
        <is>
          <t>BK-HS-0056</t>
        </is>
      </c>
      <c r="C59" s="37" t="inlineStr">
        <is>
          <t>Phòng Đo đạc</t>
        </is>
      </c>
      <c r="D59" s="37" t="inlineStr">
        <is>
          <t>Tách Thửa</t>
        </is>
      </c>
      <c r="E59" s="37" t="inlineStr">
        <is>
          <t>Giám đốc</t>
        </is>
      </c>
      <c r="F59" s="37" t="inlineStr">
        <is>
          <t>Tạ Khắc Tập</t>
        </is>
      </c>
      <c r="G59" s="27" t="n">
        <v>46053</v>
      </c>
      <c r="H59" s="27" t="n">
        <v>46056</v>
      </c>
      <c r="I59" s="37" t="n"/>
      <c r="J59" s="37" t="inlineStr">
        <is>
          <t>QUÁ HẠN</t>
        </is>
      </c>
      <c r="K59" s="37" t="inlineStr">
        <is>
          <t>QUÁ HẠN</t>
        </is>
      </c>
      <c r="L59" s="37">
        <f>IF(OR(H59="",J59="Hoàn thành",J59="Đã hủy"),"",IF(H59&lt;TODAY(),"QUÁ HẠN",IF(H59-TODAY()&lt;=THIET_LAP!$B$8,"SẮP HẠN","TRONG HẠN")))</f>
        <v/>
      </c>
      <c r="M59" s="27" t="n"/>
      <c r="N59" s="37" t="inlineStr">
        <is>
          <t>sai hiện trạng+ lấn thửa+ giảm diện tích</t>
        </is>
      </c>
    </row>
    <row r="60" ht="15.75" customHeight="1" s="56">
      <c r="A60" s="37" t="inlineStr">
        <is>
          <t>BK-TSK-0057</t>
        </is>
      </c>
      <c r="B60" s="37" t="inlineStr">
        <is>
          <t>BK-HS-0057</t>
        </is>
      </c>
      <c r="C60" s="37" t="inlineStr">
        <is>
          <t>Phòng Đo đạc</t>
        </is>
      </c>
      <c r="D60" s="37" t="inlineStr">
        <is>
          <t>Xin phép xây dựng</t>
        </is>
      </c>
      <c r="E60" s="37" t="inlineStr">
        <is>
          <t>Giám đốc</t>
        </is>
      </c>
      <c r="F60" s="37" t="inlineStr">
        <is>
          <t>Võ Thành Minh</t>
        </is>
      </c>
      <c r="G60" s="27" t="n">
        <v>46052</v>
      </c>
      <c r="H60" s="27" t="n">
        <v>46055</v>
      </c>
      <c r="I60" s="37" t="n"/>
      <c r="J60" s="37" t="inlineStr">
        <is>
          <t>Nộp thành công - Chờ kết quả</t>
        </is>
      </c>
      <c r="K60" s="37" t="inlineStr">
        <is>
          <t>Đã nộp</t>
        </is>
      </c>
      <c r="L60" s="37">
        <f>IF(OR(H60="",J60="Hoàn thành",J60="Đã hủy"),"",IF(H60&lt;TODAY(),"QUÁ HẠN",IF(H60-TODAY()&lt;=THIET_LAP!$B$8,"SẮP HẠN","TRONG HẠN")))</f>
        <v/>
      </c>
      <c r="M60" s="27" t="n"/>
      <c r="N60" s="37" t="n"/>
    </row>
    <row r="61" ht="15.75" customHeight="1" s="56">
      <c r="A61" s="37" t="inlineStr">
        <is>
          <t>BK-TSK-0058</t>
        </is>
      </c>
      <c r="B61" s="37" t="inlineStr">
        <is>
          <t>BK-HS-0058</t>
        </is>
      </c>
      <c r="C61" s="37" t="inlineStr">
        <is>
          <t>Phòng Đo đạc</t>
        </is>
      </c>
      <c r="D61" s="37" t="inlineStr">
        <is>
          <t>Xin phép xây dựng</t>
        </is>
      </c>
      <c r="E61" s="37" t="inlineStr">
        <is>
          <t>Giám đốc</t>
        </is>
      </c>
      <c r="F61" s="37" t="inlineStr">
        <is>
          <t>Võ Thành Minh</t>
        </is>
      </c>
      <c r="G61" s="27" t="n">
        <v>46052</v>
      </c>
      <c r="H61" s="27" t="n">
        <v>46055</v>
      </c>
      <c r="I61" s="37" t="n"/>
      <c r="J61" s="37" t="inlineStr">
        <is>
          <t>Nộp thành công - Chờ kết quả</t>
        </is>
      </c>
      <c r="K61" s="37" t="inlineStr">
        <is>
          <t>Đã nộp</t>
        </is>
      </c>
      <c r="L61" s="37">
        <f>IF(OR(H61="",J61="Hoàn thành",J61="Đã hủy"),"",IF(H61&lt;TODAY(),"QUÁ HẠN",IF(H61-TODAY()&lt;=THIET_LAP!$B$8,"SẮP HẠN","TRONG HẠN")))</f>
        <v/>
      </c>
      <c r="M61" s="27" t="n"/>
      <c r="N61" s="37" t="n"/>
    </row>
    <row r="62" ht="15.75" customHeight="1" s="56">
      <c r="A62" s="37" t="inlineStr">
        <is>
          <t>BK-TSK-0059</t>
        </is>
      </c>
      <c r="B62" s="37" t="inlineStr">
        <is>
          <t>BK-HS-0059</t>
        </is>
      </c>
      <c r="C62" s="37" t="inlineStr">
        <is>
          <t>Phòng Đo đạc</t>
        </is>
      </c>
      <c r="D62" s="37" t="inlineStr">
        <is>
          <t>Đo GPS</t>
        </is>
      </c>
      <c r="E62" s="37" t="inlineStr">
        <is>
          <t>Giám đốc</t>
        </is>
      </c>
      <c r="F62" s="37" t="inlineStr">
        <is>
          <t>Lê Văn Dựng</t>
        </is>
      </c>
      <c r="G62" s="27" t="n">
        <v>46052</v>
      </c>
      <c r="H62" s="27" t="n">
        <v>46055</v>
      </c>
      <c r="I62" s="37" t="n"/>
      <c r="J62" s="37" t="inlineStr">
        <is>
          <t>Hoàn thành</t>
        </is>
      </c>
      <c r="K62" s="37" t="inlineStr">
        <is>
          <t>Hoàn thành</t>
        </is>
      </c>
      <c r="L62" s="37">
        <f>IF(OR(H62="",J62="Hoàn thành",J62="Đã hủy"),"",IF(H62&lt;TODAY(),"QUÁ HẠN",IF(H62-TODAY()&lt;=THIET_LAP!$B$8,"SẮP HẠN","TRONG HẠN")))</f>
        <v/>
      </c>
      <c r="M62" s="27" t="n">
        <v>46052</v>
      </c>
      <c r="N62" s="37" t="n"/>
    </row>
    <row r="63" ht="15.75" customHeight="1" s="56">
      <c r="A63" s="37" t="inlineStr">
        <is>
          <t>BK-TSK-0060</t>
        </is>
      </c>
      <c r="B63" s="37" t="inlineStr">
        <is>
          <t>BK-HS-0060</t>
        </is>
      </c>
      <c r="C63" s="37" t="inlineStr">
        <is>
          <t>Phòng Đo đạc</t>
        </is>
      </c>
      <c r="D63" s="37" t="inlineStr">
        <is>
          <t>Cắm mốc</t>
        </is>
      </c>
      <c r="E63" s="37" t="inlineStr">
        <is>
          <t>Giám đốc</t>
        </is>
      </c>
      <c r="F63" s="37" t="inlineStr">
        <is>
          <t>Tạ Khắc Tập</t>
        </is>
      </c>
      <c r="G63" s="27" t="n">
        <v>46052</v>
      </c>
      <c r="H63" s="27" t="n">
        <v>46055</v>
      </c>
      <c r="I63" s="37" t="n"/>
      <c r="J63" s="37" t="inlineStr">
        <is>
          <t>Hoàn thành</t>
        </is>
      </c>
      <c r="K63" s="37" t="inlineStr">
        <is>
          <t>Hoàn thành</t>
        </is>
      </c>
      <c r="L63" s="37">
        <f>IF(OR(H63="",J63="Hoàn thành",J63="Đã hủy"),"",IF(H63&lt;TODAY(),"QUÁ HẠN",IF(H63-TODAY()&lt;=THIET_LAP!$B$8,"SẮP HẠN","TRONG HẠN")))</f>
        <v/>
      </c>
      <c r="M63" s="27" t="n">
        <v>46052</v>
      </c>
      <c r="N63" s="37" t="n"/>
    </row>
    <row r="64" ht="15.75" customHeight="1" s="56">
      <c r="A64" s="37" t="inlineStr">
        <is>
          <t>BK-TSK-0061</t>
        </is>
      </c>
      <c r="B64" s="37" t="inlineStr">
        <is>
          <t>BK-HS-0061</t>
        </is>
      </c>
      <c r="C64" s="37" t="inlineStr">
        <is>
          <t>Phòng Đo đạc</t>
        </is>
      </c>
      <c r="D64" s="37" t="inlineStr">
        <is>
          <t>Đo GPS</t>
        </is>
      </c>
      <c r="E64" s="37" t="inlineStr">
        <is>
          <t>Giám đốc</t>
        </is>
      </c>
      <c r="F64" s="37" t="inlineStr">
        <is>
          <t>Lê Văn Dựng</t>
        </is>
      </c>
      <c r="G64" s="27" t="n">
        <v>46052</v>
      </c>
      <c r="H64" s="27" t="n">
        <v>46055</v>
      </c>
      <c r="I64" s="37" t="n"/>
      <c r="J64" s="37" t="inlineStr">
        <is>
          <t>Hoàn thành</t>
        </is>
      </c>
      <c r="K64" s="37" t="inlineStr">
        <is>
          <t>Hoàn thành</t>
        </is>
      </c>
      <c r="L64" s="37">
        <f>IF(OR(H64="",J64="Hoàn thành",J64="Đã hủy"),"",IF(H64&lt;TODAY(),"QUÁ HẠN",IF(H64-TODAY()&lt;=THIET_LAP!$B$8,"SẮP HẠN","TRONG HẠN")))</f>
        <v/>
      </c>
      <c r="M64" s="27" t="n">
        <v>46052</v>
      </c>
      <c r="N64" s="37" t="n"/>
    </row>
    <row r="65" ht="15.75" customHeight="1" s="56">
      <c r="A65" s="37" t="inlineStr">
        <is>
          <t>BK-TSK-0062</t>
        </is>
      </c>
      <c r="B65" s="37" t="inlineStr">
        <is>
          <t>BK-HS-0062</t>
        </is>
      </c>
      <c r="C65" s="37" t="inlineStr">
        <is>
          <t>Phòng Đo đạc</t>
        </is>
      </c>
      <c r="D65" s="37" t="inlineStr">
        <is>
          <t>Cấp sổ lần đầu</t>
        </is>
      </c>
      <c r="E65" s="37" t="inlineStr">
        <is>
          <t>Giám đốc</t>
        </is>
      </c>
      <c r="F65" s="37" t="inlineStr">
        <is>
          <t>Tạ Khắc Tập</t>
        </is>
      </c>
      <c r="G65" s="27" t="n">
        <v>46051</v>
      </c>
      <c r="H65" s="27" t="n">
        <v>46054</v>
      </c>
      <c r="I65" s="37" t="n"/>
      <c r="J65" s="37" t="inlineStr">
        <is>
          <t>Hoàn thành</t>
        </is>
      </c>
      <c r="K65" s="37" t="inlineStr">
        <is>
          <t>Hoàn thành</t>
        </is>
      </c>
      <c r="L65" s="37">
        <f>IF(OR(H65="",J65="Hoàn thành",J65="Đã hủy"),"",IF(H65&lt;TODAY(),"QUÁ HẠN",IF(H65-TODAY()&lt;=THIET_LAP!$B$8,"SẮP HẠN","TRONG HẠN")))</f>
        <v/>
      </c>
      <c r="M65" s="27" t="n">
        <v>46087</v>
      </c>
      <c r="N65" s="37" t="n"/>
    </row>
    <row r="66" ht="15.75" customHeight="1" s="56">
      <c r="A66" s="37" t="inlineStr">
        <is>
          <t>BK-TSK-0063</t>
        </is>
      </c>
      <c r="B66" s="37" t="inlineStr">
        <is>
          <t>BK-HS-0063</t>
        </is>
      </c>
      <c r="C66" s="37" t="inlineStr">
        <is>
          <t>Phòng Đo đạc</t>
        </is>
      </c>
      <c r="D66" s="37" t="inlineStr">
        <is>
          <t>Cắm mốc</t>
        </is>
      </c>
      <c r="E66" s="37" t="inlineStr">
        <is>
          <t>Giám đốc</t>
        </is>
      </c>
      <c r="F66" s="37" t="inlineStr">
        <is>
          <t>Tạ Khắc Tập</t>
        </is>
      </c>
      <c r="G66" s="27" t="n">
        <v>46051</v>
      </c>
      <c r="H66" s="27" t="n">
        <v>46052</v>
      </c>
      <c r="I66" s="37" t="inlineStr">
        <is>
          <t>Cao</t>
        </is>
      </c>
      <c r="J66" s="37" t="inlineStr">
        <is>
          <t>Hoàn thành</t>
        </is>
      </c>
      <c r="K66" s="37" t="inlineStr">
        <is>
          <t>Hoàn thành</t>
        </is>
      </c>
      <c r="L66" s="37">
        <f>IF(OR(H66="",J66="Hoàn thành",J66="Đã hủy"),"",IF(H66&lt;TODAY(),"QUÁ HẠN",IF(H66-TODAY()&lt;=THIET_LAP!$B$8,"SẮP HẠN","TRONG HẠN")))</f>
        <v/>
      </c>
      <c r="M66" s="27" t="n">
        <v>46052</v>
      </c>
      <c r="N66" s="37" t="n"/>
    </row>
    <row r="67" ht="15.75" customHeight="1" s="56">
      <c r="A67" s="37" t="inlineStr">
        <is>
          <t>BK-TSK-0064</t>
        </is>
      </c>
      <c r="B67" s="37" t="inlineStr">
        <is>
          <t>BK-HS-0064</t>
        </is>
      </c>
      <c r="C67" s="37" t="inlineStr">
        <is>
          <t>Phòng Đo đạc</t>
        </is>
      </c>
      <c r="D67" s="37" t="inlineStr">
        <is>
          <t>Cấp sổ lần đầu</t>
        </is>
      </c>
      <c r="E67" s="37" t="inlineStr">
        <is>
          <t>Giám đốc</t>
        </is>
      </c>
      <c r="F67" s="37" t="inlineStr">
        <is>
          <t>Trương Tấn Quốc</t>
        </is>
      </c>
      <c r="G67" s="27" t="n">
        <v>46050</v>
      </c>
      <c r="H67" s="27" t="n">
        <v>46053</v>
      </c>
      <c r="I67" s="37" t="n"/>
      <c r="J67" s="37" t="inlineStr">
        <is>
          <t>Hoàn thành</t>
        </is>
      </c>
      <c r="K67" s="37" t="inlineStr">
        <is>
          <t>Hoàn thành</t>
        </is>
      </c>
      <c r="L67" s="37">
        <f>IF(OR(H67="",J67="Hoàn thành",J67="Đã hủy"),"",IF(H67&lt;TODAY(),"QUÁ HẠN",IF(H67-TODAY()&lt;=THIET_LAP!$B$8,"SẮP HẠN","TRONG HẠN")))</f>
        <v/>
      </c>
      <c r="M67" s="27" t="n">
        <v>46059</v>
      </c>
      <c r="N67" s="37" t="n"/>
    </row>
    <row r="68" ht="15.75" customHeight="1" s="56">
      <c r="A68" s="37" t="inlineStr">
        <is>
          <t>BK-TSK-0065</t>
        </is>
      </c>
      <c r="B68" s="37" t="inlineStr">
        <is>
          <t>BK-HS-0065</t>
        </is>
      </c>
      <c r="C68" s="37" t="inlineStr">
        <is>
          <t>Phòng Đo đạc</t>
        </is>
      </c>
      <c r="D68" s="37" t="inlineStr">
        <is>
          <t>Tách Thửa</t>
        </is>
      </c>
      <c r="E68" s="37" t="inlineStr">
        <is>
          <t>Giám đốc</t>
        </is>
      </c>
      <c r="F68" s="37" t="inlineStr">
        <is>
          <t>Lê Văn Xây</t>
        </is>
      </c>
      <c r="G68" s="27" t="n">
        <v>46050</v>
      </c>
      <c r="H68" s="27" t="n">
        <v>46053</v>
      </c>
      <c r="I68" s="37" t="n"/>
      <c r="J68" s="37" t="inlineStr">
        <is>
          <t>Hủy</t>
        </is>
      </c>
      <c r="K68" s="37" t="inlineStr">
        <is>
          <t>ĐÃ HỦY</t>
        </is>
      </c>
      <c r="L68" s="37">
        <f>IF(OR(H68="",J68="Hoàn thành",J68="Đã hủy"),"",IF(H68&lt;TODAY(),"QUÁ HẠN",IF(H68-TODAY()&lt;=THIET_LAP!$B$8,"SẮP HẠN","TRONG HẠN")))</f>
        <v/>
      </c>
      <c r="M68" s="27" t="n"/>
      <c r="N68" s="37" t="n"/>
    </row>
    <row r="69" ht="15.75" customHeight="1" s="56">
      <c r="A69" s="37" t="inlineStr">
        <is>
          <t>BK-TSK-0066</t>
        </is>
      </c>
      <c r="B69" s="37" t="inlineStr">
        <is>
          <t>BK-HS-0066</t>
        </is>
      </c>
      <c r="C69" s="37" t="inlineStr">
        <is>
          <t>Phòng Đo đạc</t>
        </is>
      </c>
      <c r="D69" s="37" t="inlineStr">
        <is>
          <t>Hoàn công</t>
        </is>
      </c>
      <c r="E69" s="37" t="inlineStr">
        <is>
          <t>Giám đốc</t>
        </is>
      </c>
      <c r="F69" s="37" t="inlineStr">
        <is>
          <t>Tạ Khắc Tập</t>
        </is>
      </c>
      <c r="G69" s="27" t="n">
        <v>46050</v>
      </c>
      <c r="H69" s="27" t="n">
        <v>46053</v>
      </c>
      <c r="I69" s="37" t="n"/>
      <c r="J69" s="37" t="inlineStr">
        <is>
          <t>Nộp thành công - Chờ kết quả</t>
        </is>
      </c>
      <c r="K69" s="37" t="inlineStr">
        <is>
          <t>Đã nộp</t>
        </is>
      </c>
      <c r="L69" s="37">
        <f>IF(OR(H69="",J69="Hoàn thành",J69="Đã hủy"),"",IF(H69&lt;TODAY(),"QUÁ HẠN",IF(H69-TODAY()&lt;=THIET_LAP!$B$8,"SẮP HẠN","TRONG HẠN")))</f>
        <v/>
      </c>
      <c r="M69" s="27" t="n"/>
      <c r="N69" s="37" t="n"/>
    </row>
    <row r="70" ht="15.75" customHeight="1" s="56">
      <c r="A70" s="37" t="inlineStr">
        <is>
          <t>BK-TSK-0067</t>
        </is>
      </c>
      <c r="B70" s="37" t="inlineStr">
        <is>
          <t>BK-HS-0067</t>
        </is>
      </c>
      <c r="C70" s="37" t="inlineStr">
        <is>
          <t>Phòng Đo đạc</t>
        </is>
      </c>
      <c r="D70" s="37" t="inlineStr">
        <is>
          <t>Tách Thửa</t>
        </is>
      </c>
      <c r="E70" s="37" t="inlineStr">
        <is>
          <t>Giám đốc</t>
        </is>
      </c>
      <c r="F70" s="37" t="inlineStr">
        <is>
          <t>Lê Văn Xây</t>
        </is>
      </c>
      <c r="G70" s="27" t="n">
        <v>46049</v>
      </c>
      <c r="H70" s="27" t="n">
        <v>46052</v>
      </c>
      <c r="I70" s="37" t="n"/>
      <c r="J70" s="37" t="inlineStr">
        <is>
          <t>Nộp thành công - Chờ kết quả</t>
        </is>
      </c>
      <c r="K70" s="37" t="inlineStr">
        <is>
          <t>Đã nộp</t>
        </is>
      </c>
      <c r="L70" s="37">
        <f>IF(OR(H70="",J70="Hoàn thành",J70="Đã hủy"),"",IF(H70&lt;TODAY(),"QUÁ HẠN",IF(H70-TODAY()&lt;=THIET_LAP!$B$8,"SẮP HẠN","TRONG HẠN")))</f>
        <v/>
      </c>
      <c r="M70" s="27" t="n"/>
      <c r="N70" s="37" t="n"/>
    </row>
    <row r="71" ht="15.75" customHeight="1" s="56">
      <c r="A71" s="37" t="inlineStr">
        <is>
          <t>BK-TSK-0068</t>
        </is>
      </c>
      <c r="B71" s="37" t="inlineStr">
        <is>
          <t>BK-HS-0068</t>
        </is>
      </c>
      <c r="C71" s="37" t="inlineStr">
        <is>
          <t>Phòng Đo đạc</t>
        </is>
      </c>
      <c r="D71" s="37" t="inlineStr">
        <is>
          <t>Tách Thửa</t>
        </is>
      </c>
      <c r="E71" s="37" t="inlineStr">
        <is>
          <t>Giám đốc</t>
        </is>
      </c>
      <c r="F71" s="37" t="inlineStr">
        <is>
          <t>Lê Văn Xây</t>
        </is>
      </c>
      <c r="G71" s="27" t="n">
        <v>46049</v>
      </c>
      <c r="H71" s="27" t="n">
        <v>46052</v>
      </c>
      <c r="I71" s="37" t="n"/>
      <c r="J71" s="37" t="inlineStr">
        <is>
          <t>Nộp thành công - Chờ kết quả</t>
        </is>
      </c>
      <c r="K71" s="37" t="inlineStr">
        <is>
          <t>Đã nộp</t>
        </is>
      </c>
      <c r="L71" s="37">
        <f>IF(OR(H71="",J71="Hoàn thành",J71="Đã hủy"),"",IF(H71&lt;TODAY(),"QUÁ HẠN",IF(H71-TODAY()&lt;=THIET_LAP!$B$8,"SẮP HẠN","TRONG HẠN")))</f>
        <v/>
      </c>
      <c r="M71" s="27" t="n"/>
      <c r="N71" s="37" t="n"/>
    </row>
    <row r="72" ht="15.75" customHeight="1" s="56">
      <c r="A72" s="37" t="inlineStr">
        <is>
          <t>BK-TSK-0069</t>
        </is>
      </c>
      <c r="B72" s="37" t="inlineStr">
        <is>
          <t>BK-HS-0069</t>
        </is>
      </c>
      <c r="C72" s="37" t="inlineStr">
        <is>
          <t>Phòng Đo đạc</t>
        </is>
      </c>
      <c r="D72" s="37" t="inlineStr">
        <is>
          <t>Chuyển mục đích</t>
        </is>
      </c>
      <c r="E72" s="37" t="inlineStr">
        <is>
          <t>Giám đốc</t>
        </is>
      </c>
      <c r="F72" s="37" t="inlineStr">
        <is>
          <t>Tạ Khắc Tập</t>
        </is>
      </c>
      <c r="G72" s="27" t="n">
        <v>46049</v>
      </c>
      <c r="H72" s="27" t="n">
        <v>46052</v>
      </c>
      <c r="I72" s="37" t="n"/>
      <c r="J72" s="37" t="inlineStr">
        <is>
          <t>Nộp thành công - Chờ kết quả</t>
        </is>
      </c>
      <c r="K72" s="37" t="inlineStr">
        <is>
          <t>Đã nộp</t>
        </is>
      </c>
      <c r="L72" s="37">
        <f>IF(OR(H72="",J72="Hoàn thành",J72="Đã hủy"),"",IF(H72&lt;TODAY(),"QUÁ HẠN",IF(H72-TODAY()&lt;=THIET_LAP!$B$8,"SẮP HẠN","TRONG HẠN")))</f>
        <v/>
      </c>
      <c r="M72" s="27" t="n"/>
      <c r="N72" s="37" t="n"/>
    </row>
    <row r="73" ht="15.75" customHeight="1" s="56">
      <c r="A73" s="37" t="inlineStr">
        <is>
          <t>BK-TSK-0070</t>
        </is>
      </c>
      <c r="B73" s="37" t="inlineStr">
        <is>
          <t>BK-HS-0070</t>
        </is>
      </c>
      <c r="C73" s="37" t="inlineStr">
        <is>
          <t>Phòng Đo đạc</t>
        </is>
      </c>
      <c r="D73" s="37" t="inlineStr">
        <is>
          <t>Cắm mốc</t>
        </is>
      </c>
      <c r="E73" s="37" t="inlineStr">
        <is>
          <t>Giám đốc</t>
        </is>
      </c>
      <c r="F73" s="37" t="inlineStr">
        <is>
          <t>Tạ Khắc Tập</t>
        </is>
      </c>
      <c r="G73" s="27" t="n">
        <v>46049</v>
      </c>
      <c r="H73" s="27" t="n">
        <v>46052</v>
      </c>
      <c r="I73" s="37" t="n"/>
      <c r="J73" s="37" t="inlineStr">
        <is>
          <t>Hoàn thành</t>
        </is>
      </c>
      <c r="K73" s="37" t="inlineStr">
        <is>
          <t>Hoàn thành</t>
        </is>
      </c>
      <c r="L73" s="37">
        <f>IF(OR(H73="",J73="Hoàn thành",J73="Đã hủy"),"",IF(H73&lt;TODAY(),"QUÁ HẠN",IF(H73-TODAY()&lt;=THIET_LAP!$B$8,"SẮP HẠN","TRONG HẠN")))</f>
        <v/>
      </c>
      <c r="M73" s="27" t="n">
        <v>46049</v>
      </c>
      <c r="N73" s="37" t="n"/>
    </row>
    <row r="74" ht="15.75" customHeight="1" s="56">
      <c r="A74" s="37" t="inlineStr">
        <is>
          <t>BK-TSK-0071</t>
        </is>
      </c>
      <c r="B74" s="37" t="inlineStr">
        <is>
          <t>BK-HS-0071</t>
        </is>
      </c>
      <c r="C74" s="37" t="inlineStr">
        <is>
          <t>Phòng Đo đạc</t>
        </is>
      </c>
      <c r="D74" s="37" t="inlineStr">
        <is>
          <t>Xin phép xây dựng</t>
        </is>
      </c>
      <c r="E74" s="37" t="inlineStr">
        <is>
          <t>Giám đốc</t>
        </is>
      </c>
      <c r="F74" s="37" t="inlineStr">
        <is>
          <t>Võ Thành Minh</t>
        </is>
      </c>
      <c r="G74" s="27" t="n">
        <v>46048</v>
      </c>
      <c r="H74" s="27" t="n">
        <v>46051</v>
      </c>
      <c r="I74" s="37" t="n"/>
      <c r="J74" s="37" t="inlineStr">
        <is>
          <t>Hoàn thành</t>
        </is>
      </c>
      <c r="K74" s="37" t="inlineStr">
        <is>
          <t>Hoàn thành</t>
        </is>
      </c>
      <c r="L74" s="37">
        <f>IF(OR(H74="",J74="Hoàn thành",J74="Đã hủy"),"",IF(H74&lt;TODAY(),"QUÁ HẠN",IF(H74-TODAY()&lt;=THIET_LAP!$B$8,"SẮP HẠN","TRONG HẠN")))</f>
        <v/>
      </c>
      <c r="M74" s="27" t="n">
        <v>46084</v>
      </c>
      <c r="N74" s="37" t="n"/>
    </row>
    <row r="75" ht="15.75" customHeight="1" s="56">
      <c r="A75" s="37" t="inlineStr">
        <is>
          <t>BK-TSK-0072</t>
        </is>
      </c>
      <c r="B75" s="37" t="inlineStr">
        <is>
          <t>BK-HS-0072</t>
        </is>
      </c>
      <c r="C75" s="37" t="inlineStr">
        <is>
          <t>Phòng Đo đạc</t>
        </is>
      </c>
      <c r="D75" s="37" t="inlineStr">
        <is>
          <t>Xin phép xây dựng</t>
        </is>
      </c>
      <c r="E75" s="37" t="inlineStr">
        <is>
          <t>Giám đốc</t>
        </is>
      </c>
      <c r="F75" s="37" t="inlineStr">
        <is>
          <t>Võ Thành Minh</t>
        </is>
      </c>
      <c r="G75" s="27" t="n">
        <v>46048</v>
      </c>
      <c r="H75" s="27" t="n">
        <v>46051</v>
      </c>
      <c r="I75" s="37" t="n"/>
      <c r="J75" s="37" t="inlineStr">
        <is>
          <t>Nộp thành công - Chờ kết quả</t>
        </is>
      </c>
      <c r="K75" s="37" t="inlineStr">
        <is>
          <t>Đã nộp</t>
        </is>
      </c>
      <c r="L75" s="37">
        <f>IF(OR(H75="",J75="Hoàn thành",J75="Đã hủy"),"",IF(H75&lt;TODAY(),"QUÁ HẠN",IF(H75-TODAY()&lt;=THIET_LAP!$B$8,"SẮP HẠN","TRONG HẠN")))</f>
        <v/>
      </c>
      <c r="M75" s="27" t="n"/>
      <c r="N75" s="37" t="n"/>
    </row>
    <row r="76" ht="15.75" customHeight="1" s="56">
      <c r="A76" s="37" t="inlineStr">
        <is>
          <t>BK-TSK-0073</t>
        </is>
      </c>
      <c r="B76" s="37" t="inlineStr">
        <is>
          <t>BK-HS-0073</t>
        </is>
      </c>
      <c r="C76" s="37" t="inlineStr">
        <is>
          <t>Phòng Đo đạc</t>
        </is>
      </c>
      <c r="D76" s="37" t="inlineStr">
        <is>
          <t>Xin phép xây dựng</t>
        </is>
      </c>
      <c r="E76" s="37" t="inlineStr">
        <is>
          <t>Giám đốc</t>
        </is>
      </c>
      <c r="F76" s="37" t="inlineStr">
        <is>
          <t>Võ Thành Minh</t>
        </is>
      </c>
      <c r="G76" s="27" t="n">
        <v>46048</v>
      </c>
      <c r="H76" s="27" t="n">
        <v>46051</v>
      </c>
      <c r="I76" s="37" t="n"/>
      <c r="J76" s="37" t="inlineStr">
        <is>
          <t>Hoàn thành</t>
        </is>
      </c>
      <c r="K76" s="37" t="inlineStr">
        <is>
          <t>Hoàn thành</t>
        </is>
      </c>
      <c r="L76" s="37">
        <f>IF(OR(H76="",J76="Hoàn thành",J76="Đã hủy"),"",IF(H76&lt;TODAY(),"QUÁ HẠN",IF(H76-TODAY()&lt;=THIET_LAP!$B$8,"SẮP HẠN","TRONG HẠN")))</f>
        <v/>
      </c>
      <c r="M76" s="27" t="n">
        <v>46084</v>
      </c>
      <c r="N76" s="37" t="n"/>
    </row>
    <row r="77" ht="15.75" customHeight="1" s="56">
      <c r="A77" s="37" t="inlineStr">
        <is>
          <t>BK-TSK-0074</t>
        </is>
      </c>
      <c r="B77" s="37" t="inlineStr">
        <is>
          <t>BK-HS-0074</t>
        </is>
      </c>
      <c r="C77" s="37" t="inlineStr">
        <is>
          <t>Phòng Đo đạc</t>
        </is>
      </c>
      <c r="D77" s="37" t="inlineStr">
        <is>
          <t>Điều chỉnh bản vẽ</t>
        </is>
      </c>
      <c r="E77" s="37" t="inlineStr">
        <is>
          <t>Giám đốc</t>
        </is>
      </c>
      <c r="F77" s="37" t="inlineStr">
        <is>
          <t>Trương Tấn Quốc</t>
        </is>
      </c>
      <c r="G77" s="27" t="n">
        <v>46046</v>
      </c>
      <c r="H77" s="27" t="n">
        <v>46049</v>
      </c>
      <c r="I77" s="37" t="n"/>
      <c r="J77" s="37" t="inlineStr">
        <is>
          <t>Nộp thành công - Chờ kết quả</t>
        </is>
      </c>
      <c r="K77" s="37" t="inlineStr">
        <is>
          <t>Đã nộp</t>
        </is>
      </c>
      <c r="L77" s="37">
        <f>IF(OR(H77="",J77="Hoàn thành",J77="Đã hủy"),"",IF(H77&lt;TODAY(),"QUÁ HẠN",IF(H77-TODAY()&lt;=THIET_LAP!$B$8,"SẮP HẠN","TRONG HẠN")))</f>
        <v/>
      </c>
      <c r="M77" s="27" t="n"/>
      <c r="N77" s="37" t="n"/>
    </row>
    <row r="78" ht="15.75" customHeight="1" s="56">
      <c r="A78" s="37" t="inlineStr">
        <is>
          <t>BK-TSK-0075</t>
        </is>
      </c>
      <c r="B78" s="37" t="inlineStr">
        <is>
          <t>BK-HS-0075</t>
        </is>
      </c>
      <c r="C78" s="37" t="inlineStr">
        <is>
          <t>Phòng Đo đạc</t>
        </is>
      </c>
      <c r="D78" s="37" t="inlineStr">
        <is>
          <t>Cấp đổi</t>
        </is>
      </c>
      <c r="E78" s="37" t="inlineStr">
        <is>
          <t>Giám đốc</t>
        </is>
      </c>
      <c r="F78" s="37" t="inlineStr">
        <is>
          <t>Trương Tấn Quốc</t>
        </is>
      </c>
      <c r="G78" s="27" t="n">
        <v>46046</v>
      </c>
      <c r="H78" s="27" t="n">
        <v>46049</v>
      </c>
      <c r="I78" s="37" t="n"/>
      <c r="J78" s="37" t="inlineStr">
        <is>
          <t>Hủy</t>
        </is>
      </c>
      <c r="K78" s="37" t="inlineStr">
        <is>
          <t>ĐÃ HỦY</t>
        </is>
      </c>
      <c r="L78" s="37">
        <f>IF(OR(H78="",J78="Hoàn thành",J78="Đã hủy"),"",IF(H78&lt;TODAY(),"QUÁ HẠN",IF(H78-TODAY()&lt;=THIET_LAP!$B$8,"SẮP HẠN","TRONG HẠN")))</f>
        <v/>
      </c>
      <c r="M78" s="27" t="n"/>
      <c r="N78" s="37" t="inlineStr">
        <is>
          <t>Đợi trao đổi phương án vs dịch vụ | Dịch vụ báo tạm ngưng</t>
        </is>
      </c>
    </row>
    <row r="79" ht="15.75" customHeight="1" s="56">
      <c r="A79" s="37" t="inlineStr">
        <is>
          <t>BK-TSK-0076</t>
        </is>
      </c>
      <c r="B79" s="37" t="inlineStr">
        <is>
          <t>BK-HS-0076</t>
        </is>
      </c>
      <c r="C79" s="37" t="inlineStr">
        <is>
          <t>Phòng Đo đạc</t>
        </is>
      </c>
      <c r="D79" s="37" t="inlineStr">
        <is>
          <t>Cấp đổi</t>
        </is>
      </c>
      <c r="E79" s="37" t="inlineStr">
        <is>
          <t>Giám đốc</t>
        </is>
      </c>
      <c r="F79" s="37" t="inlineStr">
        <is>
          <t>Lê Văn Dựng</t>
        </is>
      </c>
      <c r="G79" s="27" t="n">
        <v>46045</v>
      </c>
      <c r="H79" s="27" t="n">
        <v>46048</v>
      </c>
      <c r="I79" s="37" t="n"/>
      <c r="J79" s="37" t="inlineStr">
        <is>
          <t>Nộp thành công - Chờ kết quả</t>
        </is>
      </c>
      <c r="K79" s="37" t="inlineStr">
        <is>
          <t>Đã nộp</t>
        </is>
      </c>
      <c r="L79" s="37">
        <f>IF(OR(H79="",J79="Hoàn thành",J79="Đã hủy"),"",IF(H79&lt;TODAY(),"QUÁ HẠN",IF(H79-TODAY()&lt;=THIET_LAP!$B$8,"SẮP HẠN","TRONG HẠN")))</f>
        <v/>
      </c>
      <c r="M79" s="27" t="n"/>
      <c r="N79" s="37" t="inlineStr">
        <is>
          <t>hồ sơ chưa xử lý được do khu đất có ao sâu không thể chôn trụ xi măng được,chờ khách hàng san lấp</t>
        </is>
      </c>
    </row>
    <row r="80" ht="15.75" customHeight="1" s="56">
      <c r="A80" s="37" t="inlineStr">
        <is>
          <t>BK-TSK-0077</t>
        </is>
      </c>
      <c r="B80" s="37" t="inlineStr">
        <is>
          <t>BK-HS-0077</t>
        </is>
      </c>
      <c r="C80" s="37" t="inlineStr">
        <is>
          <t>Phòng Đo đạc</t>
        </is>
      </c>
      <c r="D80" s="37" t="inlineStr">
        <is>
          <t>Điều chỉnh bản vẽ</t>
        </is>
      </c>
      <c r="E80" s="37" t="inlineStr">
        <is>
          <t>Giám đốc</t>
        </is>
      </c>
      <c r="F80" s="37" t="inlineStr">
        <is>
          <t>Tạ Khắc Tập</t>
        </is>
      </c>
      <c r="G80" s="27" t="n">
        <v>46045</v>
      </c>
      <c r="H80" s="27" t="n">
        <v>46048</v>
      </c>
      <c r="I80" s="37" t="n"/>
      <c r="J80" s="37" t="inlineStr">
        <is>
          <t>Hoàn thành</t>
        </is>
      </c>
      <c r="K80" s="37" t="inlineStr">
        <is>
          <t>Hoàn thành</t>
        </is>
      </c>
      <c r="L80" s="37">
        <f>IF(OR(H80="",J80="Hoàn thành",J80="Đã hủy"),"",IF(H80&lt;TODAY(),"QUÁ HẠN",IF(H80-TODAY()&lt;=THIET_LAP!$B$8,"SẮP HẠN","TRONG HẠN")))</f>
        <v/>
      </c>
      <c r="M80" s="27" t="n">
        <v>46090</v>
      </c>
      <c r="N80" s="37" t="n"/>
    </row>
    <row r="81" ht="15.75" customHeight="1" s="56">
      <c r="A81" s="37" t="inlineStr">
        <is>
          <t>BK-TSK-0078</t>
        </is>
      </c>
      <c r="B81" s="37" t="inlineStr">
        <is>
          <t>BK-HS-0078</t>
        </is>
      </c>
      <c r="C81" s="37" t="inlineStr">
        <is>
          <t>Phòng Đo đạc</t>
        </is>
      </c>
      <c r="D81" s="37" t="inlineStr">
        <is>
          <t>Cắm mốc</t>
        </is>
      </c>
      <c r="E81" s="37" t="inlineStr">
        <is>
          <t>Giám đốc</t>
        </is>
      </c>
      <c r="F81" s="37" t="inlineStr">
        <is>
          <t>Tạ Khắc Tập</t>
        </is>
      </c>
      <c r="G81" s="27" t="n">
        <v>46045</v>
      </c>
      <c r="H81" s="27" t="n">
        <v>46048</v>
      </c>
      <c r="I81" s="37" t="n"/>
      <c r="J81" s="37" t="inlineStr">
        <is>
          <t>Hoàn thành</t>
        </is>
      </c>
      <c r="K81" s="37" t="inlineStr">
        <is>
          <t>Hoàn thành</t>
        </is>
      </c>
      <c r="L81" s="37">
        <f>IF(OR(H81="",J81="Hoàn thành",J81="Đã hủy"),"",IF(H81&lt;TODAY(),"QUÁ HẠN",IF(H81-TODAY()&lt;=THIET_LAP!$B$8,"SẮP HẠN","TRONG HẠN")))</f>
        <v/>
      </c>
      <c r="M81" s="27" t="n">
        <v>46046</v>
      </c>
      <c r="N81" s="37" t="n"/>
    </row>
    <row r="82" ht="15.75" customHeight="1" s="56">
      <c r="A82" s="37" t="inlineStr">
        <is>
          <t>BK-TSK-0079</t>
        </is>
      </c>
      <c r="B82" s="37" t="inlineStr">
        <is>
          <t>BK-HS-0079</t>
        </is>
      </c>
      <c r="C82" s="37" t="inlineStr">
        <is>
          <t>Phòng Đo đạc</t>
        </is>
      </c>
      <c r="D82" s="37" t="inlineStr">
        <is>
          <t>Cấp đổi</t>
        </is>
      </c>
      <c r="E82" s="37" t="inlineStr">
        <is>
          <t>Giám đốc</t>
        </is>
      </c>
      <c r="F82" s="37" t="inlineStr">
        <is>
          <t>Trương Tấn Quốc</t>
        </is>
      </c>
      <c r="G82" s="27" t="n">
        <v>46044</v>
      </c>
      <c r="H82" s="27" t="n">
        <v>46047</v>
      </c>
      <c r="I82" s="37" t="n"/>
      <c r="J82" s="37" t="inlineStr">
        <is>
          <t>Hoàn thành</t>
        </is>
      </c>
      <c r="K82" s="37" t="inlineStr">
        <is>
          <t>Hoàn thành</t>
        </is>
      </c>
      <c r="L82" s="37">
        <f>IF(OR(H82="",J82="Hoàn thành",J82="Đã hủy"),"",IF(H82&lt;TODAY(),"QUÁ HẠN",IF(H82-TODAY()&lt;=THIET_LAP!$B$8,"SẮP HẠN","TRONG HẠN")))</f>
        <v/>
      </c>
      <c r="M82" s="27" t="n">
        <v>46055</v>
      </c>
      <c r="N82" s="37" t="inlineStr">
        <is>
          <t>Chưa cắm trụ (4 trụ)</t>
        </is>
      </c>
    </row>
    <row r="83" ht="15.75" customHeight="1" s="56">
      <c r="A83" s="37" t="inlineStr">
        <is>
          <t>BK-TSK-0080</t>
        </is>
      </c>
      <c r="B83" s="37" t="inlineStr">
        <is>
          <t>BK-HS-0080</t>
        </is>
      </c>
      <c r="C83" s="37" t="inlineStr">
        <is>
          <t>Phòng Đo đạc</t>
        </is>
      </c>
      <c r="D83" s="37" t="inlineStr">
        <is>
          <t>Hoàn công</t>
        </is>
      </c>
      <c r="E83" s="37" t="inlineStr">
        <is>
          <t>Giám đốc</t>
        </is>
      </c>
      <c r="F83" s="37" t="inlineStr">
        <is>
          <t>Lê Văn Xây</t>
        </is>
      </c>
      <c r="G83" s="27" t="n">
        <v>46043</v>
      </c>
      <c r="H83" s="27" t="n">
        <v>46046</v>
      </c>
      <c r="I83" s="37" t="n"/>
      <c r="J83" s="37" t="inlineStr">
        <is>
          <t>Nộp thành công - Chờ kết quả</t>
        </is>
      </c>
      <c r="K83" s="37" t="inlineStr">
        <is>
          <t>Đã nộp</t>
        </is>
      </c>
      <c r="L83" s="37">
        <f>IF(OR(H83="",J83="Hoàn thành",J83="Đã hủy"),"",IF(H83&lt;TODAY(),"QUÁ HẠN",IF(H83-TODAY()&lt;=THIET_LAP!$B$8,"SẮP HẠN","TRONG HẠN")))</f>
        <v/>
      </c>
      <c r="M83" s="27" t="n"/>
      <c r="N83" s="37" t="n"/>
    </row>
    <row r="84" ht="15.75" customHeight="1" s="56">
      <c r="A84" s="37" t="inlineStr">
        <is>
          <t>BK-TSK-0081</t>
        </is>
      </c>
      <c r="B84" s="37" t="inlineStr">
        <is>
          <t>BK-HS-0081</t>
        </is>
      </c>
      <c r="C84" s="37" t="inlineStr">
        <is>
          <t>Phòng Đo đạc</t>
        </is>
      </c>
      <c r="D84" s="37" t="inlineStr">
        <is>
          <t>Cắm mốc</t>
        </is>
      </c>
      <c r="E84" s="37" t="inlineStr">
        <is>
          <t>Giám đốc</t>
        </is>
      </c>
      <c r="F84" s="37" t="inlineStr">
        <is>
          <t>Tạ Khắc Tập</t>
        </is>
      </c>
      <c r="G84" s="27" t="n">
        <v>46043</v>
      </c>
      <c r="H84" s="27" t="n">
        <v>46046</v>
      </c>
      <c r="I84" s="37" t="n"/>
      <c r="J84" s="37" t="inlineStr">
        <is>
          <t>Hoàn thành</t>
        </is>
      </c>
      <c r="K84" s="37" t="inlineStr">
        <is>
          <t>Hoàn thành</t>
        </is>
      </c>
      <c r="L84" s="37">
        <f>IF(OR(H84="",J84="Hoàn thành",J84="Đã hủy"),"",IF(H84&lt;TODAY(),"QUÁ HẠN",IF(H84-TODAY()&lt;=THIET_LAP!$B$8,"SẮP HẠN","TRONG HẠN")))</f>
        <v/>
      </c>
      <c r="M84" s="27" t="n">
        <v>46044</v>
      </c>
      <c r="N84" s="37" t="n"/>
    </row>
    <row r="85" ht="15.75" customHeight="1" s="56">
      <c r="A85" s="37" t="inlineStr">
        <is>
          <t>BK-TSK-0082</t>
        </is>
      </c>
      <c r="B85" s="37" t="inlineStr">
        <is>
          <t>BK-HS-0082</t>
        </is>
      </c>
      <c r="C85" s="37" t="inlineStr">
        <is>
          <t>Phòng Đo đạc</t>
        </is>
      </c>
      <c r="D85" s="37" t="inlineStr">
        <is>
          <t>Cấp đổi</t>
        </is>
      </c>
      <c r="E85" s="37" t="inlineStr">
        <is>
          <t>Giám đốc</t>
        </is>
      </c>
      <c r="F85" s="37" t="inlineStr">
        <is>
          <t>Tạ Khắc Tập</t>
        </is>
      </c>
      <c r="G85" s="27" t="n">
        <v>46043</v>
      </c>
      <c r="H85" s="27" t="n">
        <v>46046</v>
      </c>
      <c r="I85" s="37" t="n"/>
      <c r="J85" s="37" t="inlineStr">
        <is>
          <t>Hoàn thành</t>
        </is>
      </c>
      <c r="K85" s="37" t="inlineStr">
        <is>
          <t>Hoàn thành</t>
        </is>
      </c>
      <c r="L85" s="37">
        <f>IF(OR(H85="",J85="Hoàn thành",J85="Đã hủy"),"",IF(H85&lt;TODAY(),"QUÁ HẠN",IF(H85-TODAY()&lt;=THIET_LAP!$B$8,"SẮP HẠN","TRONG HẠN")))</f>
        <v/>
      </c>
      <c r="M85" s="27" t="n">
        <v>46053</v>
      </c>
      <c r="N85" s="37" t="n"/>
    </row>
    <row r="86" ht="15.75" customHeight="1" s="56">
      <c r="A86" s="37" t="inlineStr">
        <is>
          <t>BK-TSK-0083</t>
        </is>
      </c>
      <c r="B86" s="37" t="inlineStr">
        <is>
          <t>BK-HS-0083</t>
        </is>
      </c>
      <c r="C86" s="37" t="inlineStr">
        <is>
          <t>Phòng Đo đạc</t>
        </is>
      </c>
      <c r="D86" s="37" t="inlineStr">
        <is>
          <t>Cấp đổi</t>
        </is>
      </c>
      <c r="E86" s="37" t="inlineStr">
        <is>
          <t>Giám đốc</t>
        </is>
      </c>
      <c r="F86" s="37" t="inlineStr">
        <is>
          <t>Tạ Khắc Tập</t>
        </is>
      </c>
      <c r="G86" s="27" t="n">
        <v>46042</v>
      </c>
      <c r="H86" s="27" t="n">
        <v>46045</v>
      </c>
      <c r="I86" s="37" t="n"/>
      <c r="J86" s="37" t="inlineStr">
        <is>
          <t>QUÁ HẠN</t>
        </is>
      </c>
      <c r="K86" s="37" t="inlineStr">
        <is>
          <t>QUÁ HẠN</t>
        </is>
      </c>
      <c r="L86" s="37">
        <f>IF(OR(H86="",J86="Hoàn thành",J86="Đã hủy"),"",IF(H86&lt;TODAY(),"QUÁ HẠN",IF(H86-TODAY()&lt;=THIET_LAP!$B$8,"SẮP HẠN","TRONG HẠN")))</f>
        <v/>
      </c>
      <c r="M86" s="27" t="n"/>
      <c r="N86" s="37" t="inlineStr">
        <is>
          <t>sai hiện trạng chơ phuong an</t>
        </is>
      </c>
    </row>
    <row r="87" ht="15.75" customHeight="1" s="56">
      <c r="A87" s="37" t="inlineStr">
        <is>
          <t>BK-TSK-0084</t>
        </is>
      </c>
      <c r="B87" s="37" t="inlineStr">
        <is>
          <t>BK-HS-0084</t>
        </is>
      </c>
      <c r="C87" s="37" t="inlineStr">
        <is>
          <t>Phòng Đo đạc</t>
        </is>
      </c>
      <c r="D87" s="37" t="inlineStr">
        <is>
          <t>Xác định diện tích</t>
        </is>
      </c>
      <c r="E87" s="37" t="inlineStr">
        <is>
          <t>Giám đốc</t>
        </is>
      </c>
      <c r="F87" s="37" t="inlineStr">
        <is>
          <t>Tạ Khắc Tập</t>
        </is>
      </c>
      <c r="G87" s="27" t="n">
        <v>46042</v>
      </c>
      <c r="H87" s="27" t="n">
        <v>46045</v>
      </c>
      <c r="I87" s="37" t="n"/>
      <c r="J87" s="37" t="inlineStr">
        <is>
          <t>Hoàn thành</t>
        </is>
      </c>
      <c r="K87" s="37" t="inlineStr">
        <is>
          <t>Hoàn thành</t>
        </is>
      </c>
      <c r="L87" s="37">
        <f>IF(OR(H87="",J87="Hoàn thành",J87="Đã hủy"),"",IF(H87&lt;TODAY(),"QUÁ HẠN",IF(H87-TODAY()&lt;=THIET_LAP!$B$8,"SẮP HẠN","TRONG HẠN")))</f>
        <v/>
      </c>
      <c r="M87" s="27" t="n">
        <v>46042</v>
      </c>
      <c r="N87" s="37" t="n"/>
    </row>
    <row r="88" ht="15.75" customHeight="1" s="56">
      <c r="A88" s="37" t="inlineStr">
        <is>
          <t>BK-TSK-0085</t>
        </is>
      </c>
      <c r="B88" s="37" t="inlineStr">
        <is>
          <t>BK-HS-0085</t>
        </is>
      </c>
      <c r="C88" s="37" t="inlineStr">
        <is>
          <t>Phòng Đo đạc</t>
        </is>
      </c>
      <c r="D88" s="37" t="inlineStr">
        <is>
          <t>Hoàn công</t>
        </is>
      </c>
      <c r="E88" s="37" t="inlineStr">
        <is>
          <t>Giám đốc</t>
        </is>
      </c>
      <c r="F88" s="37" t="inlineStr">
        <is>
          <t>Trương Tấn Quốc</t>
        </is>
      </c>
      <c r="G88" s="27" t="n">
        <v>46041</v>
      </c>
      <c r="H88" s="27" t="n">
        <v>46044</v>
      </c>
      <c r="I88" s="37" t="n"/>
      <c r="J88" s="37" t="inlineStr">
        <is>
          <t>Nộp thành công - Chờ kết quả</t>
        </is>
      </c>
      <c r="K88" s="37" t="inlineStr">
        <is>
          <t>Đã nộp</t>
        </is>
      </c>
      <c r="L88" s="37">
        <f>IF(OR(H88="",J88="Hoàn thành",J88="Đã hủy"),"",IF(H88&lt;TODAY(),"QUÁ HẠN",IF(H88-TODAY()&lt;=THIET_LAP!$B$8,"SẮP HẠN","TRONG HẠN")))</f>
        <v/>
      </c>
      <c r="M88" s="27" t="n"/>
      <c r="N88" s="37" t="n"/>
    </row>
    <row r="89" ht="15.75" customHeight="1" s="56">
      <c r="A89" s="37" t="inlineStr">
        <is>
          <t>BK-TSK-0086</t>
        </is>
      </c>
      <c r="B89" s="37" t="inlineStr">
        <is>
          <t>BK-HS-0086</t>
        </is>
      </c>
      <c r="C89" s="37" t="inlineStr">
        <is>
          <t>Phòng Đo đạc</t>
        </is>
      </c>
      <c r="D89" s="37" t="inlineStr">
        <is>
          <t>Xác định diện tích</t>
        </is>
      </c>
      <c r="E89" s="37" t="inlineStr">
        <is>
          <t>Giám đốc</t>
        </is>
      </c>
      <c r="F89" s="37" t="inlineStr">
        <is>
          <t>Trương Tấn Quốc</t>
        </is>
      </c>
      <c r="G89" s="27" t="n">
        <v>46041</v>
      </c>
      <c r="H89" s="27" t="n">
        <v>46044</v>
      </c>
      <c r="I89" s="37" t="n"/>
      <c r="J89" s="37" t="inlineStr">
        <is>
          <t>Hoàn thành</t>
        </is>
      </c>
      <c r="K89" s="37" t="inlineStr">
        <is>
          <t>Hoàn thành</t>
        </is>
      </c>
      <c r="L89" s="37">
        <f>IF(OR(H89="",J89="Hoàn thành",J89="Đã hủy"),"",IF(H89&lt;TODAY(),"QUÁ HẠN",IF(H89-TODAY()&lt;=THIET_LAP!$B$8,"SẮP HẠN","TRONG HẠN")))</f>
        <v/>
      </c>
      <c r="M89" s="27" t="n">
        <v>46041</v>
      </c>
      <c r="N89" s="37" t="inlineStr">
        <is>
          <t>Vẽ mẫu CMĐ gửi phường</t>
        </is>
      </c>
    </row>
    <row r="90" ht="15.75" customHeight="1" s="56">
      <c r="A90" s="37" t="inlineStr">
        <is>
          <t>BK-TSK-0087</t>
        </is>
      </c>
      <c r="B90" s="37" t="inlineStr">
        <is>
          <t>BK-HS-0087</t>
        </is>
      </c>
      <c r="C90" s="37" t="inlineStr">
        <is>
          <t>Phòng Đo đạc</t>
        </is>
      </c>
      <c r="D90" s="37" t="inlineStr">
        <is>
          <t>Xác định diện tích</t>
        </is>
      </c>
      <c r="E90" s="37" t="inlineStr">
        <is>
          <t>Giám đốc</t>
        </is>
      </c>
      <c r="F90" s="37" t="inlineStr">
        <is>
          <t>Lê Văn Xây</t>
        </is>
      </c>
      <c r="G90" s="27" t="n">
        <v>46041</v>
      </c>
      <c r="H90" s="27" t="n">
        <v>46044</v>
      </c>
      <c r="I90" s="37" t="n"/>
      <c r="J90" s="37" t="inlineStr">
        <is>
          <t>Hoàn thành</t>
        </is>
      </c>
      <c r="K90" s="37" t="inlineStr">
        <is>
          <t>Hoàn thành</t>
        </is>
      </c>
      <c r="L90" s="37">
        <f>IF(OR(H90="",J90="Hoàn thành",J90="Đã hủy"),"",IF(H90&lt;TODAY(),"QUÁ HẠN",IF(H90-TODAY()&lt;=THIET_LAP!$B$8,"SẮP HẠN","TRONG HẠN")))</f>
        <v/>
      </c>
      <c r="M90" s="27" t="n">
        <v>46041</v>
      </c>
      <c r="N90" s="37" t="n"/>
    </row>
    <row r="91" ht="15.75" customHeight="1" s="56">
      <c r="A91" s="37" t="inlineStr">
        <is>
          <t>BK-TSK-0088</t>
        </is>
      </c>
      <c r="B91" s="37" t="inlineStr">
        <is>
          <t>BK-HS-0088</t>
        </is>
      </c>
      <c r="C91" s="37" t="inlineStr">
        <is>
          <t>Phòng Đo đạc</t>
        </is>
      </c>
      <c r="D91" s="37" t="inlineStr">
        <is>
          <t>Hoàn công</t>
        </is>
      </c>
      <c r="E91" s="37" t="inlineStr">
        <is>
          <t>Giám đốc</t>
        </is>
      </c>
      <c r="F91" s="37" t="inlineStr">
        <is>
          <t>Lê Văn Xây</t>
        </is>
      </c>
      <c r="G91" s="27" t="n">
        <v>46041</v>
      </c>
      <c r="H91" s="27" t="n">
        <v>46044</v>
      </c>
      <c r="I91" s="37" t="n"/>
      <c r="J91" s="37" t="inlineStr">
        <is>
          <t>Nộp thành công - Chờ kết quả</t>
        </is>
      </c>
      <c r="K91" s="37" t="inlineStr">
        <is>
          <t>Đã nộp</t>
        </is>
      </c>
      <c r="L91" s="37">
        <f>IF(OR(H91="",J91="Hoàn thành",J91="Đã hủy"),"",IF(H91&lt;TODAY(),"QUÁ HẠN",IF(H91-TODAY()&lt;=THIET_LAP!$B$8,"SẮP HẠN","TRONG HẠN")))</f>
        <v/>
      </c>
      <c r="M91" s="27" t="n"/>
      <c r="N91" s="37" t="n"/>
    </row>
    <row r="92" ht="15.75" customHeight="1" s="56">
      <c r="A92" s="37" t="inlineStr">
        <is>
          <t>BK-TSK-0089</t>
        </is>
      </c>
      <c r="B92" s="37" t="inlineStr">
        <is>
          <t>BK-HS-0089</t>
        </is>
      </c>
      <c r="C92" s="37" t="inlineStr">
        <is>
          <t>Phòng Đo đạc</t>
        </is>
      </c>
      <c r="D92" s="37" t="inlineStr">
        <is>
          <t>Cắm mốc</t>
        </is>
      </c>
      <c r="E92" s="37" t="inlineStr">
        <is>
          <t>Giám đốc</t>
        </is>
      </c>
      <c r="F92" s="37" t="inlineStr">
        <is>
          <t>Lê Văn Dựng</t>
        </is>
      </c>
      <c r="G92" s="27" t="n">
        <v>46040</v>
      </c>
      <c r="H92" s="27" t="n">
        <v>46043</v>
      </c>
      <c r="I92" s="37" t="n"/>
      <c r="J92" s="37" t="inlineStr">
        <is>
          <t>Hoàn thành</t>
        </is>
      </c>
      <c r="K92" s="37" t="inlineStr">
        <is>
          <t>Hoàn thành</t>
        </is>
      </c>
      <c r="L92" s="37">
        <f>IF(OR(H92="",J92="Hoàn thành",J92="Đã hủy"),"",IF(H92&lt;TODAY(),"QUÁ HẠN",IF(H92-TODAY()&lt;=THIET_LAP!$B$8,"SẮP HẠN","TRONG HẠN")))</f>
        <v/>
      </c>
      <c r="M92" s="27" t="n">
        <v>46040</v>
      </c>
      <c r="N92" s="37" t="inlineStr">
        <is>
          <t>Cắm mốc,Chôn trụ xi măng đã chốt khách hàng 4 triệu (chưa thanh toán)</t>
        </is>
      </c>
    </row>
    <row r="93" ht="15.75" customHeight="1" s="56">
      <c r="A93" s="37" t="inlineStr">
        <is>
          <t>BK-TSK-0090</t>
        </is>
      </c>
      <c r="B93" s="37" t="inlineStr">
        <is>
          <t>BK-HS-0090</t>
        </is>
      </c>
      <c r="C93" s="37" t="inlineStr">
        <is>
          <t>Phòng Đo đạc</t>
        </is>
      </c>
      <c r="D93" s="37" t="inlineStr">
        <is>
          <t>Cắm mốc</t>
        </is>
      </c>
      <c r="E93" s="37" t="inlineStr">
        <is>
          <t>Giám đốc</t>
        </is>
      </c>
      <c r="F93" s="37" t="inlineStr">
        <is>
          <t>Lê Văn Xây</t>
        </is>
      </c>
      <c r="G93" s="27" t="n">
        <v>46039</v>
      </c>
      <c r="H93" s="27" t="n">
        <v>46042</v>
      </c>
      <c r="I93" s="37" t="n"/>
      <c r="J93" s="37" t="inlineStr">
        <is>
          <t>Hoàn thành</t>
        </is>
      </c>
      <c r="K93" s="37" t="inlineStr">
        <is>
          <t>Hoàn thành</t>
        </is>
      </c>
      <c r="L93" s="37">
        <f>IF(OR(H93="",J93="Hoàn thành",J93="Đã hủy"),"",IF(H93&lt;TODAY(),"QUÁ HẠN",IF(H93-TODAY()&lt;=THIET_LAP!$B$8,"SẮP HẠN","TRONG HẠN")))</f>
        <v/>
      </c>
      <c r="M93" s="27" t="n">
        <v>46039</v>
      </c>
      <c r="N93" s="37" t="n"/>
    </row>
    <row r="94" ht="15.75" customHeight="1" s="56">
      <c r="A94" s="37" t="inlineStr">
        <is>
          <t>BK-TSK-0091</t>
        </is>
      </c>
      <c r="B94" s="37" t="inlineStr">
        <is>
          <t>BK-HS-0091</t>
        </is>
      </c>
      <c r="C94" s="37" t="inlineStr">
        <is>
          <t>Phòng Đo đạc</t>
        </is>
      </c>
      <c r="D94" s="37" t="inlineStr">
        <is>
          <t>Cấp đổi</t>
        </is>
      </c>
      <c r="E94" s="37" t="inlineStr">
        <is>
          <t>Giám đốc</t>
        </is>
      </c>
      <c r="F94" s="37" t="inlineStr">
        <is>
          <t>Lê Văn Dựng</t>
        </is>
      </c>
      <c r="G94" s="27" t="n">
        <v>46039</v>
      </c>
      <c r="H94" s="27" t="n">
        <v>46042</v>
      </c>
      <c r="I94" s="37" t="n"/>
      <c r="J94" s="37" t="inlineStr">
        <is>
          <t>QUÁ HẠN</t>
        </is>
      </c>
      <c r="K94" s="37" t="inlineStr">
        <is>
          <t>QUÁ HẠN</t>
        </is>
      </c>
      <c r="L94" s="37">
        <f>IF(OR(H94="",J94="Hoàn thành",J94="Đã hủy"),"",IF(H94&lt;TODAY(),"QUÁ HẠN",IF(H94-TODAY()&lt;=THIET_LAP!$B$8,"SẮP HẠN","TRONG HẠN")))</f>
        <v/>
      </c>
      <c r="M94" s="27" t="n"/>
      <c r="N94" s="37" t="inlineStr">
        <is>
          <t>Đã đo chờ trao đổi với khách hàng do giảm diện tích</t>
        </is>
      </c>
    </row>
    <row r="95" ht="15.75" customHeight="1" s="56">
      <c r="A95" s="37" t="inlineStr">
        <is>
          <t>BK-TSK-0092</t>
        </is>
      </c>
      <c r="B95" s="37" t="inlineStr">
        <is>
          <t>BK-HS-0092</t>
        </is>
      </c>
      <c r="C95" s="37" t="inlineStr">
        <is>
          <t>Phòng Đo đạc</t>
        </is>
      </c>
      <c r="D95" s="37" t="inlineStr">
        <is>
          <t>Hoàn công</t>
        </is>
      </c>
      <c r="E95" s="37" t="inlineStr">
        <is>
          <t>Giám đốc</t>
        </is>
      </c>
      <c r="F95" s="37" t="inlineStr">
        <is>
          <t>Lê Văn Dựng</t>
        </is>
      </c>
      <c r="G95" s="27" t="n">
        <v>46037</v>
      </c>
      <c r="H95" s="27" t="n">
        <v>46040</v>
      </c>
      <c r="I95" s="37" t="n"/>
      <c r="J95" s="37" t="inlineStr">
        <is>
          <t>Nộp thành công - Chờ kết quả</t>
        </is>
      </c>
      <c r="K95" s="37" t="inlineStr">
        <is>
          <t>Đã nộp</t>
        </is>
      </c>
      <c r="L95" s="37">
        <f>IF(OR(H95="",J95="Hoàn thành",J95="Đã hủy"),"",IF(H95&lt;TODAY(),"QUÁ HẠN",IF(H95-TODAY()&lt;=THIET_LAP!$B$8,"SẮP HẠN","TRONG HẠN")))</f>
        <v/>
      </c>
      <c r="M95" s="27" t="n"/>
      <c r="N95" s="37" t="n"/>
    </row>
    <row r="96" ht="15.75" customHeight="1" s="56">
      <c r="A96" s="37" t="inlineStr">
        <is>
          <t>BK-TSK-0093</t>
        </is>
      </c>
      <c r="B96" s="37" t="inlineStr">
        <is>
          <t>BK-HS-0093</t>
        </is>
      </c>
      <c r="C96" s="37" t="inlineStr">
        <is>
          <t>Phòng Đo đạc</t>
        </is>
      </c>
      <c r="D96" s="37" t="inlineStr">
        <is>
          <t>Đo GPS</t>
        </is>
      </c>
      <c r="E96" s="37" t="inlineStr">
        <is>
          <t>Giám đốc</t>
        </is>
      </c>
      <c r="F96" s="37" t="inlineStr">
        <is>
          <t>Lê Văn Dựng</t>
        </is>
      </c>
      <c r="G96" s="27" t="n">
        <v>46037</v>
      </c>
      <c r="H96" s="27" t="n">
        <v>46040</v>
      </c>
      <c r="I96" s="37" t="n"/>
      <c r="J96" s="37" t="inlineStr">
        <is>
          <t>Hoàn thành</t>
        </is>
      </c>
      <c r="K96" s="37" t="inlineStr">
        <is>
          <t>Hoàn thành</t>
        </is>
      </c>
      <c r="L96" s="37">
        <f>IF(OR(H96="",J96="Hoàn thành",J96="Đã hủy"),"",IF(H96&lt;TODAY(),"QUÁ HẠN",IF(H96-TODAY()&lt;=THIET_LAP!$B$8,"SẮP HẠN","TRONG HẠN")))</f>
        <v/>
      </c>
      <c r="M96" s="27" t="n">
        <v>46038</v>
      </c>
      <c r="N96" s="37" t="n"/>
    </row>
    <row r="97" ht="15.75" customHeight="1" s="56">
      <c r="A97" s="37" t="inlineStr">
        <is>
          <t>BK-TSK-0094</t>
        </is>
      </c>
      <c r="B97" s="37" t="inlineStr">
        <is>
          <t>BK-HS-0094</t>
        </is>
      </c>
      <c r="C97" s="37" t="inlineStr">
        <is>
          <t>Phòng Đo đạc</t>
        </is>
      </c>
      <c r="D97" s="37" t="inlineStr">
        <is>
          <t>Cấp đổi</t>
        </is>
      </c>
      <c r="E97" s="37" t="inlineStr">
        <is>
          <t>Giám đốc</t>
        </is>
      </c>
      <c r="F97" s="37" t="inlineStr">
        <is>
          <t>Trương Tấn Quốc</t>
        </is>
      </c>
      <c r="G97" s="27" t="n">
        <v>46037</v>
      </c>
      <c r="H97" s="27" t="n">
        <v>46040</v>
      </c>
      <c r="I97" s="37" t="n"/>
      <c r="J97" s="37" t="inlineStr">
        <is>
          <t>Nộp thành công - Chờ kết quả</t>
        </is>
      </c>
      <c r="K97" s="37" t="inlineStr">
        <is>
          <t>Đã nộp</t>
        </is>
      </c>
      <c r="L97" s="37">
        <f>IF(OR(H97="",J97="Hoàn thành",J97="Đã hủy"),"",IF(H97&lt;TODAY(),"QUÁ HẠN",IF(H97-TODAY()&lt;=THIET_LAP!$B$8,"SẮP HẠN","TRONG HẠN")))</f>
        <v/>
      </c>
      <c r="M97" s="27" t="n"/>
      <c r="N97" s="37" t="n"/>
    </row>
    <row r="98" ht="15.75" customHeight="1" s="56">
      <c r="A98" s="37" t="inlineStr">
        <is>
          <t>BK-TSK-0095</t>
        </is>
      </c>
      <c r="B98" s="37" t="inlineStr">
        <is>
          <t>BK-HS-0095</t>
        </is>
      </c>
      <c r="C98" s="37" t="inlineStr">
        <is>
          <t>Phòng Đo đạc</t>
        </is>
      </c>
      <c r="D98" s="37" t="inlineStr">
        <is>
          <t>Điều chỉnh bản vẽ</t>
        </is>
      </c>
      <c r="E98" s="37" t="inlineStr">
        <is>
          <t>Giám đốc</t>
        </is>
      </c>
      <c r="F98" s="37" t="inlineStr">
        <is>
          <t>Trương Tấn Quốc</t>
        </is>
      </c>
      <c r="G98" s="27" t="n">
        <v>46037</v>
      </c>
      <c r="H98" s="27" t="n">
        <v>46040</v>
      </c>
      <c r="I98" s="37" t="n"/>
      <c r="J98" s="37" t="inlineStr">
        <is>
          <t>Hoàn thành</t>
        </is>
      </c>
      <c r="K98" s="37" t="inlineStr">
        <is>
          <t>Hoàn thành</t>
        </is>
      </c>
      <c r="L98" s="37">
        <f>IF(OR(H98="",J98="Hoàn thành",J98="Đã hủy"),"",IF(H98&lt;TODAY(),"QUÁ HẠN",IF(H98-TODAY()&lt;=THIET_LAP!$B$8,"SẮP HẠN","TRONG HẠN")))</f>
        <v/>
      </c>
      <c r="M98" s="27" t="n">
        <v>46064</v>
      </c>
      <c r="N98" s="37" t="inlineStr">
        <is>
          <t>Đợt dịch vụ chốt</t>
        </is>
      </c>
    </row>
    <row r="99" ht="15.75" customHeight="1" s="56">
      <c r="A99" s="37" t="inlineStr">
        <is>
          <t>BK-TSK-0096</t>
        </is>
      </c>
      <c r="B99" s="37" t="inlineStr">
        <is>
          <t>BK-HS-0096</t>
        </is>
      </c>
      <c r="C99" s="37" t="inlineStr">
        <is>
          <t>Phòng Đo đạc</t>
        </is>
      </c>
      <c r="D99" s="37" t="inlineStr">
        <is>
          <t>Điều chỉnh bản vẽ</t>
        </is>
      </c>
      <c r="E99" s="37" t="inlineStr">
        <is>
          <t>Giám đốc</t>
        </is>
      </c>
      <c r="F99" s="37" t="inlineStr">
        <is>
          <t>Trương Tấn Quốc</t>
        </is>
      </c>
      <c r="G99" s="27" t="n">
        <v>46037</v>
      </c>
      <c r="H99" s="27" t="n">
        <v>46040</v>
      </c>
      <c r="I99" s="37" t="n"/>
      <c r="J99" s="37" t="inlineStr">
        <is>
          <t>Hoàn thành</t>
        </is>
      </c>
      <c r="K99" s="37" t="inlineStr">
        <is>
          <t>Hoàn thành</t>
        </is>
      </c>
      <c r="L99" s="37">
        <f>IF(OR(H99="",J99="Hoàn thành",J99="Đã hủy"),"",IF(H99&lt;TODAY(),"QUÁ HẠN",IF(H99-TODAY()&lt;=THIET_LAP!$B$8,"SẮP HẠN","TRONG HẠN")))</f>
        <v/>
      </c>
      <c r="M99" s="27" t="n">
        <v>46064</v>
      </c>
      <c r="N99" s="37" t="inlineStr">
        <is>
          <t>Đợi dịch vụ chốt</t>
        </is>
      </c>
    </row>
    <row r="100" ht="15.75" customHeight="1" s="56">
      <c r="A100" s="37" t="inlineStr">
        <is>
          <t>BK-TSK-0097</t>
        </is>
      </c>
      <c r="B100" s="37" t="inlineStr">
        <is>
          <t>BK-HS-0097</t>
        </is>
      </c>
      <c r="C100" s="37" t="inlineStr">
        <is>
          <t>Phòng Đo đạc</t>
        </is>
      </c>
      <c r="D100" s="37" t="inlineStr">
        <is>
          <t>Hoàn công</t>
        </is>
      </c>
      <c r="E100" s="37" t="inlineStr">
        <is>
          <t>Giám đốc</t>
        </is>
      </c>
      <c r="F100" s="37" t="inlineStr">
        <is>
          <t>Trương Tấn Quốc</t>
        </is>
      </c>
      <c r="G100" s="27" t="n">
        <v>46037</v>
      </c>
      <c r="H100" s="27" t="n">
        <v>46040</v>
      </c>
      <c r="I100" s="37" t="n"/>
      <c r="J100" s="37" t="inlineStr">
        <is>
          <t>Hoàn thành</t>
        </is>
      </c>
      <c r="K100" s="37" t="inlineStr">
        <is>
          <t>Hoàn thành</t>
        </is>
      </c>
      <c r="L100" s="37">
        <f>IF(OR(H100="",J100="Hoàn thành",J100="Đã hủy"),"",IF(H100&lt;TODAY(),"QUÁ HẠN",IF(H100-TODAY()&lt;=THIET_LAP!$B$8,"SẮP HẠN","TRONG HẠN")))</f>
        <v/>
      </c>
      <c r="M100" s="27" t="n">
        <v>46059</v>
      </c>
      <c r="N100" s="37" t="inlineStr">
        <is>
          <t>Đợi sửa chửa đúng hiện trạng | Đã xử lý, đợi hoàn thành công trình</t>
        </is>
      </c>
    </row>
    <row r="101" ht="15.75" customHeight="1" s="56">
      <c r="A101" s="37" t="inlineStr">
        <is>
          <t>BK-TSK-0098</t>
        </is>
      </c>
      <c r="B101" s="37" t="inlineStr">
        <is>
          <t>BK-HS-0098</t>
        </is>
      </c>
      <c r="C101" s="37" t="inlineStr">
        <is>
          <t>Phòng Đo đạc</t>
        </is>
      </c>
      <c r="D101" s="37" t="inlineStr">
        <is>
          <t>Hoàn công</t>
        </is>
      </c>
      <c r="E101" s="37" t="inlineStr">
        <is>
          <t>Giám đốc</t>
        </is>
      </c>
      <c r="F101" s="37" t="inlineStr">
        <is>
          <t>Trương Tấn Quốc</t>
        </is>
      </c>
      <c r="G101" s="27" t="n">
        <v>46037</v>
      </c>
      <c r="H101" s="27" t="n">
        <v>46040</v>
      </c>
      <c r="I101" s="37" t="n"/>
      <c r="J101" s="37" t="inlineStr">
        <is>
          <t>Nộp thành công - Chờ kết quả</t>
        </is>
      </c>
      <c r="K101" s="37" t="inlineStr">
        <is>
          <t>Đã nộp</t>
        </is>
      </c>
      <c r="L101" s="37">
        <f>IF(OR(H101="",J101="Hoàn thành",J101="Đã hủy"),"",IF(H101&lt;TODAY(),"QUÁ HẠN",IF(H101-TODAY()&lt;=THIET_LAP!$B$8,"SẮP HẠN","TRONG HẠN")))</f>
        <v/>
      </c>
      <c r="M101" s="27" t="n"/>
      <c r="N101" s="37" t="inlineStr">
        <is>
          <t>Đang hoàn thiện công trình | Đã xử lý, đợi hoàn thành công trình</t>
        </is>
      </c>
    </row>
    <row r="102" ht="15.75" customHeight="1" s="56">
      <c r="A102" s="37" t="inlineStr">
        <is>
          <t>BK-TSK-0099</t>
        </is>
      </c>
      <c r="B102" s="37" t="inlineStr">
        <is>
          <t>BK-HS-0099</t>
        </is>
      </c>
      <c r="C102" s="37" t="inlineStr">
        <is>
          <t>Phòng Đo đạc</t>
        </is>
      </c>
      <c r="D102" s="37" t="inlineStr">
        <is>
          <t>Cắm mốc</t>
        </is>
      </c>
      <c r="E102" s="37" t="inlineStr">
        <is>
          <t>Giám đốc</t>
        </is>
      </c>
      <c r="F102" s="37" t="inlineStr">
        <is>
          <t>Lê Văn Dựng</t>
        </is>
      </c>
      <c r="G102" s="27" t="n">
        <v>46036</v>
      </c>
      <c r="H102" s="27" t="n">
        <v>46039</v>
      </c>
      <c r="I102" s="37" t="n"/>
      <c r="J102" s="37" t="inlineStr">
        <is>
          <t>Hoàn thành</t>
        </is>
      </c>
      <c r="K102" s="37" t="inlineStr">
        <is>
          <t>Hoàn thành</t>
        </is>
      </c>
      <c r="L102" s="37">
        <f>IF(OR(H102="",J102="Hoàn thành",J102="Đã hủy"),"",IF(H102&lt;TODAY(),"QUÁ HẠN",IF(H102-TODAY()&lt;=THIET_LAP!$B$8,"SẮP HẠN","TRONG HẠN")))</f>
        <v/>
      </c>
      <c r="M102" s="27" t="n">
        <v>46036</v>
      </c>
      <c r="N102" s="37" t="n"/>
    </row>
    <row r="103" ht="15.75" customHeight="1" s="56">
      <c r="A103" s="37" t="inlineStr">
        <is>
          <t>BK-TSK-0100</t>
        </is>
      </c>
      <c r="B103" s="37" t="inlineStr">
        <is>
          <t>BK-HS-0100</t>
        </is>
      </c>
      <c r="C103" s="37" t="inlineStr">
        <is>
          <t>Phòng Đo đạc</t>
        </is>
      </c>
      <c r="D103" s="37" t="inlineStr">
        <is>
          <t>Hoàn công</t>
        </is>
      </c>
      <c r="E103" s="37" t="inlineStr">
        <is>
          <t>Giám đốc</t>
        </is>
      </c>
      <c r="F103" s="37" t="inlineStr">
        <is>
          <t>Tạ Khắc Tập</t>
        </is>
      </c>
      <c r="G103" s="27" t="n">
        <v>46036</v>
      </c>
      <c r="H103" s="27" t="n">
        <v>46039</v>
      </c>
      <c r="I103" s="37" t="n"/>
      <c r="J103" s="37" t="inlineStr">
        <is>
          <t>QUÁ HẠN</t>
        </is>
      </c>
      <c r="K103" s="37" t="inlineStr">
        <is>
          <t>QUÁ HẠN</t>
        </is>
      </c>
      <c r="L103" s="37">
        <f>IF(OR(H103="",J103="Hoàn thành",J103="Đã hủy"),"",IF(H103&lt;TODAY(),"QUÁ HẠN",IF(H103-TODAY()&lt;=THIET_LAP!$B$8,"SẮP HẠN","TRONG HẠN")))</f>
        <v/>
      </c>
      <c r="M103" s="27" t="n"/>
      <c r="N103" s="37" t="n"/>
    </row>
    <row r="104" ht="15.75" customHeight="1" s="56">
      <c r="A104" s="37" t="inlineStr">
        <is>
          <t>BK-TSK-0101</t>
        </is>
      </c>
      <c r="B104" s="37" t="inlineStr">
        <is>
          <t>BK-HS-0101</t>
        </is>
      </c>
      <c r="C104" s="37" t="inlineStr">
        <is>
          <t>Phòng Đo đạc</t>
        </is>
      </c>
      <c r="D104" s="37" t="inlineStr">
        <is>
          <t>Hoàn công</t>
        </is>
      </c>
      <c r="E104" s="37" t="inlineStr">
        <is>
          <t>Giám đốc</t>
        </is>
      </c>
      <c r="F104" s="37" t="inlineStr">
        <is>
          <t>Tạ Khắc Tập</t>
        </is>
      </c>
      <c r="G104" s="27" t="n">
        <v>46036</v>
      </c>
      <c r="H104" s="27" t="n">
        <v>46039</v>
      </c>
      <c r="I104" s="37" t="n"/>
      <c r="J104" s="37" t="inlineStr">
        <is>
          <t>Hoàn thành</t>
        </is>
      </c>
      <c r="K104" s="37" t="inlineStr">
        <is>
          <t>Hoàn thành</t>
        </is>
      </c>
      <c r="L104" s="37">
        <f>IF(OR(H104="",J104="Hoàn thành",J104="Đã hủy"),"",IF(H104&lt;TODAY(),"QUÁ HẠN",IF(H104-TODAY()&lt;=THIET_LAP!$B$8,"SẮP HẠN","TRONG HẠN")))</f>
        <v/>
      </c>
      <c r="M104" s="27" t="n">
        <v>46059</v>
      </c>
      <c r="N104" s="37" t="n"/>
    </row>
    <row r="105" ht="15.75" customHeight="1" s="56">
      <c r="A105" s="37" t="inlineStr">
        <is>
          <t>BK-TSK-0102</t>
        </is>
      </c>
      <c r="B105" s="37" t="inlineStr">
        <is>
          <t>BK-HS-0102</t>
        </is>
      </c>
      <c r="C105" s="37" t="inlineStr">
        <is>
          <t>Phòng Đo đạc</t>
        </is>
      </c>
      <c r="D105" s="37" t="inlineStr">
        <is>
          <t>Hoàn công</t>
        </is>
      </c>
      <c r="E105" s="37" t="inlineStr">
        <is>
          <t>Giám đốc</t>
        </is>
      </c>
      <c r="F105" s="37" t="inlineStr">
        <is>
          <t>Tạ Khắc Tập</t>
        </is>
      </c>
      <c r="G105" s="27" t="n">
        <v>46036</v>
      </c>
      <c r="H105" s="27" t="n">
        <v>46039</v>
      </c>
      <c r="I105" s="37" t="n"/>
      <c r="J105" s="37" t="inlineStr">
        <is>
          <t>Nộp thành công - Chờ kết quả</t>
        </is>
      </c>
      <c r="K105" s="37" t="inlineStr">
        <is>
          <t>Đã nộp</t>
        </is>
      </c>
      <c r="L105" s="37">
        <f>IF(OR(H105="",J105="Hoàn thành",J105="Đã hủy"),"",IF(H105&lt;TODAY(),"QUÁ HẠN",IF(H105-TODAY()&lt;=THIET_LAP!$B$8,"SẮP HẠN","TRONG HẠN")))</f>
        <v/>
      </c>
      <c r="M105" s="27" t="n"/>
      <c r="N105" s="37" t="n"/>
    </row>
    <row r="106" ht="15.75" customHeight="1" s="56">
      <c r="A106" s="37" t="inlineStr">
        <is>
          <t>BK-TSK-0103</t>
        </is>
      </c>
      <c r="B106" s="37" t="inlineStr">
        <is>
          <t>BK-HS-0103</t>
        </is>
      </c>
      <c r="C106" s="37" t="inlineStr">
        <is>
          <t>Phòng Đo đạc</t>
        </is>
      </c>
      <c r="D106" s="37" t="inlineStr">
        <is>
          <t>Cắm mốc</t>
        </is>
      </c>
      <c r="E106" s="37" t="inlineStr">
        <is>
          <t>Giám đốc</t>
        </is>
      </c>
      <c r="F106" s="37" t="inlineStr">
        <is>
          <t>Tạ Khắc Tập</t>
        </is>
      </c>
      <c r="G106" s="27" t="n">
        <v>46036</v>
      </c>
      <c r="H106" s="27" t="n">
        <v>46039</v>
      </c>
      <c r="I106" s="37" t="n"/>
      <c r="J106" s="37" t="inlineStr">
        <is>
          <t>Hoàn thành</t>
        </is>
      </c>
      <c r="K106" s="37" t="inlineStr">
        <is>
          <t>Hoàn thành</t>
        </is>
      </c>
      <c r="L106" s="37">
        <f>IF(OR(H106="",J106="Hoàn thành",J106="Đã hủy"),"",IF(H106&lt;TODAY(),"QUÁ HẠN",IF(H106-TODAY()&lt;=THIET_LAP!$B$8,"SẮP HẠN","TRONG HẠN")))</f>
        <v/>
      </c>
      <c r="M106" s="27" t="n">
        <v>46035</v>
      </c>
      <c r="N106" s="37" t="n"/>
    </row>
    <row r="107" ht="15.75" customHeight="1" s="56">
      <c r="A107" s="37" t="inlineStr">
        <is>
          <t>BK-TSK-0104</t>
        </is>
      </c>
      <c r="B107" s="37" t="inlineStr">
        <is>
          <t>BK-HS-0104</t>
        </is>
      </c>
      <c r="C107" s="37" t="inlineStr">
        <is>
          <t>Phòng Đo đạc</t>
        </is>
      </c>
      <c r="D107" s="37" t="inlineStr">
        <is>
          <t>Xác định diện tích</t>
        </is>
      </c>
      <c r="E107" s="37" t="inlineStr">
        <is>
          <t>Giám đốc</t>
        </is>
      </c>
      <c r="F107" s="37" t="inlineStr">
        <is>
          <t>Lê Văn Dựng</t>
        </is>
      </c>
      <c r="G107" s="27" t="n">
        <v>46035</v>
      </c>
      <c r="H107" s="27" t="n">
        <v>46038</v>
      </c>
      <c r="I107" s="37" t="n"/>
      <c r="J107" s="37" t="inlineStr">
        <is>
          <t>Hoàn thành</t>
        </is>
      </c>
      <c r="K107" s="37" t="inlineStr">
        <is>
          <t>Hoàn thành</t>
        </is>
      </c>
      <c r="L107" s="37">
        <f>IF(OR(H107="",J107="Hoàn thành",J107="Đã hủy"),"",IF(H107&lt;TODAY(),"QUÁ HẠN",IF(H107-TODAY()&lt;=THIET_LAP!$B$8,"SẮP HẠN","TRONG HẠN")))</f>
        <v/>
      </c>
      <c r="M107" s="27" t="n">
        <v>46035</v>
      </c>
      <c r="N107" s="37" t="n"/>
    </row>
    <row r="108" ht="15.75" customHeight="1" s="56">
      <c r="A108" s="37" t="inlineStr">
        <is>
          <t>BK-TSK-0105</t>
        </is>
      </c>
      <c r="B108" s="37" t="inlineStr">
        <is>
          <t>BK-HS-0105</t>
        </is>
      </c>
      <c r="C108" s="37" t="inlineStr">
        <is>
          <t>Phòng Đo đạc</t>
        </is>
      </c>
      <c r="D108" s="37" t="inlineStr">
        <is>
          <t>Đo GPS</t>
        </is>
      </c>
      <c r="E108" s="37" t="inlineStr">
        <is>
          <t>Giám đốc</t>
        </is>
      </c>
      <c r="F108" s="37" t="inlineStr">
        <is>
          <t>Lê Văn Dựng</t>
        </is>
      </c>
      <c r="G108" s="27" t="n">
        <v>46035</v>
      </c>
      <c r="H108" s="27" t="n">
        <v>46038</v>
      </c>
      <c r="I108" s="37" t="n"/>
      <c r="J108" s="37" t="inlineStr">
        <is>
          <t>Hoàn thành</t>
        </is>
      </c>
      <c r="K108" s="37" t="inlineStr">
        <is>
          <t>Hoàn thành</t>
        </is>
      </c>
      <c r="L108" s="37">
        <f>IF(OR(H108="",J108="Hoàn thành",J108="Đã hủy"),"",IF(H108&lt;TODAY(),"QUÁ HẠN",IF(H108-TODAY()&lt;=THIET_LAP!$B$8,"SẮP HẠN","TRONG HẠN")))</f>
        <v/>
      </c>
      <c r="M108" s="27" t="n">
        <v>46035</v>
      </c>
      <c r="N108" s="37" t="n"/>
    </row>
    <row r="109" ht="15.75" customHeight="1" s="56">
      <c r="A109" s="37" t="inlineStr">
        <is>
          <t>BK-TSK-0106</t>
        </is>
      </c>
      <c r="B109" s="37" t="inlineStr">
        <is>
          <t>BK-HS-0106</t>
        </is>
      </c>
      <c r="C109" s="37" t="inlineStr">
        <is>
          <t>Phòng Đo đạc</t>
        </is>
      </c>
      <c r="D109" s="37" t="inlineStr">
        <is>
          <t>Hoàn công</t>
        </is>
      </c>
      <c r="E109" s="37" t="inlineStr">
        <is>
          <t>Giám đốc</t>
        </is>
      </c>
      <c r="F109" s="37" t="inlineStr">
        <is>
          <t>Lê Văn Xây</t>
        </is>
      </c>
      <c r="G109" s="27" t="n">
        <v>46034</v>
      </c>
      <c r="H109" s="27" t="n">
        <v>46037</v>
      </c>
      <c r="I109" s="37" t="n"/>
      <c r="J109" s="37" t="inlineStr">
        <is>
          <t>Hoàn thành</t>
        </is>
      </c>
      <c r="K109" s="37" t="inlineStr">
        <is>
          <t>Hoàn thành</t>
        </is>
      </c>
      <c r="L109" s="37">
        <f>IF(OR(H109="",J109="Hoàn thành",J109="Đã hủy"),"",IF(H109&lt;TODAY(),"QUÁ HẠN",IF(H109-TODAY()&lt;=THIET_LAP!$B$8,"SẮP HẠN","TRONG HẠN")))</f>
        <v/>
      </c>
      <c r="M109" s="27" t="n">
        <v>46079</v>
      </c>
      <c r="N109" s="37" t="n"/>
    </row>
    <row r="110" ht="15.75" customHeight="1" s="56">
      <c r="A110" s="37" t="inlineStr">
        <is>
          <t>BK-TSK-0107</t>
        </is>
      </c>
      <c r="B110" s="37" t="inlineStr">
        <is>
          <t>BK-HS-0107</t>
        </is>
      </c>
      <c r="C110" s="37" t="inlineStr">
        <is>
          <t>Phòng Đo đạc</t>
        </is>
      </c>
      <c r="D110" s="37" t="inlineStr">
        <is>
          <t>Cắm mốc</t>
        </is>
      </c>
      <c r="E110" s="37" t="inlineStr">
        <is>
          <t>Giám đốc</t>
        </is>
      </c>
      <c r="F110" s="37" t="inlineStr">
        <is>
          <t>Lê Văn Dựng</t>
        </is>
      </c>
      <c r="G110" s="27" t="n">
        <v>46034</v>
      </c>
      <c r="H110" s="27" t="n">
        <v>46037</v>
      </c>
      <c r="I110" s="37" t="n"/>
      <c r="J110" s="37" t="inlineStr">
        <is>
          <t>Hoàn thành</t>
        </is>
      </c>
      <c r="K110" s="37" t="inlineStr">
        <is>
          <t>Hoàn thành</t>
        </is>
      </c>
      <c r="L110" s="37">
        <f>IF(OR(H110="",J110="Hoàn thành",J110="Đã hủy"),"",IF(H110&lt;TODAY(),"QUÁ HẠN",IF(H110-TODAY()&lt;=THIET_LAP!$B$8,"SẮP HẠN","TRONG HẠN")))</f>
        <v/>
      </c>
      <c r="M110" s="27" t="n">
        <v>46032</v>
      </c>
      <c r="N110" s="37" t="n"/>
    </row>
    <row r="111" ht="15.75" customHeight="1" s="56">
      <c r="A111" s="37" t="inlineStr">
        <is>
          <t>BK-TSK-0108</t>
        </is>
      </c>
      <c r="B111" s="37" t="inlineStr">
        <is>
          <t>BK-HS-0108</t>
        </is>
      </c>
      <c r="C111" s="37" t="inlineStr">
        <is>
          <t>Phòng Đo đạc</t>
        </is>
      </c>
      <c r="D111" s="37" t="inlineStr">
        <is>
          <t>Cấp đổi</t>
        </is>
      </c>
      <c r="E111" s="37" t="inlineStr">
        <is>
          <t>Giám đốc</t>
        </is>
      </c>
      <c r="F111" s="37" t="inlineStr">
        <is>
          <t>Lê Văn Xây</t>
        </is>
      </c>
      <c r="G111" s="27" t="n">
        <v>46031</v>
      </c>
      <c r="H111" s="27" t="n">
        <v>46034</v>
      </c>
      <c r="I111" s="37" t="n"/>
      <c r="J111" s="37" t="inlineStr">
        <is>
          <t>Hoàn thành</t>
        </is>
      </c>
      <c r="K111" s="37" t="inlineStr">
        <is>
          <t>Hoàn thành</t>
        </is>
      </c>
      <c r="L111" s="37">
        <f>IF(OR(H111="",J111="Hoàn thành",J111="Đã hủy"),"",IF(H111&lt;TODAY(),"QUÁ HẠN",IF(H111-TODAY()&lt;=THIET_LAP!$B$8,"SẮP HẠN","TRONG HẠN")))</f>
        <v/>
      </c>
      <c r="M111" s="27" t="n">
        <v>46053</v>
      </c>
      <c r="N111" s="37" t="n"/>
    </row>
    <row r="112" ht="15.75" customHeight="1" s="56">
      <c r="A112" s="37" t="inlineStr">
        <is>
          <t>BK-TSK-0109</t>
        </is>
      </c>
      <c r="B112" s="37" t="inlineStr">
        <is>
          <t>BK-HS-0109</t>
        </is>
      </c>
      <c r="C112" s="37" t="inlineStr">
        <is>
          <t>Phòng Đo đạc</t>
        </is>
      </c>
      <c r="D112" s="37" t="inlineStr">
        <is>
          <t>Cấp đổi</t>
        </is>
      </c>
      <c r="E112" s="37" t="inlineStr">
        <is>
          <t>Giám đốc</t>
        </is>
      </c>
      <c r="F112" s="37" t="inlineStr">
        <is>
          <t>Lê Văn Dựng</t>
        </is>
      </c>
      <c r="G112" s="27" t="n">
        <v>46031</v>
      </c>
      <c r="H112" s="27" t="n">
        <v>46034</v>
      </c>
      <c r="I112" s="37" t="n"/>
      <c r="J112" s="37" t="inlineStr">
        <is>
          <t>Hủy</t>
        </is>
      </c>
      <c r="K112" s="37" t="inlineStr">
        <is>
          <t>ĐÃ HỦY</t>
        </is>
      </c>
      <c r="L112" s="37">
        <f>IF(OR(H112="",J112="Hoàn thành",J112="Đã hủy"),"",IF(H112&lt;TODAY(),"QUÁ HẠN",IF(H112-TODAY()&lt;=THIET_LAP!$B$8,"SẮP HẠN","TRONG HẠN")))</f>
        <v/>
      </c>
      <c r="M112" s="27" t="n"/>
      <c r="N112" s="37" t="n"/>
    </row>
    <row r="113" ht="15.75" customHeight="1" s="56">
      <c r="A113" s="37" t="inlineStr">
        <is>
          <t>BK-TSK-0110</t>
        </is>
      </c>
      <c r="B113" s="37" t="inlineStr">
        <is>
          <t>BK-HS-0110</t>
        </is>
      </c>
      <c r="C113" s="37" t="inlineStr">
        <is>
          <t>Phòng Đo đạc</t>
        </is>
      </c>
      <c r="D113" s="37" t="inlineStr">
        <is>
          <t>Cắm mốc</t>
        </is>
      </c>
      <c r="E113" s="37" t="inlineStr">
        <is>
          <t>Giám đốc</t>
        </is>
      </c>
      <c r="F113" s="37" t="inlineStr">
        <is>
          <t>Lê Văn Dựng</t>
        </is>
      </c>
      <c r="G113" s="27" t="n">
        <v>46031</v>
      </c>
      <c r="H113" s="27" t="n">
        <v>46034</v>
      </c>
      <c r="I113" s="37" t="n"/>
      <c r="J113" s="37" t="inlineStr">
        <is>
          <t>Hoàn thành</t>
        </is>
      </c>
      <c r="K113" s="37" t="inlineStr">
        <is>
          <t>Hoàn thành</t>
        </is>
      </c>
      <c r="L113" s="37">
        <f>IF(OR(H113="",J113="Hoàn thành",J113="Đã hủy"),"",IF(H113&lt;TODAY(),"QUÁ HẠN",IF(H113-TODAY()&lt;=THIET_LAP!$B$8,"SẮP HẠN","TRONG HẠN")))</f>
        <v/>
      </c>
      <c r="M113" s="27" t="n">
        <v>46031</v>
      </c>
      <c r="N113" s="37" t="inlineStr">
        <is>
          <t>khách hàng yêu cầu chôn 4 trụ xi măng (hiện trạng thực tế chỉ chôn được 2 trụ sau)</t>
        </is>
      </c>
    </row>
    <row r="114" ht="15.75" customHeight="1" s="56">
      <c r="A114" s="37" t="inlineStr">
        <is>
          <t>BK-TSK-0111</t>
        </is>
      </c>
      <c r="B114" s="37" t="inlineStr">
        <is>
          <t>BK-HS-0111</t>
        </is>
      </c>
      <c r="C114" s="37" t="inlineStr">
        <is>
          <t>Phòng Đo đạc</t>
        </is>
      </c>
      <c r="D114" s="37" t="inlineStr">
        <is>
          <t>Cắm mốc</t>
        </is>
      </c>
      <c r="E114" s="37" t="inlineStr">
        <is>
          <t>Giám đốc</t>
        </is>
      </c>
      <c r="F114" s="37" t="inlineStr">
        <is>
          <t>Lê Văn Dựng</t>
        </is>
      </c>
      <c r="G114" s="27" t="n">
        <v>46031</v>
      </c>
      <c r="H114" s="27" t="n">
        <v>46034</v>
      </c>
      <c r="I114" s="37" t="n"/>
      <c r="J114" s="37" t="inlineStr">
        <is>
          <t>Hoàn thành</t>
        </is>
      </c>
      <c r="K114" s="37" t="inlineStr">
        <is>
          <t>Hoàn thành</t>
        </is>
      </c>
      <c r="L114" s="37">
        <f>IF(OR(H114="",J114="Hoàn thành",J114="Đã hủy"),"",IF(H114&lt;TODAY(),"QUÁ HẠN",IF(H114-TODAY()&lt;=THIET_LAP!$B$8,"SẮP HẠN","TRONG HẠN")))</f>
        <v/>
      </c>
      <c r="M114" s="27" t="n">
        <v>46031</v>
      </c>
      <c r="N114" s="37" t="n"/>
    </row>
    <row r="115" ht="15.75" customHeight="1" s="56">
      <c r="A115" s="37" t="inlineStr">
        <is>
          <t>BK-TSK-0112</t>
        </is>
      </c>
      <c r="B115" s="37" t="inlineStr">
        <is>
          <t>BK-HS-0112</t>
        </is>
      </c>
      <c r="C115" s="37" t="inlineStr">
        <is>
          <t>Phòng Đo đạc</t>
        </is>
      </c>
      <c r="D115" s="37" t="inlineStr">
        <is>
          <t>Kiểm tra hiện trạng</t>
        </is>
      </c>
      <c r="E115" s="37" t="inlineStr">
        <is>
          <t>Giám đốc</t>
        </is>
      </c>
      <c r="F115" s="37" t="inlineStr">
        <is>
          <t>Tạ Khắc Tập</t>
        </is>
      </c>
      <c r="G115" s="27" t="n">
        <v>46031</v>
      </c>
      <c r="H115" s="27" t="n">
        <v>46034</v>
      </c>
      <c r="I115" s="37" t="n"/>
      <c r="J115" s="37" t="inlineStr">
        <is>
          <t>Hoàn thành</t>
        </is>
      </c>
      <c r="K115" s="37" t="inlineStr">
        <is>
          <t>Hoàn thành</t>
        </is>
      </c>
      <c r="L115" s="37">
        <f>IF(OR(H115="",J115="Hoàn thành",J115="Đã hủy"),"",IF(H115&lt;TODAY(),"QUÁ HẠN",IF(H115-TODAY()&lt;=THIET_LAP!$B$8,"SẮP HẠN","TRONG HẠN")))</f>
        <v/>
      </c>
      <c r="M115" s="27" t="n">
        <v>46031</v>
      </c>
      <c r="N115" s="37" t="n"/>
    </row>
    <row r="116" ht="15.75" customHeight="1" s="56">
      <c r="A116" s="37" t="inlineStr">
        <is>
          <t>BK-TSK-0113</t>
        </is>
      </c>
      <c r="B116" s="37" t="inlineStr">
        <is>
          <t>BK-HS-0113</t>
        </is>
      </c>
      <c r="C116" s="37" t="inlineStr">
        <is>
          <t>Phòng Đo đạc</t>
        </is>
      </c>
      <c r="D116" s="37" t="inlineStr">
        <is>
          <t>Kiểm tra hiện trạng</t>
        </is>
      </c>
      <c r="E116" s="37" t="inlineStr">
        <is>
          <t>Giám đốc</t>
        </is>
      </c>
      <c r="F116" s="37" t="inlineStr">
        <is>
          <t>Tạ Khắc Tập</t>
        </is>
      </c>
      <c r="G116" s="27" t="n">
        <v>46031</v>
      </c>
      <c r="H116" s="27" t="n">
        <v>46034</v>
      </c>
      <c r="I116" s="37" t="n"/>
      <c r="J116" s="37" t="inlineStr">
        <is>
          <t>Hoàn thành</t>
        </is>
      </c>
      <c r="K116" s="37" t="inlineStr">
        <is>
          <t>Hoàn thành</t>
        </is>
      </c>
      <c r="L116" s="37">
        <f>IF(OR(H116="",J116="Hoàn thành",J116="Đã hủy"),"",IF(H116&lt;TODAY(),"QUÁ HẠN",IF(H116-TODAY()&lt;=THIET_LAP!$B$8,"SẮP HẠN","TRONG HẠN")))</f>
        <v/>
      </c>
      <c r="M116" s="27" t="n">
        <v>46031</v>
      </c>
      <c r="N116" s="37" t="n"/>
    </row>
    <row r="117" ht="15.75" customHeight="1" s="56">
      <c r="A117" s="37" t="inlineStr">
        <is>
          <t>BK-TSK-0114</t>
        </is>
      </c>
      <c r="B117" s="37" t="inlineStr">
        <is>
          <t>BK-HS-0114</t>
        </is>
      </c>
      <c r="C117" s="37" t="inlineStr">
        <is>
          <t>Phòng Đo đạc</t>
        </is>
      </c>
      <c r="D117" s="37" t="inlineStr">
        <is>
          <t>Hoàn công</t>
        </is>
      </c>
      <c r="E117" s="37" t="inlineStr">
        <is>
          <t>Giám đốc</t>
        </is>
      </c>
      <c r="F117" s="37" t="inlineStr">
        <is>
          <t>Lê Văn Xây</t>
        </is>
      </c>
      <c r="G117" s="27" t="n">
        <v>46030</v>
      </c>
      <c r="H117" s="27" t="n">
        <v>46033</v>
      </c>
      <c r="I117" s="37" t="n"/>
      <c r="J117" s="37" t="inlineStr">
        <is>
          <t>Hoàn thành</t>
        </is>
      </c>
      <c r="K117" s="37" t="inlineStr">
        <is>
          <t>Hoàn thành</t>
        </is>
      </c>
      <c r="L117" s="37">
        <f>IF(OR(H117="",J117="Hoàn thành",J117="Đã hủy"),"",IF(H117&lt;TODAY(),"QUÁ HẠN",IF(H117-TODAY()&lt;=THIET_LAP!$B$8,"SẮP HẠN","TRONG HẠN")))</f>
        <v/>
      </c>
      <c r="M117" s="27" t="n">
        <v>46042</v>
      </c>
      <c r="N117" s="37" t="n"/>
    </row>
    <row r="118" ht="15.75" customHeight="1" s="56">
      <c r="A118" s="37" t="inlineStr">
        <is>
          <t>BK-TSK-0115</t>
        </is>
      </c>
      <c r="B118" s="37" t="inlineStr">
        <is>
          <t>BK-HS-0115</t>
        </is>
      </c>
      <c r="C118" s="37" t="inlineStr">
        <is>
          <t>Phòng Đo đạc</t>
        </is>
      </c>
      <c r="D118" s="37" t="inlineStr">
        <is>
          <t>Cấp đổi</t>
        </is>
      </c>
      <c r="E118" s="37" t="inlineStr">
        <is>
          <t>Giám đốc</t>
        </is>
      </c>
      <c r="F118" s="37" t="inlineStr">
        <is>
          <t>Lê Văn Xây</t>
        </is>
      </c>
      <c r="G118" s="27" t="n">
        <v>46030</v>
      </c>
      <c r="H118" s="27" t="n">
        <v>46033</v>
      </c>
      <c r="I118" s="37" t="n"/>
      <c r="J118" s="37" t="inlineStr">
        <is>
          <t>Hoàn thành</t>
        </is>
      </c>
      <c r="K118" s="37" t="inlineStr">
        <is>
          <t>Hoàn thành</t>
        </is>
      </c>
      <c r="L118" s="37">
        <f>IF(OR(H118="",J118="Hoàn thành",J118="Đã hủy"),"",IF(H118&lt;TODAY(),"QUÁ HẠN",IF(H118-TODAY()&lt;=THIET_LAP!$B$8,"SẮP HẠN","TRONG HẠN")))</f>
        <v/>
      </c>
      <c r="M118" s="27" t="n">
        <v>46037</v>
      </c>
      <c r="N118" s="37" t="n"/>
    </row>
    <row r="119" ht="15.75" customHeight="1" s="56">
      <c r="A119" s="37" t="inlineStr">
        <is>
          <t>BK-TSK-0116</t>
        </is>
      </c>
      <c r="B119" s="37" t="inlineStr">
        <is>
          <t>BK-HS-0116</t>
        </is>
      </c>
      <c r="C119" s="37" t="inlineStr">
        <is>
          <t>Phòng Đo đạc</t>
        </is>
      </c>
      <c r="D119" s="37" t="inlineStr">
        <is>
          <t>Kiểm tra hiện trạng</t>
        </is>
      </c>
      <c r="E119" s="37" t="inlineStr">
        <is>
          <t>Giám đốc</t>
        </is>
      </c>
      <c r="F119" s="37" t="inlineStr">
        <is>
          <t>Lê Văn Dựng</t>
        </is>
      </c>
      <c r="G119" s="27" t="n">
        <v>46030</v>
      </c>
      <c r="H119" s="27" t="n">
        <v>46033</v>
      </c>
      <c r="I119" s="37" t="n"/>
      <c r="J119" s="37" t="inlineStr">
        <is>
          <t>Hoàn thành</t>
        </is>
      </c>
      <c r="K119" s="37" t="inlineStr">
        <is>
          <t>Hoàn thành</t>
        </is>
      </c>
      <c r="L119" s="37">
        <f>IF(OR(H119="",J119="Hoàn thành",J119="Đã hủy"),"",IF(H119&lt;TODAY(),"QUÁ HẠN",IF(H119-TODAY()&lt;=THIET_LAP!$B$8,"SẮP HẠN","TRONG HẠN")))</f>
        <v/>
      </c>
      <c r="M119" s="27" t="n">
        <v>46031</v>
      </c>
      <c r="N119" s="37" t="n"/>
    </row>
    <row r="120" ht="15.75" customHeight="1" s="56">
      <c r="A120" s="37" t="inlineStr">
        <is>
          <t>BK-TSK-0117</t>
        </is>
      </c>
      <c r="B120" s="37" t="inlineStr">
        <is>
          <t>BK-HS-0117</t>
        </is>
      </c>
      <c r="C120" s="37" t="inlineStr">
        <is>
          <t>Phòng Đo đạc</t>
        </is>
      </c>
      <c r="D120" s="37" t="inlineStr">
        <is>
          <t>Đo GPS</t>
        </is>
      </c>
      <c r="E120" s="37" t="inlineStr">
        <is>
          <t>Giám đốc</t>
        </is>
      </c>
      <c r="F120" s="37" t="inlineStr">
        <is>
          <t>Lê Văn Dựng</t>
        </is>
      </c>
      <c r="G120" s="27" t="n">
        <v>46030</v>
      </c>
      <c r="H120" s="27" t="n">
        <v>46033</v>
      </c>
      <c r="I120" s="37" t="n"/>
      <c r="J120" s="37" t="inlineStr">
        <is>
          <t>Hoàn thành</t>
        </is>
      </c>
      <c r="K120" s="37" t="inlineStr">
        <is>
          <t>Hoàn thành</t>
        </is>
      </c>
      <c r="L120" s="37">
        <f>IF(OR(H120="",J120="Hoàn thành",J120="Đã hủy"),"",IF(H120&lt;TODAY(),"QUÁ HẠN",IF(H120-TODAY()&lt;=THIET_LAP!$B$8,"SẮP HẠN","TRONG HẠN")))</f>
        <v/>
      </c>
      <c r="M120" s="27" t="n">
        <v>46030</v>
      </c>
      <c r="N120" s="37" t="n"/>
    </row>
    <row r="121" ht="15.75" customHeight="1" s="56">
      <c r="A121" s="37" t="inlineStr">
        <is>
          <t>BK-TSK-0118</t>
        </is>
      </c>
      <c r="B121" s="37" t="inlineStr">
        <is>
          <t>BK-HS-0118</t>
        </is>
      </c>
      <c r="C121" s="37" t="inlineStr">
        <is>
          <t>Phòng Đo đạc</t>
        </is>
      </c>
      <c r="D121" s="37" t="inlineStr">
        <is>
          <t>Cấp đổi</t>
        </is>
      </c>
      <c r="E121" s="37" t="inlineStr">
        <is>
          <t>Giám đốc</t>
        </is>
      </c>
      <c r="F121" s="37" t="inlineStr">
        <is>
          <t>Lê Văn Dựng</t>
        </is>
      </c>
      <c r="G121" s="27" t="n">
        <v>46030</v>
      </c>
      <c r="H121" s="27" t="n">
        <v>46033</v>
      </c>
      <c r="I121" s="37" t="n"/>
      <c r="J121" s="37" t="inlineStr">
        <is>
          <t>Nộp thành công - Chờ kết quả</t>
        </is>
      </c>
      <c r="K121" s="37" t="inlineStr">
        <is>
          <t>Đã nộp</t>
        </is>
      </c>
      <c r="L121" s="37">
        <f>IF(OR(H121="",J121="Hoàn thành",J121="Đã hủy"),"",IF(H121&lt;TODAY(),"QUÁ HẠN",IF(H121-TODAY()&lt;=THIET_LAP!$B$8,"SẮP HẠN","TRONG HẠN")))</f>
        <v/>
      </c>
      <c r="M121" s="27" t="n"/>
      <c r="N121" s="37" t="n"/>
    </row>
    <row r="122" ht="15.75" customHeight="1" s="56">
      <c r="A122" s="37" t="inlineStr">
        <is>
          <t>BK-TSK-0119</t>
        </is>
      </c>
      <c r="B122" s="37" t="inlineStr">
        <is>
          <t>BK-HS-0119</t>
        </is>
      </c>
      <c r="C122" s="37" t="inlineStr">
        <is>
          <t>Phòng Đo đạc</t>
        </is>
      </c>
      <c r="D122" s="37" t="inlineStr">
        <is>
          <t>Cấp đổi</t>
        </is>
      </c>
      <c r="E122" s="37" t="inlineStr">
        <is>
          <t>Giám đốc</t>
        </is>
      </c>
      <c r="F122" s="37" t="inlineStr">
        <is>
          <t>Tạ Khắc Tập</t>
        </is>
      </c>
      <c r="G122" s="27" t="n">
        <v>46030</v>
      </c>
      <c r="H122" s="27" t="n">
        <v>46033</v>
      </c>
      <c r="I122" s="37" t="n"/>
      <c r="J122" s="37" t="inlineStr">
        <is>
          <t>Nộp thành công - Chờ kết quả</t>
        </is>
      </c>
      <c r="K122" s="37" t="inlineStr">
        <is>
          <t>Đã nộp</t>
        </is>
      </c>
      <c r="L122" s="37">
        <f>IF(OR(H122="",J122="Hoàn thành",J122="Đã hủy"),"",IF(H122&lt;TODAY(),"QUÁ HẠN",IF(H122-TODAY()&lt;=THIET_LAP!$B$8,"SẮP HẠN","TRONG HẠN")))</f>
        <v/>
      </c>
      <c r="M122" s="27" t="n"/>
      <c r="N122" s="37" t="n"/>
    </row>
    <row r="123" ht="15.75" customHeight="1" s="56">
      <c r="A123" s="37" t="inlineStr">
        <is>
          <t>BK-TSK-0120</t>
        </is>
      </c>
      <c r="B123" s="37" t="inlineStr">
        <is>
          <t>BK-HS-0120</t>
        </is>
      </c>
      <c r="C123" s="37" t="inlineStr">
        <is>
          <t>Phòng Đo đạc</t>
        </is>
      </c>
      <c r="D123" s="37" t="inlineStr">
        <is>
          <t>Cắm mốc</t>
        </is>
      </c>
      <c r="E123" s="37" t="inlineStr">
        <is>
          <t>Giám đốc</t>
        </is>
      </c>
      <c r="F123" s="37" t="inlineStr">
        <is>
          <t>Lê Văn Dựng</t>
        </is>
      </c>
      <c r="G123" s="27" t="n">
        <v>46029</v>
      </c>
      <c r="H123" s="27" t="n">
        <v>46032</v>
      </c>
      <c r="I123" s="37" t="n"/>
      <c r="J123" s="37" t="inlineStr">
        <is>
          <t>Hoàn thành</t>
        </is>
      </c>
      <c r="K123" s="37" t="inlineStr">
        <is>
          <t>Hoàn thành</t>
        </is>
      </c>
      <c r="L123" s="37">
        <f>IF(OR(H123="",J123="Hoàn thành",J123="Đã hủy"),"",IF(H123&lt;TODAY(),"QUÁ HẠN",IF(H123-TODAY()&lt;=THIET_LAP!$B$8,"SẮP HẠN","TRONG HẠN")))</f>
        <v/>
      </c>
      <c r="M123" s="27" t="n">
        <v>46029</v>
      </c>
      <c r="N123" s="37" t="n"/>
    </row>
    <row r="124" ht="15.75" customHeight="1" s="56">
      <c r="A124" s="37" t="inlineStr">
        <is>
          <t>BK-TSK-0121</t>
        </is>
      </c>
      <c r="B124" s="37" t="inlineStr">
        <is>
          <t>BK-HS-0121</t>
        </is>
      </c>
      <c r="C124" s="37" t="inlineStr">
        <is>
          <t>Phòng Đo đạc</t>
        </is>
      </c>
      <c r="D124" s="37" t="inlineStr">
        <is>
          <t>Cấp đổi</t>
        </is>
      </c>
      <c r="E124" s="37" t="inlineStr">
        <is>
          <t>Giám đốc</t>
        </is>
      </c>
      <c r="F124" s="37" t="inlineStr">
        <is>
          <t>Lê Văn Xây</t>
        </is>
      </c>
      <c r="G124" s="27" t="n">
        <v>46029</v>
      </c>
      <c r="H124" s="27" t="n">
        <v>46032</v>
      </c>
      <c r="I124" s="37" t="n"/>
      <c r="J124" s="37" t="inlineStr">
        <is>
          <t>Hoàn thành</t>
        </is>
      </c>
      <c r="K124" s="37" t="inlineStr">
        <is>
          <t>Hoàn thành</t>
        </is>
      </c>
      <c r="L124" s="37">
        <f>IF(OR(H124="",J124="Hoàn thành",J124="Đã hủy"),"",IF(H124&lt;TODAY(),"QUÁ HẠN",IF(H124-TODAY()&lt;=THIET_LAP!$B$8,"SẮP HẠN","TRONG HẠN")))</f>
        <v/>
      </c>
      <c r="M124" s="27" t="n">
        <v>46038</v>
      </c>
      <c r="N124" s="37" t="n"/>
    </row>
    <row r="125" ht="15.75" customHeight="1" s="56">
      <c r="A125" s="37" t="inlineStr">
        <is>
          <t>BK-TSK-0122</t>
        </is>
      </c>
      <c r="B125" s="37" t="inlineStr">
        <is>
          <t>BK-HS-0122</t>
        </is>
      </c>
      <c r="C125" s="37" t="inlineStr">
        <is>
          <t>Phòng Đo đạc</t>
        </is>
      </c>
      <c r="D125" s="37" t="inlineStr">
        <is>
          <t>Hoàn công</t>
        </is>
      </c>
      <c r="E125" s="37" t="inlineStr">
        <is>
          <t>Giám đốc</t>
        </is>
      </c>
      <c r="F125" s="37" t="inlineStr">
        <is>
          <t>Lê Văn Xây</t>
        </is>
      </c>
      <c r="G125" s="27" t="n">
        <v>46028</v>
      </c>
      <c r="H125" s="27" t="n">
        <v>46031</v>
      </c>
      <c r="I125" s="37" t="n"/>
      <c r="J125" s="37" t="inlineStr">
        <is>
          <t>Hoàn thành</t>
        </is>
      </c>
      <c r="K125" s="37" t="inlineStr">
        <is>
          <t>Hoàn thành</t>
        </is>
      </c>
      <c r="L125" s="37">
        <f>IF(OR(H125="",J125="Hoàn thành",J125="Đã hủy"),"",IF(H125&lt;TODAY(),"QUÁ HẠN",IF(H125-TODAY()&lt;=THIET_LAP!$B$8,"SẮP HẠN","TRONG HẠN")))</f>
        <v/>
      </c>
      <c r="M125" s="27" t="n">
        <v>46093</v>
      </c>
      <c r="N125" s="37" t="n"/>
    </row>
    <row r="126" ht="15.75" customHeight="1" s="56">
      <c r="A126" s="37" t="inlineStr">
        <is>
          <t>BK-TSK-0123</t>
        </is>
      </c>
      <c r="B126" s="37" t="inlineStr">
        <is>
          <t>BK-HS-0123</t>
        </is>
      </c>
      <c r="C126" s="37" t="inlineStr">
        <is>
          <t>Phòng Đo đạc</t>
        </is>
      </c>
      <c r="D126" s="37" t="inlineStr">
        <is>
          <t>Hoàn công</t>
        </is>
      </c>
      <c r="E126" s="37" t="inlineStr">
        <is>
          <t>Giám đốc</t>
        </is>
      </c>
      <c r="F126" s="37" t="inlineStr">
        <is>
          <t>Lê Văn Xây</t>
        </is>
      </c>
      <c r="G126" s="27" t="n">
        <v>46028</v>
      </c>
      <c r="H126" s="27" t="n">
        <v>46031</v>
      </c>
      <c r="I126" s="37" t="n"/>
      <c r="J126" s="37" t="inlineStr">
        <is>
          <t>Hoàn thành</t>
        </is>
      </c>
      <c r="K126" s="37" t="inlineStr">
        <is>
          <t>Hoàn thành</t>
        </is>
      </c>
      <c r="L126" s="37">
        <f>IF(OR(H126="",J126="Hoàn thành",J126="Đã hủy"),"",IF(H126&lt;TODAY(),"QUÁ HẠN",IF(H126-TODAY()&lt;=THIET_LAP!$B$8,"SẮP HẠN","TRONG HẠN")))</f>
        <v/>
      </c>
      <c r="M126" s="27" t="n">
        <v>46093</v>
      </c>
      <c r="N126" s="37" t="n"/>
    </row>
    <row r="127" ht="15.75" customHeight="1" s="56">
      <c r="A127" s="37" t="inlineStr">
        <is>
          <t>BK-TSK-0124</t>
        </is>
      </c>
      <c r="B127" s="37" t="inlineStr">
        <is>
          <t>BK-HS-0124</t>
        </is>
      </c>
      <c r="C127" s="37" t="inlineStr">
        <is>
          <t>Phòng Đo đạc</t>
        </is>
      </c>
      <c r="D127" s="37" t="inlineStr">
        <is>
          <t>Hoàn công</t>
        </is>
      </c>
      <c r="E127" s="37" t="inlineStr">
        <is>
          <t>Giám đốc</t>
        </is>
      </c>
      <c r="F127" s="37" t="inlineStr">
        <is>
          <t>Trương Tấn Quốc</t>
        </is>
      </c>
      <c r="G127" s="27" t="n">
        <v>46028</v>
      </c>
      <c r="H127" s="27" t="n">
        <v>46031</v>
      </c>
      <c r="I127" s="37" t="n"/>
      <c r="J127" s="37" t="inlineStr">
        <is>
          <t>Hủy</t>
        </is>
      </c>
      <c r="K127" s="37" t="inlineStr">
        <is>
          <t>ĐÃ HỦY</t>
        </is>
      </c>
      <c r="L127" s="37">
        <f>IF(OR(H127="",J127="Hoàn thành",J127="Đã hủy"),"",IF(H127&lt;TODAY(),"QUÁ HẠN",IF(H127-TODAY()&lt;=THIET_LAP!$B$8,"SẮP HẠN","TRONG HẠN")))</f>
        <v/>
      </c>
      <c r="M127" s="27" t="n"/>
      <c r="N127" s="37" t="inlineStr">
        <is>
          <t>Lệch ranh - Đợi hoàn thành công trình</t>
        </is>
      </c>
    </row>
    <row r="128" ht="15.75" customHeight="1" s="56">
      <c r="A128" s="37" t="inlineStr">
        <is>
          <t>BK-TSK-0125</t>
        </is>
      </c>
      <c r="B128" s="37" t="inlineStr">
        <is>
          <t>BK-HS-0125</t>
        </is>
      </c>
      <c r="C128" s="37" t="inlineStr">
        <is>
          <t>Phòng Đo đạc</t>
        </is>
      </c>
      <c r="D128" s="37" t="inlineStr">
        <is>
          <t>Cấp đổi</t>
        </is>
      </c>
      <c r="E128" s="37" t="inlineStr">
        <is>
          <t>Giám đốc</t>
        </is>
      </c>
      <c r="F128" s="37" t="inlineStr">
        <is>
          <t>Trương Tấn Quốc</t>
        </is>
      </c>
      <c r="G128" s="27" t="n">
        <v>46028</v>
      </c>
      <c r="H128" s="27" t="n">
        <v>46031</v>
      </c>
      <c r="I128" s="37" t="n"/>
      <c r="J128" s="37" t="inlineStr">
        <is>
          <t>Hoàn thành</t>
        </is>
      </c>
      <c r="K128" s="37" t="inlineStr">
        <is>
          <t>Hoàn thành</t>
        </is>
      </c>
      <c r="L128" s="37">
        <f>IF(OR(H128="",J128="Hoàn thành",J128="Đã hủy"),"",IF(H128&lt;TODAY(),"QUÁ HẠN",IF(H128-TODAY()&lt;=THIET_LAP!$B$8,"SẮP HẠN","TRONG HẠN")))</f>
        <v/>
      </c>
      <c r="M128" s="27" t="n">
        <v>46041</v>
      </c>
      <c r="N128" s="37" t="n"/>
    </row>
    <row r="129" ht="15.75" customHeight="1" s="56">
      <c r="A129" s="37" t="inlineStr">
        <is>
          <t>BK-TSK-0126</t>
        </is>
      </c>
      <c r="B129" s="37" t="inlineStr">
        <is>
          <t>BK-HS-0126</t>
        </is>
      </c>
      <c r="C129" s="37" t="inlineStr">
        <is>
          <t>Phòng Đo đạc</t>
        </is>
      </c>
      <c r="D129" s="37" t="inlineStr">
        <is>
          <t>Đo GPS</t>
        </is>
      </c>
      <c r="E129" s="37" t="inlineStr">
        <is>
          <t>Giám đốc</t>
        </is>
      </c>
      <c r="F129" s="37" t="inlineStr">
        <is>
          <t>Lê Văn Dựng</t>
        </is>
      </c>
      <c r="G129" s="27" t="n">
        <v>46028</v>
      </c>
      <c r="H129" s="27" t="n">
        <v>46031</v>
      </c>
      <c r="I129" s="37" t="n"/>
      <c r="J129" s="37" t="inlineStr">
        <is>
          <t>Hoàn thành</t>
        </is>
      </c>
      <c r="K129" s="37" t="inlineStr">
        <is>
          <t>Hoàn thành</t>
        </is>
      </c>
      <c r="L129" s="37">
        <f>IF(OR(H129="",J129="Hoàn thành",J129="Đã hủy"),"",IF(H129&lt;TODAY(),"QUÁ HẠN",IF(H129-TODAY()&lt;=THIET_LAP!$B$8,"SẮP HẠN","TRONG HẠN")))</f>
        <v/>
      </c>
      <c r="M129" s="27" t="n">
        <v>46029</v>
      </c>
      <c r="N129" s="37" t="n"/>
    </row>
    <row r="130" ht="15.75" customHeight="1" s="56">
      <c r="A130" s="37" t="inlineStr">
        <is>
          <t>BK-TSK-0127</t>
        </is>
      </c>
      <c r="B130" s="37" t="inlineStr">
        <is>
          <t>BK-HS-0127</t>
        </is>
      </c>
      <c r="C130" s="37" t="inlineStr">
        <is>
          <t>Phòng Đo đạc</t>
        </is>
      </c>
      <c r="D130" s="37" t="inlineStr">
        <is>
          <t>Cắm mốc</t>
        </is>
      </c>
      <c r="E130" s="37" t="inlineStr">
        <is>
          <t>Giám đốc</t>
        </is>
      </c>
      <c r="F130" s="37" t="inlineStr">
        <is>
          <t>Lê Văn Dựng</t>
        </is>
      </c>
      <c r="G130" s="27" t="n">
        <v>46028</v>
      </c>
      <c r="H130" s="27" t="n">
        <v>46031</v>
      </c>
      <c r="I130" s="37" t="n"/>
      <c r="J130" s="37" t="inlineStr">
        <is>
          <t>Hoàn thành</t>
        </is>
      </c>
      <c r="K130" s="37" t="inlineStr">
        <is>
          <t>Hoàn thành</t>
        </is>
      </c>
      <c r="L130" s="37">
        <f>IF(OR(H130="",J130="Hoàn thành",J130="Đã hủy"),"",IF(H130&lt;TODAY(),"QUÁ HẠN",IF(H130-TODAY()&lt;=THIET_LAP!$B$8,"SẮP HẠN","TRONG HẠN")))</f>
        <v/>
      </c>
      <c r="M130" s="27" t="n">
        <v>46028</v>
      </c>
      <c r="N130" s="37" t="n"/>
    </row>
    <row r="131" ht="15.75" customHeight="1" s="56">
      <c r="A131" s="37" t="inlineStr">
        <is>
          <t>BK-TSK-0128</t>
        </is>
      </c>
      <c r="B131" s="37" t="inlineStr">
        <is>
          <t>BK-HS-0128</t>
        </is>
      </c>
      <c r="C131" s="37" t="inlineStr">
        <is>
          <t>Phòng Đo đạc</t>
        </is>
      </c>
      <c r="D131" s="37" t="inlineStr">
        <is>
          <t>Cấp đổi</t>
        </is>
      </c>
      <c r="E131" s="37" t="inlineStr">
        <is>
          <t>Giám đốc</t>
        </is>
      </c>
      <c r="F131" s="37" t="inlineStr">
        <is>
          <t>Lê Văn Dựng</t>
        </is>
      </c>
      <c r="G131" s="27" t="n">
        <v>46028</v>
      </c>
      <c r="H131" s="27" t="n">
        <v>46031</v>
      </c>
      <c r="I131" s="37" t="n"/>
      <c r="J131" s="37" t="inlineStr">
        <is>
          <t>Hoàn thành</t>
        </is>
      </c>
      <c r="K131" s="37" t="inlineStr">
        <is>
          <t>Hoàn thành</t>
        </is>
      </c>
      <c r="L131" s="37">
        <f>IF(OR(H131="",J131="Hoàn thành",J131="Đã hủy"),"",IF(H131&lt;TODAY(),"QUÁ HẠN",IF(H131-TODAY()&lt;=THIET_LAP!$B$8,"SẮP HẠN","TRONG HẠN")))</f>
        <v/>
      </c>
      <c r="M131" s="27" t="n">
        <v>46038</v>
      </c>
      <c r="N131" s="37" t="n"/>
    </row>
    <row r="132" ht="15.75" customHeight="1" s="56">
      <c r="A132" s="37" t="inlineStr">
        <is>
          <t>BK-TSK-0129</t>
        </is>
      </c>
      <c r="B132" s="37" t="inlineStr">
        <is>
          <t>BK-HS-0129</t>
        </is>
      </c>
      <c r="C132" s="37" t="inlineStr">
        <is>
          <t>Phòng Đo đạc</t>
        </is>
      </c>
      <c r="D132" s="37" t="inlineStr">
        <is>
          <t>Xác định diện tích</t>
        </is>
      </c>
      <c r="E132" s="37" t="inlineStr">
        <is>
          <t>Giám đốc</t>
        </is>
      </c>
      <c r="F132" s="37" t="inlineStr">
        <is>
          <t>Lê Văn Xây</t>
        </is>
      </c>
      <c r="G132" s="27" t="n">
        <v>46021</v>
      </c>
      <c r="H132" s="27" t="n">
        <v>46024</v>
      </c>
      <c r="I132" s="37" t="n"/>
      <c r="J132" s="37" t="inlineStr">
        <is>
          <t>Hoàn thành</t>
        </is>
      </c>
      <c r="K132" s="37" t="inlineStr">
        <is>
          <t>Hoàn thành</t>
        </is>
      </c>
      <c r="L132" s="37">
        <f>IF(OR(H132="",J132="Hoàn thành",J132="Đã hủy"),"",IF(H132&lt;TODAY(),"QUÁ HẠN",IF(H132-TODAY()&lt;=THIET_LAP!$B$8,"SẮP HẠN","TRONG HẠN")))</f>
        <v/>
      </c>
      <c r="M132" s="27" t="n">
        <v>46022</v>
      </c>
      <c r="N132" s="37" t="n"/>
    </row>
    <row r="133" ht="15.75" customHeight="1" s="56">
      <c r="A133" s="37" t="inlineStr">
        <is>
          <t>BK-TSK-0130</t>
        </is>
      </c>
      <c r="B133" s="37" t="inlineStr">
        <is>
          <t>BK-HS-0130</t>
        </is>
      </c>
      <c r="C133" s="37" t="inlineStr">
        <is>
          <t>Phòng Đo đạc</t>
        </is>
      </c>
      <c r="D133" s="37" t="inlineStr">
        <is>
          <t>Điều chỉnh bản vẽ</t>
        </is>
      </c>
      <c r="E133" s="37" t="inlineStr">
        <is>
          <t>Giám đốc</t>
        </is>
      </c>
      <c r="F133" s="37" t="inlineStr">
        <is>
          <t>Tạ Khắc Tập</t>
        </is>
      </c>
      <c r="G133" s="27" t="n">
        <v>46021</v>
      </c>
      <c r="H133" s="27" t="n">
        <v>46024</v>
      </c>
      <c r="I133" s="37" t="n"/>
      <c r="J133" s="37" t="inlineStr">
        <is>
          <t>Hoàn thành</t>
        </is>
      </c>
      <c r="K133" s="37" t="inlineStr">
        <is>
          <t>Hoàn thành</t>
        </is>
      </c>
      <c r="L133" s="37">
        <f>IF(OR(H133="",J133="Hoàn thành",J133="Đã hủy"),"",IF(H133&lt;TODAY(),"QUÁ HẠN",IF(H133-TODAY()&lt;=THIET_LAP!$B$8,"SẮP HẠN","TRONG HẠN")))</f>
        <v/>
      </c>
      <c r="M133" s="27" t="n">
        <v>46042</v>
      </c>
      <c r="N133" s="37" t="inlineStr">
        <is>
          <t>DA NOP vy</t>
        </is>
      </c>
    </row>
    <row r="134" ht="15.75" customHeight="1" s="56">
      <c r="A134" s="37" t="inlineStr">
        <is>
          <t>BK-TSK-0131</t>
        </is>
      </c>
      <c r="B134" s="37" t="inlineStr">
        <is>
          <t>BK-HS-0131</t>
        </is>
      </c>
      <c r="C134" s="37" t="inlineStr">
        <is>
          <t>Phòng Đo đạc</t>
        </is>
      </c>
      <c r="D134" s="37" t="inlineStr">
        <is>
          <t>Cấp đổi</t>
        </is>
      </c>
      <c r="E134" s="37" t="inlineStr">
        <is>
          <t>Giám đốc</t>
        </is>
      </c>
      <c r="F134" s="37" t="inlineStr">
        <is>
          <t>Tạ Khắc Tập</t>
        </is>
      </c>
      <c r="G134" s="27" t="n">
        <v>46021</v>
      </c>
      <c r="H134" s="27" t="n">
        <v>46024</v>
      </c>
      <c r="I134" s="37" t="n"/>
      <c r="J134" s="37" t="inlineStr">
        <is>
          <t>Hủy</t>
        </is>
      </c>
      <c r="K134" s="37" t="inlineStr">
        <is>
          <t>ĐÃ HỦY</t>
        </is>
      </c>
      <c r="L134" s="37">
        <f>IF(OR(H134="",J134="Hoàn thành",J134="Đã hủy"),"",IF(H134&lt;TODAY(),"QUÁ HẠN",IF(H134-TODAY()&lt;=THIET_LAP!$B$8,"SẮP HẠN","TRONG HẠN")))</f>
        <v/>
      </c>
      <c r="M134" s="27" t="n"/>
      <c r="N134" s="37" t="inlineStr">
        <is>
          <t>chờ chủ nhà bổ sung giấy tờ, trích lục BVCG, ĐO BÁO CAO GPS</t>
        </is>
      </c>
    </row>
    <row r="135" ht="15.75" customHeight="1" s="56">
      <c r="A135" s="37" t="inlineStr">
        <is>
          <t>BK-TSK-0132</t>
        </is>
      </c>
      <c r="B135" s="37" t="inlineStr">
        <is>
          <t>BK-HS-0132</t>
        </is>
      </c>
      <c r="C135" s="37" t="inlineStr">
        <is>
          <t>Phòng Đo đạc</t>
        </is>
      </c>
      <c r="D135" s="37" t="inlineStr">
        <is>
          <t>Cấp đổi</t>
        </is>
      </c>
      <c r="E135" s="37" t="inlineStr">
        <is>
          <t>Giám đốc</t>
        </is>
      </c>
      <c r="F135" s="37" t="inlineStr">
        <is>
          <t>Lê Văn Dựng</t>
        </is>
      </c>
      <c r="G135" s="27" t="n">
        <v>46021</v>
      </c>
      <c r="H135" s="27" t="n">
        <v>46024</v>
      </c>
      <c r="I135" s="37" t="n"/>
      <c r="J135" s="37" t="inlineStr">
        <is>
          <t>Hoàn thành</t>
        </is>
      </c>
      <c r="K135" s="37" t="inlineStr">
        <is>
          <t>Hoàn thành</t>
        </is>
      </c>
      <c r="L135" s="37">
        <f>IF(OR(H135="",J135="Hoàn thành",J135="Đã hủy"),"",IF(H135&lt;TODAY(),"QUÁ HẠN",IF(H135-TODAY()&lt;=THIET_LAP!$B$8,"SẮP HẠN","TRONG HẠN")))</f>
        <v/>
      </c>
      <c r="M135" s="27" t="n">
        <v>46049</v>
      </c>
      <c r="N135" s="37" t="n"/>
    </row>
    <row r="136" ht="15.75" customHeight="1" s="56">
      <c r="A136" s="37" t="inlineStr">
        <is>
          <t>BK-TSK-0133</t>
        </is>
      </c>
      <c r="B136" s="37" t="inlineStr">
        <is>
          <t>BK-HS-0133</t>
        </is>
      </c>
      <c r="C136" s="37" t="inlineStr">
        <is>
          <t>Phòng Đo đạc</t>
        </is>
      </c>
      <c r="D136" s="37" t="inlineStr">
        <is>
          <t>Cắm mốc</t>
        </is>
      </c>
      <c r="E136" s="37" t="inlineStr">
        <is>
          <t>Giám đốc</t>
        </is>
      </c>
      <c r="F136" s="37" t="inlineStr">
        <is>
          <t>Lê Văn Dựng</t>
        </is>
      </c>
      <c r="G136" s="27" t="n">
        <v>46021</v>
      </c>
      <c r="H136" s="27" t="n">
        <v>46024</v>
      </c>
      <c r="I136" s="37" t="n"/>
      <c r="J136" s="37" t="inlineStr">
        <is>
          <t>Hoàn thành</t>
        </is>
      </c>
      <c r="K136" s="37" t="inlineStr">
        <is>
          <t>Hoàn thành</t>
        </is>
      </c>
      <c r="L136" s="37">
        <f>IF(OR(H136="",J136="Hoàn thành",J136="Đã hủy"),"",IF(H136&lt;TODAY(),"QUÁ HẠN",IF(H136-TODAY()&lt;=THIET_LAP!$B$8,"SẮP HẠN","TRONG HẠN")))</f>
        <v/>
      </c>
      <c r="M136" s="27" t="n">
        <v>46021</v>
      </c>
      <c r="N136" s="37" t="n"/>
    </row>
    <row r="137" ht="15.75" customHeight="1" s="56">
      <c r="A137" s="37" t="inlineStr">
        <is>
          <t>BK-TSK-0134</t>
        </is>
      </c>
      <c r="B137" s="37" t="inlineStr">
        <is>
          <t>BK-HS-0134</t>
        </is>
      </c>
      <c r="C137" s="37" t="inlineStr">
        <is>
          <t>Phòng Đo đạc</t>
        </is>
      </c>
      <c r="D137" s="37" t="inlineStr">
        <is>
          <t>Điều chỉnh bản vẽ</t>
        </is>
      </c>
      <c r="E137" s="37" t="inlineStr">
        <is>
          <t>Giám đốc</t>
        </is>
      </c>
      <c r="F137" s="37" t="inlineStr">
        <is>
          <t>Trương Tấn Quốc</t>
        </is>
      </c>
      <c r="G137" s="27" t="n">
        <v>46021</v>
      </c>
      <c r="H137" s="27" t="n">
        <v>46024</v>
      </c>
      <c r="I137" s="37" t="n"/>
      <c r="J137" s="37" t="inlineStr">
        <is>
          <t>Hoàn thành</t>
        </is>
      </c>
      <c r="K137" s="37" t="inlineStr">
        <is>
          <t>Hoàn thành</t>
        </is>
      </c>
      <c r="L137" s="37">
        <f>IF(OR(H137="",J137="Hoàn thành",J137="Đã hủy"),"",IF(H137&lt;TODAY(),"QUÁ HẠN",IF(H137-TODAY()&lt;=THIET_LAP!$B$8,"SẮP HẠN","TRONG HẠN")))</f>
        <v/>
      </c>
      <c r="M137" s="27" t="n">
        <v>46035</v>
      </c>
      <c r="N137" s="37" t="n"/>
    </row>
    <row r="138" ht="15.75" customHeight="1" s="56">
      <c r="A138" s="37" t="inlineStr">
        <is>
          <t>BK-TSK-0135</t>
        </is>
      </c>
      <c r="B138" s="37" t="inlineStr">
        <is>
          <t>BK-HS-0135</t>
        </is>
      </c>
      <c r="C138" s="37" t="inlineStr">
        <is>
          <t>Phòng Đo đạc</t>
        </is>
      </c>
      <c r="D138" s="37" t="inlineStr">
        <is>
          <t>Điều chỉnh bản vẽ</t>
        </is>
      </c>
      <c r="E138" s="37" t="inlineStr">
        <is>
          <t>Giám đốc</t>
        </is>
      </c>
      <c r="F138" s="37" t="inlineStr">
        <is>
          <t>Tạ Khắc Tập</t>
        </is>
      </c>
      <c r="G138" s="27" t="n">
        <v>46020</v>
      </c>
      <c r="H138" s="27" t="n">
        <v>46023</v>
      </c>
      <c r="I138" s="37" t="n"/>
      <c r="J138" s="37" t="inlineStr">
        <is>
          <t>Hủy</t>
        </is>
      </c>
      <c r="K138" s="37" t="inlineStr">
        <is>
          <t>ĐÃ HỦY</t>
        </is>
      </c>
      <c r="L138" s="37">
        <f>IF(OR(H138="",J138="Hoàn thành",J138="Đã hủy"),"",IF(H138&lt;TODAY(),"QUÁ HẠN",IF(H138-TODAY()&lt;=THIET_LAP!$B$8,"SẮP HẠN","TRONG HẠN")))</f>
        <v/>
      </c>
      <c r="M138" s="27" t="n"/>
      <c r="N138" s="37" t="inlineStr">
        <is>
          <t>HỖ TRỢ KHÁCH THÔI</t>
        </is>
      </c>
    </row>
    <row r="139" ht="15.75" customHeight="1" s="56">
      <c r="A139" s="37" t="inlineStr">
        <is>
          <t>BK-TSK-0136</t>
        </is>
      </c>
      <c r="B139" s="37" t="inlineStr">
        <is>
          <t>BK-HS-0136</t>
        </is>
      </c>
      <c r="C139" s="37" t="inlineStr">
        <is>
          <t>Phòng Đo đạc</t>
        </is>
      </c>
      <c r="D139" s="37" t="inlineStr">
        <is>
          <t>Đo GPS</t>
        </is>
      </c>
      <c r="E139" s="37" t="inlineStr">
        <is>
          <t>Giám đốc</t>
        </is>
      </c>
      <c r="F139" s="37" t="inlineStr">
        <is>
          <t>Lê Văn Dựng</t>
        </is>
      </c>
      <c r="G139" s="27" t="n">
        <v>46020</v>
      </c>
      <c r="H139" s="27" t="n">
        <v>46023</v>
      </c>
      <c r="I139" s="37" t="n"/>
      <c r="J139" s="37" t="inlineStr">
        <is>
          <t>Hoàn thành</t>
        </is>
      </c>
      <c r="K139" s="37" t="inlineStr">
        <is>
          <t>Hoàn thành</t>
        </is>
      </c>
      <c r="L139" s="37">
        <f>IF(OR(H139="",J139="Hoàn thành",J139="Đã hủy"),"",IF(H139&lt;TODAY(),"QUÁ HẠN",IF(H139-TODAY()&lt;=THIET_LAP!$B$8,"SẮP HẠN","TRONG HẠN")))</f>
        <v/>
      </c>
      <c r="M139" s="27" t="n">
        <v>46020</v>
      </c>
      <c r="N139" s="37" t="n"/>
    </row>
    <row r="140" ht="15.75" customHeight="1" s="56">
      <c r="A140" s="37" t="inlineStr">
        <is>
          <t>BK-TSK-0137</t>
        </is>
      </c>
      <c r="B140" s="37" t="inlineStr">
        <is>
          <t>BK-HS-0137</t>
        </is>
      </c>
      <c r="C140" s="37" t="inlineStr">
        <is>
          <t>Phòng Đo đạc</t>
        </is>
      </c>
      <c r="D140" s="37" t="inlineStr">
        <is>
          <t>Hoàn công</t>
        </is>
      </c>
      <c r="E140" s="37" t="inlineStr">
        <is>
          <t>Giám đốc</t>
        </is>
      </c>
      <c r="F140" s="37" t="inlineStr">
        <is>
          <t>Lê Văn Dựng</t>
        </is>
      </c>
      <c r="G140" s="27" t="n">
        <v>46020</v>
      </c>
      <c r="H140" s="27" t="n">
        <v>46023</v>
      </c>
      <c r="I140" s="37" t="n"/>
      <c r="J140" s="37" t="inlineStr">
        <is>
          <t>Hoàn thành</t>
        </is>
      </c>
      <c r="K140" s="37" t="inlineStr">
        <is>
          <t>Hoàn thành</t>
        </is>
      </c>
      <c r="L140" s="37">
        <f>IF(OR(H140="",J140="Hoàn thành",J140="Đã hủy"),"",IF(H140&lt;TODAY(),"QUÁ HẠN",IF(H140-TODAY()&lt;=THIET_LAP!$B$8,"SẮP HẠN","TRONG HẠN")))</f>
        <v/>
      </c>
      <c r="M140" s="27" t="n">
        <v>46052</v>
      </c>
      <c r="N140" s="37" t="n"/>
    </row>
    <row r="141" ht="15.75" customHeight="1" s="56">
      <c r="A141" s="37" t="inlineStr">
        <is>
          <t>BK-TSK-0138</t>
        </is>
      </c>
      <c r="B141" s="37" t="inlineStr">
        <is>
          <t>BK-HS-0138</t>
        </is>
      </c>
      <c r="C141" s="37" t="inlineStr">
        <is>
          <t>Phòng Đo đạc</t>
        </is>
      </c>
      <c r="D141" s="37" t="inlineStr">
        <is>
          <t>Cấp đổi</t>
        </is>
      </c>
      <c r="E141" s="37" t="inlineStr">
        <is>
          <t>Giám đốc</t>
        </is>
      </c>
      <c r="F141" s="37" t="inlineStr">
        <is>
          <t>Trương Tấn Quốc</t>
        </is>
      </c>
      <c r="G141" s="27" t="n">
        <v>46020</v>
      </c>
      <c r="H141" s="27" t="n">
        <v>46023</v>
      </c>
      <c r="I141" s="37" t="n"/>
      <c r="J141" s="37" t="inlineStr">
        <is>
          <t>Hoàn thành</t>
        </is>
      </c>
      <c r="K141" s="37" t="inlineStr">
        <is>
          <t>Hoàn thành</t>
        </is>
      </c>
      <c r="L141" s="37">
        <f>IF(OR(H141="",J141="Hoàn thành",J141="Đã hủy"),"",IF(H141&lt;TODAY(),"QUÁ HẠN",IF(H141-TODAY()&lt;=THIET_LAP!$B$8,"SẮP HẠN","TRONG HẠN")))</f>
        <v/>
      </c>
      <c r="M141" s="27" t="n">
        <v>46031</v>
      </c>
      <c r="N141" s="37" t="n"/>
    </row>
    <row r="142" ht="15.75" customHeight="1" s="56">
      <c r="A142" s="37" t="inlineStr">
        <is>
          <t>BK-TSK-0139</t>
        </is>
      </c>
      <c r="B142" s="37" t="inlineStr">
        <is>
          <t>BK-HS-0139</t>
        </is>
      </c>
      <c r="C142" s="37" t="inlineStr">
        <is>
          <t>Phòng Đo đạc</t>
        </is>
      </c>
      <c r="D142" s="37" t="inlineStr">
        <is>
          <t>Hợp thửa</t>
        </is>
      </c>
      <c r="E142" s="37" t="inlineStr">
        <is>
          <t>Giám đốc</t>
        </is>
      </c>
      <c r="F142" s="37" t="inlineStr">
        <is>
          <t>Lê Văn Xây</t>
        </is>
      </c>
      <c r="G142" s="27" t="n">
        <v>46020</v>
      </c>
      <c r="H142" s="27" t="n">
        <v>46023</v>
      </c>
      <c r="I142" s="37" t="n"/>
      <c r="J142" s="37" t="inlineStr">
        <is>
          <t>Nộp thành công - Chờ kết quả</t>
        </is>
      </c>
      <c r="K142" s="37" t="inlineStr">
        <is>
          <t>Đã nộp</t>
        </is>
      </c>
      <c r="L142" s="37">
        <f>IF(OR(H142="",J142="Hoàn thành",J142="Đã hủy"),"",IF(H142&lt;TODAY(),"QUÁ HẠN",IF(H142-TODAY()&lt;=THIET_LAP!$B$8,"SẮP HẠN","TRONG HẠN")))</f>
        <v/>
      </c>
      <c r="M142" s="27" t="n"/>
      <c r="N142" s="37" t="n"/>
    </row>
    <row r="143" ht="15.75" customHeight="1" s="56">
      <c r="A143" s="37" t="inlineStr">
        <is>
          <t>BK-TSK-0140</t>
        </is>
      </c>
      <c r="B143" s="37" t="inlineStr">
        <is>
          <t>BK-HS-0140</t>
        </is>
      </c>
      <c r="C143" s="37" t="inlineStr">
        <is>
          <t>Phòng Đo đạc</t>
        </is>
      </c>
      <c r="D143" s="37" t="inlineStr">
        <is>
          <t>Hợp thửa</t>
        </is>
      </c>
      <c r="E143" s="37" t="inlineStr">
        <is>
          <t>Giám đốc</t>
        </is>
      </c>
      <c r="F143" s="37" t="inlineStr">
        <is>
          <t>Lê Văn Xây</t>
        </is>
      </c>
      <c r="G143" s="27" t="n">
        <v>46020</v>
      </c>
      <c r="H143" s="27" t="n">
        <v>46023</v>
      </c>
      <c r="I143" s="37" t="n"/>
      <c r="J143" s="37" t="inlineStr">
        <is>
          <t>Hoàn thành</t>
        </is>
      </c>
      <c r="K143" s="37" t="inlineStr">
        <is>
          <t>Hoàn thành</t>
        </is>
      </c>
      <c r="L143" s="37">
        <f>IF(OR(H143="",J143="Hoàn thành",J143="Đã hủy"),"",IF(H143&lt;TODAY(),"QUÁ HẠN",IF(H143-TODAY()&lt;=THIET_LAP!$B$8,"SẮP HẠN","TRONG HẠN")))</f>
        <v/>
      </c>
      <c r="M143" s="27" t="n">
        <v>46056</v>
      </c>
      <c r="N143" s="37" t="n"/>
    </row>
    <row r="144" ht="15.75" customHeight="1" s="56">
      <c r="A144" s="37" t="inlineStr">
        <is>
          <t>BK-TSK-0141</t>
        </is>
      </c>
      <c r="B144" s="37" t="inlineStr">
        <is>
          <t>BK-HS-0141</t>
        </is>
      </c>
      <c r="C144" s="37" t="inlineStr">
        <is>
          <t>Phòng Đo đạc</t>
        </is>
      </c>
      <c r="D144" s="37" t="inlineStr">
        <is>
          <t>Hoàn công</t>
        </is>
      </c>
      <c r="E144" s="37" t="inlineStr">
        <is>
          <t>Giám đốc</t>
        </is>
      </c>
      <c r="F144" s="37" t="inlineStr">
        <is>
          <t>Lê Văn Xây</t>
        </is>
      </c>
      <c r="G144" s="27" t="n">
        <v>46020</v>
      </c>
      <c r="H144" s="27" t="n">
        <v>46023</v>
      </c>
      <c r="I144" s="37" t="n"/>
      <c r="J144" s="37" t="inlineStr">
        <is>
          <t>Hoàn thành</t>
        </is>
      </c>
      <c r="K144" s="37" t="inlineStr">
        <is>
          <t>Hoàn thành</t>
        </is>
      </c>
      <c r="L144" s="37">
        <f>IF(OR(H144="",J144="Hoàn thành",J144="Đã hủy"),"",IF(H144&lt;TODAY(),"QUÁ HẠN",IF(H144-TODAY()&lt;=THIET_LAP!$B$8,"SẮP HẠN","TRONG HẠN")))</f>
        <v/>
      </c>
      <c r="M144" s="27" t="n">
        <v>46032</v>
      </c>
      <c r="N144" s="37" t="n"/>
    </row>
    <row r="145" ht="15.75" customHeight="1" s="56">
      <c r="A145" s="37" t="inlineStr">
        <is>
          <t>BK-TSK-0142</t>
        </is>
      </c>
      <c r="B145" s="37" t="inlineStr">
        <is>
          <t>BK-HS-0142</t>
        </is>
      </c>
      <c r="C145" s="37" t="inlineStr">
        <is>
          <t>Phòng Đo đạc</t>
        </is>
      </c>
      <c r="D145" s="37" t="inlineStr">
        <is>
          <t>Cấp đổi</t>
        </is>
      </c>
      <c r="E145" s="37" t="inlineStr">
        <is>
          <t>Giám đốc</t>
        </is>
      </c>
      <c r="F145" s="37" t="inlineStr">
        <is>
          <t>Lê Văn Xây</t>
        </is>
      </c>
      <c r="G145" s="27" t="n">
        <v>46020</v>
      </c>
      <c r="H145" s="27" t="n">
        <v>46023</v>
      </c>
      <c r="I145" s="37" t="n"/>
      <c r="J145" s="37" t="inlineStr">
        <is>
          <t>Hoàn thành</t>
        </is>
      </c>
      <c r="K145" s="37" t="inlineStr">
        <is>
          <t>Hoàn thành</t>
        </is>
      </c>
      <c r="L145" s="37">
        <f>IF(OR(H145="",J145="Hoàn thành",J145="Đã hủy"),"",IF(H145&lt;TODAY(),"QUÁ HẠN",IF(H145-TODAY()&lt;=THIET_LAP!$B$8,"SẮP HẠN","TRONG HẠN")))</f>
        <v/>
      </c>
      <c r="M145" s="27" t="n">
        <v>46034</v>
      </c>
      <c r="N145" s="37" t="n"/>
    </row>
    <row r="146" ht="15.75" customHeight="1" s="56">
      <c r="A146" s="37" t="inlineStr">
        <is>
          <t>BK-TSK-0143</t>
        </is>
      </c>
      <c r="B146" s="37" t="inlineStr">
        <is>
          <t>BK-HS-0143</t>
        </is>
      </c>
      <c r="C146" s="37" t="inlineStr">
        <is>
          <t>Phòng Đo đạc</t>
        </is>
      </c>
      <c r="D146" s="37" t="inlineStr">
        <is>
          <t>Cấp đổi</t>
        </is>
      </c>
      <c r="E146" s="37" t="inlineStr">
        <is>
          <t>Giám đốc</t>
        </is>
      </c>
      <c r="F146" s="37" t="inlineStr">
        <is>
          <t>Lê Văn Xây</t>
        </is>
      </c>
      <c r="G146" s="27" t="n">
        <v>46017</v>
      </c>
      <c r="H146" s="27" t="n">
        <v>46020</v>
      </c>
      <c r="I146" s="37" t="n"/>
      <c r="J146" s="37" t="inlineStr">
        <is>
          <t>Hoàn thành</t>
        </is>
      </c>
      <c r="K146" s="37" t="inlineStr">
        <is>
          <t>Hoàn thành</t>
        </is>
      </c>
      <c r="L146" s="37">
        <f>IF(OR(H146="",J146="Hoàn thành",J146="Đã hủy"),"",IF(H146&lt;TODAY(),"QUÁ HẠN",IF(H146-TODAY()&lt;=THIET_LAP!$B$8,"SẮP HẠN","TRONG HẠN")))</f>
        <v/>
      </c>
      <c r="M146" s="27" t="n">
        <v>46035</v>
      </c>
      <c r="N146" s="37" t="n"/>
    </row>
    <row r="147" ht="15.75" customHeight="1" s="56">
      <c r="A147" s="37" t="inlineStr">
        <is>
          <t>BK-TSK-0144</t>
        </is>
      </c>
      <c r="B147" s="37" t="inlineStr">
        <is>
          <t>BK-HS-0144</t>
        </is>
      </c>
      <c r="C147" s="37" t="inlineStr">
        <is>
          <t>Phòng Đo đạc</t>
        </is>
      </c>
      <c r="D147" s="37" t="inlineStr">
        <is>
          <t>Xác định diện tích</t>
        </is>
      </c>
      <c r="E147" s="37" t="inlineStr">
        <is>
          <t>Giám đốc</t>
        </is>
      </c>
      <c r="F147" s="37" t="inlineStr">
        <is>
          <t>Trương Tấn Quốc</t>
        </is>
      </c>
      <c r="G147" s="27" t="n">
        <v>46017</v>
      </c>
      <c r="H147" s="27" t="n">
        <v>46020</v>
      </c>
      <c r="I147" s="37" t="n"/>
      <c r="J147" s="37" t="inlineStr">
        <is>
          <t>Hoàn thành</t>
        </is>
      </c>
      <c r="K147" s="37" t="inlineStr">
        <is>
          <t>Hoàn thành</t>
        </is>
      </c>
      <c r="L147" s="37">
        <f>IF(OR(H147="",J147="Hoàn thành",J147="Đã hủy"),"",IF(H147&lt;TODAY(),"QUÁ HẠN",IF(H147-TODAY()&lt;=THIET_LAP!$B$8,"SẮP HẠN","TRONG HẠN")))</f>
        <v/>
      </c>
      <c r="M147" s="27" t="n">
        <v>46017</v>
      </c>
      <c r="N147" s="37" t="n"/>
    </row>
    <row r="148" ht="15.75" customHeight="1" s="56">
      <c r="A148" s="37" t="inlineStr">
        <is>
          <t>BK-TSK-0145</t>
        </is>
      </c>
      <c r="B148" s="37" t="inlineStr">
        <is>
          <t>BK-HS-0145</t>
        </is>
      </c>
      <c r="C148" s="37" t="inlineStr">
        <is>
          <t>Phòng Đo đạc</t>
        </is>
      </c>
      <c r="D148" s="37" t="inlineStr">
        <is>
          <t>Cắm mốc</t>
        </is>
      </c>
      <c r="E148" s="37" t="inlineStr">
        <is>
          <t>Giám đốc</t>
        </is>
      </c>
      <c r="F148" s="37" t="inlineStr">
        <is>
          <t>Tạ Khắc Tập</t>
        </is>
      </c>
      <c r="G148" s="27" t="n">
        <v>46017</v>
      </c>
      <c r="H148" s="27" t="n">
        <v>46020</v>
      </c>
      <c r="I148" s="37" t="n"/>
      <c r="J148" s="37" t="inlineStr">
        <is>
          <t>Hoàn thành</t>
        </is>
      </c>
      <c r="K148" s="37" t="inlineStr">
        <is>
          <t>Hoàn thành</t>
        </is>
      </c>
      <c r="L148" s="37">
        <f>IF(OR(H148="",J148="Hoàn thành",J148="Đã hủy"),"",IF(H148&lt;TODAY(),"QUÁ HẠN",IF(H148-TODAY()&lt;=THIET_LAP!$B$8,"SẮP HẠN","TRONG HẠN")))</f>
        <v/>
      </c>
      <c r="M148" s="27" t="n">
        <v>46017</v>
      </c>
      <c r="N148" s="37" t="n"/>
    </row>
    <row r="149" ht="15.75" customHeight="1" s="56">
      <c r="A149" s="37" t="inlineStr">
        <is>
          <t>BK-TSK-0146</t>
        </is>
      </c>
      <c r="B149" s="37" t="inlineStr">
        <is>
          <t>BK-HS-0146</t>
        </is>
      </c>
      <c r="C149" s="37" t="inlineStr">
        <is>
          <t>Phòng Đo đạc</t>
        </is>
      </c>
      <c r="D149" s="37" t="inlineStr">
        <is>
          <t>Xác định diện tích</t>
        </is>
      </c>
      <c r="E149" s="37" t="inlineStr">
        <is>
          <t>Giám đốc</t>
        </is>
      </c>
      <c r="F149" s="37" t="inlineStr">
        <is>
          <t>Tạ Khắc Tập</t>
        </is>
      </c>
      <c r="G149" s="27" t="n">
        <v>46016</v>
      </c>
      <c r="H149" s="27" t="n">
        <v>46019</v>
      </c>
      <c r="I149" s="37" t="n"/>
      <c r="J149" s="37" t="inlineStr">
        <is>
          <t>Hoàn thành</t>
        </is>
      </c>
      <c r="K149" s="37" t="inlineStr">
        <is>
          <t>Hoàn thành</t>
        </is>
      </c>
      <c r="L149" s="37">
        <f>IF(OR(H149="",J149="Hoàn thành",J149="Đã hủy"),"",IF(H149&lt;TODAY(),"QUÁ HẠN",IF(H149-TODAY()&lt;=THIET_LAP!$B$8,"SẮP HẠN","TRONG HẠN")))</f>
        <v/>
      </c>
      <c r="M149" s="27" t="n">
        <v>46016</v>
      </c>
      <c r="N149" s="37" t="n"/>
    </row>
    <row r="150" ht="15.75" customHeight="1" s="56">
      <c r="A150" s="37" t="inlineStr">
        <is>
          <t>BK-TSK-0147</t>
        </is>
      </c>
      <c r="B150" s="37" t="inlineStr">
        <is>
          <t>BK-HS-0147</t>
        </is>
      </c>
      <c r="C150" s="37" t="inlineStr">
        <is>
          <t>Phòng Đo đạc</t>
        </is>
      </c>
      <c r="D150" s="37" t="inlineStr">
        <is>
          <t>Cắm mốc</t>
        </is>
      </c>
      <c r="E150" s="37" t="inlineStr">
        <is>
          <t>Giám đốc</t>
        </is>
      </c>
      <c r="F150" s="37" t="inlineStr">
        <is>
          <t>Lê Văn Dựng</t>
        </is>
      </c>
      <c r="G150" s="27" t="n">
        <v>46015</v>
      </c>
      <c r="H150" s="27" t="n">
        <v>46016</v>
      </c>
      <c r="I150" s="37" t="inlineStr">
        <is>
          <t>Cao</t>
        </is>
      </c>
      <c r="J150" s="37" t="inlineStr">
        <is>
          <t>Hoàn thành</t>
        </is>
      </c>
      <c r="K150" s="37" t="inlineStr">
        <is>
          <t>Hoàn thành</t>
        </is>
      </c>
      <c r="L150" s="37">
        <f>IF(OR(H150="",J150="Hoàn thành",J150="Đã hủy"),"",IF(H150&lt;TODAY(),"QUÁ HẠN",IF(H150-TODAY()&lt;=THIET_LAP!$B$8,"SẮP HẠN","TRONG HẠN")))</f>
        <v/>
      </c>
      <c r="M150" s="27" t="n">
        <v>46016</v>
      </c>
      <c r="N150" s="37" t="n"/>
    </row>
    <row r="151" ht="15.75" customHeight="1" s="56">
      <c r="A151" s="37" t="inlineStr">
        <is>
          <t>BK-TSK-0148</t>
        </is>
      </c>
      <c r="B151" s="37" t="inlineStr">
        <is>
          <t>BK-HS-0148</t>
        </is>
      </c>
      <c r="C151" s="37" t="inlineStr">
        <is>
          <t>Phòng Đo đạc</t>
        </is>
      </c>
      <c r="D151" s="37" t="inlineStr">
        <is>
          <t>Đo GPS</t>
        </is>
      </c>
      <c r="E151" s="37" t="inlineStr">
        <is>
          <t>Giám đốc</t>
        </is>
      </c>
      <c r="F151" s="37" t="inlineStr">
        <is>
          <t>Lê Văn Dựng</t>
        </is>
      </c>
      <c r="G151" s="27" t="n">
        <v>46015</v>
      </c>
      <c r="H151" s="27" t="n">
        <v>46018</v>
      </c>
      <c r="I151" s="37" t="n"/>
      <c r="J151" s="37" t="inlineStr">
        <is>
          <t>Hoàn thành</t>
        </is>
      </c>
      <c r="K151" s="37" t="inlineStr">
        <is>
          <t>Hoàn thành</t>
        </is>
      </c>
      <c r="L151" s="37">
        <f>IF(OR(H151="",J151="Hoàn thành",J151="Đã hủy"),"",IF(H151&lt;TODAY(),"QUÁ HẠN",IF(H151-TODAY()&lt;=THIET_LAP!$B$8,"SẮP HẠN","TRONG HẠN")))</f>
        <v/>
      </c>
      <c r="M151" s="27" t="n">
        <v>46016</v>
      </c>
      <c r="N151" s="37" t="n"/>
    </row>
    <row r="152" ht="15.75" customHeight="1" s="56">
      <c r="A152" s="37" t="inlineStr">
        <is>
          <t>BK-TSK-0149</t>
        </is>
      </c>
      <c r="B152" s="37" t="inlineStr">
        <is>
          <t>BK-HS-0149</t>
        </is>
      </c>
      <c r="C152" s="37" t="inlineStr">
        <is>
          <t>Phòng Đo đạc</t>
        </is>
      </c>
      <c r="D152" s="37" t="inlineStr">
        <is>
          <t>Cấp đổi</t>
        </is>
      </c>
      <c r="E152" s="37" t="inlineStr">
        <is>
          <t>Giám đốc</t>
        </is>
      </c>
      <c r="F152" s="37" t="inlineStr">
        <is>
          <t>Lê Văn Dựng</t>
        </is>
      </c>
      <c r="G152" s="27" t="n">
        <v>46015</v>
      </c>
      <c r="H152" s="27" t="n">
        <v>46018</v>
      </c>
      <c r="I152" s="37" t="n"/>
      <c r="J152" s="37" t="inlineStr">
        <is>
          <t>Hủy</t>
        </is>
      </c>
      <c r="K152" s="37" t="inlineStr">
        <is>
          <t>ĐÃ HỦY</t>
        </is>
      </c>
      <c r="L152" s="37">
        <f>IF(OR(H152="",J152="Hoàn thành",J152="Đã hủy"),"",IF(H152&lt;TODAY(),"QUÁ HẠN",IF(H152-TODAY()&lt;=THIET_LAP!$B$8,"SẮP HẠN","TRONG HẠN")))</f>
        <v/>
      </c>
      <c r="M152" s="27" t="n"/>
      <c r="N152" s="37" t="n"/>
    </row>
    <row r="153" ht="15.75" customHeight="1" s="56">
      <c r="A153" s="37" t="inlineStr">
        <is>
          <t>BK-TSK-0150</t>
        </is>
      </c>
      <c r="B153" s="37" t="inlineStr">
        <is>
          <t>BK-HS-0150</t>
        </is>
      </c>
      <c r="C153" s="37" t="inlineStr">
        <is>
          <t>Phòng Đo đạc</t>
        </is>
      </c>
      <c r="D153" s="37" t="inlineStr">
        <is>
          <t>Đo GPS</t>
        </is>
      </c>
      <c r="E153" s="37" t="inlineStr">
        <is>
          <t>Giám đốc</t>
        </is>
      </c>
      <c r="F153" s="37" t="inlineStr">
        <is>
          <t>Lê Văn Dựng</t>
        </is>
      </c>
      <c r="G153" s="27" t="n">
        <v>46015</v>
      </c>
      <c r="H153" s="27" t="n">
        <v>46018</v>
      </c>
      <c r="I153" s="37" t="n"/>
      <c r="J153" s="37" t="inlineStr">
        <is>
          <t>Hoàn thành</t>
        </is>
      </c>
      <c r="K153" s="37" t="inlineStr">
        <is>
          <t>Hoàn thành</t>
        </is>
      </c>
      <c r="L153" s="37">
        <f>IF(OR(H153="",J153="Hoàn thành",J153="Đã hủy"),"",IF(H153&lt;TODAY(),"QUÁ HẠN",IF(H153-TODAY()&lt;=THIET_LAP!$B$8,"SẮP HẠN","TRONG HẠN")))</f>
        <v/>
      </c>
      <c r="M153" s="27" t="n">
        <v>46011</v>
      </c>
      <c r="N153" s="37" t="n"/>
    </row>
    <row r="154" ht="15.75" customHeight="1" s="56">
      <c r="A154" s="37" t="inlineStr">
        <is>
          <t>BK-TSK-0151</t>
        </is>
      </c>
      <c r="B154" s="37" t="inlineStr">
        <is>
          <t>BK-HS-0151</t>
        </is>
      </c>
      <c r="C154" s="37" t="inlineStr">
        <is>
          <t>Phòng Đo đạc</t>
        </is>
      </c>
      <c r="D154" s="37" t="inlineStr">
        <is>
          <t>Điều chỉnh bản vẽ</t>
        </is>
      </c>
      <c r="E154" s="37" t="inlineStr">
        <is>
          <t>Giám đốc</t>
        </is>
      </c>
      <c r="F154" s="37" t="inlineStr">
        <is>
          <t>Tạ Khắc Tập</t>
        </is>
      </c>
      <c r="G154" s="27" t="n">
        <v>46015</v>
      </c>
      <c r="H154" s="27" t="n">
        <v>46018</v>
      </c>
      <c r="I154" s="37" t="n"/>
      <c r="J154" s="37" t="inlineStr">
        <is>
          <t>Hoàn thành</t>
        </is>
      </c>
      <c r="K154" s="37" t="inlineStr">
        <is>
          <t>Hoàn thành</t>
        </is>
      </c>
      <c r="L154" s="37">
        <f>IF(OR(H154="",J154="Hoàn thành",J154="Đã hủy"),"",IF(H154&lt;TODAY(),"QUÁ HẠN",IF(H154-TODAY()&lt;=THIET_LAP!$B$8,"SẮP HẠN","TRONG HẠN")))</f>
        <v/>
      </c>
      <c r="M154" s="27" t="n">
        <v>46029</v>
      </c>
      <c r="N154" s="37" t="n"/>
    </row>
    <row r="155" ht="15.75" customHeight="1" s="56">
      <c r="A155" s="37" t="inlineStr">
        <is>
          <t>BK-TSK-0152</t>
        </is>
      </c>
      <c r="B155" s="37" t="inlineStr">
        <is>
          <t>BK-HS-0152</t>
        </is>
      </c>
      <c r="C155" s="37" t="inlineStr">
        <is>
          <t>Phòng Đo đạc</t>
        </is>
      </c>
      <c r="D155" s="37" t="inlineStr">
        <is>
          <t>Cấp đổi</t>
        </is>
      </c>
      <c r="E155" s="37" t="inlineStr">
        <is>
          <t>Giám đốc</t>
        </is>
      </c>
      <c r="F155" s="37" t="inlineStr">
        <is>
          <t>Lê Văn Dựng</t>
        </is>
      </c>
      <c r="G155" s="27" t="n">
        <v>46014</v>
      </c>
      <c r="H155" s="27" t="n">
        <v>46017</v>
      </c>
      <c r="I155" s="37" t="n"/>
      <c r="J155" s="37" t="inlineStr">
        <is>
          <t>Hủy</t>
        </is>
      </c>
      <c r="K155" s="37" t="inlineStr">
        <is>
          <t>ĐÃ HỦY</t>
        </is>
      </c>
      <c r="L155" s="37">
        <f>IF(OR(H155="",J155="Hoàn thành",J155="Đã hủy"),"",IF(H155&lt;TODAY(),"QUÁ HẠN",IF(H155-TODAY()&lt;=THIET_LAP!$B$8,"SẮP HẠN","TRONG HẠN")))</f>
        <v/>
      </c>
      <c r="M155" s="27" t="n"/>
      <c r="N155" s="37" t="n"/>
    </row>
    <row r="156" ht="15.75" customHeight="1" s="56">
      <c r="A156" s="37" t="inlineStr">
        <is>
          <t>BK-TSK-0153</t>
        </is>
      </c>
      <c r="B156" s="37" t="inlineStr">
        <is>
          <t>BK-HS-0153</t>
        </is>
      </c>
      <c r="C156" s="37" t="inlineStr">
        <is>
          <t>Phòng Đo đạc</t>
        </is>
      </c>
      <c r="D156" s="37" t="inlineStr">
        <is>
          <t>Xác định diện tích</t>
        </is>
      </c>
      <c r="E156" s="37" t="inlineStr">
        <is>
          <t>Giám đốc</t>
        </is>
      </c>
      <c r="F156" s="37" t="inlineStr">
        <is>
          <t>Lê Văn Dựng</t>
        </is>
      </c>
      <c r="G156" s="27" t="n">
        <v>46014</v>
      </c>
      <c r="H156" s="27" t="n">
        <v>46017</v>
      </c>
      <c r="I156" s="37" t="n"/>
      <c r="J156" s="37" t="inlineStr">
        <is>
          <t>Hoàn thành</t>
        </is>
      </c>
      <c r="K156" s="37" t="inlineStr">
        <is>
          <t>Hoàn thành</t>
        </is>
      </c>
      <c r="L156" s="37">
        <f>IF(OR(H156="",J156="Hoàn thành",J156="Đã hủy"),"",IF(H156&lt;TODAY(),"QUÁ HẠN",IF(H156-TODAY()&lt;=THIET_LAP!$B$8,"SẮP HẠN","TRONG HẠN")))</f>
        <v/>
      </c>
      <c r="M156" s="27" t="n">
        <v>46016</v>
      </c>
      <c r="N156" s="37" t="n"/>
    </row>
    <row r="157" ht="15.75" customHeight="1" s="56">
      <c r="A157" s="37" t="inlineStr">
        <is>
          <t>BK-TSK-0154</t>
        </is>
      </c>
      <c r="B157" s="37" t="inlineStr">
        <is>
          <t>BK-HS-0154</t>
        </is>
      </c>
      <c r="C157" s="37" t="inlineStr">
        <is>
          <t>Phòng Đo đạc</t>
        </is>
      </c>
      <c r="D157" s="37" t="inlineStr">
        <is>
          <t>Cắm mốc</t>
        </is>
      </c>
      <c r="E157" s="37" t="inlineStr">
        <is>
          <t>Giám đốc</t>
        </is>
      </c>
      <c r="F157" s="37" t="inlineStr">
        <is>
          <t>Lê Văn Dựng</t>
        </is>
      </c>
      <c r="G157" s="27" t="n">
        <v>46014</v>
      </c>
      <c r="H157" s="27" t="n">
        <v>46015</v>
      </c>
      <c r="I157" s="37" t="inlineStr">
        <is>
          <t>Cao</t>
        </is>
      </c>
      <c r="J157" s="37" t="inlineStr">
        <is>
          <t>Hoàn thành</t>
        </is>
      </c>
      <c r="K157" s="37" t="inlineStr">
        <is>
          <t>Hoàn thành</t>
        </is>
      </c>
      <c r="L157" s="37">
        <f>IF(OR(H157="",J157="Hoàn thành",J157="Đã hủy"),"",IF(H157&lt;TODAY(),"QUÁ HẠN",IF(H157-TODAY()&lt;=THIET_LAP!$B$8,"SẮP HẠN","TRONG HẠN")))</f>
        <v/>
      </c>
      <c r="M157" s="27" t="n">
        <v>46014</v>
      </c>
      <c r="N157" s="37" t="inlineStr">
        <is>
          <t>Quận 7</t>
        </is>
      </c>
    </row>
    <row r="158" ht="15.75" customHeight="1" s="56">
      <c r="A158" s="37" t="inlineStr">
        <is>
          <t>BK-TSK-0155</t>
        </is>
      </c>
      <c r="B158" s="37" t="inlineStr">
        <is>
          <t>BK-HS-0155</t>
        </is>
      </c>
      <c r="C158" s="37" t="inlineStr">
        <is>
          <t>Phòng Đo đạc</t>
        </is>
      </c>
      <c r="D158" s="37" t="inlineStr">
        <is>
          <t>Cắm mốc</t>
        </is>
      </c>
      <c r="E158" s="37" t="inlineStr">
        <is>
          <t>Giám đốc</t>
        </is>
      </c>
      <c r="F158" s="37" t="inlineStr">
        <is>
          <t>Tạ Khắc Tập</t>
        </is>
      </c>
      <c r="G158" s="27" t="n">
        <v>46014</v>
      </c>
      <c r="H158" s="27" t="n">
        <v>46017</v>
      </c>
      <c r="I158" s="37" t="n"/>
      <c r="J158" s="37" t="inlineStr">
        <is>
          <t>Hoàn thành</t>
        </is>
      </c>
      <c r="K158" s="37" t="inlineStr">
        <is>
          <t>Hoàn thành</t>
        </is>
      </c>
      <c r="L158" s="37">
        <f>IF(OR(H158="",J158="Hoàn thành",J158="Đã hủy"),"",IF(H158&lt;TODAY(),"QUÁ HẠN",IF(H158-TODAY()&lt;=THIET_LAP!$B$8,"SẮP HẠN","TRONG HẠN")))</f>
        <v/>
      </c>
      <c r="M158" s="27" t="n">
        <v>46011</v>
      </c>
      <c r="N158" s="37" t="inlineStr">
        <is>
          <t>6 lô</t>
        </is>
      </c>
    </row>
    <row r="159" ht="15.75" customHeight="1" s="56">
      <c r="A159" s="37" t="inlineStr">
        <is>
          <t>BK-TSK-0156</t>
        </is>
      </c>
      <c r="B159" s="37" t="inlineStr">
        <is>
          <t>BK-HS-0156</t>
        </is>
      </c>
      <c r="C159" s="37" t="inlineStr">
        <is>
          <t>Phòng Đo đạc</t>
        </is>
      </c>
      <c r="D159" s="37" t="inlineStr">
        <is>
          <t>Cắm mốc</t>
        </is>
      </c>
      <c r="E159" s="37" t="inlineStr">
        <is>
          <t>Giám đốc</t>
        </is>
      </c>
      <c r="F159" s="37" t="inlineStr">
        <is>
          <t>Tạ Khắc Tập</t>
        </is>
      </c>
      <c r="G159" s="27" t="n">
        <v>46014</v>
      </c>
      <c r="H159" s="27" t="n">
        <v>46017</v>
      </c>
      <c r="I159" s="37" t="n"/>
      <c r="J159" s="37" t="inlineStr">
        <is>
          <t>Hoàn thành</t>
        </is>
      </c>
      <c r="K159" s="37" t="inlineStr">
        <is>
          <t>Hoàn thành</t>
        </is>
      </c>
      <c r="L159" s="37">
        <f>IF(OR(H159="",J159="Hoàn thành",J159="Đã hủy"),"",IF(H159&lt;TODAY(),"QUÁ HẠN",IF(H159-TODAY()&lt;=THIET_LAP!$B$8,"SẮP HẠN","TRONG HẠN")))</f>
        <v/>
      </c>
      <c r="M159" s="27" t="n">
        <v>46014</v>
      </c>
      <c r="N159" s="37" t="n"/>
    </row>
    <row r="160" ht="15.75" customHeight="1" s="56">
      <c r="A160" s="37" t="inlineStr">
        <is>
          <t>BK-TSK-0157</t>
        </is>
      </c>
      <c r="B160" s="37" t="inlineStr">
        <is>
          <t>BK-HS-0157</t>
        </is>
      </c>
      <c r="C160" s="37" t="inlineStr">
        <is>
          <t>Phòng Đo đạc</t>
        </is>
      </c>
      <c r="D160" s="37" t="inlineStr">
        <is>
          <t>Cấp đổi</t>
        </is>
      </c>
      <c r="E160" s="37" t="inlineStr">
        <is>
          <t>Giám đốc</t>
        </is>
      </c>
      <c r="F160" s="37" t="inlineStr">
        <is>
          <t>Tạ Khắc Tập</t>
        </is>
      </c>
      <c r="G160" s="27" t="n">
        <v>46011</v>
      </c>
      <c r="H160" s="27" t="n">
        <v>46014</v>
      </c>
      <c r="I160" s="37" t="n"/>
      <c r="J160" s="37" t="inlineStr">
        <is>
          <t>Hoàn thành</t>
        </is>
      </c>
      <c r="K160" s="37" t="inlineStr">
        <is>
          <t>Hoàn thành</t>
        </is>
      </c>
      <c r="L160" s="37">
        <f>IF(OR(H160="",J160="Hoàn thành",J160="Đã hủy"),"",IF(H160&lt;TODAY(),"QUÁ HẠN",IF(H160-TODAY()&lt;=THIET_LAP!$B$8,"SẮP HẠN","TRONG HẠN")))</f>
        <v/>
      </c>
      <c r="M160" s="27" t="n">
        <v>46032</v>
      </c>
      <c r="N160" s="37" t="n"/>
    </row>
    <row r="161" ht="15.75" customHeight="1" s="56">
      <c r="A161" s="37" t="inlineStr">
        <is>
          <t>BK-TSK-0158</t>
        </is>
      </c>
      <c r="B161" s="37" t="inlineStr">
        <is>
          <t>BK-HS-0158</t>
        </is>
      </c>
      <c r="C161" s="37" t="inlineStr">
        <is>
          <t>Phòng Đo đạc</t>
        </is>
      </c>
      <c r="D161" s="37" t="inlineStr">
        <is>
          <t>Cấp đổi</t>
        </is>
      </c>
      <c r="E161" s="37" t="inlineStr">
        <is>
          <t>Giám đốc</t>
        </is>
      </c>
      <c r="F161" s="37" t="inlineStr">
        <is>
          <t>Tạ Khắc Tập</t>
        </is>
      </c>
      <c r="G161" s="27" t="n">
        <v>46011</v>
      </c>
      <c r="H161" s="27" t="n">
        <v>46014</v>
      </c>
      <c r="I161" s="37" t="n"/>
      <c r="J161" s="37" t="inlineStr">
        <is>
          <t>Hủy</t>
        </is>
      </c>
      <c r="K161" s="37" t="inlineStr">
        <is>
          <t>ĐÃ HỦY</t>
        </is>
      </c>
      <c r="L161" s="37">
        <f>IF(OR(H161="",J161="Hoàn thành",J161="Đã hủy"),"",IF(H161&lt;TODAY(),"QUÁ HẠN",IF(H161-TODAY()&lt;=THIET_LAP!$B$8,"SẮP HẠN","TRONG HẠN")))</f>
        <v/>
      </c>
      <c r="M161" s="27" t="n"/>
      <c r="N161" s="37" t="inlineStr">
        <is>
          <t>GIAM DT dat tre chua chot PA</t>
        </is>
      </c>
    </row>
    <row r="162" ht="15.75" customHeight="1" s="56">
      <c r="A162" s="37" t="inlineStr">
        <is>
          <t>BK-TSK-0159</t>
        </is>
      </c>
      <c r="B162" s="37" t="inlineStr">
        <is>
          <t>BK-HS-0159</t>
        </is>
      </c>
      <c r="C162" s="37" t="inlineStr">
        <is>
          <t>Phòng Đo đạc</t>
        </is>
      </c>
      <c r="D162" s="37" t="inlineStr">
        <is>
          <t>Cắm mốc</t>
        </is>
      </c>
      <c r="E162" s="37" t="inlineStr">
        <is>
          <t>Giám đốc</t>
        </is>
      </c>
      <c r="F162" s="37" t="inlineStr">
        <is>
          <t>Lê Văn Dựng</t>
        </is>
      </c>
      <c r="G162" s="27" t="n">
        <v>46010</v>
      </c>
      <c r="H162" s="27" t="n">
        <v>46013</v>
      </c>
      <c r="I162" s="37" t="n"/>
      <c r="J162" s="37" t="inlineStr">
        <is>
          <t>Hoàn thành</t>
        </is>
      </c>
      <c r="K162" s="37" t="inlineStr">
        <is>
          <t>Hoàn thành</t>
        </is>
      </c>
      <c r="L162" s="37">
        <f>IF(OR(H162="",J162="Hoàn thành",J162="Đã hủy"),"",IF(H162&lt;TODAY(),"QUÁ HẠN",IF(H162-TODAY()&lt;=THIET_LAP!$B$8,"SẮP HẠN","TRONG HẠN")))</f>
        <v/>
      </c>
      <c r="M162" s="27" t="n">
        <v>46009</v>
      </c>
      <c r="N162" s="37" t="n"/>
    </row>
    <row r="163" ht="15.75" customHeight="1" s="56">
      <c r="A163" s="37" t="inlineStr">
        <is>
          <t>BK-TSK-0160</t>
        </is>
      </c>
      <c r="B163" s="37" t="inlineStr">
        <is>
          <t>BK-HS-0160</t>
        </is>
      </c>
      <c r="C163" s="37" t="inlineStr">
        <is>
          <t>Phòng Đo đạc</t>
        </is>
      </c>
      <c r="D163" s="37" t="inlineStr">
        <is>
          <t>Cắm mốc</t>
        </is>
      </c>
      <c r="E163" s="37" t="inlineStr">
        <is>
          <t>Giám đốc</t>
        </is>
      </c>
      <c r="F163" s="37" t="inlineStr">
        <is>
          <t>Tạ Khắc Tập</t>
        </is>
      </c>
      <c r="G163" s="27" t="n">
        <v>46009</v>
      </c>
      <c r="H163" s="27" t="n">
        <v>46012</v>
      </c>
      <c r="I163" s="37" t="n"/>
      <c r="J163" s="37" t="inlineStr">
        <is>
          <t>Hoàn thành</t>
        </is>
      </c>
      <c r="K163" s="37" t="inlineStr">
        <is>
          <t>Hoàn thành</t>
        </is>
      </c>
      <c r="L163" s="37">
        <f>IF(OR(H163="",J163="Hoàn thành",J163="Đã hủy"),"",IF(H163&lt;TODAY(),"QUÁ HẠN",IF(H163-TODAY()&lt;=THIET_LAP!$B$8,"SẮP HẠN","TRONG HẠN")))</f>
        <v/>
      </c>
      <c r="M163" s="27" t="n">
        <v>46008</v>
      </c>
      <c r="N163" s="37" t="n"/>
    </row>
    <row r="164" ht="15.75" customHeight="1" s="56">
      <c r="A164" s="37" t="inlineStr">
        <is>
          <t>BK-TSK-0161</t>
        </is>
      </c>
      <c r="B164" s="37" t="inlineStr">
        <is>
          <t>BK-HS-0161</t>
        </is>
      </c>
      <c r="C164" s="37" t="inlineStr">
        <is>
          <t>Phòng Đo đạc</t>
        </is>
      </c>
      <c r="D164" s="37" t="inlineStr">
        <is>
          <t>Cấp đổi</t>
        </is>
      </c>
      <c r="E164" s="37" t="inlineStr">
        <is>
          <t>Giám đốc</t>
        </is>
      </c>
      <c r="F164" s="37" t="inlineStr">
        <is>
          <t>Tạ Khắc Tập</t>
        </is>
      </c>
      <c r="G164" s="27" t="n">
        <v>46009</v>
      </c>
      <c r="H164" s="27" t="n">
        <v>46012</v>
      </c>
      <c r="I164" s="37" t="n"/>
      <c r="J164" s="37" t="inlineStr">
        <is>
          <t>Hoàn thành</t>
        </is>
      </c>
      <c r="K164" s="37" t="inlineStr">
        <is>
          <t>Hoàn thành</t>
        </is>
      </c>
      <c r="L164" s="37">
        <f>IF(OR(H164="",J164="Hoàn thành",J164="Đã hủy"),"",IF(H164&lt;TODAY(),"QUÁ HẠN",IF(H164-TODAY()&lt;=THIET_LAP!$B$8,"SẮP HẠN","TRONG HẠN")))</f>
        <v/>
      </c>
      <c r="M164" s="27" t="n">
        <v>46055</v>
      </c>
      <c r="N164" s="37" t="inlineStr">
        <is>
          <t>giamdt cho chu tháo tuong rao</t>
        </is>
      </c>
    </row>
    <row r="165" ht="15.75" customHeight="1" s="56">
      <c r="A165" s="37" t="inlineStr">
        <is>
          <t>BK-TSK-0162</t>
        </is>
      </c>
      <c r="B165" s="37" t="inlineStr">
        <is>
          <t>BK-HS-0162</t>
        </is>
      </c>
      <c r="C165" s="37" t="inlineStr">
        <is>
          <t>Phòng Đo đạc</t>
        </is>
      </c>
      <c r="D165" s="37" t="inlineStr">
        <is>
          <t>Cấp đổi</t>
        </is>
      </c>
      <c r="E165" s="37" t="inlineStr">
        <is>
          <t>Giám đốc</t>
        </is>
      </c>
      <c r="F165" s="37" t="inlineStr">
        <is>
          <t>Tạ Khắc Tập</t>
        </is>
      </c>
      <c r="G165" s="27" t="n">
        <v>46009</v>
      </c>
      <c r="H165" s="27" t="n">
        <v>46012</v>
      </c>
      <c r="I165" s="37" t="n"/>
      <c r="J165" s="37" t="inlineStr">
        <is>
          <t>Nộp thành công - Chờ kết quả</t>
        </is>
      </c>
      <c r="K165" s="37" t="inlineStr">
        <is>
          <t>Đã nộp</t>
        </is>
      </c>
      <c r="L165" s="37">
        <f>IF(OR(H165="",J165="Hoàn thành",J165="Đã hủy"),"",IF(H165&lt;TODAY(),"QUÁ HẠN",IF(H165-TODAY()&lt;=THIET_LAP!$B$8,"SẮP HẠN","TRONG HẠN")))</f>
        <v/>
      </c>
      <c r="M165" s="27" t="n"/>
      <c r="N165" s="37" t="inlineStr">
        <is>
          <t>CHO ĐO gps</t>
        </is>
      </c>
    </row>
    <row r="166" ht="15.75" customHeight="1" s="56">
      <c r="A166" s="37" t="inlineStr">
        <is>
          <t>BK-TSK-0163</t>
        </is>
      </c>
      <c r="B166" s="37" t="inlineStr">
        <is>
          <t>BK-HS-0163</t>
        </is>
      </c>
      <c r="C166" s="37" t="inlineStr">
        <is>
          <t>Phòng Đo đạc</t>
        </is>
      </c>
      <c r="D166" s="37" t="inlineStr">
        <is>
          <t>Cấp sổ lần đầu</t>
        </is>
      </c>
      <c r="E166" s="37" t="inlineStr">
        <is>
          <t>Giám đốc</t>
        </is>
      </c>
      <c r="F166" s="37" t="inlineStr">
        <is>
          <t>Trương Tấn Quốc</t>
        </is>
      </c>
      <c r="G166" s="27" t="n">
        <v>46009</v>
      </c>
      <c r="H166" s="27" t="n">
        <v>46012</v>
      </c>
      <c r="I166" s="37" t="n"/>
      <c r="J166" s="37" t="inlineStr">
        <is>
          <t>Hoàn thành</t>
        </is>
      </c>
      <c r="K166" s="37" t="inlineStr">
        <is>
          <t>Hoàn thành</t>
        </is>
      </c>
      <c r="L166" s="37">
        <f>IF(OR(H166="",J166="Hoàn thành",J166="Đã hủy"),"",IF(H166&lt;TODAY(),"QUÁ HẠN",IF(H166-TODAY()&lt;=THIET_LAP!$B$8,"SẮP HẠN","TRONG HẠN")))</f>
        <v/>
      </c>
      <c r="M166" s="27" t="n">
        <v>46034</v>
      </c>
      <c r="N166" s="37" t="inlineStr">
        <is>
          <t>Đợi trích lục</t>
        </is>
      </c>
    </row>
    <row r="167" ht="15.75" customHeight="1" s="56">
      <c r="A167" s="37" t="inlineStr">
        <is>
          <t>BK-TSK-0164</t>
        </is>
      </c>
      <c r="B167" s="37" t="inlineStr">
        <is>
          <t>BK-HS-0164</t>
        </is>
      </c>
      <c r="C167" s="37" t="inlineStr">
        <is>
          <t>Phòng Đo đạc</t>
        </is>
      </c>
      <c r="D167" s="37" t="inlineStr">
        <is>
          <t>Hoàn công</t>
        </is>
      </c>
      <c r="E167" s="37" t="inlineStr">
        <is>
          <t>Giám đốc</t>
        </is>
      </c>
      <c r="F167" s="37" t="inlineStr">
        <is>
          <t>Lê Văn Xây</t>
        </is>
      </c>
      <c r="G167" s="27" t="n">
        <v>46009</v>
      </c>
      <c r="H167" s="27" t="n">
        <v>46012</v>
      </c>
      <c r="I167" s="37" t="n"/>
      <c r="J167" s="37" t="inlineStr">
        <is>
          <t>Nộp thành công - Chờ kết quả</t>
        </is>
      </c>
      <c r="K167" s="37" t="inlineStr">
        <is>
          <t>Đã nộp</t>
        </is>
      </c>
      <c r="L167" s="37">
        <f>IF(OR(H167="",J167="Hoàn thành",J167="Đã hủy"),"",IF(H167&lt;TODAY(),"QUÁ HẠN",IF(H167-TODAY()&lt;=THIET_LAP!$B$8,"SẮP HẠN","TRONG HẠN")))</f>
        <v/>
      </c>
      <c r="M167" s="27" t="n"/>
      <c r="N167" s="37" t="n"/>
    </row>
    <row r="168" ht="15.75" customHeight="1" s="56">
      <c r="A168" s="37" t="inlineStr">
        <is>
          <t>BK-TSK-0165</t>
        </is>
      </c>
      <c r="B168" s="37" t="inlineStr">
        <is>
          <t>BK-HS-0165</t>
        </is>
      </c>
      <c r="C168" s="37" t="inlineStr">
        <is>
          <t>Phòng Đo đạc</t>
        </is>
      </c>
      <c r="D168" s="37" t="inlineStr">
        <is>
          <t>Tách Thửa</t>
        </is>
      </c>
      <c r="E168" s="37" t="inlineStr">
        <is>
          <t>Giám đốc</t>
        </is>
      </c>
      <c r="F168" s="37" t="inlineStr">
        <is>
          <t>Lê Văn Xây</t>
        </is>
      </c>
      <c r="G168" s="27" t="n">
        <v>46007</v>
      </c>
      <c r="H168" s="27" t="n">
        <v>46010</v>
      </c>
      <c r="I168" s="37" t="n"/>
      <c r="J168" s="37" t="inlineStr">
        <is>
          <t>Hoàn thành</t>
        </is>
      </c>
      <c r="K168" s="37" t="inlineStr">
        <is>
          <t>Hoàn thành</t>
        </is>
      </c>
      <c r="L168" s="37">
        <f>IF(OR(H168="",J168="Hoàn thành",J168="Đã hủy"),"",IF(H168&lt;TODAY(),"QUÁ HẠN",IF(H168-TODAY()&lt;=THIET_LAP!$B$8,"SẮP HẠN","TRONG HẠN")))</f>
        <v/>
      </c>
      <c r="M168" s="27" t="n">
        <v>46037</v>
      </c>
      <c r="N168" s="37" t="n"/>
    </row>
    <row r="169" ht="15.75" customHeight="1" s="56">
      <c r="A169" s="37" t="inlineStr">
        <is>
          <t>BK-TSK-0166</t>
        </is>
      </c>
      <c r="B169" s="37" t="inlineStr">
        <is>
          <t>BK-HS-0166</t>
        </is>
      </c>
      <c r="C169" s="37" t="inlineStr">
        <is>
          <t>Phòng Đo đạc</t>
        </is>
      </c>
      <c r="D169" s="37" t="inlineStr">
        <is>
          <t>Hoàn công</t>
        </is>
      </c>
      <c r="E169" s="37" t="inlineStr">
        <is>
          <t>Giám đốc</t>
        </is>
      </c>
      <c r="F169" s="37" t="inlineStr">
        <is>
          <t>Lê Văn Dựng</t>
        </is>
      </c>
      <c r="G169" s="27" t="n">
        <v>46006</v>
      </c>
      <c r="H169" s="27" t="n">
        <v>46009</v>
      </c>
      <c r="I169" s="37" t="n"/>
      <c r="J169" s="37" t="inlineStr">
        <is>
          <t>Nộp thành công - Chờ kết quả</t>
        </is>
      </c>
      <c r="K169" s="37" t="inlineStr">
        <is>
          <t>Đã nộp</t>
        </is>
      </c>
      <c r="L169" s="37">
        <f>IF(OR(H169="",J169="Hoàn thành",J169="Đã hủy"),"",IF(H169&lt;TODAY(),"QUÁ HẠN",IF(H169-TODAY()&lt;=THIET_LAP!$B$8,"SẮP HẠN","TRONG HẠN")))</f>
        <v/>
      </c>
      <c r="M169" s="27" t="n"/>
      <c r="N169" s="37" t="n"/>
    </row>
    <row r="170" ht="15.75" customHeight="1" s="56">
      <c r="A170" s="37" t="inlineStr">
        <is>
          <t>BK-TSK-0167</t>
        </is>
      </c>
      <c r="B170" s="37" t="inlineStr">
        <is>
          <t>BK-HS-0167</t>
        </is>
      </c>
      <c r="C170" s="37" t="inlineStr">
        <is>
          <t>Phòng Đo đạc</t>
        </is>
      </c>
      <c r="D170" s="37" t="inlineStr">
        <is>
          <t>Hoàn công</t>
        </is>
      </c>
      <c r="E170" s="37" t="inlineStr">
        <is>
          <t>Giám đốc</t>
        </is>
      </c>
      <c r="F170" s="37" t="inlineStr">
        <is>
          <t>Lê Văn Dựng</t>
        </is>
      </c>
      <c r="G170" s="27" t="n">
        <v>46006</v>
      </c>
      <c r="H170" s="27" t="n">
        <v>46009</v>
      </c>
      <c r="I170" s="37" t="n"/>
      <c r="J170" s="37" t="inlineStr">
        <is>
          <t>Nộp thành công - Chờ kết quả</t>
        </is>
      </c>
      <c r="K170" s="37" t="inlineStr">
        <is>
          <t>Đã nộp</t>
        </is>
      </c>
      <c r="L170" s="37">
        <f>IF(OR(H170="",J170="Hoàn thành",J170="Đã hủy"),"",IF(H170&lt;TODAY(),"QUÁ HẠN",IF(H170-TODAY()&lt;=THIET_LAP!$B$8,"SẮP HẠN","TRONG HẠN")))</f>
        <v/>
      </c>
      <c r="M170" s="27" t="n"/>
      <c r="N170" s="37" t="n"/>
    </row>
    <row r="171" ht="15.75" customHeight="1" s="56">
      <c r="A171" s="37" t="inlineStr">
        <is>
          <t>BK-TSK-0168</t>
        </is>
      </c>
      <c r="B171" s="37" t="inlineStr">
        <is>
          <t>BK-HS-0168</t>
        </is>
      </c>
      <c r="C171" s="37" t="inlineStr">
        <is>
          <t>Phòng Đo đạc</t>
        </is>
      </c>
      <c r="D171" s="37" t="inlineStr">
        <is>
          <t>Tách Thửa</t>
        </is>
      </c>
      <c r="E171" s="37" t="inlineStr">
        <is>
          <t>Giám đốc</t>
        </is>
      </c>
      <c r="F171" s="37" t="inlineStr">
        <is>
          <t>Trương Tấn Quốc</t>
        </is>
      </c>
      <c r="G171" s="27" t="n">
        <v>46003</v>
      </c>
      <c r="H171" s="27" t="n">
        <v>46006</v>
      </c>
      <c r="I171" s="37" t="n"/>
      <c r="J171" s="37" t="inlineStr">
        <is>
          <t>Hoàn thành</t>
        </is>
      </c>
      <c r="K171" s="37" t="inlineStr">
        <is>
          <t>Hoàn thành</t>
        </is>
      </c>
      <c r="L171" s="37">
        <f>IF(OR(H171="",J171="Hoàn thành",J171="Đã hủy"),"",IF(H171&lt;TODAY(),"QUÁ HẠN",IF(H171-TODAY()&lt;=THIET_LAP!$B$8,"SẮP HẠN","TRONG HẠN")))</f>
        <v/>
      </c>
      <c r="M171" s="27" t="n">
        <v>46015</v>
      </c>
      <c r="N171" s="37" t="n"/>
    </row>
    <row r="172" ht="15.75" customHeight="1" s="56">
      <c r="A172" s="37" t="inlineStr">
        <is>
          <t>BK-TSK-0169</t>
        </is>
      </c>
      <c r="B172" s="37" t="inlineStr">
        <is>
          <t>BK-HS-0169</t>
        </is>
      </c>
      <c r="C172" s="37" t="inlineStr">
        <is>
          <t>Phòng Đo đạc</t>
        </is>
      </c>
      <c r="D172" s="37" t="inlineStr">
        <is>
          <t>Tách Thửa</t>
        </is>
      </c>
      <c r="E172" s="37" t="inlineStr">
        <is>
          <t>Giám đốc</t>
        </is>
      </c>
      <c r="F172" s="37" t="inlineStr">
        <is>
          <t>Trương Tấn Quốc</t>
        </is>
      </c>
      <c r="G172" s="27" t="n">
        <v>46003</v>
      </c>
      <c r="H172" s="27" t="n">
        <v>46006</v>
      </c>
      <c r="I172" s="37" t="n"/>
      <c r="J172" s="37" t="inlineStr">
        <is>
          <t>Hoàn thành</t>
        </is>
      </c>
      <c r="K172" s="37" t="inlineStr">
        <is>
          <t>Hoàn thành</t>
        </is>
      </c>
      <c r="L172" s="37">
        <f>IF(OR(H172="",J172="Hoàn thành",J172="Đã hủy"),"",IF(H172&lt;TODAY(),"QUÁ HẠN",IF(H172-TODAY()&lt;=THIET_LAP!$B$8,"SẮP HẠN","TRONG HẠN")))</f>
        <v/>
      </c>
      <c r="M172" s="27" t="n">
        <v>46015</v>
      </c>
      <c r="N172" s="37" t="n"/>
    </row>
    <row r="173" ht="15.75" customHeight="1" s="56">
      <c r="A173" s="37" t="inlineStr">
        <is>
          <t>BK-TSK-0170</t>
        </is>
      </c>
      <c r="B173" s="37" t="inlineStr">
        <is>
          <t>BK-HS-0170</t>
        </is>
      </c>
      <c r="C173" s="37" t="inlineStr">
        <is>
          <t>Phòng Đo đạc</t>
        </is>
      </c>
      <c r="D173" s="37" t="inlineStr">
        <is>
          <t>Tách Thửa</t>
        </is>
      </c>
      <c r="E173" s="37" t="inlineStr">
        <is>
          <t>Giám đốc</t>
        </is>
      </c>
      <c r="F173" s="37" t="inlineStr">
        <is>
          <t>Trương Tấn Quốc</t>
        </is>
      </c>
      <c r="G173" s="27" t="n">
        <v>46003</v>
      </c>
      <c r="H173" s="27" t="n">
        <v>46006</v>
      </c>
      <c r="I173" s="37" t="n"/>
      <c r="J173" s="37" t="inlineStr">
        <is>
          <t>Hoàn thành</t>
        </is>
      </c>
      <c r="K173" s="37" t="inlineStr">
        <is>
          <t>Hoàn thành</t>
        </is>
      </c>
      <c r="L173" s="37">
        <f>IF(OR(H173="",J173="Hoàn thành",J173="Đã hủy"),"",IF(H173&lt;TODAY(),"QUÁ HẠN",IF(H173-TODAY()&lt;=THIET_LAP!$B$8,"SẮP HẠN","TRONG HẠN")))</f>
        <v/>
      </c>
      <c r="M173" s="27" t="n">
        <v>46015</v>
      </c>
      <c r="N173" s="37" t="n"/>
    </row>
    <row r="174" ht="15.75" customHeight="1" s="56">
      <c r="A174" s="37" t="inlineStr">
        <is>
          <t>BK-TSK-0171</t>
        </is>
      </c>
      <c r="B174" s="37" t="inlineStr">
        <is>
          <t>BK-HS-0171</t>
        </is>
      </c>
      <c r="C174" s="37" t="inlineStr">
        <is>
          <t>Phòng Đo đạc</t>
        </is>
      </c>
      <c r="D174" s="37" t="inlineStr">
        <is>
          <t>Tách Thửa</t>
        </is>
      </c>
      <c r="E174" s="37" t="inlineStr">
        <is>
          <t>Giám đốc</t>
        </is>
      </c>
      <c r="F174" s="37" t="inlineStr">
        <is>
          <t>Trương Tấn Quốc</t>
        </is>
      </c>
      <c r="G174" s="27" t="n">
        <v>46003</v>
      </c>
      <c r="H174" s="27" t="n">
        <v>46006</v>
      </c>
      <c r="I174" s="37" t="n"/>
      <c r="J174" s="37" t="inlineStr">
        <is>
          <t>Hoàn thành</t>
        </is>
      </c>
      <c r="K174" s="37" t="inlineStr">
        <is>
          <t>Hoàn thành</t>
        </is>
      </c>
      <c r="L174" s="37">
        <f>IF(OR(H174="",J174="Hoàn thành",J174="Đã hủy"),"",IF(H174&lt;TODAY(),"QUÁ HẠN",IF(H174-TODAY()&lt;=THIET_LAP!$B$8,"SẮP HẠN","TRONG HẠN")))</f>
        <v/>
      </c>
      <c r="M174" s="27" t="n">
        <v>46015</v>
      </c>
      <c r="N174" s="37" t="n"/>
    </row>
    <row r="175" ht="15.75" customHeight="1" s="56">
      <c r="A175" s="37" t="inlineStr">
        <is>
          <t>BK-TSK-0172</t>
        </is>
      </c>
      <c r="B175" s="37" t="inlineStr">
        <is>
          <t>BK-HS-0172</t>
        </is>
      </c>
      <c r="C175" s="37" t="inlineStr">
        <is>
          <t>Phòng Đo đạc</t>
        </is>
      </c>
      <c r="D175" s="37" t="inlineStr">
        <is>
          <t>Cấp đổi</t>
        </is>
      </c>
      <c r="E175" s="37" t="inlineStr">
        <is>
          <t>Giám đốc</t>
        </is>
      </c>
      <c r="F175" s="37" t="inlineStr">
        <is>
          <t>Lê Văn Dựng</t>
        </is>
      </c>
      <c r="G175" s="27" t="n">
        <v>46003</v>
      </c>
      <c r="H175" s="27" t="n">
        <v>46006</v>
      </c>
      <c r="I175" s="37" t="n"/>
      <c r="J175" s="37" t="inlineStr">
        <is>
          <t>Hoàn thành</t>
        </is>
      </c>
      <c r="K175" s="37" t="inlineStr">
        <is>
          <t>Hoàn thành</t>
        </is>
      </c>
      <c r="L175" s="37">
        <f>IF(OR(H175="",J175="Hoàn thành",J175="Đã hủy"),"",IF(H175&lt;TODAY(),"QUÁ HẠN",IF(H175-TODAY()&lt;=THIET_LAP!$B$8,"SẮP HẠN","TRONG HẠN")))</f>
        <v/>
      </c>
      <c r="M175" s="27" t="n">
        <v>46034</v>
      </c>
      <c r="N175" s="37" t="n"/>
    </row>
    <row r="176" ht="15.75" customHeight="1" s="56">
      <c r="A176" s="37" t="inlineStr">
        <is>
          <t>BK-TSK-0173</t>
        </is>
      </c>
      <c r="B176" s="37" t="inlineStr">
        <is>
          <t>BK-HS-0173</t>
        </is>
      </c>
      <c r="C176" s="37" t="inlineStr">
        <is>
          <t>Phòng Đo đạc</t>
        </is>
      </c>
      <c r="D176" s="37" t="inlineStr">
        <is>
          <t>Kiểm tra hiện trạng</t>
        </is>
      </c>
      <c r="E176" s="37" t="inlineStr">
        <is>
          <t>Giám đốc</t>
        </is>
      </c>
      <c r="F176" s="37" t="inlineStr">
        <is>
          <t>Tạ Khắc Tập</t>
        </is>
      </c>
      <c r="G176" s="27" t="n">
        <v>46003</v>
      </c>
      <c r="H176" s="27" t="n">
        <v>46006</v>
      </c>
      <c r="I176" s="37" t="n"/>
      <c r="J176" s="37" t="inlineStr">
        <is>
          <t>Hoàn thành</t>
        </is>
      </c>
      <c r="K176" s="37" t="inlineStr">
        <is>
          <t>Hoàn thành</t>
        </is>
      </c>
      <c r="L176" s="37">
        <f>IF(OR(H176="",J176="Hoàn thành",J176="Đã hủy"),"",IF(H176&lt;TODAY(),"QUÁ HẠN",IF(H176-TODAY()&lt;=THIET_LAP!$B$8,"SẮP HẠN","TRONG HẠN")))</f>
        <v/>
      </c>
      <c r="M176" s="27" t="n">
        <v>46087</v>
      </c>
      <c r="N176" s="37" t="n"/>
    </row>
    <row r="177" ht="15.75" customHeight="1" s="56">
      <c r="A177" s="37" t="inlineStr">
        <is>
          <t>BK-TSK-0174</t>
        </is>
      </c>
      <c r="B177" s="37" t="inlineStr">
        <is>
          <t>BK-HS-0174</t>
        </is>
      </c>
      <c r="C177" s="37" t="inlineStr">
        <is>
          <t>Phòng Đo đạc</t>
        </is>
      </c>
      <c r="D177" s="37" t="inlineStr">
        <is>
          <t>Chuyển mục đích</t>
        </is>
      </c>
      <c r="E177" s="37" t="inlineStr">
        <is>
          <t>Giám đốc</t>
        </is>
      </c>
      <c r="F177" s="37" t="inlineStr">
        <is>
          <t>Lê Văn Dựng</t>
        </is>
      </c>
      <c r="G177" s="27" t="n">
        <v>46003</v>
      </c>
      <c r="H177" s="27" t="n">
        <v>46006</v>
      </c>
      <c r="I177" s="37" t="n"/>
      <c r="J177" s="37" t="inlineStr">
        <is>
          <t>Nộp thành công - Chờ kết quả</t>
        </is>
      </c>
      <c r="K177" s="37" t="inlineStr">
        <is>
          <t>Đã nộp</t>
        </is>
      </c>
      <c r="L177" s="37">
        <f>IF(OR(H177="",J177="Hoàn thành",J177="Đã hủy"),"",IF(H177&lt;TODAY(),"QUÁ HẠN",IF(H177-TODAY()&lt;=THIET_LAP!$B$8,"SẮP HẠN","TRONG HẠN")))</f>
        <v/>
      </c>
      <c r="M177" s="27" t="n"/>
      <c r="N177" s="37" t="n"/>
    </row>
    <row r="178" ht="15.75" customHeight="1" s="56">
      <c r="A178" s="37" t="inlineStr">
        <is>
          <t>BK-TSK-0175</t>
        </is>
      </c>
      <c r="B178" s="37" t="inlineStr">
        <is>
          <t>BK-HS-0175</t>
        </is>
      </c>
      <c r="C178" s="37" t="inlineStr">
        <is>
          <t>Phòng Đo đạc</t>
        </is>
      </c>
      <c r="D178" s="37" t="inlineStr">
        <is>
          <t>Cấp đổi</t>
        </is>
      </c>
      <c r="E178" s="37" t="inlineStr">
        <is>
          <t>Giám đốc</t>
        </is>
      </c>
      <c r="F178" s="37" t="inlineStr">
        <is>
          <t>Lê Văn Dựng</t>
        </is>
      </c>
      <c r="G178" s="27" t="n">
        <v>46002</v>
      </c>
      <c r="H178" s="27" t="n">
        <v>46005</v>
      </c>
      <c r="I178" s="37" t="n"/>
      <c r="J178" s="37" t="inlineStr">
        <is>
          <t>Hoàn thành</t>
        </is>
      </c>
      <c r="K178" s="37" t="inlineStr">
        <is>
          <t>Hoàn thành</t>
        </is>
      </c>
      <c r="L178" s="37">
        <f>IF(OR(H178="",J178="Hoàn thành",J178="Đã hủy"),"",IF(H178&lt;TODAY(),"QUÁ HẠN",IF(H178-TODAY()&lt;=THIET_LAP!$B$8,"SẮP HẠN","TRONG HẠN")))</f>
        <v/>
      </c>
      <c r="M178" s="27" t="n">
        <v>46031</v>
      </c>
      <c r="N178" s="37" t="n"/>
    </row>
    <row r="179" ht="15.75" customHeight="1" s="56">
      <c r="A179" s="37" t="inlineStr">
        <is>
          <t>BK-TSK-0176</t>
        </is>
      </c>
      <c r="B179" s="37" t="inlineStr">
        <is>
          <t>BK-HS-0176</t>
        </is>
      </c>
      <c r="C179" s="37" t="inlineStr">
        <is>
          <t>Phòng Đo đạc</t>
        </is>
      </c>
      <c r="D179" s="37" t="inlineStr">
        <is>
          <t>Cắm mốc</t>
        </is>
      </c>
      <c r="E179" s="37" t="inlineStr">
        <is>
          <t>Giám đốc</t>
        </is>
      </c>
      <c r="F179" s="37" t="inlineStr">
        <is>
          <t>Lê Văn Dựng</t>
        </is>
      </c>
      <c r="G179" s="27" t="n">
        <v>46002</v>
      </c>
      <c r="H179" s="27" t="n">
        <v>46005</v>
      </c>
      <c r="I179" s="37" t="n"/>
      <c r="J179" s="37" t="inlineStr">
        <is>
          <t>Hoàn thành</t>
        </is>
      </c>
      <c r="K179" s="37" t="inlineStr">
        <is>
          <t>Hoàn thành</t>
        </is>
      </c>
      <c r="L179" s="37">
        <f>IF(OR(H179="",J179="Hoàn thành",J179="Đã hủy"),"",IF(H179&lt;TODAY(),"QUÁ HẠN",IF(H179-TODAY()&lt;=THIET_LAP!$B$8,"SẮP HẠN","TRONG HẠN")))</f>
        <v/>
      </c>
      <c r="M179" s="27" t="n">
        <v>46002</v>
      </c>
      <c r="N179" s="37" t="n"/>
    </row>
    <row r="180" ht="15.75" customHeight="1" s="56">
      <c r="A180" s="37" t="inlineStr">
        <is>
          <t>BK-TSK-0177</t>
        </is>
      </c>
      <c r="B180" s="37" t="inlineStr">
        <is>
          <t>BK-HS-0177</t>
        </is>
      </c>
      <c r="C180" s="37" t="inlineStr">
        <is>
          <t>Phòng Đo đạc</t>
        </is>
      </c>
      <c r="D180" s="37" t="inlineStr">
        <is>
          <t>Cấp sổ lần đầu</t>
        </is>
      </c>
      <c r="E180" s="37" t="inlineStr">
        <is>
          <t>Giám đốc</t>
        </is>
      </c>
      <c r="F180" s="37" t="inlineStr">
        <is>
          <t>Tạ Khắc Tập</t>
        </is>
      </c>
      <c r="G180" s="27" t="n">
        <v>46002</v>
      </c>
      <c r="H180" s="27" t="n">
        <v>46005</v>
      </c>
      <c r="I180" s="37" t="n"/>
      <c r="J180" s="37" t="inlineStr">
        <is>
          <t>Hoàn thành</t>
        </is>
      </c>
      <c r="K180" s="37" t="inlineStr">
        <is>
          <t>Hoàn thành</t>
        </is>
      </c>
      <c r="L180" s="37">
        <f>IF(OR(H180="",J180="Hoàn thành",J180="Đã hủy"),"",IF(H180&lt;TODAY(),"QUÁ HẠN",IF(H180-TODAY()&lt;=THIET_LAP!$B$8,"SẮP HẠN","TRONG HẠN")))</f>
        <v/>
      </c>
      <c r="M180" s="27" t="n">
        <v>46034</v>
      </c>
      <c r="N180" s="37" t="inlineStr">
        <is>
          <t>cho trich luc</t>
        </is>
      </c>
    </row>
    <row r="181" ht="15.75" customHeight="1" s="56">
      <c r="A181" s="37" t="inlineStr">
        <is>
          <t>BK-TSK-0178</t>
        </is>
      </c>
      <c r="B181" s="37" t="inlineStr">
        <is>
          <t>BK-HS-0178</t>
        </is>
      </c>
      <c r="C181" s="37" t="inlineStr">
        <is>
          <t>Phòng Đo đạc</t>
        </is>
      </c>
      <c r="D181" s="37" t="inlineStr">
        <is>
          <t>Cấp đổi</t>
        </is>
      </c>
      <c r="E181" s="37" t="inlineStr">
        <is>
          <t>Giám đốc</t>
        </is>
      </c>
      <c r="F181" s="37" t="inlineStr">
        <is>
          <t>Tạ Khắc Tập</t>
        </is>
      </c>
      <c r="G181" s="27" t="n">
        <v>46002</v>
      </c>
      <c r="H181" s="27" t="n">
        <v>46005</v>
      </c>
      <c r="I181" s="37" t="n"/>
      <c r="J181" s="37" t="inlineStr">
        <is>
          <t>Nộp thành công - Chờ kết quả</t>
        </is>
      </c>
      <c r="K181" s="37" t="inlineStr">
        <is>
          <t>Đã nộp</t>
        </is>
      </c>
      <c r="L181" s="37">
        <f>IF(OR(H181="",J181="Hoàn thành",J181="Đã hủy"),"",IF(H181&lt;TODAY(),"QUÁ HẠN",IF(H181-TODAY()&lt;=THIET_LAP!$B$8,"SẮP HẠN","TRONG HẠN")))</f>
        <v/>
      </c>
      <c r="M181" s="27" t="n"/>
      <c r="N181" s="37" t="n"/>
    </row>
    <row r="182" ht="15.75" customHeight="1" s="56">
      <c r="A182" s="37" t="inlineStr">
        <is>
          <t>BK-TSK-0179</t>
        </is>
      </c>
      <c r="B182" s="37" t="inlineStr">
        <is>
          <t>BK-HS-0179</t>
        </is>
      </c>
      <c r="C182" s="37" t="inlineStr">
        <is>
          <t>Phòng Đo đạc</t>
        </is>
      </c>
      <c r="D182" s="37" t="inlineStr">
        <is>
          <t>Cấp đổi</t>
        </is>
      </c>
      <c r="E182" s="37" t="inlineStr">
        <is>
          <t>Giám đốc</t>
        </is>
      </c>
      <c r="F182" s="37" t="inlineStr">
        <is>
          <t>Tạ Khắc Tập</t>
        </is>
      </c>
      <c r="G182" s="27" t="n">
        <v>46002</v>
      </c>
      <c r="H182" s="27" t="n">
        <v>46005</v>
      </c>
      <c r="I182" s="37" t="n"/>
      <c r="J182" s="37" t="inlineStr">
        <is>
          <t>QUÁ HẠN</t>
        </is>
      </c>
      <c r="K182" s="37" t="inlineStr">
        <is>
          <t>QUÁ HẠN</t>
        </is>
      </c>
      <c r="L182" s="37">
        <f>IF(OR(H182="",J182="Hoàn thành",J182="Đã hủy"),"",IF(H182&lt;TODAY(),"QUÁ HẠN",IF(H182-TODAY()&lt;=THIET_LAP!$B$8,"SẮP HẠN","TRONG HẠN")))</f>
        <v/>
      </c>
      <c r="M182" s="27" t="n"/>
      <c r="N182" s="37" t="inlineStr">
        <is>
          <t>cuong dv  b¸o chu nha ko chap nhan giam dat theo bv cu</t>
        </is>
      </c>
    </row>
    <row r="183" ht="15.75" customHeight="1" s="56">
      <c r="A183" s="37" t="inlineStr">
        <is>
          <t>BK-TSK-0180</t>
        </is>
      </c>
      <c r="B183" s="37" t="inlineStr">
        <is>
          <t>BK-HS-0180</t>
        </is>
      </c>
      <c r="C183" s="37" t="inlineStr">
        <is>
          <t>Phòng Đo đạc</t>
        </is>
      </c>
      <c r="D183" s="37" t="inlineStr">
        <is>
          <t>Hoàn công</t>
        </is>
      </c>
      <c r="E183" s="37" t="inlineStr">
        <is>
          <t>Giám đốc</t>
        </is>
      </c>
      <c r="F183" s="37" t="inlineStr">
        <is>
          <t>Lê Văn Xây</t>
        </is>
      </c>
      <c r="G183" s="27" t="n">
        <v>46002</v>
      </c>
      <c r="H183" s="27" t="n">
        <v>46005</v>
      </c>
      <c r="I183" s="37" t="n"/>
      <c r="J183" s="37" t="inlineStr">
        <is>
          <t>Hoàn thành</t>
        </is>
      </c>
      <c r="K183" s="37" t="inlineStr">
        <is>
          <t>Hoàn thành</t>
        </is>
      </c>
      <c r="L183" s="37">
        <f>IF(OR(H183="",J183="Hoàn thành",J183="Đã hủy"),"",IF(H183&lt;TODAY(),"QUÁ HẠN",IF(H183-TODAY()&lt;=THIET_LAP!$B$8,"SẮP HẠN","TRONG HẠN")))</f>
        <v/>
      </c>
      <c r="M183" s="27" t="n">
        <v>46027</v>
      </c>
      <c r="N183" s="37" t="n"/>
    </row>
    <row r="184" ht="15.75" customHeight="1" s="56">
      <c r="A184" s="37" t="inlineStr">
        <is>
          <t>BK-TSK-0181</t>
        </is>
      </c>
      <c r="B184" s="37" t="inlineStr">
        <is>
          <t>BK-HS-0181</t>
        </is>
      </c>
      <c r="C184" s="37" t="inlineStr">
        <is>
          <t>Phòng Đo đạc</t>
        </is>
      </c>
      <c r="D184" s="37" t="inlineStr">
        <is>
          <t>Hoàn công</t>
        </is>
      </c>
      <c r="E184" s="37" t="inlineStr">
        <is>
          <t>Giám đốc</t>
        </is>
      </c>
      <c r="F184" s="37" t="inlineStr">
        <is>
          <t>Lê Văn Xây</t>
        </is>
      </c>
      <c r="G184" s="27" t="n">
        <v>46002</v>
      </c>
      <c r="H184" s="27" t="n">
        <v>46005</v>
      </c>
      <c r="I184" s="37" t="n"/>
      <c r="J184" s="37" t="inlineStr">
        <is>
          <t>Nộp thành công - Chờ kết quả</t>
        </is>
      </c>
      <c r="K184" s="37" t="inlineStr">
        <is>
          <t>Đã nộp</t>
        </is>
      </c>
      <c r="L184" s="37">
        <f>IF(OR(H184="",J184="Hoàn thành",J184="Đã hủy"),"",IF(H184&lt;TODAY(),"QUÁ HẠN",IF(H184-TODAY()&lt;=THIET_LAP!$B$8,"SẮP HẠN","TRONG HẠN")))</f>
        <v/>
      </c>
      <c r="M184" s="27" t="n"/>
      <c r="N184" s="37" t="n"/>
    </row>
    <row r="185" ht="15.75" customHeight="1" s="56">
      <c r="A185" s="37" t="inlineStr">
        <is>
          <t>BK-TSK-0182</t>
        </is>
      </c>
      <c r="B185" s="37" t="inlineStr">
        <is>
          <t>BK-HS-0182</t>
        </is>
      </c>
      <c r="C185" s="37" t="inlineStr">
        <is>
          <t>Phòng Đo đạc</t>
        </is>
      </c>
      <c r="D185" s="37" t="inlineStr">
        <is>
          <t>Cấp đổi</t>
        </is>
      </c>
      <c r="E185" s="37" t="inlineStr">
        <is>
          <t>Giám đốc</t>
        </is>
      </c>
      <c r="F185" s="37" t="inlineStr">
        <is>
          <t>Lê Văn Xây</t>
        </is>
      </c>
      <c r="G185" s="27" t="n">
        <v>46001</v>
      </c>
      <c r="H185" s="27" t="n">
        <v>46004</v>
      </c>
      <c r="I185" s="37" t="n"/>
      <c r="J185" s="37" t="inlineStr">
        <is>
          <t>Hoàn thành</t>
        </is>
      </c>
      <c r="K185" s="37" t="inlineStr">
        <is>
          <t>Hoàn thành</t>
        </is>
      </c>
      <c r="L185" s="37">
        <f>IF(OR(H185="",J185="Hoàn thành",J185="Đã hủy"),"",IF(H185&lt;TODAY(),"QUÁ HẠN",IF(H185-TODAY()&lt;=THIET_LAP!$B$8,"SẮP HẠN","TRONG HẠN")))</f>
        <v/>
      </c>
      <c r="M185" s="27" t="n">
        <v>46044</v>
      </c>
      <c r="N185" s="37" t="n"/>
    </row>
    <row r="186" ht="15.75" customHeight="1" s="56">
      <c r="A186" s="37" t="inlineStr">
        <is>
          <t>BK-TSK-0183</t>
        </is>
      </c>
      <c r="B186" s="37" t="inlineStr">
        <is>
          <t>BK-HS-0183</t>
        </is>
      </c>
      <c r="C186" s="37" t="inlineStr">
        <is>
          <t>Phòng Đo đạc</t>
        </is>
      </c>
      <c r="D186" s="37" t="inlineStr">
        <is>
          <t>Xác định diện tích</t>
        </is>
      </c>
      <c r="E186" s="37" t="inlineStr">
        <is>
          <t>Giám đốc</t>
        </is>
      </c>
      <c r="F186" s="37" t="inlineStr">
        <is>
          <t>Trương Tấn Quốc</t>
        </is>
      </c>
      <c r="G186" s="27" t="n">
        <v>46001</v>
      </c>
      <c r="H186" s="27" t="n">
        <v>46004</v>
      </c>
      <c r="I186" s="37" t="n"/>
      <c r="J186" s="37" t="inlineStr">
        <is>
          <t>Hoàn thành</t>
        </is>
      </c>
      <c r="K186" s="37" t="inlineStr">
        <is>
          <t>Hoàn thành</t>
        </is>
      </c>
      <c r="L186" s="37">
        <f>IF(OR(H186="",J186="Hoàn thành",J186="Đã hủy"),"",IF(H186&lt;TODAY(),"QUÁ HẠN",IF(H186-TODAY()&lt;=THIET_LAP!$B$8,"SẮP HẠN","TRONG HẠN")))</f>
        <v/>
      </c>
      <c r="M186" s="27" t="n">
        <v>46000</v>
      </c>
      <c r="N186" s="37" t="n"/>
    </row>
    <row r="187" ht="15.75" customHeight="1" s="56">
      <c r="A187" s="37" t="inlineStr">
        <is>
          <t>BK-TSK-0184</t>
        </is>
      </c>
      <c r="B187" s="37" t="inlineStr">
        <is>
          <t>BK-HS-0184</t>
        </is>
      </c>
      <c r="C187" s="37" t="inlineStr">
        <is>
          <t>Phòng Đo đạc</t>
        </is>
      </c>
      <c r="D187" s="37" t="inlineStr">
        <is>
          <t>Xác định diện tích</t>
        </is>
      </c>
      <c r="E187" s="37" t="inlineStr">
        <is>
          <t>Giám đốc</t>
        </is>
      </c>
      <c r="F187" s="37" t="inlineStr">
        <is>
          <t>Trương Tấn Quốc</t>
        </is>
      </c>
      <c r="G187" s="27" t="n">
        <v>46001</v>
      </c>
      <c r="H187" s="27" t="n">
        <v>46004</v>
      </c>
      <c r="I187" s="37" t="n"/>
      <c r="J187" s="37" t="inlineStr">
        <is>
          <t>Hoàn thành</t>
        </is>
      </c>
      <c r="K187" s="37" t="inlineStr">
        <is>
          <t>Hoàn thành</t>
        </is>
      </c>
      <c r="L187" s="37">
        <f>IF(OR(H187="",J187="Hoàn thành",J187="Đã hủy"),"",IF(H187&lt;TODAY(),"QUÁ HẠN",IF(H187-TODAY()&lt;=THIET_LAP!$B$8,"SẮP HẠN","TRONG HẠN")))</f>
        <v/>
      </c>
      <c r="M187" s="27" t="n">
        <v>46000</v>
      </c>
      <c r="N187" s="37" t="n"/>
    </row>
    <row r="188" ht="15.75" customHeight="1" s="56">
      <c r="A188" s="37" t="inlineStr">
        <is>
          <t>BK-TSK-0185</t>
        </is>
      </c>
      <c r="B188" s="37" t="inlineStr">
        <is>
          <t>BK-HS-0185</t>
        </is>
      </c>
      <c r="C188" s="37" t="inlineStr">
        <is>
          <t>Phòng Đo đạc</t>
        </is>
      </c>
      <c r="D188" s="37" t="inlineStr">
        <is>
          <t>Xác định diện tích</t>
        </is>
      </c>
      <c r="E188" s="37" t="inlineStr">
        <is>
          <t>Giám đốc</t>
        </is>
      </c>
      <c r="F188" s="37" t="inlineStr">
        <is>
          <t>Trương Tấn Quốc</t>
        </is>
      </c>
      <c r="G188" s="27" t="n">
        <v>46001</v>
      </c>
      <c r="H188" s="27" t="n">
        <v>46004</v>
      </c>
      <c r="I188" s="37" t="n"/>
      <c r="J188" s="37" t="inlineStr">
        <is>
          <t>Hoàn thành</t>
        </is>
      </c>
      <c r="K188" s="37" t="inlineStr">
        <is>
          <t>Hoàn thành</t>
        </is>
      </c>
      <c r="L188" s="37">
        <f>IF(OR(H188="",J188="Hoàn thành",J188="Đã hủy"),"",IF(H188&lt;TODAY(),"QUÁ HẠN",IF(H188-TODAY()&lt;=THIET_LAP!$B$8,"SẮP HẠN","TRONG HẠN")))</f>
        <v/>
      </c>
      <c r="M188" s="27" t="n">
        <v>46000</v>
      </c>
      <c r="N188" s="37" t="n"/>
    </row>
    <row r="189" ht="15.75" customHeight="1" s="56">
      <c r="A189" s="37" t="inlineStr">
        <is>
          <t>BK-TSK-0186</t>
        </is>
      </c>
      <c r="B189" s="37" t="inlineStr">
        <is>
          <t>BK-HS-0186</t>
        </is>
      </c>
      <c r="C189" s="37" t="inlineStr">
        <is>
          <t>Phòng Đo đạc</t>
        </is>
      </c>
      <c r="D189" s="37" t="inlineStr">
        <is>
          <t>Xác định diện tích</t>
        </is>
      </c>
      <c r="E189" s="37" t="inlineStr">
        <is>
          <t>Giám đốc</t>
        </is>
      </c>
      <c r="F189" s="37" t="inlineStr">
        <is>
          <t>Trương Tấn Quốc</t>
        </is>
      </c>
      <c r="G189" s="27" t="n">
        <v>46001</v>
      </c>
      <c r="H189" s="27" t="n">
        <v>46004</v>
      </c>
      <c r="I189" s="37" t="n"/>
      <c r="J189" s="37" t="inlineStr">
        <is>
          <t>Hoàn thành</t>
        </is>
      </c>
      <c r="K189" s="37" t="inlineStr">
        <is>
          <t>Hoàn thành</t>
        </is>
      </c>
      <c r="L189" s="37">
        <f>IF(OR(H189="",J189="Hoàn thành",J189="Đã hủy"),"",IF(H189&lt;TODAY(),"QUÁ HẠN",IF(H189-TODAY()&lt;=THIET_LAP!$B$8,"SẮP HẠN","TRONG HẠN")))</f>
        <v/>
      </c>
      <c r="M189" s="27" t="n">
        <v>46000</v>
      </c>
      <c r="N189" s="37" t="n"/>
    </row>
    <row r="190" ht="15.75" customHeight="1" s="56">
      <c r="A190" s="37" t="inlineStr">
        <is>
          <t>BK-TSK-0187</t>
        </is>
      </c>
      <c r="B190" s="37" t="inlineStr">
        <is>
          <t>BK-HS-0187</t>
        </is>
      </c>
      <c r="C190" s="37" t="inlineStr">
        <is>
          <t>Phòng Đo đạc</t>
        </is>
      </c>
      <c r="D190" s="37" t="inlineStr">
        <is>
          <t>Kiểm tra hiện trạng</t>
        </is>
      </c>
      <c r="E190" s="37" t="inlineStr">
        <is>
          <t>Giám đốc</t>
        </is>
      </c>
      <c r="F190" s="37" t="inlineStr">
        <is>
          <t>Tạ Khắc Tập</t>
        </is>
      </c>
      <c r="G190" s="27" t="n">
        <v>46000</v>
      </c>
      <c r="H190" s="27" t="n">
        <v>46003</v>
      </c>
      <c r="I190" s="37" t="n"/>
      <c r="J190" s="37" t="inlineStr">
        <is>
          <t>Hoàn thành</t>
        </is>
      </c>
      <c r="K190" s="37" t="inlineStr">
        <is>
          <t>Hoàn thành</t>
        </is>
      </c>
      <c r="L190" s="37">
        <f>IF(OR(H190="",J190="Hoàn thành",J190="Đã hủy"),"",IF(H190&lt;TODAY(),"QUÁ HẠN",IF(H190-TODAY()&lt;=THIET_LAP!$B$8,"SẮP HẠN","TRONG HẠN")))</f>
        <v/>
      </c>
      <c r="M190" s="27" t="n">
        <v>46039</v>
      </c>
      <c r="N190" s="37" t="n"/>
    </row>
    <row r="191" ht="15.75" customHeight="1" s="56">
      <c r="A191" s="37" t="inlineStr">
        <is>
          <t>BK-TSK-0188</t>
        </is>
      </c>
      <c r="B191" s="37" t="inlineStr">
        <is>
          <t>BK-HS-0188</t>
        </is>
      </c>
      <c r="C191" s="37" t="inlineStr">
        <is>
          <t>Phòng Đo đạc</t>
        </is>
      </c>
      <c r="D191" s="37" t="inlineStr">
        <is>
          <t>Cắm mốc</t>
        </is>
      </c>
      <c r="E191" s="37" t="inlineStr">
        <is>
          <t>Giám đốc</t>
        </is>
      </c>
      <c r="F191" s="37" t="inlineStr">
        <is>
          <t>Lê Văn Xây</t>
        </is>
      </c>
      <c r="G191" s="27" t="n">
        <v>46000</v>
      </c>
      <c r="H191" s="27" t="n">
        <v>46003</v>
      </c>
      <c r="I191" s="37" t="n"/>
      <c r="J191" s="37" t="inlineStr">
        <is>
          <t>Hoàn thành</t>
        </is>
      </c>
      <c r="K191" s="37" t="inlineStr">
        <is>
          <t>Hoàn thành</t>
        </is>
      </c>
      <c r="L191" s="37">
        <f>IF(OR(H191="",J191="Hoàn thành",J191="Đã hủy"),"",IF(H191&lt;TODAY(),"QUÁ HẠN",IF(H191-TODAY()&lt;=THIET_LAP!$B$8,"SẮP HẠN","TRONG HẠN")))</f>
        <v/>
      </c>
      <c r="M191" s="27" t="n">
        <v>46000</v>
      </c>
      <c r="N191" s="37" t="n"/>
    </row>
    <row r="192" ht="15.75" customHeight="1" s="56">
      <c r="A192" s="37" t="inlineStr">
        <is>
          <t>BK-TSK-0189</t>
        </is>
      </c>
      <c r="B192" s="37" t="inlineStr">
        <is>
          <t>BK-HS-0189</t>
        </is>
      </c>
      <c r="C192" s="37" t="inlineStr">
        <is>
          <t>Phòng Đo đạc</t>
        </is>
      </c>
      <c r="D192" s="37" t="inlineStr">
        <is>
          <t>Cấp đổi</t>
        </is>
      </c>
      <c r="E192" s="37" t="inlineStr">
        <is>
          <t>Giám đốc</t>
        </is>
      </c>
      <c r="F192" s="37" t="inlineStr">
        <is>
          <t>Tạ Khắc Tập</t>
        </is>
      </c>
      <c r="G192" s="27" t="n">
        <v>46000</v>
      </c>
      <c r="H192" s="27" t="n">
        <v>46003</v>
      </c>
      <c r="I192" s="37" t="n"/>
      <c r="J192" s="37" t="inlineStr">
        <is>
          <t>Hủy</t>
        </is>
      </c>
      <c r="K192" s="37" t="inlineStr">
        <is>
          <t>ĐÃ HỦY</t>
        </is>
      </c>
      <c r="L192" s="37">
        <f>IF(OR(H192="",J192="Hoàn thành",J192="Đã hủy"),"",IF(H192&lt;TODAY(),"QUÁ HẠN",IF(H192-TODAY()&lt;=THIET_LAP!$B$8,"SẮP HẠN","TRONG HẠN")))</f>
        <v/>
      </c>
      <c r="M192" s="27" t="n"/>
      <c r="N192" s="37" t="inlineStr">
        <is>
          <t>chờ trích lục bv cap giay, chua chot hd voi chu nha</t>
        </is>
      </c>
    </row>
    <row r="193" ht="15.75" customHeight="1" s="56">
      <c r="A193" s="37" t="inlineStr">
        <is>
          <t>BK-TSK-0190</t>
        </is>
      </c>
      <c r="B193" s="37" t="inlineStr">
        <is>
          <t>BK-HS-0190</t>
        </is>
      </c>
      <c r="C193" s="37" t="inlineStr">
        <is>
          <t>Phòng Đo đạc</t>
        </is>
      </c>
      <c r="D193" s="37" t="inlineStr">
        <is>
          <t>Cấp sổ lần đầu</t>
        </is>
      </c>
      <c r="E193" s="37" t="inlineStr">
        <is>
          <t>Giám đốc</t>
        </is>
      </c>
      <c r="F193" s="37" t="inlineStr">
        <is>
          <t>Tạ Khắc Tập</t>
        </is>
      </c>
      <c r="G193" s="27" t="n">
        <v>46000</v>
      </c>
      <c r="H193" s="27" t="n">
        <v>46003</v>
      </c>
      <c r="I193" s="37" t="n"/>
      <c r="J193" s="37" t="inlineStr">
        <is>
          <t>Nộp thành công - Chờ kết quả</t>
        </is>
      </c>
      <c r="K193" s="37" t="inlineStr">
        <is>
          <t>Đã nộp</t>
        </is>
      </c>
      <c r="L193" s="37">
        <f>IF(OR(H193="",J193="Hoàn thành",J193="Đã hủy"),"",IF(H193&lt;TODAY(),"QUÁ HẠN",IF(H193-TODAY()&lt;=THIET_LAP!$B$8,"SẮP HẠN","TRONG HẠN")))</f>
        <v/>
      </c>
      <c r="M193" s="27" t="n"/>
      <c r="N193" s="37" t="inlineStr">
        <is>
          <t>chờ trích lục bv cap giay</t>
        </is>
      </c>
    </row>
    <row r="194" ht="15.75" customHeight="1" s="56">
      <c r="A194" s="37" t="inlineStr">
        <is>
          <t>BK-TSK-0191</t>
        </is>
      </c>
      <c r="B194" s="37" t="inlineStr">
        <is>
          <t>BK-HS-0191</t>
        </is>
      </c>
      <c r="C194" s="37" t="inlineStr">
        <is>
          <t>Phòng Đo đạc</t>
        </is>
      </c>
      <c r="D194" s="37" t="inlineStr">
        <is>
          <t>Cấp đổi</t>
        </is>
      </c>
      <c r="E194" s="37" t="inlineStr">
        <is>
          <t>Giám đốc</t>
        </is>
      </c>
      <c r="F194" s="37" t="inlineStr">
        <is>
          <t>Tạ Khắc Tập</t>
        </is>
      </c>
      <c r="G194" s="27" t="n">
        <v>46000</v>
      </c>
      <c r="H194" s="27" t="n">
        <v>46003</v>
      </c>
      <c r="I194" s="37" t="n"/>
      <c r="J194" s="37" t="inlineStr">
        <is>
          <t>Hủy</t>
        </is>
      </c>
      <c r="K194" s="37" t="inlineStr">
        <is>
          <t>ĐÃ HỦY</t>
        </is>
      </c>
      <c r="L194" s="37">
        <f>IF(OR(H194="",J194="Hoàn thành",J194="Đã hủy"),"",IF(H194&lt;TODAY(),"QUÁ HẠN",IF(H194-TODAY()&lt;=THIET_LAP!$B$8,"SẮP HẠN","TRONG HẠN")))</f>
        <v/>
      </c>
      <c r="M194" s="27" t="n"/>
      <c r="N194" s="37" t="inlineStr">
        <is>
          <t>lấn thửa, lấn đường sai hien trang</t>
        </is>
      </c>
    </row>
    <row r="195" ht="15.75" customHeight="1" s="56">
      <c r="A195" s="37" t="inlineStr">
        <is>
          <t>BK-TSK-0192</t>
        </is>
      </c>
      <c r="B195" s="37" t="inlineStr">
        <is>
          <t>BK-HS-0192</t>
        </is>
      </c>
      <c r="C195" s="37" t="inlineStr">
        <is>
          <t>Phòng Đo đạc</t>
        </is>
      </c>
      <c r="D195" s="37" t="inlineStr">
        <is>
          <t>Cắm mốc</t>
        </is>
      </c>
      <c r="E195" s="37" t="inlineStr">
        <is>
          <t>Giám đốc</t>
        </is>
      </c>
      <c r="F195" s="37" t="inlineStr">
        <is>
          <t>Lê Văn Dựng</t>
        </is>
      </c>
      <c r="G195" s="27" t="n">
        <v>46000</v>
      </c>
      <c r="H195" s="27" t="n">
        <v>46003</v>
      </c>
      <c r="I195" s="37" t="n"/>
      <c r="J195" s="37" t="inlineStr">
        <is>
          <t>Hoàn thành</t>
        </is>
      </c>
      <c r="K195" s="37" t="inlineStr">
        <is>
          <t>Hoàn thành</t>
        </is>
      </c>
      <c r="L195" s="37">
        <f>IF(OR(H195="",J195="Hoàn thành",J195="Đã hủy"),"",IF(H195&lt;TODAY(),"QUÁ HẠN",IF(H195-TODAY()&lt;=THIET_LAP!$B$8,"SẮP HẠN","TRONG HẠN")))</f>
        <v/>
      </c>
      <c r="M195" s="27" t="n">
        <v>46000</v>
      </c>
      <c r="N195" s="37" t="n"/>
    </row>
    <row r="196" ht="15.75" customHeight="1" s="56">
      <c r="A196" s="37" t="inlineStr">
        <is>
          <t>BK-TSK-0193</t>
        </is>
      </c>
      <c r="B196" s="37" t="inlineStr">
        <is>
          <t>BK-HS-0193</t>
        </is>
      </c>
      <c r="C196" s="37" t="inlineStr">
        <is>
          <t>Phòng Đo đạc</t>
        </is>
      </c>
      <c r="D196" s="37" t="inlineStr">
        <is>
          <t>Đo GPS</t>
        </is>
      </c>
      <c r="E196" s="37" t="inlineStr">
        <is>
          <t>Giám đốc</t>
        </is>
      </c>
      <c r="F196" s="37" t="inlineStr">
        <is>
          <t>Lê Văn Dựng</t>
        </is>
      </c>
      <c r="G196" s="27" t="n">
        <v>46000</v>
      </c>
      <c r="H196" s="27" t="n">
        <v>46003</v>
      </c>
      <c r="I196" s="37" t="n"/>
      <c r="J196" s="37" t="inlineStr">
        <is>
          <t>Hoàn thành</t>
        </is>
      </c>
      <c r="K196" s="37" t="inlineStr">
        <is>
          <t>Hoàn thành</t>
        </is>
      </c>
      <c r="L196" s="37">
        <f>IF(OR(H196="",J196="Hoàn thành",J196="Đã hủy"),"",IF(H196&lt;TODAY(),"QUÁ HẠN",IF(H196-TODAY()&lt;=THIET_LAP!$B$8,"SẮP HẠN","TRONG HẠN")))</f>
        <v/>
      </c>
      <c r="M196" s="27" t="n">
        <v>46000</v>
      </c>
      <c r="N196" s="37" t="n"/>
    </row>
    <row r="197" ht="15.75" customHeight="1" s="56">
      <c r="A197" s="37" t="inlineStr">
        <is>
          <t>BK-TSK-0194</t>
        </is>
      </c>
      <c r="B197" s="37" t="inlineStr">
        <is>
          <t>BK-HS-0194</t>
        </is>
      </c>
      <c r="C197" s="37" t="inlineStr">
        <is>
          <t>Phòng Đo đạc</t>
        </is>
      </c>
      <c r="D197" s="37" t="inlineStr">
        <is>
          <t>Cắm mốc</t>
        </is>
      </c>
      <c r="E197" s="37" t="inlineStr">
        <is>
          <t>Giám đốc</t>
        </is>
      </c>
      <c r="F197" s="37" t="inlineStr">
        <is>
          <t>Lê Văn Dựng</t>
        </is>
      </c>
      <c r="G197" s="27" t="n">
        <v>46000</v>
      </c>
      <c r="H197" s="27" t="n">
        <v>46003</v>
      </c>
      <c r="I197" s="37" t="n"/>
      <c r="J197" s="37" t="inlineStr">
        <is>
          <t>Hoàn thành</t>
        </is>
      </c>
      <c r="K197" s="37" t="inlineStr">
        <is>
          <t>Hoàn thành</t>
        </is>
      </c>
      <c r="L197" s="37">
        <f>IF(OR(H197="",J197="Hoàn thành",J197="Đã hủy"),"",IF(H197&lt;TODAY(),"QUÁ HẠN",IF(H197-TODAY()&lt;=THIET_LAP!$B$8,"SẮP HẠN","TRONG HẠN")))</f>
        <v/>
      </c>
      <c r="M197" s="27" t="n">
        <v>46000</v>
      </c>
      <c r="N197" s="37" t="n"/>
    </row>
    <row r="198" ht="15.75" customHeight="1" s="56">
      <c r="A198" s="37" t="inlineStr">
        <is>
          <t>BK-TSK-0195</t>
        </is>
      </c>
      <c r="B198" s="37" t="inlineStr">
        <is>
          <t>BK-HS-0195</t>
        </is>
      </c>
      <c r="C198" s="37" t="inlineStr">
        <is>
          <t>Phòng Đo đạc</t>
        </is>
      </c>
      <c r="D198" s="37" t="inlineStr">
        <is>
          <t>Cấp đổi</t>
        </is>
      </c>
      <c r="E198" s="37" t="inlineStr">
        <is>
          <t>Giám đốc</t>
        </is>
      </c>
      <c r="F198" s="37" t="inlineStr">
        <is>
          <t>Lê Văn Dựng</t>
        </is>
      </c>
      <c r="G198" s="27" t="n">
        <v>46000</v>
      </c>
      <c r="H198" s="27" t="n">
        <v>46003</v>
      </c>
      <c r="I198" s="37" t="n"/>
      <c r="J198" s="37" t="inlineStr">
        <is>
          <t>Hoàn thành</t>
        </is>
      </c>
      <c r="K198" s="37" t="inlineStr">
        <is>
          <t>Hoàn thành</t>
        </is>
      </c>
      <c r="L198" s="37">
        <f>IF(OR(H198="",J198="Hoàn thành",J198="Đã hủy"),"",IF(H198&lt;TODAY(),"QUÁ HẠN",IF(H198-TODAY()&lt;=THIET_LAP!$B$8,"SẮP HẠN","TRONG HẠN")))</f>
        <v/>
      </c>
      <c r="M198" s="27" t="n">
        <v>46010</v>
      </c>
      <c r="N198" s="37" t="n"/>
    </row>
    <row r="199" ht="15.75" customHeight="1" s="56">
      <c r="A199" s="37" t="inlineStr">
        <is>
          <t>BK-TSK-0196</t>
        </is>
      </c>
      <c r="B199" s="37" t="inlineStr">
        <is>
          <t>BK-HS-0196</t>
        </is>
      </c>
      <c r="C199" s="37" t="inlineStr">
        <is>
          <t>Phòng Đo đạc</t>
        </is>
      </c>
      <c r="D199" s="37" t="inlineStr">
        <is>
          <t>Chuyển mục đích</t>
        </is>
      </c>
      <c r="E199" s="37" t="inlineStr">
        <is>
          <t>Giám đốc</t>
        </is>
      </c>
      <c r="F199" s="37" t="inlineStr">
        <is>
          <t>Tạ Khắc Tập</t>
        </is>
      </c>
      <c r="G199" s="27" t="n">
        <v>46000</v>
      </c>
      <c r="H199" s="27" t="n">
        <v>46003</v>
      </c>
      <c r="I199" s="37" t="n"/>
      <c r="J199" s="37" t="inlineStr">
        <is>
          <t>Hoàn thành</t>
        </is>
      </c>
      <c r="K199" s="37" t="inlineStr">
        <is>
          <t>Hoàn thành</t>
        </is>
      </c>
      <c r="L199" s="37">
        <f>IF(OR(H199="",J199="Hoàn thành",J199="Đã hủy"),"",IF(H199&lt;TODAY(),"QUÁ HẠN",IF(H199-TODAY()&lt;=THIET_LAP!$B$8,"SẮP HẠN","TRONG HẠN")))</f>
        <v/>
      </c>
      <c r="M199" s="27" t="n">
        <v>46009</v>
      </c>
      <c r="N199" s="37" t="n"/>
    </row>
    <row r="200" ht="15.75" customHeight="1" s="56">
      <c r="A200" s="37" t="inlineStr">
        <is>
          <t>BK-TSK-0197</t>
        </is>
      </c>
      <c r="B200" s="37" t="inlineStr">
        <is>
          <t>BK-HS-0197</t>
        </is>
      </c>
      <c r="C200" s="37" t="inlineStr">
        <is>
          <t>Phòng Đo đạc</t>
        </is>
      </c>
      <c r="D200" s="37" t="inlineStr">
        <is>
          <t>Cấp đổi</t>
        </is>
      </c>
      <c r="E200" s="37" t="inlineStr">
        <is>
          <t>Giám đốc</t>
        </is>
      </c>
      <c r="F200" s="37" t="inlineStr">
        <is>
          <t>Tạ Khắc Tập</t>
        </is>
      </c>
      <c r="G200" s="27" t="n">
        <v>45997</v>
      </c>
      <c r="H200" s="27" t="n">
        <v>46000</v>
      </c>
      <c r="I200" s="37" t="n"/>
      <c r="J200" s="37" t="inlineStr">
        <is>
          <t>Hoàn thành</t>
        </is>
      </c>
      <c r="K200" s="37" t="inlineStr">
        <is>
          <t>Hoàn thành</t>
        </is>
      </c>
      <c r="L200" s="37">
        <f>IF(OR(H200="",J200="Hoàn thành",J200="Đã hủy"),"",IF(H200&lt;TODAY(),"QUÁ HẠN",IF(H200-TODAY()&lt;=THIET_LAP!$B$8,"SẮP HẠN","TRONG HẠN")))</f>
        <v/>
      </c>
      <c r="M200" s="27" t="n">
        <v>46044</v>
      </c>
      <c r="N200" s="37" t="inlineStr">
        <is>
          <t>dv chua cap du hs gcn</t>
        </is>
      </c>
    </row>
    <row r="201" ht="15.75" customHeight="1" s="56">
      <c r="A201" s="37" t="inlineStr">
        <is>
          <t>BK-TSK-0198</t>
        </is>
      </c>
      <c r="B201" s="37" t="inlineStr">
        <is>
          <t>BK-HS-0198</t>
        </is>
      </c>
      <c r="C201" s="37" t="inlineStr">
        <is>
          <t>Phòng Đo đạc</t>
        </is>
      </c>
      <c r="D201" s="37" t="inlineStr">
        <is>
          <t>Chuyển mục đích</t>
        </is>
      </c>
      <c r="E201" s="37" t="inlineStr">
        <is>
          <t>Giám đốc</t>
        </is>
      </c>
      <c r="F201" s="37" t="inlineStr">
        <is>
          <t>Lê Văn Xây</t>
        </is>
      </c>
      <c r="G201" s="27" t="n">
        <v>45996</v>
      </c>
      <c r="H201" s="27" t="n">
        <v>45999</v>
      </c>
      <c r="I201" s="37" t="n"/>
      <c r="J201" s="37" t="inlineStr">
        <is>
          <t>Nộp thành công - Chờ kết quả</t>
        </is>
      </c>
      <c r="K201" s="37" t="inlineStr">
        <is>
          <t>Đã nộp</t>
        </is>
      </c>
      <c r="L201" s="37">
        <f>IF(OR(H201="",J201="Hoàn thành",J201="Đã hủy"),"",IF(H201&lt;TODAY(),"QUÁ HẠN",IF(H201-TODAY()&lt;=THIET_LAP!$B$8,"SẮP HẠN","TRONG HẠN")))</f>
        <v/>
      </c>
      <c r="M201" s="27" t="n"/>
      <c r="N201" s="37" t="n"/>
    </row>
    <row r="202" ht="15.75" customHeight="1" s="56">
      <c r="A202" s="37" t="inlineStr">
        <is>
          <t>BK-TSK-0199</t>
        </is>
      </c>
      <c r="B202" s="37" t="inlineStr">
        <is>
          <t>BK-HS-0199</t>
        </is>
      </c>
      <c r="C202" s="37" t="inlineStr">
        <is>
          <t>Phòng Đo đạc</t>
        </is>
      </c>
      <c r="D202" s="37" t="inlineStr">
        <is>
          <t>Chuyển mục đích</t>
        </is>
      </c>
      <c r="E202" s="37" t="inlineStr">
        <is>
          <t>Giám đốc</t>
        </is>
      </c>
      <c r="F202" s="37" t="inlineStr">
        <is>
          <t>Lê Văn Dựng</t>
        </is>
      </c>
      <c r="G202" s="27" t="n">
        <v>45996</v>
      </c>
      <c r="H202" s="27" t="n">
        <v>45999</v>
      </c>
      <c r="I202" s="37" t="n"/>
      <c r="J202" s="37" t="inlineStr">
        <is>
          <t>Hoàn thành</t>
        </is>
      </c>
      <c r="K202" s="37" t="inlineStr">
        <is>
          <t>Hoàn thành</t>
        </is>
      </c>
      <c r="L202" s="37">
        <f>IF(OR(H202="",J202="Hoàn thành",J202="Đã hủy"),"",IF(H202&lt;TODAY(),"QUÁ HẠN",IF(H202-TODAY()&lt;=THIET_LAP!$B$8,"SẮP HẠN","TRONG HẠN")))</f>
        <v/>
      </c>
      <c r="M202" s="27" t="n">
        <v>46000</v>
      </c>
      <c r="N202" s="37" t="n"/>
    </row>
    <row r="203" ht="15.75" customHeight="1" s="56">
      <c r="A203" s="37" t="inlineStr">
        <is>
          <t>BK-TSK-0200</t>
        </is>
      </c>
      <c r="B203" s="37" t="inlineStr">
        <is>
          <t>BK-HS-0200</t>
        </is>
      </c>
      <c r="C203" s="37" t="inlineStr">
        <is>
          <t>Phòng Đo đạc</t>
        </is>
      </c>
      <c r="D203" s="37" t="inlineStr">
        <is>
          <t>Chuyển mục đích</t>
        </is>
      </c>
      <c r="E203" s="37" t="inlineStr">
        <is>
          <t>Giám đốc</t>
        </is>
      </c>
      <c r="F203" s="37" t="inlineStr">
        <is>
          <t>Lê Văn Dựng</t>
        </is>
      </c>
      <c r="G203" s="27" t="n">
        <v>45996</v>
      </c>
      <c r="H203" s="27" t="n">
        <v>45999</v>
      </c>
      <c r="I203" s="37" t="n"/>
      <c r="J203" s="37" t="inlineStr">
        <is>
          <t>Hoàn thành</t>
        </is>
      </c>
      <c r="K203" s="37" t="inlineStr">
        <is>
          <t>Hoàn thành</t>
        </is>
      </c>
      <c r="L203" s="37">
        <f>IF(OR(H203="",J203="Hoàn thành",J203="Đã hủy"),"",IF(H203&lt;TODAY(),"QUÁ HẠN",IF(H203-TODAY()&lt;=THIET_LAP!$B$8,"SẮP HẠN","TRONG HẠN")))</f>
        <v/>
      </c>
      <c r="M203" s="27" t="n">
        <v>46000</v>
      </c>
      <c r="N203" s="37" t="n"/>
    </row>
    <row r="204" ht="15.75" customHeight="1" s="56">
      <c r="A204" s="37" t="inlineStr">
        <is>
          <t>BK-TSK-0201</t>
        </is>
      </c>
      <c r="B204" s="37" t="inlineStr">
        <is>
          <t>BK-HS-0201</t>
        </is>
      </c>
      <c r="C204" s="37" t="inlineStr">
        <is>
          <t>Phòng Đo đạc</t>
        </is>
      </c>
      <c r="D204" s="37" t="inlineStr">
        <is>
          <t>Cấp đổi</t>
        </is>
      </c>
      <c r="E204" s="37" t="inlineStr">
        <is>
          <t>Giám đốc</t>
        </is>
      </c>
      <c r="F204" s="37" t="inlineStr">
        <is>
          <t>Tạ Khắc Tập</t>
        </is>
      </c>
      <c r="G204" s="27" t="n">
        <v>45996</v>
      </c>
      <c r="H204" s="27" t="n">
        <v>45999</v>
      </c>
      <c r="I204" s="37" t="n"/>
      <c r="J204" s="37" t="inlineStr">
        <is>
          <t>Hoàn thành</t>
        </is>
      </c>
      <c r="K204" s="37" t="inlineStr">
        <is>
          <t>Hoàn thành</t>
        </is>
      </c>
      <c r="L204" s="37">
        <f>IF(OR(H204="",J204="Hoàn thành",J204="Đã hủy"),"",IF(H204&lt;TODAY(),"QUÁ HẠN",IF(H204-TODAY()&lt;=THIET_LAP!$B$8,"SẮP HẠN","TRONG HẠN")))</f>
        <v/>
      </c>
      <c r="M204" s="27" t="n">
        <v>46009</v>
      </c>
      <c r="N204" s="37" t="n"/>
    </row>
    <row r="205" ht="15.75" customHeight="1" s="56">
      <c r="A205" s="37" t="inlineStr">
        <is>
          <t>BK-TSK-0202</t>
        </is>
      </c>
      <c r="B205" s="37" t="inlineStr">
        <is>
          <t>BK-HS-0202</t>
        </is>
      </c>
      <c r="C205" s="37" t="inlineStr">
        <is>
          <t>Phòng Đo đạc</t>
        </is>
      </c>
      <c r="D205" s="37" t="inlineStr">
        <is>
          <t>Xác định diện tích</t>
        </is>
      </c>
      <c r="E205" s="37" t="inlineStr">
        <is>
          <t>Giám đốc</t>
        </is>
      </c>
      <c r="F205" s="37" t="inlineStr">
        <is>
          <t>Tạ Khắc Tập</t>
        </is>
      </c>
      <c r="G205" s="27" t="n">
        <v>45996</v>
      </c>
      <c r="H205" s="27" t="n">
        <v>45999</v>
      </c>
      <c r="I205" s="37" t="n"/>
      <c r="J205" s="37" t="inlineStr">
        <is>
          <t>Hoàn thành</t>
        </is>
      </c>
      <c r="K205" s="37" t="inlineStr">
        <is>
          <t>Hoàn thành</t>
        </is>
      </c>
      <c r="L205" s="37">
        <f>IF(OR(H205="",J205="Hoàn thành",J205="Đã hủy"),"",IF(H205&lt;TODAY(),"QUÁ HẠN",IF(H205-TODAY()&lt;=THIET_LAP!$B$8,"SẮP HẠN","TRONG HẠN")))</f>
        <v/>
      </c>
      <c r="M205" s="27" t="n">
        <v>45996</v>
      </c>
      <c r="N205" s="37" t="n"/>
    </row>
    <row r="206" ht="15.75" customHeight="1" s="56">
      <c r="A206" s="37" t="inlineStr">
        <is>
          <t>BK-TSK-0203</t>
        </is>
      </c>
      <c r="B206" s="37" t="inlineStr">
        <is>
          <t>BK-HS-0203</t>
        </is>
      </c>
      <c r="C206" s="37" t="inlineStr">
        <is>
          <t>Phòng Đo đạc</t>
        </is>
      </c>
      <c r="D206" s="37" t="inlineStr">
        <is>
          <t>Cấp đổi</t>
        </is>
      </c>
      <c r="E206" s="37" t="inlineStr">
        <is>
          <t>Giám đốc</t>
        </is>
      </c>
      <c r="F206" s="37" t="inlineStr">
        <is>
          <t>Lê Văn Dựng</t>
        </is>
      </c>
      <c r="G206" s="27" t="n">
        <v>45996</v>
      </c>
      <c r="H206" s="27" t="n">
        <v>45999</v>
      </c>
      <c r="I206" s="37" t="n"/>
      <c r="J206" s="37" t="inlineStr">
        <is>
          <t>Nộp thành công - Chờ kết quả</t>
        </is>
      </c>
      <c r="K206" s="37" t="inlineStr">
        <is>
          <t>Đã nộp</t>
        </is>
      </c>
      <c r="L206" s="37">
        <f>IF(OR(H206="",J206="Hoàn thành",J206="Đã hủy"),"",IF(H206&lt;TODAY(),"QUÁ HẠN",IF(H206-TODAY()&lt;=THIET_LAP!$B$8,"SẮP HẠN","TRONG HẠN")))</f>
        <v/>
      </c>
      <c r="M206" s="27" t="n"/>
      <c r="N206" s="37" t="n"/>
    </row>
    <row r="207" ht="15.75" customHeight="1" s="56">
      <c r="A207" s="37" t="inlineStr">
        <is>
          <t>BK-TSK-0204</t>
        </is>
      </c>
      <c r="B207" s="37" t="inlineStr">
        <is>
          <t>BK-HS-0204</t>
        </is>
      </c>
      <c r="C207" s="37" t="inlineStr">
        <is>
          <t>Phòng Đo đạc</t>
        </is>
      </c>
      <c r="D207" s="37" t="inlineStr">
        <is>
          <t>Xác định diện tích</t>
        </is>
      </c>
      <c r="E207" s="37" t="inlineStr">
        <is>
          <t>Giám đốc</t>
        </is>
      </c>
      <c r="F207" s="37" t="inlineStr">
        <is>
          <t>Trương Tấn Quốc</t>
        </is>
      </c>
      <c r="G207" s="27" t="n">
        <v>45995</v>
      </c>
      <c r="H207" s="27" t="n">
        <v>45996</v>
      </c>
      <c r="I207" s="37" t="inlineStr">
        <is>
          <t>Cao</t>
        </is>
      </c>
      <c r="J207" s="37" t="inlineStr">
        <is>
          <t>Hoàn thành</t>
        </is>
      </c>
      <c r="K207" s="37" t="inlineStr">
        <is>
          <t>Hoàn thành</t>
        </is>
      </c>
      <c r="L207" s="37">
        <f>IF(OR(H207="",J207="Hoàn thành",J207="Đã hủy"),"",IF(H207&lt;TODAY(),"QUÁ HẠN",IF(H207-TODAY()&lt;=THIET_LAP!$B$8,"SẮP HẠN","TRONG HẠN")))</f>
        <v/>
      </c>
      <c r="M207" s="27" t="n">
        <v>45995</v>
      </c>
      <c r="N207" s="37" t="n"/>
    </row>
    <row r="208" ht="15.75" customHeight="1" s="56">
      <c r="A208" s="37" t="inlineStr">
        <is>
          <t>BK-TSK-0205</t>
        </is>
      </c>
      <c r="B208" s="37" t="inlineStr">
        <is>
          <t>BK-HS-0205</t>
        </is>
      </c>
      <c r="C208" s="37" t="inlineStr">
        <is>
          <t>Phòng Đo đạc</t>
        </is>
      </c>
      <c r="D208" s="37" t="inlineStr">
        <is>
          <t>Xác định diện tích</t>
        </is>
      </c>
      <c r="E208" s="37" t="inlineStr">
        <is>
          <t>Giám đốc</t>
        </is>
      </c>
      <c r="F208" s="37" t="inlineStr">
        <is>
          <t>Trương Tấn Quốc</t>
        </is>
      </c>
      <c r="G208" s="27" t="n">
        <v>45995</v>
      </c>
      <c r="H208" s="27" t="n">
        <v>45996</v>
      </c>
      <c r="I208" s="37" t="inlineStr">
        <is>
          <t>Cao</t>
        </is>
      </c>
      <c r="J208" s="37" t="inlineStr">
        <is>
          <t>Hoàn thành</t>
        </is>
      </c>
      <c r="K208" s="37" t="inlineStr">
        <is>
          <t>Hoàn thành</t>
        </is>
      </c>
      <c r="L208" s="37">
        <f>IF(OR(H208="",J208="Hoàn thành",J208="Đã hủy"),"",IF(H208&lt;TODAY(),"QUÁ HẠN",IF(H208-TODAY()&lt;=THIET_LAP!$B$8,"SẮP HẠN","TRONG HẠN")))</f>
        <v/>
      </c>
      <c r="M208" s="27" t="n">
        <v>45995</v>
      </c>
      <c r="N208" s="37" t="n"/>
    </row>
    <row r="209" ht="15.75" customHeight="1" s="56">
      <c r="A209" s="37" t="inlineStr">
        <is>
          <t>BK-TSK-0206</t>
        </is>
      </c>
      <c r="B209" s="37" t="inlineStr">
        <is>
          <t>BK-HS-0206</t>
        </is>
      </c>
      <c r="C209" s="37" t="inlineStr">
        <is>
          <t>Phòng Đo đạc</t>
        </is>
      </c>
      <c r="D209" s="37" t="inlineStr">
        <is>
          <t>Hoàn công</t>
        </is>
      </c>
      <c r="E209" s="37" t="inlineStr">
        <is>
          <t>Giám đốc</t>
        </is>
      </c>
      <c r="F209" s="37" t="inlineStr">
        <is>
          <t>Lê Văn Dựng</t>
        </is>
      </c>
      <c r="G209" s="27" t="n">
        <v>45995</v>
      </c>
      <c r="H209" s="27" t="n">
        <v>45998</v>
      </c>
      <c r="I209" s="37" t="n"/>
      <c r="J209" s="37" t="inlineStr">
        <is>
          <t>Hoàn thành</t>
        </is>
      </c>
      <c r="K209" s="37" t="inlineStr">
        <is>
          <t>Hoàn thành</t>
        </is>
      </c>
      <c r="L209" s="37">
        <f>IF(OR(H209="",J209="Hoàn thành",J209="Đã hủy"),"",IF(H209&lt;TODAY(),"QUÁ HẠN",IF(H209-TODAY()&lt;=THIET_LAP!$B$8,"SẮP HẠN","TRONG HẠN")))</f>
        <v/>
      </c>
      <c r="M209" s="27" t="n">
        <v>46036</v>
      </c>
      <c r="N209" s="37" t="n"/>
    </row>
    <row r="210" ht="15.75" customHeight="1" s="56">
      <c r="A210" s="37" t="inlineStr">
        <is>
          <t>BK-TSK-0207</t>
        </is>
      </c>
      <c r="B210" s="37" t="inlineStr">
        <is>
          <t>BK-HS-0207</t>
        </is>
      </c>
      <c r="C210" s="37" t="inlineStr">
        <is>
          <t>Phòng Đo đạc</t>
        </is>
      </c>
      <c r="D210" s="37" t="inlineStr">
        <is>
          <t>Hoàn công</t>
        </is>
      </c>
      <c r="E210" s="37" t="inlineStr">
        <is>
          <t>Giám đốc</t>
        </is>
      </c>
      <c r="F210" s="37" t="inlineStr">
        <is>
          <t>Lê Văn Dựng</t>
        </is>
      </c>
      <c r="G210" s="27" t="n">
        <v>45995</v>
      </c>
      <c r="H210" s="27" t="n">
        <v>45998</v>
      </c>
      <c r="I210" s="37" t="n"/>
      <c r="J210" s="37" t="inlineStr">
        <is>
          <t>Hoàn thành</t>
        </is>
      </c>
      <c r="K210" s="37" t="inlineStr">
        <is>
          <t>Hoàn thành</t>
        </is>
      </c>
      <c r="L210" s="37">
        <f>IF(OR(H210="",J210="Hoàn thành",J210="Đã hủy"),"",IF(H210&lt;TODAY(),"QUÁ HẠN",IF(H210-TODAY()&lt;=THIET_LAP!$B$8,"SẮP HẠN","TRONG HẠN")))</f>
        <v/>
      </c>
      <c r="M210" s="27" t="n">
        <v>46038</v>
      </c>
      <c r="N210" s="37" t="n"/>
    </row>
    <row r="211" ht="15.75" customHeight="1" s="56">
      <c r="A211" s="37" t="inlineStr">
        <is>
          <t>BK-TSK-0208</t>
        </is>
      </c>
      <c r="B211" s="37" t="inlineStr">
        <is>
          <t>BK-HS-0208</t>
        </is>
      </c>
      <c r="C211" s="37" t="inlineStr">
        <is>
          <t>Phòng Đo đạc</t>
        </is>
      </c>
      <c r="D211" s="37" t="inlineStr">
        <is>
          <t>Điều chỉnh bản vẽ</t>
        </is>
      </c>
      <c r="E211" s="37" t="inlineStr">
        <is>
          <t>Giám đốc</t>
        </is>
      </c>
      <c r="F211" s="37" t="inlineStr">
        <is>
          <t>Lê Văn Dựng</t>
        </is>
      </c>
      <c r="G211" s="27" t="n">
        <v>45994</v>
      </c>
      <c r="H211" s="27" t="n">
        <v>45997</v>
      </c>
      <c r="I211" s="37" t="n"/>
      <c r="J211" s="37" t="inlineStr">
        <is>
          <t>Hoàn thành</t>
        </is>
      </c>
      <c r="K211" s="37" t="inlineStr">
        <is>
          <t>Hoàn thành</t>
        </is>
      </c>
      <c r="L211" s="37">
        <f>IF(OR(H211="",J211="Hoàn thành",J211="Đã hủy"),"",IF(H211&lt;TODAY(),"QUÁ HẠN",IF(H211-TODAY()&lt;=THIET_LAP!$B$8,"SẮP HẠN","TRONG HẠN")))</f>
        <v/>
      </c>
      <c r="M211" s="27" t="n">
        <v>46002</v>
      </c>
      <c r="N211" s="37" t="n"/>
    </row>
    <row r="212" ht="15.75" customHeight="1" s="56">
      <c r="A212" s="37" t="inlineStr">
        <is>
          <t>BK-TSK-0209</t>
        </is>
      </c>
      <c r="B212" s="37" t="inlineStr">
        <is>
          <t>BK-HS-0209</t>
        </is>
      </c>
      <c r="C212" s="37" t="inlineStr">
        <is>
          <t>Phòng Đo đạc</t>
        </is>
      </c>
      <c r="D212" s="37" t="inlineStr">
        <is>
          <t>Cấp đổi</t>
        </is>
      </c>
      <c r="E212" s="37" t="inlineStr">
        <is>
          <t>Giám đốc</t>
        </is>
      </c>
      <c r="F212" s="37" t="inlineStr">
        <is>
          <t>Lê Văn Xây</t>
        </is>
      </c>
      <c r="G212" s="27" t="n">
        <v>45994</v>
      </c>
      <c r="H212" s="27" t="n">
        <v>45997</v>
      </c>
      <c r="I212" s="37" t="n"/>
      <c r="J212" s="37" t="inlineStr">
        <is>
          <t>Hoàn thành</t>
        </is>
      </c>
      <c r="K212" s="37" t="inlineStr">
        <is>
          <t>Hoàn thành</t>
        </is>
      </c>
      <c r="L212" s="37">
        <f>IF(OR(H212="",J212="Hoàn thành",J212="Đã hủy"),"",IF(H212&lt;TODAY(),"QUÁ HẠN",IF(H212-TODAY()&lt;=THIET_LAP!$B$8,"SẮP HẠN","TRONG HẠN")))</f>
        <v/>
      </c>
      <c r="M212" s="27" t="n">
        <v>46014</v>
      </c>
      <c r="N212" s="37" t="n"/>
    </row>
    <row r="213" ht="15.75" customHeight="1" s="56">
      <c r="A213" s="37" t="inlineStr">
        <is>
          <t>BK-TSK-0210</t>
        </is>
      </c>
      <c r="B213" s="37" t="inlineStr">
        <is>
          <t>BK-HS-0210</t>
        </is>
      </c>
      <c r="C213" s="37" t="inlineStr">
        <is>
          <t>Phòng Đo đạc</t>
        </is>
      </c>
      <c r="D213" s="37" t="inlineStr">
        <is>
          <t>Xin phép xây dựng</t>
        </is>
      </c>
      <c r="E213" s="37" t="inlineStr">
        <is>
          <t>Giám đốc</t>
        </is>
      </c>
      <c r="F213" s="37" t="inlineStr">
        <is>
          <t>Võ Thành Minh</t>
        </is>
      </c>
      <c r="G213" s="27" t="n">
        <v>45993</v>
      </c>
      <c r="H213" s="27" t="n">
        <v>45996</v>
      </c>
      <c r="I213" s="37" t="n"/>
      <c r="J213" s="37" t="inlineStr">
        <is>
          <t>Hoàn thành</t>
        </is>
      </c>
      <c r="K213" s="37" t="inlineStr">
        <is>
          <t>Hoàn thành</t>
        </is>
      </c>
      <c r="L213" s="37">
        <f>IF(OR(H213="",J213="Hoàn thành",J213="Đã hủy"),"",IF(H213&lt;TODAY(),"QUÁ HẠN",IF(H213-TODAY()&lt;=THIET_LAP!$B$8,"SẮP HẠN","TRONG HẠN")))</f>
        <v/>
      </c>
      <c r="M213" s="27" t="n">
        <v>45991</v>
      </c>
      <c r="N213" s="37" t="n"/>
    </row>
    <row r="214" ht="15.75" customHeight="1" s="56">
      <c r="A214" s="37" t="inlineStr">
        <is>
          <t>BK-TSK-0211</t>
        </is>
      </c>
      <c r="B214" s="37" t="inlineStr">
        <is>
          <t>BK-HS-0211</t>
        </is>
      </c>
      <c r="C214" s="37" t="inlineStr">
        <is>
          <t>Phòng Đo đạc</t>
        </is>
      </c>
      <c r="D214" s="37" t="inlineStr">
        <is>
          <t>Xin phép xây dựng</t>
        </is>
      </c>
      <c r="E214" s="37" t="inlineStr">
        <is>
          <t>Giám đốc</t>
        </is>
      </c>
      <c r="F214" s="37" t="inlineStr">
        <is>
          <t>Võ Thành Minh</t>
        </is>
      </c>
      <c r="G214" s="27" t="n">
        <v>45993</v>
      </c>
      <c r="H214" s="27" t="n">
        <v>45996</v>
      </c>
      <c r="I214" s="37" t="n"/>
      <c r="J214" s="37" t="inlineStr">
        <is>
          <t>Hoàn thành</t>
        </is>
      </c>
      <c r="K214" s="37" t="inlineStr">
        <is>
          <t>Hoàn thành</t>
        </is>
      </c>
      <c r="L214" s="37">
        <f>IF(OR(H214="",J214="Hoàn thành",J214="Đã hủy"),"",IF(H214&lt;TODAY(),"QUÁ HẠN",IF(H214-TODAY()&lt;=THIET_LAP!$B$8,"SẮP HẠN","TRONG HẠN")))</f>
        <v/>
      </c>
      <c r="M214" s="27" t="n">
        <v>45991</v>
      </c>
      <c r="N214" s="37" t="n"/>
    </row>
    <row r="215" ht="15.75" customHeight="1" s="56">
      <c r="A215" s="37" t="inlineStr">
        <is>
          <t>BK-TSK-0212</t>
        </is>
      </c>
      <c r="B215" s="37" t="inlineStr">
        <is>
          <t>BK-HS-0212</t>
        </is>
      </c>
      <c r="C215" s="37" t="inlineStr">
        <is>
          <t>Phòng Đo đạc</t>
        </is>
      </c>
      <c r="D215" s="37" t="inlineStr">
        <is>
          <t>Xin phép xây dựng</t>
        </is>
      </c>
      <c r="E215" s="37" t="inlineStr">
        <is>
          <t>Giám đốc</t>
        </is>
      </c>
      <c r="F215" s="37" t="inlineStr">
        <is>
          <t>Võ Thành Minh</t>
        </is>
      </c>
      <c r="G215" s="27" t="n">
        <v>45993</v>
      </c>
      <c r="H215" s="27" t="n">
        <v>45996</v>
      </c>
      <c r="I215" s="37" t="n"/>
      <c r="J215" s="37" t="inlineStr">
        <is>
          <t>Hoàn thành</t>
        </is>
      </c>
      <c r="K215" s="37" t="inlineStr">
        <is>
          <t>Hoàn thành</t>
        </is>
      </c>
      <c r="L215" s="37">
        <f>IF(OR(H215="",J215="Hoàn thành",J215="Đã hủy"),"",IF(H215&lt;TODAY(),"QUÁ HẠN",IF(H215-TODAY()&lt;=THIET_LAP!$B$8,"SẮP HẠN","TRONG HẠN")))</f>
        <v/>
      </c>
      <c r="M215" s="27" t="n">
        <v>46039</v>
      </c>
      <c r="N215" s="37" t="n"/>
    </row>
    <row r="216" ht="15.75" customHeight="1" s="56">
      <c r="A216" s="37" t="inlineStr">
        <is>
          <t>BK-TSK-0213</t>
        </is>
      </c>
      <c r="B216" s="37" t="inlineStr">
        <is>
          <t>BK-HS-0213</t>
        </is>
      </c>
      <c r="C216" s="37" t="inlineStr">
        <is>
          <t>Phòng Đo đạc</t>
        </is>
      </c>
      <c r="D216" s="37" t="inlineStr">
        <is>
          <t>Xác định diện tích</t>
        </is>
      </c>
      <c r="E216" s="37" t="inlineStr">
        <is>
          <t>Giám đốc</t>
        </is>
      </c>
      <c r="F216" s="37" t="inlineStr">
        <is>
          <t>Lê Văn Xây</t>
        </is>
      </c>
      <c r="G216" s="27" t="n">
        <v>45993</v>
      </c>
      <c r="H216" s="27" t="n">
        <v>45996</v>
      </c>
      <c r="I216" s="37" t="n"/>
      <c r="J216" s="37" t="inlineStr">
        <is>
          <t>Hoàn thành</t>
        </is>
      </c>
      <c r="K216" s="37" t="inlineStr">
        <is>
          <t>Hoàn thành</t>
        </is>
      </c>
      <c r="L216" s="37">
        <f>IF(OR(H216="",J216="Hoàn thành",J216="Đã hủy"),"",IF(H216&lt;TODAY(),"QUÁ HẠN",IF(H216-TODAY()&lt;=THIET_LAP!$B$8,"SẮP HẠN","TRONG HẠN")))</f>
        <v/>
      </c>
      <c r="M216" s="27" t="n">
        <v>46039</v>
      </c>
      <c r="N216" s="37" t="n"/>
    </row>
    <row r="217" ht="15.75" customHeight="1" s="56">
      <c r="A217" s="37" t="inlineStr">
        <is>
          <t>BK-TSK-0214</t>
        </is>
      </c>
      <c r="B217" s="37" t="inlineStr">
        <is>
          <t>BK-HS-0214</t>
        </is>
      </c>
      <c r="C217" s="37" t="inlineStr">
        <is>
          <t>Phòng Đo đạc</t>
        </is>
      </c>
      <c r="D217" s="37" t="inlineStr">
        <is>
          <t>Xác định diện tích</t>
        </is>
      </c>
      <c r="E217" s="37" t="inlineStr">
        <is>
          <t>Giám đốc</t>
        </is>
      </c>
      <c r="F217" s="37" t="inlineStr">
        <is>
          <t>Lê Văn Xây</t>
        </is>
      </c>
      <c r="G217" s="27" t="n">
        <v>45993</v>
      </c>
      <c r="H217" s="27" t="n">
        <v>45996</v>
      </c>
      <c r="I217" s="37" t="n"/>
      <c r="J217" s="37" t="inlineStr">
        <is>
          <t>Hoàn thành</t>
        </is>
      </c>
      <c r="K217" s="37" t="inlineStr">
        <is>
          <t>Hoàn thành</t>
        </is>
      </c>
      <c r="L217" s="37">
        <f>IF(OR(H217="",J217="Hoàn thành",J217="Đã hủy"),"",IF(H217&lt;TODAY(),"QUÁ HẠN",IF(H217-TODAY()&lt;=THIET_LAP!$B$8,"SẮP HẠN","TRONG HẠN")))</f>
        <v/>
      </c>
      <c r="M217" s="27" t="n">
        <v>46039</v>
      </c>
      <c r="N217" s="37" t="n"/>
    </row>
    <row r="218" ht="15.75" customHeight="1" s="56">
      <c r="A218" s="37" t="inlineStr">
        <is>
          <t>BK-TSK-0215</t>
        </is>
      </c>
      <c r="B218" s="37" t="inlineStr">
        <is>
          <t>BK-HS-0215</t>
        </is>
      </c>
      <c r="C218" s="37" t="inlineStr">
        <is>
          <t>Phòng Đo đạc</t>
        </is>
      </c>
      <c r="D218" s="37" t="inlineStr">
        <is>
          <t>Hoàn công</t>
        </is>
      </c>
      <c r="E218" s="37" t="inlineStr">
        <is>
          <t>Giám đốc</t>
        </is>
      </c>
      <c r="F218" s="37" t="inlineStr">
        <is>
          <t>Trương Tấn Quốc</t>
        </is>
      </c>
      <c r="G218" s="27" t="n">
        <v>45993</v>
      </c>
      <c r="H218" s="27" t="n">
        <v>45996</v>
      </c>
      <c r="I218" s="37" t="n"/>
      <c r="J218" s="37" t="inlineStr">
        <is>
          <t>Hoàn thành</t>
        </is>
      </c>
      <c r="K218" s="37" t="inlineStr">
        <is>
          <t>Hoàn thành</t>
        </is>
      </c>
      <c r="L218" s="37">
        <f>IF(OR(H218="",J218="Hoàn thành",J218="Đã hủy"),"",IF(H218&lt;TODAY(),"QUÁ HẠN",IF(H218-TODAY()&lt;=THIET_LAP!$B$8,"SẮP HẠN","TRONG HẠN")))</f>
        <v/>
      </c>
      <c r="M218" s="27" t="n">
        <v>46036</v>
      </c>
      <c r="N218" s="37" t="n"/>
    </row>
    <row r="219" ht="15.75" customHeight="1" s="56">
      <c r="A219" s="37" t="inlineStr">
        <is>
          <t>BK-TSK-0216</t>
        </is>
      </c>
      <c r="B219" s="37" t="inlineStr">
        <is>
          <t>BK-HS-0216</t>
        </is>
      </c>
      <c r="C219" s="37" t="inlineStr">
        <is>
          <t>Phòng Đo đạc</t>
        </is>
      </c>
      <c r="D219" s="37" t="inlineStr">
        <is>
          <t>Hoàn công</t>
        </is>
      </c>
      <c r="E219" s="37" t="inlineStr">
        <is>
          <t>Giám đốc</t>
        </is>
      </c>
      <c r="F219" s="37" t="inlineStr">
        <is>
          <t>Tạ Khắc Tập</t>
        </is>
      </c>
      <c r="G219" s="27" t="n">
        <v>45993</v>
      </c>
      <c r="H219" s="27" t="n">
        <v>45996</v>
      </c>
      <c r="I219" s="37" t="n"/>
      <c r="J219" s="37" t="inlineStr">
        <is>
          <t>Hoàn thành</t>
        </is>
      </c>
      <c r="K219" s="37" t="inlineStr">
        <is>
          <t>Hoàn thành</t>
        </is>
      </c>
      <c r="L219" s="37">
        <f>IF(OR(H219="",J219="Hoàn thành",J219="Đã hủy"),"",IF(H219&lt;TODAY(),"QUÁ HẠN",IF(H219-TODAY()&lt;=THIET_LAP!$B$8,"SẮP HẠN","TRONG HẠN")))</f>
        <v/>
      </c>
      <c r="M219" s="27" t="n">
        <v>46042</v>
      </c>
      <c r="N219" s="37" t="n"/>
    </row>
    <row r="220" ht="15.75" customHeight="1" s="56">
      <c r="A220" s="37" t="inlineStr">
        <is>
          <t>BK-TSK-0217</t>
        </is>
      </c>
      <c r="B220" s="37" t="inlineStr">
        <is>
          <t>BK-HS-0217</t>
        </is>
      </c>
      <c r="C220" s="37" t="inlineStr">
        <is>
          <t>Phòng Đo đạc</t>
        </is>
      </c>
      <c r="D220" s="37" t="inlineStr">
        <is>
          <t>Đo GPS</t>
        </is>
      </c>
      <c r="E220" s="37" t="inlineStr">
        <is>
          <t>Giám đốc</t>
        </is>
      </c>
      <c r="F220" s="37" t="inlineStr">
        <is>
          <t>Lê Văn Dựng</t>
        </is>
      </c>
      <c r="G220" s="27" t="n">
        <v>45992</v>
      </c>
      <c r="H220" s="27" t="n">
        <v>45995</v>
      </c>
      <c r="I220" s="37" t="n"/>
      <c r="J220" s="37" t="inlineStr">
        <is>
          <t>Hoàn thành</t>
        </is>
      </c>
      <c r="K220" s="37" t="inlineStr">
        <is>
          <t>Hoàn thành</t>
        </is>
      </c>
      <c r="L220" s="37">
        <f>IF(OR(H220="",J220="Hoàn thành",J220="Đã hủy"),"",IF(H220&lt;TODAY(),"QUÁ HẠN",IF(H220-TODAY()&lt;=THIET_LAP!$B$8,"SẮP HẠN","TRONG HẠN")))</f>
        <v/>
      </c>
      <c r="M220" s="27" t="n">
        <v>45992</v>
      </c>
      <c r="N220" s="37" t="n"/>
    </row>
    <row r="221" ht="15.75" customHeight="1" s="56">
      <c r="A221" s="37" t="inlineStr">
        <is>
          <t>BK-TSK-0218</t>
        </is>
      </c>
      <c r="B221" s="37" t="inlineStr">
        <is>
          <t>BK-HS-0218</t>
        </is>
      </c>
      <c r="C221" s="37" t="inlineStr">
        <is>
          <t>Phòng Đo đạc</t>
        </is>
      </c>
      <c r="D221" s="37" t="inlineStr">
        <is>
          <t>Cắm mốc</t>
        </is>
      </c>
      <c r="E221" s="37" t="inlineStr">
        <is>
          <t>Giám đốc</t>
        </is>
      </c>
      <c r="F221" s="37" t="inlineStr">
        <is>
          <t>Lê Văn Dựng</t>
        </is>
      </c>
      <c r="G221" s="27" t="n">
        <v>45992</v>
      </c>
      <c r="H221" s="27" t="n">
        <v>45995</v>
      </c>
      <c r="I221" s="37" t="n"/>
      <c r="J221" s="37" t="inlineStr">
        <is>
          <t>Hoàn thành</t>
        </is>
      </c>
      <c r="K221" s="37" t="inlineStr">
        <is>
          <t>Hoàn thành</t>
        </is>
      </c>
      <c r="L221" s="37">
        <f>IF(OR(H221="",J221="Hoàn thành",J221="Đã hủy"),"",IF(H221&lt;TODAY(),"QUÁ HẠN",IF(H221-TODAY()&lt;=THIET_LAP!$B$8,"SẮP HẠN","TRONG HẠN")))</f>
        <v/>
      </c>
      <c r="M221" s="27" t="n">
        <v>45992</v>
      </c>
      <c r="N221" s="37" t="inlineStr">
        <is>
          <t>shd cũ 136/BK-2025</t>
        </is>
      </c>
    </row>
    <row r="222" ht="15.75" customHeight="1" s="56">
      <c r="A222" s="37" t="inlineStr">
        <is>
          <t>BK-TSK-0219</t>
        </is>
      </c>
      <c r="B222" s="37" t="inlineStr">
        <is>
          <t>BK-HS-0219</t>
        </is>
      </c>
      <c r="C222" s="37" t="inlineStr">
        <is>
          <t>Phòng Đo đạc</t>
        </is>
      </c>
      <c r="D222" s="37" t="inlineStr">
        <is>
          <t>Đo GPS</t>
        </is>
      </c>
      <c r="E222" s="37" t="inlineStr">
        <is>
          <t>Giám đốc</t>
        </is>
      </c>
      <c r="F222" s="37" t="inlineStr">
        <is>
          <t>Lê Văn Dựng</t>
        </is>
      </c>
      <c r="G222" s="27" t="n">
        <v>45990</v>
      </c>
      <c r="H222" s="27" t="n">
        <v>45993</v>
      </c>
      <c r="I222" s="37" t="n"/>
      <c r="J222" s="37" t="inlineStr">
        <is>
          <t>Hoàn thành</t>
        </is>
      </c>
      <c r="K222" s="37" t="inlineStr">
        <is>
          <t>Hoàn thành</t>
        </is>
      </c>
      <c r="L222" s="37">
        <f>IF(OR(H222="",J222="Hoàn thành",J222="Đã hủy"),"",IF(H222&lt;TODAY(),"QUÁ HẠN",IF(H222-TODAY()&lt;=THIET_LAP!$B$8,"SẮP HẠN","TRONG HẠN")))</f>
        <v/>
      </c>
      <c r="M222" s="27" t="n">
        <v>45992</v>
      </c>
      <c r="N222" s="37" t="n"/>
    </row>
    <row r="223" ht="15.75" customHeight="1" s="56">
      <c r="A223" s="37" t="inlineStr">
        <is>
          <t>BK-TSK-0220</t>
        </is>
      </c>
      <c r="B223" s="37" t="inlineStr">
        <is>
          <t>BK-HS-0220</t>
        </is>
      </c>
      <c r="C223" s="37" t="inlineStr">
        <is>
          <t>Phòng Đo đạc</t>
        </is>
      </c>
      <c r="D223" s="37" t="inlineStr">
        <is>
          <t>Cắm mốc</t>
        </is>
      </c>
      <c r="E223" s="37" t="inlineStr">
        <is>
          <t>Giám đốc</t>
        </is>
      </c>
      <c r="F223" s="37" t="inlineStr">
        <is>
          <t>Lê Văn Dựng</t>
        </is>
      </c>
      <c r="G223" s="27" t="n">
        <v>45990</v>
      </c>
      <c r="H223" s="27" t="n">
        <v>45993</v>
      </c>
      <c r="I223" s="37" t="n"/>
      <c r="J223" s="37" t="inlineStr">
        <is>
          <t>Hoàn thành</t>
        </is>
      </c>
      <c r="K223" s="37" t="inlineStr">
        <is>
          <t>Hoàn thành</t>
        </is>
      </c>
      <c r="L223" s="37">
        <f>IF(OR(H223="",J223="Hoàn thành",J223="Đã hủy"),"",IF(H223&lt;TODAY(),"QUÁ HẠN",IF(H223-TODAY()&lt;=THIET_LAP!$B$8,"SẮP HẠN","TRONG HẠN")))</f>
        <v/>
      </c>
      <c r="M223" s="27" t="n">
        <v>45992</v>
      </c>
      <c r="N223" s="37" t="n"/>
    </row>
    <row r="224" ht="15.75" customHeight="1" s="56">
      <c r="A224" s="37" t="inlineStr">
        <is>
          <t>BK-TSK-0221</t>
        </is>
      </c>
      <c r="B224" s="37" t="inlineStr">
        <is>
          <t>BK-HS-0221</t>
        </is>
      </c>
      <c r="C224" s="37" t="inlineStr">
        <is>
          <t>Phòng Đo đạc</t>
        </is>
      </c>
      <c r="D224" s="37" t="inlineStr">
        <is>
          <t>Cấp đổi</t>
        </is>
      </c>
      <c r="E224" s="37" t="inlineStr">
        <is>
          <t>Giám đốc</t>
        </is>
      </c>
      <c r="F224" s="37" t="inlineStr">
        <is>
          <t>Lê Văn Dựng</t>
        </is>
      </c>
      <c r="G224" s="27" t="n">
        <v>45990</v>
      </c>
      <c r="H224" s="27" t="n">
        <v>45993</v>
      </c>
      <c r="I224" s="37" t="n"/>
      <c r="J224" s="37" t="inlineStr">
        <is>
          <t>Hoàn thành</t>
        </is>
      </c>
      <c r="K224" s="37" t="inlineStr">
        <is>
          <t>Hoàn thành</t>
        </is>
      </c>
      <c r="L224" s="37">
        <f>IF(OR(H224="",J224="Hoàn thành",J224="Đã hủy"),"",IF(H224&lt;TODAY(),"QUÁ HẠN",IF(H224-TODAY()&lt;=THIET_LAP!$B$8,"SẮP HẠN","TRONG HẠN")))</f>
        <v/>
      </c>
      <c r="M224" s="27" t="n">
        <v>46002</v>
      </c>
      <c r="N224" s="37" t="n"/>
    </row>
    <row r="225" ht="15.75" customHeight="1" s="56">
      <c r="A225" s="37" t="inlineStr">
        <is>
          <t>BK-TSK-0222</t>
        </is>
      </c>
      <c r="B225" s="37" t="inlineStr">
        <is>
          <t>BK-HS-0222</t>
        </is>
      </c>
      <c r="C225" s="37" t="inlineStr">
        <is>
          <t>Phòng Đo đạc</t>
        </is>
      </c>
      <c r="D225" s="37" t="inlineStr">
        <is>
          <t>Đo GPS</t>
        </is>
      </c>
      <c r="E225" s="37" t="inlineStr">
        <is>
          <t>Giám đốc</t>
        </is>
      </c>
      <c r="F225" s="37" t="inlineStr">
        <is>
          <t>Lê Văn Dựng</t>
        </is>
      </c>
      <c r="G225" s="27" t="n">
        <v>45990</v>
      </c>
      <c r="H225" s="27" t="n">
        <v>45993</v>
      </c>
      <c r="I225" s="37" t="n"/>
      <c r="J225" s="37" t="inlineStr">
        <is>
          <t>Hoàn thành</t>
        </is>
      </c>
      <c r="K225" s="37" t="inlineStr">
        <is>
          <t>Hoàn thành</t>
        </is>
      </c>
      <c r="L225" s="37">
        <f>IF(OR(H225="",J225="Hoàn thành",J225="Đã hủy"),"",IF(H225&lt;TODAY(),"QUÁ HẠN",IF(H225-TODAY()&lt;=THIET_LAP!$B$8,"SẮP HẠN","TRONG HẠN")))</f>
        <v/>
      </c>
      <c r="M225" s="27" t="n">
        <v>45992</v>
      </c>
      <c r="N225" s="37" t="n"/>
    </row>
    <row r="226" ht="15.75" customHeight="1" s="56">
      <c r="A226" s="37" t="inlineStr">
        <is>
          <t>BK-TSK-0223</t>
        </is>
      </c>
      <c r="B226" s="37" t="inlineStr">
        <is>
          <t>BK-HS-0223</t>
        </is>
      </c>
      <c r="C226" s="37" t="inlineStr">
        <is>
          <t>Phòng Đo đạc</t>
        </is>
      </c>
      <c r="D226" s="37" t="inlineStr">
        <is>
          <t>Cắm mốc</t>
        </is>
      </c>
      <c r="E226" s="37" t="inlineStr">
        <is>
          <t>Giám đốc</t>
        </is>
      </c>
      <c r="F226" s="37" t="inlineStr">
        <is>
          <t>Lê Văn Dựng</t>
        </is>
      </c>
      <c r="G226" s="27" t="n">
        <v>45990</v>
      </c>
      <c r="H226" s="27" t="n">
        <v>45993</v>
      </c>
      <c r="I226" s="37" t="n"/>
      <c r="J226" s="37" t="inlineStr">
        <is>
          <t>Hoàn thành</t>
        </is>
      </c>
      <c r="K226" s="37" t="inlineStr">
        <is>
          <t>Hoàn thành</t>
        </is>
      </c>
      <c r="L226" s="37">
        <f>IF(OR(H226="",J226="Hoàn thành",J226="Đã hủy"),"",IF(H226&lt;TODAY(),"QUÁ HẠN",IF(H226-TODAY()&lt;=THIET_LAP!$B$8,"SẮP HẠN","TRONG HẠN")))</f>
        <v/>
      </c>
      <c r="M226" s="27" t="n">
        <v>45992</v>
      </c>
      <c r="N226" s="37" t="n"/>
    </row>
    <row r="227" ht="15.75" customHeight="1" s="56">
      <c r="A227" s="37" t="inlineStr">
        <is>
          <t>BK-TSK-0224</t>
        </is>
      </c>
      <c r="B227" s="37" t="inlineStr">
        <is>
          <t>BK-HS-0224</t>
        </is>
      </c>
      <c r="C227" s="37" t="inlineStr">
        <is>
          <t>Phòng Đo đạc</t>
        </is>
      </c>
      <c r="D227" s="37" t="inlineStr">
        <is>
          <t>Cấp đổi</t>
        </is>
      </c>
      <c r="E227" s="37" t="inlineStr">
        <is>
          <t>Giám đốc</t>
        </is>
      </c>
      <c r="F227" s="37" t="inlineStr">
        <is>
          <t>Lê Văn Dựng</t>
        </is>
      </c>
      <c r="G227" s="27" t="n">
        <v>45990</v>
      </c>
      <c r="H227" s="27" t="n">
        <v>45993</v>
      </c>
      <c r="I227" s="37" t="n"/>
      <c r="J227" s="37" t="inlineStr">
        <is>
          <t>Nộp thành công - Chờ kết quả</t>
        </is>
      </c>
      <c r="K227" s="37" t="inlineStr">
        <is>
          <t>Đã nộp</t>
        </is>
      </c>
      <c r="L227" s="37">
        <f>IF(OR(H227="",J227="Hoàn thành",J227="Đã hủy"),"",IF(H227&lt;TODAY(),"QUÁ HẠN",IF(H227-TODAY()&lt;=THIET_LAP!$B$8,"SẮP HẠN","TRONG HẠN")))</f>
        <v/>
      </c>
      <c r="M227" s="27" t="n"/>
      <c r="N227" s="37" t="n"/>
    </row>
    <row r="228" ht="15.75" customHeight="1" s="56">
      <c r="A228" s="37" t="inlineStr">
        <is>
          <t>BK-TSK-0225</t>
        </is>
      </c>
      <c r="B228" s="37" t="inlineStr">
        <is>
          <t>BK-HS-0225</t>
        </is>
      </c>
      <c r="C228" s="37" t="inlineStr">
        <is>
          <t>Phòng Đo đạc</t>
        </is>
      </c>
      <c r="D228" s="37" t="inlineStr">
        <is>
          <t>Đo GPS</t>
        </is>
      </c>
      <c r="E228" s="37" t="inlineStr">
        <is>
          <t>Giám đốc</t>
        </is>
      </c>
      <c r="F228" s="37" t="inlineStr">
        <is>
          <t>Lê Văn Dựng</t>
        </is>
      </c>
      <c r="G228" s="27" t="n">
        <v>45990</v>
      </c>
      <c r="H228" s="27" t="n">
        <v>45993</v>
      </c>
      <c r="I228" s="37" t="n"/>
      <c r="J228" s="37" t="inlineStr">
        <is>
          <t>Hoàn thành</t>
        </is>
      </c>
      <c r="K228" s="37" t="inlineStr">
        <is>
          <t>Hoàn thành</t>
        </is>
      </c>
      <c r="L228" s="37">
        <f>IF(OR(H228="",J228="Hoàn thành",J228="Đã hủy"),"",IF(H228&lt;TODAY(),"QUÁ HẠN",IF(H228-TODAY()&lt;=THIET_LAP!$B$8,"SẮP HẠN","TRONG HẠN")))</f>
        <v/>
      </c>
      <c r="M228" s="27" t="n">
        <v>45992</v>
      </c>
      <c r="N228" s="37" t="n"/>
    </row>
    <row r="229" ht="15.75" customHeight="1" s="56">
      <c r="A229" s="37" t="inlineStr">
        <is>
          <t>BK-TSK-0226</t>
        </is>
      </c>
      <c r="B229" s="37" t="inlineStr">
        <is>
          <t>BK-HS-0226</t>
        </is>
      </c>
      <c r="C229" s="37" t="inlineStr">
        <is>
          <t>Phòng Đo đạc</t>
        </is>
      </c>
      <c r="D229" s="37" t="inlineStr">
        <is>
          <t>Cắm mốc</t>
        </is>
      </c>
      <c r="E229" s="37" t="inlineStr">
        <is>
          <t>Giám đốc</t>
        </is>
      </c>
      <c r="F229" s="37" t="inlineStr">
        <is>
          <t>Lê Văn Dựng</t>
        </is>
      </c>
      <c r="G229" s="27" t="n">
        <v>45990</v>
      </c>
      <c r="H229" s="27" t="n">
        <v>45993</v>
      </c>
      <c r="I229" s="37" t="n"/>
      <c r="J229" s="37" t="inlineStr">
        <is>
          <t>Hoàn thành</t>
        </is>
      </c>
      <c r="K229" s="37" t="inlineStr">
        <is>
          <t>Hoàn thành</t>
        </is>
      </c>
      <c r="L229" s="37">
        <f>IF(OR(H229="",J229="Hoàn thành",J229="Đã hủy"),"",IF(H229&lt;TODAY(),"QUÁ HẠN",IF(H229-TODAY()&lt;=THIET_LAP!$B$8,"SẮP HẠN","TRONG HẠN")))</f>
        <v/>
      </c>
      <c r="M229" s="27" t="n">
        <v>45992</v>
      </c>
      <c r="N229" s="37" t="n"/>
    </row>
    <row r="230" ht="15.75" customHeight="1" s="56">
      <c r="A230" s="37" t="inlineStr">
        <is>
          <t>BK-TSK-0227</t>
        </is>
      </c>
      <c r="B230" s="37" t="inlineStr">
        <is>
          <t>BK-HS-0227</t>
        </is>
      </c>
      <c r="C230" s="37" t="inlineStr">
        <is>
          <t>Phòng Đo đạc</t>
        </is>
      </c>
      <c r="D230" s="37" t="inlineStr">
        <is>
          <t>Cấp đổi</t>
        </is>
      </c>
      <c r="E230" s="37" t="inlineStr">
        <is>
          <t>Giám đốc</t>
        </is>
      </c>
      <c r="F230" s="37" t="inlineStr">
        <is>
          <t>Lê Văn Dựng</t>
        </is>
      </c>
      <c r="G230" s="27" t="n">
        <v>45990</v>
      </c>
      <c r="H230" s="27" t="n">
        <v>45993</v>
      </c>
      <c r="I230" s="37" t="n"/>
      <c r="J230" s="37" t="inlineStr">
        <is>
          <t>Hoàn thành</t>
        </is>
      </c>
      <c r="K230" s="37" t="inlineStr">
        <is>
          <t>Hoàn thành</t>
        </is>
      </c>
      <c r="L230" s="37">
        <f>IF(OR(H230="",J230="Hoàn thành",J230="Đã hủy"),"",IF(H230&lt;TODAY(),"QUÁ HẠN",IF(H230-TODAY()&lt;=THIET_LAP!$B$8,"SẮP HẠN","TRONG HẠN")))</f>
        <v/>
      </c>
      <c r="M230" s="27" t="n">
        <v>46013</v>
      </c>
      <c r="N230" s="37" t="n"/>
    </row>
    <row r="231" ht="15.75" customHeight="1" s="56">
      <c r="A231" s="37" t="inlineStr">
        <is>
          <t>BK-TSK-0228</t>
        </is>
      </c>
      <c r="B231" s="37" t="inlineStr">
        <is>
          <t>BK-HS-0228</t>
        </is>
      </c>
      <c r="C231" s="37" t="inlineStr">
        <is>
          <t>Phòng Đo đạc</t>
        </is>
      </c>
      <c r="D231" s="37" t="inlineStr">
        <is>
          <t>Hoàn công</t>
        </is>
      </c>
      <c r="E231" s="37" t="inlineStr">
        <is>
          <t>Giám đốc</t>
        </is>
      </c>
      <c r="F231" s="37" t="inlineStr">
        <is>
          <t>Trương Tấn Quốc</t>
        </is>
      </c>
      <c r="G231" s="27" t="n">
        <v>45990</v>
      </c>
      <c r="H231" s="27" t="n">
        <v>45993</v>
      </c>
      <c r="I231" s="37" t="n"/>
      <c r="J231" s="37" t="inlineStr">
        <is>
          <t>Hủy</t>
        </is>
      </c>
      <c r="K231" s="37" t="inlineStr">
        <is>
          <t>ĐÃ HỦY</t>
        </is>
      </c>
      <c r="L231" s="37">
        <f>IF(OR(H231="",J231="Hoàn thành",J231="Đã hủy"),"",IF(H231&lt;TODAY(),"QUÁ HẠN",IF(H231-TODAY()&lt;=THIET_LAP!$B$8,"SẮP HẠN","TRONG HẠN")))</f>
        <v/>
      </c>
      <c r="M231" s="27" t="n"/>
      <c r="N231" s="37" t="inlineStr">
        <is>
          <t>Đất thuộc toàn bộ quy hoạch đất giao thông</t>
        </is>
      </c>
    </row>
    <row r="232" ht="15.75" customHeight="1" s="56">
      <c r="A232" s="37" t="inlineStr">
        <is>
          <t>BK-TSK-0229</t>
        </is>
      </c>
      <c r="B232" s="37" t="inlineStr">
        <is>
          <t>BK-HS-0229</t>
        </is>
      </c>
      <c r="C232" s="37" t="inlineStr">
        <is>
          <t>Phòng Đo đạc</t>
        </is>
      </c>
      <c r="D232" s="37" t="inlineStr">
        <is>
          <t>Hoàn công</t>
        </is>
      </c>
      <c r="E232" s="37" t="inlineStr">
        <is>
          <t>Giám đốc</t>
        </is>
      </c>
      <c r="F232" s="37" t="inlineStr">
        <is>
          <t>Tạ Khắc Tập</t>
        </is>
      </c>
      <c r="G232" s="27" t="n">
        <v>45989</v>
      </c>
      <c r="H232" s="27" t="n">
        <v>45992</v>
      </c>
      <c r="I232" s="37" t="n"/>
      <c r="J232" s="37" t="inlineStr">
        <is>
          <t>Hủy</t>
        </is>
      </c>
      <c r="K232" s="37" t="inlineStr">
        <is>
          <t>ĐÃ HỦY</t>
        </is>
      </c>
      <c r="L232" s="37">
        <f>IF(OR(H232="",J232="Hoàn thành",J232="Đã hủy"),"",IF(H232&lt;TODAY(),"QUÁ HẠN",IF(H232-TODAY()&lt;=THIET_LAP!$B$8,"SẮP HẠN","TRONG HẠN")))</f>
        <v/>
      </c>
      <c r="M232" s="27" t="n"/>
      <c r="N232" s="37" t="inlineStr">
        <is>
          <t>huy( ko lam duoc hs)</t>
        </is>
      </c>
    </row>
    <row r="233" ht="15.75" customHeight="1" s="56">
      <c r="A233" s="37" t="inlineStr">
        <is>
          <t>BK-TSK-0230</t>
        </is>
      </c>
      <c r="B233" s="37" t="inlineStr">
        <is>
          <t>BK-HS-0230</t>
        </is>
      </c>
      <c r="C233" s="37" t="inlineStr">
        <is>
          <t>Phòng Đo đạc</t>
        </is>
      </c>
      <c r="D233" s="37" t="inlineStr">
        <is>
          <t>Cắm mốc</t>
        </is>
      </c>
      <c r="E233" s="37" t="inlineStr">
        <is>
          <t>Giám đốc</t>
        </is>
      </c>
      <c r="F233" s="37" t="inlineStr">
        <is>
          <t>Lê Văn Dựng</t>
        </is>
      </c>
      <c r="G233" s="27" t="n">
        <v>45989</v>
      </c>
      <c r="H233" s="27" t="n">
        <v>45992</v>
      </c>
      <c r="I233" s="37" t="n"/>
      <c r="J233" s="37" t="inlineStr">
        <is>
          <t>Hoàn thành</t>
        </is>
      </c>
      <c r="K233" s="37" t="inlineStr">
        <is>
          <t>Hoàn thành</t>
        </is>
      </c>
      <c r="L233" s="37">
        <f>IF(OR(H233="",J233="Hoàn thành",J233="Đã hủy"),"",IF(H233&lt;TODAY(),"QUÁ HẠN",IF(H233-TODAY()&lt;=THIET_LAP!$B$8,"SẮP HẠN","TRONG HẠN")))</f>
        <v/>
      </c>
      <c r="M233" s="27" t="n">
        <v>45990</v>
      </c>
      <c r="N233" s="37" t="n"/>
    </row>
    <row r="234" ht="15.75" customHeight="1" s="56">
      <c r="A234" s="37" t="inlineStr">
        <is>
          <t>BK-TSK-0231</t>
        </is>
      </c>
      <c r="B234" s="37" t="inlineStr">
        <is>
          <t>BK-HS-0231</t>
        </is>
      </c>
      <c r="C234" s="37" t="inlineStr">
        <is>
          <t>Phòng Đo đạc</t>
        </is>
      </c>
      <c r="D234" s="37" t="inlineStr">
        <is>
          <t>Kiểm tra hiện trạng</t>
        </is>
      </c>
      <c r="E234" s="37" t="inlineStr">
        <is>
          <t>Giám đốc</t>
        </is>
      </c>
      <c r="F234" s="37" t="inlineStr">
        <is>
          <t>Tạ Khắc Tập</t>
        </is>
      </c>
      <c r="G234" s="27" t="n">
        <v>45989</v>
      </c>
      <c r="H234" s="27" t="n">
        <v>45992</v>
      </c>
      <c r="I234" s="37" t="n"/>
      <c r="J234" s="37" t="inlineStr">
        <is>
          <t>Hoàn thành</t>
        </is>
      </c>
      <c r="K234" s="37" t="inlineStr">
        <is>
          <t>Hoàn thành</t>
        </is>
      </c>
      <c r="L234" s="37">
        <f>IF(OR(H234="",J234="Hoàn thành",J234="Đã hủy"),"",IF(H234&lt;TODAY(),"QUÁ HẠN",IF(H234-TODAY()&lt;=THIET_LAP!$B$8,"SẮP HẠN","TRONG HẠN")))</f>
        <v/>
      </c>
      <c r="M234" s="27" t="n">
        <v>45990</v>
      </c>
      <c r="N234" s="37" t="inlineStr">
        <is>
          <t>đã bàn giao biên bản</t>
        </is>
      </c>
    </row>
    <row r="235" ht="15.75" customHeight="1" s="56">
      <c r="A235" s="37" t="inlineStr">
        <is>
          <t>BK-TSK-0232</t>
        </is>
      </c>
      <c r="B235" s="37" t="inlineStr">
        <is>
          <t>BK-HS-0232</t>
        </is>
      </c>
      <c r="C235" s="37" t="inlineStr">
        <is>
          <t>Phòng Đo đạc</t>
        </is>
      </c>
      <c r="D235" s="37" t="inlineStr">
        <is>
          <t>Điều chỉnh bản vẽ</t>
        </is>
      </c>
      <c r="E235" s="37" t="inlineStr">
        <is>
          <t>Giám đốc</t>
        </is>
      </c>
      <c r="F235" s="37" t="inlineStr">
        <is>
          <t>Trương Tấn Quốc</t>
        </is>
      </c>
      <c r="G235" s="27" t="n">
        <v>45989</v>
      </c>
      <c r="H235" s="27" t="n">
        <v>45992</v>
      </c>
      <c r="I235" s="37" t="n"/>
      <c r="J235" s="37" t="inlineStr">
        <is>
          <t>Hoàn thành</t>
        </is>
      </c>
      <c r="K235" s="37" t="inlineStr">
        <is>
          <t>Hoàn thành</t>
        </is>
      </c>
      <c r="L235" s="37">
        <f>IF(OR(H235="",J235="Hoàn thành",J235="Đã hủy"),"",IF(H235&lt;TODAY(),"QUÁ HẠN",IF(H235-TODAY()&lt;=THIET_LAP!$B$8,"SẮP HẠN","TRONG HẠN")))</f>
        <v/>
      </c>
      <c r="M235" s="27" t="n">
        <v>46008</v>
      </c>
      <c r="N235" s="37" t="n"/>
    </row>
    <row r="236" ht="15.75" customHeight="1" s="56">
      <c r="A236" s="37" t="inlineStr">
        <is>
          <t>BK-TSK-0233</t>
        </is>
      </c>
      <c r="B236" s="37" t="inlineStr">
        <is>
          <t>BK-HS-0233</t>
        </is>
      </c>
      <c r="C236" s="37" t="inlineStr">
        <is>
          <t>Phòng Đo đạc</t>
        </is>
      </c>
      <c r="D236" s="37" t="inlineStr">
        <is>
          <t>Đo GPS</t>
        </is>
      </c>
      <c r="E236" s="37" t="inlineStr">
        <is>
          <t>Giám đốc</t>
        </is>
      </c>
      <c r="F236" s="37" t="inlineStr">
        <is>
          <t>Lê Văn Dựng</t>
        </is>
      </c>
      <c r="G236" s="27" t="n">
        <v>45989</v>
      </c>
      <c r="H236" s="27" t="n">
        <v>45992</v>
      </c>
      <c r="I236" s="37" t="n"/>
      <c r="J236" s="37" t="inlineStr">
        <is>
          <t>Hoàn thành</t>
        </is>
      </c>
      <c r="K236" s="37" t="inlineStr">
        <is>
          <t>Hoàn thành</t>
        </is>
      </c>
      <c r="L236" s="37">
        <f>IF(OR(H236="",J236="Hoàn thành",J236="Đã hủy"),"",IF(H236&lt;TODAY(),"QUÁ HẠN",IF(H236-TODAY()&lt;=THIET_LAP!$B$8,"SẮP HẠN","TRONG HẠN")))</f>
        <v/>
      </c>
      <c r="M236" s="27" t="n">
        <v>45990</v>
      </c>
      <c r="N236" s="37" t="n"/>
    </row>
    <row r="237" ht="15.75" customHeight="1" s="56">
      <c r="A237" s="37" t="inlineStr">
        <is>
          <t>BK-TSK-0234</t>
        </is>
      </c>
      <c r="B237" s="37" t="inlineStr">
        <is>
          <t>BK-HS-0234</t>
        </is>
      </c>
      <c r="C237" s="37" t="inlineStr">
        <is>
          <t>Phòng Đo đạc</t>
        </is>
      </c>
      <c r="D237" s="37" t="inlineStr">
        <is>
          <t>Cắm mốc</t>
        </is>
      </c>
      <c r="E237" s="37" t="inlineStr">
        <is>
          <t>Giám đốc</t>
        </is>
      </c>
      <c r="F237" s="37" t="inlineStr">
        <is>
          <t>Lê Văn Dựng</t>
        </is>
      </c>
      <c r="G237" s="27" t="n">
        <v>45989</v>
      </c>
      <c r="H237" s="27" t="n">
        <v>45992</v>
      </c>
      <c r="I237" s="37" t="n"/>
      <c r="J237" s="37" t="inlineStr">
        <is>
          <t>Hoàn thành</t>
        </is>
      </c>
      <c r="K237" s="37" t="inlineStr">
        <is>
          <t>Hoàn thành</t>
        </is>
      </c>
      <c r="L237" s="37">
        <f>IF(OR(H237="",J237="Hoàn thành",J237="Đã hủy"),"",IF(H237&lt;TODAY(),"QUÁ HẠN",IF(H237-TODAY()&lt;=THIET_LAP!$B$8,"SẮP HẠN","TRONG HẠN")))</f>
        <v/>
      </c>
      <c r="M237" s="27" t="n">
        <v>45990</v>
      </c>
      <c r="N237" s="37" t="n"/>
    </row>
    <row r="238" ht="15.75" customHeight="1" s="56">
      <c r="A238" s="37" t="inlineStr">
        <is>
          <t>BK-TSK-0235</t>
        </is>
      </c>
      <c r="B238" s="37" t="inlineStr">
        <is>
          <t>BK-HS-0235</t>
        </is>
      </c>
      <c r="C238" s="37" t="inlineStr">
        <is>
          <t>Phòng Đo đạc</t>
        </is>
      </c>
      <c r="D238" s="37" t="inlineStr">
        <is>
          <t>Cấp đổi</t>
        </is>
      </c>
      <c r="E238" s="37" t="inlineStr">
        <is>
          <t>Giám đốc</t>
        </is>
      </c>
      <c r="F238" s="37" t="inlineStr">
        <is>
          <t>Lê Văn Dựng</t>
        </is>
      </c>
      <c r="G238" s="27" t="n">
        <v>45989</v>
      </c>
      <c r="H238" s="27" t="n">
        <v>45992</v>
      </c>
      <c r="I238" s="37" t="n"/>
      <c r="J238" s="37" t="inlineStr">
        <is>
          <t>Hoàn thành</t>
        </is>
      </c>
      <c r="K238" s="37" t="inlineStr">
        <is>
          <t>Hoàn thành</t>
        </is>
      </c>
      <c r="L238" s="37">
        <f>IF(OR(H238="",J238="Hoàn thành",J238="Đã hủy"),"",IF(H238&lt;TODAY(),"QUÁ HẠN",IF(H238-TODAY()&lt;=THIET_LAP!$B$8,"SẮP HẠN","TRONG HẠN")))</f>
        <v/>
      </c>
      <c r="M238" s="27" t="n">
        <v>46016</v>
      </c>
      <c r="N238" s="37" t="n"/>
    </row>
    <row r="239" ht="15.75" customHeight="1" s="56">
      <c r="A239" s="37" t="inlineStr">
        <is>
          <t>BK-TSK-0236</t>
        </is>
      </c>
      <c r="B239" s="37" t="inlineStr">
        <is>
          <t>BK-HS-0236</t>
        </is>
      </c>
      <c r="C239" s="37" t="inlineStr">
        <is>
          <t>Phòng Đo đạc</t>
        </is>
      </c>
      <c r="D239" s="37" t="inlineStr">
        <is>
          <t>Cắm mốc</t>
        </is>
      </c>
      <c r="E239" s="37" t="inlineStr">
        <is>
          <t>Giám đốc</t>
        </is>
      </c>
      <c r="F239" s="37" t="inlineStr">
        <is>
          <t>Lê Văn Dựng</t>
        </is>
      </c>
      <c r="G239" s="27" t="n">
        <v>45989</v>
      </c>
      <c r="H239" s="27" t="n">
        <v>45992</v>
      </c>
      <c r="I239" s="37" t="n"/>
      <c r="J239" s="37" t="inlineStr">
        <is>
          <t>Hoàn thành</t>
        </is>
      </c>
      <c r="K239" s="37" t="inlineStr">
        <is>
          <t>Hoàn thành</t>
        </is>
      </c>
      <c r="L239" s="37">
        <f>IF(OR(H239="",J239="Hoàn thành",J239="Đã hủy"),"",IF(H239&lt;TODAY(),"QUÁ HẠN",IF(H239-TODAY()&lt;=THIET_LAP!$B$8,"SẮP HẠN","TRONG HẠN")))</f>
        <v/>
      </c>
      <c r="M239" s="27" t="n">
        <v>45990</v>
      </c>
      <c r="N239" s="37" t="n"/>
    </row>
    <row r="240" ht="15.75" customHeight="1" s="56">
      <c r="A240" s="37" t="inlineStr">
        <is>
          <t>BK-TSK-0237</t>
        </is>
      </c>
      <c r="B240" s="37" t="inlineStr">
        <is>
          <t>BK-HS-0237</t>
        </is>
      </c>
      <c r="C240" s="37" t="inlineStr">
        <is>
          <t>Phòng Đo đạc</t>
        </is>
      </c>
      <c r="D240" s="37" t="inlineStr">
        <is>
          <t>Điều chỉnh bản vẽ</t>
        </is>
      </c>
      <c r="E240" s="37" t="inlineStr">
        <is>
          <t>Giám đốc</t>
        </is>
      </c>
      <c r="F240" s="37" t="inlineStr">
        <is>
          <t>Trương Tấn Quốc</t>
        </is>
      </c>
      <c r="G240" s="27" t="n">
        <v>45989</v>
      </c>
      <c r="H240" s="27" t="n">
        <v>45992</v>
      </c>
      <c r="I240" s="37" t="n"/>
      <c r="J240" s="37" t="inlineStr">
        <is>
          <t>Hoàn thành</t>
        </is>
      </c>
      <c r="K240" s="37" t="inlineStr">
        <is>
          <t>Hoàn thành</t>
        </is>
      </c>
      <c r="L240" s="37">
        <f>IF(OR(H240="",J240="Hoàn thành",J240="Đã hủy"),"",IF(H240&lt;TODAY(),"QUÁ HẠN",IF(H240-TODAY()&lt;=THIET_LAP!$B$8,"SẮP HẠN","TRONG HẠN")))</f>
        <v/>
      </c>
      <c r="M240" s="27" t="n">
        <v>46031</v>
      </c>
      <c r="N240" s="37" t="inlineStr">
        <is>
          <t>Đợi dịch vụ trao đổi phường</t>
        </is>
      </c>
    </row>
    <row r="241" ht="15.75" customHeight="1" s="56">
      <c r="A241" s="37" t="inlineStr">
        <is>
          <t>BK-TSK-0238</t>
        </is>
      </c>
      <c r="B241" s="37" t="inlineStr">
        <is>
          <t>BK-HS-0238</t>
        </is>
      </c>
      <c r="C241" s="37" t="inlineStr">
        <is>
          <t>Phòng Đo đạc</t>
        </is>
      </c>
      <c r="D241" s="37" t="inlineStr">
        <is>
          <t>Cấp đổi</t>
        </is>
      </c>
      <c r="E241" s="37" t="inlineStr">
        <is>
          <t>Giám đốc</t>
        </is>
      </c>
      <c r="F241" s="37" t="inlineStr">
        <is>
          <t>Lê Văn Xây</t>
        </is>
      </c>
      <c r="G241" s="27" t="n">
        <v>45988</v>
      </c>
      <c r="H241" s="27" t="n">
        <v>45991</v>
      </c>
      <c r="I241" s="37" t="n"/>
      <c r="J241" s="37" t="inlineStr">
        <is>
          <t>Hoàn thành</t>
        </is>
      </c>
      <c r="K241" s="37" t="inlineStr">
        <is>
          <t>Hoàn thành</t>
        </is>
      </c>
      <c r="L241" s="37">
        <f>IF(OR(H241="",J241="Hoàn thành",J241="Đã hủy"),"",IF(H241&lt;TODAY(),"QUÁ HẠN",IF(H241-TODAY()&lt;=THIET_LAP!$B$8,"SẮP HẠN","TRONG HẠN")))</f>
        <v/>
      </c>
      <c r="M241" s="27" t="n">
        <v>46003</v>
      </c>
      <c r="N241" s="37" t="n"/>
    </row>
    <row r="242" ht="15.75" customHeight="1" s="56">
      <c r="A242" s="37" t="inlineStr">
        <is>
          <t>BK-TSK-0239</t>
        </is>
      </c>
      <c r="B242" s="37" t="inlineStr">
        <is>
          <t>BK-HS-0239</t>
        </is>
      </c>
      <c r="C242" s="37" t="inlineStr">
        <is>
          <t>Phòng Đo đạc</t>
        </is>
      </c>
      <c r="D242" s="37" t="inlineStr">
        <is>
          <t>Cấp đổi</t>
        </is>
      </c>
      <c r="E242" s="37" t="inlineStr">
        <is>
          <t>Giám đốc</t>
        </is>
      </c>
      <c r="F242" s="37" t="inlineStr">
        <is>
          <t>Lê Văn Xây</t>
        </is>
      </c>
      <c r="G242" s="27" t="n">
        <v>45988</v>
      </c>
      <c r="H242" s="27" t="n">
        <v>45991</v>
      </c>
      <c r="I242" s="37" t="n"/>
      <c r="J242" s="37" t="inlineStr">
        <is>
          <t>Hoàn thành</t>
        </is>
      </c>
      <c r="K242" s="37" t="inlineStr">
        <is>
          <t>Hoàn thành</t>
        </is>
      </c>
      <c r="L242" s="37">
        <f>IF(OR(H242="",J242="Hoàn thành",J242="Đã hủy"),"",IF(H242&lt;TODAY(),"QUÁ HẠN",IF(H242-TODAY()&lt;=THIET_LAP!$B$8,"SẮP HẠN","TRONG HẠN")))</f>
        <v/>
      </c>
      <c r="M242" s="27" t="n">
        <v>46014</v>
      </c>
      <c r="N242" s="37" t="n"/>
    </row>
    <row r="243" ht="15.75" customHeight="1" s="56">
      <c r="A243" s="37" t="inlineStr">
        <is>
          <t>BK-TSK-0240</t>
        </is>
      </c>
      <c r="B243" s="37" t="inlineStr">
        <is>
          <t>BK-HS-0240</t>
        </is>
      </c>
      <c r="C243" s="37" t="inlineStr">
        <is>
          <t>Phòng Đo đạc</t>
        </is>
      </c>
      <c r="D243" s="37" t="inlineStr">
        <is>
          <t>Cắm mốc</t>
        </is>
      </c>
      <c r="E243" s="37" t="inlineStr">
        <is>
          <t>Giám đốc</t>
        </is>
      </c>
      <c r="F243" s="37" t="inlineStr">
        <is>
          <t>Tạ Khắc Tập</t>
        </is>
      </c>
      <c r="G243" s="27" t="n">
        <v>45988</v>
      </c>
      <c r="H243" s="27" t="n">
        <v>45991</v>
      </c>
      <c r="I243" s="37" t="n"/>
      <c r="J243" s="37" t="inlineStr">
        <is>
          <t>Hoàn thành</t>
        </is>
      </c>
      <c r="K243" s="37" t="inlineStr">
        <is>
          <t>Hoàn thành</t>
        </is>
      </c>
      <c r="L243" s="37">
        <f>IF(OR(H243="",J243="Hoàn thành",J243="Đã hủy"),"",IF(H243&lt;TODAY(),"QUÁ HẠN",IF(H243-TODAY()&lt;=THIET_LAP!$B$8,"SẮP HẠN","TRONG HẠN")))</f>
        <v/>
      </c>
      <c r="M243" s="27" t="n">
        <v>45988</v>
      </c>
      <c r="N243" s="37" t="n"/>
    </row>
    <row r="244" ht="15.75" customHeight="1" s="56">
      <c r="A244" s="37" t="inlineStr">
        <is>
          <t>BK-TSK-0241</t>
        </is>
      </c>
      <c r="B244" s="37" t="inlineStr">
        <is>
          <t>BK-HS-0241</t>
        </is>
      </c>
      <c r="C244" s="37" t="inlineStr">
        <is>
          <t>Phòng Đo đạc</t>
        </is>
      </c>
      <c r="D244" s="37" t="inlineStr">
        <is>
          <t>Điều chỉnh bản vẽ</t>
        </is>
      </c>
      <c r="E244" s="37" t="inlineStr">
        <is>
          <t>Giám đốc</t>
        </is>
      </c>
      <c r="F244" s="37" t="inlineStr">
        <is>
          <t>Trương Tấn Quốc</t>
        </is>
      </c>
      <c r="G244" s="27" t="n">
        <v>45988</v>
      </c>
      <c r="H244" s="27" t="n">
        <v>45991</v>
      </c>
      <c r="I244" s="37" t="n"/>
      <c r="J244" s="37" t="inlineStr">
        <is>
          <t>Hoàn thành</t>
        </is>
      </c>
      <c r="K244" s="37" t="inlineStr">
        <is>
          <t>Hoàn thành</t>
        </is>
      </c>
      <c r="L244" s="37">
        <f>IF(OR(H244="",J244="Hoàn thành",J244="Đã hủy"),"",IF(H244&lt;TODAY(),"QUÁ HẠN",IF(H244-TODAY()&lt;=THIET_LAP!$B$8,"SẮP HẠN","TRONG HẠN")))</f>
        <v/>
      </c>
      <c r="M244" s="27" t="n">
        <v>46000</v>
      </c>
      <c r="N244" s="37" t="n"/>
    </row>
    <row r="245" ht="15.75" customHeight="1" s="56">
      <c r="A245" s="37" t="inlineStr">
        <is>
          <t>BK-TSK-0242</t>
        </is>
      </c>
      <c r="B245" s="37" t="inlineStr">
        <is>
          <t>BK-HS-0242</t>
        </is>
      </c>
      <c r="C245" s="37" t="inlineStr">
        <is>
          <t>Phòng Đo đạc</t>
        </is>
      </c>
      <c r="D245" s="37" t="inlineStr">
        <is>
          <t>Xác định diện tích</t>
        </is>
      </c>
      <c r="E245" s="37" t="inlineStr">
        <is>
          <t>Giám đốc</t>
        </is>
      </c>
      <c r="F245" s="37" t="inlineStr">
        <is>
          <t>Lê Văn Dựng</t>
        </is>
      </c>
      <c r="G245" s="27" t="n">
        <v>45988</v>
      </c>
      <c r="H245" s="27" t="n">
        <v>45991</v>
      </c>
      <c r="I245" s="37" t="n"/>
      <c r="J245" s="37" t="inlineStr">
        <is>
          <t>Nộp thành công - Chờ kết quả</t>
        </is>
      </c>
      <c r="K245" s="37" t="inlineStr">
        <is>
          <t>Đã nộp</t>
        </is>
      </c>
      <c r="L245" s="37">
        <f>IF(OR(H245="",J245="Hoàn thành",J245="Đã hủy"),"",IF(H245&lt;TODAY(),"QUÁ HẠN",IF(H245-TODAY()&lt;=THIET_LAP!$B$8,"SẮP HẠN","TRONG HẠN")))</f>
        <v/>
      </c>
      <c r="M245" s="27" t="n"/>
      <c r="N245" s="37" t="n"/>
    </row>
    <row r="246" ht="15.75" customHeight="1" s="56">
      <c r="A246" s="37" t="inlineStr">
        <is>
          <t>BK-TSK-0243</t>
        </is>
      </c>
      <c r="B246" s="37" t="inlineStr">
        <is>
          <t>BK-HS-0243</t>
        </is>
      </c>
      <c r="C246" s="37" t="inlineStr">
        <is>
          <t>Phòng Đo đạc</t>
        </is>
      </c>
      <c r="D246" s="37" t="inlineStr">
        <is>
          <t>Xác định diện tích</t>
        </is>
      </c>
      <c r="E246" s="37" t="inlineStr">
        <is>
          <t>Giám đốc</t>
        </is>
      </c>
      <c r="F246" s="37" t="inlineStr">
        <is>
          <t>Lê Văn Dựng</t>
        </is>
      </c>
      <c r="G246" s="27" t="n">
        <v>45988</v>
      </c>
      <c r="H246" s="27" t="n">
        <v>45991</v>
      </c>
      <c r="I246" s="37" t="n"/>
      <c r="J246" s="37" t="inlineStr">
        <is>
          <t>Nộp thành công - Chờ kết quả</t>
        </is>
      </c>
      <c r="K246" s="37" t="inlineStr">
        <is>
          <t>Đã nộp</t>
        </is>
      </c>
      <c r="L246" s="37">
        <f>IF(OR(H246="",J246="Hoàn thành",J246="Đã hủy"),"",IF(H246&lt;TODAY(),"QUÁ HẠN",IF(H246-TODAY()&lt;=THIET_LAP!$B$8,"SẮP HẠN","TRONG HẠN")))</f>
        <v/>
      </c>
      <c r="M246" s="27" t="n"/>
      <c r="N246" s="37" t="n"/>
    </row>
    <row r="247" ht="15.75" customHeight="1" s="56">
      <c r="A247" s="37" t="inlineStr">
        <is>
          <t>BK-TSK-0244</t>
        </is>
      </c>
      <c r="B247" s="37" t="inlineStr">
        <is>
          <t>BK-HS-0244</t>
        </is>
      </c>
      <c r="C247" s="37" t="inlineStr">
        <is>
          <t>Phòng Đo đạc</t>
        </is>
      </c>
      <c r="D247" s="37" t="inlineStr">
        <is>
          <t>Cắm mốc</t>
        </is>
      </c>
      <c r="E247" s="37" t="inlineStr">
        <is>
          <t>Giám đốc</t>
        </is>
      </c>
      <c r="F247" s="37" t="inlineStr">
        <is>
          <t>Lê Văn Xây</t>
        </is>
      </c>
      <c r="G247" s="27" t="n">
        <v>45988</v>
      </c>
      <c r="H247" s="27" t="n">
        <v>45991</v>
      </c>
      <c r="I247" s="37" t="n"/>
      <c r="J247" s="37" t="inlineStr">
        <is>
          <t>Hoàn thành</t>
        </is>
      </c>
      <c r="K247" s="37" t="inlineStr">
        <is>
          <t>Hoàn thành</t>
        </is>
      </c>
      <c r="L247" s="37">
        <f>IF(OR(H247="",J247="Hoàn thành",J247="Đã hủy"),"",IF(H247&lt;TODAY(),"QUÁ HẠN",IF(H247-TODAY()&lt;=THIET_LAP!$B$8,"SẮP HẠN","TRONG HẠN")))</f>
        <v/>
      </c>
      <c r="M247" s="27" t="n">
        <v>45987</v>
      </c>
      <c r="N247" s="37" t="n"/>
    </row>
    <row r="248" ht="15.75" customHeight="1" s="56">
      <c r="A248" s="37" t="inlineStr">
        <is>
          <t>BK-TSK-0245</t>
        </is>
      </c>
      <c r="B248" s="37" t="inlineStr">
        <is>
          <t>BK-HS-0245</t>
        </is>
      </c>
      <c r="C248" s="37" t="inlineStr">
        <is>
          <t>Phòng Đo đạc</t>
        </is>
      </c>
      <c r="D248" s="37" t="inlineStr">
        <is>
          <t>Cấp đổi</t>
        </is>
      </c>
      <c r="E248" s="37" t="inlineStr">
        <is>
          <t>Giám đốc</t>
        </is>
      </c>
      <c r="F248" s="37" t="inlineStr">
        <is>
          <t>Tạ Khắc Tập</t>
        </is>
      </c>
      <c r="G248" s="27" t="n">
        <v>45987</v>
      </c>
      <c r="H248" s="27" t="n">
        <v>45990</v>
      </c>
      <c r="I248" s="37" t="n"/>
      <c r="J248" s="37" t="inlineStr">
        <is>
          <t>Hoàn thành</t>
        </is>
      </c>
      <c r="K248" s="37" t="inlineStr">
        <is>
          <t>Hoàn thành</t>
        </is>
      </c>
      <c r="L248" s="37">
        <f>IF(OR(H248="",J248="Hoàn thành",J248="Đã hủy"),"",IF(H248&lt;TODAY(),"QUÁ HẠN",IF(H248-TODAY()&lt;=THIET_LAP!$B$8,"SẮP HẠN","TRONG HẠN")))</f>
        <v/>
      </c>
      <c r="M248" s="27" t="n">
        <v>46017</v>
      </c>
      <c r="N248" s="37" t="inlineStr">
        <is>
          <t>da nop vy</t>
        </is>
      </c>
    </row>
    <row r="249" ht="15.75" customHeight="1" s="56">
      <c r="A249" s="37" t="inlineStr">
        <is>
          <t>BK-TSK-0246</t>
        </is>
      </c>
      <c r="B249" s="37" t="inlineStr">
        <is>
          <t>BK-HS-0246</t>
        </is>
      </c>
      <c r="C249" s="37" t="inlineStr">
        <is>
          <t>Phòng Đo đạc</t>
        </is>
      </c>
      <c r="D249" s="37" t="inlineStr">
        <is>
          <t>Cấp đổi</t>
        </is>
      </c>
      <c r="E249" s="37" t="inlineStr">
        <is>
          <t>Giám đốc</t>
        </is>
      </c>
      <c r="F249" s="37" t="inlineStr">
        <is>
          <t>Trương Tấn Quốc</t>
        </is>
      </c>
      <c r="G249" s="27" t="n">
        <v>45987</v>
      </c>
      <c r="H249" s="27" t="n">
        <v>45990</v>
      </c>
      <c r="I249" s="37" t="n"/>
      <c r="J249" s="37" t="inlineStr">
        <is>
          <t>Hoàn thành</t>
        </is>
      </c>
      <c r="K249" s="37" t="inlineStr">
        <is>
          <t>Hoàn thành</t>
        </is>
      </c>
      <c r="L249" s="37">
        <f>IF(OR(H249="",J249="Hoàn thành",J249="Đã hủy"),"",IF(H249&lt;TODAY(),"QUÁ HẠN",IF(H249-TODAY()&lt;=THIET_LAP!$B$8,"SẮP HẠN","TRONG HẠN")))</f>
        <v/>
      </c>
      <c r="M249" s="27" t="n">
        <v>46003</v>
      </c>
      <c r="N249" s="37" t="n"/>
    </row>
    <row r="250" ht="15.75" customHeight="1" s="56">
      <c r="A250" s="37" t="inlineStr">
        <is>
          <t>BK-TSK-0247</t>
        </is>
      </c>
      <c r="B250" s="37" t="inlineStr">
        <is>
          <t>BK-HS-0247</t>
        </is>
      </c>
      <c r="C250" s="37" t="inlineStr">
        <is>
          <t>Phòng Đo đạc</t>
        </is>
      </c>
      <c r="D250" s="37" t="inlineStr">
        <is>
          <t>Cấp đổi</t>
        </is>
      </c>
      <c r="E250" s="37" t="inlineStr">
        <is>
          <t>Giám đốc</t>
        </is>
      </c>
      <c r="F250" s="37" t="inlineStr">
        <is>
          <t>Trương Tấn Quốc</t>
        </is>
      </c>
      <c r="G250" s="27" t="n">
        <v>45987</v>
      </c>
      <c r="H250" s="27" t="n">
        <v>45990</v>
      </c>
      <c r="I250" s="37" t="n"/>
      <c r="J250" s="37" t="inlineStr">
        <is>
          <t>Hoàn thành</t>
        </is>
      </c>
      <c r="K250" s="37" t="inlineStr">
        <is>
          <t>Hoàn thành</t>
        </is>
      </c>
      <c r="L250" s="37">
        <f>IF(OR(H250="",J250="Hoàn thành",J250="Đã hủy"),"",IF(H250&lt;TODAY(),"QUÁ HẠN",IF(H250-TODAY()&lt;=THIET_LAP!$B$8,"SẮP HẠN","TRONG HẠN")))</f>
        <v/>
      </c>
      <c r="M250" s="27" t="n">
        <v>46003</v>
      </c>
      <c r="N250" s="37" t="n"/>
    </row>
    <row r="251" ht="15.75" customHeight="1" s="56">
      <c r="A251" s="37" t="inlineStr">
        <is>
          <t>BK-TSK-0248</t>
        </is>
      </c>
      <c r="B251" s="37" t="inlineStr">
        <is>
          <t>BK-HS-0248</t>
        </is>
      </c>
      <c r="C251" s="37" t="inlineStr">
        <is>
          <t>Phòng Đo đạc</t>
        </is>
      </c>
      <c r="D251" s="37" t="inlineStr">
        <is>
          <t>Cấp đổi</t>
        </is>
      </c>
      <c r="E251" s="37" t="inlineStr">
        <is>
          <t>Giám đốc</t>
        </is>
      </c>
      <c r="F251" s="37" t="inlineStr">
        <is>
          <t>Trương Tấn Quốc</t>
        </is>
      </c>
      <c r="G251" s="27" t="n">
        <v>45986</v>
      </c>
      <c r="H251" s="27" t="n">
        <v>45989</v>
      </c>
      <c r="I251" s="37" t="n"/>
      <c r="J251" s="37" t="inlineStr">
        <is>
          <t>Hoàn thành</t>
        </is>
      </c>
      <c r="K251" s="37" t="inlineStr">
        <is>
          <t>Hoàn thành</t>
        </is>
      </c>
      <c r="L251" s="37">
        <f>IF(OR(H251="",J251="Hoàn thành",J251="Đã hủy"),"",IF(H251&lt;TODAY(),"QUÁ HẠN",IF(H251-TODAY()&lt;=THIET_LAP!$B$8,"SẮP HẠN","TRONG HẠN")))</f>
        <v/>
      </c>
      <c r="M251" s="27" t="n">
        <v>46016</v>
      </c>
      <c r="N251" s="37" t="inlineStr">
        <is>
          <t>Đợi Dịch vụ tháo dỡ hiện trạng</t>
        </is>
      </c>
    </row>
    <row r="252" ht="15.75" customHeight="1" s="56">
      <c r="A252" s="37" t="inlineStr">
        <is>
          <t>BK-TSK-0249</t>
        </is>
      </c>
      <c r="B252" s="37" t="inlineStr">
        <is>
          <t>BK-HS-0249</t>
        </is>
      </c>
      <c r="C252" s="37" t="inlineStr">
        <is>
          <t>Phòng Đo đạc</t>
        </is>
      </c>
      <c r="D252" s="37" t="inlineStr">
        <is>
          <t>Cấp sổ lần đầu</t>
        </is>
      </c>
      <c r="E252" s="37" t="inlineStr">
        <is>
          <t>Giám đốc</t>
        </is>
      </c>
      <c r="F252" s="37" t="inlineStr">
        <is>
          <t>Trương Tấn Quốc</t>
        </is>
      </c>
      <c r="G252" s="27" t="n">
        <v>45986</v>
      </c>
      <c r="H252" s="27" t="n">
        <v>45989</v>
      </c>
      <c r="I252" s="37" t="n"/>
      <c r="J252" s="37" t="inlineStr">
        <is>
          <t>Hoàn thành</t>
        </is>
      </c>
      <c r="K252" s="37" t="inlineStr">
        <is>
          <t>Hoàn thành</t>
        </is>
      </c>
      <c r="L252" s="37">
        <f>IF(OR(H252="",J252="Hoàn thành",J252="Đã hủy"),"",IF(H252&lt;TODAY(),"QUÁ HẠN",IF(H252-TODAY()&lt;=THIET_LAP!$B$8,"SẮP HẠN","TRONG HẠN")))</f>
        <v/>
      </c>
      <c r="M252" s="27" t="n">
        <v>46000</v>
      </c>
      <c r="N252" s="37" t="n"/>
    </row>
    <row r="253" ht="15.75" customHeight="1" s="56">
      <c r="A253" s="37" t="inlineStr">
        <is>
          <t>BK-TSK-0250</t>
        </is>
      </c>
      <c r="B253" s="37" t="inlineStr">
        <is>
          <t>BK-HS-0250</t>
        </is>
      </c>
      <c r="C253" s="37" t="inlineStr">
        <is>
          <t>Phòng Đo đạc</t>
        </is>
      </c>
      <c r="D253" s="37" t="inlineStr">
        <is>
          <t>Cấp sổ lần đầu</t>
        </is>
      </c>
      <c r="E253" s="37" t="inlineStr">
        <is>
          <t>Giám đốc</t>
        </is>
      </c>
      <c r="F253" s="37" t="inlineStr">
        <is>
          <t>Trương Tấn Quốc</t>
        </is>
      </c>
      <c r="G253" s="27" t="n">
        <v>45986</v>
      </c>
      <c r="H253" s="27" t="n">
        <v>45989</v>
      </c>
      <c r="I253" s="37" t="n"/>
      <c r="J253" s="37" t="inlineStr">
        <is>
          <t>Hoàn thành</t>
        </is>
      </c>
      <c r="K253" s="37" t="inlineStr">
        <is>
          <t>Hoàn thành</t>
        </is>
      </c>
      <c r="L253" s="37">
        <f>IF(OR(H253="",J253="Hoàn thành",J253="Đã hủy"),"",IF(H253&lt;TODAY(),"QUÁ HẠN",IF(H253-TODAY()&lt;=THIET_LAP!$B$8,"SẮP HẠN","TRONG HẠN")))</f>
        <v/>
      </c>
      <c r="M253" s="27" t="n">
        <v>46000</v>
      </c>
      <c r="N253" s="37" t="n"/>
    </row>
    <row r="254" ht="15.75" customHeight="1" s="56">
      <c r="A254" s="37" t="inlineStr">
        <is>
          <t>BK-TSK-0251</t>
        </is>
      </c>
      <c r="B254" s="37" t="inlineStr">
        <is>
          <t>BK-HS-0251</t>
        </is>
      </c>
      <c r="C254" s="37" t="inlineStr">
        <is>
          <t>Phòng Đo đạc</t>
        </is>
      </c>
      <c r="D254" s="37" t="inlineStr">
        <is>
          <t>Cấp đổi</t>
        </is>
      </c>
      <c r="E254" s="37" t="inlineStr">
        <is>
          <t>Giám đốc</t>
        </is>
      </c>
      <c r="F254" s="37" t="inlineStr">
        <is>
          <t>Tạ Khắc Tập</t>
        </is>
      </c>
      <c r="G254" s="27" t="n">
        <v>45983</v>
      </c>
      <c r="H254" s="27" t="n">
        <v>45986</v>
      </c>
      <c r="I254" s="37" t="n"/>
      <c r="J254" s="37" t="inlineStr">
        <is>
          <t>Hủy</t>
        </is>
      </c>
      <c r="K254" s="37" t="inlineStr">
        <is>
          <t>ĐÃ HỦY</t>
        </is>
      </c>
      <c r="L254" s="37">
        <f>IF(OR(H254="",J254="Hoàn thành",J254="Đã hủy"),"",IF(H254&lt;TODAY(),"QUÁ HẠN",IF(H254-TODAY()&lt;=THIET_LAP!$B$8,"SẮP HẠN","TRONG HẠN")))</f>
        <v/>
      </c>
      <c r="M254" s="27" t="n"/>
      <c r="N254" s="37" t="inlineStr">
        <is>
          <t>lech ranh , chua co phuong an</t>
        </is>
      </c>
    </row>
    <row r="255" ht="15.75" customHeight="1" s="56">
      <c r="A255" s="37" t="inlineStr">
        <is>
          <t>BK-TSK-0252</t>
        </is>
      </c>
      <c r="B255" s="37" t="inlineStr">
        <is>
          <t>BK-HS-0252</t>
        </is>
      </c>
      <c r="C255" s="37" t="inlineStr">
        <is>
          <t>Phòng Đo đạc</t>
        </is>
      </c>
      <c r="D255" s="37" t="inlineStr">
        <is>
          <t>Cắm mốc</t>
        </is>
      </c>
      <c r="E255" s="37" t="inlineStr">
        <is>
          <t>Giám đốc</t>
        </is>
      </c>
      <c r="F255" s="37" t="inlineStr">
        <is>
          <t>Tạ Khắc Tập</t>
        </is>
      </c>
      <c r="G255" s="27" t="n">
        <v>45983</v>
      </c>
      <c r="H255" s="27" t="n">
        <v>45986</v>
      </c>
      <c r="I255" s="37" t="n"/>
      <c r="J255" s="37" t="inlineStr">
        <is>
          <t>Hoàn thành</t>
        </is>
      </c>
      <c r="K255" s="37" t="inlineStr">
        <is>
          <t>Hoàn thành</t>
        </is>
      </c>
      <c r="L255" s="37">
        <f>IF(OR(H255="",J255="Hoàn thành",J255="Đã hủy"),"",IF(H255&lt;TODAY(),"QUÁ HẠN",IF(H255-TODAY()&lt;=THIET_LAP!$B$8,"SẮP HẠN","TRONG HẠN")))</f>
        <v/>
      </c>
      <c r="M255" s="27" t="n">
        <v>45982</v>
      </c>
      <c r="N255" s="37" t="n"/>
    </row>
    <row r="256" ht="15.75" customHeight="1" s="56">
      <c r="A256" s="37" t="inlineStr">
        <is>
          <t>BK-TSK-0253</t>
        </is>
      </c>
      <c r="B256" s="37" t="inlineStr">
        <is>
          <t>BK-HS-0253</t>
        </is>
      </c>
      <c r="C256" s="37" t="inlineStr">
        <is>
          <t>Phòng Đo đạc</t>
        </is>
      </c>
      <c r="D256" s="37" t="inlineStr">
        <is>
          <t>Hoàn công</t>
        </is>
      </c>
      <c r="E256" s="37" t="inlineStr">
        <is>
          <t>Giám đốc</t>
        </is>
      </c>
      <c r="F256" s="37" t="inlineStr">
        <is>
          <t>Lê Văn Xây</t>
        </is>
      </c>
      <c r="G256" s="27" t="n">
        <v>45981</v>
      </c>
      <c r="H256" s="27" t="n">
        <v>45984</v>
      </c>
      <c r="I256" s="37" t="n"/>
      <c r="J256" s="37" t="inlineStr">
        <is>
          <t>Hoàn thành</t>
        </is>
      </c>
      <c r="K256" s="37" t="inlineStr">
        <is>
          <t>Hoàn thành</t>
        </is>
      </c>
      <c r="L256" s="37">
        <f>IF(OR(H256="",J256="Hoàn thành",J256="Đã hủy"),"",IF(H256&lt;TODAY(),"QUÁ HẠN",IF(H256-TODAY()&lt;=THIET_LAP!$B$8,"SẮP HẠN","TRONG HẠN")))</f>
        <v/>
      </c>
      <c r="M256" s="27" t="n">
        <v>46007</v>
      </c>
      <c r="N256" s="37" t="n"/>
    </row>
    <row r="257" ht="15.75" customHeight="1" s="56">
      <c r="A257" s="37" t="inlineStr">
        <is>
          <t>BK-TSK-0254</t>
        </is>
      </c>
      <c r="B257" s="37" t="inlineStr">
        <is>
          <t>BK-HS-0254</t>
        </is>
      </c>
      <c r="C257" s="37" t="inlineStr">
        <is>
          <t>Phòng Đo đạc</t>
        </is>
      </c>
      <c r="D257" s="37" t="inlineStr">
        <is>
          <t>Tách Thửa</t>
        </is>
      </c>
      <c r="E257" s="37" t="inlineStr">
        <is>
          <t>Giám đốc</t>
        </is>
      </c>
      <c r="F257" s="37" t="inlineStr">
        <is>
          <t>Trương Tấn Quốc</t>
        </is>
      </c>
      <c r="G257" s="27" t="n">
        <v>45981</v>
      </c>
      <c r="H257" s="27" t="n">
        <v>45984</v>
      </c>
      <c r="I257" s="37" t="n"/>
      <c r="J257" s="37" t="inlineStr">
        <is>
          <t>Hoàn thành</t>
        </is>
      </c>
      <c r="K257" s="37" t="inlineStr">
        <is>
          <t>Hoàn thành</t>
        </is>
      </c>
      <c r="L257" s="37">
        <f>IF(OR(H257="",J257="Hoàn thành",J257="Đã hủy"),"",IF(H257&lt;TODAY(),"QUÁ HẠN",IF(H257-TODAY()&lt;=THIET_LAP!$B$8,"SẮP HẠN","TRONG HẠN")))</f>
        <v/>
      </c>
      <c r="M257" s="27" t="n">
        <v>45986</v>
      </c>
      <c r="N257" s="37" t="n"/>
    </row>
    <row r="258" ht="15.75" customHeight="1" s="56">
      <c r="A258" s="37" t="inlineStr">
        <is>
          <t>BK-TSK-0255</t>
        </is>
      </c>
      <c r="B258" s="37" t="inlineStr">
        <is>
          <t>BK-HS-0255</t>
        </is>
      </c>
      <c r="C258" s="37" t="inlineStr">
        <is>
          <t>Phòng Đo đạc</t>
        </is>
      </c>
      <c r="D258" s="37" t="inlineStr">
        <is>
          <t>Tách Thửa</t>
        </is>
      </c>
      <c r="E258" s="37" t="inlineStr">
        <is>
          <t>Giám đốc</t>
        </is>
      </c>
      <c r="F258" s="37" t="inlineStr">
        <is>
          <t>Trương Tấn Quốc</t>
        </is>
      </c>
      <c r="G258" s="27" t="n">
        <v>45981</v>
      </c>
      <c r="H258" s="27" t="n">
        <v>45984</v>
      </c>
      <c r="I258" s="37" t="n"/>
      <c r="J258" s="37" t="inlineStr">
        <is>
          <t>Hoàn thành</t>
        </is>
      </c>
      <c r="K258" s="37" t="inlineStr">
        <is>
          <t>Hoàn thành</t>
        </is>
      </c>
      <c r="L258" s="37">
        <f>IF(OR(H258="",J258="Hoàn thành",J258="Đã hủy"),"",IF(H258&lt;TODAY(),"QUÁ HẠN",IF(H258-TODAY()&lt;=THIET_LAP!$B$8,"SẮP HẠN","TRONG HẠN")))</f>
        <v/>
      </c>
      <c r="M258" s="27" t="n">
        <v>45986</v>
      </c>
      <c r="N258" s="37" t="n"/>
    </row>
    <row r="259" ht="15.75" customHeight="1" s="56">
      <c r="A259" s="37" t="inlineStr">
        <is>
          <t>BK-TSK-0256</t>
        </is>
      </c>
      <c r="B259" s="37" t="inlineStr">
        <is>
          <t>BK-HS-0256</t>
        </is>
      </c>
      <c r="C259" s="37" t="inlineStr">
        <is>
          <t>Phòng Đo đạc</t>
        </is>
      </c>
      <c r="D259" s="37" t="inlineStr">
        <is>
          <t>Tách Thửa</t>
        </is>
      </c>
      <c r="E259" s="37" t="inlineStr">
        <is>
          <t>Giám đốc</t>
        </is>
      </c>
      <c r="F259" s="37" t="inlineStr">
        <is>
          <t>Trương Tấn Quốc</t>
        </is>
      </c>
      <c r="G259" s="27" t="n">
        <v>45981</v>
      </c>
      <c r="H259" s="27" t="n">
        <v>45984</v>
      </c>
      <c r="I259" s="37" t="n"/>
      <c r="J259" s="37" t="inlineStr">
        <is>
          <t>Hoàn thành</t>
        </is>
      </c>
      <c r="K259" s="37" t="inlineStr">
        <is>
          <t>Hoàn thành</t>
        </is>
      </c>
      <c r="L259" s="37">
        <f>IF(OR(H259="",J259="Hoàn thành",J259="Đã hủy"),"",IF(H259&lt;TODAY(),"QUÁ HẠN",IF(H259-TODAY()&lt;=THIET_LAP!$B$8,"SẮP HẠN","TRONG HẠN")))</f>
        <v/>
      </c>
      <c r="M259" s="27" t="n">
        <v>45986</v>
      </c>
      <c r="N259" s="37" t="n"/>
    </row>
    <row r="260" ht="15.75" customHeight="1" s="56">
      <c r="A260" s="37" t="inlineStr">
        <is>
          <t>BK-TSK-0257</t>
        </is>
      </c>
      <c r="B260" s="37" t="inlineStr">
        <is>
          <t>BK-HS-0257</t>
        </is>
      </c>
      <c r="C260" s="37" t="inlineStr">
        <is>
          <t>Phòng Đo đạc</t>
        </is>
      </c>
      <c r="D260" s="37" t="inlineStr">
        <is>
          <t>Hoàn công</t>
        </is>
      </c>
      <c r="E260" s="37" t="inlineStr">
        <is>
          <t>Giám đốc</t>
        </is>
      </c>
      <c r="F260" s="37" t="inlineStr">
        <is>
          <t>Lê Văn Xây</t>
        </is>
      </c>
      <c r="G260" s="27" t="n">
        <v>45980</v>
      </c>
      <c r="H260" s="27" t="n">
        <v>45983</v>
      </c>
      <c r="I260" s="37" t="n"/>
      <c r="J260" s="37" t="inlineStr">
        <is>
          <t>Hoàn thành</t>
        </is>
      </c>
      <c r="K260" s="37" t="inlineStr">
        <is>
          <t>Hoàn thành</t>
        </is>
      </c>
      <c r="L260" s="37">
        <f>IF(OR(H260="",J260="Hoàn thành",J260="Đã hủy"),"",IF(H260&lt;TODAY(),"QUÁ HẠN",IF(H260-TODAY()&lt;=THIET_LAP!$B$8,"SẮP HẠN","TRONG HẠN")))</f>
        <v/>
      </c>
      <c r="M260" s="27" t="n">
        <v>46007</v>
      </c>
      <c r="N260" s="37" t="n"/>
    </row>
    <row r="261" ht="15.75" customHeight="1" s="56">
      <c r="A261" s="37" t="inlineStr">
        <is>
          <t>BK-TSK-0258</t>
        </is>
      </c>
      <c r="B261" s="37" t="inlineStr">
        <is>
          <t>BK-HS-0258</t>
        </is>
      </c>
      <c r="C261" s="37" t="inlineStr">
        <is>
          <t>Phòng Đo đạc</t>
        </is>
      </c>
      <c r="D261" s="37" t="inlineStr">
        <is>
          <t>Cấp đổi</t>
        </is>
      </c>
      <c r="E261" s="37" t="inlineStr">
        <is>
          <t>Giám đốc</t>
        </is>
      </c>
      <c r="F261" s="37" t="inlineStr">
        <is>
          <t>Lê Văn Xây</t>
        </is>
      </c>
      <c r="G261" s="27" t="n">
        <v>45980</v>
      </c>
      <c r="H261" s="27" t="n">
        <v>45983</v>
      </c>
      <c r="I261" s="37" t="n"/>
      <c r="J261" s="37" t="inlineStr">
        <is>
          <t>Hoàn thành</t>
        </is>
      </c>
      <c r="K261" s="37" t="inlineStr">
        <is>
          <t>Hoàn thành</t>
        </is>
      </c>
      <c r="L261" s="37">
        <f>IF(OR(H261="",J261="Hoàn thành",J261="Đã hủy"),"",IF(H261&lt;TODAY(),"QUÁ HẠN",IF(H261-TODAY()&lt;=THIET_LAP!$B$8,"SẮP HẠN","TRONG HẠN")))</f>
        <v/>
      </c>
      <c r="M261" s="27" t="n">
        <v>45996</v>
      </c>
      <c r="N261" s="37" t="n"/>
    </row>
    <row r="262" ht="15.75" customHeight="1" s="56">
      <c r="A262" s="37" t="inlineStr">
        <is>
          <t>BK-TSK-0259</t>
        </is>
      </c>
      <c r="B262" s="37" t="inlineStr">
        <is>
          <t>BK-HS-0259</t>
        </is>
      </c>
      <c r="C262" s="37" t="inlineStr">
        <is>
          <t>Phòng Đo đạc</t>
        </is>
      </c>
      <c r="D262" s="37" t="inlineStr">
        <is>
          <t>Điều chỉnh bản vẽ</t>
        </is>
      </c>
      <c r="E262" s="37" t="inlineStr">
        <is>
          <t>Giám đốc</t>
        </is>
      </c>
      <c r="F262" s="37" t="inlineStr">
        <is>
          <t>Trương Tấn Quốc</t>
        </is>
      </c>
      <c r="G262" s="27" t="n">
        <v>45980</v>
      </c>
      <c r="H262" s="27" t="n">
        <v>45983</v>
      </c>
      <c r="I262" s="37" t="n"/>
      <c r="J262" s="37" t="inlineStr">
        <is>
          <t>Hoàn thành</t>
        </is>
      </c>
      <c r="K262" s="37" t="inlineStr">
        <is>
          <t>Hoàn thành</t>
        </is>
      </c>
      <c r="L262" s="37">
        <f>IF(OR(H262="",J262="Hoàn thành",J262="Đã hủy"),"",IF(H262&lt;TODAY(),"QUÁ HẠN",IF(H262-TODAY()&lt;=THIET_LAP!$B$8,"SẮP HẠN","TRONG HẠN")))</f>
        <v/>
      </c>
      <c r="M262" s="27" t="n">
        <v>45992</v>
      </c>
      <c r="N262" s="37" t="n"/>
    </row>
    <row r="263" ht="15.75" customHeight="1" s="56">
      <c r="A263" s="37" t="inlineStr">
        <is>
          <t>BK-TSK-0260</t>
        </is>
      </c>
      <c r="B263" s="37" t="inlineStr">
        <is>
          <t>BK-HS-0260</t>
        </is>
      </c>
      <c r="C263" s="37" t="inlineStr">
        <is>
          <t>Phòng Đo đạc</t>
        </is>
      </c>
      <c r="D263" s="37" t="inlineStr">
        <is>
          <t>Hoàn công</t>
        </is>
      </c>
      <c r="E263" s="37" t="inlineStr">
        <is>
          <t>Giám đốc</t>
        </is>
      </c>
      <c r="F263" s="37" t="inlineStr">
        <is>
          <t>Tạ Khắc Tập</t>
        </is>
      </c>
      <c r="G263" s="27" t="n">
        <v>45979</v>
      </c>
      <c r="H263" s="27" t="n">
        <v>45982</v>
      </c>
      <c r="I263" s="37" t="n"/>
      <c r="J263" s="37" t="inlineStr">
        <is>
          <t>Hủy</t>
        </is>
      </c>
      <c r="K263" s="37" t="inlineStr">
        <is>
          <t>ĐÃ HỦY</t>
        </is>
      </c>
      <c r="L263" s="37">
        <f>IF(OR(H263="",J263="Hoàn thành",J263="Đã hủy"),"",IF(H263&lt;TODAY(),"QUÁ HẠN",IF(H263-TODAY()&lt;=THIET_LAP!$B$8,"SẮP HẠN","TRONG HẠN")))</f>
        <v/>
      </c>
      <c r="M263" s="27" t="n"/>
      <c r="N263" s="37" t="inlineStr">
        <is>
          <t>chủ nhà chưa chốt hợp đồng, nhà xây giảm so với GPXD</t>
        </is>
      </c>
    </row>
    <row r="264" ht="15.75" customHeight="1" s="56">
      <c r="A264" s="37" t="inlineStr">
        <is>
          <t>BK-TSK-0261</t>
        </is>
      </c>
      <c r="B264" s="37" t="inlineStr">
        <is>
          <t>BK-HS-0261</t>
        </is>
      </c>
      <c r="C264" s="37" t="inlineStr">
        <is>
          <t>Phòng Đo đạc</t>
        </is>
      </c>
      <c r="D264" s="37" t="inlineStr">
        <is>
          <t>Cấp sổ lần đầu</t>
        </is>
      </c>
      <c r="E264" s="37" t="inlineStr">
        <is>
          <t>Giám đốc</t>
        </is>
      </c>
      <c r="F264" s="37" t="inlineStr">
        <is>
          <t>Tạ Khắc Tập</t>
        </is>
      </c>
      <c r="G264" s="27" t="n">
        <v>45979</v>
      </c>
      <c r="H264" s="27" t="n">
        <v>45982</v>
      </c>
      <c r="I264" s="37" t="n"/>
      <c r="J264" s="37" t="inlineStr">
        <is>
          <t>Hoàn thành</t>
        </is>
      </c>
      <c r="K264" s="37" t="inlineStr">
        <is>
          <t>Hoàn thành</t>
        </is>
      </c>
      <c r="L264" s="37">
        <f>IF(OR(H264="",J264="Hoàn thành",J264="Đã hủy"),"",IF(H264&lt;TODAY(),"QUÁ HẠN",IF(H264-TODAY()&lt;=THIET_LAP!$B$8,"SẮP HẠN","TRONG HẠN")))</f>
        <v/>
      </c>
      <c r="M264" s="27" t="n">
        <v>45994</v>
      </c>
      <c r="N264" s="37" t="n"/>
    </row>
    <row r="265" ht="15.75" customHeight="1" s="56">
      <c r="A265" s="37" t="inlineStr">
        <is>
          <t>BK-TSK-0262</t>
        </is>
      </c>
      <c r="B265" s="37" t="inlineStr">
        <is>
          <t>BK-HS-0262</t>
        </is>
      </c>
      <c r="C265" s="37" t="inlineStr">
        <is>
          <t>Phòng Đo đạc</t>
        </is>
      </c>
      <c r="D265" s="37" t="inlineStr">
        <is>
          <t>Cắm mốc</t>
        </is>
      </c>
      <c r="E265" s="37" t="inlineStr">
        <is>
          <t>Giám đốc</t>
        </is>
      </c>
      <c r="F265" s="37" t="inlineStr">
        <is>
          <t>Tạ Khắc Tập</t>
        </is>
      </c>
      <c r="G265" s="27" t="n">
        <v>45979</v>
      </c>
      <c r="H265" s="27" t="n">
        <v>45982</v>
      </c>
      <c r="I265" s="37" t="n"/>
      <c r="J265" s="37" t="inlineStr">
        <is>
          <t>Hoàn thành</t>
        </is>
      </c>
      <c r="K265" s="37" t="inlineStr">
        <is>
          <t>Hoàn thành</t>
        </is>
      </c>
      <c r="L265" s="37">
        <f>IF(OR(H265="",J265="Hoàn thành",J265="Đã hủy"),"",IF(H265&lt;TODAY(),"QUÁ HẠN",IF(H265-TODAY()&lt;=THIET_LAP!$B$8,"SẮP HẠN","TRONG HẠN")))</f>
        <v/>
      </c>
      <c r="M265" s="27" t="n">
        <v>45979</v>
      </c>
      <c r="N265" s="37" t="n"/>
    </row>
    <row r="266" ht="15.75" customHeight="1" s="56">
      <c r="A266" s="37" t="inlineStr">
        <is>
          <t>BK-TSK-0263</t>
        </is>
      </c>
      <c r="B266" s="37" t="inlineStr">
        <is>
          <t>BK-HS-0263</t>
        </is>
      </c>
      <c r="C266" s="37" t="inlineStr">
        <is>
          <t>Phòng Đo đạc</t>
        </is>
      </c>
      <c r="D266" s="37" t="inlineStr">
        <is>
          <t>Cắm mốc</t>
        </is>
      </c>
      <c r="E266" s="37" t="inlineStr">
        <is>
          <t>Giám đốc</t>
        </is>
      </c>
      <c r="F266" s="37" t="inlineStr">
        <is>
          <t>Tạ Khắc Tập</t>
        </is>
      </c>
      <c r="G266" s="27" t="n">
        <v>45979</v>
      </c>
      <c r="H266" s="27" t="n">
        <v>45982</v>
      </c>
      <c r="I266" s="37" t="n"/>
      <c r="J266" s="37" t="inlineStr">
        <is>
          <t>Hoàn thành</t>
        </is>
      </c>
      <c r="K266" s="37" t="inlineStr">
        <is>
          <t>Hoàn thành</t>
        </is>
      </c>
      <c r="L266" s="37">
        <f>IF(OR(H266="",J266="Hoàn thành",J266="Đã hủy"),"",IF(H266&lt;TODAY(),"QUÁ HẠN",IF(H266-TODAY()&lt;=THIET_LAP!$B$8,"SẮP HẠN","TRONG HẠN")))</f>
        <v/>
      </c>
      <c r="M266" s="27" t="n">
        <v>45979</v>
      </c>
      <c r="N266" s="37" t="n"/>
    </row>
    <row r="267" ht="15.75" customHeight="1" s="56">
      <c r="A267" s="37" t="inlineStr">
        <is>
          <t>BK-TSK-0264</t>
        </is>
      </c>
      <c r="B267" s="37" t="inlineStr">
        <is>
          <t>BK-HS-0264</t>
        </is>
      </c>
      <c r="C267" s="37" t="inlineStr">
        <is>
          <t>Phòng Đo đạc</t>
        </is>
      </c>
      <c r="D267" s="37" t="inlineStr">
        <is>
          <t>Cấp đổi</t>
        </is>
      </c>
      <c r="E267" s="37" t="inlineStr">
        <is>
          <t>Giám đốc</t>
        </is>
      </c>
      <c r="F267" s="37" t="inlineStr">
        <is>
          <t>Lê Văn Xây</t>
        </is>
      </c>
      <c r="G267" s="27" t="n">
        <v>45975</v>
      </c>
      <c r="H267" s="27" t="n">
        <v>45978</v>
      </c>
      <c r="I267" s="37" t="n"/>
      <c r="J267" s="37" t="inlineStr">
        <is>
          <t>Hủy</t>
        </is>
      </c>
      <c r="K267" s="37" t="inlineStr">
        <is>
          <t>ĐÃ HỦY</t>
        </is>
      </c>
      <c r="L267" s="37">
        <f>IF(OR(H267="",J267="Hoàn thành",J267="Đã hủy"),"",IF(H267&lt;TODAY(),"QUÁ HẠN",IF(H267-TODAY()&lt;=THIET_LAP!$B$8,"SẮP HẠN","TRONG HẠN")))</f>
        <v/>
      </c>
      <c r="M267" s="27" t="n"/>
      <c r="N267" s="37" t="n"/>
    </row>
    <row r="268" ht="15.75" customHeight="1" s="56">
      <c r="A268" s="37" t="inlineStr">
        <is>
          <t>BK-TSK-0265</t>
        </is>
      </c>
      <c r="B268" s="37" t="inlineStr">
        <is>
          <t>BK-HS-0265</t>
        </is>
      </c>
      <c r="C268" s="37" t="inlineStr">
        <is>
          <t>Phòng Đo đạc</t>
        </is>
      </c>
      <c r="D268" s="37" t="inlineStr">
        <is>
          <t>Cấp đổi</t>
        </is>
      </c>
      <c r="E268" s="37" t="inlineStr">
        <is>
          <t>Giám đốc</t>
        </is>
      </c>
      <c r="F268" s="37" t="inlineStr">
        <is>
          <t>Lê Văn Xây</t>
        </is>
      </c>
      <c r="G268" s="27" t="n">
        <v>45975</v>
      </c>
      <c r="H268" s="27" t="n">
        <v>45978</v>
      </c>
      <c r="I268" s="37" t="n"/>
      <c r="J268" s="37" t="inlineStr">
        <is>
          <t>Hủy</t>
        </is>
      </c>
      <c r="K268" s="37" t="inlineStr">
        <is>
          <t>ĐÃ HỦY</t>
        </is>
      </c>
      <c r="L268" s="37">
        <f>IF(OR(H268="",J268="Hoàn thành",J268="Đã hủy"),"",IF(H268&lt;TODAY(),"QUÁ HẠN",IF(H268-TODAY()&lt;=THIET_LAP!$B$8,"SẮP HẠN","TRONG HẠN")))</f>
        <v/>
      </c>
      <c r="M268" s="27" t="n"/>
      <c r="N268" s="37" t="n"/>
    </row>
    <row r="269" ht="15.75" customHeight="1" s="56">
      <c r="A269" s="37" t="inlineStr">
        <is>
          <t>BK-TSK-0266</t>
        </is>
      </c>
      <c r="B269" s="37" t="inlineStr">
        <is>
          <t>BK-HS-0266</t>
        </is>
      </c>
      <c r="C269" s="37" t="inlineStr">
        <is>
          <t>Phòng Đo đạc</t>
        </is>
      </c>
      <c r="D269" s="37" t="inlineStr">
        <is>
          <t>Cấp đổi</t>
        </is>
      </c>
      <c r="E269" s="37" t="inlineStr">
        <is>
          <t>Giám đốc</t>
        </is>
      </c>
      <c r="F269" s="37" t="inlineStr">
        <is>
          <t>Trương Tấn Quốc</t>
        </is>
      </c>
      <c r="G269" s="27" t="n">
        <v>45975</v>
      </c>
      <c r="H269" s="27" t="n">
        <v>45978</v>
      </c>
      <c r="I269" s="37" t="n"/>
      <c r="J269" s="37" t="inlineStr">
        <is>
          <t>Hoàn thành</t>
        </is>
      </c>
      <c r="K269" s="37" t="inlineStr">
        <is>
          <t>Hoàn thành</t>
        </is>
      </c>
      <c r="L269" s="37">
        <f>IF(OR(H269="",J269="Hoàn thành",J269="Đã hủy"),"",IF(H269&lt;TODAY(),"QUÁ HẠN",IF(H269-TODAY()&lt;=THIET_LAP!$B$8,"SẮP HẠN","TRONG HẠN")))</f>
        <v/>
      </c>
      <c r="M269" s="27" t="n">
        <v>45992</v>
      </c>
      <c r="N269" s="37" t="n"/>
    </row>
    <row r="270" ht="15.75" customHeight="1" s="56">
      <c r="A270" s="37" t="inlineStr">
        <is>
          <t>BK-TSK-0267</t>
        </is>
      </c>
      <c r="B270" s="37" t="inlineStr">
        <is>
          <t>BK-HS-0267</t>
        </is>
      </c>
      <c r="C270" s="37" t="inlineStr">
        <is>
          <t>Phòng Đo đạc</t>
        </is>
      </c>
      <c r="D270" s="37" t="inlineStr">
        <is>
          <t>Cấp đổi</t>
        </is>
      </c>
      <c r="E270" s="37" t="inlineStr">
        <is>
          <t>Giám đốc</t>
        </is>
      </c>
      <c r="F270" s="37" t="inlineStr">
        <is>
          <t>Tạ Khắc Tập</t>
        </is>
      </c>
      <c r="G270" s="27" t="n">
        <v>45974</v>
      </c>
      <c r="H270" s="27" t="n">
        <v>45975</v>
      </c>
      <c r="I270" s="37" t="inlineStr">
        <is>
          <t>Cao</t>
        </is>
      </c>
      <c r="J270" s="37" t="inlineStr">
        <is>
          <t>Hoàn thành</t>
        </is>
      </c>
      <c r="K270" s="37" t="inlineStr">
        <is>
          <t>Hoàn thành</t>
        </is>
      </c>
      <c r="L270" s="37">
        <f>IF(OR(H270="",J270="Hoàn thành",J270="Đã hủy"),"",IF(H270&lt;TODAY(),"QUÁ HẠN",IF(H270-TODAY()&lt;=THIET_LAP!$B$8,"SẮP HẠN","TRONG HẠN")))</f>
        <v/>
      </c>
      <c r="M270" s="27" t="n">
        <v>45988</v>
      </c>
      <c r="N270" s="37" t="n"/>
    </row>
    <row r="271" ht="15.75" customHeight="1" s="56">
      <c r="A271" s="37" t="inlineStr">
        <is>
          <t>BK-TSK-0268</t>
        </is>
      </c>
      <c r="B271" s="37" t="inlineStr">
        <is>
          <t>BK-HS-0268</t>
        </is>
      </c>
      <c r="C271" s="37" t="inlineStr">
        <is>
          <t>Phòng Đo đạc</t>
        </is>
      </c>
      <c r="D271" s="37" t="inlineStr">
        <is>
          <t>Hoàn công</t>
        </is>
      </c>
      <c r="E271" s="37" t="inlineStr">
        <is>
          <t>Giám đốc</t>
        </is>
      </c>
      <c r="F271" s="37" t="inlineStr">
        <is>
          <t>Trương Tấn Quốc</t>
        </is>
      </c>
      <c r="G271" s="27" t="n">
        <v>45974</v>
      </c>
      <c r="H271" s="27" t="n">
        <v>45977</v>
      </c>
      <c r="I271" s="37" t="n"/>
      <c r="J271" s="37" t="inlineStr">
        <is>
          <t>Nộp thành công - Chờ kết quả</t>
        </is>
      </c>
      <c r="K271" s="37" t="inlineStr">
        <is>
          <t>Đã nộp</t>
        </is>
      </c>
      <c r="L271" s="37">
        <f>IF(OR(H271="",J271="Hoàn thành",J271="Đã hủy"),"",IF(H271&lt;TODAY(),"QUÁ HẠN",IF(H271-TODAY()&lt;=THIET_LAP!$B$8,"SẮP HẠN","TRONG HẠN")))</f>
        <v/>
      </c>
      <c r="M271" s="27" t="n"/>
      <c r="N271" s="37" t="inlineStr">
        <is>
          <t>Sai hiện trạng, đợi phương án</t>
        </is>
      </c>
    </row>
    <row r="272" ht="15.75" customHeight="1" s="56">
      <c r="A272" s="37" t="inlineStr">
        <is>
          <t>BK-TSK-0269</t>
        </is>
      </c>
      <c r="B272" s="37" t="inlineStr">
        <is>
          <t>BK-HS-0269</t>
        </is>
      </c>
      <c r="C272" s="37" t="inlineStr">
        <is>
          <t>Phòng Đo đạc</t>
        </is>
      </c>
      <c r="D272" s="37" t="inlineStr">
        <is>
          <t>Cấp đổi</t>
        </is>
      </c>
      <c r="E272" s="37" t="inlineStr">
        <is>
          <t>Giám đốc</t>
        </is>
      </c>
      <c r="F272" s="37" t="inlineStr">
        <is>
          <t>Lê Văn Dựng</t>
        </is>
      </c>
      <c r="G272" s="27" t="n">
        <v>45973</v>
      </c>
      <c r="H272" s="27" t="n">
        <v>45976</v>
      </c>
      <c r="I272" s="37" t="n"/>
      <c r="J272" s="37" t="inlineStr">
        <is>
          <t>Hoàn thành</t>
        </is>
      </c>
      <c r="K272" s="37" t="inlineStr">
        <is>
          <t>Hoàn thành</t>
        </is>
      </c>
      <c r="L272" s="37">
        <f>IF(OR(H272="",J272="Hoàn thành",J272="Đã hủy"),"",IF(H272&lt;TODAY(),"QUÁ HẠN",IF(H272-TODAY()&lt;=THIET_LAP!$B$8,"SẮP HẠN","TRONG HẠN")))</f>
        <v/>
      </c>
      <c r="M272" s="27" t="n">
        <v>45986</v>
      </c>
      <c r="N272" s="37" t="n"/>
    </row>
    <row r="273" ht="15.75" customHeight="1" s="56">
      <c r="A273" s="37" t="inlineStr">
        <is>
          <t>BK-TSK-0270</t>
        </is>
      </c>
      <c r="B273" s="37" t="inlineStr">
        <is>
          <t>BK-HS-0270</t>
        </is>
      </c>
      <c r="C273" s="37" t="inlineStr">
        <is>
          <t>Phòng Đo đạc</t>
        </is>
      </c>
      <c r="D273" s="37" t="inlineStr">
        <is>
          <t>Hoàn công</t>
        </is>
      </c>
      <c r="E273" s="37" t="inlineStr">
        <is>
          <t>Giám đốc</t>
        </is>
      </c>
      <c r="F273" s="37" t="inlineStr">
        <is>
          <t>Trương Tấn Quốc</t>
        </is>
      </c>
      <c r="G273" s="27" t="n">
        <v>45972</v>
      </c>
      <c r="H273" s="27" t="n">
        <v>45975</v>
      </c>
      <c r="I273" s="37" t="n"/>
      <c r="J273" s="37" t="inlineStr">
        <is>
          <t>Nộp thành công - Chờ kết quả</t>
        </is>
      </c>
      <c r="K273" s="37" t="inlineStr">
        <is>
          <t>Đã nộp</t>
        </is>
      </c>
      <c r="L273" s="37">
        <f>IF(OR(H273="",J273="Hoàn thành",J273="Đã hủy"),"",IF(H273&lt;TODAY(),"QUÁ HẠN",IF(H273-TODAY()&lt;=THIET_LAP!$B$8,"SẮP HẠN","TRONG HẠN")))</f>
        <v/>
      </c>
      <c r="M273" s="27" t="n"/>
      <c r="N273" s="37" t="inlineStr">
        <is>
          <t>Đợi chủ nhà lắp rào kẽm (đã hoàn thiện hso)</t>
        </is>
      </c>
    </row>
    <row r="274" ht="15.75" customHeight="1" s="56">
      <c r="A274" s="37" t="inlineStr">
        <is>
          <t>BK-TSK-0271</t>
        </is>
      </c>
      <c r="B274" s="37" t="inlineStr">
        <is>
          <t>BK-HS-0271</t>
        </is>
      </c>
      <c r="C274" s="37" t="inlineStr">
        <is>
          <t>Phòng Đo đạc</t>
        </is>
      </c>
      <c r="D274" s="37" t="inlineStr">
        <is>
          <t>Cấp đổi</t>
        </is>
      </c>
      <c r="E274" s="37" t="inlineStr">
        <is>
          <t>Giám đốc</t>
        </is>
      </c>
      <c r="F274" s="37" t="inlineStr">
        <is>
          <t>Tạ Khắc Tập</t>
        </is>
      </c>
      <c r="G274" s="27" t="n">
        <v>45972</v>
      </c>
      <c r="H274" s="27" t="n">
        <v>45975</v>
      </c>
      <c r="I274" s="37" t="n"/>
      <c r="J274" s="37" t="inlineStr">
        <is>
          <t>Hoàn thành</t>
        </is>
      </c>
      <c r="K274" s="37" t="inlineStr">
        <is>
          <t>Hoàn thành</t>
        </is>
      </c>
      <c r="L274" s="37">
        <f>IF(OR(H274="",J274="Hoàn thành",J274="Đã hủy"),"",IF(H274&lt;TODAY(),"QUÁ HẠN",IF(H274-TODAY()&lt;=THIET_LAP!$B$8,"SẮP HẠN","TRONG HẠN")))</f>
        <v/>
      </c>
      <c r="M274" s="27" t="n">
        <v>46013</v>
      </c>
      <c r="N274" s="37" t="n"/>
    </row>
    <row r="275" ht="15.75" customHeight="1" s="56">
      <c r="A275" s="37" t="inlineStr">
        <is>
          <t>BK-TSK-0272</t>
        </is>
      </c>
      <c r="B275" s="37" t="inlineStr">
        <is>
          <t>BK-HS-0272</t>
        </is>
      </c>
      <c r="C275" s="37" t="inlineStr">
        <is>
          <t>Phòng Đo đạc</t>
        </is>
      </c>
      <c r="D275" s="37" t="inlineStr">
        <is>
          <t>Xác định diện tích</t>
        </is>
      </c>
      <c r="E275" s="37" t="inlineStr">
        <is>
          <t>Giám đốc</t>
        </is>
      </c>
      <c r="F275" s="37" t="inlineStr">
        <is>
          <t>Lê Văn Dựng</t>
        </is>
      </c>
      <c r="G275" s="27" t="n">
        <v>45971</v>
      </c>
      <c r="H275" s="27" t="n">
        <v>45974</v>
      </c>
      <c r="I275" s="37" t="n"/>
      <c r="J275" s="37" t="inlineStr">
        <is>
          <t>Hoàn thành</t>
        </is>
      </c>
      <c r="K275" s="37" t="inlineStr">
        <is>
          <t>Hoàn thành</t>
        </is>
      </c>
      <c r="L275" s="37">
        <f>IF(OR(H275="",J275="Hoàn thành",J275="Đã hủy"),"",IF(H275&lt;TODAY(),"QUÁ HẠN",IF(H275-TODAY()&lt;=THIET_LAP!$B$8,"SẮP HẠN","TRONG HẠN")))</f>
        <v/>
      </c>
      <c r="M275" s="27" t="n">
        <v>45971</v>
      </c>
      <c r="N275" s="37" t="inlineStr">
        <is>
          <t>4 sổ</t>
        </is>
      </c>
    </row>
    <row r="276" ht="15.75" customHeight="1" s="56">
      <c r="A276" s="37" t="inlineStr">
        <is>
          <t>BK-TSK-0273</t>
        </is>
      </c>
      <c r="B276" s="37" t="inlineStr">
        <is>
          <t>BK-HS-0273</t>
        </is>
      </c>
      <c r="C276" s="37" t="inlineStr">
        <is>
          <t>Phòng Đo đạc</t>
        </is>
      </c>
      <c r="D276" s="37" t="inlineStr">
        <is>
          <t>Xác định diện tích</t>
        </is>
      </c>
      <c r="E276" s="37" t="inlineStr">
        <is>
          <t>Giám đốc</t>
        </is>
      </c>
      <c r="F276" s="37" t="inlineStr">
        <is>
          <t>Lê Văn Dựng</t>
        </is>
      </c>
      <c r="G276" s="27" t="n">
        <v>45971</v>
      </c>
      <c r="H276" s="27" t="n">
        <v>45974</v>
      </c>
      <c r="I276" s="37" t="n"/>
      <c r="J276" s="37" t="inlineStr">
        <is>
          <t>Hoàn thành</t>
        </is>
      </c>
      <c r="K276" s="37" t="inlineStr">
        <is>
          <t>Hoàn thành</t>
        </is>
      </c>
      <c r="L276" s="37">
        <f>IF(OR(H276="",J276="Hoàn thành",J276="Đã hủy"),"",IF(H276&lt;TODAY(),"QUÁ HẠN",IF(H276-TODAY()&lt;=THIET_LAP!$B$8,"SẮP HẠN","TRONG HẠN")))</f>
        <v/>
      </c>
      <c r="M276" s="27" t="n">
        <v>45971</v>
      </c>
      <c r="N276" s="37" t="inlineStr">
        <is>
          <t>3 sổ</t>
        </is>
      </c>
    </row>
    <row r="277" ht="15.75" customHeight="1" s="56">
      <c r="A277" s="37" t="inlineStr">
        <is>
          <t>BK-TSK-0274</t>
        </is>
      </c>
      <c r="B277" s="37" t="inlineStr">
        <is>
          <t>BK-HS-0274</t>
        </is>
      </c>
      <c r="C277" s="37" t="inlineStr">
        <is>
          <t>Phòng Đo đạc</t>
        </is>
      </c>
      <c r="D277" s="37" t="inlineStr">
        <is>
          <t>Xác định diện tích</t>
        </is>
      </c>
      <c r="E277" s="37" t="inlineStr">
        <is>
          <t>Giám đốc</t>
        </is>
      </c>
      <c r="F277" s="37" t="inlineStr">
        <is>
          <t>Lê Văn Dựng</t>
        </is>
      </c>
      <c r="G277" s="27" t="n">
        <v>45971</v>
      </c>
      <c r="H277" s="27" t="n">
        <v>45974</v>
      </c>
      <c r="I277" s="37" t="n"/>
      <c r="J277" s="37" t="inlineStr">
        <is>
          <t>Hoàn thành</t>
        </is>
      </c>
      <c r="K277" s="37" t="inlineStr">
        <is>
          <t>Hoàn thành</t>
        </is>
      </c>
      <c r="L277" s="37">
        <f>IF(OR(H277="",J277="Hoàn thành",J277="Đã hủy"),"",IF(H277&lt;TODAY(),"QUÁ HẠN",IF(H277-TODAY()&lt;=THIET_LAP!$B$8,"SẮP HẠN","TRONG HẠN")))</f>
        <v/>
      </c>
      <c r="M277" s="27" t="n">
        <v>45971</v>
      </c>
      <c r="N277" s="37" t="n"/>
    </row>
    <row r="278" ht="15.75" customHeight="1" s="56">
      <c r="A278" s="37" t="inlineStr">
        <is>
          <t>BK-TSK-0275</t>
        </is>
      </c>
      <c r="B278" s="37" t="inlineStr">
        <is>
          <t>BK-HS-0275</t>
        </is>
      </c>
      <c r="C278" s="37" t="inlineStr">
        <is>
          <t>Phòng Đo đạc</t>
        </is>
      </c>
      <c r="D278" s="37" t="inlineStr">
        <is>
          <t>Cắm mốc</t>
        </is>
      </c>
      <c r="E278" s="37" t="inlineStr">
        <is>
          <t>Giám đốc</t>
        </is>
      </c>
      <c r="F278" s="37" t="inlineStr">
        <is>
          <t>Lê Văn Dựng</t>
        </is>
      </c>
      <c r="G278" s="27" t="n">
        <v>45971</v>
      </c>
      <c r="H278" s="27" t="n">
        <v>45974</v>
      </c>
      <c r="I278" s="37" t="n"/>
      <c r="J278" s="37" t="inlineStr">
        <is>
          <t>Hoàn thành</t>
        </is>
      </c>
      <c r="K278" s="37" t="inlineStr">
        <is>
          <t>Hoàn thành</t>
        </is>
      </c>
      <c r="L278" s="37">
        <f>IF(OR(H278="",J278="Hoàn thành",J278="Đã hủy"),"",IF(H278&lt;TODAY(),"QUÁ HẠN",IF(H278-TODAY()&lt;=THIET_LAP!$B$8,"SẮP HẠN","TRONG HẠN")))</f>
        <v/>
      </c>
      <c r="M278" s="27" t="n">
        <v>45971</v>
      </c>
      <c r="N278" s="37" t="n"/>
    </row>
    <row r="279" ht="15.75" customHeight="1" s="56">
      <c r="A279" s="37" t="inlineStr">
        <is>
          <t>BK-TSK-0276</t>
        </is>
      </c>
      <c r="B279" s="37" t="inlineStr">
        <is>
          <t>BK-HS-0276</t>
        </is>
      </c>
      <c r="C279" s="37" t="inlineStr">
        <is>
          <t>Phòng Đo đạc</t>
        </is>
      </c>
      <c r="D279" s="37" t="inlineStr">
        <is>
          <t>Chuyển mục đích</t>
        </is>
      </c>
      <c r="E279" s="37" t="inlineStr">
        <is>
          <t>Giám đốc</t>
        </is>
      </c>
      <c r="F279" s="37" t="inlineStr">
        <is>
          <t>Nguyễn Minh Thông</t>
        </is>
      </c>
      <c r="G279" s="27" t="n">
        <v>45971</v>
      </c>
      <c r="H279" s="27" t="n">
        <v>45974</v>
      </c>
      <c r="I279" s="37" t="n"/>
      <c r="J279" s="37" t="inlineStr">
        <is>
          <t>Nộp thành công - Chờ kết quả</t>
        </is>
      </c>
      <c r="K279" s="37" t="inlineStr">
        <is>
          <t>Đã nộp</t>
        </is>
      </c>
      <c r="L279" s="37">
        <f>IF(OR(H279="",J279="Hoàn thành",J279="Đã hủy"),"",IF(H279&lt;TODAY(),"QUÁ HẠN",IF(H279-TODAY()&lt;=THIET_LAP!$B$8,"SẮP HẠN","TRONG HẠN")))</f>
        <v/>
      </c>
      <c r="M279" s="27" t="n"/>
      <c r="N279" s="37" t="n"/>
    </row>
    <row r="280" ht="15.75" customHeight="1" s="56">
      <c r="A280" s="37" t="inlineStr">
        <is>
          <t>BK-TSK-0277</t>
        </is>
      </c>
      <c r="B280" s="37" t="inlineStr">
        <is>
          <t>BK-HS-0277</t>
        </is>
      </c>
      <c r="C280" s="37" t="inlineStr">
        <is>
          <t>Phòng Đo đạc</t>
        </is>
      </c>
      <c r="D280" s="37" t="inlineStr">
        <is>
          <t>Cấp sổ lần đầu</t>
        </is>
      </c>
      <c r="E280" s="37" t="inlineStr">
        <is>
          <t>Giám đốc</t>
        </is>
      </c>
      <c r="F280" s="37" t="inlineStr">
        <is>
          <t>Trương Tấn Quốc</t>
        </is>
      </c>
      <c r="G280" s="27" t="n">
        <v>45971</v>
      </c>
      <c r="H280" s="27" t="n">
        <v>45974</v>
      </c>
      <c r="I280" s="37" t="n"/>
      <c r="J280" s="37" t="inlineStr">
        <is>
          <t>Hoàn thành</t>
        </is>
      </c>
      <c r="K280" s="37" t="inlineStr">
        <is>
          <t>Hoàn thành</t>
        </is>
      </c>
      <c r="L280" s="37">
        <f>IF(OR(H280="",J280="Hoàn thành",J280="Đã hủy"),"",IF(H280&lt;TODAY(),"QUÁ HẠN",IF(H280-TODAY()&lt;=THIET_LAP!$B$8,"SẮP HẠN","TRONG HẠN")))</f>
        <v/>
      </c>
      <c r="M280" s="27" t="n">
        <v>45985</v>
      </c>
      <c r="N280" s="37" t="n"/>
    </row>
    <row r="281" ht="15.75" customHeight="1" s="56">
      <c r="A281" s="37" t="inlineStr">
        <is>
          <t>BK-TSK-0278</t>
        </is>
      </c>
      <c r="B281" s="37" t="inlineStr">
        <is>
          <t>BK-HS-0278</t>
        </is>
      </c>
      <c r="C281" s="37" t="inlineStr">
        <is>
          <t>Phòng Đo đạc</t>
        </is>
      </c>
      <c r="D281" s="37" t="inlineStr">
        <is>
          <t>Cắm mốc</t>
        </is>
      </c>
      <c r="E281" s="37" t="inlineStr">
        <is>
          <t>Giám đốc</t>
        </is>
      </c>
      <c r="F281" s="37" t="inlineStr">
        <is>
          <t>Lê Văn Dựng</t>
        </is>
      </c>
      <c r="G281" s="27" t="n">
        <v>45969</v>
      </c>
      <c r="H281" s="27" t="n">
        <v>45972</v>
      </c>
      <c r="I281" s="37" t="n"/>
      <c r="J281" s="37" t="inlineStr">
        <is>
          <t>Hoàn thành</t>
        </is>
      </c>
      <c r="K281" s="37" t="inlineStr">
        <is>
          <t>Hoàn thành</t>
        </is>
      </c>
      <c r="L281" s="37">
        <f>IF(OR(H281="",J281="Hoàn thành",J281="Đã hủy"),"",IF(H281&lt;TODAY(),"QUÁ HẠN",IF(H281-TODAY()&lt;=THIET_LAP!$B$8,"SẮP HẠN","TRONG HẠN")))</f>
        <v/>
      </c>
      <c r="M281" s="27" t="n">
        <v>45969</v>
      </c>
      <c r="N281" s="37" t="n"/>
    </row>
    <row r="282" ht="15.75" customHeight="1" s="56">
      <c r="A282" s="37" t="inlineStr">
        <is>
          <t>BK-TSK-0279</t>
        </is>
      </c>
      <c r="B282" s="37" t="inlineStr">
        <is>
          <t>BK-HS-0279</t>
        </is>
      </c>
      <c r="C282" s="37" t="inlineStr">
        <is>
          <t>Phòng Đo đạc</t>
        </is>
      </c>
      <c r="D282" s="37" t="inlineStr">
        <is>
          <t>Đo GPS</t>
        </is>
      </c>
      <c r="E282" s="37" t="inlineStr">
        <is>
          <t>Giám đốc</t>
        </is>
      </c>
      <c r="F282" s="37" t="inlineStr">
        <is>
          <t>Lê Văn Dựng</t>
        </is>
      </c>
      <c r="G282" s="27" t="n">
        <v>45969</v>
      </c>
      <c r="H282" s="27" t="n">
        <v>45972</v>
      </c>
      <c r="I282" s="37" t="n"/>
      <c r="J282" s="37" t="inlineStr">
        <is>
          <t>Hoàn thành</t>
        </is>
      </c>
      <c r="K282" s="37" t="inlineStr">
        <is>
          <t>Hoàn thành</t>
        </is>
      </c>
      <c r="L282" s="37">
        <f>IF(OR(H282="",J282="Hoàn thành",J282="Đã hủy"),"",IF(H282&lt;TODAY(),"QUÁ HẠN",IF(H282-TODAY()&lt;=THIET_LAP!$B$8,"SẮP HẠN","TRONG HẠN")))</f>
        <v/>
      </c>
      <c r="M282" s="27" t="n">
        <v>45969</v>
      </c>
      <c r="N282" s="37" t="n"/>
    </row>
    <row r="283" ht="15.75" customHeight="1" s="56">
      <c r="A283" s="37" t="inlineStr">
        <is>
          <t>BK-TSK-0280</t>
        </is>
      </c>
      <c r="B283" s="37" t="inlineStr">
        <is>
          <t>BK-HS-0280</t>
        </is>
      </c>
      <c r="C283" s="37" t="inlineStr">
        <is>
          <t>Phòng Đo đạc</t>
        </is>
      </c>
      <c r="D283" s="37" t="inlineStr">
        <is>
          <t>Cắm mốc</t>
        </is>
      </c>
      <c r="E283" s="37" t="inlineStr">
        <is>
          <t>Giám đốc</t>
        </is>
      </c>
      <c r="F283" s="37" t="inlineStr">
        <is>
          <t>Tạ Khắc Tập</t>
        </is>
      </c>
      <c r="G283" s="27" t="n">
        <v>45968</v>
      </c>
      <c r="H283" s="27" t="n">
        <v>45969</v>
      </c>
      <c r="I283" s="37" t="inlineStr">
        <is>
          <t>Cao</t>
        </is>
      </c>
      <c r="J283" s="37" t="inlineStr">
        <is>
          <t>Hoàn thành</t>
        </is>
      </c>
      <c r="K283" s="37" t="inlineStr">
        <is>
          <t>Hoàn thành</t>
        </is>
      </c>
      <c r="L283" s="37">
        <f>IF(OR(H283="",J283="Hoàn thành",J283="Đã hủy"),"",IF(H283&lt;TODAY(),"QUÁ HẠN",IF(H283-TODAY()&lt;=THIET_LAP!$B$8,"SẮP HẠN","TRONG HẠN")))</f>
        <v/>
      </c>
      <c r="M283" s="27" t="n">
        <v>45968</v>
      </c>
      <c r="N283" s="37" t="inlineStr">
        <is>
          <t>Quận Tân Bình - Hồ sơ xa</t>
        </is>
      </c>
    </row>
    <row r="284" ht="15.75" customHeight="1" s="56">
      <c r="A284" s="37" t="inlineStr">
        <is>
          <t>BK-TSK-0281</t>
        </is>
      </c>
      <c r="B284" s="37" t="inlineStr">
        <is>
          <t>BK-HS-0281</t>
        </is>
      </c>
      <c r="C284" s="37" t="inlineStr">
        <is>
          <t>Phòng Đo đạc</t>
        </is>
      </c>
      <c r="D284" s="37" t="inlineStr">
        <is>
          <t>Chuyển mục đích</t>
        </is>
      </c>
      <c r="E284" s="37" t="inlineStr">
        <is>
          <t>Giám đốc</t>
        </is>
      </c>
      <c r="F284" s="37" t="inlineStr">
        <is>
          <t>Nguyễn Minh Thông</t>
        </is>
      </c>
      <c r="G284" s="27" t="n">
        <v>45967</v>
      </c>
      <c r="H284" s="27" t="n">
        <v>45970</v>
      </c>
      <c r="I284" s="37" t="n"/>
      <c r="J284" s="37" t="inlineStr">
        <is>
          <t>Hoàn thành</t>
        </is>
      </c>
      <c r="K284" s="37" t="inlineStr">
        <is>
          <t>Hoàn thành</t>
        </is>
      </c>
      <c r="L284" s="37">
        <f>IF(OR(H284="",J284="Hoàn thành",J284="Đã hủy"),"",IF(H284&lt;TODAY(),"QUÁ HẠN",IF(H284-TODAY()&lt;=THIET_LAP!$B$8,"SẮP HẠN","TRONG HẠN")))</f>
        <v/>
      </c>
      <c r="M284" s="27" t="n">
        <v>45979</v>
      </c>
      <c r="N284" s="37" t="n"/>
    </row>
    <row r="285" ht="15.75" customHeight="1" s="56">
      <c r="A285" s="37" t="inlineStr">
        <is>
          <t>BK-TSK-0282</t>
        </is>
      </c>
      <c r="B285" s="37" t="inlineStr">
        <is>
          <t>BK-HS-0282</t>
        </is>
      </c>
      <c r="C285" s="37" t="inlineStr">
        <is>
          <t>Phòng Đo đạc</t>
        </is>
      </c>
      <c r="D285" s="37" t="inlineStr">
        <is>
          <t>Cắm mốc</t>
        </is>
      </c>
      <c r="E285" s="37" t="inlineStr">
        <is>
          <t>Giám đốc</t>
        </is>
      </c>
      <c r="F285" s="37" t="inlineStr">
        <is>
          <t>Tạ Khắc Tập</t>
        </is>
      </c>
      <c r="G285" s="27" t="n">
        <v>45967</v>
      </c>
      <c r="H285" s="27" t="n">
        <v>45970</v>
      </c>
      <c r="I285" s="37" t="n"/>
      <c r="J285" s="37" t="inlineStr">
        <is>
          <t>Hoàn thành</t>
        </is>
      </c>
      <c r="K285" s="37" t="inlineStr">
        <is>
          <t>Hoàn thành</t>
        </is>
      </c>
      <c r="L285" s="37">
        <f>IF(OR(H285="",J285="Hoàn thành",J285="Đã hủy"),"",IF(H285&lt;TODAY(),"QUÁ HẠN",IF(H285-TODAY()&lt;=THIET_LAP!$B$8,"SẮP HẠN","TRONG HẠN")))</f>
        <v/>
      </c>
      <c r="M285" s="27" t="n">
        <v>45967</v>
      </c>
      <c r="N285" s="37" t="n"/>
    </row>
    <row r="286" ht="15.75" customHeight="1" s="56">
      <c r="A286" s="37" t="inlineStr">
        <is>
          <t>BK-TSK-0283</t>
        </is>
      </c>
      <c r="B286" s="37" t="inlineStr">
        <is>
          <t>BK-HS-0283</t>
        </is>
      </c>
      <c r="C286" s="37" t="inlineStr">
        <is>
          <t>Phòng Đo đạc</t>
        </is>
      </c>
      <c r="D286" s="37" t="inlineStr">
        <is>
          <t>Hoàn công</t>
        </is>
      </c>
      <c r="E286" s="37" t="inlineStr">
        <is>
          <t>Giám đốc</t>
        </is>
      </c>
      <c r="F286" s="37" t="inlineStr">
        <is>
          <t>Nguyễn Minh Thông</t>
        </is>
      </c>
      <c r="G286" s="27" t="n">
        <v>45967</v>
      </c>
      <c r="H286" s="27" t="n">
        <v>45970</v>
      </c>
      <c r="I286" s="37" t="n"/>
      <c r="J286" s="37" t="inlineStr">
        <is>
          <t>Nộp thành công - Chờ kết quả</t>
        </is>
      </c>
      <c r="K286" s="37" t="inlineStr">
        <is>
          <t>Đã nộp</t>
        </is>
      </c>
      <c r="L286" s="37">
        <f>IF(OR(H286="",J286="Hoàn thành",J286="Đã hủy"),"",IF(H286&lt;TODAY(),"QUÁ HẠN",IF(H286-TODAY()&lt;=THIET_LAP!$B$8,"SẮP HẠN","TRONG HẠN")))</f>
        <v/>
      </c>
      <c r="M286" s="27" t="n"/>
      <c r="N286" s="37" t="n"/>
    </row>
    <row r="287" ht="15.75" customHeight="1" s="56">
      <c r="A287" s="37" t="inlineStr">
        <is>
          <t>BK-TSK-0284</t>
        </is>
      </c>
      <c r="B287" s="37" t="inlineStr">
        <is>
          <t>BK-HS-0284</t>
        </is>
      </c>
      <c r="C287" s="37" t="inlineStr">
        <is>
          <t>Phòng Đo đạc</t>
        </is>
      </c>
      <c r="D287" s="37" t="inlineStr">
        <is>
          <t>Cắm mốc</t>
        </is>
      </c>
      <c r="E287" s="37" t="inlineStr">
        <is>
          <t>Giám đốc</t>
        </is>
      </c>
      <c r="F287" s="37" t="inlineStr">
        <is>
          <t>Nguyễn Minh Thông</t>
        </is>
      </c>
      <c r="G287" s="27" t="n">
        <v>45967</v>
      </c>
      <c r="H287" s="27" t="n">
        <v>45970</v>
      </c>
      <c r="I287" s="37" t="n"/>
      <c r="J287" s="37" t="inlineStr">
        <is>
          <t>Hoàn thành</t>
        </is>
      </c>
      <c r="K287" s="37" t="inlineStr">
        <is>
          <t>Hoàn thành</t>
        </is>
      </c>
      <c r="L287" s="37">
        <f>IF(OR(H287="",J287="Hoàn thành",J287="Đã hủy"),"",IF(H287&lt;TODAY(),"QUÁ HẠN",IF(H287-TODAY()&lt;=THIET_LAP!$B$8,"SẮP HẠN","TRONG HẠN")))</f>
        <v/>
      </c>
      <c r="M287" s="27" t="n">
        <v>45966</v>
      </c>
      <c r="N287" s="37" t="n"/>
    </row>
    <row r="288" ht="15.75" customHeight="1" s="56">
      <c r="A288" s="37" t="inlineStr">
        <is>
          <t>BK-TSK-0285</t>
        </is>
      </c>
      <c r="B288" s="37" t="inlineStr">
        <is>
          <t>BK-HS-0285</t>
        </is>
      </c>
      <c r="C288" s="37" t="inlineStr">
        <is>
          <t>Phòng Đo đạc</t>
        </is>
      </c>
      <c r="D288" s="37" t="inlineStr">
        <is>
          <t>Tách Thửa</t>
        </is>
      </c>
      <c r="E288" s="37" t="inlineStr">
        <is>
          <t>Giám đốc</t>
        </is>
      </c>
      <c r="F288" s="37" t="inlineStr">
        <is>
          <t>Tạ Khắc Tập</t>
        </is>
      </c>
      <c r="G288" s="27" t="n">
        <v>45967</v>
      </c>
      <c r="H288" s="27" t="n">
        <v>45970</v>
      </c>
      <c r="I288" s="37" t="n"/>
      <c r="J288" s="37" t="inlineStr">
        <is>
          <t>Hoàn thành</t>
        </is>
      </c>
      <c r="K288" s="37" t="inlineStr">
        <is>
          <t>Hoàn thành</t>
        </is>
      </c>
      <c r="L288" s="37">
        <f>IF(OR(H288="",J288="Hoàn thành",J288="Đã hủy"),"",IF(H288&lt;TODAY(),"QUÁ HẠN",IF(H288-TODAY()&lt;=THIET_LAP!$B$8,"SẮP HẠN","TRONG HẠN")))</f>
        <v/>
      </c>
      <c r="M288" s="27" t="n">
        <v>46043</v>
      </c>
      <c r="N288" s="37" t="n"/>
    </row>
    <row r="289" ht="15.75" customHeight="1" s="56">
      <c r="A289" s="37" t="inlineStr">
        <is>
          <t>BK-TSK-0286</t>
        </is>
      </c>
      <c r="B289" s="37" t="inlineStr">
        <is>
          <t>BK-HS-0286</t>
        </is>
      </c>
      <c r="C289" s="37" t="inlineStr">
        <is>
          <t>Phòng Đo đạc</t>
        </is>
      </c>
      <c r="D289" s="37" t="inlineStr">
        <is>
          <t>Tách Thửa</t>
        </is>
      </c>
      <c r="E289" s="37" t="inlineStr">
        <is>
          <t>Giám đốc</t>
        </is>
      </c>
      <c r="F289" s="37" t="inlineStr">
        <is>
          <t>Tạ Khắc Tập</t>
        </is>
      </c>
      <c r="G289" s="27" t="n">
        <v>45967</v>
      </c>
      <c r="H289" s="27" t="n">
        <v>45970</v>
      </c>
      <c r="I289" s="37" t="n"/>
      <c r="J289" s="37" t="inlineStr">
        <is>
          <t>Hoàn thành</t>
        </is>
      </c>
      <c r="K289" s="37" t="inlineStr">
        <is>
          <t>Hoàn thành</t>
        </is>
      </c>
      <c r="L289" s="37">
        <f>IF(OR(H289="",J289="Hoàn thành",J289="Đã hủy"),"",IF(H289&lt;TODAY(),"QUÁ HẠN",IF(H289-TODAY()&lt;=THIET_LAP!$B$8,"SẮP HẠN","TRONG HẠN")))</f>
        <v/>
      </c>
      <c r="M289" s="27" t="n">
        <v>46043</v>
      </c>
      <c r="N289" s="37" t="n"/>
    </row>
    <row r="290" ht="15.75" customHeight="1" s="56">
      <c r="A290" s="37" t="inlineStr">
        <is>
          <t>BK-TSK-0287</t>
        </is>
      </c>
      <c r="B290" s="37" t="inlineStr">
        <is>
          <t>BK-HS-0287</t>
        </is>
      </c>
      <c r="C290" s="37" t="inlineStr">
        <is>
          <t>Phòng Đo đạc</t>
        </is>
      </c>
      <c r="D290" s="37" t="inlineStr">
        <is>
          <t>Xác định diện tích</t>
        </is>
      </c>
      <c r="E290" s="37" t="inlineStr">
        <is>
          <t>Giám đốc</t>
        </is>
      </c>
      <c r="F290" s="37" t="inlineStr">
        <is>
          <t>Tạ Khắc Tập</t>
        </is>
      </c>
      <c r="G290" s="27" t="n">
        <v>45967</v>
      </c>
      <c r="H290" s="27" t="n">
        <v>45968</v>
      </c>
      <c r="I290" s="37" t="inlineStr">
        <is>
          <t>Cao</t>
        </is>
      </c>
      <c r="J290" s="37" t="inlineStr">
        <is>
          <t>Hoàn thành</t>
        </is>
      </c>
      <c r="K290" s="37" t="inlineStr">
        <is>
          <t>Hoàn thành</t>
        </is>
      </c>
      <c r="L290" s="37">
        <f>IF(OR(H290="",J290="Hoàn thành",J290="Đã hủy"),"",IF(H290&lt;TODAY(),"QUÁ HẠN",IF(H290-TODAY()&lt;=THIET_LAP!$B$8,"SẮP HẠN","TRONG HẠN")))</f>
        <v/>
      </c>
      <c r="M290" s="27" t="n">
        <v>45968</v>
      </c>
      <c r="N290" s="37" t="inlineStr">
        <is>
          <t>Quận Tân Phú - Hồ sơ xa</t>
        </is>
      </c>
    </row>
    <row r="291" ht="15.75" customHeight="1" s="56">
      <c r="A291" s="37" t="inlineStr">
        <is>
          <t>BK-TSK-0288</t>
        </is>
      </c>
      <c r="B291" s="37" t="inlineStr">
        <is>
          <t>BK-HS-0288</t>
        </is>
      </c>
      <c r="C291" s="37" t="inlineStr">
        <is>
          <t>Phòng Đo đạc</t>
        </is>
      </c>
      <c r="D291" s="37" t="inlineStr">
        <is>
          <t>Cắm mốc</t>
        </is>
      </c>
      <c r="E291" s="37" t="inlineStr">
        <is>
          <t>Giám đốc</t>
        </is>
      </c>
      <c r="F291" s="37" t="inlineStr">
        <is>
          <t>Lê Văn Dựng</t>
        </is>
      </c>
      <c r="G291" s="27" t="n">
        <v>45964</v>
      </c>
      <c r="H291" s="27" t="n">
        <v>45967</v>
      </c>
      <c r="I291" s="37" t="n"/>
      <c r="J291" s="37" t="inlineStr">
        <is>
          <t>Hoàn thành</t>
        </is>
      </c>
      <c r="K291" s="37" t="inlineStr">
        <is>
          <t>Hoàn thành</t>
        </is>
      </c>
      <c r="L291" s="37">
        <f>IF(OR(H291="",J291="Hoàn thành",J291="Đã hủy"),"",IF(H291&lt;TODAY(),"QUÁ HẠN",IF(H291-TODAY()&lt;=THIET_LAP!$B$8,"SẮP HẠN","TRONG HẠN")))</f>
        <v/>
      </c>
      <c r="M291" s="27" t="n">
        <v>45965</v>
      </c>
      <c r="N291" s="37" t="inlineStr">
        <is>
          <t>Địa chỉ: Quận Q7</t>
        </is>
      </c>
    </row>
    <row r="292" ht="15.75" customHeight="1" s="56">
      <c r="A292" s="37" t="inlineStr">
        <is>
          <t>BK-TSK-0289</t>
        </is>
      </c>
      <c r="B292" s="37" t="inlineStr">
        <is>
          <t>BK-HS-0289</t>
        </is>
      </c>
      <c r="C292" s="37" t="inlineStr">
        <is>
          <t>Phòng Đo đạc</t>
        </is>
      </c>
      <c r="D292" s="37" t="inlineStr">
        <is>
          <t>Xác định diện tích</t>
        </is>
      </c>
      <c r="E292" s="37" t="inlineStr">
        <is>
          <t>Giám đốc</t>
        </is>
      </c>
      <c r="F292" s="37" t="inlineStr">
        <is>
          <t>Nguyễn Minh Thông</t>
        </is>
      </c>
      <c r="G292" s="27" t="n">
        <v>45964</v>
      </c>
      <c r="H292" s="27" t="n">
        <v>45967</v>
      </c>
      <c r="I292" s="37" t="n"/>
      <c r="J292" s="37" t="inlineStr">
        <is>
          <t>Hoàn thành</t>
        </is>
      </c>
      <c r="K292" s="37" t="inlineStr">
        <is>
          <t>Hoàn thành</t>
        </is>
      </c>
      <c r="L292" s="37">
        <f>IF(OR(H292="",J292="Hoàn thành",J292="Đã hủy"),"",IF(H292&lt;TODAY(),"QUÁ HẠN",IF(H292-TODAY()&lt;=THIET_LAP!$B$8,"SẮP HẠN","TRONG HẠN")))</f>
        <v/>
      </c>
      <c r="M292" s="27" t="n">
        <v>46038</v>
      </c>
      <c r="N292" s="37" t="n"/>
    </row>
    <row r="293" ht="15.75" customHeight="1" s="56">
      <c r="A293" s="37" t="inlineStr">
        <is>
          <t>BK-TSK-0290</t>
        </is>
      </c>
      <c r="B293" s="37" t="inlineStr">
        <is>
          <t>BK-HS-0290</t>
        </is>
      </c>
      <c r="C293" s="37" t="inlineStr">
        <is>
          <t>Phòng Đo đạc</t>
        </is>
      </c>
      <c r="D293" s="37" t="inlineStr">
        <is>
          <t>Điều chỉnh bản vẽ</t>
        </is>
      </c>
      <c r="E293" s="37" t="inlineStr">
        <is>
          <t>Giám đốc</t>
        </is>
      </c>
      <c r="F293" s="37" t="inlineStr">
        <is>
          <t>Tạ Khắc Tập</t>
        </is>
      </c>
      <c r="G293" s="27" t="n">
        <v>45964</v>
      </c>
      <c r="H293" s="27" t="n">
        <v>45967</v>
      </c>
      <c r="I293" s="37" t="n"/>
      <c r="J293" s="37" t="inlineStr">
        <is>
          <t>Hoàn thành</t>
        </is>
      </c>
      <c r="K293" s="37" t="inlineStr">
        <is>
          <t>Hoàn thành</t>
        </is>
      </c>
      <c r="L293" s="37">
        <f>IF(OR(H293="",J293="Hoàn thành",J293="Đã hủy"),"",IF(H293&lt;TODAY(),"QUÁ HẠN",IF(H293-TODAY()&lt;=THIET_LAP!$B$8,"SẮP HẠN","TRONG HẠN")))</f>
        <v/>
      </c>
      <c r="M293" s="27" t="n">
        <v>45965</v>
      </c>
      <c r="N293" s="37" t="n"/>
    </row>
    <row r="294" ht="15.75" customHeight="1" s="56">
      <c r="A294" s="37" t="inlineStr">
        <is>
          <t>BK-TSK-0291</t>
        </is>
      </c>
      <c r="B294" s="37" t="inlineStr">
        <is>
          <t>BK-HS-0291</t>
        </is>
      </c>
      <c r="C294" s="37" t="inlineStr">
        <is>
          <t>Phòng Đo đạc</t>
        </is>
      </c>
      <c r="D294" s="37" t="inlineStr">
        <is>
          <t>Cấp đổi</t>
        </is>
      </c>
      <c r="E294" s="37" t="inlineStr">
        <is>
          <t>Giám đốc</t>
        </is>
      </c>
      <c r="F294" s="37" t="inlineStr">
        <is>
          <t>Nguyễn Minh Thông</t>
        </is>
      </c>
      <c r="G294" s="27" t="n">
        <v>45964</v>
      </c>
      <c r="H294" s="27" t="n">
        <v>45967</v>
      </c>
      <c r="I294" s="37" t="n"/>
      <c r="J294" s="37" t="inlineStr">
        <is>
          <t>Hoàn thành</t>
        </is>
      </c>
      <c r="K294" s="37" t="inlineStr">
        <is>
          <t>Hoàn thành</t>
        </is>
      </c>
      <c r="L294" s="37">
        <f>IF(OR(H294="",J294="Hoàn thành",J294="Đã hủy"),"",IF(H294&lt;TODAY(),"QUÁ HẠN",IF(H294-TODAY()&lt;=THIET_LAP!$B$8,"SẮP HẠN","TRONG HẠN")))</f>
        <v/>
      </c>
      <c r="M294" s="27" t="n">
        <v>46014</v>
      </c>
      <c r="N294" s="37" t="n"/>
    </row>
    <row r="295" ht="15.75" customHeight="1" s="56">
      <c r="A295" s="37" t="inlineStr">
        <is>
          <t>BK-TSK-0292</t>
        </is>
      </c>
      <c r="B295" s="37" t="inlineStr">
        <is>
          <t>BK-HS-0292</t>
        </is>
      </c>
      <c r="C295" s="37" t="inlineStr">
        <is>
          <t>Phòng Đo đạc</t>
        </is>
      </c>
      <c r="D295" s="37" t="inlineStr">
        <is>
          <t>Cấp đổi</t>
        </is>
      </c>
      <c r="E295" s="37" t="inlineStr">
        <is>
          <t>Giám đốc</t>
        </is>
      </c>
      <c r="F295" s="37" t="inlineStr">
        <is>
          <t>Tạ Khắc Tập</t>
        </is>
      </c>
      <c r="G295" s="27" t="n">
        <v>45964</v>
      </c>
      <c r="H295" s="27" t="n">
        <v>45967</v>
      </c>
      <c r="I295" s="37" t="n"/>
      <c r="J295" s="37" t="inlineStr">
        <is>
          <t>Hoàn thành</t>
        </is>
      </c>
      <c r="K295" s="37" t="inlineStr">
        <is>
          <t>Hoàn thành</t>
        </is>
      </c>
      <c r="L295" s="37">
        <f>IF(OR(H295="",J295="Hoàn thành",J295="Đã hủy"),"",IF(H295&lt;TODAY(),"QUÁ HẠN",IF(H295-TODAY()&lt;=THIET_LAP!$B$8,"SẮP HẠN","TRONG HẠN")))</f>
        <v/>
      </c>
      <c r="M295" s="27" t="n">
        <v>45988</v>
      </c>
      <c r="N295" s="37" t="n"/>
    </row>
    <row r="296" ht="15.75" customHeight="1" s="56">
      <c r="A296" s="37" t="inlineStr">
        <is>
          <t>BK-TSK-0293</t>
        </is>
      </c>
      <c r="B296" s="37" t="inlineStr">
        <is>
          <t>BK-HS-0293</t>
        </is>
      </c>
      <c r="C296" s="37" t="inlineStr">
        <is>
          <t>Phòng Đo đạc</t>
        </is>
      </c>
      <c r="D296" s="37" t="inlineStr">
        <is>
          <t>Cắm mốc</t>
        </is>
      </c>
      <c r="E296" s="37" t="inlineStr">
        <is>
          <t>Giám đốc</t>
        </is>
      </c>
      <c r="F296" s="37" t="inlineStr">
        <is>
          <t>Lê Văn Dựng</t>
        </is>
      </c>
      <c r="G296" s="27" t="n">
        <v>45961</v>
      </c>
      <c r="H296" s="27" t="n">
        <v>45962</v>
      </c>
      <c r="I296" s="37" t="inlineStr">
        <is>
          <t>Cao</t>
        </is>
      </c>
      <c r="J296" s="37" t="inlineStr">
        <is>
          <t>Hoàn thành</t>
        </is>
      </c>
      <c r="K296" s="37" t="inlineStr">
        <is>
          <t>Hoàn thành</t>
        </is>
      </c>
      <c r="L296" s="37">
        <f>IF(OR(H296="",J296="Hoàn thành",J296="Đã hủy"),"",IF(H296&lt;TODAY(),"QUÁ HẠN",IF(H296-TODAY()&lt;=THIET_LAP!$B$8,"SẮP HẠN","TRONG HẠN")))</f>
        <v/>
      </c>
      <c r="M296" s="27" t="n">
        <v>45961</v>
      </c>
      <c r="N296" s="37" t="n"/>
    </row>
    <row r="297" ht="15.75" customHeight="1" s="56">
      <c r="A297" s="37" t="inlineStr">
        <is>
          <t>BK-TSK-0294</t>
        </is>
      </c>
      <c r="B297" s="37" t="inlineStr">
        <is>
          <t>BK-HS-0294</t>
        </is>
      </c>
      <c r="C297" s="37" t="inlineStr">
        <is>
          <t>Phòng Đo đạc</t>
        </is>
      </c>
      <c r="D297" s="37" t="inlineStr">
        <is>
          <t>Hoàn công</t>
        </is>
      </c>
      <c r="E297" s="37" t="inlineStr">
        <is>
          <t>Giám đốc</t>
        </is>
      </c>
      <c r="F297" s="37" t="inlineStr">
        <is>
          <t>Tạ Khắc Tập</t>
        </is>
      </c>
      <c r="G297" s="27" t="n">
        <v>45961</v>
      </c>
      <c r="H297" s="27" t="n">
        <v>45964</v>
      </c>
      <c r="I297" s="37" t="n"/>
      <c r="J297" s="37" t="inlineStr">
        <is>
          <t>Nộp thành công - Chờ kết quả</t>
        </is>
      </c>
      <c r="K297" s="37" t="inlineStr">
        <is>
          <t>Đã nộp</t>
        </is>
      </c>
      <c r="L297" s="37">
        <f>IF(OR(H297="",J297="Hoàn thành",J297="Đã hủy"),"",IF(H297&lt;TODAY(),"QUÁ HẠN",IF(H297-TODAY()&lt;=THIET_LAP!$B$8,"SẮP HẠN","TRONG HẠN")))</f>
        <v/>
      </c>
      <c r="M297" s="27" t="n"/>
      <c r="N297" s="37" t="inlineStr">
        <is>
          <t>Anh Hảo bạn Anh Dựng</t>
        </is>
      </c>
    </row>
    <row r="298" ht="15.75" customHeight="1" s="56">
      <c r="A298" s="37" t="inlineStr">
        <is>
          <t>BK-TSK-0295</t>
        </is>
      </c>
      <c r="B298" s="37" t="inlineStr">
        <is>
          <t>BK-HS-0295</t>
        </is>
      </c>
      <c r="C298" s="37" t="inlineStr">
        <is>
          <t>Phòng Đo đạc</t>
        </is>
      </c>
      <c r="D298" s="37" t="inlineStr">
        <is>
          <t>Cắm mốc</t>
        </is>
      </c>
      <c r="E298" s="37" t="inlineStr">
        <is>
          <t>Giám đốc</t>
        </is>
      </c>
      <c r="F298" s="37" t="inlineStr">
        <is>
          <t>Nguyễn Minh Thông</t>
        </is>
      </c>
      <c r="G298" s="27" t="n">
        <v>45960</v>
      </c>
      <c r="H298" s="27" t="n">
        <v>45963</v>
      </c>
      <c r="I298" s="37" t="n"/>
      <c r="J298" s="37" t="inlineStr">
        <is>
          <t>Hoàn thành</t>
        </is>
      </c>
      <c r="K298" s="37" t="inlineStr">
        <is>
          <t>Hoàn thành</t>
        </is>
      </c>
      <c r="L298" s="37">
        <f>IF(OR(H298="",J298="Hoàn thành",J298="Đã hủy"),"",IF(H298&lt;TODAY(),"QUÁ HẠN",IF(H298-TODAY()&lt;=THIET_LAP!$B$8,"SẮP HẠN","TRONG HẠN")))</f>
        <v/>
      </c>
      <c r="M298" s="27" t="n">
        <v>45959</v>
      </c>
      <c r="N298" s="37" t="inlineStr">
        <is>
          <t>Dịch vụ Anh Xây Công ty</t>
        </is>
      </c>
    </row>
    <row r="299" ht="15.75" customHeight="1" s="56">
      <c r="A299" s="37" t="inlineStr">
        <is>
          <t>BK-TSK-0296</t>
        </is>
      </c>
      <c r="B299" s="37" t="inlineStr">
        <is>
          <t>BK-HS-0296</t>
        </is>
      </c>
      <c r="C299" s="37" t="inlineStr">
        <is>
          <t>Phòng Đo đạc</t>
        </is>
      </c>
      <c r="D299" s="37" t="inlineStr">
        <is>
          <t>Cấp đổi</t>
        </is>
      </c>
      <c r="E299" s="37" t="inlineStr">
        <is>
          <t>Giám đốc</t>
        </is>
      </c>
      <c r="F299" s="37" t="inlineStr">
        <is>
          <t>Nguyễn Minh Thông</t>
        </is>
      </c>
      <c r="G299" s="27" t="n">
        <v>45960</v>
      </c>
      <c r="H299" s="27" t="n">
        <v>45963</v>
      </c>
      <c r="I299" s="37" t="n"/>
      <c r="J299" s="37" t="inlineStr">
        <is>
          <t>Hoàn thành</t>
        </is>
      </c>
      <c r="K299" s="37" t="inlineStr">
        <is>
          <t>Hoàn thành</t>
        </is>
      </c>
      <c r="L299" s="37">
        <f>IF(OR(H299="",J299="Hoàn thành",J299="Đã hủy"),"",IF(H299&lt;TODAY(),"QUÁ HẠN",IF(H299-TODAY()&lt;=THIET_LAP!$B$8,"SẮP HẠN","TRONG HẠN")))</f>
        <v/>
      </c>
      <c r="M299" s="27" t="n">
        <v>45971</v>
      </c>
      <c r="N299" s="37" t="n"/>
    </row>
    <row r="300" ht="15.75" customHeight="1" s="56">
      <c r="A300" s="37" t="inlineStr">
        <is>
          <t>BK-TSK-0297</t>
        </is>
      </c>
      <c r="B300" s="37" t="inlineStr">
        <is>
          <t>BK-HS-0297</t>
        </is>
      </c>
      <c r="C300" s="37" t="inlineStr">
        <is>
          <t>Phòng Đo đạc</t>
        </is>
      </c>
      <c r="D300" s="37" t="inlineStr">
        <is>
          <t>Cắm mốc</t>
        </is>
      </c>
      <c r="E300" s="37" t="inlineStr">
        <is>
          <t>Giám đốc</t>
        </is>
      </c>
      <c r="F300" s="37" t="inlineStr">
        <is>
          <t>Nguyễn Minh Thông</t>
        </is>
      </c>
      <c r="G300" s="27" t="n">
        <v>45960</v>
      </c>
      <c r="H300" s="27" t="n">
        <v>45963</v>
      </c>
      <c r="I300" s="37" t="n"/>
      <c r="J300" s="37" t="inlineStr">
        <is>
          <t>Hoàn thành</t>
        </is>
      </c>
      <c r="K300" s="37" t="inlineStr">
        <is>
          <t>Hoàn thành</t>
        </is>
      </c>
      <c r="L300" s="37">
        <f>IF(OR(H300="",J300="Hoàn thành",J300="Đã hủy"),"",IF(H300&lt;TODAY(),"QUÁ HẠN",IF(H300-TODAY()&lt;=THIET_LAP!$B$8,"SẮP HẠN","TRONG HẠN")))</f>
        <v/>
      </c>
      <c r="M300" s="27" t="n">
        <v>45958</v>
      </c>
      <c r="N300" s="37" t="n"/>
    </row>
    <row r="301" ht="15.75" customHeight="1" s="56">
      <c r="A301" s="37" t="inlineStr">
        <is>
          <t>BK-TSK-0298</t>
        </is>
      </c>
      <c r="B301" s="37" t="inlineStr">
        <is>
          <t>BK-HS-0298</t>
        </is>
      </c>
      <c r="C301" s="37" t="inlineStr">
        <is>
          <t>Phòng Đo đạc</t>
        </is>
      </c>
      <c r="D301" s="37" t="inlineStr">
        <is>
          <t>Cắm mốc</t>
        </is>
      </c>
      <c r="E301" s="37" t="inlineStr">
        <is>
          <t>Giám đốc</t>
        </is>
      </c>
      <c r="F301" s="37" t="inlineStr">
        <is>
          <t>Tạ Khắc Tập</t>
        </is>
      </c>
      <c r="G301" s="27" t="n">
        <v>45958</v>
      </c>
      <c r="H301" s="27" t="n">
        <v>45961</v>
      </c>
      <c r="I301" s="37" t="n"/>
      <c r="J301" s="37" t="inlineStr">
        <is>
          <t>Hoàn thành</t>
        </is>
      </c>
      <c r="K301" s="37" t="inlineStr">
        <is>
          <t>Hoàn thành</t>
        </is>
      </c>
      <c r="L301" s="37">
        <f>IF(OR(H301="",J301="Hoàn thành",J301="Đã hủy"),"",IF(H301&lt;TODAY(),"QUÁ HẠN",IF(H301-TODAY()&lt;=THIET_LAP!$B$8,"SẮP HẠN","TRONG HẠN")))</f>
        <v/>
      </c>
      <c r="M301" s="27" t="n">
        <v>45958</v>
      </c>
      <c r="N301" s="37" t="inlineStr">
        <is>
          <t>(cắm 3 lô shđ 384, 385, 386)</t>
        </is>
      </c>
    </row>
    <row r="302" ht="15.75" customHeight="1" s="56">
      <c r="A302" s="37" t="inlineStr">
        <is>
          <t>BK-TSK-0299</t>
        </is>
      </c>
      <c r="B302" s="37" t="inlineStr">
        <is>
          <t>BK-HS-0299</t>
        </is>
      </c>
      <c r="C302" s="37" t="inlineStr">
        <is>
          <t>Phòng Đo đạc</t>
        </is>
      </c>
      <c r="D302" s="37" t="inlineStr">
        <is>
          <t>Xác định diện tích</t>
        </is>
      </c>
      <c r="E302" s="37" t="inlineStr">
        <is>
          <t>Giám đốc</t>
        </is>
      </c>
      <c r="F302" s="37" t="inlineStr">
        <is>
          <t>Tạ Khắc Tập</t>
        </is>
      </c>
      <c r="G302" s="27" t="n">
        <v>45957</v>
      </c>
      <c r="H302" s="27" t="n">
        <v>45960</v>
      </c>
      <c r="I302" s="37" t="n"/>
      <c r="J302" s="37" t="inlineStr">
        <is>
          <t>Hoàn thành</t>
        </is>
      </c>
      <c r="K302" s="37" t="inlineStr">
        <is>
          <t>Hoàn thành</t>
        </is>
      </c>
      <c r="L302" s="37">
        <f>IF(OR(H302="",J302="Hoàn thành",J302="Đã hủy"),"",IF(H302&lt;TODAY(),"QUÁ HẠN",IF(H302-TODAY()&lt;=THIET_LAP!$B$8,"SẮP HẠN","TRONG HẠN")))</f>
        <v/>
      </c>
      <c r="M302" s="27" t="n">
        <v>45957</v>
      </c>
      <c r="N302" s="37" t="inlineStr">
        <is>
          <t>Phát cỏ</t>
        </is>
      </c>
    </row>
    <row r="303" ht="15.75" customHeight="1" s="56">
      <c r="A303" s="37" t="inlineStr">
        <is>
          <t>BK-TSK-0300</t>
        </is>
      </c>
      <c r="B303" s="37" t="inlineStr">
        <is>
          <t>BK-HS-0300</t>
        </is>
      </c>
      <c r="C303" s="37" t="inlineStr">
        <is>
          <t>Phòng Đo đạc</t>
        </is>
      </c>
      <c r="D303" s="37" t="inlineStr">
        <is>
          <t>Cắm mốc</t>
        </is>
      </c>
      <c r="E303" s="37" t="inlineStr">
        <is>
          <t>Giám đốc</t>
        </is>
      </c>
      <c r="F303" s="37" t="inlineStr">
        <is>
          <t>Tạ Khắc Tập</t>
        </is>
      </c>
      <c r="G303" s="27" t="n">
        <v>45957</v>
      </c>
      <c r="H303" s="27" t="n">
        <v>45960</v>
      </c>
      <c r="I303" s="37" t="n"/>
      <c r="J303" s="37" t="inlineStr">
        <is>
          <t>Hoàn thành</t>
        </is>
      </c>
      <c r="K303" s="37" t="inlineStr">
        <is>
          <t>Hoàn thành</t>
        </is>
      </c>
      <c r="L303" s="37">
        <f>IF(OR(H303="",J303="Hoàn thành",J303="Đã hủy"),"",IF(H303&lt;TODAY(),"QUÁ HẠN",IF(H303-TODAY()&lt;=THIET_LAP!$B$8,"SẮP HẠN","TRONG HẠN")))</f>
        <v/>
      </c>
      <c r="M303" s="27" t="n">
        <v>45957</v>
      </c>
      <c r="N303" s="37" t="n"/>
    </row>
    <row r="304" ht="15.75" customHeight="1" s="56">
      <c r="A304" s="37" t="inlineStr">
        <is>
          <t>BK-TSK-0301</t>
        </is>
      </c>
      <c r="B304" s="37" t="inlineStr">
        <is>
          <t>BK-HS-0301</t>
        </is>
      </c>
      <c r="C304" s="37" t="inlineStr">
        <is>
          <t>Phòng Đo đạc</t>
        </is>
      </c>
      <c r="D304" s="37" t="inlineStr">
        <is>
          <t>Hoàn công</t>
        </is>
      </c>
      <c r="E304" s="37" t="inlineStr">
        <is>
          <t>Giám đốc</t>
        </is>
      </c>
      <c r="F304" s="37" t="inlineStr">
        <is>
          <t>Trương Tấn Quốc</t>
        </is>
      </c>
      <c r="G304" s="27" t="n">
        <v>45957</v>
      </c>
      <c r="H304" s="27" t="n">
        <v>45960</v>
      </c>
      <c r="I304" s="37" t="n"/>
      <c r="J304" s="37" t="inlineStr">
        <is>
          <t>Hủy</t>
        </is>
      </c>
      <c r="K304" s="37" t="inlineStr">
        <is>
          <t>ĐÃ HỦY</t>
        </is>
      </c>
      <c r="L304" s="37">
        <f>IF(OR(H304="",J304="Hoàn thành",J304="Đã hủy"),"",IF(H304&lt;TODAY(),"QUÁ HẠN",IF(H304-TODAY()&lt;=THIET_LAP!$B$8,"SẮP HẠN","TRONG HẠN")))</f>
        <v/>
      </c>
      <c r="M304" s="27" t="n"/>
      <c r="N304" s="37" t="inlineStr">
        <is>
          <t>nhà sai hiện trạng, đợi phương án | Sai hiện trạng</t>
        </is>
      </c>
    </row>
    <row r="305" ht="15.75" customHeight="1" s="56">
      <c r="A305" s="37" t="inlineStr">
        <is>
          <t>BK-TSK-0302</t>
        </is>
      </c>
      <c r="B305" s="37" t="inlineStr">
        <is>
          <t>BK-HS-0302</t>
        </is>
      </c>
      <c r="C305" s="37" t="inlineStr">
        <is>
          <t>Phòng Đo đạc</t>
        </is>
      </c>
      <c r="D305" s="37" t="inlineStr">
        <is>
          <t>Cắm mốc</t>
        </is>
      </c>
      <c r="E305" s="37" t="inlineStr">
        <is>
          <t>Giám đốc</t>
        </is>
      </c>
      <c r="F305" s="37" t="inlineStr">
        <is>
          <t>Lê Văn Dựng</t>
        </is>
      </c>
      <c r="G305" s="27" t="n">
        <v>45957</v>
      </c>
      <c r="H305" s="27" t="n">
        <v>45960</v>
      </c>
      <c r="I305" s="37" t="n"/>
      <c r="J305" s="37" t="inlineStr">
        <is>
          <t>Hoàn thành</t>
        </is>
      </c>
      <c r="K305" s="37" t="inlineStr">
        <is>
          <t>Hoàn thành</t>
        </is>
      </c>
      <c r="L305" s="37">
        <f>IF(OR(H305="",J305="Hoàn thành",J305="Đã hủy"),"",IF(H305&lt;TODAY(),"QUÁ HẠN",IF(H305-TODAY()&lt;=THIET_LAP!$B$8,"SẮP HẠN","TRONG HẠN")))</f>
        <v/>
      </c>
      <c r="M305" s="27" t="n">
        <v>45957</v>
      </c>
      <c r="N305" s="37" t="n"/>
    </row>
    <row r="306" ht="15.75" customHeight="1" s="56">
      <c r="A306" s="37" t="inlineStr">
        <is>
          <t>BK-TSK-0303</t>
        </is>
      </c>
      <c r="B306" s="37" t="inlineStr">
        <is>
          <t>BK-HS-0303</t>
        </is>
      </c>
      <c r="C306" s="37" t="inlineStr">
        <is>
          <t>Phòng Đo đạc</t>
        </is>
      </c>
      <c r="D306" s="37" t="inlineStr">
        <is>
          <t>Cắm mốc</t>
        </is>
      </c>
      <c r="E306" s="37" t="inlineStr">
        <is>
          <t>Giám đốc</t>
        </is>
      </c>
      <c r="F306" s="37" t="inlineStr">
        <is>
          <t>Lê Văn Dựng</t>
        </is>
      </c>
      <c r="G306" s="27" t="n">
        <v>45957</v>
      </c>
      <c r="H306" s="27" t="n">
        <v>45960</v>
      </c>
      <c r="I306" s="37" t="n"/>
      <c r="J306" s="37" t="inlineStr">
        <is>
          <t>Hoàn thành</t>
        </is>
      </c>
      <c r="K306" s="37" t="inlineStr">
        <is>
          <t>Hoàn thành</t>
        </is>
      </c>
      <c r="L306" s="37">
        <f>IF(OR(H306="",J306="Hoàn thành",J306="Đã hủy"),"",IF(H306&lt;TODAY(),"QUÁ HẠN",IF(H306-TODAY()&lt;=THIET_LAP!$B$8,"SẮP HẠN","TRONG HẠN")))</f>
        <v/>
      </c>
      <c r="M306" s="27" t="n">
        <v>45957</v>
      </c>
      <c r="N306" s="37" t="n"/>
    </row>
    <row r="307" ht="15.75" customHeight="1" s="56">
      <c r="A307" s="37" t="inlineStr">
        <is>
          <t>BK-TSK-0304</t>
        </is>
      </c>
      <c r="B307" s="37" t="inlineStr">
        <is>
          <t>BK-HS-0304</t>
        </is>
      </c>
      <c r="C307" s="37" t="inlineStr">
        <is>
          <t>Phòng Đo đạc</t>
        </is>
      </c>
      <c r="D307" s="37" t="inlineStr">
        <is>
          <t>Cấp đổi</t>
        </is>
      </c>
      <c r="E307" s="37" t="inlineStr">
        <is>
          <t>Giám đốc</t>
        </is>
      </c>
      <c r="F307" s="37" t="inlineStr">
        <is>
          <t>Nguyễn Minh Thông</t>
        </is>
      </c>
      <c r="G307" s="27" t="n">
        <v>45955</v>
      </c>
      <c r="H307" s="27" t="n">
        <v>45958</v>
      </c>
      <c r="I307" s="37" t="n"/>
      <c r="J307" s="37" t="inlineStr">
        <is>
          <t>Hoàn thành</t>
        </is>
      </c>
      <c r="K307" s="37" t="inlineStr">
        <is>
          <t>Hoàn thành</t>
        </is>
      </c>
      <c r="L307" s="37">
        <f>IF(OR(H307="",J307="Hoàn thành",J307="Đã hủy"),"",IF(H307&lt;TODAY(),"QUÁ HẠN",IF(H307-TODAY()&lt;=THIET_LAP!$B$8,"SẮP HẠN","TRONG HẠN")))</f>
        <v/>
      </c>
      <c r="M307" s="27" t="n">
        <v>45968</v>
      </c>
      <c r="N307" s="37" t="inlineStr">
        <is>
          <t>Hồ sơ anh Dựng đo</t>
        </is>
      </c>
    </row>
    <row r="308" ht="15.75" customHeight="1" s="56">
      <c r="A308" s="37" t="inlineStr">
        <is>
          <t>BK-TSK-0305</t>
        </is>
      </c>
      <c r="B308" s="37" t="inlineStr">
        <is>
          <t>BK-HS-0305</t>
        </is>
      </c>
      <c r="C308" s="37" t="inlineStr">
        <is>
          <t>Phòng Đo đạc</t>
        </is>
      </c>
      <c r="D308" s="37" t="inlineStr">
        <is>
          <t>Cắm mốc</t>
        </is>
      </c>
      <c r="E308" s="37" t="inlineStr">
        <is>
          <t>Giám đốc</t>
        </is>
      </c>
      <c r="F308" s="37" t="inlineStr">
        <is>
          <t>Lê Văn Dựng</t>
        </is>
      </c>
      <c r="G308" s="27" t="n">
        <v>45954</v>
      </c>
      <c r="H308" s="27" t="n">
        <v>45957</v>
      </c>
      <c r="I308" s="37" t="n"/>
      <c r="J308" s="37" t="inlineStr">
        <is>
          <t>Hoàn thành</t>
        </is>
      </c>
      <c r="K308" s="37" t="inlineStr">
        <is>
          <t>Hoàn thành</t>
        </is>
      </c>
      <c r="L308" s="37">
        <f>IF(OR(H308="",J308="Hoàn thành",J308="Đã hủy"),"",IF(H308&lt;TODAY(),"QUÁ HẠN",IF(H308-TODAY()&lt;=THIET_LAP!$B$8,"SẮP HẠN","TRONG HẠN")))</f>
        <v/>
      </c>
      <c r="M308" s="27" t="n">
        <v>45955</v>
      </c>
      <c r="N308" s="37" t="n"/>
    </row>
    <row r="309" ht="15.75" customHeight="1" s="56">
      <c r="A309" s="37" t="inlineStr">
        <is>
          <t>BK-TSK-0306</t>
        </is>
      </c>
      <c r="B309" s="37" t="inlineStr">
        <is>
          <t>BK-HS-0306</t>
        </is>
      </c>
      <c r="C309" s="37" t="inlineStr">
        <is>
          <t>Phòng Đo đạc</t>
        </is>
      </c>
      <c r="D309" s="37" t="inlineStr">
        <is>
          <t>Cắm mốc</t>
        </is>
      </c>
      <c r="E309" s="37" t="inlineStr">
        <is>
          <t>Giám đốc</t>
        </is>
      </c>
      <c r="F309" s="37" t="inlineStr">
        <is>
          <t>Lê Văn Dựng</t>
        </is>
      </c>
      <c r="G309" s="27" t="n">
        <v>45954</v>
      </c>
      <c r="H309" s="27" t="n">
        <v>45957</v>
      </c>
      <c r="I309" s="37" t="n"/>
      <c r="J309" s="37" t="inlineStr">
        <is>
          <t>Hoàn thành</t>
        </is>
      </c>
      <c r="K309" s="37" t="inlineStr">
        <is>
          <t>Hoàn thành</t>
        </is>
      </c>
      <c r="L309" s="37">
        <f>IF(OR(H309="",J309="Hoàn thành",J309="Đã hủy"),"",IF(H309&lt;TODAY(),"QUÁ HẠN",IF(H309-TODAY()&lt;=THIET_LAP!$B$8,"SẮP HẠN","TRONG HẠN")))</f>
        <v/>
      </c>
      <c r="M309" s="27" t="n">
        <v>45955</v>
      </c>
      <c r="N309" s="37" t="n"/>
    </row>
    <row r="310" ht="15.75" customHeight="1" s="56">
      <c r="A310" s="37" t="inlineStr">
        <is>
          <t>BK-TSK-0307</t>
        </is>
      </c>
      <c r="B310" s="37" t="inlineStr">
        <is>
          <t>BK-HS-0307</t>
        </is>
      </c>
      <c r="C310" s="37" t="inlineStr">
        <is>
          <t>Phòng Đo đạc</t>
        </is>
      </c>
      <c r="D310" s="37" t="inlineStr">
        <is>
          <t>Cắm mốc</t>
        </is>
      </c>
      <c r="E310" s="37" t="inlineStr">
        <is>
          <t>Giám đốc</t>
        </is>
      </c>
      <c r="F310" s="37" t="inlineStr">
        <is>
          <t>Lê Văn Dựng</t>
        </is>
      </c>
      <c r="G310" s="27" t="n">
        <v>45954</v>
      </c>
      <c r="H310" s="27" t="n">
        <v>45957</v>
      </c>
      <c r="I310" s="37" t="n"/>
      <c r="J310" s="37" t="inlineStr">
        <is>
          <t>Hoàn thành</t>
        </is>
      </c>
      <c r="K310" s="37" t="inlineStr">
        <is>
          <t>Hoàn thành</t>
        </is>
      </c>
      <c r="L310" s="37">
        <f>IF(OR(H310="",J310="Hoàn thành",J310="Đã hủy"),"",IF(H310&lt;TODAY(),"QUÁ HẠN",IF(H310-TODAY()&lt;=THIET_LAP!$B$8,"SẮP HẠN","TRONG HẠN")))</f>
        <v/>
      </c>
      <c r="M310" s="27" t="n">
        <v>45955</v>
      </c>
      <c r="N310" s="37" t="n"/>
    </row>
    <row r="311" ht="15.75" customHeight="1" s="56">
      <c r="A311" s="37" t="inlineStr">
        <is>
          <t>BK-TSK-0308</t>
        </is>
      </c>
      <c r="B311" s="37" t="inlineStr">
        <is>
          <t>BK-HS-0308</t>
        </is>
      </c>
      <c r="C311" s="37" t="inlineStr">
        <is>
          <t>Phòng Đo đạc</t>
        </is>
      </c>
      <c r="D311" s="37" t="inlineStr">
        <is>
          <t>Đo GPS</t>
        </is>
      </c>
      <c r="E311" s="37" t="inlineStr">
        <is>
          <t>Giám đốc</t>
        </is>
      </c>
      <c r="F311" s="37" t="inlineStr">
        <is>
          <t>Lê Văn Dựng</t>
        </is>
      </c>
      <c r="G311" s="27" t="n">
        <v>45954</v>
      </c>
      <c r="H311" s="27" t="n">
        <v>45957</v>
      </c>
      <c r="I311" s="37" t="n"/>
      <c r="J311" s="37" t="inlineStr">
        <is>
          <t>Hoàn thành</t>
        </is>
      </c>
      <c r="K311" s="37" t="inlineStr">
        <is>
          <t>Hoàn thành</t>
        </is>
      </c>
      <c r="L311" s="37">
        <f>IF(OR(H311="",J311="Hoàn thành",J311="Đã hủy"),"",IF(H311&lt;TODAY(),"QUÁ HẠN",IF(H311-TODAY()&lt;=THIET_LAP!$B$8,"SẮP HẠN","TRONG HẠN")))</f>
        <v/>
      </c>
      <c r="M311" s="27" t="n">
        <v>45955</v>
      </c>
      <c r="N311" s="37" t="n"/>
    </row>
    <row r="312" ht="15.75" customHeight="1" s="56">
      <c r="A312" s="37" t="inlineStr">
        <is>
          <t>BK-TSK-0309</t>
        </is>
      </c>
      <c r="B312" s="37" t="inlineStr">
        <is>
          <t>BK-HS-0309</t>
        </is>
      </c>
      <c r="C312" s="37" t="inlineStr">
        <is>
          <t>Phòng Đo đạc</t>
        </is>
      </c>
      <c r="D312" s="37" t="inlineStr">
        <is>
          <t>Cắm mốc</t>
        </is>
      </c>
      <c r="E312" s="37" t="inlineStr">
        <is>
          <t>Giám đốc</t>
        </is>
      </c>
      <c r="F312" s="37" t="inlineStr">
        <is>
          <t>Lê Văn Dựng</t>
        </is>
      </c>
      <c r="G312" s="27" t="n">
        <v>45954</v>
      </c>
      <c r="H312" s="27" t="n">
        <v>45957</v>
      </c>
      <c r="I312" s="37" t="n"/>
      <c r="J312" s="37" t="inlineStr">
        <is>
          <t>Hoàn thành</t>
        </is>
      </c>
      <c r="K312" s="37" t="inlineStr">
        <is>
          <t>Hoàn thành</t>
        </is>
      </c>
      <c r="L312" s="37">
        <f>IF(OR(H312="",J312="Hoàn thành",J312="Đã hủy"),"",IF(H312&lt;TODAY(),"QUÁ HẠN",IF(H312-TODAY()&lt;=THIET_LAP!$B$8,"SẮP HẠN","TRONG HẠN")))</f>
        <v/>
      </c>
      <c r="M312" s="27" t="n">
        <v>45955</v>
      </c>
      <c r="N312" s="37" t="n"/>
    </row>
    <row r="313" ht="15.75" customHeight="1" s="56">
      <c r="A313" s="37" t="inlineStr">
        <is>
          <t>BK-TSK-0310</t>
        </is>
      </c>
      <c r="B313" s="37" t="inlineStr">
        <is>
          <t>BK-HS-0310</t>
        </is>
      </c>
      <c r="C313" s="37" t="inlineStr">
        <is>
          <t>Phòng Đo đạc</t>
        </is>
      </c>
      <c r="D313" s="37" t="inlineStr">
        <is>
          <t>Cấp đổi</t>
        </is>
      </c>
      <c r="E313" s="37" t="inlineStr">
        <is>
          <t>Giám đốc</t>
        </is>
      </c>
      <c r="F313" s="37" t="inlineStr">
        <is>
          <t>Lê Văn Dựng</t>
        </is>
      </c>
      <c r="G313" s="27" t="n">
        <v>45954</v>
      </c>
      <c r="H313" s="27" t="n">
        <v>45957</v>
      </c>
      <c r="I313" s="37" t="n"/>
      <c r="J313" s="37" t="inlineStr">
        <is>
          <t>Hoàn thành</t>
        </is>
      </c>
      <c r="K313" s="37" t="inlineStr">
        <is>
          <t>Hoàn thành</t>
        </is>
      </c>
      <c r="L313" s="37">
        <f>IF(OR(H313="",J313="Hoàn thành",J313="Đã hủy"),"",IF(H313&lt;TODAY(),"QUÁ HẠN",IF(H313-TODAY()&lt;=THIET_LAP!$B$8,"SẮP HẠN","TRONG HẠN")))</f>
        <v/>
      </c>
      <c r="M313" s="27" t="n">
        <v>45975</v>
      </c>
      <c r="N313" s="37" t="n"/>
    </row>
    <row r="314" ht="15.75" customHeight="1" s="56">
      <c r="A314" s="37" t="inlineStr">
        <is>
          <t>BK-TSK-0311</t>
        </is>
      </c>
      <c r="B314" s="37" t="inlineStr">
        <is>
          <t>BK-HS-0311</t>
        </is>
      </c>
      <c r="C314" s="37" t="inlineStr">
        <is>
          <t>Phòng Đo đạc</t>
        </is>
      </c>
      <c r="D314" s="37" t="inlineStr">
        <is>
          <t>Đo GPS</t>
        </is>
      </c>
      <c r="E314" s="37" t="inlineStr">
        <is>
          <t>Giám đốc</t>
        </is>
      </c>
      <c r="F314" s="37" t="inlineStr">
        <is>
          <t>Lê Văn Dựng</t>
        </is>
      </c>
      <c r="G314" s="27" t="n">
        <v>45954</v>
      </c>
      <c r="H314" s="27" t="n">
        <v>45957</v>
      </c>
      <c r="I314" s="37" t="n"/>
      <c r="J314" s="37" t="inlineStr">
        <is>
          <t>Hoàn thành</t>
        </is>
      </c>
      <c r="K314" s="37" t="inlineStr">
        <is>
          <t>Hoàn thành</t>
        </is>
      </c>
      <c r="L314" s="37">
        <f>IF(OR(H314="",J314="Hoàn thành",J314="Đã hủy"),"",IF(H314&lt;TODAY(),"QUÁ HẠN",IF(H314-TODAY()&lt;=THIET_LAP!$B$8,"SẮP HẠN","TRONG HẠN")))</f>
        <v/>
      </c>
      <c r="M314" s="27" t="n">
        <v>45955</v>
      </c>
      <c r="N314" s="37" t="n"/>
    </row>
    <row r="315" ht="15.75" customHeight="1" s="56">
      <c r="A315" s="37" t="inlineStr">
        <is>
          <t>BK-TSK-0312</t>
        </is>
      </c>
      <c r="B315" s="37" t="inlineStr">
        <is>
          <t>BK-HS-0312</t>
        </is>
      </c>
      <c r="C315" s="37" t="inlineStr">
        <is>
          <t>Phòng Đo đạc</t>
        </is>
      </c>
      <c r="D315" s="37" t="inlineStr">
        <is>
          <t>Cắm mốc</t>
        </is>
      </c>
      <c r="E315" s="37" t="inlineStr">
        <is>
          <t>Giám đốc</t>
        </is>
      </c>
      <c r="F315" s="37" t="inlineStr">
        <is>
          <t>Lê Văn Dựng</t>
        </is>
      </c>
      <c r="G315" s="27" t="n">
        <v>45954</v>
      </c>
      <c r="H315" s="27" t="n">
        <v>45957</v>
      </c>
      <c r="I315" s="37" t="n"/>
      <c r="J315" s="37" t="inlineStr">
        <is>
          <t>Hoàn thành</t>
        </is>
      </c>
      <c r="K315" s="37" t="inlineStr">
        <is>
          <t>Hoàn thành</t>
        </is>
      </c>
      <c r="L315" s="37">
        <f>IF(OR(H315="",J315="Hoàn thành",J315="Đã hủy"),"",IF(H315&lt;TODAY(),"QUÁ HẠN",IF(H315-TODAY()&lt;=THIET_LAP!$B$8,"SẮP HẠN","TRONG HẠN")))</f>
        <v/>
      </c>
      <c r="M315" s="27" t="n">
        <v>45955</v>
      </c>
      <c r="N315" s="37" t="n"/>
    </row>
    <row r="316" ht="15.75" customHeight="1" s="56">
      <c r="A316" s="37" t="inlineStr">
        <is>
          <t>BK-TSK-0313</t>
        </is>
      </c>
      <c r="B316" s="37" t="inlineStr">
        <is>
          <t>BK-HS-0313</t>
        </is>
      </c>
      <c r="C316" s="37" t="inlineStr">
        <is>
          <t>Phòng Đo đạc</t>
        </is>
      </c>
      <c r="D316" s="37" t="inlineStr">
        <is>
          <t>Cấp đổi</t>
        </is>
      </c>
      <c r="E316" s="37" t="inlineStr">
        <is>
          <t>Giám đốc</t>
        </is>
      </c>
      <c r="F316" s="37" t="inlineStr">
        <is>
          <t>Lê Văn Dựng</t>
        </is>
      </c>
      <c r="G316" s="27" t="n">
        <v>45954</v>
      </c>
      <c r="H316" s="27" t="n">
        <v>45957</v>
      </c>
      <c r="I316" s="37" t="n"/>
      <c r="J316" s="37" t="inlineStr">
        <is>
          <t>Nộp thành công - Chờ kết quả</t>
        </is>
      </c>
      <c r="K316" s="37" t="inlineStr">
        <is>
          <t>Đã nộp</t>
        </is>
      </c>
      <c r="L316" s="37">
        <f>IF(OR(H316="",J316="Hoàn thành",J316="Đã hủy"),"",IF(H316&lt;TODAY(),"QUÁ HẠN",IF(H316-TODAY()&lt;=THIET_LAP!$B$8,"SẮP HẠN","TRONG HẠN")))</f>
        <v/>
      </c>
      <c r="M316" s="27" t="n"/>
      <c r="N316" s="37" t="n"/>
    </row>
    <row r="317" ht="15.75" customHeight="1" s="56">
      <c r="A317" s="37" t="inlineStr">
        <is>
          <t>BK-TSK-0314</t>
        </is>
      </c>
      <c r="B317" s="37" t="inlineStr">
        <is>
          <t>BK-HS-0314</t>
        </is>
      </c>
      <c r="C317" s="37" t="inlineStr">
        <is>
          <t>Phòng Đo đạc</t>
        </is>
      </c>
      <c r="D317" s="37" t="inlineStr">
        <is>
          <t>Cấp đổi</t>
        </is>
      </c>
      <c r="E317" s="37" t="inlineStr">
        <is>
          <t>Giám đốc</t>
        </is>
      </c>
      <c r="F317" s="37" t="inlineStr">
        <is>
          <t>Trương Tấn Quốc</t>
        </is>
      </c>
      <c r="G317" s="27" t="n">
        <v>45954</v>
      </c>
      <c r="H317" s="27" t="n">
        <v>45957</v>
      </c>
      <c r="I317" s="37" t="n"/>
      <c r="J317" s="37" t="inlineStr">
        <is>
          <t>Hoàn thành</t>
        </is>
      </c>
      <c r="K317" s="37" t="inlineStr">
        <is>
          <t>Hoàn thành</t>
        </is>
      </c>
      <c r="L317" s="37">
        <f>IF(OR(H317="",J317="Hoàn thành",J317="Đã hủy"),"",IF(H317&lt;TODAY(),"QUÁ HẠN",IF(H317-TODAY()&lt;=THIET_LAP!$B$8,"SẮP HẠN","TRONG HẠN")))</f>
        <v/>
      </c>
      <c r="M317" s="27" t="n">
        <v>45978</v>
      </c>
      <c r="N317" s="37" t="n"/>
    </row>
    <row r="318" ht="15.75" customHeight="1" s="56">
      <c r="A318" s="37" t="inlineStr">
        <is>
          <t>BK-TSK-0315</t>
        </is>
      </c>
      <c r="B318" s="37" t="inlineStr">
        <is>
          <t>BK-HS-0315</t>
        </is>
      </c>
      <c r="C318" s="37" t="inlineStr">
        <is>
          <t>Phòng Đo đạc</t>
        </is>
      </c>
      <c r="D318" s="37" t="inlineStr">
        <is>
          <t>Tách Thửa</t>
        </is>
      </c>
      <c r="E318" s="37" t="inlineStr">
        <is>
          <t>Giám đốc</t>
        </is>
      </c>
      <c r="F318" s="37" t="inlineStr">
        <is>
          <t>Trương Tấn Quốc</t>
        </is>
      </c>
      <c r="G318" s="27" t="n">
        <v>45953</v>
      </c>
      <c r="H318" s="27" t="n">
        <v>45956</v>
      </c>
      <c r="I318" s="37" t="n"/>
      <c r="J318" s="37" t="inlineStr">
        <is>
          <t>Hoàn thành</t>
        </is>
      </c>
      <c r="K318" s="37" t="inlineStr">
        <is>
          <t>Hoàn thành</t>
        </is>
      </c>
      <c r="L318" s="37">
        <f>IF(OR(H318="",J318="Hoàn thành",J318="Đã hủy"),"",IF(H318&lt;TODAY(),"QUÁ HẠN",IF(H318-TODAY()&lt;=THIET_LAP!$B$8,"SẮP HẠN","TRONG HẠN")))</f>
        <v/>
      </c>
      <c r="M318" s="27" t="n">
        <v>45968</v>
      </c>
      <c r="N318" s="37" t="n"/>
    </row>
    <row r="319" ht="15.75" customHeight="1" s="56">
      <c r="A319" s="37" t="inlineStr">
        <is>
          <t>BK-TSK-0316</t>
        </is>
      </c>
      <c r="B319" s="37" t="inlineStr">
        <is>
          <t>BK-HS-0316</t>
        </is>
      </c>
      <c r="C319" s="37" t="inlineStr">
        <is>
          <t>Phòng Đo đạc</t>
        </is>
      </c>
      <c r="D319" s="37" t="inlineStr">
        <is>
          <t>Tách Thửa</t>
        </is>
      </c>
      <c r="E319" s="37" t="inlineStr">
        <is>
          <t>Giám đốc</t>
        </is>
      </c>
      <c r="F319" s="37" t="inlineStr">
        <is>
          <t>Trương Tấn Quốc</t>
        </is>
      </c>
      <c r="G319" s="27" t="n">
        <v>45953</v>
      </c>
      <c r="H319" s="27" t="n">
        <v>45956</v>
      </c>
      <c r="I319" s="37" t="n"/>
      <c r="J319" s="37" t="inlineStr">
        <is>
          <t>Hoàn thành</t>
        </is>
      </c>
      <c r="K319" s="37" t="inlineStr">
        <is>
          <t>Hoàn thành</t>
        </is>
      </c>
      <c r="L319" s="37">
        <f>IF(OR(H319="",J319="Hoàn thành",J319="Đã hủy"),"",IF(H319&lt;TODAY(),"QUÁ HẠN",IF(H319-TODAY()&lt;=THIET_LAP!$B$8,"SẮP HẠN","TRONG HẠN")))</f>
        <v/>
      </c>
      <c r="M319" s="27" t="n">
        <v>45968</v>
      </c>
      <c r="N319" s="37" t="n"/>
    </row>
    <row r="320" ht="15.75" customHeight="1" s="56">
      <c r="A320" s="37" t="inlineStr">
        <is>
          <t>BK-TSK-0317</t>
        </is>
      </c>
      <c r="B320" s="37" t="inlineStr">
        <is>
          <t>BK-HS-0317</t>
        </is>
      </c>
      <c r="C320" s="37" t="inlineStr">
        <is>
          <t>Phòng Đo đạc</t>
        </is>
      </c>
      <c r="D320" s="37" t="inlineStr">
        <is>
          <t>Hoàn công</t>
        </is>
      </c>
      <c r="E320" s="37" t="inlineStr">
        <is>
          <t>Giám đốc</t>
        </is>
      </c>
      <c r="F320" s="37" t="inlineStr">
        <is>
          <t>Nguyễn Minh Thông</t>
        </is>
      </c>
      <c r="G320" s="27" t="n">
        <v>45953</v>
      </c>
      <c r="H320" s="27" t="n">
        <v>45956</v>
      </c>
      <c r="I320" s="37" t="n"/>
      <c r="J320" s="37" t="inlineStr">
        <is>
          <t>Hoàn thành</t>
        </is>
      </c>
      <c r="K320" s="37" t="inlineStr">
        <is>
          <t>Hoàn thành</t>
        </is>
      </c>
      <c r="L320" s="37">
        <f>IF(OR(H320="",J320="Hoàn thành",J320="Đã hủy"),"",IF(H320&lt;TODAY(),"QUÁ HẠN",IF(H320-TODAY()&lt;=THIET_LAP!$B$8,"SẮP HẠN","TRONG HẠN")))</f>
        <v/>
      </c>
      <c r="M320" s="27" t="n">
        <v>45965</v>
      </c>
      <c r="N320" s="37" t="n"/>
    </row>
    <row r="321" ht="15.75" customHeight="1" s="56">
      <c r="A321" s="37" t="inlineStr">
        <is>
          <t>BK-TSK-0318</t>
        </is>
      </c>
      <c r="B321" s="37" t="inlineStr">
        <is>
          <t>BK-HS-0318</t>
        </is>
      </c>
      <c r="C321" s="37" t="inlineStr">
        <is>
          <t>Phòng Đo đạc</t>
        </is>
      </c>
      <c r="D321" s="37" t="inlineStr">
        <is>
          <t>Cắm mốc</t>
        </is>
      </c>
      <c r="E321" s="37" t="inlineStr">
        <is>
          <t>Giám đốc</t>
        </is>
      </c>
      <c r="F321" s="37" t="inlineStr">
        <is>
          <t>Nguyễn Minh Thông</t>
        </is>
      </c>
      <c r="G321" s="27" t="n">
        <v>45951</v>
      </c>
      <c r="H321" s="27" t="n">
        <v>45954</v>
      </c>
      <c r="I321" s="37" t="n"/>
      <c r="J321" s="37" t="inlineStr">
        <is>
          <t>Hoàn thành</t>
        </is>
      </c>
      <c r="K321" s="37" t="inlineStr">
        <is>
          <t>Hoàn thành</t>
        </is>
      </c>
      <c r="L321" s="37">
        <f>IF(OR(H321="",J321="Hoàn thành",J321="Đã hủy"),"",IF(H321&lt;TODAY(),"QUÁ HẠN",IF(H321-TODAY()&lt;=THIET_LAP!$B$8,"SẮP HẠN","TRONG HẠN")))</f>
        <v/>
      </c>
      <c r="M321" s="27" t="n">
        <v>45951</v>
      </c>
      <c r="N321" s="37" t="n"/>
    </row>
    <row r="322" ht="15.75" customHeight="1" s="56">
      <c r="A322" s="37" t="inlineStr">
        <is>
          <t>BK-TSK-0319</t>
        </is>
      </c>
      <c r="B322" s="37" t="inlineStr">
        <is>
          <t>BK-HS-0319</t>
        </is>
      </c>
      <c r="C322" s="37" t="inlineStr">
        <is>
          <t>Phòng Đo đạc</t>
        </is>
      </c>
      <c r="D322" s="37" t="inlineStr">
        <is>
          <t>Cấp đổi</t>
        </is>
      </c>
      <c r="E322" s="37" t="inlineStr">
        <is>
          <t>Giám đốc</t>
        </is>
      </c>
      <c r="F322" s="37" t="inlineStr">
        <is>
          <t>Lê Văn Dựng</t>
        </is>
      </c>
      <c r="G322" s="27" t="n">
        <v>45951</v>
      </c>
      <c r="H322" s="27" t="n">
        <v>45954</v>
      </c>
      <c r="I322" s="37" t="n"/>
      <c r="J322" s="37" t="inlineStr">
        <is>
          <t>Hoàn thành</t>
        </is>
      </c>
      <c r="K322" s="37" t="inlineStr">
        <is>
          <t>Hoàn thành</t>
        </is>
      </c>
      <c r="L322" s="37">
        <f>IF(OR(H322="",J322="Hoàn thành",J322="Đã hủy"),"",IF(H322&lt;TODAY(),"QUÁ HẠN",IF(H322-TODAY()&lt;=THIET_LAP!$B$8,"SẮP HẠN","TRONG HẠN")))</f>
        <v/>
      </c>
      <c r="M322" s="27" t="n">
        <v>45971</v>
      </c>
      <c r="N322" s="37" t="n"/>
    </row>
    <row r="323" ht="15.75" customHeight="1" s="56">
      <c r="A323" s="37" t="inlineStr">
        <is>
          <t>BK-TSK-0320</t>
        </is>
      </c>
      <c r="B323" s="37" t="inlineStr">
        <is>
          <t>BK-HS-0320</t>
        </is>
      </c>
      <c r="C323" s="37" t="inlineStr">
        <is>
          <t>Phòng Đo đạc</t>
        </is>
      </c>
      <c r="D323" s="37" t="inlineStr">
        <is>
          <t>Đo GPS</t>
        </is>
      </c>
      <c r="E323" s="37" t="inlineStr">
        <is>
          <t>Giám đốc</t>
        </is>
      </c>
      <c r="F323" s="37" t="inlineStr">
        <is>
          <t>Lê Văn Dựng</t>
        </is>
      </c>
      <c r="G323" s="27" t="n">
        <v>45951</v>
      </c>
      <c r="H323" s="27" t="n">
        <v>45954</v>
      </c>
      <c r="I323" s="37" t="n"/>
      <c r="J323" s="37" t="inlineStr">
        <is>
          <t>Hoàn thành</t>
        </is>
      </c>
      <c r="K323" s="37" t="inlineStr">
        <is>
          <t>Hoàn thành</t>
        </is>
      </c>
      <c r="L323" s="37">
        <f>IF(OR(H323="",J323="Hoàn thành",J323="Đã hủy"),"",IF(H323&lt;TODAY(),"QUÁ HẠN",IF(H323-TODAY()&lt;=THIET_LAP!$B$8,"SẮP HẠN","TRONG HẠN")))</f>
        <v/>
      </c>
      <c r="M323" s="27" t="n">
        <v>45951</v>
      </c>
      <c r="N323" s="37" t="n"/>
    </row>
    <row r="324" ht="15.75" customHeight="1" s="56">
      <c r="A324" s="37" t="inlineStr">
        <is>
          <t>BK-TSK-0321</t>
        </is>
      </c>
      <c r="B324" s="37" t="inlineStr">
        <is>
          <t>BK-HS-0321</t>
        </is>
      </c>
      <c r="C324" s="37" t="inlineStr">
        <is>
          <t>Phòng Đo đạc</t>
        </is>
      </c>
      <c r="D324" s="37" t="inlineStr">
        <is>
          <t>Đo hiện trạng</t>
        </is>
      </c>
      <c r="E324" s="37" t="inlineStr">
        <is>
          <t>Giám đốc</t>
        </is>
      </c>
      <c r="F324" s="37" t="inlineStr">
        <is>
          <t>Võ Thành Minh</t>
        </is>
      </c>
      <c r="G324" s="27" t="inlineStr">
        <is>
          <t>2026-06-23</t>
        </is>
      </c>
      <c r="H324" s="27" t="inlineStr">
        <is>
          <t>2026-07-10</t>
        </is>
      </c>
      <c r="I324" s="37" t="n"/>
      <c r="J324" s="37" t="inlineStr">
        <is>
          <t>Trong hạn</t>
        </is>
      </c>
      <c r="K324" s="37" t="inlineStr">
        <is>
          <t>Chờ triển khai</t>
        </is>
      </c>
      <c r="L324" s="37">
        <f>IF(OR(H324="",J324="Hoàn thành",J324="Đã hủy"),"Không",IF(H324&lt;TODAY(),"Có","Không"))</f>
        <v/>
      </c>
      <c r="M324" s="27" t="n"/>
      <c r="N324" s="37" t="inlineStr"/>
    </row>
    <row r="325" ht="15.75" customHeight="1" s="56">
      <c r="A325" s="37" t="inlineStr">
        <is>
          <t>BK-TSK-0322</t>
        </is>
      </c>
      <c r="B325" s="37" t="inlineStr">
        <is>
          <t>BK-HS-0322</t>
        </is>
      </c>
      <c r="C325" s="37" t="inlineStr">
        <is>
          <t>Phòng Đo đạc</t>
        </is>
      </c>
      <c r="D325" s="37" t="inlineStr">
        <is>
          <t>Đo hiện trạng</t>
        </is>
      </c>
      <c r="E325" s="37" t="inlineStr">
        <is>
          <t>Giám đốc</t>
        </is>
      </c>
      <c r="F325" s="37" t="inlineStr">
        <is>
          <t>Võ Thành Minh</t>
        </is>
      </c>
      <c r="G325" s="27" t="inlineStr">
        <is>
          <t>2026-06-23</t>
        </is>
      </c>
      <c r="H325" s="27" t="inlineStr">
        <is>
          <t>2026-07-10</t>
        </is>
      </c>
      <c r="I325" s="37" t="n"/>
      <c r="J325" s="37" t="inlineStr">
        <is>
          <t>Trong hạn</t>
        </is>
      </c>
      <c r="K325" s="37" t="inlineStr">
        <is>
          <t>Chờ triển khai</t>
        </is>
      </c>
      <c r="L325" s="37">
        <f>IF(OR(H325="",J325="Hoàn thành",J325="Đã hủy"),"Không",IF(H325&lt;TODAY(),"Có","Không"))</f>
        <v/>
      </c>
      <c r="M325" s="27" t="n"/>
      <c r="N325" s="37" t="inlineStr"/>
    </row>
    <row r="326" ht="15.75" customHeight="1" s="56">
      <c r="A326" s="37" t="inlineStr">
        <is>
          <t>BK-TSK-0323</t>
        </is>
      </c>
      <c r="B326" s="37" t="inlineStr">
        <is>
          <t>BK-HS-0323</t>
        </is>
      </c>
      <c r="C326" s="37" t="inlineStr">
        <is>
          <t>Phòng Đo đạc</t>
        </is>
      </c>
      <c r="D326" s="37" t="inlineStr">
        <is>
          <t>Đo hiện trạng</t>
        </is>
      </c>
      <c r="E326" s="37" t="inlineStr">
        <is>
          <t>Giám đốc</t>
        </is>
      </c>
      <c r="F326" s="37" t="inlineStr">
        <is>
          <t>Võ Thành Minh</t>
        </is>
      </c>
      <c r="G326" s="27" t="inlineStr">
        <is>
          <t>2026-06-23</t>
        </is>
      </c>
      <c r="H326" s="27" t="inlineStr">
        <is>
          <t>2026-07-10</t>
        </is>
      </c>
      <c r="I326" s="37" t="n"/>
      <c r="J326" s="37" t="inlineStr">
        <is>
          <t>Trong hạn</t>
        </is>
      </c>
      <c r="K326" s="37" t="inlineStr">
        <is>
          <t>Chờ triển khai</t>
        </is>
      </c>
      <c r="L326" s="37">
        <f>IF(OR(H326="",J326="Hoàn thành",J326="Đã hủy"),"Không",IF(H326&lt;TODAY(),"Có","Không"))</f>
        <v/>
      </c>
      <c r="M326" s="27" t="n"/>
      <c r="N326" s="37" t="inlineStr"/>
    </row>
    <row r="327" ht="15.75" customHeight="1" s="56">
      <c r="A327" s="37" t="inlineStr">
        <is>
          <t>BK-TSK-0324</t>
        </is>
      </c>
      <c r="B327" s="37" t="inlineStr">
        <is>
          <t>BK-HS-0324</t>
        </is>
      </c>
      <c r="C327" s="37" t="inlineStr">
        <is>
          <t>Phòng Đo đạc</t>
        </is>
      </c>
      <c r="D327" s="37" t="inlineStr">
        <is>
          <t>Đo hiện trạng</t>
        </is>
      </c>
      <c r="E327" s="37" t="inlineStr">
        <is>
          <t>Giám đốc</t>
        </is>
      </c>
      <c r="F327" s="37" t="inlineStr">
        <is>
          <t>Vo Thanh Minh</t>
        </is>
      </c>
      <c r="G327" s="27" t="inlineStr">
        <is>
          <t>2026-06-23</t>
        </is>
      </c>
      <c r="H327" s="27" t="inlineStr">
        <is>
          <t>2026-07-10</t>
        </is>
      </c>
      <c r="I327" s="37" t="n"/>
      <c r="J327" s="37" t="inlineStr">
        <is>
          <t>Trong hạn</t>
        </is>
      </c>
      <c r="K327" s="37" t="inlineStr">
        <is>
          <t>Chờ triển khai</t>
        </is>
      </c>
      <c r="L327" s="37">
        <f>IF(OR(H327="",J327="Hoàn thành",J327="Đã hủy"),"Không",IF(H327&lt;TODAY(),"Có","Không"))</f>
        <v/>
      </c>
      <c r="M327" s="27" t="n"/>
      <c r="N327" s="37" t="inlineStr"/>
    </row>
    <row r="328" ht="15.75" customHeight="1" s="56">
      <c r="A328" s="37" t="inlineStr">
        <is>
          <t>BK-TSK-0325</t>
        </is>
      </c>
      <c r="B328" s="37" t="inlineStr">
        <is>
          <t>BK-HS-0325</t>
        </is>
      </c>
      <c r="C328" s="37" t="inlineStr">
        <is>
          <t>Phòng Đo đạc</t>
        </is>
      </c>
      <c r="D328" s="37" t="inlineStr">
        <is>
          <t>Đo hiện trạng</t>
        </is>
      </c>
      <c r="E328" s="37" t="inlineStr">
        <is>
          <t>Giám đốc</t>
        </is>
      </c>
      <c r="F328" s="37" t="inlineStr">
        <is>
          <t>Vo Thanh Minh</t>
        </is>
      </c>
      <c r="G328" s="27" t="inlineStr">
        <is>
          <t>2026-06-23</t>
        </is>
      </c>
      <c r="H328" s="27" t="inlineStr">
        <is>
          <t>2026-07-10</t>
        </is>
      </c>
      <c r="I328" s="37" t="n"/>
      <c r="J328" s="37" t="inlineStr">
        <is>
          <t>Chờ khảo sát</t>
        </is>
      </c>
      <c r="K328" s="37" t="inlineStr">
        <is>
          <t>Chờ triển khai</t>
        </is>
      </c>
      <c r="L328" s="37">
        <f>IF(OR(H328="",J328="Hoàn thành",J328="Đã hủy"),"Không",IF(H328&lt;TODAY(),"Có","Không"))</f>
        <v/>
      </c>
      <c r="M328" s="27" t="n"/>
      <c r="N328" s="37" t="inlineStr"/>
    </row>
    <row r="329" ht="15.75" customHeight="1" s="56">
      <c r="A329" s="37" t="inlineStr">
        <is>
          <t>BK-TSK-0326</t>
        </is>
      </c>
      <c r="B329" s="37" t="inlineStr">
        <is>
          <t>BK-HS-0326</t>
        </is>
      </c>
      <c r="C329" s="37" t="inlineStr">
        <is>
          <t>Phòng Đo đạc</t>
        </is>
      </c>
      <c r="D329" s="37" t="inlineStr">
        <is>
          <t>Đo hiện trạng</t>
        </is>
      </c>
      <c r="E329" s="37" t="inlineStr">
        <is>
          <t>Giám đốc</t>
        </is>
      </c>
      <c r="F329" s="37" t="inlineStr">
        <is>
          <t>Lê Văn Dựng</t>
        </is>
      </c>
      <c r="G329" s="27" t="inlineStr">
        <is>
          <t>2026-06-23</t>
        </is>
      </c>
      <c r="H329" s="27" t="inlineStr">
        <is>
          <t>2026-07-23</t>
        </is>
      </c>
      <c r="I329" s="37" t="n"/>
      <c r="J329" s="37" t="inlineStr">
        <is>
          <t>Trong hạn</t>
        </is>
      </c>
      <c r="K329" s="37" t="inlineStr">
        <is>
          <t>Chờ triển khai</t>
        </is>
      </c>
      <c r="L329" s="37">
        <f>IF(OR(H329="",J329="Hoàn thành",J329="Đã hủy"),"Không",IF(H329&lt;TODAY(),"Có","Không"))</f>
        <v/>
      </c>
      <c r="M329" s="27" t="n"/>
      <c r="N329" s="37" t="inlineStr"/>
    </row>
    <row r="330" ht="15.75" customHeight="1" s="56">
      <c r="A330" s="37" t="n"/>
      <c r="B330" s="37" t="n"/>
      <c r="C330" s="37" t="n"/>
      <c r="D330" s="37" t="n"/>
      <c r="E330" s="37" t="n"/>
      <c r="F330" s="37" t="n"/>
      <c r="G330" s="27" t="n"/>
      <c r="H330" s="27" t="n"/>
      <c r="I330" s="37" t="n"/>
      <c r="J330" s="37" t="n"/>
      <c r="K330" s="37" t="n"/>
      <c r="L330" s="37">
        <f>IF(OR(H330="",J330="Hoàn thành",J330="Đã hủy"),"",IF(H330&lt;TODAY(),"QUÁ HẠN",IF(H330-TODAY()&lt;=THIET_LAP!$B$8,"SẮP HẠN","TRONG HẠN")))</f>
        <v/>
      </c>
      <c r="M330" s="27" t="n"/>
      <c r="N330" s="37" t="n"/>
    </row>
    <row r="331" ht="15.75" customHeight="1" s="56">
      <c r="A331" s="37" t="n"/>
      <c r="B331" s="37" t="n"/>
      <c r="C331" s="37" t="n"/>
      <c r="D331" s="37" t="n"/>
      <c r="E331" s="37" t="n"/>
      <c r="F331" s="37" t="n"/>
      <c r="G331" s="27" t="n"/>
      <c r="H331" s="27" t="n"/>
      <c r="I331" s="37" t="n"/>
      <c r="J331" s="37" t="n"/>
      <c r="K331" s="37" t="n"/>
      <c r="L331" s="37">
        <f>IF(OR(H331="",J331="Hoàn thành",J331="Đã hủy"),"",IF(H331&lt;TODAY(),"QUÁ HẠN",IF(H331-TODAY()&lt;=THIET_LAP!$B$8,"SẮP HẠN","TRONG HẠN")))</f>
        <v/>
      </c>
      <c r="M331" s="27" t="n"/>
      <c r="N331" s="37" t="n"/>
    </row>
    <row r="332" ht="15.75" customHeight="1" s="56">
      <c r="A332" s="37" t="n"/>
      <c r="B332" s="37" t="n"/>
      <c r="C332" s="37" t="n"/>
      <c r="D332" s="37" t="n"/>
      <c r="E332" s="37" t="n"/>
      <c r="F332" s="37" t="n"/>
      <c r="G332" s="27" t="n"/>
      <c r="H332" s="27" t="n"/>
      <c r="I332" s="37" t="n"/>
      <c r="J332" s="37" t="n"/>
      <c r="K332" s="37" t="n"/>
      <c r="L332" s="37">
        <f>IF(OR(H332="",J332="Hoàn thành",J332="Đã hủy"),"",IF(H332&lt;TODAY(),"QUÁ HẠN",IF(H332-TODAY()&lt;=THIET_LAP!$B$8,"SẮP HẠN","TRONG HẠN")))</f>
        <v/>
      </c>
      <c r="M332" s="27" t="n"/>
      <c r="N332" s="37" t="n"/>
    </row>
    <row r="333" ht="15.75" customHeight="1" s="56">
      <c r="A333" s="37" t="n"/>
      <c r="B333" s="37" t="n"/>
      <c r="C333" s="37" t="n"/>
      <c r="D333" s="37" t="n"/>
      <c r="E333" s="37" t="n"/>
      <c r="F333" s="37" t="n"/>
      <c r="G333" s="27" t="n"/>
      <c r="H333" s="27" t="n"/>
      <c r="I333" s="37" t="n"/>
      <c r="J333" s="37" t="n"/>
      <c r="K333" s="37" t="n"/>
      <c r="L333" s="37">
        <f>IF(OR(H333="",J333="Hoàn thành",J333="Đã hủy"),"",IF(H333&lt;TODAY(),"QUÁ HẠN",IF(H333-TODAY()&lt;=THIET_LAP!$B$8,"SẮP HẠN","TRONG HẠN")))</f>
        <v/>
      </c>
      <c r="M333" s="27" t="n"/>
      <c r="N333" s="37" t="n"/>
    </row>
    <row r="334" ht="15.75" customHeight="1" s="56">
      <c r="A334" s="37" t="n"/>
      <c r="B334" s="37" t="n"/>
      <c r="C334" s="37" t="n"/>
      <c r="D334" s="37" t="n"/>
      <c r="E334" s="37" t="n"/>
      <c r="F334" s="37" t="n"/>
      <c r="G334" s="27" t="n"/>
      <c r="H334" s="27" t="n"/>
      <c r="I334" s="37" t="n"/>
      <c r="J334" s="37" t="n"/>
      <c r="K334" s="37" t="n"/>
      <c r="L334" s="37">
        <f>IF(OR(H334="",J334="Hoàn thành",J334="Đã hủy"),"",IF(H334&lt;TODAY(),"QUÁ HẠN",IF(H334-TODAY()&lt;=THIET_LAP!$B$8,"SẮP HẠN","TRONG HẠN")))</f>
        <v/>
      </c>
      <c r="M334" s="27" t="n"/>
      <c r="N334" s="37" t="n"/>
    </row>
    <row r="335" ht="15.75" customHeight="1" s="56">
      <c r="A335" s="37" t="n"/>
      <c r="B335" s="37" t="n"/>
      <c r="C335" s="37" t="n"/>
      <c r="D335" s="37" t="n"/>
      <c r="E335" s="37" t="n"/>
      <c r="F335" s="37" t="n"/>
      <c r="G335" s="27" t="n"/>
      <c r="H335" s="27" t="n"/>
      <c r="I335" s="37" t="n"/>
      <c r="J335" s="37" t="n"/>
      <c r="K335" s="37" t="n"/>
      <c r="L335" s="37">
        <f>IF(OR(H335="",J335="Hoàn thành",J335="Đã hủy"),"",IF(H335&lt;TODAY(),"QUÁ HẠN",IF(H335-TODAY()&lt;=THIET_LAP!$B$8,"SẮP HẠN","TRONG HẠN")))</f>
        <v/>
      </c>
      <c r="M335" s="27" t="n"/>
      <c r="N335" s="37" t="n"/>
    </row>
    <row r="336" ht="15.75" customHeight="1" s="56">
      <c r="A336" s="37" t="n"/>
      <c r="B336" s="37" t="n"/>
      <c r="C336" s="37" t="n"/>
      <c r="D336" s="37" t="n"/>
      <c r="E336" s="37" t="n"/>
      <c r="F336" s="37" t="n"/>
      <c r="G336" s="27" t="n"/>
      <c r="H336" s="27" t="n"/>
      <c r="I336" s="37" t="n"/>
      <c r="J336" s="37" t="n"/>
      <c r="K336" s="37" t="n"/>
      <c r="L336" s="37">
        <f>IF(OR(H336="",J336="Hoàn thành",J336="Đã hủy"),"",IF(H336&lt;TODAY(),"QUÁ HẠN",IF(H336-TODAY()&lt;=THIET_LAP!$B$8,"SẮP HẠN","TRONG HẠN")))</f>
        <v/>
      </c>
      <c r="M336" s="27" t="n"/>
      <c r="N336" s="37" t="n"/>
    </row>
    <row r="337" ht="15.75" customHeight="1" s="56">
      <c r="A337" s="37" t="n"/>
      <c r="B337" s="37" t="n"/>
      <c r="C337" s="37" t="n"/>
      <c r="D337" s="37" t="n"/>
      <c r="E337" s="37" t="n"/>
      <c r="F337" s="37" t="n"/>
      <c r="G337" s="27" t="n"/>
      <c r="H337" s="27" t="n"/>
      <c r="I337" s="37" t="n"/>
      <c r="J337" s="37" t="n"/>
      <c r="K337" s="37" t="n"/>
      <c r="L337" s="37">
        <f>IF(OR(H337="",J337="Hoàn thành",J337="Đã hủy"),"",IF(H337&lt;TODAY(),"QUÁ HẠN",IF(H337-TODAY()&lt;=THIET_LAP!$B$8,"SẮP HẠN","TRONG HẠN")))</f>
        <v/>
      </c>
      <c r="M337" s="27" t="n"/>
      <c r="N337" s="37" t="n"/>
    </row>
    <row r="338" ht="15.75" customHeight="1" s="56">
      <c r="A338" s="37" t="n"/>
      <c r="B338" s="37" t="n"/>
      <c r="C338" s="37" t="n"/>
      <c r="D338" s="37" t="n"/>
      <c r="E338" s="37" t="n"/>
      <c r="F338" s="37" t="n"/>
      <c r="G338" s="27" t="n"/>
      <c r="H338" s="27" t="n"/>
      <c r="I338" s="37" t="n"/>
      <c r="J338" s="37" t="n"/>
      <c r="K338" s="37" t="n"/>
      <c r="L338" s="37">
        <f>IF(OR(H338="",J338="Hoàn thành",J338="Đã hủy"),"",IF(H338&lt;TODAY(),"QUÁ HẠN",IF(H338-TODAY()&lt;=THIET_LAP!$B$8,"SẮP HẠN","TRONG HẠN")))</f>
        <v/>
      </c>
      <c r="M338" s="27" t="n"/>
      <c r="N338" s="37" t="n"/>
    </row>
    <row r="339" ht="15.75" customHeight="1" s="56">
      <c r="A339" s="37" t="n"/>
      <c r="B339" s="37" t="n"/>
      <c r="C339" s="37" t="n"/>
      <c r="D339" s="37" t="n"/>
      <c r="E339" s="37" t="n"/>
      <c r="F339" s="37" t="n"/>
      <c r="G339" s="27" t="n"/>
      <c r="H339" s="27" t="n"/>
      <c r="I339" s="37" t="n"/>
      <c r="J339" s="37" t="n"/>
      <c r="K339" s="37" t="n"/>
      <c r="L339" s="37">
        <f>IF(OR(H339="",J339="Hoàn thành",J339="Đã hủy"),"",IF(H339&lt;TODAY(),"QUÁ HẠN",IF(H339-TODAY()&lt;=THIET_LAP!$B$8,"SẮP HẠN","TRONG HẠN")))</f>
        <v/>
      </c>
      <c r="M339" s="27" t="n"/>
      <c r="N339" s="37" t="n"/>
    </row>
    <row r="340" ht="15.75" customHeight="1" s="56">
      <c r="A340" s="37" t="n"/>
      <c r="B340" s="37" t="n"/>
      <c r="C340" s="37" t="n"/>
      <c r="D340" s="37" t="n"/>
      <c r="E340" s="37" t="n"/>
      <c r="F340" s="37" t="n"/>
      <c r="G340" s="27" t="n"/>
      <c r="H340" s="27" t="n"/>
      <c r="I340" s="37" t="n"/>
      <c r="J340" s="37" t="n"/>
      <c r="K340" s="37" t="n"/>
      <c r="L340" s="37">
        <f>IF(OR(H340="",J340="Hoàn thành",J340="Đã hủy"),"",IF(H340&lt;TODAY(),"QUÁ HẠN",IF(H340-TODAY()&lt;=THIET_LAP!$B$8,"SẮP HẠN","TRONG HẠN")))</f>
        <v/>
      </c>
      <c r="M340" s="27" t="n"/>
      <c r="N340" s="37" t="n"/>
    </row>
    <row r="341" ht="15.75" customHeight="1" s="56">
      <c r="A341" s="37" t="n"/>
      <c r="B341" s="37" t="n"/>
      <c r="C341" s="37" t="n"/>
      <c r="D341" s="37" t="n"/>
      <c r="E341" s="37" t="n"/>
      <c r="F341" s="37" t="n"/>
      <c r="G341" s="27" t="n"/>
      <c r="H341" s="27" t="n"/>
      <c r="I341" s="37" t="n"/>
      <c r="J341" s="37" t="n"/>
      <c r="K341" s="37" t="n"/>
      <c r="L341" s="37">
        <f>IF(OR(H341="",J341="Hoàn thành",J341="Đã hủy"),"",IF(H341&lt;TODAY(),"QUÁ HẠN",IF(H341-TODAY()&lt;=THIET_LAP!$B$8,"SẮP HẠN","TRONG HẠN")))</f>
        <v/>
      </c>
      <c r="M341" s="27" t="n"/>
      <c r="N341" s="37" t="n"/>
    </row>
    <row r="342" ht="15.75" customHeight="1" s="56">
      <c r="A342" s="37" t="n"/>
      <c r="B342" s="37" t="n"/>
      <c r="C342" s="37" t="n"/>
      <c r="D342" s="37" t="n"/>
      <c r="E342" s="37" t="n"/>
      <c r="F342" s="37" t="n"/>
      <c r="G342" s="27" t="n"/>
      <c r="H342" s="27" t="n"/>
      <c r="I342" s="37" t="n"/>
      <c r="J342" s="37" t="n"/>
      <c r="K342" s="37" t="n"/>
      <c r="L342" s="37">
        <f>IF(OR(H342="",J342="Hoàn thành",J342="Đã hủy"),"",IF(H342&lt;TODAY(),"QUÁ HẠN",IF(H342-TODAY()&lt;=THIET_LAP!$B$8,"SẮP HẠN","TRONG HẠN")))</f>
        <v/>
      </c>
      <c r="M342" s="27" t="n"/>
      <c r="N342" s="37" t="n"/>
    </row>
    <row r="343" ht="15.75" customHeight="1" s="56">
      <c r="A343" s="37" t="n"/>
      <c r="B343" s="37" t="n"/>
      <c r="C343" s="37" t="n"/>
      <c r="D343" s="37" t="n"/>
      <c r="E343" s="37" t="n"/>
      <c r="F343" s="37" t="n"/>
      <c r="G343" s="27" t="n"/>
      <c r="H343" s="27" t="n"/>
      <c r="I343" s="37" t="n"/>
      <c r="J343" s="37" t="n"/>
      <c r="K343" s="37" t="n"/>
      <c r="L343" s="37">
        <f>IF(OR(H343="",J343="Hoàn thành",J343="Đã hủy"),"",IF(H343&lt;TODAY(),"QUÁ HẠN",IF(H343-TODAY()&lt;=THIET_LAP!$B$8,"SẮP HẠN","TRONG HẠN")))</f>
        <v/>
      </c>
      <c r="M343" s="27" t="n"/>
      <c r="N343" s="37" t="n"/>
    </row>
    <row r="344" ht="15.75" customHeight="1" s="56">
      <c r="A344" s="37">
        <f>IF(G344="","",THIET_LAP!$B$4&amp;"-TSK-"&amp;TEXT(COUNT($G$4:G344),"0000"))</f>
        <v/>
      </c>
      <c r="B344" s="37" t="n"/>
      <c r="C344" s="37" t="n"/>
      <c r="D344" s="37" t="n"/>
      <c r="E344" s="37" t="n"/>
      <c r="F344" s="37" t="n"/>
      <c r="G344" s="27" t="n"/>
      <c r="H344" s="27" t="n"/>
      <c r="I344" s="37" t="n"/>
      <c r="J344" s="37" t="n"/>
      <c r="K344" s="37" t="n"/>
      <c r="L344" s="37">
        <f>IF(OR(H344="",J344="Hoàn thành",J344="Đã hủy"),"",IF(H344&lt;TODAY(),"QUÁ HẠN",IF(H344-TODAY()&lt;=THIET_LAP!$B$8,"SẮP HẠN","TRONG HẠN")))</f>
        <v/>
      </c>
      <c r="M344" s="27" t="n"/>
      <c r="N344" s="37" t="n"/>
    </row>
    <row r="345" ht="15.75" customHeight="1" s="56">
      <c r="A345" s="37">
        <f>IF(G345="","",THIET_LAP!$B$4&amp;"-TSK-"&amp;TEXT(COUNT($G$4:G345),"0000"))</f>
        <v/>
      </c>
      <c r="B345" s="37" t="n"/>
      <c r="C345" s="37" t="n"/>
      <c r="D345" s="37" t="n"/>
      <c r="E345" s="37" t="n"/>
      <c r="F345" s="37" t="n"/>
      <c r="G345" s="27" t="n"/>
      <c r="H345" s="27" t="n"/>
      <c r="I345" s="37" t="n"/>
      <c r="J345" s="37" t="n"/>
      <c r="K345" s="37" t="n"/>
      <c r="L345" s="37">
        <f>IF(OR(H345="",J345="Hoàn thành",J345="Đã hủy"),"",IF(H345&lt;TODAY(),"QUÁ HẠN",IF(H345-TODAY()&lt;=THIET_LAP!$B$8,"SẮP HẠN","TRONG HẠN")))</f>
        <v/>
      </c>
      <c r="M345" s="27" t="n"/>
      <c r="N345" s="37" t="n"/>
    </row>
    <row r="346" ht="15.75" customHeight="1" s="56">
      <c r="A346" s="37">
        <f>IF(G346="","",THIET_LAP!$B$4&amp;"-TSK-"&amp;TEXT(COUNT($G$4:G346),"0000"))</f>
        <v/>
      </c>
      <c r="B346" s="37" t="n"/>
      <c r="C346" s="37" t="n"/>
      <c r="D346" s="37" t="n"/>
      <c r="E346" s="37" t="n"/>
      <c r="F346" s="37" t="n"/>
      <c r="G346" s="27" t="n"/>
      <c r="H346" s="27" t="n"/>
      <c r="I346" s="37" t="n"/>
      <c r="J346" s="37" t="n"/>
      <c r="K346" s="37" t="n"/>
      <c r="L346" s="37">
        <f>IF(OR(H346="",J346="Hoàn thành",J346="Đã hủy"),"",IF(H346&lt;TODAY(),"QUÁ HẠN",IF(H346-TODAY()&lt;=THIET_LAP!$B$8,"SẮP HẠN","TRONG HẠN")))</f>
        <v/>
      </c>
      <c r="M346" s="27" t="n"/>
      <c r="N346" s="37" t="n"/>
    </row>
    <row r="347" ht="15.75" customHeight="1" s="56">
      <c r="A347" s="37">
        <f>IF(G347="","",THIET_LAP!$B$4&amp;"-TSK-"&amp;TEXT(COUNT($G$4:G347),"0000"))</f>
        <v/>
      </c>
      <c r="B347" s="37" t="n"/>
      <c r="C347" s="37" t="n"/>
      <c r="D347" s="37" t="n"/>
      <c r="E347" s="37" t="n"/>
      <c r="F347" s="37" t="n"/>
      <c r="G347" s="27" t="n"/>
      <c r="H347" s="27" t="n"/>
      <c r="I347" s="37" t="n"/>
      <c r="J347" s="37" t="n"/>
      <c r="K347" s="37" t="n"/>
      <c r="L347" s="37">
        <f>IF(OR(H347="",J347="Hoàn thành",J347="Đã hủy"),"",IF(H347&lt;TODAY(),"QUÁ HẠN",IF(H347-TODAY()&lt;=THIET_LAP!$B$8,"SẮP HẠN","TRONG HẠN")))</f>
        <v/>
      </c>
      <c r="M347" s="27" t="n"/>
      <c r="N347" s="37" t="n"/>
    </row>
    <row r="348" ht="15.75" customHeight="1" s="56">
      <c r="A348" s="37">
        <f>IF(G348="","",THIET_LAP!$B$4&amp;"-TSK-"&amp;TEXT(COUNT($G$4:G348),"0000"))</f>
        <v/>
      </c>
      <c r="B348" s="37" t="n"/>
      <c r="C348" s="37" t="n"/>
      <c r="D348" s="37" t="n"/>
      <c r="E348" s="37" t="n"/>
      <c r="F348" s="37" t="n"/>
      <c r="G348" s="27" t="n"/>
      <c r="H348" s="27" t="n"/>
      <c r="I348" s="37" t="n"/>
      <c r="J348" s="37" t="n"/>
      <c r="K348" s="37" t="n"/>
      <c r="L348" s="37">
        <f>IF(OR(H348="",J348="Hoàn thành",J348="Đã hủy"),"",IF(H348&lt;TODAY(),"QUÁ HẠN",IF(H348-TODAY()&lt;=THIET_LAP!$B$8,"SẮP HẠN","TRONG HẠN")))</f>
        <v/>
      </c>
      <c r="M348" s="27" t="n"/>
      <c r="N348" s="37" t="n"/>
    </row>
    <row r="349" ht="15.75" customHeight="1" s="56">
      <c r="A349" s="37">
        <f>IF(G349="","",THIET_LAP!$B$4&amp;"-TSK-"&amp;TEXT(COUNT($G$4:G349),"0000"))</f>
        <v/>
      </c>
      <c r="B349" s="37" t="n"/>
      <c r="C349" s="37" t="n"/>
      <c r="D349" s="37" t="n"/>
      <c r="E349" s="37" t="n"/>
      <c r="F349" s="37" t="n"/>
      <c r="G349" s="27" t="n"/>
      <c r="H349" s="27" t="n"/>
      <c r="I349" s="37" t="n"/>
      <c r="J349" s="37" t="n"/>
      <c r="K349" s="37" t="n"/>
      <c r="L349" s="37">
        <f>IF(OR(H349="",J349="Hoàn thành",J349="Đã hủy"),"",IF(H349&lt;TODAY(),"QUÁ HẠN",IF(H349-TODAY()&lt;=THIET_LAP!$B$8,"SẮP HẠN","TRONG HẠN")))</f>
        <v/>
      </c>
      <c r="M349" s="27" t="n"/>
      <c r="N349" s="37" t="n"/>
    </row>
    <row r="350" ht="15.75" customHeight="1" s="56">
      <c r="A350" s="37">
        <f>IF(G350="","",THIET_LAP!$B$4&amp;"-TSK-"&amp;TEXT(COUNT($G$4:G350),"0000"))</f>
        <v/>
      </c>
      <c r="B350" s="37" t="n"/>
      <c r="C350" s="37" t="n"/>
      <c r="D350" s="37" t="n"/>
      <c r="E350" s="37" t="n"/>
      <c r="F350" s="37" t="n"/>
      <c r="G350" s="27" t="n"/>
      <c r="H350" s="27" t="n"/>
      <c r="I350" s="37" t="n"/>
      <c r="J350" s="37" t="n"/>
      <c r="K350" s="37" t="n"/>
      <c r="L350" s="37">
        <f>IF(OR(H350="",J350="Hoàn thành",J350="Đã hủy"),"",IF(H350&lt;TODAY(),"QUÁ HẠN",IF(H350-TODAY()&lt;=THIET_LAP!$B$8,"SẮP HẠN","TRONG HẠN")))</f>
        <v/>
      </c>
      <c r="M350" s="27" t="n"/>
      <c r="N350" s="37" t="n"/>
    </row>
    <row r="351" ht="15.75" customHeight="1" s="56">
      <c r="A351" s="37">
        <f>IF(G351="","",THIET_LAP!$B$4&amp;"-TSK-"&amp;TEXT(COUNT($G$4:G351),"0000"))</f>
        <v/>
      </c>
      <c r="B351" s="37" t="n"/>
      <c r="C351" s="37" t="n"/>
      <c r="D351" s="37" t="n"/>
      <c r="E351" s="37" t="n"/>
      <c r="F351" s="37" t="n"/>
      <c r="G351" s="27" t="n"/>
      <c r="H351" s="27" t="n"/>
      <c r="I351" s="37" t="n"/>
      <c r="J351" s="37" t="n"/>
      <c r="K351" s="37" t="n"/>
      <c r="L351" s="37">
        <f>IF(OR(H351="",J351="Hoàn thành",J351="Đã hủy"),"",IF(H351&lt;TODAY(),"QUÁ HẠN",IF(H351-TODAY()&lt;=THIET_LAP!$B$8,"SẮP HẠN","TRONG HẠN")))</f>
        <v/>
      </c>
      <c r="M351" s="27" t="n"/>
      <c r="N351" s="37" t="n"/>
    </row>
    <row r="352" ht="15.75" customHeight="1" s="56">
      <c r="A352" s="37">
        <f>IF(G352="","",THIET_LAP!$B$4&amp;"-TSK-"&amp;TEXT(COUNT($G$4:G352),"0000"))</f>
        <v/>
      </c>
      <c r="B352" s="37" t="n"/>
      <c r="C352" s="37" t="n"/>
      <c r="D352" s="37" t="n"/>
      <c r="E352" s="37" t="n"/>
      <c r="F352" s="37" t="n"/>
      <c r="G352" s="27" t="n"/>
      <c r="H352" s="27" t="n"/>
      <c r="I352" s="37" t="n"/>
      <c r="J352" s="37" t="n"/>
      <c r="K352" s="37" t="n"/>
      <c r="L352" s="37">
        <f>IF(OR(H352="",J352="Hoàn thành",J352="Đã hủy"),"",IF(H352&lt;TODAY(),"QUÁ HẠN",IF(H352-TODAY()&lt;=THIET_LAP!$B$8,"SẮP HẠN","TRONG HẠN")))</f>
        <v/>
      </c>
      <c r="M352" s="27" t="n"/>
      <c r="N352" s="37" t="n"/>
    </row>
    <row r="353" ht="15.75" customHeight="1" s="56">
      <c r="A353" s="37">
        <f>IF(G353="","",THIET_LAP!$B$4&amp;"-TSK-"&amp;TEXT(COUNT($G$4:G353),"0000"))</f>
        <v/>
      </c>
      <c r="B353" s="37" t="n"/>
      <c r="C353" s="37" t="n"/>
      <c r="D353" s="37" t="n"/>
      <c r="E353" s="37" t="n"/>
      <c r="F353" s="37" t="n"/>
      <c r="G353" s="27" t="n"/>
      <c r="H353" s="27" t="n"/>
      <c r="I353" s="37" t="n"/>
      <c r="J353" s="37" t="n"/>
      <c r="K353" s="37" t="n"/>
      <c r="L353" s="37">
        <f>IF(OR(H353="",J353="Hoàn thành",J353="Đã hủy"),"",IF(H353&lt;TODAY(),"QUÁ HẠN",IF(H353-TODAY()&lt;=THIET_LAP!$B$8,"SẮP HẠN","TRONG HẠN")))</f>
        <v/>
      </c>
      <c r="M353" s="27" t="n"/>
      <c r="N353" s="37" t="n"/>
    </row>
    <row r="354" ht="15.75" customHeight="1" s="56">
      <c r="A354" s="37">
        <f>IF(G354="","",THIET_LAP!$B$4&amp;"-TSK-"&amp;TEXT(COUNT($G$4:G354),"0000"))</f>
        <v/>
      </c>
      <c r="B354" s="37" t="n"/>
      <c r="C354" s="37" t="n"/>
      <c r="D354" s="37" t="n"/>
      <c r="E354" s="37" t="n"/>
      <c r="F354" s="37" t="n"/>
      <c r="G354" s="27" t="n"/>
      <c r="H354" s="27" t="n"/>
      <c r="I354" s="37" t="n"/>
      <c r="J354" s="37" t="n"/>
      <c r="K354" s="37" t="n"/>
      <c r="L354" s="37">
        <f>IF(OR(H354="",J354="Hoàn thành",J354="Đã hủy"),"",IF(H354&lt;TODAY(),"QUÁ HẠN",IF(H354-TODAY()&lt;=THIET_LAP!$B$8,"SẮP HẠN","TRONG HẠN")))</f>
        <v/>
      </c>
      <c r="M354" s="27" t="n"/>
      <c r="N354" s="37" t="n"/>
    </row>
    <row r="355" ht="15.75" customHeight="1" s="56">
      <c r="A355" s="37">
        <f>IF(G355="","",THIET_LAP!$B$4&amp;"-TSK-"&amp;TEXT(COUNT($G$4:G355),"0000"))</f>
        <v/>
      </c>
      <c r="B355" s="37" t="n"/>
      <c r="C355" s="37" t="n"/>
      <c r="D355" s="37" t="n"/>
      <c r="E355" s="37" t="n"/>
      <c r="F355" s="37" t="n"/>
      <c r="G355" s="27" t="n"/>
      <c r="H355" s="27" t="n"/>
      <c r="I355" s="37" t="n"/>
      <c r="J355" s="37" t="n"/>
      <c r="K355" s="37" t="n"/>
      <c r="L355" s="37">
        <f>IF(OR(H355="",J355="Hoàn thành",J355="Đã hủy"),"",IF(H355&lt;TODAY(),"QUÁ HẠN",IF(H355-TODAY()&lt;=THIET_LAP!$B$8,"SẮP HẠN","TRONG HẠN")))</f>
        <v/>
      </c>
      <c r="M355" s="27" t="n"/>
      <c r="N355" s="37" t="n"/>
    </row>
    <row r="356" ht="15.75" customHeight="1" s="56">
      <c r="A356" s="37">
        <f>IF(G356="","",THIET_LAP!$B$4&amp;"-TSK-"&amp;TEXT(COUNT($G$4:G356),"0000"))</f>
        <v/>
      </c>
      <c r="B356" s="37" t="n"/>
      <c r="C356" s="37" t="n"/>
      <c r="D356" s="37" t="n"/>
      <c r="E356" s="37" t="n"/>
      <c r="F356" s="37" t="n"/>
      <c r="G356" s="27" t="n"/>
      <c r="H356" s="27" t="n"/>
      <c r="I356" s="37" t="n"/>
      <c r="J356" s="37" t="n"/>
      <c r="K356" s="37" t="n"/>
      <c r="L356" s="37">
        <f>IF(OR(H356="",J356="Hoàn thành",J356="Đã hủy"),"",IF(H356&lt;TODAY(),"QUÁ HẠN",IF(H356-TODAY()&lt;=THIET_LAP!$B$8,"SẮP HẠN","TRONG HẠN")))</f>
        <v/>
      </c>
      <c r="M356" s="27" t="n"/>
      <c r="N356" s="37" t="n"/>
    </row>
    <row r="357" ht="15.75" customHeight="1" s="56">
      <c r="A357" s="37">
        <f>IF(G357="","",THIET_LAP!$B$4&amp;"-TSK-"&amp;TEXT(COUNT($G$4:G357),"0000"))</f>
        <v/>
      </c>
      <c r="B357" s="37" t="n"/>
      <c r="C357" s="37" t="n"/>
      <c r="D357" s="37" t="n"/>
      <c r="E357" s="37" t="n"/>
      <c r="F357" s="37" t="n"/>
      <c r="G357" s="27" t="n"/>
      <c r="H357" s="27" t="n"/>
      <c r="I357" s="37" t="n"/>
      <c r="J357" s="37" t="n"/>
      <c r="K357" s="37" t="n"/>
      <c r="L357" s="37">
        <f>IF(OR(H357="",J357="Hoàn thành",J357="Đã hủy"),"",IF(H357&lt;TODAY(),"QUÁ HẠN",IF(H357-TODAY()&lt;=THIET_LAP!$B$8,"SẮP HẠN","TRONG HẠN")))</f>
        <v/>
      </c>
      <c r="M357" s="27" t="n"/>
      <c r="N357" s="37" t="n"/>
    </row>
    <row r="358" ht="15.75" customHeight="1" s="56">
      <c r="A358" s="37">
        <f>IF(G358="","",THIET_LAP!$B$4&amp;"-TSK-"&amp;TEXT(COUNT($G$4:G358),"0000"))</f>
        <v/>
      </c>
      <c r="B358" s="37" t="n"/>
      <c r="C358" s="37" t="n"/>
      <c r="D358" s="37" t="n"/>
      <c r="E358" s="37" t="n"/>
      <c r="F358" s="37" t="n"/>
      <c r="G358" s="27" t="n"/>
      <c r="H358" s="27" t="n"/>
      <c r="I358" s="37" t="n"/>
      <c r="J358" s="37" t="n"/>
      <c r="K358" s="37" t="n"/>
      <c r="L358" s="37">
        <f>IF(OR(H358="",J358="Hoàn thành",J358="Đã hủy"),"",IF(H358&lt;TODAY(),"QUÁ HẠN",IF(H358-TODAY()&lt;=THIET_LAP!$B$8,"SẮP HẠN","TRONG HẠN")))</f>
        <v/>
      </c>
      <c r="M358" s="27" t="n"/>
      <c r="N358" s="37" t="n"/>
    </row>
    <row r="359" ht="15.75" customHeight="1" s="56">
      <c r="A359" s="37">
        <f>IF(G359="","",THIET_LAP!$B$4&amp;"-TSK-"&amp;TEXT(COUNT($G$4:G359),"0000"))</f>
        <v/>
      </c>
      <c r="B359" s="37" t="n"/>
      <c r="C359" s="37" t="n"/>
      <c r="D359" s="37" t="n"/>
      <c r="E359" s="37" t="n"/>
      <c r="F359" s="37" t="n"/>
      <c r="G359" s="27" t="n"/>
      <c r="H359" s="27" t="n"/>
      <c r="I359" s="37" t="n"/>
      <c r="J359" s="37" t="n"/>
      <c r="K359" s="37" t="n"/>
      <c r="L359" s="37">
        <f>IF(OR(H359="",J359="Hoàn thành",J359="Đã hủy"),"",IF(H359&lt;TODAY(),"QUÁ HẠN",IF(H359-TODAY()&lt;=THIET_LAP!$B$8,"SẮP HẠN","TRONG HẠN")))</f>
        <v/>
      </c>
      <c r="M359" s="27" t="n"/>
      <c r="N359" s="37" t="n"/>
    </row>
    <row r="360" ht="15.75" customHeight="1" s="56">
      <c r="A360" s="37">
        <f>IF(G360="","",THIET_LAP!$B$4&amp;"-TSK-"&amp;TEXT(COUNT($G$4:G360),"0000"))</f>
        <v/>
      </c>
      <c r="B360" s="37" t="n"/>
      <c r="C360" s="37" t="n"/>
      <c r="D360" s="37" t="n"/>
      <c r="E360" s="37" t="n"/>
      <c r="F360" s="37" t="n"/>
      <c r="G360" s="27" t="n"/>
      <c r="H360" s="27" t="n"/>
      <c r="I360" s="37" t="n"/>
      <c r="J360" s="37" t="n"/>
      <c r="K360" s="37" t="n"/>
      <c r="L360" s="37">
        <f>IF(OR(H360="",J360="Hoàn thành",J360="Đã hủy"),"",IF(H360&lt;TODAY(),"QUÁ HẠN",IF(H360-TODAY()&lt;=THIET_LAP!$B$8,"SẮP HẠN","TRONG HẠN")))</f>
        <v/>
      </c>
      <c r="M360" s="27" t="n"/>
      <c r="N360" s="37" t="n"/>
    </row>
    <row r="361" ht="15.75" customHeight="1" s="56">
      <c r="A361" s="37">
        <f>IF(G361="","",THIET_LAP!$B$4&amp;"-TSK-"&amp;TEXT(COUNT($G$4:G361),"0000"))</f>
        <v/>
      </c>
      <c r="B361" s="37" t="n"/>
      <c r="C361" s="37" t="n"/>
      <c r="D361" s="37" t="n"/>
      <c r="E361" s="37" t="n"/>
      <c r="F361" s="37" t="n"/>
      <c r="G361" s="27" t="n"/>
      <c r="H361" s="27" t="n"/>
      <c r="I361" s="37" t="n"/>
      <c r="J361" s="37" t="n"/>
      <c r="K361" s="37" t="n"/>
      <c r="L361" s="37">
        <f>IF(OR(H361="",J361="Hoàn thành",J361="Đã hủy"),"",IF(H361&lt;TODAY(),"QUÁ HẠN",IF(H361-TODAY()&lt;=THIET_LAP!$B$8,"SẮP HẠN","TRONG HẠN")))</f>
        <v/>
      </c>
      <c r="M361" s="27" t="n"/>
      <c r="N361" s="37" t="n"/>
    </row>
    <row r="362" ht="15.75" customHeight="1" s="56">
      <c r="A362" s="37">
        <f>IF(G362="","",THIET_LAP!$B$4&amp;"-TSK-"&amp;TEXT(COUNT($G$4:G362),"0000"))</f>
        <v/>
      </c>
      <c r="B362" s="37" t="n"/>
      <c r="C362" s="37" t="n"/>
      <c r="D362" s="37" t="n"/>
      <c r="E362" s="37" t="n"/>
      <c r="F362" s="37" t="n"/>
      <c r="G362" s="27" t="n"/>
      <c r="H362" s="27" t="n"/>
      <c r="I362" s="37" t="n"/>
      <c r="J362" s="37" t="n"/>
      <c r="K362" s="37" t="n"/>
      <c r="L362" s="37">
        <f>IF(OR(H362="",J362="Hoàn thành",J362="Đã hủy"),"",IF(H362&lt;TODAY(),"QUÁ HẠN",IF(H362-TODAY()&lt;=THIET_LAP!$B$8,"SẮP HẠN","TRONG HẠN")))</f>
        <v/>
      </c>
      <c r="M362" s="27" t="n"/>
      <c r="N362" s="37" t="n"/>
    </row>
    <row r="363" ht="15.75" customHeight="1" s="56">
      <c r="A363" s="37">
        <f>IF(G363="","",THIET_LAP!$B$4&amp;"-TSK-"&amp;TEXT(COUNT($G$4:G363),"0000"))</f>
        <v/>
      </c>
      <c r="B363" s="37" t="n"/>
      <c r="C363" s="37" t="n"/>
      <c r="D363" s="37" t="n"/>
      <c r="E363" s="37" t="n"/>
      <c r="F363" s="37" t="n"/>
      <c r="G363" s="27" t="n"/>
      <c r="H363" s="27" t="n"/>
      <c r="I363" s="37" t="n"/>
      <c r="J363" s="37" t="n"/>
      <c r="K363" s="37" t="n"/>
      <c r="L363" s="37">
        <f>IF(OR(H363="",J363="Hoàn thành",J363="Đã hủy"),"",IF(H363&lt;TODAY(),"QUÁ HẠN",IF(H363-TODAY()&lt;=THIET_LAP!$B$8,"SẮP HẠN","TRONG HẠN")))</f>
        <v/>
      </c>
      <c r="M363" s="27" t="n"/>
      <c r="N363" s="37" t="n"/>
    </row>
    <row r="364" ht="15.75" customHeight="1" s="56">
      <c r="A364" s="37">
        <f>IF(G364="","",THIET_LAP!$B$4&amp;"-TSK-"&amp;TEXT(COUNT($G$4:G364),"0000"))</f>
        <v/>
      </c>
      <c r="B364" s="37" t="n"/>
      <c r="C364" s="37" t="n"/>
      <c r="D364" s="37" t="n"/>
      <c r="E364" s="37" t="n"/>
      <c r="F364" s="37" t="n"/>
      <c r="G364" s="27" t="n"/>
      <c r="H364" s="27" t="n"/>
      <c r="I364" s="37" t="n"/>
      <c r="J364" s="37" t="n"/>
      <c r="K364" s="37" t="n"/>
      <c r="L364" s="37">
        <f>IF(OR(H364="",J364="Hoàn thành",J364="Đã hủy"),"",IF(H364&lt;TODAY(),"QUÁ HẠN",IF(H364-TODAY()&lt;=THIET_LAP!$B$8,"SẮP HẠN","TRONG HẠN")))</f>
        <v/>
      </c>
      <c r="M364" s="27" t="n"/>
      <c r="N364" s="37" t="n"/>
    </row>
    <row r="365" ht="15.75" customHeight="1" s="56">
      <c r="A365" s="37">
        <f>IF(G365="","",THIET_LAP!$B$4&amp;"-TSK-"&amp;TEXT(COUNT($G$4:G365),"0000"))</f>
        <v/>
      </c>
      <c r="B365" s="37" t="n"/>
      <c r="C365" s="37" t="n"/>
      <c r="D365" s="37" t="n"/>
      <c r="E365" s="37" t="n"/>
      <c r="F365" s="37" t="n"/>
      <c r="G365" s="27" t="n"/>
      <c r="H365" s="27" t="n"/>
      <c r="I365" s="37" t="n"/>
      <c r="J365" s="37" t="n"/>
      <c r="K365" s="37" t="n"/>
      <c r="L365" s="37">
        <f>IF(OR(H365="",J365="Hoàn thành",J365="Đã hủy"),"",IF(H365&lt;TODAY(),"QUÁ HẠN",IF(H365-TODAY()&lt;=THIET_LAP!$B$8,"SẮP HẠN","TRONG HẠN")))</f>
        <v/>
      </c>
      <c r="M365" s="27" t="n"/>
      <c r="N365" s="37" t="n"/>
    </row>
    <row r="366" ht="15.75" customHeight="1" s="56">
      <c r="A366" s="37">
        <f>IF(G366="","",THIET_LAP!$B$4&amp;"-TSK-"&amp;TEXT(COUNT($G$4:G366),"0000"))</f>
        <v/>
      </c>
      <c r="B366" s="37" t="n"/>
      <c r="C366" s="37" t="n"/>
      <c r="D366" s="37" t="n"/>
      <c r="E366" s="37" t="n"/>
      <c r="F366" s="37" t="n"/>
      <c r="G366" s="27" t="n"/>
      <c r="H366" s="27" t="n"/>
      <c r="I366" s="37" t="n"/>
      <c r="J366" s="37" t="n"/>
      <c r="K366" s="37" t="n"/>
      <c r="L366" s="37">
        <f>IF(OR(H366="",J366="Hoàn thành",J366="Đã hủy"),"",IF(H366&lt;TODAY(),"QUÁ HẠN",IF(H366-TODAY()&lt;=THIET_LAP!$B$8,"SẮP HẠN","TRONG HẠN")))</f>
        <v/>
      </c>
      <c r="M366" s="27" t="n"/>
      <c r="N366" s="37" t="n"/>
    </row>
    <row r="367" ht="15.75" customHeight="1" s="56">
      <c r="A367" s="37">
        <f>IF(G367="","",THIET_LAP!$B$4&amp;"-TSK-"&amp;TEXT(COUNT($G$4:G367),"0000"))</f>
        <v/>
      </c>
      <c r="B367" s="37" t="n"/>
      <c r="C367" s="37" t="n"/>
      <c r="D367" s="37" t="n"/>
      <c r="E367" s="37" t="n"/>
      <c r="F367" s="37" t="n"/>
      <c r="G367" s="27" t="n"/>
      <c r="H367" s="27" t="n"/>
      <c r="I367" s="37" t="n"/>
      <c r="J367" s="37" t="n"/>
      <c r="K367" s="37" t="n"/>
      <c r="L367" s="37">
        <f>IF(OR(H367="",J367="Hoàn thành",J367="Đã hủy"),"",IF(H367&lt;TODAY(),"QUÁ HẠN",IF(H367-TODAY()&lt;=THIET_LAP!$B$8,"SẮP HẠN","TRONG HẠN")))</f>
        <v/>
      </c>
      <c r="M367" s="27" t="n"/>
      <c r="N367" s="37" t="n"/>
    </row>
    <row r="368" ht="15.75" customHeight="1" s="56">
      <c r="A368" s="37">
        <f>IF(G368="","",THIET_LAP!$B$4&amp;"-TSK-"&amp;TEXT(COUNT($G$4:G368),"0000"))</f>
        <v/>
      </c>
      <c r="B368" s="37" t="n"/>
      <c r="C368" s="37" t="n"/>
      <c r="D368" s="37" t="n"/>
      <c r="E368" s="37" t="n"/>
      <c r="F368" s="37" t="n"/>
      <c r="G368" s="27" t="n"/>
      <c r="H368" s="27" t="n"/>
      <c r="I368" s="37" t="n"/>
      <c r="J368" s="37" t="n"/>
      <c r="K368" s="37" t="n"/>
      <c r="L368" s="37">
        <f>IF(OR(H368="",J368="Hoàn thành",J368="Đã hủy"),"",IF(H368&lt;TODAY(),"QUÁ HẠN",IF(H368-TODAY()&lt;=THIET_LAP!$B$8,"SẮP HẠN","TRONG HẠN")))</f>
        <v/>
      </c>
      <c r="M368" s="27" t="n"/>
      <c r="N368" s="37" t="n"/>
    </row>
    <row r="369" ht="15.75" customHeight="1" s="56">
      <c r="A369" s="37">
        <f>IF(G369="","",THIET_LAP!$B$4&amp;"-TSK-"&amp;TEXT(COUNT($G$4:G369),"0000"))</f>
        <v/>
      </c>
      <c r="B369" s="37" t="n"/>
      <c r="C369" s="37" t="n"/>
      <c r="D369" s="37" t="n"/>
      <c r="E369" s="37" t="n"/>
      <c r="F369" s="37" t="n"/>
      <c r="G369" s="27" t="n"/>
      <c r="H369" s="27" t="n"/>
      <c r="I369" s="37" t="n"/>
      <c r="J369" s="37" t="n"/>
      <c r="K369" s="37" t="n"/>
      <c r="L369" s="37">
        <f>IF(OR(H369="",J369="Hoàn thành",J369="Đã hủy"),"",IF(H369&lt;TODAY(),"QUÁ HẠN",IF(H369-TODAY()&lt;=THIET_LAP!$B$8,"SẮP HẠN","TRONG HẠN")))</f>
        <v/>
      </c>
      <c r="M369" s="27" t="n"/>
      <c r="N369" s="37" t="n"/>
    </row>
    <row r="370" ht="15.75" customHeight="1" s="56">
      <c r="A370" s="37">
        <f>IF(G370="","",THIET_LAP!$B$4&amp;"-TSK-"&amp;TEXT(COUNT($G$4:G370),"0000"))</f>
        <v/>
      </c>
      <c r="B370" s="37" t="n"/>
      <c r="C370" s="37" t="n"/>
      <c r="D370" s="37" t="n"/>
      <c r="E370" s="37" t="n"/>
      <c r="F370" s="37" t="n"/>
      <c r="G370" s="27" t="n"/>
      <c r="H370" s="27" t="n"/>
      <c r="I370" s="37" t="n"/>
      <c r="J370" s="37" t="n"/>
      <c r="K370" s="37" t="n"/>
      <c r="L370" s="37">
        <f>IF(OR(H370="",J370="Hoàn thành",J370="Đã hủy"),"",IF(H370&lt;TODAY(),"QUÁ HẠN",IF(H370-TODAY()&lt;=THIET_LAP!$B$8,"SẮP HẠN","TRONG HẠN")))</f>
        <v/>
      </c>
      <c r="M370" s="27" t="n"/>
      <c r="N370" s="37" t="n"/>
    </row>
    <row r="371" ht="15.75" customHeight="1" s="56">
      <c r="A371" s="37">
        <f>IF(G371="","",THIET_LAP!$B$4&amp;"-TSK-"&amp;TEXT(COUNT($G$4:G371),"0000"))</f>
        <v/>
      </c>
      <c r="B371" s="37" t="n"/>
      <c r="C371" s="37" t="n"/>
      <c r="D371" s="37" t="n"/>
      <c r="E371" s="37" t="n"/>
      <c r="F371" s="37" t="n"/>
      <c r="G371" s="27" t="n"/>
      <c r="H371" s="27" t="n"/>
      <c r="I371" s="37" t="n"/>
      <c r="J371" s="37" t="n"/>
      <c r="K371" s="37" t="n"/>
      <c r="L371" s="37">
        <f>IF(OR(H371="",J371="Hoàn thành",J371="Đã hủy"),"",IF(H371&lt;TODAY(),"QUÁ HẠN",IF(H371-TODAY()&lt;=THIET_LAP!$B$8,"SẮP HẠN","TRONG HẠN")))</f>
        <v/>
      </c>
      <c r="M371" s="27" t="n"/>
      <c r="N371" s="37" t="n"/>
    </row>
    <row r="372" ht="15.75" customHeight="1" s="56">
      <c r="A372" s="37">
        <f>IF(G372="","",THIET_LAP!$B$4&amp;"-TSK-"&amp;TEXT(COUNT($G$4:G372),"0000"))</f>
        <v/>
      </c>
      <c r="B372" s="37" t="n"/>
      <c r="C372" s="37" t="n"/>
      <c r="D372" s="37" t="n"/>
      <c r="E372" s="37" t="n"/>
      <c r="F372" s="37" t="n"/>
      <c r="G372" s="27" t="n"/>
      <c r="H372" s="27" t="n"/>
      <c r="I372" s="37" t="n"/>
      <c r="J372" s="37" t="n"/>
      <c r="K372" s="37" t="n"/>
      <c r="L372" s="37">
        <f>IF(OR(H372="",J372="Hoàn thành",J372="Đã hủy"),"",IF(H372&lt;TODAY(),"QUÁ HẠN",IF(H372-TODAY()&lt;=THIET_LAP!$B$8,"SẮP HẠN","TRONG HẠN")))</f>
        <v/>
      </c>
      <c r="M372" s="27" t="n"/>
      <c r="N372" s="37" t="n"/>
    </row>
    <row r="373" ht="15.75" customHeight="1" s="56">
      <c r="A373" s="37">
        <f>IF(G373="","",THIET_LAP!$B$4&amp;"-TSK-"&amp;TEXT(COUNT($G$4:G373),"0000"))</f>
        <v/>
      </c>
      <c r="B373" s="37" t="n"/>
      <c r="C373" s="37" t="n"/>
      <c r="D373" s="37" t="n"/>
      <c r="E373" s="37" t="n"/>
      <c r="F373" s="37" t="n"/>
      <c r="G373" s="27" t="n"/>
      <c r="H373" s="27" t="n"/>
      <c r="I373" s="37" t="n"/>
      <c r="J373" s="37" t="n"/>
      <c r="K373" s="37" t="n"/>
      <c r="L373" s="37">
        <f>IF(OR(H373="",J373="Hoàn thành",J373="Đã hủy"),"",IF(H373&lt;TODAY(),"QUÁ HẠN",IF(H373-TODAY()&lt;=THIET_LAP!$B$8,"SẮP HẠN","TRONG HẠN")))</f>
        <v/>
      </c>
      <c r="M373" s="27" t="n"/>
      <c r="N373" s="37" t="n"/>
    </row>
    <row r="374" ht="15.75" customHeight="1" s="56">
      <c r="A374" s="37">
        <f>IF(G374="","",THIET_LAP!$B$4&amp;"-TSK-"&amp;TEXT(COUNT($G$4:G374),"0000"))</f>
        <v/>
      </c>
      <c r="B374" s="37" t="n"/>
      <c r="C374" s="37" t="n"/>
      <c r="D374" s="37" t="n"/>
      <c r="E374" s="37" t="n"/>
      <c r="F374" s="37" t="n"/>
      <c r="G374" s="27" t="n"/>
      <c r="H374" s="27" t="n"/>
      <c r="I374" s="37" t="n"/>
      <c r="J374" s="37" t="n"/>
      <c r="K374" s="37" t="n"/>
      <c r="L374" s="37">
        <f>IF(OR(H374="",J374="Hoàn thành",J374="Đã hủy"),"",IF(H374&lt;TODAY(),"QUÁ HẠN",IF(H374-TODAY()&lt;=THIET_LAP!$B$8,"SẮP HẠN","TRONG HẠN")))</f>
        <v/>
      </c>
      <c r="M374" s="27" t="n"/>
      <c r="N374" s="37" t="n"/>
    </row>
    <row r="375" ht="15.75" customHeight="1" s="56">
      <c r="A375" s="37">
        <f>IF(G375="","",THIET_LAP!$B$4&amp;"-TSK-"&amp;TEXT(COUNT($G$4:G375),"0000"))</f>
        <v/>
      </c>
      <c r="B375" s="37" t="n"/>
      <c r="C375" s="37" t="n"/>
      <c r="D375" s="37" t="n"/>
      <c r="E375" s="37" t="n"/>
      <c r="F375" s="37" t="n"/>
      <c r="G375" s="27" t="n"/>
      <c r="H375" s="27" t="n"/>
      <c r="I375" s="37" t="n"/>
      <c r="J375" s="37" t="n"/>
      <c r="K375" s="37" t="n"/>
      <c r="L375" s="37">
        <f>IF(OR(H375="",J375="Hoàn thành",J375="Đã hủy"),"",IF(H375&lt;TODAY(),"QUÁ HẠN",IF(H375-TODAY()&lt;=THIET_LAP!$B$8,"SẮP HẠN","TRONG HẠN")))</f>
        <v/>
      </c>
      <c r="M375" s="27" t="n"/>
      <c r="N375" s="37" t="n"/>
    </row>
    <row r="376" ht="15.75" customHeight="1" s="56">
      <c r="A376" s="37">
        <f>IF(G376="","",THIET_LAP!$B$4&amp;"-TSK-"&amp;TEXT(COUNT($G$4:G376),"0000"))</f>
        <v/>
      </c>
      <c r="B376" s="37" t="n"/>
      <c r="C376" s="37" t="n"/>
      <c r="D376" s="37" t="n"/>
      <c r="E376" s="37" t="n"/>
      <c r="F376" s="37" t="n"/>
      <c r="G376" s="27" t="n"/>
      <c r="H376" s="27" t="n"/>
      <c r="I376" s="37" t="n"/>
      <c r="J376" s="37" t="n"/>
      <c r="K376" s="37" t="n"/>
      <c r="L376" s="37">
        <f>IF(OR(H376="",J376="Hoàn thành",J376="Đã hủy"),"",IF(H376&lt;TODAY(),"QUÁ HẠN",IF(H376-TODAY()&lt;=THIET_LAP!$B$8,"SẮP HẠN","TRONG HẠN")))</f>
        <v/>
      </c>
      <c r="M376" s="27" t="n"/>
      <c r="N376" s="37" t="n"/>
    </row>
    <row r="377" ht="15.75" customHeight="1" s="56">
      <c r="A377" s="37">
        <f>IF(G377="","",THIET_LAP!$B$4&amp;"-TSK-"&amp;TEXT(COUNT($G$4:G377),"0000"))</f>
        <v/>
      </c>
      <c r="B377" s="37" t="n"/>
      <c r="C377" s="37" t="n"/>
      <c r="D377" s="37" t="n"/>
      <c r="E377" s="37" t="n"/>
      <c r="F377" s="37" t="n"/>
      <c r="G377" s="27" t="n"/>
      <c r="H377" s="27" t="n"/>
      <c r="I377" s="37" t="n"/>
      <c r="J377" s="37" t="n"/>
      <c r="K377" s="37" t="n"/>
      <c r="L377" s="37">
        <f>IF(OR(H377="",J377="Hoàn thành",J377="Đã hủy"),"",IF(H377&lt;TODAY(),"QUÁ HẠN",IF(H377-TODAY()&lt;=THIET_LAP!$B$8,"SẮP HẠN","TRONG HẠN")))</f>
        <v/>
      </c>
      <c r="M377" s="27" t="n"/>
      <c r="N377" s="37" t="n"/>
    </row>
    <row r="378" ht="15.75" customHeight="1" s="56">
      <c r="A378" s="37">
        <f>IF(G378="","",THIET_LAP!$B$4&amp;"-TSK-"&amp;TEXT(COUNT($G$4:G378),"0000"))</f>
        <v/>
      </c>
      <c r="B378" s="37" t="n"/>
      <c r="C378" s="37" t="n"/>
      <c r="D378" s="37" t="n"/>
      <c r="E378" s="37" t="n"/>
      <c r="F378" s="37" t="n"/>
      <c r="G378" s="27" t="n"/>
      <c r="H378" s="27" t="n"/>
      <c r="I378" s="37" t="n"/>
      <c r="J378" s="37" t="n"/>
      <c r="K378" s="37" t="n"/>
      <c r="L378" s="37">
        <f>IF(OR(H378="",J378="Hoàn thành",J378="Đã hủy"),"",IF(H378&lt;TODAY(),"QUÁ HẠN",IF(H378-TODAY()&lt;=THIET_LAP!$B$8,"SẮP HẠN","TRONG HẠN")))</f>
        <v/>
      </c>
      <c r="M378" s="27" t="n"/>
      <c r="N378" s="37" t="n"/>
    </row>
    <row r="379" ht="15.75" customHeight="1" s="56">
      <c r="A379" s="37">
        <f>IF(G379="","",THIET_LAP!$B$4&amp;"-TSK-"&amp;TEXT(COUNT($G$4:G379),"0000"))</f>
        <v/>
      </c>
      <c r="B379" s="37" t="n"/>
      <c r="C379" s="37" t="n"/>
      <c r="D379" s="37" t="n"/>
      <c r="E379" s="37" t="n"/>
      <c r="F379" s="37" t="n"/>
      <c r="G379" s="27" t="n"/>
      <c r="H379" s="27" t="n"/>
      <c r="I379" s="37" t="n"/>
      <c r="J379" s="37" t="n"/>
      <c r="K379" s="37" t="n"/>
      <c r="L379" s="37">
        <f>IF(OR(H379="",J379="Hoàn thành",J379="Đã hủy"),"",IF(H379&lt;TODAY(),"QUÁ HẠN",IF(H379-TODAY()&lt;=THIET_LAP!$B$8,"SẮP HẠN","TRONG HẠN")))</f>
        <v/>
      </c>
      <c r="M379" s="27" t="n"/>
      <c r="N379" s="37" t="n"/>
    </row>
    <row r="380" ht="15.75" customHeight="1" s="56">
      <c r="A380" s="37">
        <f>IF(G380="","",THIET_LAP!$B$4&amp;"-TSK-"&amp;TEXT(COUNT($G$4:G380),"0000"))</f>
        <v/>
      </c>
      <c r="B380" s="37" t="n"/>
      <c r="C380" s="37" t="n"/>
      <c r="D380" s="37" t="n"/>
      <c r="E380" s="37" t="n"/>
      <c r="F380" s="37" t="n"/>
      <c r="G380" s="27" t="n"/>
      <c r="H380" s="27" t="n"/>
      <c r="I380" s="37" t="n"/>
      <c r="J380" s="37" t="n"/>
      <c r="K380" s="37" t="n"/>
      <c r="L380" s="37">
        <f>IF(OR(H380="",J380="Hoàn thành",J380="Đã hủy"),"",IF(H380&lt;TODAY(),"QUÁ HẠN",IF(H380-TODAY()&lt;=THIET_LAP!$B$8,"SẮP HẠN","TRONG HẠN")))</f>
        <v/>
      </c>
      <c r="M380" s="27" t="n"/>
      <c r="N380" s="37" t="n"/>
    </row>
    <row r="381" ht="15.75" customHeight="1" s="56">
      <c r="A381" s="37">
        <f>IF(G381="","",THIET_LAP!$B$4&amp;"-TSK-"&amp;TEXT(COUNT($G$4:G381),"0000"))</f>
        <v/>
      </c>
      <c r="B381" s="37" t="n"/>
      <c r="C381" s="37" t="n"/>
      <c r="D381" s="37" t="n"/>
      <c r="E381" s="37" t="n"/>
      <c r="F381" s="37" t="n"/>
      <c r="G381" s="27" t="n"/>
      <c r="H381" s="27" t="n"/>
      <c r="I381" s="37" t="n"/>
      <c r="J381" s="37" t="n"/>
      <c r="K381" s="37" t="n"/>
      <c r="L381" s="37">
        <f>IF(OR(H381="",J381="Hoàn thành",J381="Đã hủy"),"",IF(H381&lt;TODAY(),"QUÁ HẠN",IF(H381-TODAY()&lt;=THIET_LAP!$B$8,"SẮP HẠN","TRONG HẠN")))</f>
        <v/>
      </c>
      <c r="M381" s="27" t="n"/>
      <c r="N381" s="37" t="n"/>
    </row>
    <row r="382" ht="15.75" customHeight="1" s="56">
      <c r="A382" s="37">
        <f>IF(G382="","",THIET_LAP!$B$4&amp;"-TSK-"&amp;TEXT(COUNT($G$4:G382),"0000"))</f>
        <v/>
      </c>
      <c r="B382" s="37" t="n"/>
      <c r="C382" s="37" t="n"/>
      <c r="D382" s="37" t="n"/>
      <c r="E382" s="37" t="n"/>
      <c r="F382" s="37" t="n"/>
      <c r="G382" s="27" t="n"/>
      <c r="H382" s="27" t="n"/>
      <c r="I382" s="37" t="n"/>
      <c r="J382" s="37" t="n"/>
      <c r="K382" s="37" t="n"/>
      <c r="L382" s="37">
        <f>IF(OR(H382="",J382="Hoàn thành",J382="Đã hủy"),"",IF(H382&lt;TODAY(),"QUÁ HẠN",IF(H382-TODAY()&lt;=THIET_LAP!$B$8,"SẮP HẠN","TRONG HẠN")))</f>
        <v/>
      </c>
      <c r="M382" s="27" t="n"/>
      <c r="N382" s="37" t="n"/>
    </row>
    <row r="383" ht="15.75" customHeight="1" s="56">
      <c r="A383" s="37">
        <f>IF(G383="","",THIET_LAP!$B$4&amp;"-TSK-"&amp;TEXT(COUNT($G$4:G383),"0000"))</f>
        <v/>
      </c>
      <c r="B383" s="37" t="n"/>
      <c r="C383" s="37" t="n"/>
      <c r="D383" s="37" t="n"/>
      <c r="E383" s="37" t="n"/>
      <c r="F383" s="37" t="n"/>
      <c r="G383" s="27" t="n"/>
      <c r="H383" s="27" t="n"/>
      <c r="I383" s="37" t="n"/>
      <c r="J383" s="37" t="n"/>
      <c r="K383" s="37" t="n"/>
      <c r="L383" s="37">
        <f>IF(OR(H383="",J383="Hoàn thành",J383="Đã hủy"),"",IF(H383&lt;TODAY(),"QUÁ HẠN",IF(H383-TODAY()&lt;=THIET_LAP!$B$8,"SẮP HẠN","TRONG HẠN")))</f>
        <v/>
      </c>
      <c r="M383" s="27" t="n"/>
      <c r="N383" s="37" t="n"/>
    </row>
    <row r="384" ht="15.75" customHeight="1" s="56">
      <c r="A384" s="37">
        <f>IF(G384="","",THIET_LAP!$B$4&amp;"-TSK-"&amp;TEXT(COUNT($G$4:G384),"0000"))</f>
        <v/>
      </c>
      <c r="B384" s="37" t="n"/>
      <c r="C384" s="37" t="n"/>
      <c r="D384" s="37" t="n"/>
      <c r="E384" s="37" t="n"/>
      <c r="F384" s="37" t="n"/>
      <c r="G384" s="27" t="n"/>
      <c r="H384" s="27" t="n"/>
      <c r="I384" s="37" t="n"/>
      <c r="J384" s="37" t="n"/>
      <c r="K384" s="37" t="n"/>
      <c r="L384" s="37">
        <f>IF(OR(H384="",J384="Hoàn thành",J384="Đã hủy"),"",IF(H384&lt;TODAY(),"QUÁ HẠN",IF(H384-TODAY()&lt;=THIET_LAP!$B$8,"SẮP HẠN","TRONG HẠN")))</f>
        <v/>
      </c>
      <c r="M384" s="27" t="n"/>
      <c r="N384" s="37" t="n"/>
    </row>
    <row r="385" ht="15.75" customHeight="1" s="56">
      <c r="A385" s="37">
        <f>IF(G385="","",THIET_LAP!$B$4&amp;"-TSK-"&amp;TEXT(COUNT($G$4:G385),"0000"))</f>
        <v/>
      </c>
      <c r="B385" s="37" t="n"/>
      <c r="C385" s="37" t="n"/>
      <c r="D385" s="37" t="n"/>
      <c r="E385" s="37" t="n"/>
      <c r="F385" s="37" t="n"/>
      <c r="G385" s="27" t="n"/>
      <c r="H385" s="27" t="n"/>
      <c r="I385" s="37" t="n"/>
      <c r="J385" s="37" t="n"/>
      <c r="K385" s="37" t="n"/>
      <c r="L385" s="37">
        <f>IF(OR(H385="",J385="Hoàn thành",J385="Đã hủy"),"",IF(H385&lt;TODAY(),"QUÁ HẠN",IF(H385-TODAY()&lt;=THIET_LAP!$B$8,"SẮP HẠN","TRONG HẠN")))</f>
        <v/>
      </c>
      <c r="M385" s="27" t="n"/>
      <c r="N385" s="37" t="n"/>
    </row>
    <row r="386" ht="15.75" customHeight="1" s="56">
      <c r="A386" s="37">
        <f>IF(G386="","",THIET_LAP!$B$4&amp;"-TSK-"&amp;TEXT(COUNT($G$4:G386),"0000"))</f>
        <v/>
      </c>
      <c r="B386" s="37" t="n"/>
      <c r="C386" s="37" t="n"/>
      <c r="D386" s="37" t="n"/>
      <c r="E386" s="37" t="n"/>
      <c r="F386" s="37" t="n"/>
      <c r="G386" s="27" t="n"/>
      <c r="H386" s="27" t="n"/>
      <c r="I386" s="37" t="n"/>
      <c r="J386" s="37" t="n"/>
      <c r="K386" s="37" t="n"/>
      <c r="L386" s="37">
        <f>IF(OR(H386="",J386="Hoàn thành",J386="Đã hủy"),"",IF(H386&lt;TODAY(),"QUÁ HẠN",IF(H386-TODAY()&lt;=THIET_LAP!$B$8,"SẮP HẠN","TRONG HẠN")))</f>
        <v/>
      </c>
      <c r="M386" s="27" t="n"/>
      <c r="N386" s="37" t="n"/>
    </row>
    <row r="387" ht="15.75" customHeight="1" s="56">
      <c r="A387" s="37">
        <f>IF(G387="","",THIET_LAP!$B$4&amp;"-TSK-"&amp;TEXT(COUNT($G$4:G387),"0000"))</f>
        <v/>
      </c>
      <c r="B387" s="37" t="n"/>
      <c r="C387" s="37" t="n"/>
      <c r="D387" s="37" t="n"/>
      <c r="E387" s="37" t="n"/>
      <c r="F387" s="37" t="n"/>
      <c r="G387" s="27" t="n"/>
      <c r="H387" s="27" t="n"/>
      <c r="I387" s="37" t="n"/>
      <c r="J387" s="37" t="n"/>
      <c r="K387" s="37" t="n"/>
      <c r="L387" s="37">
        <f>IF(OR(H387="",J387="Hoàn thành",J387="Đã hủy"),"",IF(H387&lt;TODAY(),"QUÁ HẠN",IF(H387-TODAY()&lt;=THIET_LAP!$B$8,"SẮP HẠN","TRONG HẠN")))</f>
        <v/>
      </c>
      <c r="M387" s="27" t="n"/>
      <c r="N387" s="37" t="n"/>
    </row>
    <row r="388" ht="15.75" customHeight="1" s="56">
      <c r="A388" s="37">
        <f>IF(G388="","",THIET_LAP!$B$4&amp;"-TSK-"&amp;TEXT(COUNT($G$4:G388),"0000"))</f>
        <v/>
      </c>
      <c r="B388" s="37" t="n"/>
      <c r="C388" s="37" t="n"/>
      <c r="D388" s="37" t="n"/>
      <c r="E388" s="37" t="n"/>
      <c r="F388" s="37" t="n"/>
      <c r="G388" s="27" t="n"/>
      <c r="H388" s="27" t="n"/>
      <c r="I388" s="37" t="n"/>
      <c r="J388" s="37" t="n"/>
      <c r="K388" s="37" t="n"/>
      <c r="L388" s="37">
        <f>IF(OR(H388="",J388="Hoàn thành",J388="Đã hủy"),"",IF(H388&lt;TODAY(),"QUÁ HẠN",IF(H388-TODAY()&lt;=THIET_LAP!$B$8,"SẮP HẠN","TRONG HẠN")))</f>
        <v/>
      </c>
      <c r="M388" s="27" t="n"/>
      <c r="N388" s="37" t="n"/>
    </row>
    <row r="389" ht="15.75" customHeight="1" s="56">
      <c r="A389" s="37">
        <f>IF(G389="","",THIET_LAP!$B$4&amp;"-TSK-"&amp;TEXT(COUNT($G$4:G389),"0000"))</f>
        <v/>
      </c>
      <c r="B389" s="37" t="n"/>
      <c r="C389" s="37" t="n"/>
      <c r="D389" s="37" t="n"/>
      <c r="E389" s="37" t="n"/>
      <c r="F389" s="37" t="n"/>
      <c r="G389" s="27" t="n"/>
      <c r="H389" s="27" t="n"/>
      <c r="I389" s="37" t="n"/>
      <c r="J389" s="37" t="n"/>
      <c r="K389" s="37" t="n"/>
      <c r="L389" s="37">
        <f>IF(OR(H389="",J389="Hoàn thành",J389="Đã hủy"),"",IF(H389&lt;TODAY(),"QUÁ HẠN",IF(H389-TODAY()&lt;=THIET_LAP!$B$8,"SẮP HẠN","TRONG HẠN")))</f>
        <v/>
      </c>
      <c r="M389" s="27" t="n"/>
      <c r="N389" s="37" t="n"/>
    </row>
    <row r="390" ht="15.75" customHeight="1" s="56">
      <c r="A390" s="37">
        <f>IF(G390="","",THIET_LAP!$B$4&amp;"-TSK-"&amp;TEXT(COUNT($G$4:G390),"0000"))</f>
        <v/>
      </c>
      <c r="B390" s="37" t="n"/>
      <c r="C390" s="37" t="n"/>
      <c r="D390" s="37" t="n"/>
      <c r="E390" s="37" t="n"/>
      <c r="F390" s="37" t="n"/>
      <c r="G390" s="27" t="n"/>
      <c r="H390" s="27" t="n"/>
      <c r="I390" s="37" t="n"/>
      <c r="J390" s="37" t="n"/>
      <c r="K390" s="37" t="n"/>
      <c r="L390" s="37">
        <f>IF(OR(H390="",J390="Hoàn thành",J390="Đã hủy"),"",IF(H390&lt;TODAY(),"QUÁ HẠN",IF(H390-TODAY()&lt;=THIET_LAP!$B$8,"SẮP HẠN","TRONG HẠN")))</f>
        <v/>
      </c>
      <c r="M390" s="27" t="n"/>
      <c r="N390" s="37" t="n"/>
    </row>
    <row r="391" ht="15.75" customHeight="1" s="56">
      <c r="A391" s="37">
        <f>IF(G391="","",THIET_LAP!$B$4&amp;"-TSK-"&amp;TEXT(COUNT($G$4:G391),"0000"))</f>
        <v/>
      </c>
      <c r="B391" s="37" t="n"/>
      <c r="C391" s="37" t="n"/>
      <c r="D391" s="37" t="n"/>
      <c r="E391" s="37" t="n"/>
      <c r="F391" s="37" t="n"/>
      <c r="G391" s="27" t="n"/>
      <c r="H391" s="27" t="n"/>
      <c r="I391" s="37" t="n"/>
      <c r="J391" s="37" t="n"/>
      <c r="K391" s="37" t="n"/>
      <c r="L391" s="37">
        <f>IF(OR(H391="",J391="Hoàn thành",J391="Đã hủy"),"",IF(H391&lt;TODAY(),"QUÁ HẠN",IF(H391-TODAY()&lt;=THIET_LAP!$B$8,"SẮP HẠN","TRONG HẠN")))</f>
        <v/>
      </c>
      <c r="M391" s="27" t="n"/>
      <c r="N391" s="37" t="n"/>
    </row>
    <row r="392" ht="15.75" customHeight="1" s="56">
      <c r="A392" s="37">
        <f>IF(G392="","",THIET_LAP!$B$4&amp;"-TSK-"&amp;TEXT(COUNT($G$4:G392),"0000"))</f>
        <v/>
      </c>
      <c r="B392" s="37" t="n"/>
      <c r="C392" s="37" t="n"/>
      <c r="D392" s="37" t="n"/>
      <c r="E392" s="37" t="n"/>
      <c r="F392" s="37" t="n"/>
      <c r="G392" s="27" t="n"/>
      <c r="H392" s="27" t="n"/>
      <c r="I392" s="37" t="n"/>
      <c r="J392" s="37" t="n"/>
      <c r="K392" s="37" t="n"/>
      <c r="L392" s="37">
        <f>IF(OR(H392="",J392="Hoàn thành",J392="Đã hủy"),"",IF(H392&lt;TODAY(),"QUÁ HẠN",IF(H392-TODAY()&lt;=THIET_LAP!$B$8,"SẮP HẠN","TRONG HẠN")))</f>
        <v/>
      </c>
      <c r="M392" s="27" t="n"/>
      <c r="N392" s="37" t="n"/>
    </row>
    <row r="393" ht="15.75" customHeight="1" s="56">
      <c r="A393" s="37">
        <f>IF(G393="","",THIET_LAP!$B$4&amp;"-TSK-"&amp;TEXT(COUNT($G$4:G393),"0000"))</f>
        <v/>
      </c>
      <c r="B393" s="37" t="n"/>
      <c r="C393" s="37" t="n"/>
      <c r="D393" s="37" t="n"/>
      <c r="E393" s="37" t="n"/>
      <c r="F393" s="37" t="n"/>
      <c r="G393" s="27" t="n"/>
      <c r="H393" s="27" t="n"/>
      <c r="I393" s="37" t="n"/>
      <c r="J393" s="37" t="n"/>
      <c r="K393" s="37" t="n"/>
      <c r="L393" s="37">
        <f>IF(OR(H393="",J393="Hoàn thành",J393="Đã hủy"),"",IF(H393&lt;TODAY(),"QUÁ HẠN",IF(H393-TODAY()&lt;=THIET_LAP!$B$8,"SẮP HẠN","TRONG HẠN")))</f>
        <v/>
      </c>
      <c r="M393" s="27" t="n"/>
      <c r="N393" s="37" t="n"/>
    </row>
    <row r="394" ht="15.75" customHeight="1" s="56">
      <c r="A394" s="37">
        <f>IF(G394="","",THIET_LAP!$B$4&amp;"-TSK-"&amp;TEXT(COUNT($G$4:G394),"0000"))</f>
        <v/>
      </c>
      <c r="B394" s="37" t="n"/>
      <c r="C394" s="37" t="n"/>
      <c r="D394" s="37" t="n"/>
      <c r="E394" s="37" t="n"/>
      <c r="F394" s="37" t="n"/>
      <c r="G394" s="27" t="n"/>
      <c r="H394" s="27" t="n"/>
      <c r="I394" s="37" t="n"/>
      <c r="J394" s="37" t="n"/>
      <c r="K394" s="37" t="n"/>
      <c r="L394" s="37">
        <f>IF(OR(H394="",J394="Hoàn thành",J394="Đã hủy"),"",IF(H394&lt;TODAY(),"QUÁ HẠN",IF(H394-TODAY()&lt;=THIET_LAP!$B$8,"SẮP HẠN","TRONG HẠN")))</f>
        <v/>
      </c>
      <c r="M394" s="27" t="n"/>
      <c r="N394" s="37" t="n"/>
    </row>
    <row r="395" ht="15.75" customHeight="1" s="56">
      <c r="A395" s="37">
        <f>IF(G395="","",THIET_LAP!$B$4&amp;"-TSK-"&amp;TEXT(COUNT($G$4:G395),"0000"))</f>
        <v/>
      </c>
      <c r="B395" s="37" t="n"/>
      <c r="C395" s="37" t="n"/>
      <c r="D395" s="37" t="n"/>
      <c r="E395" s="37" t="n"/>
      <c r="F395" s="37" t="n"/>
      <c r="G395" s="27" t="n"/>
      <c r="H395" s="27" t="n"/>
      <c r="I395" s="37" t="n"/>
      <c r="J395" s="37" t="n"/>
      <c r="K395" s="37" t="n"/>
      <c r="L395" s="37">
        <f>IF(OR(H395="",J395="Hoàn thành",J395="Đã hủy"),"",IF(H395&lt;TODAY(),"QUÁ HẠN",IF(H395-TODAY()&lt;=THIET_LAP!$B$8,"SẮP HẠN","TRONG HẠN")))</f>
        <v/>
      </c>
      <c r="M395" s="27" t="n"/>
      <c r="N395" s="37" t="n"/>
    </row>
    <row r="396" ht="15.75" customHeight="1" s="56">
      <c r="A396" s="37">
        <f>IF(G396="","",THIET_LAP!$B$4&amp;"-TSK-"&amp;TEXT(COUNT($G$4:G396),"0000"))</f>
        <v/>
      </c>
      <c r="B396" s="37" t="n"/>
      <c r="C396" s="37" t="n"/>
      <c r="D396" s="37" t="n"/>
      <c r="E396" s="37" t="n"/>
      <c r="F396" s="37" t="n"/>
      <c r="G396" s="27" t="n"/>
      <c r="H396" s="27" t="n"/>
      <c r="I396" s="37" t="n"/>
      <c r="J396" s="37" t="n"/>
      <c r="K396" s="37" t="n"/>
      <c r="L396" s="37">
        <f>IF(OR(H396="",J396="Hoàn thành",J396="Đã hủy"),"",IF(H396&lt;TODAY(),"QUÁ HẠN",IF(H396-TODAY()&lt;=THIET_LAP!$B$8,"SẮP HẠN","TRONG HẠN")))</f>
        <v/>
      </c>
      <c r="M396" s="27" t="n"/>
      <c r="N396" s="37" t="n"/>
    </row>
    <row r="397" ht="15.75" customHeight="1" s="56">
      <c r="A397" s="37">
        <f>IF(G397="","",THIET_LAP!$B$4&amp;"-TSK-"&amp;TEXT(COUNT($G$4:G397),"0000"))</f>
        <v/>
      </c>
      <c r="B397" s="37" t="n"/>
      <c r="C397" s="37" t="n"/>
      <c r="D397" s="37" t="n"/>
      <c r="E397" s="37" t="n"/>
      <c r="F397" s="37" t="n"/>
      <c r="G397" s="27" t="n"/>
      <c r="H397" s="27" t="n"/>
      <c r="I397" s="37" t="n"/>
      <c r="J397" s="37" t="n"/>
      <c r="K397" s="37" t="n"/>
      <c r="L397" s="37">
        <f>IF(OR(H397="",J397="Hoàn thành",J397="Đã hủy"),"",IF(H397&lt;TODAY(),"QUÁ HẠN",IF(H397-TODAY()&lt;=THIET_LAP!$B$8,"SẮP HẠN","TRONG HẠN")))</f>
        <v/>
      </c>
      <c r="M397" s="27" t="n"/>
      <c r="N397" s="37" t="n"/>
    </row>
    <row r="398" ht="15.75" customHeight="1" s="56">
      <c r="A398" s="37">
        <f>IF(G398="","",THIET_LAP!$B$4&amp;"-TSK-"&amp;TEXT(COUNT($G$4:G398),"0000"))</f>
        <v/>
      </c>
      <c r="B398" s="37" t="n"/>
      <c r="C398" s="37" t="n"/>
      <c r="D398" s="37" t="n"/>
      <c r="E398" s="37" t="n"/>
      <c r="F398" s="37" t="n"/>
      <c r="G398" s="27" t="n"/>
      <c r="H398" s="27" t="n"/>
      <c r="I398" s="37" t="n"/>
      <c r="J398" s="37" t="n"/>
      <c r="K398" s="37" t="n"/>
      <c r="L398" s="37">
        <f>IF(OR(H398="",J398="Hoàn thành",J398="Đã hủy"),"",IF(H398&lt;TODAY(),"QUÁ HẠN",IF(H398-TODAY()&lt;=THIET_LAP!$B$8,"SẮP HẠN","TRONG HẠN")))</f>
        <v/>
      </c>
      <c r="M398" s="27" t="n"/>
      <c r="N398" s="37" t="n"/>
    </row>
    <row r="399" ht="15.75" customHeight="1" s="56">
      <c r="A399" s="37">
        <f>IF(G399="","",THIET_LAP!$B$4&amp;"-TSK-"&amp;TEXT(COUNT($G$4:G399),"0000"))</f>
        <v/>
      </c>
      <c r="B399" s="37" t="n"/>
      <c r="C399" s="37" t="n"/>
      <c r="D399" s="37" t="n"/>
      <c r="E399" s="37" t="n"/>
      <c r="F399" s="37" t="n"/>
      <c r="G399" s="27" t="n"/>
      <c r="H399" s="27" t="n"/>
      <c r="I399" s="37" t="n"/>
      <c r="J399" s="37" t="n"/>
      <c r="K399" s="37" t="n"/>
      <c r="L399" s="37">
        <f>IF(OR(H399="",J399="Hoàn thành",J399="Đã hủy"),"",IF(H399&lt;TODAY(),"QUÁ HẠN",IF(H399-TODAY()&lt;=THIET_LAP!$B$8,"SẮP HẠN","TRONG HẠN")))</f>
        <v/>
      </c>
      <c r="M399" s="27" t="n"/>
      <c r="N399" s="37" t="n"/>
    </row>
    <row r="400" ht="15.75" customHeight="1" s="56">
      <c r="A400" s="37">
        <f>IF(G400="","",THIET_LAP!$B$4&amp;"-TSK-"&amp;TEXT(COUNT($G$4:G400),"0000"))</f>
        <v/>
      </c>
      <c r="B400" s="37" t="n"/>
      <c r="C400" s="37" t="n"/>
      <c r="D400" s="37" t="n"/>
      <c r="E400" s="37" t="n"/>
      <c r="F400" s="37" t="n"/>
      <c r="G400" s="27" t="n"/>
      <c r="H400" s="27" t="n"/>
      <c r="I400" s="37" t="n"/>
      <c r="J400" s="37" t="n"/>
      <c r="K400" s="37" t="n"/>
      <c r="L400" s="37">
        <f>IF(OR(H400="",J400="Hoàn thành",J400="Đã hủy"),"",IF(H400&lt;TODAY(),"QUÁ HẠN",IF(H400-TODAY()&lt;=THIET_LAP!$B$8,"SẮP HẠN","TRONG HẠN")))</f>
        <v/>
      </c>
      <c r="M400" s="27" t="n"/>
      <c r="N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N$400"/>
  <mergeCells count="2">
    <mergeCell ref="A2:N2"/>
    <mergeCell ref="A1:N1"/>
  </mergeCells>
  <conditionalFormatting sqref="L4:L400">
    <cfRule type="expression" priority="1" dxfId="0">
      <formula>$L4="QUÁ HẠN"</formula>
    </cfRule>
    <cfRule type="expression" priority="2" dxfId="1">
      <formula>$L4="SẮP HẠN"</formula>
    </cfRule>
  </conditionalFormatting>
  <dataValidations count="4">
    <dataValidation sqref="E4:F400" showDropDown="0" showInputMessage="0" showErrorMessage="0" allowBlank="1" type="list">
      <formula1>DM_NHANSU</formula1>
    </dataValidation>
    <dataValidation sqref="I4:I400" showDropDown="0" showInputMessage="0" showErrorMessage="0" allowBlank="1" type="list">
      <formula1>DM_UUTIEN</formula1>
    </dataValidation>
    <dataValidation sqref="J4:J400" showDropDown="0" showInputMessage="0" showErrorMessage="0" allowBlank="1" type="list">
      <formula1>DM_TRANGTHAI_TASK</formula1>
    </dataValidation>
    <dataValidation sqref="C4:C400" showDropDown="0" showInputMessage="0" showErrorMessage="0" allowBlank="1" type="list">
      <formula1>DM_PHONGBAN</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M400"/>
  <sheetViews>
    <sheetView showGridLines="0" workbookViewId="0">
      <pane ySplit="3" topLeftCell="A4" activePane="bottomLeft" state="frozen"/>
      <selection pane="bottomLeft" activeCell="B5" sqref="B5"/>
    </sheetView>
  </sheetViews>
  <sheetFormatPr baseColWidth="8" defaultColWidth="14.43" defaultRowHeight="15" customHeight="1"/>
  <cols>
    <col width="18" customWidth="1" style="56" min="1" max="1"/>
    <col width="16" customWidth="1" style="56" min="2" max="2"/>
    <col width="22" customWidth="1" style="56" min="3" max="3"/>
    <col width="18" customWidth="1" style="56" min="4" max="5"/>
    <col width="13" customWidth="1" style="56" min="6" max="6"/>
    <col width="15" customWidth="1" style="56" min="7" max="9"/>
    <col width="14" customWidth="1" style="56" min="10" max="10"/>
    <col width="18" customWidth="1" style="56" min="11" max="11"/>
    <col width="13" customWidth="1" style="56" min="12" max="12"/>
    <col width="26" customWidth="1" style="56" min="13" max="13"/>
    <col width="8.710000000000001" customWidth="1" style="56" min="14" max="26"/>
  </cols>
  <sheetData>
    <row r="1">
      <c r="A1" s="64" t="inlineStr">
        <is>
          <t>DATABASE HỢP ĐỒNG &amp; CÔNG NỢ</t>
        </is>
      </c>
      <c r="B1" s="58" t="n"/>
      <c r="C1" s="58" t="n"/>
      <c r="D1" s="58" t="n"/>
      <c r="E1" s="58" t="n"/>
      <c r="F1" s="58" t="n"/>
      <c r="G1" s="58" t="n"/>
      <c r="H1" s="58" t="n"/>
      <c r="I1" s="58" t="n"/>
      <c r="J1" s="58" t="n"/>
      <c r="K1" s="58" t="n"/>
      <c r="L1" s="58" t="n"/>
      <c r="M1" s="59" t="n"/>
    </row>
    <row r="2">
      <c r="A2" s="23" t="inlineStr">
        <is>
          <t>Theo dõi hợp đồng, thanh toán và công nợ theo Mã hồ sơ.</t>
        </is>
      </c>
    </row>
    <row r="3">
      <c r="A3" s="33" t="inlineStr">
        <is>
          <t>Mã hợp đồng</t>
        </is>
      </c>
      <c r="B3" s="33" t="inlineStr">
        <is>
          <t>Mã hồ sơ</t>
        </is>
      </c>
      <c r="C3" s="33" t="inlineStr">
        <is>
          <t>Tên khách hàng</t>
        </is>
      </c>
      <c r="D3" s="33" t="inlineStr">
        <is>
          <t>Phòng ban</t>
        </is>
      </c>
      <c r="E3" s="33" t="inlineStr">
        <is>
          <t>Dịch vụ</t>
        </is>
      </c>
      <c r="F3" s="33" t="inlineStr">
        <is>
          <t>Ngày ký</t>
        </is>
      </c>
      <c r="G3" s="33" t="inlineStr">
        <is>
          <t>Giá trị hợp đồng</t>
        </is>
      </c>
      <c r="H3" s="33" t="inlineStr">
        <is>
          <t>Đã thu</t>
        </is>
      </c>
      <c r="I3" s="33" t="inlineStr">
        <is>
          <t>Còn nợ</t>
        </is>
      </c>
      <c r="J3" s="33" t="inlineStr">
        <is>
          <t>Tình trạng</t>
        </is>
      </c>
      <c r="K3" s="33" t="inlineStr">
        <is>
          <t>Sale / nguồn</t>
        </is>
      </c>
      <c r="L3" s="33" t="inlineStr">
        <is>
          <t>Ngày đến hạn</t>
        </is>
      </c>
      <c r="M3" s="33" t="inlineStr">
        <is>
          <t>Ghi chú</t>
        </is>
      </c>
    </row>
    <row r="4">
      <c r="A4" s="37" t="inlineStr">
        <is>
          <t>488-2/BK-2025</t>
        </is>
      </c>
      <c r="B4" s="37" t="inlineStr">
        <is>
          <t>BK-HS-0320</t>
        </is>
      </c>
      <c r="C4" s="37" t="inlineStr">
        <is>
          <t>Nguyễn Hoàng Quân</t>
        </is>
      </c>
      <c r="D4" s="37" t="inlineStr">
        <is>
          <t>Phòng Đo đạc</t>
        </is>
      </c>
      <c r="E4" s="37" t="inlineStr">
        <is>
          <t>Đo GPS</t>
        </is>
      </c>
      <c r="F4" s="27" t="n">
        <v>45954</v>
      </c>
      <c r="G4" s="29" t="n">
        <v>1</v>
      </c>
      <c r="H4" s="29" t="n">
        <v>1</v>
      </c>
      <c r="I4" s="29">
        <f>IF(G4="","",G4-H4)</f>
        <v/>
      </c>
      <c r="J4" s="37">
        <f>IF(A4="","",IF(I4&lt;=0,"Đã tất toán",IF(L4&lt;TODAY(),"Quá hạn","Còn nợ")))</f>
        <v/>
      </c>
      <c r="K4" s="37" t="inlineStr">
        <is>
          <t>Hoàng Quân</t>
        </is>
      </c>
      <c r="L4" s="27" t="n"/>
      <c r="M4" s="37" t="n"/>
    </row>
    <row r="5">
      <c r="A5" s="37" t="inlineStr">
        <is>
          <t>537/BK-2025</t>
        </is>
      </c>
      <c r="B5" s="37" t="inlineStr">
        <is>
          <t>BK-HS-0319</t>
        </is>
      </c>
      <c r="C5" s="37" t="inlineStr">
        <is>
          <t>Nguyễn Thanh Vũ</t>
        </is>
      </c>
      <c r="D5" s="37" t="inlineStr">
        <is>
          <t>Phòng Đo đạc</t>
        </is>
      </c>
      <c r="E5" s="37" t="inlineStr">
        <is>
          <t>Cấp đổi</t>
        </is>
      </c>
      <c r="F5" s="27" t="n">
        <v>45954</v>
      </c>
      <c r="G5" s="29" t="n">
        <v>39639491</v>
      </c>
      <c r="H5" s="29" t="n">
        <v>39639491</v>
      </c>
      <c r="I5" s="29">
        <f>IF(G5="","",G5-H5)</f>
        <v/>
      </c>
      <c r="J5" s="37">
        <f>IF(A5="","",IF(I5&lt;=0,"Đã tất toán",IF(L5&lt;TODAY(),"Quá hạn","Còn nợ")))</f>
        <v/>
      </c>
      <c r="K5" s="37" t="inlineStr">
        <is>
          <t>Công Ty</t>
        </is>
      </c>
      <c r="L5" s="27" t="n"/>
      <c r="M5" s="37" t="n"/>
    </row>
    <row r="6">
      <c r="A6" s="37" t="inlineStr">
        <is>
          <t>538/BK-2025</t>
        </is>
      </c>
      <c r="B6" s="37" t="inlineStr">
        <is>
          <t>BK-HS-0318</t>
        </is>
      </c>
      <c r="C6" s="37" t="inlineStr">
        <is>
          <t>TRương Quế Phương</t>
        </is>
      </c>
      <c r="D6" s="37" t="inlineStr">
        <is>
          <t>Phòng Đo đạc</t>
        </is>
      </c>
      <c r="E6" s="37" t="inlineStr">
        <is>
          <t>Cắm mốc</t>
        </is>
      </c>
      <c r="F6" s="27" t="n">
        <v>45954</v>
      </c>
      <c r="G6" s="29" t="n">
        <v>2500000</v>
      </c>
      <c r="H6" s="29" t="n">
        <v>2500000</v>
      </c>
      <c r="I6" s="29">
        <f>IF(G6="","",G6-H6)</f>
        <v/>
      </c>
      <c r="J6" s="37">
        <f>IF(A6="","",IF(I6&lt;=0,"Đã tất toán",IF(L6&lt;TODAY(),"Quá hạn","Còn nợ")))</f>
        <v/>
      </c>
      <c r="K6" s="37" t="inlineStr">
        <is>
          <t>Anh Chiến KTS</t>
        </is>
      </c>
      <c r="L6" s="27" t="n"/>
      <c r="M6" s="37" t="n"/>
    </row>
    <row r="7">
      <c r="A7" s="37" t="inlineStr">
        <is>
          <t>539/BK-2025</t>
        </is>
      </c>
      <c r="B7" s="37" t="inlineStr">
        <is>
          <t>BK-HS-0317</t>
        </is>
      </c>
      <c r="C7" s="37" t="inlineStr">
        <is>
          <t>Vũ Thị Hương Giang</t>
        </is>
      </c>
      <c r="D7" s="37" t="inlineStr">
        <is>
          <t>Phòng Đo đạc</t>
        </is>
      </c>
      <c r="E7" s="37" t="inlineStr">
        <is>
          <t>Hoàn công</t>
        </is>
      </c>
      <c r="F7" s="27" t="n">
        <v>45956</v>
      </c>
      <c r="G7" s="29" t="n">
        <v>35000000</v>
      </c>
      <c r="H7" s="29" t="n">
        <v>35000000</v>
      </c>
      <c r="I7" s="29">
        <f>IF(G7="","",G7-H7)</f>
        <v/>
      </c>
      <c r="J7" s="37">
        <f>IF(A7="","",IF(I7&lt;=0,"Đã tất toán",IF(L7&lt;TODAY(),"Quá hạn","Còn nợ")))</f>
        <v/>
      </c>
      <c r="K7" s="37" t="inlineStr">
        <is>
          <t>Công Ty</t>
        </is>
      </c>
      <c r="L7" s="27" t="n"/>
      <c r="M7" s="37" t="n"/>
    </row>
    <row r="8">
      <c r="A8" s="37" t="inlineStr">
        <is>
          <t>541/BK-2025</t>
        </is>
      </c>
      <c r="B8" s="37" t="inlineStr">
        <is>
          <t>BK-HS-0316</t>
        </is>
      </c>
      <c r="C8" s="37" t="inlineStr">
        <is>
          <t>Nguyễn Tấn Thanh</t>
        </is>
      </c>
      <c r="D8" s="37" t="inlineStr">
        <is>
          <t>Phòng Đo đạc</t>
        </is>
      </c>
      <c r="E8" s="37" t="inlineStr">
        <is>
          <t>Tách Thửa</t>
        </is>
      </c>
      <c r="F8" s="27" t="n">
        <v>45956</v>
      </c>
      <c r="G8" s="29" t="n">
        <v>8000000</v>
      </c>
      <c r="H8" s="29" t="n">
        <v>8000000</v>
      </c>
      <c r="I8" s="29">
        <f>IF(G8="","",G8-H8)</f>
        <v/>
      </c>
      <c r="J8" s="37">
        <f>IF(A8="","",IF(I8&lt;=0,"Đã tất toán",IF(L8&lt;TODAY(),"Quá hạn","Còn nợ")))</f>
        <v/>
      </c>
      <c r="K8" s="37" t="inlineStr">
        <is>
          <t>Chị Xuân DV</t>
        </is>
      </c>
      <c r="L8" s="27" t="n"/>
      <c r="M8" s="37" t="n"/>
    </row>
    <row r="9">
      <c r="A9" s="37" t="inlineStr">
        <is>
          <t>542/BK-2025</t>
        </is>
      </c>
      <c r="B9" s="37" t="inlineStr">
        <is>
          <t>BK-HS-0315</t>
        </is>
      </c>
      <c r="C9" s="37" t="inlineStr">
        <is>
          <t>Nguyễn Tấn Thanh</t>
        </is>
      </c>
      <c r="D9" s="37" t="inlineStr">
        <is>
          <t>Phòng Đo đạc</t>
        </is>
      </c>
      <c r="E9" s="37" t="inlineStr">
        <is>
          <t>Tách Thửa</t>
        </is>
      </c>
      <c r="F9" s="27" t="n">
        <v>45956</v>
      </c>
      <c r="G9" s="29" t="n">
        <v>8000000</v>
      </c>
      <c r="H9" s="29" t="n">
        <v>8000000</v>
      </c>
      <c r="I9" s="29">
        <f>IF(G9="","",G9-H9)</f>
        <v/>
      </c>
      <c r="J9" s="37">
        <f>IF(A9="","",IF(I9&lt;=0,"Đã tất toán",IF(L9&lt;TODAY(),"Quá hạn","Còn nợ")))</f>
        <v/>
      </c>
      <c r="K9" s="37" t="inlineStr">
        <is>
          <t>Chị Xuân DV</t>
        </is>
      </c>
      <c r="L9" s="27" t="n"/>
      <c r="M9" s="37" t="n"/>
    </row>
    <row r="10">
      <c r="A10" s="37" t="inlineStr">
        <is>
          <t>540/BK-2025</t>
        </is>
      </c>
      <c r="B10" s="37" t="inlineStr">
        <is>
          <t>BK-HS-0314</t>
        </is>
      </c>
      <c r="C10" s="37" t="inlineStr">
        <is>
          <t>Phạm Thị Phương</t>
        </is>
      </c>
      <c r="D10" s="37" t="inlineStr">
        <is>
          <t>Phòng Đo đạc</t>
        </is>
      </c>
      <c r="E10" s="37" t="inlineStr">
        <is>
          <t>Cấp đổi</t>
        </is>
      </c>
      <c r="F10" s="27" t="n">
        <v>45957</v>
      </c>
      <c r="G10" s="29" t="n">
        <v>10000000</v>
      </c>
      <c r="H10" s="29" t="n">
        <v>10000000</v>
      </c>
      <c r="I10" s="29">
        <f>IF(G10="","",G10-H10)</f>
        <v/>
      </c>
      <c r="J10" s="37">
        <f>IF(A10="","",IF(I10&lt;=0,"Đã tất toán",IF(L10&lt;TODAY(),"Quá hạn","Còn nợ")))</f>
        <v/>
      </c>
      <c r="K10" s="37" t="inlineStr">
        <is>
          <t>Nguyễn Khoa DV</t>
        </is>
      </c>
      <c r="L10" s="27" t="n"/>
      <c r="M10" s="37" t="n"/>
    </row>
    <row r="11">
      <c r="A11" s="37" t="inlineStr">
        <is>
          <t>543/BK-2025</t>
        </is>
      </c>
      <c r="B11" s="37" t="inlineStr">
        <is>
          <t>BK-HS-0313</t>
        </is>
      </c>
      <c r="C11" s="37" t="inlineStr">
        <is>
          <t>Trần Đức Phú</t>
        </is>
      </c>
      <c r="D11" s="37" t="inlineStr">
        <is>
          <t>Phòng Đo đạc</t>
        </is>
      </c>
      <c r="E11" s="37" t="inlineStr">
        <is>
          <t>Cấp đổi</t>
        </is>
      </c>
      <c r="F11" s="27" t="n">
        <v>45957</v>
      </c>
      <c r="G11" s="29" t="n"/>
      <c r="H11" s="29" t="n">
        <v>0</v>
      </c>
      <c r="I11" s="29">
        <f>IF(G11="","",G11-H11)</f>
        <v/>
      </c>
      <c r="J11" s="37">
        <f>IF(A11="","",IF(I11&lt;=0,"Đã tất toán",IF(L11&lt;TODAY(),"Quá hạn","Còn nợ")))</f>
        <v/>
      </c>
      <c r="K11" s="37" t="inlineStr">
        <is>
          <t>Hoàng Quân</t>
        </is>
      </c>
      <c r="L11" s="27" t="n"/>
      <c r="M11" s="37" t="n"/>
    </row>
    <row r="12">
      <c r="A12" s="37" t="inlineStr">
        <is>
          <t>543-1/BK-2025</t>
        </is>
      </c>
      <c r="B12" s="37" t="inlineStr">
        <is>
          <t>BK-HS-0312</t>
        </is>
      </c>
      <c r="C12" s="37" t="inlineStr">
        <is>
          <t>Trần Đức Phú</t>
        </is>
      </c>
      <c r="D12" s="37" t="inlineStr">
        <is>
          <t>Phòng Đo đạc</t>
        </is>
      </c>
      <c r="E12" s="37" t="inlineStr">
        <is>
          <t>Cắm mốc</t>
        </is>
      </c>
      <c r="F12" s="27" t="n">
        <v>45957</v>
      </c>
      <c r="G12" s="29" t="n">
        <v>3600000</v>
      </c>
      <c r="H12" s="29" t="n">
        <v>3600000</v>
      </c>
      <c r="I12" s="29">
        <f>IF(G12="","",G12-H12)</f>
        <v/>
      </c>
      <c r="J12" s="37">
        <f>IF(A12="","",IF(I12&lt;=0,"Đã tất toán",IF(L12&lt;TODAY(),"Quá hạn","Còn nợ")))</f>
        <v/>
      </c>
      <c r="K12" s="37" t="inlineStr">
        <is>
          <t>Hoàng Quân</t>
        </is>
      </c>
      <c r="L12" s="27" t="n"/>
      <c r="M12" s="37" t="n"/>
    </row>
    <row r="13">
      <c r="A13" s="37" t="inlineStr">
        <is>
          <t>543-2/BK-2025</t>
        </is>
      </c>
      <c r="B13" s="37" t="inlineStr">
        <is>
          <t>BK-HS-0311</t>
        </is>
      </c>
      <c r="C13" s="37" t="inlineStr">
        <is>
          <t>Trần Đức Phú</t>
        </is>
      </c>
      <c r="D13" s="37" t="inlineStr">
        <is>
          <t>Phòng Đo đạc</t>
        </is>
      </c>
      <c r="E13" s="37" t="inlineStr">
        <is>
          <t>Đo GPS</t>
        </is>
      </c>
      <c r="F13" s="27" t="n">
        <v>45957</v>
      </c>
      <c r="G13" s="29" t="n">
        <v>1</v>
      </c>
      <c r="H13" s="29" t="n">
        <v>1</v>
      </c>
      <c r="I13" s="29">
        <f>IF(G13="","",G13-H13)</f>
        <v/>
      </c>
      <c r="J13" s="37">
        <f>IF(A13="","",IF(I13&lt;=0,"Đã tất toán",IF(L13&lt;TODAY(),"Quá hạn","Còn nợ")))</f>
        <v/>
      </c>
      <c r="K13" s="37" t="inlineStr">
        <is>
          <t>Hoàng Quân</t>
        </is>
      </c>
      <c r="L13" s="27" t="n"/>
      <c r="M13" s="37" t="n"/>
    </row>
    <row r="14">
      <c r="A14" s="37" t="inlineStr">
        <is>
          <t>544/BK-2025</t>
        </is>
      </c>
      <c r="B14" s="37" t="inlineStr">
        <is>
          <t>BK-HS-0310</t>
        </is>
      </c>
      <c r="C14" s="37" t="inlineStr">
        <is>
          <t>Trần Đức Phú</t>
        </is>
      </c>
      <c r="D14" s="37" t="inlineStr">
        <is>
          <t>Phòng Đo đạc</t>
        </is>
      </c>
      <c r="E14" s="37" t="inlineStr">
        <is>
          <t>Cấp đổi</t>
        </is>
      </c>
      <c r="F14" s="27" t="n">
        <v>45957</v>
      </c>
      <c r="G14" s="29" t="n">
        <v>25000000</v>
      </c>
      <c r="H14" s="29" t="n">
        <v>0</v>
      </c>
      <c r="I14" s="29">
        <f>IF(G14="","",G14-H14)</f>
        <v/>
      </c>
      <c r="J14" s="37">
        <f>IF(A14="","",IF(I14&lt;=0,"Đã tất toán",IF(L14&lt;TODAY(),"Quá hạn","Còn nợ")))</f>
        <v/>
      </c>
      <c r="K14" s="37" t="inlineStr">
        <is>
          <t>Hoàng Quân</t>
        </is>
      </c>
      <c r="L14" s="27" t="n"/>
      <c r="M14" s="37" t="n"/>
    </row>
    <row r="15">
      <c r="A15" s="37" t="inlineStr">
        <is>
          <t>544-1/BK-2025</t>
        </is>
      </c>
      <c r="B15" s="37" t="inlineStr">
        <is>
          <t>BK-HS-0309</t>
        </is>
      </c>
      <c r="C15" s="37" t="inlineStr">
        <is>
          <t>Trần Đức Phú</t>
        </is>
      </c>
      <c r="D15" s="37" t="inlineStr">
        <is>
          <t>Phòng Đo đạc</t>
        </is>
      </c>
      <c r="E15" s="37" t="inlineStr">
        <is>
          <t>Cắm mốc</t>
        </is>
      </c>
      <c r="F15" s="27" t="n">
        <v>45957</v>
      </c>
      <c r="G15" s="29" t="n">
        <v>3900000</v>
      </c>
      <c r="H15" s="29" t="n">
        <v>3900000</v>
      </c>
      <c r="I15" s="29">
        <f>IF(G15="","",G15-H15)</f>
        <v/>
      </c>
      <c r="J15" s="37">
        <f>IF(A15="","",IF(I15&lt;=0,"Đã tất toán",IF(L15&lt;TODAY(),"Quá hạn","Còn nợ")))</f>
        <v/>
      </c>
      <c r="K15" s="37" t="inlineStr">
        <is>
          <t>Hoàng Quân</t>
        </is>
      </c>
      <c r="L15" s="27" t="n"/>
      <c r="M15" s="37" t="n"/>
    </row>
    <row r="16">
      <c r="A16" s="37" t="inlineStr">
        <is>
          <t>544-2/BK-2025</t>
        </is>
      </c>
      <c r="B16" s="37" t="inlineStr">
        <is>
          <t>BK-HS-0308</t>
        </is>
      </c>
      <c r="C16" s="37" t="inlineStr">
        <is>
          <t>Trần Đức Phú</t>
        </is>
      </c>
      <c r="D16" s="37" t="inlineStr">
        <is>
          <t>Phòng Đo đạc</t>
        </is>
      </c>
      <c r="E16" s="37" t="inlineStr">
        <is>
          <t>Đo GPS</t>
        </is>
      </c>
      <c r="F16" s="27" t="n">
        <v>45957</v>
      </c>
      <c r="G16" s="29" t="n">
        <v>1</v>
      </c>
      <c r="H16" s="29" t="n">
        <v>1</v>
      </c>
      <c r="I16" s="29">
        <f>IF(G16="","",G16-H16)</f>
        <v/>
      </c>
      <c r="J16" s="37">
        <f>IF(A16="","",IF(I16&lt;=0,"Đã tất toán",IF(L16&lt;TODAY(),"Quá hạn","Còn nợ")))</f>
        <v/>
      </c>
      <c r="K16" s="37" t="inlineStr">
        <is>
          <t>Hoàng Quân</t>
        </is>
      </c>
      <c r="L16" s="27" t="n"/>
      <c r="M16" s="37" t="n"/>
    </row>
    <row r="17">
      <c r="A17" s="37" t="inlineStr">
        <is>
          <t>545/BK-2025</t>
        </is>
      </c>
      <c r="B17" s="37" t="inlineStr">
        <is>
          <t>BK-HS-0307</t>
        </is>
      </c>
      <c r="C17" s="37" t="inlineStr">
        <is>
          <t>Trần Quang Vinh</t>
        </is>
      </c>
      <c r="D17" s="37" t="inlineStr">
        <is>
          <t>Phòng Đo đạc</t>
        </is>
      </c>
      <c r="E17" s="37" t="inlineStr">
        <is>
          <t>Cắm mốc</t>
        </is>
      </c>
      <c r="F17" s="27" t="n">
        <v>45957</v>
      </c>
      <c r="G17" s="29" t="n">
        <v>3000000</v>
      </c>
      <c r="H17" s="29" t="n">
        <v>3000000</v>
      </c>
      <c r="I17" s="29">
        <f>IF(G17="","",G17-H17)</f>
        <v/>
      </c>
      <c r="J17" s="37">
        <f>IF(A17="","",IF(I17&lt;=0,"Đã tất toán",IF(L17&lt;TODAY(),"Quá hạn","Còn nợ")))</f>
        <v/>
      </c>
      <c r="K17" s="37" t="inlineStr">
        <is>
          <t>Hoàng Quân</t>
        </is>
      </c>
      <c r="L17" s="27" t="n"/>
      <c r="M17" s="37" t="n"/>
    </row>
    <row r="18">
      <c r="A18" s="37" t="inlineStr">
        <is>
          <t>546/BK-2025</t>
        </is>
      </c>
      <c r="B18" s="37" t="inlineStr">
        <is>
          <t>BK-HS-0306</t>
        </is>
      </c>
      <c r="C18" s="37" t="inlineStr">
        <is>
          <t>Trần Quang Vinh</t>
        </is>
      </c>
      <c r="D18" s="37" t="inlineStr">
        <is>
          <t>Phòng Đo đạc</t>
        </is>
      </c>
      <c r="E18" s="37" t="inlineStr">
        <is>
          <t>Cắm mốc</t>
        </is>
      </c>
      <c r="F18" s="27" t="n">
        <v>45957</v>
      </c>
      <c r="G18" s="29" t="n">
        <v>3000000</v>
      </c>
      <c r="H18" s="29" t="n">
        <v>3000000</v>
      </c>
      <c r="I18" s="29">
        <f>IF(G18="","",G18-H18)</f>
        <v/>
      </c>
      <c r="J18" s="37">
        <f>IF(A18="","",IF(I18&lt;=0,"Đã tất toán",IF(L18&lt;TODAY(),"Quá hạn","Còn nợ")))</f>
        <v/>
      </c>
      <c r="K18" s="37" t="inlineStr">
        <is>
          <t>Hoàng Quân</t>
        </is>
      </c>
      <c r="L18" s="27" t="n"/>
      <c r="M18" s="37" t="n"/>
    </row>
    <row r="19">
      <c r="A19" s="37" t="inlineStr">
        <is>
          <t>547/BK-2025</t>
        </is>
      </c>
      <c r="B19" s="37" t="inlineStr">
        <is>
          <t>BK-HS-0305</t>
        </is>
      </c>
      <c r="C19" s="37" t="inlineStr">
        <is>
          <t>Trần Quang Vinh</t>
        </is>
      </c>
      <c r="D19" s="37" t="inlineStr">
        <is>
          <t>Phòng Đo đạc</t>
        </is>
      </c>
      <c r="E19" s="37" t="inlineStr">
        <is>
          <t>Cắm mốc</t>
        </is>
      </c>
      <c r="F19" s="27" t="n">
        <v>45957</v>
      </c>
      <c r="G19" s="29" t="n">
        <v>3000000</v>
      </c>
      <c r="H19" s="29" t="n">
        <v>3000000</v>
      </c>
      <c r="I19" s="29">
        <f>IF(G19="","",G19-H19)</f>
        <v/>
      </c>
      <c r="J19" s="37">
        <f>IF(A19="","",IF(I19&lt;=0,"Đã tất toán",IF(L19&lt;TODAY(),"Quá hạn","Còn nợ")))</f>
        <v/>
      </c>
      <c r="K19" s="37" t="inlineStr">
        <is>
          <t>Hoàng Quân</t>
        </is>
      </c>
      <c r="L19" s="27" t="n"/>
      <c r="M19" s="37" t="n"/>
    </row>
    <row r="20">
      <c r="A20" s="37" t="inlineStr">
        <is>
          <t>548/BK-2025</t>
        </is>
      </c>
      <c r="B20" s="37" t="inlineStr">
        <is>
          <t>BK-HS-0304</t>
        </is>
      </c>
      <c r="C20" s="37" t="inlineStr">
        <is>
          <t>Ngô Thanh Quyền</t>
        </is>
      </c>
      <c r="D20" s="37" t="inlineStr">
        <is>
          <t>Phòng Đo đạc</t>
        </is>
      </c>
      <c r="E20" s="37" t="inlineStr">
        <is>
          <t>Cấp đổi</t>
        </is>
      </c>
      <c r="F20" s="27" t="n">
        <v>45958</v>
      </c>
      <c r="G20" s="29" t="n">
        <v>18000000</v>
      </c>
      <c r="H20" s="29" t="n">
        <v>18000000</v>
      </c>
      <c r="I20" s="29">
        <f>IF(G20="","",G20-H20)</f>
        <v/>
      </c>
      <c r="J20" s="37">
        <f>IF(A20="","",IF(I20&lt;=0,"Đã tất toán",IF(L20&lt;TODAY(),"Quá hạn","Còn nợ")))</f>
        <v/>
      </c>
      <c r="K20" s="37" t="inlineStr">
        <is>
          <t>Nguyễn Hương DV</t>
        </is>
      </c>
      <c r="L20" s="27" t="n"/>
      <c r="M20" s="37" t="n"/>
    </row>
    <row r="21" ht="15.75" customHeight="1" s="56">
      <c r="A21" s="37" t="inlineStr">
        <is>
          <t>548-1/BK-2025</t>
        </is>
      </c>
      <c r="B21" s="37" t="inlineStr">
        <is>
          <t>BK-HS-0303</t>
        </is>
      </c>
      <c r="C21" s="37" t="inlineStr">
        <is>
          <t>Ngô Thanh Quyền</t>
        </is>
      </c>
      <c r="D21" s="37" t="inlineStr">
        <is>
          <t>Phòng Đo đạc</t>
        </is>
      </c>
      <c r="E21" s="37" t="inlineStr">
        <is>
          <t>Cắm mốc</t>
        </is>
      </c>
      <c r="F21" s="27" t="n">
        <v>45960</v>
      </c>
      <c r="G21" s="29" t="n">
        <v>1</v>
      </c>
      <c r="H21" s="29" t="n">
        <v>1</v>
      </c>
      <c r="I21" s="29">
        <f>IF(G21="","",G21-H21)</f>
        <v/>
      </c>
      <c r="J21" s="37">
        <f>IF(A21="","",IF(I21&lt;=0,"Đã tất toán",IF(L21&lt;TODAY(),"Quá hạn","Còn nợ")))</f>
        <v/>
      </c>
      <c r="K21" s="37" t="inlineStr">
        <is>
          <t>Nguyễn Hương DV</t>
        </is>
      </c>
      <c r="L21" s="27" t="n"/>
      <c r="M21" s="37" t="n"/>
    </row>
    <row r="22" ht="15.75" customHeight="1" s="56">
      <c r="A22" s="37" t="inlineStr">
        <is>
          <t>535-2/BK-2025</t>
        </is>
      </c>
      <c r="B22" s="37" t="inlineStr">
        <is>
          <t>BK-HS-0302</t>
        </is>
      </c>
      <c r="C22" s="37" t="inlineStr">
        <is>
          <t>Võ Văn Ninh</t>
        </is>
      </c>
      <c r="D22" s="37" t="inlineStr">
        <is>
          <t>Phòng Đo đạc</t>
        </is>
      </c>
      <c r="E22" s="37" t="inlineStr">
        <is>
          <t>Cắm mốc</t>
        </is>
      </c>
      <c r="F22" s="27" t="n">
        <v>45960</v>
      </c>
      <c r="G22" s="29" t="n">
        <v>15000000</v>
      </c>
      <c r="H22" s="29" t="n">
        <v>15000000</v>
      </c>
      <c r="I22" s="29">
        <f>IF(G22="","",G22-H22)</f>
        <v/>
      </c>
      <c r="J22" s="37">
        <f>IF(A22="","",IF(I22&lt;=0,"Đã tất toán",IF(L22&lt;TODAY(),"Quá hạn","Còn nợ")))</f>
        <v/>
      </c>
      <c r="K22" s="37" t="inlineStr">
        <is>
          <t>Công Ty</t>
        </is>
      </c>
      <c r="L22" s="27" t="n"/>
      <c r="M22" s="37" t="n"/>
    </row>
    <row r="23" ht="15.75" customHeight="1" s="56">
      <c r="A23" s="37" t="inlineStr">
        <is>
          <t>549/BK-2025</t>
        </is>
      </c>
      <c r="B23" s="37" t="inlineStr">
        <is>
          <t>BK-HS-0301</t>
        </is>
      </c>
      <c r="C23" s="37" t="inlineStr">
        <is>
          <t>Lý Thị Mỹ Phượng</t>
        </is>
      </c>
      <c r="D23" s="37" t="inlineStr">
        <is>
          <t>Phòng Đo đạc</t>
        </is>
      </c>
      <c r="E23" s="37" t="inlineStr">
        <is>
          <t>Hoàn công</t>
        </is>
      </c>
      <c r="F23" s="27" t="n">
        <v>45960</v>
      </c>
      <c r="G23" s="29" t="n">
        <v>1</v>
      </c>
      <c r="H23" s="29" t="n">
        <v>1</v>
      </c>
      <c r="I23" s="29">
        <f>IF(G23="","",G23-H23)</f>
        <v/>
      </c>
      <c r="J23" s="37">
        <f>IF(A23="","",IF(I23&lt;=0,"Đã tất toán",IF(L23&lt;TODAY(),"Quá hạn","Còn nợ")))</f>
        <v/>
      </c>
      <c r="K23" s="37" t="inlineStr">
        <is>
          <t>Tấn Hiếu DV</t>
        </is>
      </c>
      <c r="L23" s="27" t="n"/>
      <c r="M23" s="37" t="n"/>
    </row>
    <row r="24" ht="15.75" customHeight="1" s="56">
      <c r="A24" s="37" t="inlineStr">
        <is>
          <t>540-1/BK-2025</t>
        </is>
      </c>
      <c r="B24" s="37" t="inlineStr">
        <is>
          <t>BK-HS-0300</t>
        </is>
      </c>
      <c r="C24" s="37" t="inlineStr">
        <is>
          <t>Phạm Thị Phương</t>
        </is>
      </c>
      <c r="D24" s="37" t="inlineStr">
        <is>
          <t>Phòng Đo đạc</t>
        </is>
      </c>
      <c r="E24" s="37" t="inlineStr">
        <is>
          <t>Cắm mốc</t>
        </is>
      </c>
      <c r="F24" s="27" t="n">
        <v>45960</v>
      </c>
      <c r="G24" s="29" t="n">
        <v>3400000</v>
      </c>
      <c r="H24" s="29" t="n">
        <v>3400000</v>
      </c>
      <c r="I24" s="29">
        <f>IF(G24="","",G24-H24)</f>
        <v/>
      </c>
      <c r="J24" s="37">
        <f>IF(A24="","",IF(I24&lt;=0,"Đã tất toán",IF(L24&lt;TODAY(),"Quá hạn","Còn nợ")))</f>
        <v/>
      </c>
      <c r="K24" s="37" t="inlineStr">
        <is>
          <t>Nguyễn Khoa DV</t>
        </is>
      </c>
      <c r="L24" s="27" t="n"/>
      <c r="M24" s="37" t="n"/>
    </row>
    <row r="25" ht="15.75" customHeight="1" s="56">
      <c r="A25" s="37" t="inlineStr">
        <is>
          <t>540-2/BK-2025</t>
        </is>
      </c>
      <c r="B25" s="37" t="inlineStr">
        <is>
          <t>BK-HS-0299</t>
        </is>
      </c>
      <c r="C25" s="37" t="inlineStr">
        <is>
          <t>Phạm Thị Phương</t>
        </is>
      </c>
      <c r="D25" s="37" t="inlineStr">
        <is>
          <t>Phòng Đo đạc</t>
        </is>
      </c>
      <c r="E25" s="37" t="inlineStr">
        <is>
          <t>Xác định diện tích</t>
        </is>
      </c>
      <c r="F25" s="27" t="n">
        <v>45960</v>
      </c>
      <c r="G25" s="29" t="n">
        <v>1</v>
      </c>
      <c r="H25" s="29" t="n">
        <v>1</v>
      </c>
      <c r="I25" s="29">
        <f>IF(G25="","",G25-H25)</f>
        <v/>
      </c>
      <c r="J25" s="37">
        <f>IF(A25="","",IF(I25&lt;=0,"Đã tất toán",IF(L25&lt;TODAY(),"Quá hạn","Còn nợ")))</f>
        <v/>
      </c>
      <c r="K25" s="37" t="inlineStr">
        <is>
          <t>Nguyễn Khoa DV</t>
        </is>
      </c>
      <c r="L25" s="27" t="n"/>
      <c r="M25" s="37" t="n"/>
    </row>
    <row r="26" ht="15.75" customHeight="1" s="56">
      <c r="A26" s="37" t="inlineStr">
        <is>
          <t>384-1/BK-2025</t>
        </is>
      </c>
      <c r="B26" s="37" t="inlineStr">
        <is>
          <t>BK-HS-0298</t>
        </is>
      </c>
      <c r="C26" s="37" t="inlineStr">
        <is>
          <t>Trần Phước Vân</t>
        </is>
      </c>
      <c r="D26" s="37" t="inlineStr">
        <is>
          <t>Phòng Đo đạc</t>
        </is>
      </c>
      <c r="E26" s="37" t="inlineStr">
        <is>
          <t>Cắm mốc</t>
        </is>
      </c>
      <c r="F26" s="27" t="n">
        <v>45961</v>
      </c>
      <c r="G26" s="29" t="n">
        <v>3000000</v>
      </c>
      <c r="H26" s="29" t="n">
        <v>3000000</v>
      </c>
      <c r="I26" s="29">
        <f>IF(G26="","",G26-H26)</f>
        <v/>
      </c>
      <c r="J26" s="37">
        <f>IF(A26="","",IF(I26&lt;=0,"Đã tất toán",IF(L26&lt;TODAY(),"Quá hạn","Còn nợ")))</f>
        <v/>
      </c>
      <c r="K26" s="37" t="inlineStr">
        <is>
          <t>Tuấn Đen</t>
        </is>
      </c>
      <c r="L26" s="27" t="n"/>
      <c r="M26" s="37" t="n"/>
    </row>
    <row r="27" ht="15.75" customHeight="1" s="56">
      <c r="A27" s="37" t="inlineStr">
        <is>
          <t>550/BK-2025</t>
        </is>
      </c>
      <c r="B27" s="37" t="inlineStr">
        <is>
          <t>BK-HS-0297</t>
        </is>
      </c>
      <c r="C27" s="37" t="inlineStr">
        <is>
          <t>Nguyễn Minh Chữ</t>
        </is>
      </c>
      <c r="D27" s="37" t="inlineStr">
        <is>
          <t>Phòng Đo đạc</t>
        </is>
      </c>
      <c r="E27" s="37" t="inlineStr">
        <is>
          <t>Cắm mốc</t>
        </is>
      </c>
      <c r="F27" s="27" t="n">
        <v>45963</v>
      </c>
      <c r="G27" s="29" t="n">
        <v>2500000</v>
      </c>
      <c r="H27" s="29" t="n">
        <v>2500000</v>
      </c>
      <c r="I27" s="29">
        <f>IF(G27="","",G27-H27)</f>
        <v/>
      </c>
      <c r="J27" s="37">
        <f>IF(A27="","",IF(I27&lt;=0,"Đã tất toán",IF(L27&lt;TODAY(),"Quá hạn","Còn nợ")))</f>
        <v/>
      </c>
      <c r="K27" s="37" t="inlineStr">
        <is>
          <t>Chú Loan DV</t>
        </is>
      </c>
      <c r="L27" s="27" t="n"/>
      <c r="M27" s="37" t="n"/>
    </row>
    <row r="28" ht="15.75" customHeight="1" s="56">
      <c r="A28" s="37" t="inlineStr">
        <is>
          <t>551/BK-2025</t>
        </is>
      </c>
      <c r="B28" s="37" t="inlineStr">
        <is>
          <t>BK-HS-0296</t>
        </is>
      </c>
      <c r="C28" s="37" t="inlineStr">
        <is>
          <t>Lưu Thành Công</t>
        </is>
      </c>
      <c r="D28" s="37" t="inlineStr">
        <is>
          <t>Phòng Đo đạc</t>
        </is>
      </c>
      <c r="E28" s="37" t="inlineStr">
        <is>
          <t>Cấp đổi</t>
        </is>
      </c>
      <c r="F28" s="27" t="n">
        <v>45963</v>
      </c>
      <c r="G28" s="29" t="n">
        <v>11000000</v>
      </c>
      <c r="H28" s="29" t="n">
        <v>11000000</v>
      </c>
      <c r="I28" s="29">
        <f>IF(G28="","",G28-H28)</f>
        <v/>
      </c>
      <c r="J28" s="37">
        <f>IF(A28="","",IF(I28&lt;=0,"Đã tất toán",IF(L28&lt;TODAY(),"Quá hạn","Còn nợ")))</f>
        <v/>
      </c>
      <c r="K28" s="37" t="inlineStr">
        <is>
          <t>Công Ty</t>
        </is>
      </c>
      <c r="L28" s="27" t="n"/>
      <c r="M28" s="37" t="n"/>
    </row>
    <row r="29" ht="15.75" customHeight="1" s="56">
      <c r="A29" s="37" t="inlineStr">
        <is>
          <t>551-1/BK-2025</t>
        </is>
      </c>
      <c r="B29" s="37" t="inlineStr">
        <is>
          <t>BK-HS-0295</t>
        </is>
      </c>
      <c r="C29" s="37" t="inlineStr">
        <is>
          <t>Lưu Thành Công</t>
        </is>
      </c>
      <c r="D29" s="37" t="inlineStr">
        <is>
          <t>Phòng Đo đạc</t>
        </is>
      </c>
      <c r="E29" s="37" t="inlineStr">
        <is>
          <t>Cắm mốc</t>
        </is>
      </c>
      <c r="F29" s="27" t="n">
        <v>45963</v>
      </c>
      <c r="G29" s="29" t="n">
        <v>3000000</v>
      </c>
      <c r="H29" s="29" t="n">
        <v>3000000</v>
      </c>
      <c r="I29" s="29">
        <f>IF(G29="","",G29-H29)</f>
        <v/>
      </c>
      <c r="J29" s="37">
        <f>IF(A29="","",IF(I29&lt;=0,"Đã tất toán",IF(L29&lt;TODAY(),"Quá hạn","Còn nợ")))</f>
        <v/>
      </c>
      <c r="K29" s="37" t="inlineStr">
        <is>
          <t>Công Ty</t>
        </is>
      </c>
      <c r="L29" s="27" t="n"/>
      <c r="M29" s="37" t="n"/>
    </row>
    <row r="30" ht="15.75" customHeight="1" s="56">
      <c r="A30" s="37" t="inlineStr">
        <is>
          <t>552/BK-2025</t>
        </is>
      </c>
      <c r="B30" s="37" t="inlineStr">
        <is>
          <t>BK-HS-0294</t>
        </is>
      </c>
      <c r="C30" s="37" t="inlineStr">
        <is>
          <t>Phùng Như Hòa- Lương Thị Bộ</t>
        </is>
      </c>
      <c r="D30" s="37" t="inlineStr">
        <is>
          <t>Phòng Đo đạc</t>
        </is>
      </c>
      <c r="E30" s="37" t="inlineStr">
        <is>
          <t>Hoàn công</t>
        </is>
      </c>
      <c r="F30" s="27" t="n">
        <v>45964</v>
      </c>
      <c r="G30" s="29" t="n">
        <v>18000000</v>
      </c>
      <c r="H30" s="29" t="n">
        <v>18000000</v>
      </c>
      <c r="I30" s="29">
        <f>IF(G30="","",G30-H30)</f>
        <v/>
      </c>
      <c r="J30" s="37">
        <f>IF(A30="","",IF(I30&lt;=0,"Đã tất toán",IF(L30&lt;TODAY(),"Quá hạn","Còn nợ")))</f>
        <v/>
      </c>
      <c r="K30" s="37" t="inlineStr">
        <is>
          <t>Công Ty</t>
        </is>
      </c>
      <c r="L30" s="27" t="n"/>
      <c r="M30" s="37" t="n"/>
    </row>
    <row r="31" ht="15.75" customHeight="1" s="56">
      <c r="A31" s="37" t="inlineStr">
        <is>
          <t>553/BK-2025</t>
        </is>
      </c>
      <c r="B31" s="37" t="inlineStr">
        <is>
          <t>BK-HS-0293</t>
        </is>
      </c>
      <c r="C31" s="37" t="inlineStr">
        <is>
          <t>Nguyễn Văn Đạo</t>
        </is>
      </c>
      <c r="D31" s="37" t="inlineStr">
        <is>
          <t>Phòng Đo đạc</t>
        </is>
      </c>
      <c r="E31" s="37" t="inlineStr">
        <is>
          <t>Cắm mốc</t>
        </is>
      </c>
      <c r="F31" s="27" t="n">
        <v>45962</v>
      </c>
      <c r="G31" s="29" t="n">
        <v>3000000</v>
      </c>
      <c r="H31" s="29" t="n">
        <v>3000000</v>
      </c>
      <c r="I31" s="29">
        <f>IF(G31="","",G31-H31)</f>
        <v/>
      </c>
      <c r="J31" s="37">
        <f>IF(A31="","",IF(I31&lt;=0,"Đã tất toán",IF(L31&lt;TODAY(),"Quá hạn","Còn nợ")))</f>
        <v/>
      </c>
      <c r="K31" s="37" t="inlineStr">
        <is>
          <t>Hoàng Quân</t>
        </is>
      </c>
      <c r="L31" s="27" t="n"/>
      <c r="M31" s="37" t="n"/>
    </row>
    <row r="32" ht="15.75" customHeight="1" s="56">
      <c r="A32" s="37" t="inlineStr">
        <is>
          <t>557/BK-2025</t>
        </is>
      </c>
      <c r="B32" s="37" t="inlineStr">
        <is>
          <t>BK-HS-0292</t>
        </is>
      </c>
      <c r="C32" s="37" t="inlineStr">
        <is>
          <t>Trần Thị San</t>
        </is>
      </c>
      <c r="D32" s="37" t="inlineStr">
        <is>
          <t>Phòng Đo đạc</t>
        </is>
      </c>
      <c r="E32" s="37" t="inlineStr">
        <is>
          <t>Cấp đổi</t>
        </is>
      </c>
      <c r="F32" s="27" t="n">
        <v>45967</v>
      </c>
      <c r="G32" s="29" t="n">
        <v>25000000</v>
      </c>
      <c r="H32" s="29" t="n">
        <v>25000000</v>
      </c>
      <c r="I32" s="29">
        <f>IF(G32="","",G32-H32)</f>
        <v/>
      </c>
      <c r="J32" s="37">
        <f>IF(A32="","",IF(I32&lt;=0,"Đã tất toán",IF(L32&lt;TODAY(),"Quá hạn","Còn nợ")))</f>
        <v/>
      </c>
      <c r="K32" s="37" t="inlineStr">
        <is>
          <t>Cô Hoa</t>
        </is>
      </c>
      <c r="L32" s="27" t="n"/>
      <c r="M32" s="37" t="n"/>
    </row>
    <row r="33" ht="15.75" customHeight="1" s="56">
      <c r="A33" s="37" t="inlineStr">
        <is>
          <t>558/BK-2025</t>
        </is>
      </c>
      <c r="B33" s="37" t="inlineStr">
        <is>
          <t>BK-HS-0291</t>
        </is>
      </c>
      <c r="C33" s="37" t="inlineStr">
        <is>
          <t>Trương Yến Chi</t>
        </is>
      </c>
      <c r="D33" s="37" t="inlineStr">
        <is>
          <t>Phòng Đo đạc</t>
        </is>
      </c>
      <c r="E33" s="37" t="inlineStr">
        <is>
          <t>Cấp đổi</t>
        </is>
      </c>
      <c r="F33" s="27" t="n">
        <v>45967</v>
      </c>
      <c r="G33" s="29" t="n">
        <v>14000000</v>
      </c>
      <c r="H33" s="29" t="n">
        <v>14000000</v>
      </c>
      <c r="I33" s="29">
        <f>IF(G33="","",G33-H33)</f>
        <v/>
      </c>
      <c r="J33" s="37">
        <f>IF(A33="","",IF(I33&lt;=0,"Đã tất toán",IF(L33&lt;TODAY(),"Quá hạn","Còn nợ")))</f>
        <v/>
      </c>
      <c r="K33" s="37" t="inlineStr">
        <is>
          <t>Công Ty</t>
        </is>
      </c>
      <c r="L33" s="27" t="n"/>
      <c r="M33" s="37" t="n"/>
    </row>
    <row r="34" ht="15.75" customHeight="1" s="56">
      <c r="A34" s="37" t="inlineStr">
        <is>
          <t>559/BK-2025</t>
        </is>
      </c>
      <c r="B34" s="37" t="inlineStr">
        <is>
          <t>BK-HS-0290</t>
        </is>
      </c>
      <c r="C34" s="37" t="inlineStr">
        <is>
          <t>Hà Đăng Hiền</t>
        </is>
      </c>
      <c r="D34" s="37" t="inlineStr">
        <is>
          <t>Phòng Đo đạc</t>
        </is>
      </c>
      <c r="E34" s="37" t="inlineStr">
        <is>
          <t>Điều chỉnh bản vẽ</t>
        </is>
      </c>
      <c r="F34" s="27" t="n">
        <v>45967</v>
      </c>
      <c r="G34" s="29" t="n">
        <v>2000000</v>
      </c>
      <c r="H34" s="29" t="n">
        <v>2000000</v>
      </c>
      <c r="I34" s="29">
        <f>IF(G34="","",G34-H34)</f>
        <v/>
      </c>
      <c r="J34" s="37">
        <f>IF(A34="","",IF(I34&lt;=0,"Đã tất toán",IF(L34&lt;TODAY(),"Quá hạn","Còn nợ")))</f>
        <v/>
      </c>
      <c r="K34" s="37" t="inlineStr">
        <is>
          <t>Công Ty</t>
        </is>
      </c>
      <c r="L34" s="27" t="n"/>
      <c r="M34" s="37" t="n"/>
    </row>
    <row r="35" ht="15.75" customHeight="1" s="56">
      <c r="A35" s="37" t="inlineStr">
        <is>
          <t>560/BK-2025</t>
        </is>
      </c>
      <c r="B35" s="37" t="inlineStr">
        <is>
          <t>BK-HS-0289</t>
        </is>
      </c>
      <c r="C35" s="37" t="inlineStr">
        <is>
          <t>Lương Chí Thìn</t>
        </is>
      </c>
      <c r="D35" s="37" t="inlineStr">
        <is>
          <t>Phòng Đo đạc</t>
        </is>
      </c>
      <c r="E35" s="37" t="inlineStr">
        <is>
          <t>Xác định diện tích</t>
        </is>
      </c>
      <c r="F35" s="27" t="n">
        <v>45967</v>
      </c>
      <c r="G35" s="29" t="n">
        <v>10000000</v>
      </c>
      <c r="H35" s="29" t="n">
        <v>10000000</v>
      </c>
      <c r="I35" s="29">
        <f>IF(G35="","",G35-H35)</f>
        <v/>
      </c>
      <c r="J35" s="37">
        <f>IF(A35="","",IF(I35&lt;=0,"Đã tất toán",IF(L35&lt;TODAY(),"Quá hạn","Còn nợ")))</f>
        <v/>
      </c>
      <c r="K35" s="37" t="inlineStr">
        <is>
          <t>Công Ty</t>
        </is>
      </c>
      <c r="L35" s="27" t="n"/>
      <c r="M35" s="37" t="n"/>
    </row>
    <row r="36" ht="15.75" customHeight="1" s="56">
      <c r="A36" s="37" t="inlineStr">
        <is>
          <t>561/BK-2025</t>
        </is>
      </c>
      <c r="B36" s="37" t="inlineStr">
        <is>
          <t>BK-HS-0288</t>
        </is>
      </c>
      <c r="C36" s="37" t="inlineStr">
        <is>
          <t>Dragon</t>
        </is>
      </c>
      <c r="D36" s="37" t="inlineStr">
        <is>
          <t>Phòng Đo đạc</t>
        </is>
      </c>
      <c r="E36" s="37" t="inlineStr">
        <is>
          <t>Cắm mốc</t>
        </is>
      </c>
      <c r="F36" s="27" t="n">
        <v>45967</v>
      </c>
      <c r="G36" s="29" t="n">
        <v>3500000</v>
      </c>
      <c r="H36" s="29" t="n">
        <v>3500000</v>
      </c>
      <c r="I36" s="29">
        <f>IF(G36="","",G36-H36)</f>
        <v/>
      </c>
      <c r="J36" s="37">
        <f>IF(A36="","",IF(I36&lt;=0,"Đã tất toán",IF(L36&lt;TODAY(),"Quá hạn","Còn nợ")))</f>
        <v/>
      </c>
      <c r="K36" s="37" t="inlineStr">
        <is>
          <t>Công Ty</t>
        </is>
      </c>
      <c r="L36" s="27" t="n"/>
      <c r="M36" s="37" t="n"/>
    </row>
    <row r="37" ht="15.75" customHeight="1" s="56">
      <c r="A37" s="37" t="inlineStr">
        <is>
          <t>562/BK-2025</t>
        </is>
      </c>
      <c r="B37" s="37" t="inlineStr">
        <is>
          <t>BK-HS-0287</t>
        </is>
      </c>
      <c r="C37" s="37" t="inlineStr">
        <is>
          <t>Lê Thị Nguyệt</t>
        </is>
      </c>
      <c r="D37" s="37" t="inlineStr">
        <is>
          <t>Phòng Đo đạc</t>
        </is>
      </c>
      <c r="E37" s="37" t="inlineStr">
        <is>
          <t>Xác định diện tích</t>
        </is>
      </c>
      <c r="F37" s="27" t="n">
        <v>45968</v>
      </c>
      <c r="G37" s="29" t="n">
        <v>5000000</v>
      </c>
      <c r="H37" s="29" t="n">
        <v>5000000</v>
      </c>
      <c r="I37" s="29">
        <f>IF(G37="","",G37-H37)</f>
        <v/>
      </c>
      <c r="J37" s="37">
        <f>IF(A37="","",IF(I37&lt;=0,"Đã tất toán",IF(L37&lt;TODAY(),"Quá hạn","Còn nợ")))</f>
        <v/>
      </c>
      <c r="K37" s="37" t="inlineStr">
        <is>
          <t>Công Ty</t>
        </is>
      </c>
      <c r="L37" s="27" t="n"/>
      <c r="M37" s="37" t="n"/>
    </row>
    <row r="38" ht="15.75" customHeight="1" s="56">
      <c r="A38" s="37" t="inlineStr">
        <is>
          <t>563-1/BK-2025</t>
        </is>
      </c>
      <c r="B38" s="37" t="inlineStr">
        <is>
          <t>BK-HS-0286</t>
        </is>
      </c>
      <c r="C38" s="37" t="inlineStr">
        <is>
          <t>Đặng Minh Hoà</t>
        </is>
      </c>
      <c r="D38" s="37" t="inlineStr">
        <is>
          <t>Phòng Đo đạc</t>
        </is>
      </c>
      <c r="E38" s="37" t="inlineStr">
        <is>
          <t>Tách Thửa</t>
        </is>
      </c>
      <c r="F38" s="27" t="n">
        <v>45970</v>
      </c>
      <c r="G38" s="29" t="n">
        <v>10000000</v>
      </c>
      <c r="H38" s="29" t="n">
        <v>10000000</v>
      </c>
      <c r="I38" s="29">
        <f>IF(G38="","",G38-H38)</f>
        <v/>
      </c>
      <c r="J38" s="37">
        <f>IF(A38="","",IF(I38&lt;=0,"Đã tất toán",IF(L38&lt;TODAY(),"Quá hạn","Còn nợ")))</f>
        <v/>
      </c>
      <c r="K38" s="37" t="inlineStr">
        <is>
          <t>Chinh Đen</t>
        </is>
      </c>
      <c r="L38" s="27" t="n"/>
      <c r="M38" s="37" t="n"/>
    </row>
    <row r="39" ht="15.75" customHeight="1" s="56">
      <c r="A39" s="37" t="inlineStr">
        <is>
          <t>563-2/BK-2025</t>
        </is>
      </c>
      <c r="B39" s="37" t="inlineStr">
        <is>
          <t>BK-HS-0285</t>
        </is>
      </c>
      <c r="C39" s="37" t="inlineStr">
        <is>
          <t>Đặng Minh Hoà</t>
        </is>
      </c>
      <c r="D39" s="37" t="inlineStr">
        <is>
          <t>Phòng Đo đạc</t>
        </is>
      </c>
      <c r="E39" s="37" t="inlineStr">
        <is>
          <t>Tách Thửa</t>
        </is>
      </c>
      <c r="F39" s="27" t="n">
        <v>45970</v>
      </c>
      <c r="G39" s="29" t="n">
        <v>10000000</v>
      </c>
      <c r="H39" s="29" t="n">
        <v>10000000</v>
      </c>
      <c r="I39" s="29">
        <f>IF(G39="","",G39-H39)</f>
        <v/>
      </c>
      <c r="J39" s="37">
        <f>IF(A39="","",IF(I39&lt;=0,"Đã tất toán",IF(L39&lt;TODAY(),"Quá hạn","Còn nợ")))</f>
        <v/>
      </c>
      <c r="K39" s="37" t="inlineStr">
        <is>
          <t>Chinh Đen</t>
        </is>
      </c>
      <c r="L39" s="27" t="n"/>
      <c r="M39" s="37" t="n"/>
    </row>
    <row r="40" ht="15.75" customHeight="1" s="56">
      <c r="A40" s="37" t="inlineStr">
        <is>
          <t>558-1/BK-2025</t>
        </is>
      </c>
      <c r="B40" s="37" t="inlineStr">
        <is>
          <t>BK-HS-0284</t>
        </is>
      </c>
      <c r="C40" s="37" t="inlineStr">
        <is>
          <t>Trương Yến Chi</t>
        </is>
      </c>
      <c r="D40" s="37" t="inlineStr">
        <is>
          <t>Phòng Đo đạc</t>
        </is>
      </c>
      <c r="E40" s="37" t="inlineStr">
        <is>
          <t>Cắm mốc</t>
        </is>
      </c>
      <c r="F40" s="27" t="n">
        <v>45970</v>
      </c>
      <c r="G40" s="29" t="n">
        <v>3000000</v>
      </c>
      <c r="H40" s="29" t="n">
        <v>3000000</v>
      </c>
      <c r="I40" s="29">
        <f>IF(G40="","",G40-H40)</f>
        <v/>
      </c>
      <c r="J40" s="37">
        <f>IF(A40="","",IF(I40&lt;=0,"Đã tất toán",IF(L40&lt;TODAY(),"Quá hạn","Còn nợ")))</f>
        <v/>
      </c>
      <c r="K40" s="37" t="inlineStr">
        <is>
          <t>Công Ty</t>
        </is>
      </c>
      <c r="L40" s="27" t="n"/>
      <c r="M40" s="37" t="n"/>
    </row>
    <row r="41" ht="15.75" customHeight="1" s="56">
      <c r="A41" s="37" t="inlineStr">
        <is>
          <t>564/BK-2025</t>
        </is>
      </c>
      <c r="B41" s="37" t="inlineStr">
        <is>
          <t>BK-HS-0283</t>
        </is>
      </c>
      <c r="C41" s="37" t="inlineStr">
        <is>
          <t>Phạm Gia Minh</t>
        </is>
      </c>
      <c r="D41" s="37" t="inlineStr">
        <is>
          <t>Phòng Đo đạc</t>
        </is>
      </c>
      <c r="E41" s="37" t="inlineStr">
        <is>
          <t>Hoàn công</t>
        </is>
      </c>
      <c r="F41" s="27" t="n">
        <v>45970</v>
      </c>
      <c r="G41" s="29" t="n"/>
      <c r="H41" s="29" t="n">
        <v>0</v>
      </c>
      <c r="I41" s="29">
        <f>IF(G41="","",G41-H41)</f>
        <v/>
      </c>
      <c r="J41" s="37">
        <f>IF(A41="","",IF(I41&lt;=0,"Đã tất toán",IF(L41&lt;TODAY(),"Quá hạn","Còn nợ")))</f>
        <v/>
      </c>
      <c r="K41" s="37" t="inlineStr">
        <is>
          <t>Anh Long PCT</t>
        </is>
      </c>
      <c r="L41" s="27" t="n"/>
      <c r="M41" s="37" t="n"/>
    </row>
    <row r="42" ht="15.75" customHeight="1" s="56">
      <c r="A42" s="37" t="inlineStr">
        <is>
          <t>355-1/BK-2025</t>
        </is>
      </c>
      <c r="B42" s="37" t="inlineStr">
        <is>
          <t>BK-HS-0282</t>
        </is>
      </c>
      <c r="C42" s="37" t="inlineStr">
        <is>
          <t>Nguyễn Thị Vinh</t>
        </is>
      </c>
      <c r="D42" s="37" t="inlineStr">
        <is>
          <t>Phòng Đo đạc</t>
        </is>
      </c>
      <c r="E42" s="37" t="inlineStr">
        <is>
          <t>Cắm mốc</t>
        </is>
      </c>
      <c r="F42" s="27" t="n">
        <v>45970</v>
      </c>
      <c r="G42" s="29" t="n">
        <v>1</v>
      </c>
      <c r="H42" s="29" t="n">
        <v>1</v>
      </c>
      <c r="I42" s="29">
        <f>IF(G42="","",G42-H42)</f>
        <v/>
      </c>
      <c r="J42" s="37">
        <f>IF(A42="","",IF(I42&lt;=0,"Đã tất toán",IF(L42&lt;TODAY(),"Quá hạn","Còn nợ")))</f>
        <v/>
      </c>
      <c r="K42" s="37" t="inlineStr">
        <is>
          <t>Công Ty</t>
        </is>
      </c>
      <c r="L42" s="27" t="n"/>
      <c r="M42" s="37" t="n"/>
    </row>
    <row r="43" ht="15.75" customHeight="1" s="56">
      <c r="A43" s="37" t="inlineStr">
        <is>
          <t>565/BK-2025</t>
        </is>
      </c>
      <c r="B43" s="37" t="inlineStr">
        <is>
          <t>BK-HS-0281</t>
        </is>
      </c>
      <c r="C43" s="37" t="inlineStr">
        <is>
          <t>Hoàng Anh Tú</t>
        </is>
      </c>
      <c r="D43" s="37" t="inlineStr">
        <is>
          <t>Phòng Đo đạc</t>
        </is>
      </c>
      <c r="E43" s="37" t="inlineStr">
        <is>
          <t>Chuyển mục đích</t>
        </is>
      </c>
      <c r="F43" s="27" t="n">
        <v>45970</v>
      </c>
      <c r="G43" s="29" t="n">
        <v>20000000</v>
      </c>
      <c r="H43" s="29" t="n">
        <v>20000000</v>
      </c>
      <c r="I43" s="29">
        <f>IF(G43="","",G43-H43)</f>
        <v/>
      </c>
      <c r="J43" s="37">
        <f>IF(A43="","",IF(I43&lt;=0,"Đã tất toán",IF(L43&lt;TODAY(),"Quá hạn","Còn nợ")))</f>
        <v/>
      </c>
      <c r="K43" s="37" t="inlineStr">
        <is>
          <t>Anh Long PCT</t>
        </is>
      </c>
      <c r="L43" s="27" t="n"/>
      <c r="M43" s="37" t="n"/>
    </row>
    <row r="44" ht="15.75" customHeight="1" s="56">
      <c r="A44" s="37" t="inlineStr">
        <is>
          <t>566/BK-2025</t>
        </is>
      </c>
      <c r="B44" s="37" t="inlineStr">
        <is>
          <t>BK-HS-0280</t>
        </is>
      </c>
      <c r="C44" s="37" t="inlineStr">
        <is>
          <t>Nguyễn Văn Phúc</t>
        </is>
      </c>
      <c r="D44" s="37" t="inlineStr">
        <is>
          <t>Phòng Đo đạc</t>
        </is>
      </c>
      <c r="E44" s="37" t="inlineStr">
        <is>
          <t>Cắm mốc</t>
        </is>
      </c>
      <c r="F44" s="27" t="n">
        <v>45969</v>
      </c>
      <c r="G44" s="29" t="n">
        <v>4000000</v>
      </c>
      <c r="H44" s="29" t="n">
        <v>4000000</v>
      </c>
      <c r="I44" s="29">
        <f>IF(G44="","",G44-H44)</f>
        <v/>
      </c>
      <c r="J44" s="37">
        <f>IF(A44="","",IF(I44&lt;=0,"Đã tất toán",IF(L44&lt;TODAY(),"Quá hạn","Còn nợ")))</f>
        <v/>
      </c>
      <c r="K44" s="37" t="inlineStr">
        <is>
          <t>Công Ty</t>
        </is>
      </c>
      <c r="L44" s="27" t="n"/>
      <c r="M44" s="37" t="n"/>
    </row>
    <row r="45" ht="15.75" customHeight="1" s="56">
      <c r="A45" s="37" t="inlineStr">
        <is>
          <t>285-1/BK-2025</t>
        </is>
      </c>
      <c r="B45" s="37" t="inlineStr">
        <is>
          <t>BK-HS-0279</t>
        </is>
      </c>
      <c r="C45" s="37" t="inlineStr">
        <is>
          <t>Nguyễn Văn Cơ</t>
        </is>
      </c>
      <c r="D45" s="37" t="inlineStr">
        <is>
          <t>Phòng Đo đạc</t>
        </is>
      </c>
      <c r="E45" s="37" t="inlineStr">
        <is>
          <t>Đo GPS</t>
        </is>
      </c>
      <c r="F45" s="27" t="n">
        <v>45972</v>
      </c>
      <c r="G45" s="29" t="n">
        <v>2</v>
      </c>
      <c r="H45" s="29" t="n">
        <v>2</v>
      </c>
      <c r="I45" s="29">
        <f>IF(G45="","",G45-H45)</f>
        <v/>
      </c>
      <c r="J45" s="37">
        <f>IF(A45="","",IF(I45&lt;=0,"Đã tất toán",IF(L45&lt;TODAY(),"Quá hạn","Còn nợ")))</f>
        <v/>
      </c>
      <c r="K45" s="37" t="inlineStr">
        <is>
          <t>Anh Minh DV HBP</t>
        </is>
      </c>
      <c r="L45" s="27" t="n"/>
      <c r="M45" s="37" t="n"/>
    </row>
    <row r="46" ht="15.75" customHeight="1" s="56">
      <c r="A46" s="37" t="inlineStr">
        <is>
          <t>285-2/BK-2025</t>
        </is>
      </c>
      <c r="B46" s="37" t="inlineStr">
        <is>
          <t>BK-HS-0278</t>
        </is>
      </c>
      <c r="C46" s="37" t="inlineStr">
        <is>
          <t>Nguyễn Văn Cơ</t>
        </is>
      </c>
      <c r="D46" s="37" t="inlineStr">
        <is>
          <t>Phòng Đo đạc</t>
        </is>
      </c>
      <c r="E46" s="37" t="inlineStr">
        <is>
          <t>Cắm mốc</t>
        </is>
      </c>
      <c r="F46" s="27" t="n">
        <v>45972</v>
      </c>
      <c r="G46" s="29" t="n">
        <v>3000000</v>
      </c>
      <c r="H46" s="29" t="n">
        <v>0</v>
      </c>
      <c r="I46" s="29">
        <f>IF(G46="","",G46-H46)</f>
        <v/>
      </c>
      <c r="J46" s="37">
        <f>IF(A46="","",IF(I46&lt;=0,"Đã tất toán",IF(L46&lt;TODAY(),"Quá hạn","Còn nợ")))</f>
        <v/>
      </c>
      <c r="K46" s="37" t="inlineStr">
        <is>
          <t>Anh Minh DV HBP</t>
        </is>
      </c>
      <c r="L46" s="27" t="n"/>
      <c r="M46" s="37" t="n"/>
    </row>
    <row r="47" ht="15.75" customHeight="1" s="56">
      <c r="A47" s="37" t="inlineStr">
        <is>
          <t>567/BK-2025</t>
        </is>
      </c>
      <c r="B47" s="37" t="inlineStr">
        <is>
          <t>BK-HS-0277</t>
        </is>
      </c>
      <c r="C47" s="37" t="inlineStr">
        <is>
          <t>Nguyễn Thị Kim Cúc</t>
        </is>
      </c>
      <c r="D47" s="37" t="inlineStr">
        <is>
          <t>Phòng Đo đạc</t>
        </is>
      </c>
      <c r="E47" s="37" t="inlineStr">
        <is>
          <t>Cấp sổ lần đầu</t>
        </is>
      </c>
      <c r="F47" s="27" t="n">
        <v>45974</v>
      </c>
      <c r="G47" s="29" t="n">
        <v>10000000</v>
      </c>
      <c r="H47" s="29" t="n">
        <v>10000000</v>
      </c>
      <c r="I47" s="29">
        <f>IF(G47="","",G47-H47)</f>
        <v/>
      </c>
      <c r="J47" s="37">
        <f>IF(A47="","",IF(I47&lt;=0,"Đã tất toán",IF(L47&lt;TODAY(),"Quá hạn","Còn nợ")))</f>
        <v/>
      </c>
      <c r="K47" s="37" t="inlineStr">
        <is>
          <t>Đạt Việt Phát Land</t>
        </is>
      </c>
      <c r="L47" s="27" t="n"/>
      <c r="M47" s="37" t="n"/>
    </row>
    <row r="48" ht="15.75" customHeight="1" s="56">
      <c r="A48" s="37" t="inlineStr">
        <is>
          <t>568/BK-2025</t>
        </is>
      </c>
      <c r="B48" s="37" t="inlineStr">
        <is>
          <t>BK-HS-0276</t>
        </is>
      </c>
      <c r="C48" s="37" t="inlineStr">
        <is>
          <t>Nguyễn Văn Trường</t>
        </is>
      </c>
      <c r="D48" s="37" t="inlineStr">
        <is>
          <t>Phòng Đo đạc</t>
        </is>
      </c>
      <c r="E48" s="37" t="inlineStr">
        <is>
          <t>Chuyển mục đích</t>
        </is>
      </c>
      <c r="F48" s="27" t="n">
        <v>45974</v>
      </c>
      <c r="G48" s="29" t="n">
        <v>9000000</v>
      </c>
      <c r="H48" s="29" t="n">
        <v>9000000</v>
      </c>
      <c r="I48" s="29">
        <f>IF(G48="","",G48-H48)</f>
        <v/>
      </c>
      <c r="J48" s="37">
        <f>IF(A48="","",IF(I48&lt;=0,"Đã tất toán",IF(L48&lt;TODAY(),"Quá hạn","Còn nợ")))</f>
        <v/>
      </c>
      <c r="K48" s="37" t="inlineStr">
        <is>
          <t>Công Ty</t>
        </is>
      </c>
      <c r="L48" s="27" t="n"/>
      <c r="M48" s="37" t="n"/>
    </row>
    <row r="49" ht="15.75" customHeight="1" s="56">
      <c r="A49" s="37" t="inlineStr">
        <is>
          <t>570/BK-2025</t>
        </is>
      </c>
      <c r="B49" s="37" t="inlineStr">
        <is>
          <t>BK-HS-0275</t>
        </is>
      </c>
      <c r="C49" s="37" t="inlineStr">
        <is>
          <t>Quang Hào</t>
        </is>
      </c>
      <c r="D49" s="37" t="inlineStr">
        <is>
          <t>Phòng Đo đạc</t>
        </is>
      </c>
      <c r="E49" s="37" t="inlineStr">
        <is>
          <t>Cắm mốc</t>
        </is>
      </c>
      <c r="F49" s="27" t="n">
        <v>45974</v>
      </c>
      <c r="G49" s="29" t="n">
        <v>3000000</v>
      </c>
      <c r="H49" s="29" t="n">
        <v>3000000</v>
      </c>
      <c r="I49" s="29">
        <f>IF(G49="","",G49-H49)</f>
        <v/>
      </c>
      <c r="J49" s="37">
        <f>IF(A49="","",IF(I49&lt;=0,"Đã tất toán",IF(L49&lt;TODAY(),"Quá hạn","Còn nợ")))</f>
        <v/>
      </c>
      <c r="K49" s="37" t="inlineStr">
        <is>
          <t>Công Ty</t>
        </is>
      </c>
      <c r="L49" s="27" t="n"/>
      <c r="M49" s="37" t="n"/>
    </row>
    <row r="50" ht="15.75" customHeight="1" s="56">
      <c r="A50" s="37" t="inlineStr">
        <is>
          <t>571/BK-2025</t>
        </is>
      </c>
      <c r="B50" s="37" t="inlineStr">
        <is>
          <t>BK-HS-0274</t>
        </is>
      </c>
      <c r="C50" s="37" t="inlineStr">
        <is>
          <t>Trần Đức Phú</t>
        </is>
      </c>
      <c r="D50" s="37" t="inlineStr">
        <is>
          <t>Phòng Đo đạc</t>
        </is>
      </c>
      <c r="E50" s="37" t="inlineStr">
        <is>
          <t>Xác định diện tích</t>
        </is>
      </c>
      <c r="F50" s="27" t="n">
        <v>45974</v>
      </c>
      <c r="G50" s="29" t="n">
        <v>3000000</v>
      </c>
      <c r="H50" s="29" t="n">
        <v>0</v>
      </c>
      <c r="I50" s="29">
        <f>IF(G50="","",G50-H50)</f>
        <v/>
      </c>
      <c r="J50" s="37">
        <f>IF(A50="","",IF(I50&lt;=0,"Đã tất toán",IF(L50&lt;TODAY(),"Quá hạn","Còn nợ")))</f>
        <v/>
      </c>
      <c r="K50" s="37" t="inlineStr">
        <is>
          <t>Hoàng Quân</t>
        </is>
      </c>
      <c r="L50" s="27" t="n"/>
      <c r="M50" s="37" t="n"/>
    </row>
    <row r="51" ht="15.75" customHeight="1" s="56">
      <c r="A51" s="37" t="inlineStr">
        <is>
          <t>572/BK-2025</t>
        </is>
      </c>
      <c r="B51" s="37" t="inlineStr">
        <is>
          <t>BK-HS-0273</t>
        </is>
      </c>
      <c r="C51" s="37" t="inlineStr">
        <is>
          <t>Trần Quang Vinh</t>
        </is>
      </c>
      <c r="D51" s="37" t="inlineStr">
        <is>
          <t>Phòng Đo đạc</t>
        </is>
      </c>
      <c r="E51" s="37" t="inlineStr">
        <is>
          <t>Xác định diện tích</t>
        </is>
      </c>
      <c r="F51" s="27" t="n">
        <v>45974</v>
      </c>
      <c r="G51" s="29" t="n">
        <v>3000000</v>
      </c>
      <c r="H51" s="29" t="n">
        <v>0</v>
      </c>
      <c r="I51" s="29">
        <f>IF(G51="","",G51-H51)</f>
        <v/>
      </c>
      <c r="J51" s="37">
        <f>IF(A51="","",IF(I51&lt;=0,"Đã tất toán",IF(L51&lt;TODAY(),"Quá hạn","Còn nợ")))</f>
        <v/>
      </c>
      <c r="K51" s="37" t="inlineStr">
        <is>
          <t>Hoàng Quân</t>
        </is>
      </c>
      <c r="L51" s="27" t="n"/>
      <c r="M51" s="37" t="n"/>
    </row>
    <row r="52" ht="15.75" customHeight="1" s="56">
      <c r="A52" s="37" t="inlineStr">
        <is>
          <t>573/BK-2025</t>
        </is>
      </c>
      <c r="B52" s="37" t="inlineStr">
        <is>
          <t>BK-HS-0272</t>
        </is>
      </c>
      <c r="C52" s="37" t="inlineStr">
        <is>
          <t>Trần Đức Phú</t>
        </is>
      </c>
      <c r="D52" s="37" t="inlineStr">
        <is>
          <t>Phòng Đo đạc</t>
        </is>
      </c>
      <c r="E52" s="37" t="inlineStr">
        <is>
          <t>Xác định diện tích</t>
        </is>
      </c>
      <c r="F52" s="27" t="n">
        <v>45974</v>
      </c>
      <c r="G52" s="29" t="n">
        <v>3000000</v>
      </c>
      <c r="H52" s="29" t="n">
        <v>0</v>
      </c>
      <c r="I52" s="29">
        <f>IF(G52="","",G52-H52)</f>
        <v/>
      </c>
      <c r="J52" s="37">
        <f>IF(A52="","",IF(I52&lt;=0,"Đã tất toán",IF(L52&lt;TODAY(),"Quá hạn","Còn nợ")))</f>
        <v/>
      </c>
      <c r="K52" s="37" t="inlineStr">
        <is>
          <t>Hoàng Quân</t>
        </is>
      </c>
      <c r="L52" s="27" t="n"/>
      <c r="M52" s="37" t="n"/>
    </row>
    <row r="53" ht="15.75" customHeight="1" s="56">
      <c r="A53" s="37" t="inlineStr">
        <is>
          <t>574/BK-2025</t>
        </is>
      </c>
      <c r="B53" s="37" t="inlineStr">
        <is>
          <t>BK-HS-0271</t>
        </is>
      </c>
      <c r="C53" s="37" t="inlineStr">
        <is>
          <t>Nguyễn Thị Quỳnh Lan</t>
        </is>
      </c>
      <c r="D53" s="37" t="inlineStr">
        <is>
          <t>Phòng Đo đạc</t>
        </is>
      </c>
      <c r="E53" s="37" t="inlineStr">
        <is>
          <t>Cấp đổi</t>
        </is>
      </c>
      <c r="F53" s="27" t="n">
        <v>45975</v>
      </c>
      <c r="G53" s="29" t="n">
        <v>15000000</v>
      </c>
      <c r="H53" s="29" t="n">
        <v>15000000</v>
      </c>
      <c r="I53" s="29">
        <f>IF(G53="","",G53-H53)</f>
        <v/>
      </c>
      <c r="J53" s="37">
        <f>IF(A53="","",IF(I53&lt;=0,"Đã tất toán",IF(L53&lt;TODAY(),"Quá hạn","Còn nợ")))</f>
        <v/>
      </c>
      <c r="K53" s="37" t="inlineStr">
        <is>
          <t>Công Ty</t>
        </is>
      </c>
      <c r="L53" s="27" t="n"/>
      <c r="M53" s="37" t="n"/>
    </row>
    <row r="54" ht="15.75" customHeight="1" s="56">
      <c r="A54" s="37" t="inlineStr">
        <is>
          <t>575/BK-2025</t>
        </is>
      </c>
      <c r="B54" s="37" t="inlineStr">
        <is>
          <t>BK-HS-0270</t>
        </is>
      </c>
      <c r="C54" s="37" t="inlineStr">
        <is>
          <t>Nguyễn Thị Huyền Vy</t>
        </is>
      </c>
      <c r="D54" s="37" t="inlineStr">
        <is>
          <t>Phòng Đo đạc</t>
        </is>
      </c>
      <c r="E54" s="37" t="inlineStr">
        <is>
          <t>Hoàn công</t>
        </is>
      </c>
      <c r="F54" s="27" t="n">
        <v>45975</v>
      </c>
      <c r="G54" s="29" t="n">
        <v>50000000</v>
      </c>
      <c r="H54" s="29" t="n">
        <v>3000000</v>
      </c>
      <c r="I54" s="29">
        <f>IF(G54="","",G54-H54)</f>
        <v/>
      </c>
      <c r="J54" s="37">
        <f>IF(A54="","",IF(I54&lt;=0,"Đã tất toán",IF(L54&lt;TODAY(),"Quá hạn","Còn nợ")))</f>
        <v/>
      </c>
      <c r="K54" s="37" t="inlineStr">
        <is>
          <t>Tùng Mập</t>
        </is>
      </c>
      <c r="L54" s="27" t="n"/>
      <c r="M54" s="37" t="n"/>
    </row>
    <row r="55" ht="15.75" customHeight="1" s="56">
      <c r="A55" s="37" t="inlineStr">
        <is>
          <t>576/BK-2025</t>
        </is>
      </c>
      <c r="B55" s="37" t="inlineStr">
        <is>
          <t>BK-HS-0269</t>
        </is>
      </c>
      <c r="C55" s="37" t="inlineStr">
        <is>
          <t>Bùi Ngọc Minh</t>
        </is>
      </c>
      <c r="D55" s="37" t="inlineStr">
        <is>
          <t>Phòng Đo đạc</t>
        </is>
      </c>
      <c r="E55" s="37" t="inlineStr">
        <is>
          <t>Cấp đổi</t>
        </is>
      </c>
      <c r="F55" s="27" t="n">
        <v>45976</v>
      </c>
      <c r="G55" s="29" t="n">
        <v>5000000</v>
      </c>
      <c r="H55" s="29" t="n">
        <v>5000000</v>
      </c>
      <c r="I55" s="29">
        <f>IF(G55="","",G55-H55)</f>
        <v/>
      </c>
      <c r="J55" s="37">
        <f>IF(A55="","",IF(I55&lt;=0,"Đã tất toán",IF(L55&lt;TODAY(),"Quá hạn","Còn nợ")))</f>
        <v/>
      </c>
      <c r="K55" s="37" t="inlineStr">
        <is>
          <t>Công Ty</t>
        </is>
      </c>
      <c r="L55" s="27" t="n"/>
      <c r="M55" s="37" t="n"/>
    </row>
    <row r="56" ht="15.75" customHeight="1" s="56">
      <c r="A56" s="37" t="inlineStr">
        <is>
          <t>577/BK-2025</t>
        </is>
      </c>
      <c r="B56" s="37" t="inlineStr">
        <is>
          <t>BK-HS-0268</t>
        </is>
      </c>
      <c r="C56" s="37" t="inlineStr">
        <is>
          <t>Nguyễn Bảo Trị</t>
        </is>
      </c>
      <c r="D56" s="37" t="inlineStr">
        <is>
          <t>Phòng Đo đạc</t>
        </is>
      </c>
      <c r="E56" s="37" t="inlineStr">
        <is>
          <t>Hoàn công</t>
        </is>
      </c>
      <c r="F56" s="27" t="n">
        <v>45977</v>
      </c>
      <c r="G56" s="29" t="n">
        <v>70000000</v>
      </c>
      <c r="H56" s="29" t="n">
        <v>9000000</v>
      </c>
      <c r="I56" s="29">
        <f>IF(G56="","",G56-H56)</f>
        <v/>
      </c>
      <c r="J56" s="37">
        <f>IF(A56="","",IF(I56&lt;=0,"Đã tất toán",IF(L56&lt;TODAY(),"Quá hạn","Còn nợ")))</f>
        <v/>
      </c>
      <c r="K56" s="37" t="inlineStr">
        <is>
          <t>Tùng Mập</t>
        </is>
      </c>
      <c r="L56" s="27" t="n"/>
      <c r="M56" s="37" t="n"/>
    </row>
    <row r="57" ht="15.75" customHeight="1" s="56">
      <c r="A57" s="37" t="inlineStr">
        <is>
          <t>578/BK-2025</t>
        </is>
      </c>
      <c r="B57" s="37" t="inlineStr">
        <is>
          <t>BK-HS-0267</t>
        </is>
      </c>
      <c r="C57" s="37" t="inlineStr">
        <is>
          <t>Nguyễn Văn Sơn</t>
        </is>
      </c>
      <c r="D57" s="37" t="inlineStr">
        <is>
          <t>Phòng Đo đạc</t>
        </is>
      </c>
      <c r="E57" s="37" t="inlineStr">
        <is>
          <t>Cấp đổi</t>
        </is>
      </c>
      <c r="F57" s="27" t="n">
        <v>45975</v>
      </c>
      <c r="G57" s="29" t="n">
        <v>80000000</v>
      </c>
      <c r="H57" s="29" t="n">
        <v>80000000</v>
      </c>
      <c r="I57" s="29">
        <f>IF(G57="","",G57-H57)</f>
        <v/>
      </c>
      <c r="J57" s="37">
        <f>IF(A57="","",IF(I57&lt;=0,"Đã tất toán",IF(L57&lt;TODAY(),"Quá hạn","Còn nợ")))</f>
        <v/>
      </c>
      <c r="K57" s="37" t="inlineStr">
        <is>
          <t>Công Ty</t>
        </is>
      </c>
      <c r="L57" s="27" t="n"/>
      <c r="M57" s="37" t="n"/>
    </row>
    <row r="58" ht="15.75" customHeight="1" s="56">
      <c r="A58" s="37" t="inlineStr">
        <is>
          <t>579/BK-2025</t>
        </is>
      </c>
      <c r="B58" s="37" t="inlineStr">
        <is>
          <t>BK-HS-0266</t>
        </is>
      </c>
      <c r="C58" s="37" t="inlineStr">
        <is>
          <t>Bùi Văn Hoàng</t>
        </is>
      </c>
      <c r="D58" s="37" t="inlineStr">
        <is>
          <t>Phòng Đo đạc</t>
        </is>
      </c>
      <c r="E58" s="37" t="inlineStr">
        <is>
          <t>Cấp đổi</t>
        </is>
      </c>
      <c r="F58" s="27" t="n">
        <v>45978</v>
      </c>
      <c r="G58" s="29" t="n">
        <v>35000000</v>
      </c>
      <c r="H58" s="29" t="n">
        <v>35000000</v>
      </c>
      <c r="I58" s="29">
        <f>IF(G58="","",G58-H58)</f>
        <v/>
      </c>
      <c r="J58" s="37">
        <f>IF(A58="","",IF(I58&lt;=0,"Đã tất toán",IF(L58&lt;TODAY(),"Quá hạn","Còn nợ")))</f>
        <v/>
      </c>
      <c r="K58" s="37" t="inlineStr">
        <is>
          <t>Anh Hoàng Nhà Đầu Tư</t>
        </is>
      </c>
      <c r="L58" s="27" t="n"/>
      <c r="M58" s="37" t="n"/>
    </row>
    <row r="59" ht="15.75" customHeight="1" s="56">
      <c r="A59" s="37" t="inlineStr">
        <is>
          <t>582/BK-2025</t>
        </is>
      </c>
      <c r="B59" s="37" t="inlineStr">
        <is>
          <t>BK-HS-0265</t>
        </is>
      </c>
      <c r="C59" s="37" t="inlineStr">
        <is>
          <t>Nguyễn Trọng Khoa</t>
        </is>
      </c>
      <c r="D59" s="37" t="inlineStr">
        <is>
          <t>Phòng Đo đạc</t>
        </is>
      </c>
      <c r="E59" s="37" t="inlineStr">
        <is>
          <t>Cấp đổi</t>
        </is>
      </c>
      <c r="F59" s="27" t="n">
        <v>45978</v>
      </c>
      <c r="G59" s="29" t="n"/>
      <c r="H59" s="29" t="n">
        <v>0</v>
      </c>
      <c r="I59" s="29">
        <f>IF(G59="","",G59-H59)</f>
        <v/>
      </c>
      <c r="J59" s="37">
        <f>IF(A59="","",IF(I59&lt;=0,"Đã tất toán",IF(L59&lt;TODAY(),"Quá hạn","Còn nợ")))</f>
        <v/>
      </c>
      <c r="K59" s="37" t="inlineStr">
        <is>
          <t>Cô Hoa</t>
        </is>
      </c>
      <c r="L59" s="27" t="n"/>
      <c r="M59" s="37" t="n"/>
    </row>
    <row r="60" ht="15.75" customHeight="1" s="56">
      <c r="A60" s="37" t="inlineStr">
        <is>
          <t>583/BK-2025</t>
        </is>
      </c>
      <c r="B60" s="37" t="inlineStr">
        <is>
          <t>BK-HS-0264</t>
        </is>
      </c>
      <c r="C60" s="37" t="inlineStr">
        <is>
          <t>Trần Tuấn Anh</t>
        </is>
      </c>
      <c r="D60" s="37" t="inlineStr">
        <is>
          <t>Phòng Đo đạc</t>
        </is>
      </c>
      <c r="E60" s="37" t="inlineStr">
        <is>
          <t>Cấp đổi</t>
        </is>
      </c>
      <c r="F60" s="27" t="n">
        <v>45978</v>
      </c>
      <c r="G60" s="29" t="n"/>
      <c r="H60" s="29" t="n">
        <v>0</v>
      </c>
      <c r="I60" s="29">
        <f>IF(G60="","",G60-H60)</f>
        <v/>
      </c>
      <c r="J60" s="37">
        <f>IF(A60="","",IF(I60&lt;=0,"Đã tất toán",IF(L60&lt;TODAY(),"Quá hạn","Còn nợ")))</f>
        <v/>
      </c>
      <c r="K60" s="37" t="inlineStr">
        <is>
          <t>Cô Hoa</t>
        </is>
      </c>
      <c r="L60" s="27" t="n"/>
      <c r="M60" s="37" t="n"/>
    </row>
    <row r="61" ht="15.75" customHeight="1" s="56">
      <c r="A61" s="37" t="inlineStr">
        <is>
          <t>579-1/BK-2025</t>
        </is>
      </c>
      <c r="B61" s="37" t="inlineStr">
        <is>
          <t>BK-HS-0263</t>
        </is>
      </c>
      <c r="C61" s="37" t="inlineStr">
        <is>
          <t>Bùi Văn Hoàng</t>
        </is>
      </c>
      <c r="D61" s="37" t="inlineStr">
        <is>
          <t>Phòng Đo đạc</t>
        </is>
      </c>
      <c r="E61" s="37" t="inlineStr">
        <is>
          <t>Cắm mốc</t>
        </is>
      </c>
      <c r="F61" s="27" t="n">
        <v>45982</v>
      </c>
      <c r="G61" s="29" t="n">
        <v>3000000</v>
      </c>
      <c r="H61" s="29" t="n">
        <v>3000000</v>
      </c>
      <c r="I61" s="29">
        <f>IF(G61="","",G61-H61)</f>
        <v/>
      </c>
      <c r="J61" s="37">
        <f>IF(A61="","",IF(I61&lt;=0,"Đã tất toán",IF(L61&lt;TODAY(),"Quá hạn","Còn nợ")))</f>
        <v/>
      </c>
      <c r="K61" s="37" t="inlineStr">
        <is>
          <t>Anh Hoàng Nhà Đầu Tư</t>
        </is>
      </c>
      <c r="L61" s="27" t="n"/>
      <c r="M61" s="37" t="n"/>
    </row>
    <row r="62" ht="15.75" customHeight="1" s="56">
      <c r="A62" s="37" t="inlineStr">
        <is>
          <t>580-1/BK-2025</t>
        </is>
      </c>
      <c r="B62" s="37" t="inlineStr">
        <is>
          <t>BK-HS-0262</t>
        </is>
      </c>
      <c r="C62" s="37" t="inlineStr">
        <is>
          <t>Bùi Văn Hoàng</t>
        </is>
      </c>
      <c r="D62" s="37" t="inlineStr">
        <is>
          <t>Phòng Đo đạc</t>
        </is>
      </c>
      <c r="E62" s="37" t="inlineStr">
        <is>
          <t>Cắm mốc</t>
        </is>
      </c>
      <c r="F62" s="27" t="n">
        <v>45982</v>
      </c>
      <c r="G62" s="29" t="n">
        <v>3000000</v>
      </c>
      <c r="H62" s="29" t="n">
        <v>3000000</v>
      </c>
      <c r="I62" s="29">
        <f>IF(G62="","",G62-H62)</f>
        <v/>
      </c>
      <c r="J62" s="37">
        <f>IF(A62="","",IF(I62&lt;=0,"Đã tất toán",IF(L62&lt;TODAY(),"Quá hạn","Còn nợ")))</f>
        <v/>
      </c>
      <c r="K62" s="37" t="inlineStr">
        <is>
          <t>Anh Hoàng Nhà Đầu Tư</t>
        </is>
      </c>
      <c r="L62" s="27" t="n"/>
      <c r="M62" s="37" t="n"/>
    </row>
    <row r="63" ht="15.75" customHeight="1" s="56">
      <c r="A63" s="37" t="inlineStr">
        <is>
          <t>584/BK-2025</t>
        </is>
      </c>
      <c r="B63" s="37" t="inlineStr">
        <is>
          <t>BK-HS-0261</t>
        </is>
      </c>
      <c r="C63" s="37" t="inlineStr">
        <is>
          <t>Nguyễn Thị Nhàn</t>
        </is>
      </c>
      <c r="D63" s="37" t="inlineStr">
        <is>
          <t>Phòng Đo đạc</t>
        </is>
      </c>
      <c r="E63" s="37" t="inlineStr">
        <is>
          <t>Cấp sổ lần đầu</t>
        </is>
      </c>
      <c r="F63" s="27" t="n">
        <v>45982</v>
      </c>
      <c r="G63" s="29" t="n">
        <v>12000000</v>
      </c>
      <c r="H63" s="29" t="n">
        <v>12000000</v>
      </c>
      <c r="I63" s="29">
        <f>IF(G63="","",G63-H63)</f>
        <v/>
      </c>
      <c r="J63" s="37">
        <f>IF(A63="","",IF(I63&lt;=0,"Đã tất toán",IF(L63&lt;TODAY(),"Quá hạn","Còn nợ")))</f>
        <v/>
      </c>
      <c r="K63" s="37" t="inlineStr">
        <is>
          <t>Công Ty</t>
        </is>
      </c>
      <c r="L63" s="27" t="n"/>
      <c r="M63" s="37" t="n"/>
    </row>
    <row r="64" ht="15.75" customHeight="1" s="56">
      <c r="A64" s="37" t="inlineStr">
        <is>
          <t>585/BK-2025</t>
        </is>
      </c>
      <c r="B64" s="37" t="inlineStr">
        <is>
          <t>BK-HS-0260</t>
        </is>
      </c>
      <c r="C64" s="37" t="inlineStr">
        <is>
          <t>Nguyễn Thị Chữ</t>
        </is>
      </c>
      <c r="D64" s="37" t="inlineStr">
        <is>
          <t>Phòng Đo đạc</t>
        </is>
      </c>
      <c r="E64" s="37" t="inlineStr">
        <is>
          <t>Hoàn công</t>
        </is>
      </c>
      <c r="F64" s="27" t="n">
        <v>45982</v>
      </c>
      <c r="G64" s="29" t="n"/>
      <c r="H64" s="29" t="n">
        <v>0</v>
      </c>
      <c r="I64" s="29">
        <f>IF(G64="","",G64-H64)</f>
        <v/>
      </c>
      <c r="J64" s="37">
        <f>IF(A64="","",IF(I64&lt;=0,"Đã tất toán",IF(L64&lt;TODAY(),"Quá hạn","Còn nợ")))</f>
        <v/>
      </c>
      <c r="K64" s="37" t="inlineStr">
        <is>
          <t>Công Ty</t>
        </is>
      </c>
      <c r="L64" s="27" t="n"/>
      <c r="M64" s="37" t="n"/>
    </row>
    <row r="65" ht="15.75" customHeight="1" s="56">
      <c r="A65" s="37" t="inlineStr">
        <is>
          <t>565-DC/BK-2025</t>
        </is>
      </c>
      <c r="B65" s="37" t="inlineStr">
        <is>
          <t>BK-HS-0259</t>
        </is>
      </c>
      <c r="C65" s="37" t="inlineStr">
        <is>
          <t>Hoàng Anh Tú</t>
        </is>
      </c>
      <c r="D65" s="37" t="inlineStr">
        <is>
          <t>Phòng Đo đạc</t>
        </is>
      </c>
      <c r="E65" s="37" t="inlineStr">
        <is>
          <t>Điều chỉnh bản vẽ</t>
        </is>
      </c>
      <c r="F65" s="27" t="n">
        <v>45983</v>
      </c>
      <c r="G65" s="29" t="n">
        <v>3000000</v>
      </c>
      <c r="H65" s="29" t="n">
        <v>3000000</v>
      </c>
      <c r="I65" s="29">
        <f>IF(G65="","",G65-H65)</f>
        <v/>
      </c>
      <c r="J65" s="37">
        <f>IF(A65="","",IF(I65&lt;=0,"Đã tất toán",IF(L65&lt;TODAY(),"Quá hạn","Còn nợ")))</f>
        <v/>
      </c>
      <c r="K65" s="37" t="inlineStr">
        <is>
          <t>Anh Long PCT</t>
        </is>
      </c>
      <c r="L65" s="27" t="n"/>
      <c r="M65" s="37" t="n"/>
    </row>
    <row r="66" ht="15.75" customHeight="1" s="56">
      <c r="A66" s="37" t="inlineStr">
        <is>
          <t>586/BK-2025</t>
        </is>
      </c>
      <c r="B66" s="37" t="inlineStr">
        <is>
          <t>BK-HS-0258</t>
        </is>
      </c>
      <c r="C66" s="37" t="inlineStr">
        <is>
          <t>Thái Hội Hiền</t>
        </is>
      </c>
      <c r="D66" s="37" t="inlineStr">
        <is>
          <t>Phòng Đo đạc</t>
        </is>
      </c>
      <c r="E66" s="37" t="inlineStr">
        <is>
          <t>Cấp đổi</t>
        </is>
      </c>
      <c r="F66" s="27" t="n">
        <v>45983</v>
      </c>
      <c r="G66" s="29" t="n">
        <v>41000000</v>
      </c>
      <c r="H66" s="29" t="n">
        <v>41000000</v>
      </c>
      <c r="I66" s="29">
        <f>IF(G66="","",G66-H66)</f>
        <v/>
      </c>
      <c r="J66" s="37">
        <f>IF(A66="","",IF(I66&lt;=0,"Đã tất toán",IF(L66&lt;TODAY(),"Quá hạn","Còn nợ")))</f>
        <v/>
      </c>
      <c r="K66" s="37" t="inlineStr">
        <is>
          <t>Công Ty</t>
        </is>
      </c>
      <c r="L66" s="27" t="n"/>
      <c r="M66" s="37" t="n"/>
    </row>
    <row r="67" ht="15.75" customHeight="1" s="56">
      <c r="A67" s="37" t="inlineStr">
        <is>
          <t>587/BK-2025</t>
        </is>
      </c>
      <c r="B67" s="37" t="inlineStr">
        <is>
          <t>BK-HS-0257</t>
        </is>
      </c>
      <c r="C67" s="37" t="inlineStr">
        <is>
          <t>Vũ Xuân Thao</t>
        </is>
      </c>
      <c r="D67" s="37" t="inlineStr">
        <is>
          <t>Phòng Đo đạc</t>
        </is>
      </c>
      <c r="E67" s="37" t="inlineStr">
        <is>
          <t>Hoàn công</t>
        </is>
      </c>
      <c r="F67" s="27" t="n">
        <v>45983</v>
      </c>
      <c r="G67" s="29" t="n">
        <v>8000000</v>
      </c>
      <c r="H67" s="29" t="n">
        <v>8000000</v>
      </c>
      <c r="I67" s="29">
        <f>IF(G67="","",G67-H67)</f>
        <v/>
      </c>
      <c r="J67" s="37">
        <f>IF(A67="","",IF(I67&lt;=0,"Đã tất toán",IF(L67&lt;TODAY(),"Quá hạn","Còn nợ")))</f>
        <v/>
      </c>
      <c r="K67" s="37" t="inlineStr">
        <is>
          <t>Tuấn Lộc</t>
        </is>
      </c>
      <c r="L67" s="27" t="n"/>
      <c r="M67" s="37" t="n"/>
    </row>
    <row r="68" ht="15.75" customHeight="1" s="56">
      <c r="A68" s="37" t="inlineStr">
        <is>
          <t>588-1/BK-2025</t>
        </is>
      </c>
      <c r="B68" s="37" t="inlineStr">
        <is>
          <t>BK-HS-0256</t>
        </is>
      </c>
      <c r="C68" s="37" t="inlineStr">
        <is>
          <t>Nguyễn Thanh Hải-Nguyễn Thị Bé Năm</t>
        </is>
      </c>
      <c r="D68" s="37" t="inlineStr">
        <is>
          <t>Phòng Đo đạc</t>
        </is>
      </c>
      <c r="E68" s="37" t="inlineStr">
        <is>
          <t>Tách Thửa</t>
        </is>
      </c>
      <c r="F68" s="27" t="n">
        <v>45984</v>
      </c>
      <c r="G68" s="29" t="n">
        <v>8000000</v>
      </c>
      <c r="H68" s="29" t="n">
        <v>8000000</v>
      </c>
      <c r="I68" s="29">
        <f>IF(G68="","",G68-H68)</f>
        <v/>
      </c>
      <c r="J68" s="37">
        <f>IF(A68="","",IF(I68&lt;=0,"Đã tất toán",IF(L68&lt;TODAY(),"Quá hạn","Còn nợ")))</f>
        <v/>
      </c>
      <c r="K68" s="37" t="inlineStr">
        <is>
          <t>Chị Xuân DV</t>
        </is>
      </c>
      <c r="L68" s="27" t="n"/>
      <c r="M68" s="37" t="n"/>
    </row>
    <row r="69" ht="15.75" customHeight="1" s="56">
      <c r="A69" s="37" t="inlineStr">
        <is>
          <t>588-2/BK-2025</t>
        </is>
      </c>
      <c r="B69" s="37" t="inlineStr">
        <is>
          <t>BK-HS-0255</t>
        </is>
      </c>
      <c r="C69" s="37" t="inlineStr">
        <is>
          <t>Nguyễn Thanh Hải-Nguyễn Thị Bé Năm</t>
        </is>
      </c>
      <c r="D69" s="37" t="inlineStr">
        <is>
          <t>Phòng Đo đạc</t>
        </is>
      </c>
      <c r="E69" s="37" t="inlineStr">
        <is>
          <t>Tách Thửa</t>
        </is>
      </c>
      <c r="F69" s="27" t="n">
        <v>45984</v>
      </c>
      <c r="G69" s="29" t="n">
        <v>8000000</v>
      </c>
      <c r="H69" s="29" t="n">
        <v>8000000</v>
      </c>
      <c r="I69" s="29">
        <f>IF(G69="","",G69-H69)</f>
        <v/>
      </c>
      <c r="J69" s="37">
        <f>IF(A69="","",IF(I69&lt;=0,"Đã tất toán",IF(L69&lt;TODAY(),"Quá hạn","Còn nợ")))</f>
        <v/>
      </c>
      <c r="K69" s="37" t="inlineStr">
        <is>
          <t>Chị Xuân DV</t>
        </is>
      </c>
      <c r="L69" s="27" t="n"/>
      <c r="M69" s="37" t="n"/>
    </row>
    <row r="70" ht="15.75" customHeight="1" s="56">
      <c r="A70" s="37" t="inlineStr">
        <is>
          <t>588-3/BK-2025</t>
        </is>
      </c>
      <c r="B70" s="37" t="inlineStr">
        <is>
          <t>BK-HS-0254</t>
        </is>
      </c>
      <c r="C70" s="37" t="inlineStr">
        <is>
          <t>Nguyễn Thanh Hải-Nguyễn Thị Bé Năm</t>
        </is>
      </c>
      <c r="D70" s="37" t="inlineStr">
        <is>
          <t>Phòng Đo đạc</t>
        </is>
      </c>
      <c r="E70" s="37" t="inlineStr">
        <is>
          <t>Tách Thửa</t>
        </is>
      </c>
      <c r="F70" s="27" t="n">
        <v>45984</v>
      </c>
      <c r="G70" s="29" t="n">
        <v>8000000</v>
      </c>
      <c r="H70" s="29" t="n">
        <v>8000000</v>
      </c>
      <c r="I70" s="29">
        <f>IF(G70="","",G70-H70)</f>
        <v/>
      </c>
      <c r="J70" s="37">
        <f>IF(A70="","",IF(I70&lt;=0,"Đã tất toán",IF(L70&lt;TODAY(),"Quá hạn","Còn nợ")))</f>
        <v/>
      </c>
      <c r="K70" s="37" t="inlineStr">
        <is>
          <t>Chị Xuân DV</t>
        </is>
      </c>
      <c r="L70" s="27" t="n"/>
      <c r="M70" s="37" t="n"/>
    </row>
    <row r="71" ht="15.75" customHeight="1" s="56">
      <c r="A71" s="37" t="inlineStr">
        <is>
          <t>589/BK-2025</t>
        </is>
      </c>
      <c r="B71" s="37" t="inlineStr">
        <is>
          <t>BK-HS-0253</t>
        </is>
      </c>
      <c r="C71" s="37" t="inlineStr">
        <is>
          <t>Nguyễn Thị Thanh Tâm</t>
        </is>
      </c>
      <c r="D71" s="37" t="inlineStr">
        <is>
          <t>Phòng Đo đạc</t>
        </is>
      </c>
      <c r="E71" s="37" t="inlineStr">
        <is>
          <t>Hoàn công</t>
        </is>
      </c>
      <c r="F71" s="27" t="n">
        <v>45984</v>
      </c>
      <c r="G71" s="29" t="n">
        <v>35000000</v>
      </c>
      <c r="H71" s="29" t="n">
        <v>35000000</v>
      </c>
      <c r="I71" s="29">
        <f>IF(G71="","",G71-H71)</f>
        <v/>
      </c>
      <c r="J71" s="37">
        <f>IF(A71="","",IF(I71&lt;=0,"Đã tất toán",IF(L71&lt;TODAY(),"Quá hạn","Còn nợ")))</f>
        <v/>
      </c>
      <c r="K71" s="37" t="inlineStr">
        <is>
          <t>Anh Long PCT</t>
        </is>
      </c>
      <c r="L71" s="27" t="n"/>
      <c r="M71" s="37" t="n"/>
    </row>
    <row r="72" ht="15.75" customHeight="1" s="56">
      <c r="A72" s="37" t="inlineStr">
        <is>
          <t>590/BK-2025</t>
        </is>
      </c>
      <c r="B72" s="37" t="inlineStr">
        <is>
          <t>BK-HS-0252</t>
        </is>
      </c>
      <c r="C72" s="37" t="inlineStr">
        <is>
          <t>Trần Đức Cường</t>
        </is>
      </c>
      <c r="D72" s="37" t="inlineStr">
        <is>
          <t>Phòng Đo đạc</t>
        </is>
      </c>
      <c r="E72" s="37" t="inlineStr">
        <is>
          <t>Cắm mốc</t>
        </is>
      </c>
      <c r="F72" s="27" t="n">
        <v>45986</v>
      </c>
      <c r="G72" s="29" t="n">
        <v>3000000</v>
      </c>
      <c r="H72" s="29" t="n">
        <v>3000000</v>
      </c>
      <c r="I72" s="29">
        <f>IF(G72="","",G72-H72)</f>
        <v/>
      </c>
      <c r="J72" s="37">
        <f>IF(A72="","",IF(I72&lt;=0,"Đã tất toán",IF(L72&lt;TODAY(),"Quá hạn","Còn nợ")))</f>
        <v/>
      </c>
      <c r="K72" s="37" t="inlineStr">
        <is>
          <t>Anh Chiến KTS</t>
        </is>
      </c>
      <c r="L72" s="27" t="n"/>
      <c r="M72" s="37" t="n"/>
    </row>
    <row r="73" ht="15.75" customHeight="1" s="56">
      <c r="A73" s="37" t="inlineStr">
        <is>
          <t>591/BK-2025</t>
        </is>
      </c>
      <c r="B73" s="37" t="inlineStr">
        <is>
          <t>BK-HS-0251</t>
        </is>
      </c>
      <c r="C73" s="37" t="inlineStr">
        <is>
          <t>Phạm Thị Vân</t>
        </is>
      </c>
      <c r="D73" s="37" t="inlineStr">
        <is>
          <t>Phòng Đo đạc</t>
        </is>
      </c>
      <c r="E73" s="37" t="inlineStr">
        <is>
          <t>Cấp đổi</t>
        </is>
      </c>
      <c r="F73" s="27" t="n">
        <v>45986</v>
      </c>
      <c r="G73" s="29" t="n"/>
      <c r="H73" s="29" t="n">
        <v>0</v>
      </c>
      <c r="I73" s="29">
        <f>IF(G73="","",G73-H73)</f>
        <v/>
      </c>
      <c r="J73" s="37">
        <f>IF(A73="","",IF(I73&lt;=0,"Đã tất toán",IF(L73&lt;TODAY(),"Quá hạn","Còn nợ")))</f>
        <v/>
      </c>
      <c r="K73" s="37" t="inlineStr">
        <is>
          <t>Tùng Huế DV</t>
        </is>
      </c>
      <c r="L73" s="27" t="n"/>
      <c r="M73" s="37" t="n"/>
    </row>
    <row r="74" ht="15.75" customHeight="1" s="56">
      <c r="A74" s="37" t="inlineStr">
        <is>
          <t>592/BK-2025</t>
        </is>
      </c>
      <c r="B74" s="37" t="inlineStr">
        <is>
          <t>BK-HS-0250</t>
        </is>
      </c>
      <c r="C74" s="37" t="inlineStr">
        <is>
          <t>Nguyễn Thị Đẹp</t>
        </is>
      </c>
      <c r="D74" s="37" t="inlineStr">
        <is>
          <t>Phòng Đo đạc</t>
        </is>
      </c>
      <c r="E74" s="37" t="inlineStr">
        <is>
          <t>Cấp sổ lần đầu</t>
        </is>
      </c>
      <c r="F74" s="27" t="n">
        <v>45989</v>
      </c>
      <c r="G74" s="29" t="n">
        <v>9000000</v>
      </c>
      <c r="H74" s="29" t="n">
        <v>9000000</v>
      </c>
      <c r="I74" s="29">
        <f>IF(G74="","",G74-H74)</f>
        <v/>
      </c>
      <c r="J74" s="37">
        <f>IF(A74="","",IF(I74&lt;=0,"Đã tất toán",IF(L74&lt;TODAY(),"Quá hạn","Còn nợ")))</f>
        <v/>
      </c>
      <c r="K74" s="37" t="inlineStr">
        <is>
          <t>Anh Long PCT</t>
        </is>
      </c>
      <c r="L74" s="27" t="n"/>
      <c r="M74" s="37" t="n"/>
    </row>
    <row r="75" ht="15.75" customHeight="1" s="56">
      <c r="A75" s="37" t="inlineStr">
        <is>
          <t>593/BK-2025</t>
        </is>
      </c>
      <c r="B75" s="37" t="inlineStr">
        <is>
          <t>BK-HS-0249</t>
        </is>
      </c>
      <c r="C75" s="37" t="inlineStr">
        <is>
          <t>Nguyễn Thị À</t>
        </is>
      </c>
      <c r="D75" s="37" t="inlineStr">
        <is>
          <t>Phòng Đo đạc</t>
        </is>
      </c>
      <c r="E75" s="37" t="inlineStr">
        <is>
          <t>Cấp sổ lần đầu</t>
        </is>
      </c>
      <c r="F75" s="27" t="n">
        <v>45989</v>
      </c>
      <c r="G75" s="29" t="n">
        <v>9000000</v>
      </c>
      <c r="H75" s="29" t="n">
        <v>9000000</v>
      </c>
      <c r="I75" s="29">
        <f>IF(G75="","",G75-H75)</f>
        <v/>
      </c>
      <c r="J75" s="37">
        <f>IF(A75="","",IF(I75&lt;=0,"Đã tất toán",IF(L75&lt;TODAY(),"Quá hạn","Còn nợ")))</f>
        <v/>
      </c>
      <c r="K75" s="37" t="inlineStr">
        <is>
          <t>Anh Long PCT</t>
        </is>
      </c>
      <c r="L75" s="27" t="n"/>
      <c r="M75" s="37" t="n"/>
    </row>
    <row r="76" ht="15.75" customHeight="1" s="56">
      <c r="A76" s="37" t="inlineStr">
        <is>
          <t>594/BK-2025</t>
        </is>
      </c>
      <c r="B76" s="37" t="inlineStr">
        <is>
          <t>BK-HS-0248</t>
        </is>
      </c>
      <c r="C76" s="37" t="inlineStr">
        <is>
          <t>Nguyễn Hồng Xuân</t>
        </is>
      </c>
      <c r="D76" s="37" t="inlineStr">
        <is>
          <t>Phòng Đo đạc</t>
        </is>
      </c>
      <c r="E76" s="37" t="inlineStr">
        <is>
          <t>Cấp đổi</t>
        </is>
      </c>
      <c r="F76" s="27" t="n">
        <v>45989</v>
      </c>
      <c r="G76" s="29" t="n">
        <v>1</v>
      </c>
      <c r="H76" s="29" t="n">
        <v>0</v>
      </c>
      <c r="I76" s="29">
        <f>IF(G76="","",G76-H76)</f>
        <v/>
      </c>
      <c r="J76" s="37">
        <f>IF(A76="","",IF(I76&lt;=0,"Đã tất toán",IF(L76&lt;TODAY(),"Quá hạn","Còn nợ")))</f>
        <v/>
      </c>
      <c r="K76" s="37" t="inlineStr">
        <is>
          <t>Nguyễn Hương DV</t>
        </is>
      </c>
      <c r="L76" s="27" t="n"/>
      <c r="M76" s="37" t="n"/>
    </row>
    <row r="77" ht="15.75" customHeight="1" s="56">
      <c r="A77" s="37" t="inlineStr">
        <is>
          <t>595/BK-2025</t>
        </is>
      </c>
      <c r="B77" s="37" t="inlineStr">
        <is>
          <t>BK-HS-0247</t>
        </is>
      </c>
      <c r="C77" s="37" t="inlineStr">
        <is>
          <t>Nguyễn Mạnh Hùng-Nguyễn Trần Huyền Trang</t>
        </is>
      </c>
      <c r="D77" s="37" t="inlineStr">
        <is>
          <t>Phòng Đo đạc</t>
        </is>
      </c>
      <c r="E77" s="37" t="inlineStr">
        <is>
          <t>Cấp đổi</t>
        </is>
      </c>
      <c r="F77" s="27" t="n">
        <v>45990</v>
      </c>
      <c r="G77" s="29" t="n">
        <v>12000000</v>
      </c>
      <c r="H77" s="29" t="n">
        <v>10000000</v>
      </c>
      <c r="I77" s="29">
        <f>IF(G77="","",G77-H77)</f>
        <v/>
      </c>
      <c r="J77" s="37">
        <f>IF(A77="","",IF(I77&lt;=0,"Đã tất toán",IF(L77&lt;TODAY(),"Quá hạn","Còn nợ")))</f>
        <v/>
      </c>
      <c r="K77" s="37" t="inlineStr">
        <is>
          <t>Nguyễn Hương DV</t>
        </is>
      </c>
      <c r="L77" s="27" t="n"/>
      <c r="M77" s="37" t="n"/>
    </row>
    <row r="78" ht="15.75" customHeight="1" s="56">
      <c r="A78" s="37" t="inlineStr">
        <is>
          <t>596/BK-2025</t>
        </is>
      </c>
      <c r="B78" s="37" t="inlineStr">
        <is>
          <t>BK-HS-0246</t>
        </is>
      </c>
      <c r="C78" s="37" t="inlineStr">
        <is>
          <t>Nguyễn Mạnh Hùng-Nguyễn Trần Huyền Trang</t>
        </is>
      </c>
      <c r="D78" s="37" t="inlineStr">
        <is>
          <t>Phòng Đo đạc</t>
        </is>
      </c>
      <c r="E78" s="37" t="inlineStr">
        <is>
          <t>Cấp đổi</t>
        </is>
      </c>
      <c r="F78" s="27" t="n">
        <v>45990</v>
      </c>
      <c r="G78" s="29" t="n">
        <v>12000000</v>
      </c>
      <c r="H78" s="29" t="n">
        <v>10000000</v>
      </c>
      <c r="I78" s="29">
        <f>IF(G78="","",G78-H78)</f>
        <v/>
      </c>
      <c r="J78" s="37">
        <f>IF(A78="","",IF(I78&lt;=0,"Đã tất toán",IF(L78&lt;TODAY(),"Quá hạn","Còn nợ")))</f>
        <v/>
      </c>
      <c r="K78" s="37" t="inlineStr">
        <is>
          <t>Nguyễn Hương DV</t>
        </is>
      </c>
      <c r="L78" s="27" t="n"/>
      <c r="M78" s="37" t="n"/>
    </row>
    <row r="79" ht="15.75" customHeight="1" s="56">
      <c r="A79" s="37" t="inlineStr">
        <is>
          <t>597/BK-2025</t>
        </is>
      </c>
      <c r="B79" s="37" t="inlineStr">
        <is>
          <t>BK-HS-0245</t>
        </is>
      </c>
      <c r="C79" s="37" t="inlineStr">
        <is>
          <t>Trần Thuỳ Giang</t>
        </is>
      </c>
      <c r="D79" s="37" t="inlineStr">
        <is>
          <t>Phòng Đo đạc</t>
        </is>
      </c>
      <c r="E79" s="37" t="inlineStr">
        <is>
          <t>Cấp đổi</t>
        </is>
      </c>
      <c r="F79" s="27" t="n">
        <v>45990</v>
      </c>
      <c r="G79" s="29" t="n">
        <v>40000000</v>
      </c>
      <c r="H79" s="29" t="n">
        <v>40000000</v>
      </c>
      <c r="I79" s="29">
        <f>IF(G79="","",G79-H79)</f>
        <v/>
      </c>
      <c r="J79" s="37">
        <f>IF(A79="","",IF(I79&lt;=0,"Đã tất toán",IF(L79&lt;TODAY(),"Quá hạn","Còn nợ")))</f>
        <v/>
      </c>
      <c r="K79" s="37" t="inlineStr">
        <is>
          <t>Công Ty</t>
        </is>
      </c>
      <c r="L79" s="27" t="n"/>
      <c r="M79" s="37" t="n"/>
    </row>
    <row r="80" ht="15.75" customHeight="1" s="56">
      <c r="A80" s="37" t="inlineStr">
        <is>
          <t>598/BK-2025</t>
        </is>
      </c>
      <c r="B80" s="37" t="inlineStr">
        <is>
          <t>BK-HS-0244</t>
        </is>
      </c>
      <c r="C80" s="37" t="inlineStr">
        <is>
          <t>Trần Văn Quang</t>
        </is>
      </c>
      <c r="D80" s="37" t="inlineStr">
        <is>
          <t>Phòng Đo đạc</t>
        </is>
      </c>
      <c r="E80" s="37" t="inlineStr">
        <is>
          <t>Cắm mốc</t>
        </is>
      </c>
      <c r="F80" s="27" t="n">
        <v>45991</v>
      </c>
      <c r="G80" s="29" t="n">
        <v>2500000</v>
      </c>
      <c r="H80" s="29" t="n">
        <v>2500000</v>
      </c>
      <c r="I80" s="29">
        <f>IF(G80="","",G80-H80)</f>
        <v/>
      </c>
      <c r="J80" s="37">
        <f>IF(A80="","",IF(I80&lt;=0,"Đã tất toán",IF(L80&lt;TODAY(),"Quá hạn","Còn nợ")))</f>
        <v/>
      </c>
      <c r="K80" s="37" t="inlineStr">
        <is>
          <t>Tuấn Lộc</t>
        </is>
      </c>
      <c r="L80" s="27" t="n"/>
      <c r="M80" s="37" t="n"/>
    </row>
    <row r="81" ht="15.75" customHeight="1" s="56">
      <c r="A81" s="37" t="inlineStr">
        <is>
          <t>599/BK-2025</t>
        </is>
      </c>
      <c r="B81" s="37" t="inlineStr">
        <is>
          <t>BK-HS-0243</t>
        </is>
      </c>
      <c r="C81" s="37" t="inlineStr">
        <is>
          <t>Nguyễn Phạm Hoài Vy</t>
        </is>
      </c>
      <c r="D81" s="37" t="inlineStr">
        <is>
          <t>Phòng Đo đạc</t>
        </is>
      </c>
      <c r="E81" s="37" t="inlineStr">
        <is>
          <t>Xác định diện tích</t>
        </is>
      </c>
      <c r="F81" s="27" t="n">
        <v>45991</v>
      </c>
      <c r="G81" s="29" t="n">
        <v>1</v>
      </c>
      <c r="H81" s="29" t="n">
        <v>1</v>
      </c>
      <c r="I81" s="29">
        <f>IF(G81="","",G81-H81)</f>
        <v/>
      </c>
      <c r="J81" s="37">
        <f>IF(A81="","",IF(I81&lt;=0,"Đã tất toán",IF(L81&lt;TODAY(),"Quá hạn","Còn nợ")))</f>
        <v/>
      </c>
      <c r="K81" s="37" t="inlineStr">
        <is>
          <t>Anh Long PCT</t>
        </is>
      </c>
      <c r="L81" s="27" t="n"/>
      <c r="M81" s="37" t="n"/>
    </row>
    <row r="82" ht="15.75" customHeight="1" s="56">
      <c r="A82" s="37" t="inlineStr">
        <is>
          <t>600/BK-2025</t>
        </is>
      </c>
      <c r="B82" s="37" t="inlineStr">
        <is>
          <t>BK-HS-0242</t>
        </is>
      </c>
      <c r="C82" s="37" t="inlineStr">
        <is>
          <t>Phan Thị Tố Như</t>
        </is>
      </c>
      <c r="D82" s="37" t="inlineStr">
        <is>
          <t>Phòng Đo đạc</t>
        </is>
      </c>
      <c r="E82" s="37" t="inlineStr">
        <is>
          <t>Xác định diện tích</t>
        </is>
      </c>
      <c r="F82" s="27" t="n">
        <v>45991</v>
      </c>
      <c r="G82" s="29" t="n">
        <v>1</v>
      </c>
      <c r="H82" s="29" t="n">
        <v>1</v>
      </c>
      <c r="I82" s="29">
        <f>IF(G82="","",G82-H82)</f>
        <v/>
      </c>
      <c r="J82" s="37">
        <f>IF(A82="","",IF(I82&lt;=0,"Đã tất toán",IF(L82&lt;TODAY(),"Quá hạn","Còn nợ")))</f>
        <v/>
      </c>
      <c r="K82" s="37" t="inlineStr">
        <is>
          <t>Anh Long PCT</t>
        </is>
      </c>
      <c r="L82" s="27" t="n"/>
      <c r="M82" s="37" t="n"/>
    </row>
    <row r="83" ht="15.75" customHeight="1" s="56">
      <c r="A83" s="37" t="inlineStr">
        <is>
          <t>400-DC-1/BK-2025</t>
        </is>
      </c>
      <c r="B83" s="37" t="inlineStr">
        <is>
          <t>BK-HS-0241</t>
        </is>
      </c>
      <c r="C83" s="37" t="inlineStr">
        <is>
          <t>Nguyễn Nhật Bằng</t>
        </is>
      </c>
      <c r="D83" s="37" t="inlineStr">
        <is>
          <t>Phòng Đo đạc</t>
        </is>
      </c>
      <c r="E83" s="37" t="inlineStr">
        <is>
          <t>Điều chỉnh bản vẽ</t>
        </is>
      </c>
      <c r="F83" s="27" t="n">
        <v>45991</v>
      </c>
      <c r="G83" s="29" t="n">
        <v>10000000</v>
      </c>
      <c r="H83" s="29" t="n">
        <v>10000000</v>
      </c>
      <c r="I83" s="29">
        <f>IF(G83="","",G83-H83)</f>
        <v/>
      </c>
      <c r="J83" s="37">
        <f>IF(A83="","",IF(I83&lt;=0,"Đã tất toán",IF(L83&lt;TODAY(),"Quá hạn","Còn nợ")))</f>
        <v/>
      </c>
      <c r="K83" s="37" t="inlineStr">
        <is>
          <t>Công Ty</t>
        </is>
      </c>
      <c r="L83" s="27" t="n"/>
      <c r="M83" s="37" t="n"/>
    </row>
    <row r="84" ht="15.75" customHeight="1" s="56">
      <c r="A84" s="37" t="inlineStr">
        <is>
          <t>595-1/BK-2025</t>
        </is>
      </c>
      <c r="B84" s="37" t="inlineStr">
        <is>
          <t>BK-HS-0240</t>
        </is>
      </c>
      <c r="C84" s="37" t="inlineStr">
        <is>
          <t>Nguyễn Mạnh Hùng-Nguyễn Trần Huyền Trang</t>
        </is>
      </c>
      <c r="D84" s="37" t="inlineStr">
        <is>
          <t>Phòng Đo đạc</t>
        </is>
      </c>
      <c r="E84" s="37" t="inlineStr">
        <is>
          <t>Cắm mốc</t>
        </is>
      </c>
      <c r="F84" s="27" t="n">
        <v>45991</v>
      </c>
      <c r="G84" s="29" t="n">
        <v>3000000</v>
      </c>
      <c r="H84" s="29" t="n">
        <v>0</v>
      </c>
      <c r="I84" s="29">
        <f>IF(G84="","",G84-H84)</f>
        <v/>
      </c>
      <c r="J84" s="37">
        <f>IF(A84="","",IF(I84&lt;=0,"Đã tất toán",IF(L84&lt;TODAY(),"Quá hạn","Còn nợ")))</f>
        <v/>
      </c>
      <c r="K84" s="37" t="inlineStr">
        <is>
          <t>Nguyễn Hương DV</t>
        </is>
      </c>
      <c r="L84" s="27" t="n"/>
      <c r="M84" s="37" t="n"/>
    </row>
    <row r="85" ht="15.75" customHeight="1" s="56">
      <c r="A85" s="37" t="inlineStr">
        <is>
          <t>601/BK-2025</t>
        </is>
      </c>
      <c r="B85" s="37" t="inlineStr">
        <is>
          <t>BK-HS-0239</t>
        </is>
      </c>
      <c r="C85" s="37" t="inlineStr">
        <is>
          <t>Vương Thị Minh</t>
        </is>
      </c>
      <c r="D85" s="37" t="inlineStr">
        <is>
          <t>Phòng Đo đạc</t>
        </is>
      </c>
      <c r="E85" s="37" t="inlineStr">
        <is>
          <t>Cấp đổi</t>
        </is>
      </c>
      <c r="F85" s="27" t="n">
        <v>45991</v>
      </c>
      <c r="G85" s="29" t="n">
        <v>85000000</v>
      </c>
      <c r="H85" s="29" t="n">
        <v>20000000</v>
      </c>
      <c r="I85" s="29">
        <f>IF(G85="","",G85-H85)</f>
        <v/>
      </c>
      <c r="J85" s="37">
        <f>IF(A85="","",IF(I85&lt;=0,"Đã tất toán",IF(L85&lt;TODAY(),"Quá hạn","Còn nợ")))</f>
        <v/>
      </c>
      <c r="K85" s="37" t="inlineStr">
        <is>
          <t>Công Ty</t>
        </is>
      </c>
      <c r="L85" s="27" t="n"/>
      <c r="M85" s="37" t="n"/>
    </row>
    <row r="86" ht="15.75" customHeight="1" s="56">
      <c r="A86" s="37" t="inlineStr">
        <is>
          <t>602/BK-2025</t>
        </is>
      </c>
      <c r="B86" s="37" t="inlineStr">
        <is>
          <t>BK-HS-0238</t>
        </is>
      </c>
      <c r="C86" s="37" t="inlineStr">
        <is>
          <t>Vũ Quang Tịnh</t>
        </is>
      </c>
      <c r="D86" s="37" t="inlineStr">
        <is>
          <t>Phòng Đo đạc</t>
        </is>
      </c>
      <c r="E86" s="37" t="inlineStr">
        <is>
          <t>Cấp đổi</t>
        </is>
      </c>
      <c r="F86" s="27" t="n">
        <v>45991</v>
      </c>
      <c r="G86" s="29" t="n">
        <v>9000000</v>
      </c>
      <c r="H86" s="29" t="n">
        <v>9000000</v>
      </c>
      <c r="I86" s="29">
        <f>IF(G86="","",G86-H86)</f>
        <v/>
      </c>
      <c r="J86" s="37">
        <f>IF(A86="","",IF(I86&lt;=0,"Đã tất toán",IF(L86&lt;TODAY(),"Quá hạn","Còn nợ")))</f>
        <v/>
      </c>
      <c r="K86" s="37" t="inlineStr">
        <is>
          <t>Công Ty</t>
        </is>
      </c>
      <c r="L86" s="27" t="n"/>
      <c r="M86" s="37" t="n"/>
    </row>
    <row r="87" ht="15.75" customHeight="1" s="56">
      <c r="A87" s="37" t="inlineStr">
        <is>
          <t>384-DC/BK-2025</t>
        </is>
      </c>
      <c r="B87" s="37" t="inlineStr">
        <is>
          <t>BK-HS-0237</t>
        </is>
      </c>
      <c r="C87" s="37" t="inlineStr">
        <is>
          <t>Lâm Văn Thanh</t>
        </is>
      </c>
      <c r="D87" s="37" t="inlineStr">
        <is>
          <t>Phòng Đo đạc</t>
        </is>
      </c>
      <c r="E87" s="37" t="inlineStr">
        <is>
          <t>Điều chỉnh bản vẽ</t>
        </is>
      </c>
      <c r="F87" s="27" t="n">
        <v>45992</v>
      </c>
      <c r="G87" s="29" t="n">
        <v>6000000</v>
      </c>
      <c r="H87" s="29" t="n">
        <v>6000000</v>
      </c>
      <c r="I87" s="29">
        <f>IF(G87="","",G87-H87)</f>
        <v/>
      </c>
      <c r="J87" s="37">
        <f>IF(A87="","",IF(I87&lt;=0,"Đã tất toán",IF(L87&lt;TODAY(),"Quá hạn","Còn nợ")))</f>
        <v/>
      </c>
      <c r="K87" s="37" t="inlineStr">
        <is>
          <t>Công Ty</t>
        </is>
      </c>
      <c r="L87" s="27" t="n"/>
      <c r="M87" s="37" t="n"/>
    </row>
    <row r="88" ht="15.75" customHeight="1" s="56">
      <c r="A88" s="37" t="inlineStr">
        <is>
          <t>458-1/BK-2025</t>
        </is>
      </c>
      <c r="B88" s="37" t="inlineStr">
        <is>
          <t>BK-HS-0236</t>
        </is>
      </c>
      <c r="C88" s="37" t="inlineStr">
        <is>
          <t>Trần Quang Vinh</t>
        </is>
      </c>
      <c r="D88" s="37" t="inlineStr">
        <is>
          <t>Phòng Đo đạc</t>
        </is>
      </c>
      <c r="E88" s="37" t="inlineStr">
        <is>
          <t>Cắm mốc</t>
        </is>
      </c>
      <c r="F88" s="27" t="n">
        <v>45992</v>
      </c>
      <c r="G88" s="29" t="n">
        <v>3000000</v>
      </c>
      <c r="H88" s="29" t="n">
        <v>0</v>
      </c>
      <c r="I88" s="29">
        <f>IF(G88="","",G88-H88)</f>
        <v/>
      </c>
      <c r="J88" s="37">
        <f>IF(A88="","",IF(I88&lt;=0,"Đã tất toán",IF(L88&lt;TODAY(),"Quá hạn","Còn nợ")))</f>
        <v/>
      </c>
      <c r="K88" s="37" t="inlineStr">
        <is>
          <t>Hoàng Quân</t>
        </is>
      </c>
      <c r="L88" s="27" t="n"/>
      <c r="M88" s="37" t="n"/>
    </row>
    <row r="89" ht="15.75" customHeight="1" s="56">
      <c r="A89" s="37" t="inlineStr">
        <is>
          <t>603/BK-2025</t>
        </is>
      </c>
      <c r="B89" s="37" t="inlineStr">
        <is>
          <t>BK-HS-0235</t>
        </is>
      </c>
      <c r="C89" s="37" t="inlineStr">
        <is>
          <t>Trần Đức Phú</t>
        </is>
      </c>
      <c r="D89" s="37" t="inlineStr">
        <is>
          <t>Phòng Đo đạc</t>
        </is>
      </c>
      <c r="E89" s="37" t="inlineStr">
        <is>
          <t>Cấp đổi</t>
        </is>
      </c>
      <c r="F89" s="27" t="n">
        <v>45992</v>
      </c>
      <c r="G89" s="29" t="n">
        <v>20000000</v>
      </c>
      <c r="H89" s="29" t="n">
        <v>0</v>
      </c>
      <c r="I89" s="29">
        <f>IF(G89="","",G89-H89)</f>
        <v/>
      </c>
      <c r="J89" s="37">
        <f>IF(A89="","",IF(I89&lt;=0,"Đã tất toán",IF(L89&lt;TODAY(),"Quá hạn","Còn nợ")))</f>
        <v/>
      </c>
      <c r="K89" s="37" t="inlineStr">
        <is>
          <t>Hoàng Quân</t>
        </is>
      </c>
      <c r="L89" s="27" t="n"/>
      <c r="M89" s="37" t="n"/>
    </row>
    <row r="90" ht="15.75" customHeight="1" s="56">
      <c r="A90" s="37" t="inlineStr">
        <is>
          <t>603-1/BK-2025</t>
        </is>
      </c>
      <c r="B90" s="37" t="inlineStr">
        <is>
          <t>BK-HS-0234</t>
        </is>
      </c>
      <c r="C90" s="37" t="inlineStr">
        <is>
          <t>Trần Đức Phú</t>
        </is>
      </c>
      <c r="D90" s="37" t="inlineStr">
        <is>
          <t>Phòng Đo đạc</t>
        </is>
      </c>
      <c r="E90" s="37" t="inlineStr">
        <is>
          <t>Cắm mốc</t>
        </is>
      </c>
      <c r="F90" s="27" t="n">
        <v>45992</v>
      </c>
      <c r="G90" s="29" t="n">
        <v>3000000</v>
      </c>
      <c r="H90" s="29" t="n">
        <v>0</v>
      </c>
      <c r="I90" s="29">
        <f>IF(G90="","",G90-H90)</f>
        <v/>
      </c>
      <c r="J90" s="37">
        <f>IF(A90="","",IF(I90&lt;=0,"Đã tất toán",IF(L90&lt;TODAY(),"Quá hạn","Còn nợ")))</f>
        <v/>
      </c>
      <c r="K90" s="37" t="inlineStr">
        <is>
          <t>Hoàng Quân</t>
        </is>
      </c>
      <c r="L90" s="27" t="n"/>
      <c r="M90" s="37" t="n"/>
    </row>
    <row r="91" ht="15.75" customHeight="1" s="56">
      <c r="A91" s="37" t="inlineStr">
        <is>
          <t>603-2/BK-2025</t>
        </is>
      </c>
      <c r="B91" s="37" t="inlineStr">
        <is>
          <t>BK-HS-0233</t>
        </is>
      </c>
      <c r="C91" s="37" t="inlineStr">
        <is>
          <t>Trần Đức Phú</t>
        </is>
      </c>
      <c r="D91" s="37" t="inlineStr">
        <is>
          <t>Phòng Đo đạc</t>
        </is>
      </c>
      <c r="E91" s="37" t="inlineStr">
        <is>
          <t>Đo GPS</t>
        </is>
      </c>
      <c r="F91" s="27" t="n">
        <v>45992</v>
      </c>
      <c r="G91" s="29" t="n"/>
      <c r="H91" s="29" t="n">
        <v>0</v>
      </c>
      <c r="I91" s="29">
        <f>IF(G91="","",G91-H91)</f>
        <v/>
      </c>
      <c r="J91" s="37">
        <f>IF(A91="","",IF(I91&lt;=0,"Đã tất toán",IF(L91&lt;TODAY(),"Quá hạn","Còn nợ")))</f>
        <v/>
      </c>
      <c r="K91" s="37" t="inlineStr">
        <is>
          <t>Hoàng Quân</t>
        </is>
      </c>
      <c r="L91" s="27" t="n"/>
      <c r="M91" s="37" t="n"/>
    </row>
    <row r="92" ht="15.75" customHeight="1" s="56">
      <c r="A92" s="37" t="inlineStr">
        <is>
          <t>504-DC/BK-2025</t>
        </is>
      </c>
      <c r="B92" s="37" t="inlineStr">
        <is>
          <t>BK-HS-0232</t>
        </is>
      </c>
      <c r="C92" s="37" t="inlineStr">
        <is>
          <t>Trần Thị Ngọc Dung</t>
        </is>
      </c>
      <c r="D92" s="37" t="inlineStr">
        <is>
          <t>Phòng Đo đạc</t>
        </is>
      </c>
      <c r="E92" s="37" t="inlineStr">
        <is>
          <t>Điều chỉnh bản vẽ</t>
        </is>
      </c>
      <c r="F92" s="27" t="n">
        <v>45992</v>
      </c>
      <c r="G92" s="29" t="n">
        <v>1</v>
      </c>
      <c r="H92" s="29" t="n">
        <v>1</v>
      </c>
      <c r="I92" s="29">
        <f>IF(G92="","",G92-H92)</f>
        <v/>
      </c>
      <c r="J92" s="37">
        <f>IF(A92="","",IF(I92&lt;=0,"Đã tất toán",IF(L92&lt;TODAY(),"Quá hạn","Còn nợ")))</f>
        <v/>
      </c>
      <c r="K92" s="37" t="inlineStr">
        <is>
          <t>Cô Hoa</t>
        </is>
      </c>
      <c r="L92" s="27" t="n"/>
      <c r="M92" s="37" t="n"/>
    </row>
    <row r="93" ht="15.75" customHeight="1" s="56">
      <c r="A93" s="37" t="inlineStr">
        <is>
          <t>604/BK-2025</t>
        </is>
      </c>
      <c r="B93" s="37" t="inlineStr">
        <is>
          <t>BK-HS-0231</t>
        </is>
      </c>
      <c r="C93" s="37" t="inlineStr">
        <is>
          <t>Anh Lộc</t>
        </is>
      </c>
      <c r="D93" s="37" t="inlineStr">
        <is>
          <t>Phòng Đo đạc</t>
        </is>
      </c>
      <c r="E93" s="37" t="inlineStr">
        <is>
          <t>Kiểm tra hiện trạng</t>
        </is>
      </c>
      <c r="F93" s="27" t="n">
        <v>45992</v>
      </c>
      <c r="G93" s="29" t="n">
        <v>1</v>
      </c>
      <c r="H93" s="29" t="n">
        <v>1</v>
      </c>
      <c r="I93" s="29">
        <f>IF(G93="","",G93-H93)</f>
        <v/>
      </c>
      <c r="J93" s="37">
        <f>IF(A93="","",IF(I93&lt;=0,"Đã tất toán",IF(L93&lt;TODAY(),"Quá hạn","Còn nợ")))</f>
        <v/>
      </c>
      <c r="K93" s="37" t="inlineStr">
        <is>
          <t>Đạt Việt Phát Land</t>
        </is>
      </c>
      <c r="L93" s="27" t="n"/>
      <c r="M93" s="37" t="n"/>
    </row>
    <row r="94" ht="15.75" customHeight="1" s="56">
      <c r="A94" s="37" t="inlineStr">
        <is>
          <t>526-1/BK-2025</t>
        </is>
      </c>
      <c r="B94" s="37" t="inlineStr">
        <is>
          <t>BK-HS-0230</t>
        </is>
      </c>
      <c r="C94" s="37" t="inlineStr">
        <is>
          <t>Nguyễn Khánh Lộc</t>
        </is>
      </c>
      <c r="D94" s="37" t="inlineStr">
        <is>
          <t>Phòng Đo đạc</t>
        </is>
      </c>
      <c r="E94" s="37" t="inlineStr">
        <is>
          <t>Cắm mốc</t>
        </is>
      </c>
      <c r="F94" s="27" t="n">
        <v>45992</v>
      </c>
      <c r="G94" s="29" t="n">
        <v>3000000</v>
      </c>
      <c r="H94" s="29" t="n">
        <v>0</v>
      </c>
      <c r="I94" s="29">
        <f>IF(G94="","",G94-H94)</f>
        <v/>
      </c>
      <c r="J94" s="37">
        <f>IF(A94="","",IF(I94&lt;=0,"Đã tất toán",IF(L94&lt;TODAY(),"Quá hạn","Còn nợ")))</f>
        <v/>
      </c>
      <c r="K94" s="37" t="inlineStr">
        <is>
          <t>Nguyễn Tâm DV</t>
        </is>
      </c>
      <c r="L94" s="27" t="n"/>
      <c r="M94" s="37" t="n"/>
    </row>
    <row r="95" ht="15.75" customHeight="1" s="56">
      <c r="A95" s="37" t="inlineStr">
        <is>
          <t>605/BK-2025</t>
        </is>
      </c>
      <c r="B95" s="37" t="inlineStr">
        <is>
          <t>BK-HS-0229</t>
        </is>
      </c>
      <c r="C95" s="37" t="inlineStr">
        <is>
          <t>Trần Lâm</t>
        </is>
      </c>
      <c r="D95" s="37" t="inlineStr">
        <is>
          <t>Phòng Đo đạc</t>
        </is>
      </c>
      <c r="E95" s="37" t="inlineStr">
        <is>
          <t>Hoàn công</t>
        </is>
      </c>
      <c r="F95" s="27" t="n">
        <v>45992</v>
      </c>
      <c r="G95" s="29" t="n"/>
      <c r="H95" s="29" t="n">
        <v>0</v>
      </c>
      <c r="I95" s="29">
        <f>IF(G95="","",G95-H95)</f>
        <v/>
      </c>
      <c r="J95" s="37">
        <f>IF(A95="","",IF(I95&lt;=0,"Đã tất toán",IF(L95&lt;TODAY(),"Quá hạn","Còn nợ")))</f>
        <v/>
      </c>
      <c r="K95" s="37" t="inlineStr">
        <is>
          <t>Công Ty</t>
        </is>
      </c>
      <c r="L95" s="27" t="n"/>
      <c r="M95" s="37" t="n"/>
    </row>
    <row r="96" ht="15.75" customHeight="1" s="56">
      <c r="A96" s="37" t="inlineStr">
        <is>
          <t>607/BK-2025</t>
        </is>
      </c>
      <c r="B96" s="37" t="inlineStr">
        <is>
          <t>BK-HS-0228</t>
        </is>
      </c>
      <c r="C96" s="37" t="inlineStr">
        <is>
          <t>Phan Văn Truyền-Nguyễn Thị Quy</t>
        </is>
      </c>
      <c r="D96" s="37" t="inlineStr">
        <is>
          <t>Phòng Đo đạc</t>
        </is>
      </c>
      <c r="E96" s="37" t="inlineStr">
        <is>
          <t>Hoàn công</t>
        </is>
      </c>
      <c r="F96" s="27" t="n">
        <v>45993</v>
      </c>
      <c r="G96" s="29" t="n">
        <v>1</v>
      </c>
      <c r="H96" s="29" t="n">
        <v>1</v>
      </c>
      <c r="I96" s="29">
        <f>IF(G96="","",G96-H96)</f>
        <v/>
      </c>
      <c r="J96" s="37">
        <f>IF(A96="","",IF(I96&lt;=0,"Đã tất toán",IF(L96&lt;TODAY(),"Quá hạn","Còn nợ")))</f>
        <v/>
      </c>
      <c r="K96" s="37" t="inlineStr">
        <is>
          <t>Đạt Việt Phát Land</t>
        </is>
      </c>
      <c r="L96" s="27" t="n"/>
      <c r="M96" s="37" t="n"/>
    </row>
    <row r="97" ht="15.75" customHeight="1" s="56">
      <c r="A97" s="37" t="inlineStr">
        <is>
          <t>608/BK-2025</t>
        </is>
      </c>
      <c r="B97" s="37" t="inlineStr">
        <is>
          <t>BK-HS-0227</t>
        </is>
      </c>
      <c r="C97" s="37" t="inlineStr">
        <is>
          <t>Trần Quang Vinh</t>
        </is>
      </c>
      <c r="D97" s="37" t="inlineStr">
        <is>
          <t>Phòng Đo đạc</t>
        </is>
      </c>
      <c r="E97" s="37" t="inlineStr">
        <is>
          <t>Cấp đổi</t>
        </is>
      </c>
      <c r="F97" s="27" t="n">
        <v>45993</v>
      </c>
      <c r="G97" s="29" t="n">
        <v>15000000</v>
      </c>
      <c r="H97" s="29" t="n">
        <v>0</v>
      </c>
      <c r="I97" s="29">
        <f>IF(G97="","",G97-H97)</f>
        <v/>
      </c>
      <c r="J97" s="37">
        <f>IF(A97="","",IF(I97&lt;=0,"Đã tất toán",IF(L97&lt;TODAY(),"Quá hạn","Còn nợ")))</f>
        <v/>
      </c>
      <c r="K97" s="37" t="inlineStr">
        <is>
          <t>Hoàng Quân</t>
        </is>
      </c>
      <c r="L97" s="27" t="n"/>
      <c r="M97" s="37" t="n"/>
    </row>
    <row r="98" ht="15.75" customHeight="1" s="56">
      <c r="A98" s="37" t="inlineStr">
        <is>
          <t>608-1/BK-2025</t>
        </is>
      </c>
      <c r="B98" s="37" t="inlineStr">
        <is>
          <t>BK-HS-0226</t>
        </is>
      </c>
      <c r="C98" s="37" t="inlineStr">
        <is>
          <t>Trần Quang Vinh</t>
        </is>
      </c>
      <c r="D98" s="37" t="inlineStr">
        <is>
          <t>Phòng Đo đạc</t>
        </is>
      </c>
      <c r="E98" s="37" t="inlineStr">
        <is>
          <t>Cắm mốc</t>
        </is>
      </c>
      <c r="F98" s="27" t="n">
        <v>45993</v>
      </c>
      <c r="G98" s="29" t="n">
        <v>4500000</v>
      </c>
      <c r="H98" s="29" t="n">
        <v>0</v>
      </c>
      <c r="I98" s="29">
        <f>IF(G98="","",G98-H98)</f>
        <v/>
      </c>
      <c r="J98" s="37">
        <f>IF(A98="","",IF(I98&lt;=0,"Đã tất toán",IF(L98&lt;TODAY(),"Quá hạn","Còn nợ")))</f>
        <v/>
      </c>
      <c r="K98" s="37" t="inlineStr">
        <is>
          <t>Hoàng Quân</t>
        </is>
      </c>
      <c r="L98" s="27" t="n"/>
      <c r="M98" s="37" t="n"/>
    </row>
    <row r="99" ht="15.75" customHeight="1" s="56">
      <c r="A99" s="37" t="inlineStr">
        <is>
          <t>608-2/BK-2025</t>
        </is>
      </c>
      <c r="B99" s="37" t="inlineStr">
        <is>
          <t>BK-HS-0225</t>
        </is>
      </c>
      <c r="C99" s="37" t="inlineStr">
        <is>
          <t>Trần Quang Vinh</t>
        </is>
      </c>
      <c r="D99" s="37" t="inlineStr">
        <is>
          <t>Phòng Đo đạc</t>
        </is>
      </c>
      <c r="E99" s="37" t="inlineStr">
        <is>
          <t>Đo GPS</t>
        </is>
      </c>
      <c r="F99" s="27" t="n">
        <v>45993</v>
      </c>
      <c r="G99" s="29" t="n"/>
      <c r="H99" s="29" t="n">
        <v>0</v>
      </c>
      <c r="I99" s="29">
        <f>IF(G99="","",G99-H99)</f>
        <v/>
      </c>
      <c r="J99" s="37">
        <f>IF(A99="","",IF(I99&lt;=0,"Đã tất toán",IF(L99&lt;TODAY(),"Quá hạn","Còn nợ")))</f>
        <v/>
      </c>
      <c r="K99" s="37" t="inlineStr">
        <is>
          <t>Hoàng Quân</t>
        </is>
      </c>
      <c r="L99" s="27" t="n"/>
      <c r="M99" s="37" t="n"/>
    </row>
    <row r="100" ht="15.75" customHeight="1" s="56">
      <c r="A100" s="37" t="inlineStr">
        <is>
          <t>609/BK-2025</t>
        </is>
      </c>
      <c r="B100" s="37" t="inlineStr">
        <is>
          <t>BK-HS-0224</t>
        </is>
      </c>
      <c r="C100" s="37" t="inlineStr">
        <is>
          <t>Trần Quang Vinh</t>
        </is>
      </c>
      <c r="D100" s="37" t="inlineStr">
        <is>
          <t>Phòng Đo đạc</t>
        </is>
      </c>
      <c r="E100" s="37" t="inlineStr">
        <is>
          <t>Cấp đổi</t>
        </is>
      </c>
      <c r="F100" s="27" t="n">
        <v>45993</v>
      </c>
      <c r="G100" s="29" t="n"/>
      <c r="H100" s="29" t="n">
        <v>0</v>
      </c>
      <c r="I100" s="29">
        <f>IF(G100="","",G100-H100)</f>
        <v/>
      </c>
      <c r="J100" s="37">
        <f>IF(A100="","",IF(I100&lt;=0,"Đã tất toán",IF(L100&lt;TODAY(),"Quá hạn","Còn nợ")))</f>
        <v/>
      </c>
      <c r="K100" s="37" t="inlineStr">
        <is>
          <t>Hoàng Quân</t>
        </is>
      </c>
      <c r="L100" s="27" t="n"/>
      <c r="M100" s="37" t="n"/>
    </row>
    <row r="101" ht="15.75" customHeight="1" s="56">
      <c r="A101" s="37" t="inlineStr">
        <is>
          <t>609-1/BK-2025</t>
        </is>
      </c>
      <c r="B101" s="37" t="inlineStr">
        <is>
          <t>BK-HS-0223</t>
        </is>
      </c>
      <c r="C101" s="37" t="inlineStr">
        <is>
          <t>Trần Quang Vinh</t>
        </is>
      </c>
      <c r="D101" s="37" t="inlineStr">
        <is>
          <t>Phòng Đo đạc</t>
        </is>
      </c>
      <c r="E101" s="37" t="inlineStr">
        <is>
          <t>Cắm mốc</t>
        </is>
      </c>
      <c r="F101" s="27" t="n">
        <v>45993</v>
      </c>
      <c r="G101" s="29" t="n">
        <v>3000000</v>
      </c>
      <c r="H101" s="29" t="n">
        <v>0</v>
      </c>
      <c r="I101" s="29">
        <f>IF(G101="","",G101-H101)</f>
        <v/>
      </c>
      <c r="J101" s="37">
        <f>IF(A101="","",IF(I101&lt;=0,"Đã tất toán",IF(L101&lt;TODAY(),"Quá hạn","Còn nợ")))</f>
        <v/>
      </c>
      <c r="K101" s="37" t="inlineStr">
        <is>
          <t>Hoàng Quân</t>
        </is>
      </c>
      <c r="L101" s="27" t="n"/>
      <c r="M101" s="37" t="n"/>
    </row>
    <row r="102" ht="15.75" customHeight="1" s="56">
      <c r="A102" s="37" t="inlineStr">
        <is>
          <t>609-2/BK-2025</t>
        </is>
      </c>
      <c r="B102" s="37" t="inlineStr">
        <is>
          <t>BK-HS-0222</t>
        </is>
      </c>
      <c r="C102" s="37" t="inlineStr">
        <is>
          <t>Trần Quang Vinh</t>
        </is>
      </c>
      <c r="D102" s="37" t="inlineStr">
        <is>
          <t>Phòng Đo đạc</t>
        </is>
      </c>
      <c r="E102" s="37" t="inlineStr">
        <is>
          <t>Đo GPS</t>
        </is>
      </c>
      <c r="F102" s="27" t="n">
        <v>45993</v>
      </c>
      <c r="G102" s="29" t="n"/>
      <c r="H102" s="29" t="n">
        <v>0</v>
      </c>
      <c r="I102" s="29">
        <f>IF(G102="","",G102-H102)</f>
        <v/>
      </c>
      <c r="J102" s="37">
        <f>IF(A102="","",IF(I102&lt;=0,"Đã tất toán",IF(L102&lt;TODAY(),"Quá hạn","Còn nợ")))</f>
        <v/>
      </c>
      <c r="K102" s="37" t="inlineStr">
        <is>
          <t>Hoàng Quân</t>
        </is>
      </c>
      <c r="L102" s="27" t="n"/>
      <c r="M102" s="37" t="n"/>
    </row>
    <row r="103" ht="15.75" customHeight="1" s="56">
      <c r="A103" s="37" t="inlineStr">
        <is>
          <t>610/BK-2025</t>
        </is>
      </c>
      <c r="B103" s="37" t="inlineStr">
        <is>
          <t>BK-HS-0221</t>
        </is>
      </c>
      <c r="C103" s="37" t="inlineStr">
        <is>
          <t>Trần Đức Phú</t>
        </is>
      </c>
      <c r="D103" s="37" t="inlineStr">
        <is>
          <t>Phòng Đo đạc</t>
        </is>
      </c>
      <c r="E103" s="37" t="inlineStr">
        <is>
          <t>Cấp đổi</t>
        </is>
      </c>
      <c r="F103" s="27" t="n">
        <v>45993</v>
      </c>
      <c r="G103" s="29" t="n">
        <v>25000000</v>
      </c>
      <c r="H103" s="29" t="n">
        <v>0</v>
      </c>
      <c r="I103" s="29">
        <f>IF(G103="","",G103-H103)</f>
        <v/>
      </c>
      <c r="J103" s="37">
        <f>IF(A103="","",IF(I103&lt;=0,"Đã tất toán",IF(L103&lt;TODAY(),"Quá hạn","Còn nợ")))</f>
        <v/>
      </c>
      <c r="K103" s="37" t="inlineStr">
        <is>
          <t>Hoàng Quân</t>
        </is>
      </c>
      <c r="L103" s="27" t="n"/>
      <c r="M103" s="37" t="n"/>
    </row>
    <row r="104" ht="15.75" customHeight="1" s="56">
      <c r="A104" s="37" t="inlineStr">
        <is>
          <t>610-1/BK-2025</t>
        </is>
      </c>
      <c r="B104" s="37" t="inlineStr">
        <is>
          <t>BK-HS-0220</t>
        </is>
      </c>
      <c r="C104" s="37" t="inlineStr">
        <is>
          <t>Trần Đức Phú</t>
        </is>
      </c>
      <c r="D104" s="37" t="inlineStr">
        <is>
          <t>Phòng Đo đạc</t>
        </is>
      </c>
      <c r="E104" s="37" t="inlineStr">
        <is>
          <t>Cắm mốc</t>
        </is>
      </c>
      <c r="F104" s="27" t="n">
        <v>45993</v>
      </c>
      <c r="G104" s="29" t="n">
        <v>12000000</v>
      </c>
      <c r="H104" s="29" t="n">
        <v>0</v>
      </c>
      <c r="I104" s="29">
        <f>IF(G104="","",G104-H104)</f>
        <v/>
      </c>
      <c r="J104" s="37">
        <f>IF(A104="","",IF(I104&lt;=0,"Đã tất toán",IF(L104&lt;TODAY(),"Quá hạn","Còn nợ")))</f>
        <v/>
      </c>
      <c r="K104" s="37" t="inlineStr">
        <is>
          <t>Hoàng Quân</t>
        </is>
      </c>
      <c r="L104" s="27" t="n"/>
      <c r="M104" s="37" t="n"/>
    </row>
    <row r="105" ht="15.75" customHeight="1" s="56">
      <c r="A105" s="37" t="inlineStr">
        <is>
          <t>610-2/BK-2025</t>
        </is>
      </c>
      <c r="B105" s="37" t="inlineStr">
        <is>
          <t>BK-HS-0219</t>
        </is>
      </c>
      <c r="C105" s="37" t="inlineStr">
        <is>
          <t>Trần Đức Phú</t>
        </is>
      </c>
      <c r="D105" s="37" t="inlineStr">
        <is>
          <t>Phòng Đo đạc</t>
        </is>
      </c>
      <c r="E105" s="37" t="inlineStr">
        <is>
          <t>Đo GPS</t>
        </is>
      </c>
      <c r="F105" s="27" t="n">
        <v>45993</v>
      </c>
      <c r="G105" s="29" t="n"/>
      <c r="H105" s="29" t="n">
        <v>0</v>
      </c>
      <c r="I105" s="29">
        <f>IF(G105="","",G105-H105)</f>
        <v/>
      </c>
      <c r="J105" s="37">
        <f>IF(A105="","",IF(I105&lt;=0,"Đã tất toán",IF(L105&lt;TODAY(),"Quá hạn","Còn nợ")))</f>
        <v/>
      </c>
      <c r="K105" s="37" t="inlineStr">
        <is>
          <t>Hoàng Quân</t>
        </is>
      </c>
      <c r="L105" s="27" t="n"/>
      <c r="M105" s="37" t="n"/>
    </row>
    <row r="106" ht="15.75" customHeight="1" s="56">
      <c r="A106" s="37" t="inlineStr">
        <is>
          <t>611/BK-2025</t>
        </is>
      </c>
      <c r="B106" s="37" t="inlineStr">
        <is>
          <t>BK-HS-0218</t>
        </is>
      </c>
      <c r="C106" s="37" t="inlineStr">
        <is>
          <t>Trần Đức Phú</t>
        </is>
      </c>
      <c r="D106" s="37" t="inlineStr">
        <is>
          <t>Phòng Đo đạc</t>
        </is>
      </c>
      <c r="E106" s="37" t="inlineStr">
        <is>
          <t>Cắm mốc</t>
        </is>
      </c>
      <c r="F106" s="27" t="n">
        <v>45995</v>
      </c>
      <c r="G106" s="29" t="n">
        <v>3000000</v>
      </c>
      <c r="H106" s="29" t="n">
        <v>0</v>
      </c>
      <c r="I106" s="29">
        <f>IF(G106="","",G106-H106)</f>
        <v/>
      </c>
      <c r="J106" s="37">
        <f>IF(A106="","",IF(I106&lt;=0,"Đã tất toán",IF(L106&lt;TODAY(),"Quá hạn","Còn nợ")))</f>
        <v/>
      </c>
      <c r="K106" s="37" t="inlineStr">
        <is>
          <t>Hoàng Quân</t>
        </is>
      </c>
      <c r="L106" s="27" t="n"/>
      <c r="M106" s="37" t="n"/>
    </row>
    <row r="107" ht="15.75" customHeight="1" s="56">
      <c r="A107" s="37" t="inlineStr">
        <is>
          <t>612/BK-2025</t>
        </is>
      </c>
      <c r="B107" s="37" t="inlineStr">
        <is>
          <t>BK-HS-0217</t>
        </is>
      </c>
      <c r="C107" s="37" t="inlineStr">
        <is>
          <t>Lê Thị Nguyệt</t>
        </is>
      </c>
      <c r="D107" s="37" t="inlineStr">
        <is>
          <t>Phòng Đo đạc</t>
        </is>
      </c>
      <c r="E107" s="37" t="inlineStr">
        <is>
          <t>Đo GPS</t>
        </is>
      </c>
      <c r="F107" s="27" t="n">
        <v>45995</v>
      </c>
      <c r="G107" s="29" t="n">
        <v>1</v>
      </c>
      <c r="H107" s="29" t="n">
        <v>0</v>
      </c>
      <c r="I107" s="29">
        <f>IF(G107="","",G107-H107)</f>
        <v/>
      </c>
      <c r="J107" s="37">
        <f>IF(A107="","",IF(I107&lt;=0,"Đã tất toán",IF(L107&lt;TODAY(),"Quá hạn","Còn nợ")))</f>
        <v/>
      </c>
      <c r="K107" s="37" t="inlineStr">
        <is>
          <t>Công Ty</t>
        </is>
      </c>
      <c r="L107" s="27" t="n"/>
      <c r="M107" s="37" t="n"/>
    </row>
    <row r="108" ht="15.75" customHeight="1" s="56">
      <c r="A108" s="37" t="inlineStr">
        <is>
          <t>613/BK-2025</t>
        </is>
      </c>
      <c r="B108" s="37" t="inlineStr">
        <is>
          <t>BK-HS-0216</t>
        </is>
      </c>
      <c r="C108" s="37" t="inlineStr">
        <is>
          <t>Nguyễn Trọng Nghĩa</t>
        </is>
      </c>
      <c r="D108" s="37" t="inlineStr">
        <is>
          <t>Phòng Đo đạc</t>
        </is>
      </c>
      <c r="E108" s="37" t="inlineStr">
        <is>
          <t>Hoàn công</t>
        </is>
      </c>
      <c r="F108" s="27" t="n">
        <v>45996</v>
      </c>
      <c r="G108" s="29" t="n">
        <v>20000000</v>
      </c>
      <c r="H108" s="29" t="n">
        <v>10000000</v>
      </c>
      <c r="I108" s="29">
        <f>IF(G108="","",G108-H108)</f>
        <v/>
      </c>
      <c r="J108" s="37">
        <f>IF(A108="","",IF(I108&lt;=0,"Đã tất toán",IF(L108&lt;TODAY(),"Quá hạn","Còn nợ")))</f>
        <v/>
      </c>
      <c r="K108" s="37" t="inlineStr">
        <is>
          <t>Đạt Việt Phát Land</t>
        </is>
      </c>
      <c r="L108" s="27" t="n"/>
      <c r="M108" s="37" t="n"/>
    </row>
    <row r="109" ht="15.75" customHeight="1" s="56">
      <c r="A109" s="37" t="inlineStr">
        <is>
          <t>614/BK-2025</t>
        </is>
      </c>
      <c r="B109" s="37" t="inlineStr">
        <is>
          <t>BK-HS-0215</t>
        </is>
      </c>
      <c r="C109" s="37" t="inlineStr">
        <is>
          <t>Dương Hồng Cẩm</t>
        </is>
      </c>
      <c r="D109" s="37" t="inlineStr">
        <is>
          <t>Phòng Đo đạc</t>
        </is>
      </c>
      <c r="E109" s="37" t="inlineStr">
        <is>
          <t>Hoàn công</t>
        </is>
      </c>
      <c r="F109" s="27" t="n">
        <v>45996</v>
      </c>
      <c r="G109" s="29" t="n">
        <v>170000000</v>
      </c>
      <c r="H109" s="29" t="n">
        <v>170000000</v>
      </c>
      <c r="I109" s="29">
        <f>IF(G109="","",G109-H109)</f>
        <v/>
      </c>
      <c r="J109" s="37">
        <f>IF(A109="","",IF(I109&lt;=0,"Đã tất toán",IF(L109&lt;TODAY(),"Quá hạn","Còn nợ")))</f>
        <v/>
      </c>
      <c r="K109" s="37" t="inlineStr">
        <is>
          <t>Công Ty</t>
        </is>
      </c>
      <c r="L109" s="27" t="n"/>
      <c r="M109" s="37" t="n"/>
    </row>
    <row r="110" ht="15.75" customHeight="1" s="56">
      <c r="A110" s="37" t="inlineStr">
        <is>
          <t>615/BK-2025</t>
        </is>
      </c>
      <c r="B110" s="37" t="inlineStr">
        <is>
          <t>BK-HS-0214</t>
        </is>
      </c>
      <c r="C110" s="37" t="inlineStr">
        <is>
          <t>Đoàn Ngọc Hải</t>
        </is>
      </c>
      <c r="D110" s="37" t="inlineStr">
        <is>
          <t>Phòng Đo đạc</t>
        </is>
      </c>
      <c r="E110" s="37" t="inlineStr">
        <is>
          <t>Xác định diện tích</t>
        </is>
      </c>
      <c r="F110" s="27" t="n">
        <v>45996</v>
      </c>
      <c r="G110" s="29" t="n">
        <v>1500000</v>
      </c>
      <c r="H110" s="29" t="n">
        <v>1000000</v>
      </c>
      <c r="I110" s="29">
        <f>IF(G110="","",G110-H110)</f>
        <v/>
      </c>
      <c r="J110" s="37">
        <f>IF(A110="","",IF(I110&lt;=0,"Đã tất toán",IF(L110&lt;TODAY(),"Quá hạn","Còn nợ")))</f>
        <v/>
      </c>
      <c r="K110" s="37" t="inlineStr">
        <is>
          <t>Cô Hải Dịch Vụ</t>
        </is>
      </c>
      <c r="L110" s="27" t="n"/>
      <c r="M110" s="37" t="n"/>
    </row>
    <row r="111" ht="15.75" customHeight="1" s="56">
      <c r="A111" s="37" t="inlineStr">
        <is>
          <t>616/BK-2025</t>
        </is>
      </c>
      <c r="B111" s="37" t="inlineStr">
        <is>
          <t>BK-HS-0213</t>
        </is>
      </c>
      <c r="C111" s="37" t="inlineStr">
        <is>
          <t>Vũ Thị Phương</t>
        </is>
      </c>
      <c r="D111" s="37" t="inlineStr">
        <is>
          <t>Phòng Đo đạc</t>
        </is>
      </c>
      <c r="E111" s="37" t="inlineStr">
        <is>
          <t>Xác định diện tích</t>
        </is>
      </c>
      <c r="F111" s="27" t="n">
        <v>45996</v>
      </c>
      <c r="G111" s="29" t="n">
        <v>1500000</v>
      </c>
      <c r="H111" s="29" t="n">
        <v>1000000</v>
      </c>
      <c r="I111" s="29">
        <f>IF(G111="","",G111-H111)</f>
        <v/>
      </c>
      <c r="J111" s="37">
        <f>IF(A111="","",IF(I111&lt;=0,"Đã tất toán",IF(L111&lt;TODAY(),"Quá hạn","Còn nợ")))</f>
        <v/>
      </c>
      <c r="K111" s="37" t="inlineStr">
        <is>
          <t>Cô Hải Dịch Vụ</t>
        </is>
      </c>
      <c r="L111" s="27" t="n"/>
      <c r="M111" s="37" t="n"/>
    </row>
    <row r="112" ht="15.75" customHeight="1" s="56">
      <c r="A112" s="37" t="inlineStr">
        <is>
          <t>617/BK-2025</t>
        </is>
      </c>
      <c r="B112" s="37" t="inlineStr">
        <is>
          <t>BK-HS-0212</t>
        </is>
      </c>
      <c r="C112" s="37" t="inlineStr">
        <is>
          <t>Hàn Ngọc Pho</t>
        </is>
      </c>
      <c r="D112" s="37" t="inlineStr">
        <is>
          <t>Phòng Đo đạc</t>
        </is>
      </c>
      <c r="E112" s="37" t="inlineStr">
        <is>
          <t>Xin phép xây dựng</t>
        </is>
      </c>
      <c r="F112" s="27" t="n">
        <v>45996</v>
      </c>
      <c r="G112" s="29" t="n">
        <v>11000000</v>
      </c>
      <c r="H112" s="29" t="n">
        <v>11000000</v>
      </c>
      <c r="I112" s="29">
        <f>IF(G112="","",G112-H112)</f>
        <v/>
      </c>
      <c r="J112" s="37">
        <f>IF(A112="","",IF(I112&lt;=0,"Đã tất toán",IF(L112&lt;TODAY(),"Quá hạn","Còn nợ")))</f>
        <v/>
      </c>
      <c r="K112" s="37" t="inlineStr">
        <is>
          <t>Đạt Việt Phát Land</t>
        </is>
      </c>
      <c r="L112" s="27" t="n"/>
      <c r="M112" s="37" t="n"/>
    </row>
    <row r="113" ht="15.75" customHeight="1" s="56">
      <c r="A113" s="37" t="inlineStr">
        <is>
          <t>618/BK-2025</t>
        </is>
      </c>
      <c r="B113" s="37" t="inlineStr">
        <is>
          <t>BK-HS-0211</t>
        </is>
      </c>
      <c r="C113" s="37" t="inlineStr">
        <is>
          <t>Đinh Thị Hằng</t>
        </is>
      </c>
      <c r="D113" s="37" t="inlineStr">
        <is>
          <t>Phòng Đo đạc</t>
        </is>
      </c>
      <c r="E113" s="37" t="inlineStr">
        <is>
          <t>Xin phép xây dựng</t>
        </is>
      </c>
      <c r="F113" s="27" t="n">
        <v>45996</v>
      </c>
      <c r="G113" s="29" t="n">
        <v>25000000</v>
      </c>
      <c r="H113" s="29" t="n">
        <v>25000000</v>
      </c>
      <c r="I113" s="29">
        <f>IF(G113="","",G113-H113)</f>
        <v/>
      </c>
      <c r="J113" s="37">
        <f>IF(A113="","",IF(I113&lt;=0,"Đã tất toán",IF(L113&lt;TODAY(),"Quá hạn","Còn nợ")))</f>
        <v/>
      </c>
      <c r="K113" s="37" t="inlineStr">
        <is>
          <t>Công Ty</t>
        </is>
      </c>
      <c r="L113" s="27" t="n"/>
      <c r="M113" s="37" t="n"/>
    </row>
    <row r="114" ht="15.75" customHeight="1" s="56">
      <c r="A114" s="37" t="inlineStr">
        <is>
          <t>619/BK-2025</t>
        </is>
      </c>
      <c r="B114" s="37" t="inlineStr">
        <is>
          <t>BK-HS-0210</t>
        </is>
      </c>
      <c r="C114" s="37" t="inlineStr">
        <is>
          <t>Đinh Gia Trí</t>
        </is>
      </c>
      <c r="D114" s="37" t="inlineStr">
        <is>
          <t>Phòng Đo đạc</t>
        </is>
      </c>
      <c r="E114" s="37" t="inlineStr">
        <is>
          <t>Xin phép xây dựng</t>
        </is>
      </c>
      <c r="F114" s="27" t="n">
        <v>45996</v>
      </c>
      <c r="G114" s="29" t="n">
        <v>15000000</v>
      </c>
      <c r="H114" s="29" t="n">
        <v>15000000</v>
      </c>
      <c r="I114" s="29">
        <f>IF(G114="","",G114-H114)</f>
        <v/>
      </c>
      <c r="J114" s="37">
        <f>IF(A114="","",IF(I114&lt;=0,"Đã tất toán",IF(L114&lt;TODAY(),"Quá hạn","Còn nợ")))</f>
        <v/>
      </c>
      <c r="K114" s="37" t="inlineStr">
        <is>
          <t>Công Ty</t>
        </is>
      </c>
      <c r="L114" s="27" t="n"/>
      <c r="M114" s="37" t="n"/>
    </row>
    <row r="115" ht="15.75" customHeight="1" s="56">
      <c r="A115" s="37" t="inlineStr">
        <is>
          <t>620/BK-2025</t>
        </is>
      </c>
      <c r="B115" s="37" t="inlineStr">
        <is>
          <t>BK-HS-0209</t>
        </is>
      </c>
      <c r="C115" s="37" t="inlineStr">
        <is>
          <t>Lê Thị Nguyệt</t>
        </is>
      </c>
      <c r="D115" s="37" t="inlineStr">
        <is>
          <t>Phòng Đo đạc</t>
        </is>
      </c>
      <c r="E115" s="37" t="inlineStr">
        <is>
          <t>Cấp đổi</t>
        </is>
      </c>
      <c r="F115" s="27" t="n">
        <v>45997</v>
      </c>
      <c r="G115" s="29" t="n">
        <v>15</v>
      </c>
      <c r="H115" s="29" t="n">
        <v>0</v>
      </c>
      <c r="I115" s="29">
        <f>IF(G115="","",G115-H115)</f>
        <v/>
      </c>
      <c r="J115" s="37">
        <f>IF(A115="","",IF(I115&lt;=0,"Đã tất toán",IF(L115&lt;TODAY(),"Quá hạn","Còn nợ")))</f>
        <v/>
      </c>
      <c r="K115" s="37" t="inlineStr">
        <is>
          <t>Đạt Việt Phát Land</t>
        </is>
      </c>
      <c r="L115" s="27" t="n"/>
      <c r="M115" s="37" t="n"/>
    </row>
    <row r="116" ht="15.75" customHeight="1" s="56">
      <c r="A116" s="37" t="inlineStr">
        <is>
          <t>ĐC 116/BK-2025</t>
        </is>
      </c>
      <c r="B116" s="37" t="inlineStr">
        <is>
          <t>BK-HS-0208</t>
        </is>
      </c>
      <c r="C116" s="37" t="inlineStr">
        <is>
          <t>Lại Quốc Huy</t>
        </is>
      </c>
      <c r="D116" s="37" t="inlineStr">
        <is>
          <t>Phòng Đo đạc</t>
        </is>
      </c>
      <c r="E116" s="37" t="inlineStr">
        <is>
          <t>Điều chỉnh bản vẽ</t>
        </is>
      </c>
      <c r="F116" s="27" t="n">
        <v>45997</v>
      </c>
      <c r="G116" s="29" t="n">
        <v>180000000</v>
      </c>
      <c r="H116" s="29" t="n">
        <v>100000000</v>
      </c>
      <c r="I116" s="29">
        <f>IF(G116="","",G116-H116)</f>
        <v/>
      </c>
      <c r="J116" s="37">
        <f>IF(A116="","",IF(I116&lt;=0,"Đã tất toán",IF(L116&lt;TODAY(),"Quá hạn","Còn nợ")))</f>
        <v/>
      </c>
      <c r="K116" s="37" t="inlineStr">
        <is>
          <t>Công Ty</t>
        </is>
      </c>
      <c r="L116" s="27" t="n"/>
      <c r="M116" s="37" t="n"/>
    </row>
    <row r="117" ht="15.75" customHeight="1" s="56">
      <c r="A117" s="37" t="inlineStr">
        <is>
          <t>622/BK-2025</t>
        </is>
      </c>
      <c r="B117" s="37" t="inlineStr">
        <is>
          <t>BK-HS-0207</t>
        </is>
      </c>
      <c r="C117" s="37" t="inlineStr">
        <is>
          <t>Nguyễn Thị Mến</t>
        </is>
      </c>
      <c r="D117" s="37" t="inlineStr">
        <is>
          <t>Phòng Đo đạc</t>
        </is>
      </c>
      <c r="E117" s="37" t="inlineStr">
        <is>
          <t>Hoàn công</t>
        </is>
      </c>
      <c r="F117" s="27" t="n">
        <v>45998</v>
      </c>
      <c r="G117" s="29" t="n">
        <v>34000000</v>
      </c>
      <c r="H117" s="29" t="n">
        <v>0</v>
      </c>
      <c r="I117" s="29">
        <f>IF(G117="","",G117-H117)</f>
        <v/>
      </c>
      <c r="J117" s="37">
        <f>IF(A117="","",IF(I117&lt;=0,"Đã tất toán",IF(L117&lt;TODAY(),"Quá hạn","Còn nợ")))</f>
        <v/>
      </c>
      <c r="K117" s="37" t="inlineStr">
        <is>
          <t>Cô Hoa</t>
        </is>
      </c>
      <c r="L117" s="27" t="n"/>
      <c r="M117" s="37" t="n"/>
    </row>
    <row r="118" ht="15.75" customHeight="1" s="56">
      <c r="A118" s="37" t="inlineStr">
        <is>
          <t>623/BK-2025</t>
        </is>
      </c>
      <c r="B118" s="37" t="inlineStr">
        <is>
          <t>BK-HS-0206</t>
        </is>
      </c>
      <c r="C118" s="37" t="inlineStr">
        <is>
          <t>Nguyễn Văn Quỳnh</t>
        </is>
      </c>
      <c r="D118" s="37" t="inlineStr">
        <is>
          <t>Phòng Đo đạc</t>
        </is>
      </c>
      <c r="E118" s="37" t="inlineStr">
        <is>
          <t>Hoàn công</t>
        </is>
      </c>
      <c r="F118" s="27" t="n">
        <v>45998</v>
      </c>
      <c r="G118" s="29" t="n"/>
      <c r="H118" s="29" t="n">
        <v>0</v>
      </c>
      <c r="I118" s="29">
        <f>IF(G118="","",G118-H118)</f>
        <v/>
      </c>
      <c r="J118" s="37">
        <f>IF(A118="","",IF(I118&lt;=0,"Đã tất toán",IF(L118&lt;TODAY(),"Quá hạn","Còn nợ")))</f>
        <v/>
      </c>
      <c r="K118" s="37" t="inlineStr">
        <is>
          <t>Cô Hoa</t>
        </is>
      </c>
      <c r="L118" s="27" t="n"/>
      <c r="M118" s="37" t="n"/>
    </row>
    <row r="119" ht="15.75" customHeight="1" s="56">
      <c r="A119" s="37" t="inlineStr">
        <is>
          <t>624/BK-2025</t>
        </is>
      </c>
      <c r="B119" s="37" t="inlineStr">
        <is>
          <t>BK-HS-0205</t>
        </is>
      </c>
      <c r="C119" s="37" t="inlineStr">
        <is>
          <t>Lô Bằng Giang</t>
        </is>
      </c>
      <c r="D119" s="37" t="inlineStr">
        <is>
          <t>Phòng Đo đạc</t>
        </is>
      </c>
      <c r="E119" s="37" t="inlineStr">
        <is>
          <t>Xác định diện tích</t>
        </is>
      </c>
      <c r="F119" s="27" t="n">
        <v>45996</v>
      </c>
      <c r="G119" s="29" t="n">
        <v>1</v>
      </c>
      <c r="H119" s="29" t="n">
        <v>1</v>
      </c>
      <c r="I119" s="29">
        <f>IF(G119="","",G119-H119)</f>
        <v/>
      </c>
      <c r="J119" s="37">
        <f>IF(A119="","",IF(I119&lt;=0,"Đã tất toán",IF(L119&lt;TODAY(),"Quá hạn","Còn nợ")))</f>
        <v/>
      </c>
      <c r="K119" s="37" t="inlineStr">
        <is>
          <t>Công Ty</t>
        </is>
      </c>
      <c r="L119" s="27" t="n"/>
      <c r="M119" s="37" t="n"/>
    </row>
    <row r="120" ht="15.75" customHeight="1" s="56">
      <c r="A120" s="37" t="inlineStr">
        <is>
          <t>625/BK-2025</t>
        </is>
      </c>
      <c r="B120" s="37" t="inlineStr">
        <is>
          <t>BK-HS-0204</t>
        </is>
      </c>
      <c r="C120" s="37" t="inlineStr">
        <is>
          <t>Lô Bằng Giang</t>
        </is>
      </c>
      <c r="D120" s="37" t="inlineStr">
        <is>
          <t>Phòng Đo đạc</t>
        </is>
      </c>
      <c r="E120" s="37" t="inlineStr">
        <is>
          <t>Xác định diện tích</t>
        </is>
      </c>
      <c r="F120" s="27" t="n">
        <v>45996</v>
      </c>
      <c r="G120" s="29" t="n">
        <v>1</v>
      </c>
      <c r="H120" s="29" t="n">
        <v>1</v>
      </c>
      <c r="I120" s="29">
        <f>IF(G120="","",G120-H120)</f>
        <v/>
      </c>
      <c r="J120" s="37">
        <f>IF(A120="","",IF(I120&lt;=0,"Đã tất toán",IF(L120&lt;TODAY(),"Quá hạn","Còn nợ")))</f>
        <v/>
      </c>
      <c r="K120" s="37" t="inlineStr">
        <is>
          <t>Công Ty</t>
        </is>
      </c>
      <c r="L120" s="27" t="n"/>
      <c r="M120" s="37" t="n"/>
    </row>
    <row r="121" ht="15.75" customHeight="1" s="56">
      <c r="A121" s="37" t="inlineStr">
        <is>
          <t>353-1/BK-2025</t>
        </is>
      </c>
      <c r="B121" s="37" t="inlineStr">
        <is>
          <t>BK-HS-0203</t>
        </is>
      </c>
      <c r="C121" s="37" t="inlineStr">
        <is>
          <t>Đặng Đức Ý</t>
        </is>
      </c>
      <c r="D121" s="37" t="inlineStr">
        <is>
          <t>Phòng Đo đạc</t>
        </is>
      </c>
      <c r="E121" s="37" t="inlineStr">
        <is>
          <t>Cấp đổi</t>
        </is>
      </c>
      <c r="F121" s="27" t="n">
        <v>45999</v>
      </c>
      <c r="G121" s="29" t="n"/>
      <c r="H121" s="29" t="n">
        <v>0</v>
      </c>
      <c r="I121" s="29">
        <f>IF(G121="","",G121-H121)</f>
        <v/>
      </c>
      <c r="J121" s="37">
        <f>IF(A121="","",IF(I121&lt;=0,"Đã tất toán",IF(L121&lt;TODAY(),"Quá hạn","Còn nợ")))</f>
        <v/>
      </c>
      <c r="K121" s="37" t="inlineStr">
        <is>
          <t>Đạt Việt Phát Land</t>
        </is>
      </c>
      <c r="L121" s="27" t="n"/>
      <c r="M121" s="37" t="n"/>
    </row>
    <row r="122" ht="15.75" customHeight="1" s="56">
      <c r="A122" s="37" t="inlineStr">
        <is>
          <t>626/BK-2025</t>
        </is>
      </c>
      <c r="B122" s="37" t="inlineStr">
        <is>
          <t>BK-HS-0202</t>
        </is>
      </c>
      <c r="C122" s="37" t="inlineStr">
        <is>
          <t>Bùi Nam Giang</t>
        </is>
      </c>
      <c r="D122" s="37" t="inlineStr">
        <is>
          <t>Phòng Đo đạc</t>
        </is>
      </c>
      <c r="E122" s="37" t="inlineStr">
        <is>
          <t>Xác định diện tích</t>
        </is>
      </c>
      <c r="F122" s="27" t="n">
        <v>45999</v>
      </c>
      <c r="G122" s="29" t="n">
        <v>5000000</v>
      </c>
      <c r="H122" s="29" t="n">
        <v>5000000</v>
      </c>
      <c r="I122" s="29">
        <f>IF(G122="","",G122-H122)</f>
        <v/>
      </c>
      <c r="J122" s="37">
        <f>IF(A122="","",IF(I122&lt;=0,"Đã tất toán",IF(L122&lt;TODAY(),"Quá hạn","Còn nợ")))</f>
        <v/>
      </c>
      <c r="K122" s="37" t="inlineStr">
        <is>
          <t>Công Ty</t>
        </is>
      </c>
      <c r="L122" s="27" t="n"/>
      <c r="M122" s="37" t="n"/>
    </row>
    <row r="123" ht="15.75" customHeight="1" s="56">
      <c r="A123" s="37" t="inlineStr">
        <is>
          <t>627/BK-2025</t>
        </is>
      </c>
      <c r="B123" s="37" t="inlineStr">
        <is>
          <t>BK-HS-0201</t>
        </is>
      </c>
      <c r="C123" s="37" t="inlineStr">
        <is>
          <t>Trần Thị Hạnh</t>
        </is>
      </c>
      <c r="D123" s="37" t="inlineStr">
        <is>
          <t>Phòng Đo đạc</t>
        </is>
      </c>
      <c r="E123" s="37" t="inlineStr">
        <is>
          <t>Cấp đổi</t>
        </is>
      </c>
      <c r="F123" s="27" t="n">
        <v>45999</v>
      </c>
      <c r="G123" s="29" t="n">
        <v>10000000</v>
      </c>
      <c r="H123" s="29" t="n">
        <v>10000000</v>
      </c>
      <c r="I123" s="29">
        <f>IF(G123="","",G123-H123)</f>
        <v/>
      </c>
      <c r="J123" s="37">
        <f>IF(A123="","",IF(I123&lt;=0,"Đã tất toán",IF(L123&lt;TODAY(),"Quá hạn","Còn nợ")))</f>
        <v/>
      </c>
      <c r="K123" s="37" t="inlineStr">
        <is>
          <t>Nguyễn Khoa DV</t>
        </is>
      </c>
      <c r="L123" s="27" t="n"/>
      <c r="M123" s="37" t="n"/>
    </row>
    <row r="124" ht="15.75" customHeight="1" s="56">
      <c r="A124" s="37" t="inlineStr">
        <is>
          <t>628/BK-2025</t>
        </is>
      </c>
      <c r="B124" s="37" t="inlineStr">
        <is>
          <t>BK-HS-0200</t>
        </is>
      </c>
      <c r="C124" s="37" t="inlineStr">
        <is>
          <t>Lô Bằng Giang</t>
        </is>
      </c>
      <c r="D124" s="37" t="inlineStr">
        <is>
          <t>Phòng Đo đạc</t>
        </is>
      </c>
      <c r="E124" s="37" t="inlineStr">
        <is>
          <t>Chuyển mục đích</t>
        </is>
      </c>
      <c r="F124" s="27" t="n">
        <v>45999</v>
      </c>
      <c r="G124" s="29" t="n">
        <v>15000000</v>
      </c>
      <c r="H124" s="29" t="n">
        <v>15000000</v>
      </c>
      <c r="I124" s="29">
        <f>IF(G124="","",G124-H124)</f>
        <v/>
      </c>
      <c r="J124" s="37">
        <f>IF(A124="","",IF(I124&lt;=0,"Đã tất toán",IF(L124&lt;TODAY(),"Quá hạn","Còn nợ")))</f>
        <v/>
      </c>
      <c r="K124" s="37" t="inlineStr">
        <is>
          <t>Công Ty</t>
        </is>
      </c>
      <c r="L124" s="27" t="n"/>
      <c r="M124" s="37" t="n"/>
    </row>
    <row r="125" ht="15.75" customHeight="1" s="56">
      <c r="A125" s="37" t="inlineStr">
        <is>
          <t>629/BK-2025</t>
        </is>
      </c>
      <c r="B125" s="37" t="inlineStr">
        <is>
          <t>BK-HS-0199</t>
        </is>
      </c>
      <c r="C125" s="37" t="inlineStr">
        <is>
          <t>Lô Bằng Giang</t>
        </is>
      </c>
      <c r="D125" s="37" t="inlineStr">
        <is>
          <t>Phòng Đo đạc</t>
        </is>
      </c>
      <c r="E125" s="37" t="inlineStr">
        <is>
          <t>Chuyển mục đích</t>
        </is>
      </c>
      <c r="F125" s="27" t="n">
        <v>45999</v>
      </c>
      <c r="G125" s="29" t="n">
        <v>15000000</v>
      </c>
      <c r="H125" s="29" t="n">
        <v>15000000</v>
      </c>
      <c r="I125" s="29">
        <f>IF(G125="","",G125-H125)</f>
        <v/>
      </c>
      <c r="J125" s="37">
        <f>IF(A125="","",IF(I125&lt;=0,"Đã tất toán",IF(L125&lt;TODAY(),"Quá hạn","Còn nợ")))</f>
        <v/>
      </c>
      <c r="K125" s="37" t="inlineStr">
        <is>
          <t>Công Ty</t>
        </is>
      </c>
      <c r="L125" s="27" t="n"/>
      <c r="M125" s="37" t="n"/>
    </row>
    <row r="126" ht="15.75" customHeight="1" s="56">
      <c r="A126" s="37" t="inlineStr">
        <is>
          <t>630/BK-2025</t>
        </is>
      </c>
      <c r="B126" s="37" t="inlineStr">
        <is>
          <t>BK-HS-0198</t>
        </is>
      </c>
      <c r="C126" s="37" t="inlineStr">
        <is>
          <t>Lê Tiến Hòa</t>
        </is>
      </c>
      <c r="D126" s="37" t="inlineStr">
        <is>
          <t>Phòng Đo đạc</t>
        </is>
      </c>
      <c r="E126" s="37" t="inlineStr">
        <is>
          <t>Chuyển mục đích</t>
        </is>
      </c>
      <c r="F126" s="27" t="n">
        <v>45999</v>
      </c>
      <c r="G126" s="29" t="n">
        <v>1</v>
      </c>
      <c r="H126" s="29" t="n">
        <v>1</v>
      </c>
      <c r="I126" s="29">
        <f>IF(G126="","",G126-H126)</f>
        <v/>
      </c>
      <c r="J126" s="37">
        <f>IF(A126="","",IF(I126&lt;=0,"Đã tất toán",IF(L126&lt;TODAY(),"Quá hạn","Còn nợ")))</f>
        <v/>
      </c>
      <c r="K126" s="37" t="inlineStr">
        <is>
          <t>Nguyễn Hương DV</t>
        </is>
      </c>
      <c r="L126" s="27" t="n"/>
      <c r="M126" s="37" t="n"/>
    </row>
    <row r="127" ht="15.75" customHeight="1" s="56">
      <c r="A127" s="37" t="inlineStr">
        <is>
          <t>631/BK-2025</t>
        </is>
      </c>
      <c r="B127" s="37" t="inlineStr">
        <is>
          <t>BK-HS-0197</t>
        </is>
      </c>
      <c r="C127" s="37" t="inlineStr">
        <is>
          <t>Nguyễn Thị Bích Trâm</t>
        </is>
      </c>
      <c r="D127" s="37" t="inlineStr">
        <is>
          <t>Phòng Đo đạc</t>
        </is>
      </c>
      <c r="E127" s="37" t="inlineStr">
        <is>
          <t>Cấp đổi</t>
        </is>
      </c>
      <c r="F127" s="27" t="n">
        <v>46000</v>
      </c>
      <c r="G127" s="29" t="n">
        <v>120000000</v>
      </c>
      <c r="H127" s="29" t="n">
        <v>120000000</v>
      </c>
      <c r="I127" s="29">
        <f>IF(G127="","",G127-H127)</f>
        <v/>
      </c>
      <c r="J127" s="37">
        <f>IF(A127="","",IF(I127&lt;=0,"Đã tất toán",IF(L127&lt;TODAY(),"Quá hạn","Còn nợ")))</f>
        <v/>
      </c>
      <c r="K127" s="37" t="inlineStr">
        <is>
          <t>Chị Xuân DV</t>
        </is>
      </c>
      <c r="L127" s="27" t="n"/>
      <c r="M127" s="37" t="n"/>
    </row>
    <row r="128" ht="15.75" customHeight="1" s="56">
      <c r="A128" s="37" t="inlineStr">
        <is>
          <t>632/BK-2025</t>
        </is>
      </c>
      <c r="B128" s="37" t="inlineStr">
        <is>
          <t>BK-HS-0196</t>
        </is>
      </c>
      <c r="C128" s="37" t="inlineStr">
        <is>
          <t>Nguyễn Minh Chữ</t>
        </is>
      </c>
      <c r="D128" s="37" t="inlineStr">
        <is>
          <t>Phòng Đo đạc</t>
        </is>
      </c>
      <c r="E128" s="37" t="inlineStr">
        <is>
          <t>Chuyển mục đích</t>
        </is>
      </c>
      <c r="F128" s="27" t="n">
        <v>46003</v>
      </c>
      <c r="G128" s="29" t="n">
        <v>7000000</v>
      </c>
      <c r="H128" s="29" t="n">
        <v>7000000</v>
      </c>
      <c r="I128" s="29">
        <f>IF(G128="","",G128-H128)</f>
        <v/>
      </c>
      <c r="J128" s="37">
        <f>IF(A128="","",IF(I128&lt;=0,"Đã tất toán",IF(L128&lt;TODAY(),"Quá hạn","Còn nợ")))</f>
        <v/>
      </c>
      <c r="K128" s="37" t="inlineStr">
        <is>
          <t>Chú Loan DV</t>
        </is>
      </c>
      <c r="L128" s="27" t="n"/>
      <c r="M128" s="37" t="n"/>
    </row>
    <row r="129" ht="15.75" customHeight="1" s="56">
      <c r="A129" s="37" t="inlineStr">
        <is>
          <t>633/BK-2025</t>
        </is>
      </c>
      <c r="B129" s="37" t="inlineStr">
        <is>
          <t>BK-HS-0195</t>
        </is>
      </c>
      <c r="C129" s="37" t="inlineStr">
        <is>
          <t>Trần Quang Vinh</t>
        </is>
      </c>
      <c r="D129" s="37" t="inlineStr">
        <is>
          <t>Phòng Đo đạc</t>
        </is>
      </c>
      <c r="E129" s="37" t="inlineStr">
        <is>
          <t>Cấp đổi</t>
        </is>
      </c>
      <c r="F129" s="27" t="n">
        <v>46003</v>
      </c>
      <c r="G129" s="29" t="n">
        <v>12000000</v>
      </c>
      <c r="H129" s="29" t="n">
        <v>0</v>
      </c>
      <c r="I129" s="29">
        <f>IF(G129="","",G129-H129)</f>
        <v/>
      </c>
      <c r="J129" s="37">
        <f>IF(A129="","",IF(I129&lt;=0,"Đã tất toán",IF(L129&lt;TODAY(),"Quá hạn","Còn nợ")))</f>
        <v/>
      </c>
      <c r="K129" s="37" t="inlineStr">
        <is>
          <t>Hoàng Quân</t>
        </is>
      </c>
      <c r="L129" s="27" t="n"/>
      <c r="M129" s="37" t="n"/>
    </row>
    <row r="130" ht="15.75" customHeight="1" s="56">
      <c r="A130" s="37" t="inlineStr">
        <is>
          <t>633-1/BK-2025</t>
        </is>
      </c>
      <c r="B130" s="37" t="inlineStr">
        <is>
          <t>BK-HS-0194</t>
        </is>
      </c>
      <c r="C130" s="37" t="inlineStr">
        <is>
          <t>Trần Quang Vinh</t>
        </is>
      </c>
      <c r="D130" s="37" t="inlineStr">
        <is>
          <t>Phòng Đo đạc</t>
        </is>
      </c>
      <c r="E130" s="37" t="inlineStr">
        <is>
          <t>Cắm mốc</t>
        </is>
      </c>
      <c r="F130" s="27" t="n">
        <v>46003</v>
      </c>
      <c r="G130" s="29" t="n">
        <v>3000000</v>
      </c>
      <c r="H130" s="29" t="n">
        <v>0</v>
      </c>
      <c r="I130" s="29">
        <f>IF(G130="","",G130-H130)</f>
        <v/>
      </c>
      <c r="J130" s="37">
        <f>IF(A130="","",IF(I130&lt;=0,"Đã tất toán",IF(L130&lt;TODAY(),"Quá hạn","Còn nợ")))</f>
        <v/>
      </c>
      <c r="K130" s="37" t="inlineStr">
        <is>
          <t>Hoàng Quân</t>
        </is>
      </c>
      <c r="L130" s="27" t="n"/>
      <c r="M130" s="37" t="n"/>
    </row>
    <row r="131" ht="15.75" customHeight="1" s="56">
      <c r="A131" s="37" t="inlineStr">
        <is>
          <t>633-2/BK-2025</t>
        </is>
      </c>
      <c r="B131" s="37" t="inlineStr">
        <is>
          <t>BK-HS-0193</t>
        </is>
      </c>
      <c r="C131" s="37" t="inlineStr">
        <is>
          <t>Trần Quang Vinh</t>
        </is>
      </c>
      <c r="D131" s="37" t="inlineStr">
        <is>
          <t>Phòng Đo đạc</t>
        </is>
      </c>
      <c r="E131" s="37" t="inlineStr">
        <is>
          <t>Đo GPS</t>
        </is>
      </c>
      <c r="F131" s="27" t="n">
        <v>46003</v>
      </c>
      <c r="G131" s="29" t="n">
        <v>1</v>
      </c>
      <c r="H131" s="29" t="n">
        <v>1</v>
      </c>
      <c r="I131" s="29">
        <f>IF(G131="","",G131-H131)</f>
        <v/>
      </c>
      <c r="J131" s="37">
        <f>IF(A131="","",IF(I131&lt;=0,"Đã tất toán",IF(L131&lt;TODAY(),"Quá hạn","Còn nợ")))</f>
        <v/>
      </c>
      <c r="K131" s="37" t="inlineStr">
        <is>
          <t>Hoàng Quân</t>
        </is>
      </c>
      <c r="L131" s="27" t="n"/>
      <c r="M131" s="37" t="n"/>
    </row>
    <row r="132" ht="15.75" customHeight="1" s="56">
      <c r="A132" s="37" t="inlineStr">
        <is>
          <t>16-1/BK-2025</t>
        </is>
      </c>
      <c r="B132" s="37" t="inlineStr">
        <is>
          <t>BK-HS-0192</t>
        </is>
      </c>
      <c r="C132" s="37" t="inlineStr">
        <is>
          <t>Bùi Ngọc Minh</t>
        </is>
      </c>
      <c r="D132" s="37" t="inlineStr">
        <is>
          <t>Phòng Đo đạc</t>
        </is>
      </c>
      <c r="E132" s="37" t="inlineStr">
        <is>
          <t>Cắm mốc</t>
        </is>
      </c>
      <c r="F132" s="27" t="n">
        <v>46003</v>
      </c>
      <c r="G132" s="29" t="n">
        <v>1</v>
      </c>
      <c r="H132" s="29" t="n">
        <v>1</v>
      </c>
      <c r="I132" s="29">
        <f>IF(G132="","",G132-H132)</f>
        <v/>
      </c>
      <c r="J132" s="37">
        <f>IF(A132="","",IF(I132&lt;=0,"Đã tất toán",IF(L132&lt;TODAY(),"Quá hạn","Còn nợ")))</f>
        <v/>
      </c>
      <c r="K132" s="37" t="inlineStr">
        <is>
          <t>Công Ty</t>
        </is>
      </c>
      <c r="L132" s="27" t="n"/>
      <c r="M132" s="37" t="n"/>
    </row>
    <row r="133" ht="15.75" customHeight="1" s="56">
      <c r="A133" s="37" t="inlineStr">
        <is>
          <t>634/BK-2025</t>
        </is>
      </c>
      <c r="B133" s="37" t="inlineStr">
        <is>
          <t>BK-HS-0191</t>
        </is>
      </c>
      <c r="C133" s="37" t="inlineStr">
        <is>
          <t>Vũ Sơn Lâm</t>
        </is>
      </c>
      <c r="D133" s="37" t="inlineStr">
        <is>
          <t>Phòng Đo đạc</t>
        </is>
      </c>
      <c r="E133" s="37" t="inlineStr">
        <is>
          <t>Cấp đổi</t>
        </is>
      </c>
      <c r="F133" s="27" t="n">
        <v>46003</v>
      </c>
      <c r="G133" s="29" t="n">
        <v>1000000</v>
      </c>
      <c r="H133" s="29" t="n">
        <v>1000000</v>
      </c>
      <c r="I133" s="29">
        <f>IF(G133="","",G133-H133)</f>
        <v/>
      </c>
      <c r="J133" s="37">
        <f>IF(A133="","",IF(I133&lt;=0,"Đã tất toán",IF(L133&lt;TODAY(),"Quá hạn","Còn nợ")))</f>
        <v/>
      </c>
      <c r="K133" s="37" t="inlineStr">
        <is>
          <t>Công Ty</t>
        </is>
      </c>
      <c r="L133" s="27" t="n"/>
      <c r="M133" s="37" t="n"/>
    </row>
    <row r="134" ht="15.75" customHeight="1" s="56">
      <c r="A134" s="37" t="inlineStr">
        <is>
          <t>635/BK-2025</t>
        </is>
      </c>
      <c r="B134" s="37" t="inlineStr">
        <is>
          <t>BK-HS-0190</t>
        </is>
      </c>
      <c r="C134" s="37" t="inlineStr">
        <is>
          <t>Nguyễn Văn Quang</t>
        </is>
      </c>
      <c r="D134" s="37" t="inlineStr">
        <is>
          <t>Phòng Đo đạc</t>
        </is>
      </c>
      <c r="E134" s="37" t="inlineStr">
        <is>
          <t>Cấp sổ lần đầu</t>
        </is>
      </c>
      <c r="F134" s="27" t="n">
        <v>46003</v>
      </c>
      <c r="G134" s="29" t="n">
        <v>13000000</v>
      </c>
      <c r="H134" s="29" t="n">
        <v>0</v>
      </c>
      <c r="I134" s="29">
        <f>IF(G134="","",G134-H134)</f>
        <v/>
      </c>
      <c r="J134" s="37">
        <f>IF(A134="","",IF(I134&lt;=0,"Đã tất toán",IF(L134&lt;TODAY(),"Quá hạn","Còn nợ")))</f>
        <v/>
      </c>
      <c r="K134" s="37" t="inlineStr">
        <is>
          <t>Anh Long PCT</t>
        </is>
      </c>
      <c r="L134" s="27" t="n"/>
      <c r="M134" s="37" t="n"/>
    </row>
    <row r="135" ht="15.75" customHeight="1" s="56">
      <c r="A135" s="37" t="inlineStr">
        <is>
          <t>636/BK-2025</t>
        </is>
      </c>
      <c r="B135" s="37" t="inlineStr">
        <is>
          <t>BK-HS-0189</t>
        </is>
      </c>
      <c r="C135" s="37" t="inlineStr">
        <is>
          <t>Trịnh Thị Sinh</t>
        </is>
      </c>
      <c r="D135" s="37" t="inlineStr">
        <is>
          <t>Phòng Đo đạc</t>
        </is>
      </c>
      <c r="E135" s="37" t="inlineStr">
        <is>
          <t>Cấp đổi</t>
        </is>
      </c>
      <c r="F135" s="27" t="n">
        <v>46003</v>
      </c>
      <c r="G135" s="29" t="n"/>
      <c r="H135" s="29" t="n">
        <v>0</v>
      </c>
      <c r="I135" s="29">
        <f>IF(G135="","",G135-H135)</f>
        <v/>
      </c>
      <c r="J135" s="37">
        <f>IF(A135="","",IF(I135&lt;=0,"Đã tất toán",IF(L135&lt;TODAY(),"Quá hạn","Còn nợ")))</f>
        <v/>
      </c>
      <c r="K135" s="37" t="inlineStr">
        <is>
          <t>Công Ty</t>
        </is>
      </c>
      <c r="L135" s="27" t="n"/>
      <c r="M135" s="37" t="n"/>
    </row>
    <row r="136" ht="15.75" customHeight="1" s="56">
      <c r="A136" s="37" t="inlineStr">
        <is>
          <t>618-1/BK-2025</t>
        </is>
      </c>
      <c r="B136" s="37" t="inlineStr">
        <is>
          <t>BK-HS-0188</t>
        </is>
      </c>
      <c r="C136" s="37" t="inlineStr">
        <is>
          <t>Đinh Thị Hằng</t>
        </is>
      </c>
      <c r="D136" s="37" t="inlineStr">
        <is>
          <t>Phòng Đo đạc</t>
        </is>
      </c>
      <c r="E136" s="37" t="inlineStr">
        <is>
          <t>Cắm mốc</t>
        </is>
      </c>
      <c r="F136" s="27" t="n">
        <v>46003</v>
      </c>
      <c r="G136" s="29" t="n">
        <v>2000000</v>
      </c>
      <c r="H136" s="29" t="n">
        <v>2000000</v>
      </c>
      <c r="I136" s="29">
        <f>IF(G136="","",G136-H136)</f>
        <v/>
      </c>
      <c r="J136" s="37">
        <f>IF(A136="","",IF(I136&lt;=0,"Đã tất toán",IF(L136&lt;TODAY(),"Quá hạn","Còn nợ")))</f>
        <v/>
      </c>
      <c r="K136" s="37" t="inlineStr">
        <is>
          <t>Công Ty</t>
        </is>
      </c>
      <c r="L136" s="27" t="n"/>
      <c r="M136" s="37" t="n"/>
    </row>
    <row r="137" ht="15.75" customHeight="1" s="56">
      <c r="A137" s="37" t="inlineStr">
        <is>
          <t>464-1/BK-2025</t>
        </is>
      </c>
      <c r="B137" s="37" t="inlineStr">
        <is>
          <t>BK-HS-0187</t>
        </is>
      </c>
      <c r="C137" s="37" t="inlineStr">
        <is>
          <t>Đặng Thị Kim Thiện</t>
        </is>
      </c>
      <c r="D137" s="37" t="inlineStr">
        <is>
          <t>Phòng Đo đạc</t>
        </is>
      </c>
      <c r="E137" s="37" t="inlineStr">
        <is>
          <t>Kiểm tra hiện trạng</t>
        </is>
      </c>
      <c r="F137" s="27" t="n">
        <v>46003</v>
      </c>
      <c r="G137" s="29" t="n">
        <v>1</v>
      </c>
      <c r="H137" s="29" t="n">
        <v>1</v>
      </c>
      <c r="I137" s="29">
        <f>IF(G137="","",G137-H137)</f>
        <v/>
      </c>
      <c r="J137" s="37">
        <f>IF(A137="","",IF(I137&lt;=0,"Đã tất toán",IF(L137&lt;TODAY(),"Quá hạn","Còn nợ")))</f>
        <v/>
      </c>
      <c r="K137" s="37" t="inlineStr">
        <is>
          <t>Chị Phấn DV</t>
        </is>
      </c>
      <c r="L137" s="27" t="n"/>
      <c r="M137" s="37" t="n"/>
    </row>
    <row r="138" ht="15.75" customHeight="1" s="56">
      <c r="A138" s="37" t="inlineStr">
        <is>
          <t>637/BK-2025</t>
        </is>
      </c>
      <c r="B138" s="37" t="inlineStr">
        <is>
          <t>BK-HS-0186</t>
        </is>
      </c>
      <c r="C138" s="37" t="inlineStr">
        <is>
          <t>Công ty Cổ phần Đầu tư Dầu khí Thăng Long</t>
        </is>
      </c>
      <c r="D138" s="37" t="inlineStr">
        <is>
          <t>Phòng Đo đạc</t>
        </is>
      </c>
      <c r="E138" s="37" t="inlineStr">
        <is>
          <t>Xác định diện tích</t>
        </is>
      </c>
      <c r="F138" s="27" t="n">
        <v>46004</v>
      </c>
      <c r="G138" s="29" t="n">
        <v>2500000</v>
      </c>
      <c r="H138" s="29" t="n">
        <v>2500000</v>
      </c>
      <c r="I138" s="29">
        <f>IF(G138="","",G138-H138)</f>
        <v/>
      </c>
      <c r="J138" s="37">
        <f>IF(A138="","",IF(I138&lt;=0,"Đã tất toán",IF(L138&lt;TODAY(),"Quá hạn","Còn nợ")))</f>
        <v/>
      </c>
      <c r="K138" s="37" t="inlineStr">
        <is>
          <t>Công Ty</t>
        </is>
      </c>
      <c r="L138" s="27" t="n"/>
      <c r="M138" s="37" t="n"/>
    </row>
    <row r="139" ht="15.75" customHeight="1" s="56">
      <c r="A139" s="37" t="inlineStr">
        <is>
          <t>638/BK-2025</t>
        </is>
      </c>
      <c r="B139" s="37" t="inlineStr">
        <is>
          <t>BK-HS-0185</t>
        </is>
      </c>
      <c r="C139" s="37" t="inlineStr">
        <is>
          <t>Công ty TNHH MTV EPIC LAND</t>
        </is>
      </c>
      <c r="D139" s="37" t="inlineStr">
        <is>
          <t>Phòng Đo đạc</t>
        </is>
      </c>
      <c r="E139" s="37" t="inlineStr">
        <is>
          <t>Xác định diện tích</t>
        </is>
      </c>
      <c r="F139" s="27" t="n">
        <v>46004</v>
      </c>
      <c r="G139" s="29" t="n">
        <v>2500000</v>
      </c>
      <c r="H139" s="29" t="n">
        <v>2500000</v>
      </c>
      <c r="I139" s="29">
        <f>IF(G139="","",G139-H139)</f>
        <v/>
      </c>
      <c r="J139" s="37">
        <f>IF(A139="","",IF(I139&lt;=0,"Đã tất toán",IF(L139&lt;TODAY(),"Quá hạn","Còn nợ")))</f>
        <v/>
      </c>
      <c r="K139" s="37" t="inlineStr">
        <is>
          <t>Công Ty</t>
        </is>
      </c>
      <c r="L139" s="27" t="n"/>
      <c r="M139" s="37" t="n"/>
    </row>
    <row r="140" ht="15.75" customHeight="1" s="56">
      <c r="A140" s="37" t="inlineStr">
        <is>
          <t>639/BK-2025</t>
        </is>
      </c>
      <c r="B140" s="37" t="inlineStr">
        <is>
          <t>BK-HS-0184</t>
        </is>
      </c>
      <c r="C140" s="37" t="inlineStr">
        <is>
          <t>Công ty Cổ phần Đầu tư và Phát Triển Thành phố Hồ Chí Minh</t>
        </is>
      </c>
      <c r="D140" s="37" t="inlineStr">
        <is>
          <t>Phòng Đo đạc</t>
        </is>
      </c>
      <c r="E140" s="37" t="inlineStr">
        <is>
          <t>Xác định diện tích</t>
        </is>
      </c>
      <c r="F140" s="27" t="n">
        <v>46004</v>
      </c>
      <c r="G140" s="29" t="n">
        <v>2500000</v>
      </c>
      <c r="H140" s="29" t="n">
        <v>2500000</v>
      </c>
      <c r="I140" s="29">
        <f>IF(G140="","",G140-H140)</f>
        <v/>
      </c>
      <c r="J140" s="37">
        <f>IF(A140="","",IF(I140&lt;=0,"Đã tất toán",IF(L140&lt;TODAY(),"Quá hạn","Còn nợ")))</f>
        <v/>
      </c>
      <c r="K140" s="37" t="inlineStr">
        <is>
          <t>Công Ty</t>
        </is>
      </c>
      <c r="L140" s="27" t="n"/>
      <c r="M140" s="37" t="n"/>
    </row>
    <row r="141" ht="15.75" customHeight="1" s="56">
      <c r="A141" s="37" t="inlineStr">
        <is>
          <t>640/BK-2025</t>
        </is>
      </c>
      <c r="B141" s="37" t="inlineStr">
        <is>
          <t>BK-HS-0183</t>
        </is>
      </c>
      <c r="C141" s="37" t="inlineStr">
        <is>
          <t>Công ty Cổ phần Sài Gòn Riverview</t>
        </is>
      </c>
      <c r="D141" s="37" t="inlineStr">
        <is>
          <t>Phòng Đo đạc</t>
        </is>
      </c>
      <c r="E141" s="37" t="inlineStr">
        <is>
          <t>Xác định diện tích</t>
        </is>
      </c>
      <c r="F141" s="27" t="n">
        <v>46004</v>
      </c>
      <c r="G141" s="29" t="n">
        <v>2500000</v>
      </c>
      <c r="H141" s="29" t="n">
        <v>2500000</v>
      </c>
      <c r="I141" s="29">
        <f>IF(G141="","",G141-H141)</f>
        <v/>
      </c>
      <c r="J141" s="37">
        <f>IF(A141="","",IF(I141&lt;=0,"Đã tất toán",IF(L141&lt;TODAY(),"Quá hạn","Còn nợ")))</f>
        <v/>
      </c>
      <c r="K141" s="37" t="inlineStr">
        <is>
          <t>Công Ty</t>
        </is>
      </c>
      <c r="L141" s="27" t="n"/>
      <c r="M141" s="37" t="n"/>
    </row>
    <row r="142" ht="15.75" customHeight="1" s="56">
      <c r="A142" s="37" t="inlineStr">
        <is>
          <t>641/BK-2025</t>
        </is>
      </c>
      <c r="B142" s="37" t="inlineStr">
        <is>
          <t>BK-HS-0182</t>
        </is>
      </c>
      <c r="C142" s="37" t="inlineStr">
        <is>
          <t>Nguyễn Thị Kim Ngọc</t>
        </is>
      </c>
      <c r="D142" s="37" t="inlineStr">
        <is>
          <t>Phòng Đo đạc</t>
        </is>
      </c>
      <c r="E142" s="37" t="inlineStr">
        <is>
          <t>Cấp đổi</t>
        </is>
      </c>
      <c r="F142" s="27" t="n">
        <v>46004</v>
      </c>
      <c r="G142" s="29" t="n">
        <v>90000000</v>
      </c>
      <c r="H142" s="29" t="n">
        <v>9</v>
      </c>
      <c r="I142" s="29">
        <f>IF(G142="","",G142-H142)</f>
        <v/>
      </c>
      <c r="J142" s="37">
        <f>IF(A142="","",IF(I142&lt;=0,"Đã tất toán",IF(L142&lt;TODAY(),"Quá hạn","Còn nợ")))</f>
        <v/>
      </c>
      <c r="K142" s="37" t="inlineStr">
        <is>
          <t>Chị Xuân DV</t>
        </is>
      </c>
      <c r="L142" s="27" t="n"/>
      <c r="M142" s="37" t="n"/>
    </row>
    <row r="143" ht="15.75" customHeight="1" s="56">
      <c r="A143" s="37" t="inlineStr">
        <is>
          <t>642/BK-2025</t>
        </is>
      </c>
      <c r="B143" s="37" t="inlineStr">
        <is>
          <t>BK-HS-0181</t>
        </is>
      </c>
      <c r="C143" s="37" t="inlineStr">
        <is>
          <t>Hứa Thu Phụng</t>
        </is>
      </c>
      <c r="D143" s="37" t="inlineStr">
        <is>
          <t>Phòng Đo đạc</t>
        </is>
      </c>
      <c r="E143" s="37" t="inlineStr">
        <is>
          <t>Hoàn công</t>
        </is>
      </c>
      <c r="F143" s="27" t="n">
        <v>46005</v>
      </c>
      <c r="G143" s="29" t="n"/>
      <c r="H143" s="29" t="n">
        <v>0</v>
      </c>
      <c r="I143" s="29">
        <f>IF(G143="","",G143-H143)</f>
        <v/>
      </c>
      <c r="J143" s="37">
        <f>IF(A143="","",IF(I143&lt;=0,"Đã tất toán",IF(L143&lt;TODAY(),"Quá hạn","Còn nợ")))</f>
        <v/>
      </c>
      <c r="K143" s="37" t="inlineStr">
        <is>
          <t>Công Ty</t>
        </is>
      </c>
      <c r="L143" s="27" t="n"/>
      <c r="M143" s="37" t="n"/>
    </row>
    <row r="144" ht="15.75" customHeight="1" s="56">
      <c r="A144" s="37" t="inlineStr">
        <is>
          <t>643/BK-2025</t>
        </is>
      </c>
      <c r="B144" s="37" t="inlineStr">
        <is>
          <t>BK-HS-0180</t>
        </is>
      </c>
      <c r="C144" s="37" t="inlineStr">
        <is>
          <t>Nguyễn Hữu Thịnh</t>
        </is>
      </c>
      <c r="D144" s="37" t="inlineStr">
        <is>
          <t>Phòng Đo đạc</t>
        </is>
      </c>
      <c r="E144" s="37" t="inlineStr">
        <is>
          <t>Hoàn công</t>
        </is>
      </c>
      <c r="F144" s="27" t="n">
        <v>46005</v>
      </c>
      <c r="G144" s="29" t="n">
        <v>40000000</v>
      </c>
      <c r="H144" s="29" t="n">
        <v>40000000</v>
      </c>
      <c r="I144" s="29">
        <f>IF(G144="","",G144-H144)</f>
        <v/>
      </c>
      <c r="J144" s="37">
        <f>IF(A144="","",IF(I144&lt;=0,"Đã tất toán",IF(L144&lt;TODAY(),"Quá hạn","Còn nợ")))</f>
        <v/>
      </c>
      <c r="K144" s="37" t="inlineStr">
        <is>
          <t>Công Ty</t>
        </is>
      </c>
      <c r="L144" s="27" t="n"/>
      <c r="M144" s="37" t="n"/>
    </row>
    <row r="145" ht="15.75" customHeight="1" s="56">
      <c r="A145" s="37" t="inlineStr">
        <is>
          <t>644/BK-2025</t>
        </is>
      </c>
      <c r="B145" s="37" t="inlineStr">
        <is>
          <t>BK-HS-0179</t>
        </is>
      </c>
      <c r="C145" s="37" t="inlineStr">
        <is>
          <t>Huỳnh Thị Ngọc Châu</t>
        </is>
      </c>
      <c r="D145" s="37" t="inlineStr">
        <is>
          <t>Phòng Đo đạc</t>
        </is>
      </c>
      <c r="E145" s="37" t="inlineStr">
        <is>
          <t>Cấp đổi</t>
        </is>
      </c>
      <c r="F145" s="27" t="n">
        <v>46005</v>
      </c>
      <c r="G145" s="29" t="n">
        <v>9000000</v>
      </c>
      <c r="H145" s="29" t="n">
        <v>0</v>
      </c>
      <c r="I145" s="29">
        <f>IF(G145="","",G145-H145)</f>
        <v/>
      </c>
      <c r="J145" s="37">
        <f>IF(A145="","",IF(I145&lt;=0,"Đã tất toán",IF(L145&lt;TODAY(),"Quá hạn","Còn nợ")))</f>
        <v/>
      </c>
      <c r="K145" s="37" t="inlineStr">
        <is>
          <t>Anh Cường Sài Gòn DV</t>
        </is>
      </c>
      <c r="L145" s="27" t="n"/>
      <c r="M145" s="37" t="n"/>
    </row>
    <row r="146" ht="15.75" customHeight="1" s="56">
      <c r="A146" s="37" t="inlineStr">
        <is>
          <t>645/BK-2025</t>
        </is>
      </c>
      <c r="B146" s="37" t="inlineStr">
        <is>
          <t>BK-HS-0178</t>
        </is>
      </c>
      <c r="C146" s="37" t="inlineStr">
        <is>
          <t>Dương Thị Thanh Tâm</t>
        </is>
      </c>
      <c r="D146" s="37" t="inlineStr">
        <is>
          <t>Phòng Đo đạc</t>
        </is>
      </c>
      <c r="E146" s="37" t="inlineStr">
        <is>
          <t>Cấp đổi</t>
        </is>
      </c>
      <c r="F146" s="27" t="n">
        <v>46005</v>
      </c>
      <c r="G146" s="29" t="n">
        <v>3000000</v>
      </c>
      <c r="H146" s="29" t="n">
        <v>0</v>
      </c>
      <c r="I146" s="29">
        <f>IF(G146="","",G146-H146)</f>
        <v/>
      </c>
      <c r="J146" s="37">
        <f>IF(A146="","",IF(I146&lt;=0,"Đã tất toán",IF(L146&lt;TODAY(),"Quá hạn","Còn nợ")))</f>
        <v/>
      </c>
      <c r="K146" s="37" t="inlineStr">
        <is>
          <t>Anh Long PCT</t>
        </is>
      </c>
      <c r="L146" s="27" t="n"/>
      <c r="M146" s="37" t="n"/>
    </row>
    <row r="147" ht="15.75" customHeight="1" s="56">
      <c r="A147" s="37" t="inlineStr">
        <is>
          <t>646/BK-2025</t>
        </is>
      </c>
      <c r="B147" s="37" t="inlineStr">
        <is>
          <t>BK-HS-0177</t>
        </is>
      </c>
      <c r="C147" s="37" t="inlineStr">
        <is>
          <t>Nguyễn Tuấn Nghiêm</t>
        </is>
      </c>
      <c r="D147" s="37" t="inlineStr">
        <is>
          <t>Phòng Đo đạc</t>
        </is>
      </c>
      <c r="E147" s="37" t="inlineStr">
        <is>
          <t>Cấp sổ lần đầu</t>
        </is>
      </c>
      <c r="F147" s="27" t="n">
        <v>46005</v>
      </c>
      <c r="G147" s="29" t="n">
        <v>9000000</v>
      </c>
      <c r="H147" s="29" t="n">
        <v>9000000</v>
      </c>
      <c r="I147" s="29">
        <f>IF(G147="","",G147-H147)</f>
        <v/>
      </c>
      <c r="J147" s="37">
        <f>IF(A147="","",IF(I147&lt;=0,"Đã tất toán",IF(L147&lt;TODAY(),"Quá hạn","Còn nợ")))</f>
        <v/>
      </c>
      <c r="K147" s="37" t="inlineStr">
        <is>
          <t>Anh Long PCT</t>
        </is>
      </c>
      <c r="L147" s="27" t="n"/>
      <c r="M147" s="37" t="n"/>
    </row>
    <row r="148" ht="15.75" customHeight="1" s="56">
      <c r="A148" s="37" t="inlineStr">
        <is>
          <t>647/BK-2025</t>
        </is>
      </c>
      <c r="B148" s="37" t="inlineStr">
        <is>
          <t>BK-HS-0176</t>
        </is>
      </c>
      <c r="C148" s="37" t="inlineStr">
        <is>
          <t>Vũ Kiều Sa</t>
        </is>
      </c>
      <c r="D148" s="37" t="inlineStr">
        <is>
          <t>Phòng Đo đạc</t>
        </is>
      </c>
      <c r="E148" s="37" t="inlineStr">
        <is>
          <t>Cắm mốc</t>
        </is>
      </c>
      <c r="F148" s="27" t="n">
        <v>46005</v>
      </c>
      <c r="G148" s="29" t="n">
        <v>3000000</v>
      </c>
      <c r="H148" s="29" t="n">
        <v>3000000</v>
      </c>
      <c r="I148" s="29">
        <f>IF(G148="","",G148-H148)</f>
        <v/>
      </c>
      <c r="J148" s="37">
        <f>IF(A148="","",IF(I148&lt;=0,"Đã tất toán",IF(L148&lt;TODAY(),"Quá hạn","Còn nợ")))</f>
        <v/>
      </c>
      <c r="K148" s="37" t="inlineStr">
        <is>
          <t>Đạt Việt Phát Land</t>
        </is>
      </c>
      <c r="L148" s="27" t="n"/>
      <c r="M148" s="37" t="n"/>
    </row>
    <row r="149" ht="15.75" customHeight="1" s="56">
      <c r="A149" s="37" t="inlineStr">
        <is>
          <t>648/BK-2025</t>
        </is>
      </c>
      <c r="B149" s="37" t="inlineStr">
        <is>
          <t>BK-HS-0175</t>
        </is>
      </c>
      <c r="C149" s="37" t="inlineStr">
        <is>
          <t>Vũ Phạm Minh Tú</t>
        </is>
      </c>
      <c r="D149" s="37" t="inlineStr">
        <is>
          <t>Phòng Đo đạc</t>
        </is>
      </c>
      <c r="E149" s="37" t="inlineStr">
        <is>
          <t>Cấp đổi</t>
        </is>
      </c>
      <c r="F149" s="27" t="n">
        <v>46005</v>
      </c>
      <c r="G149" s="29" t="n">
        <v>34000000</v>
      </c>
      <c r="H149" s="29" t="n">
        <v>34000000</v>
      </c>
      <c r="I149" s="29">
        <f>IF(G149="","",G149-H149)</f>
        <v/>
      </c>
      <c r="J149" s="37">
        <f>IF(A149="","",IF(I149&lt;=0,"Đã tất toán",IF(L149&lt;TODAY(),"Quá hạn","Còn nợ")))</f>
        <v/>
      </c>
      <c r="K149" s="37" t="inlineStr">
        <is>
          <t>Công Ty</t>
        </is>
      </c>
      <c r="L149" s="27" t="n"/>
      <c r="M149" s="37" t="n"/>
    </row>
    <row r="150" ht="15.75" customHeight="1" s="56">
      <c r="A150" s="37" t="inlineStr">
        <is>
          <t>649/BK-2025</t>
        </is>
      </c>
      <c r="B150" s="37" t="inlineStr">
        <is>
          <t>BK-HS-0174</t>
        </is>
      </c>
      <c r="C150" s="37" t="inlineStr">
        <is>
          <t>Nguyễn Quang Hoàn</t>
        </is>
      </c>
      <c r="D150" s="37" t="inlineStr">
        <is>
          <t>Phòng Đo đạc</t>
        </is>
      </c>
      <c r="E150" s="37" t="inlineStr">
        <is>
          <t>Chuyển mục đích</t>
        </is>
      </c>
      <c r="F150" s="27" t="n">
        <v>46006</v>
      </c>
      <c r="G150" s="29" t="n">
        <v>10000000</v>
      </c>
      <c r="H150" s="29" t="n">
        <v>10000000</v>
      </c>
      <c r="I150" s="29">
        <f>IF(G150="","",G150-H150)</f>
        <v/>
      </c>
      <c r="J150" s="37">
        <f>IF(A150="","",IF(I150&lt;=0,"Đã tất toán",IF(L150&lt;TODAY(),"Quá hạn","Còn nợ")))</f>
        <v/>
      </c>
      <c r="K150" s="37" t="inlineStr">
        <is>
          <t>Công Ty</t>
        </is>
      </c>
      <c r="L150" s="27" t="n"/>
      <c r="M150" s="37" t="n"/>
    </row>
    <row r="151" ht="15.75" customHeight="1" s="56">
      <c r="A151" s="37" t="inlineStr">
        <is>
          <t>650/BK-2025</t>
        </is>
      </c>
      <c r="B151" s="37" t="inlineStr">
        <is>
          <t>BK-HS-0173</t>
        </is>
      </c>
      <c r="C151" s="37" t="inlineStr">
        <is>
          <t>Nguyễn Xuân Đức</t>
        </is>
      </c>
      <c r="D151" s="37" t="inlineStr">
        <is>
          <t>Phòng Đo đạc</t>
        </is>
      </c>
      <c r="E151" s="37" t="inlineStr">
        <is>
          <t>Kiểm tra hiện trạng</t>
        </is>
      </c>
      <c r="F151" s="27" t="n">
        <v>46006</v>
      </c>
      <c r="G151" s="29" t="n"/>
      <c r="H151" s="29" t="n">
        <v>0</v>
      </c>
      <c r="I151" s="29">
        <f>IF(G151="","",G151-H151)</f>
        <v/>
      </c>
      <c r="J151" s="37">
        <f>IF(A151="","",IF(I151&lt;=0,"Đã tất toán",IF(L151&lt;TODAY(),"Quá hạn","Còn nợ")))</f>
        <v/>
      </c>
      <c r="K151" s="37" t="inlineStr">
        <is>
          <t>Công Ty</t>
        </is>
      </c>
      <c r="L151" s="27" t="n"/>
      <c r="M151" s="37" t="n"/>
    </row>
    <row r="152" ht="15.75" customHeight="1" s="56">
      <c r="A152" s="37" t="inlineStr">
        <is>
          <t>651/BK-2025</t>
        </is>
      </c>
      <c r="B152" s="37" t="inlineStr">
        <is>
          <t>BK-HS-0172</t>
        </is>
      </c>
      <c r="C152" s="37" t="inlineStr">
        <is>
          <t>Võ Thị Thanh</t>
        </is>
      </c>
      <c r="D152" s="37" t="inlineStr">
        <is>
          <t>Phòng Đo đạc</t>
        </is>
      </c>
      <c r="E152" s="37" t="inlineStr">
        <is>
          <t>Cấp đổi</t>
        </is>
      </c>
      <c r="F152" s="27" t="n">
        <v>46006</v>
      </c>
      <c r="G152" s="29" t="n">
        <v>39000000</v>
      </c>
      <c r="H152" s="29" t="n">
        <v>39000000</v>
      </c>
      <c r="I152" s="29">
        <f>IF(G152="","",G152-H152)</f>
        <v/>
      </c>
      <c r="J152" s="37">
        <f>IF(A152="","",IF(I152&lt;=0,"Đã tất toán",IF(L152&lt;TODAY(),"Quá hạn","Còn nợ")))</f>
        <v/>
      </c>
      <c r="K152" s="37" t="inlineStr">
        <is>
          <t>Công Ty</t>
        </is>
      </c>
      <c r="L152" s="27" t="n"/>
      <c r="M152" s="37" t="n"/>
    </row>
    <row r="153" ht="15.75" customHeight="1" s="56">
      <c r="A153" s="37" t="inlineStr">
        <is>
          <t>652-1/BK-2025</t>
        </is>
      </c>
      <c r="B153" s="37" t="inlineStr">
        <is>
          <t>BK-HS-0171</t>
        </is>
      </c>
      <c r="C153" s="37" t="inlineStr">
        <is>
          <t>Nguyễn Thanh Hải - Nguyễn Thị Bé Năm</t>
        </is>
      </c>
      <c r="D153" s="37" t="inlineStr">
        <is>
          <t>Phòng Đo đạc</t>
        </is>
      </c>
      <c r="E153" s="37" t="inlineStr">
        <is>
          <t>Tách Thửa</t>
        </is>
      </c>
      <c r="F153" s="27" t="n">
        <v>46006</v>
      </c>
      <c r="G153" s="29" t="n">
        <v>8000000</v>
      </c>
      <c r="H153" s="29" t="n">
        <v>8000000</v>
      </c>
      <c r="I153" s="29">
        <f>IF(G153="","",G153-H153)</f>
        <v/>
      </c>
      <c r="J153" s="37">
        <f>IF(A153="","",IF(I153&lt;=0,"Đã tất toán",IF(L153&lt;TODAY(),"Quá hạn","Còn nợ")))</f>
        <v/>
      </c>
      <c r="K153" s="37" t="inlineStr">
        <is>
          <t>Chị Xuân DV</t>
        </is>
      </c>
      <c r="L153" s="27" t="n"/>
      <c r="M153" s="37" t="n"/>
    </row>
    <row r="154" ht="15.75" customHeight="1" s="56">
      <c r="A154" s="37" t="inlineStr">
        <is>
          <t>652-2/BK-2025</t>
        </is>
      </c>
      <c r="B154" s="37" t="inlineStr">
        <is>
          <t>BK-HS-0170</t>
        </is>
      </c>
      <c r="C154" s="37" t="inlineStr">
        <is>
          <t>Nguyễn Thanh Hải - Nguyễn Thị Bé Năm</t>
        </is>
      </c>
      <c r="D154" s="37" t="inlineStr">
        <is>
          <t>Phòng Đo đạc</t>
        </is>
      </c>
      <c r="E154" s="37" t="inlineStr">
        <is>
          <t>Tách Thửa</t>
        </is>
      </c>
      <c r="F154" s="27" t="n">
        <v>46006</v>
      </c>
      <c r="G154" s="29" t="n">
        <v>8000000</v>
      </c>
      <c r="H154" s="29" t="n">
        <v>8000000</v>
      </c>
      <c r="I154" s="29">
        <f>IF(G154="","",G154-H154)</f>
        <v/>
      </c>
      <c r="J154" s="37">
        <f>IF(A154="","",IF(I154&lt;=0,"Đã tất toán",IF(L154&lt;TODAY(),"Quá hạn","Còn nợ")))</f>
        <v/>
      </c>
      <c r="K154" s="37" t="inlineStr">
        <is>
          <t>Chị Xuân DV</t>
        </is>
      </c>
      <c r="L154" s="27" t="n"/>
      <c r="M154" s="37" t="n"/>
    </row>
    <row r="155" ht="15.75" customHeight="1" s="56">
      <c r="A155" s="37" t="inlineStr">
        <is>
          <t>652-3/BK-2025</t>
        </is>
      </c>
      <c r="B155" s="37" t="inlineStr">
        <is>
          <t>BK-HS-0169</t>
        </is>
      </c>
      <c r="C155" s="37" t="inlineStr">
        <is>
          <t>Nguyễn Thanh Hải - Nguyễn Thị Bé Năm</t>
        </is>
      </c>
      <c r="D155" s="37" t="inlineStr">
        <is>
          <t>Phòng Đo đạc</t>
        </is>
      </c>
      <c r="E155" s="37" t="inlineStr">
        <is>
          <t>Tách Thửa</t>
        </is>
      </c>
      <c r="F155" s="27" t="n">
        <v>46006</v>
      </c>
      <c r="G155" s="29" t="n">
        <v>7000000</v>
      </c>
      <c r="H155" s="29" t="n">
        <v>7000000</v>
      </c>
      <c r="I155" s="29">
        <f>IF(G155="","",G155-H155)</f>
        <v/>
      </c>
      <c r="J155" s="37">
        <f>IF(A155="","",IF(I155&lt;=0,"Đã tất toán",IF(L155&lt;TODAY(),"Quá hạn","Còn nợ")))</f>
        <v/>
      </c>
      <c r="K155" s="37" t="inlineStr">
        <is>
          <t>Chị Xuân DV</t>
        </is>
      </c>
      <c r="L155" s="27" t="n"/>
      <c r="M155" s="37" t="n"/>
    </row>
    <row r="156" ht="15.75" customHeight="1" s="56">
      <c r="A156" s="37" t="inlineStr">
        <is>
          <t>652-4/BK-2025</t>
        </is>
      </c>
      <c r="B156" s="37" t="inlineStr">
        <is>
          <t>BK-HS-0168</t>
        </is>
      </c>
      <c r="C156" s="37" t="inlineStr">
        <is>
          <t>Nguyễn Thanh Hải - Nguyễn Thị Bé Năm</t>
        </is>
      </c>
      <c r="D156" s="37" t="inlineStr">
        <is>
          <t>Phòng Đo đạc</t>
        </is>
      </c>
      <c r="E156" s="37" t="inlineStr">
        <is>
          <t>Tách Thửa</t>
        </is>
      </c>
      <c r="F156" s="27" t="n">
        <v>46006</v>
      </c>
      <c r="G156" s="29" t="n">
        <v>7000000</v>
      </c>
      <c r="H156" s="29" t="n">
        <v>7000000</v>
      </c>
      <c r="I156" s="29">
        <f>IF(G156="","",G156-H156)</f>
        <v/>
      </c>
      <c r="J156" s="37">
        <f>IF(A156="","",IF(I156&lt;=0,"Đã tất toán",IF(L156&lt;TODAY(),"Quá hạn","Còn nợ")))</f>
        <v/>
      </c>
      <c r="K156" s="37" t="inlineStr">
        <is>
          <t>Chị Xuân DV</t>
        </is>
      </c>
      <c r="L156" s="27" t="n"/>
      <c r="M156" s="37" t="n"/>
    </row>
    <row r="157" ht="15.75" customHeight="1" s="56">
      <c r="A157" s="37" t="inlineStr">
        <is>
          <t>653/BK-2025</t>
        </is>
      </c>
      <c r="B157" s="37" t="inlineStr">
        <is>
          <t>BK-HS-0167</t>
        </is>
      </c>
      <c r="C157" s="37" t="inlineStr">
        <is>
          <t>Lê Thị Thu Sương</t>
        </is>
      </c>
      <c r="D157" s="37" t="inlineStr">
        <is>
          <t>Phòng Đo đạc</t>
        </is>
      </c>
      <c r="E157" s="37" t="inlineStr">
        <is>
          <t>Hoàn công</t>
        </is>
      </c>
      <c r="F157" s="27" t="n">
        <v>46009</v>
      </c>
      <c r="G157" s="29" t="n">
        <v>120000000</v>
      </c>
      <c r="H157" s="29" t="n">
        <v>1</v>
      </c>
      <c r="I157" s="29">
        <f>IF(G157="","",G157-H157)</f>
        <v/>
      </c>
      <c r="J157" s="37">
        <f>IF(A157="","",IF(I157&lt;=0,"Đã tất toán",IF(L157&lt;TODAY(),"Quá hạn","Còn nợ")))</f>
        <v/>
      </c>
      <c r="K157" s="37" t="inlineStr">
        <is>
          <t>Tùng Mập</t>
        </is>
      </c>
      <c r="L157" s="27" t="n"/>
      <c r="M157" s="37" t="n"/>
    </row>
    <row r="158" ht="15.75" customHeight="1" s="56">
      <c r="A158" s="37" t="inlineStr">
        <is>
          <t>655/BK-2025</t>
        </is>
      </c>
      <c r="B158" s="37" t="inlineStr">
        <is>
          <t>BK-HS-0166</t>
        </is>
      </c>
      <c r="C158" s="37" t="inlineStr">
        <is>
          <t>Bùi Quý Thành - Lưu Vân Trang</t>
        </is>
      </c>
      <c r="D158" s="37" t="inlineStr">
        <is>
          <t>Phòng Đo đạc</t>
        </is>
      </c>
      <c r="E158" s="37" t="inlineStr">
        <is>
          <t>Hoàn công</t>
        </is>
      </c>
      <c r="F158" s="27" t="n">
        <v>46009</v>
      </c>
      <c r="G158" s="29" t="n">
        <v>40000000</v>
      </c>
      <c r="H158" s="29" t="n">
        <v>20000000</v>
      </c>
      <c r="I158" s="29">
        <f>IF(G158="","",G158-H158)</f>
        <v/>
      </c>
      <c r="J158" s="37">
        <f>IF(A158="","",IF(I158&lt;=0,"Đã tất toán",IF(L158&lt;TODAY(),"Quá hạn","Còn nợ")))</f>
        <v/>
      </c>
      <c r="K158" s="37" t="inlineStr">
        <is>
          <t>Công Ty</t>
        </is>
      </c>
      <c r="L158" s="27" t="n"/>
      <c r="M158" s="37" t="n"/>
    </row>
    <row r="159" ht="15.75" customHeight="1" s="56">
      <c r="A159" s="37" t="inlineStr">
        <is>
          <t>305-2/BK-2025</t>
        </is>
      </c>
      <c r="B159" s="37" t="inlineStr">
        <is>
          <t>BK-HS-0165</t>
        </is>
      </c>
      <c r="C159" s="37" t="inlineStr">
        <is>
          <t>Đoàn Trọng Ân</t>
        </is>
      </c>
      <c r="D159" s="37" t="inlineStr">
        <is>
          <t>Phòng Đo đạc</t>
        </is>
      </c>
      <c r="E159" s="37" t="inlineStr">
        <is>
          <t>Tách Thửa</t>
        </is>
      </c>
      <c r="F159" s="27" t="n">
        <v>46010</v>
      </c>
      <c r="G159" s="29" t="n">
        <v>24000000</v>
      </c>
      <c r="H159" s="29" t="n">
        <v>12000000</v>
      </c>
      <c r="I159" s="29">
        <f>IF(G159="","",G159-H159)</f>
        <v/>
      </c>
      <c r="J159" s="37">
        <f>IF(A159="","",IF(I159&lt;=0,"Đã tất toán",IF(L159&lt;TODAY(),"Quá hạn","Còn nợ")))</f>
        <v/>
      </c>
      <c r="K159" s="37" t="inlineStr">
        <is>
          <t>Công Ty</t>
        </is>
      </c>
      <c r="L159" s="27" t="n"/>
      <c r="M159" s="37" t="n"/>
    </row>
    <row r="160" ht="15.75" customHeight="1" s="56">
      <c r="A160" s="37" t="inlineStr">
        <is>
          <t>656/BK-2025</t>
        </is>
      </c>
      <c r="B160" s="37" t="inlineStr">
        <is>
          <t>BK-HS-0164</t>
        </is>
      </c>
      <c r="C160" s="37" t="inlineStr">
        <is>
          <t>Nguyễn Trương - Nguyễn Thị Ba</t>
        </is>
      </c>
      <c r="D160" s="37" t="inlineStr">
        <is>
          <t>Phòng Đo đạc</t>
        </is>
      </c>
      <c r="E160" s="37" t="inlineStr">
        <is>
          <t>Hoàn công</t>
        </is>
      </c>
      <c r="F160" s="27" t="n">
        <v>46012</v>
      </c>
      <c r="G160" s="29" t="n">
        <v>10000000</v>
      </c>
      <c r="H160" s="29" t="n">
        <v>5000000</v>
      </c>
      <c r="I160" s="29">
        <f>IF(G160="","",G160-H160)</f>
        <v/>
      </c>
      <c r="J160" s="37">
        <f>IF(A160="","",IF(I160&lt;=0,"Đã tất toán",IF(L160&lt;TODAY(),"Quá hạn","Còn nợ")))</f>
        <v/>
      </c>
      <c r="K160" s="37" t="inlineStr">
        <is>
          <t>Công Ty</t>
        </is>
      </c>
      <c r="L160" s="27" t="n"/>
      <c r="M160" s="37" t="n"/>
    </row>
    <row r="161" ht="15.75" customHeight="1" s="56">
      <c r="A161" s="37" t="inlineStr">
        <is>
          <t>657/BK-2025</t>
        </is>
      </c>
      <c r="B161" s="37" t="inlineStr">
        <is>
          <t>BK-HS-0163</t>
        </is>
      </c>
      <c r="C161" s="37" t="inlineStr">
        <is>
          <t>Chung Thị Kim Anh</t>
        </is>
      </c>
      <c r="D161" s="37" t="inlineStr">
        <is>
          <t>Phòng Đo đạc</t>
        </is>
      </c>
      <c r="E161" s="37" t="inlineStr">
        <is>
          <t>Cấp sổ lần đầu</t>
        </is>
      </c>
      <c r="F161" s="27" t="n">
        <v>46012</v>
      </c>
      <c r="G161" s="29" t="n">
        <v>9000000</v>
      </c>
      <c r="H161" s="29" t="n">
        <v>9000000</v>
      </c>
      <c r="I161" s="29">
        <f>IF(G161="","",G161-H161)</f>
        <v/>
      </c>
      <c r="J161" s="37">
        <f>IF(A161="","",IF(I161&lt;=0,"Đã tất toán",IF(L161&lt;TODAY(),"Quá hạn","Còn nợ")))</f>
        <v/>
      </c>
      <c r="K161" s="37" t="inlineStr">
        <is>
          <t>Đạt Việt Phát Land</t>
        </is>
      </c>
      <c r="L161" s="27" t="n"/>
      <c r="M161" s="37" t="n"/>
    </row>
    <row r="162" ht="15.75" customHeight="1" s="56">
      <c r="A162" s="37" t="inlineStr">
        <is>
          <t>658/BK-2025</t>
        </is>
      </c>
      <c r="B162" s="37" t="inlineStr">
        <is>
          <t>BK-HS-0162</t>
        </is>
      </c>
      <c r="C162" s="37" t="inlineStr">
        <is>
          <t>Nguyễn Lưu Như Ý</t>
        </is>
      </c>
      <c r="D162" s="37" t="inlineStr">
        <is>
          <t>Phòng Đo đạc</t>
        </is>
      </c>
      <c r="E162" s="37" t="inlineStr">
        <is>
          <t>Cấp đổi</t>
        </is>
      </c>
      <c r="F162" s="27" t="n">
        <v>46012</v>
      </c>
      <c r="G162" s="29" t="n">
        <v>10000000</v>
      </c>
      <c r="H162" s="29" t="n">
        <v>5000000</v>
      </c>
      <c r="I162" s="29">
        <f>IF(G162="","",G162-H162)</f>
        <v/>
      </c>
      <c r="J162" s="37">
        <f>IF(A162="","",IF(I162&lt;=0,"Đã tất toán",IF(L162&lt;TODAY(),"Quá hạn","Còn nợ")))</f>
        <v/>
      </c>
      <c r="K162" s="37" t="inlineStr">
        <is>
          <t>Công Ty</t>
        </is>
      </c>
      <c r="L162" s="27" t="n"/>
      <c r="M162" s="37" t="n"/>
    </row>
    <row r="163" ht="15.75" customHeight="1" s="56">
      <c r="A163" s="37" t="inlineStr">
        <is>
          <t>659/BK-2025</t>
        </is>
      </c>
      <c r="B163" s="37" t="inlineStr">
        <is>
          <t>BK-HS-0161</t>
        </is>
      </c>
      <c r="C163" s="37" t="inlineStr">
        <is>
          <t>Chu Trần Trọng</t>
        </is>
      </c>
      <c r="D163" s="37" t="inlineStr">
        <is>
          <t>Phòng Đo đạc</t>
        </is>
      </c>
      <c r="E163" s="37" t="inlineStr">
        <is>
          <t>Cấp đổi</t>
        </is>
      </c>
      <c r="F163" s="27" t="n">
        <v>46012</v>
      </c>
      <c r="G163" s="29" t="n">
        <v>12000000</v>
      </c>
      <c r="H163" s="29" t="n">
        <v>12000000</v>
      </c>
      <c r="I163" s="29">
        <f>IF(G163="","",G163-H163)</f>
        <v/>
      </c>
      <c r="J163" s="37">
        <f>IF(A163="","",IF(I163&lt;=0,"Đã tất toán",IF(L163&lt;TODAY(),"Quá hạn","Còn nợ")))</f>
        <v/>
      </c>
      <c r="K163" s="37" t="inlineStr">
        <is>
          <t>Công Ty</t>
        </is>
      </c>
      <c r="L163" s="27" t="n"/>
      <c r="M163" s="37" t="n"/>
    </row>
    <row r="164" ht="15.75" customHeight="1" s="56">
      <c r="A164" s="37" t="inlineStr">
        <is>
          <t>597-1/BK-2025</t>
        </is>
      </c>
      <c r="B164" s="37" t="inlineStr">
        <is>
          <t>BK-HS-0160</t>
        </is>
      </c>
      <c r="C164" s="37" t="inlineStr">
        <is>
          <t>Trần Thuỳ Giang</t>
        </is>
      </c>
      <c r="D164" s="37" t="inlineStr">
        <is>
          <t>Phòng Đo đạc</t>
        </is>
      </c>
      <c r="E164" s="37" t="inlineStr">
        <is>
          <t>Cắm mốc</t>
        </is>
      </c>
      <c r="F164" s="27" t="n">
        <v>46012</v>
      </c>
      <c r="G164" s="29" t="n">
        <v>1</v>
      </c>
      <c r="H164" s="29" t="n">
        <v>1</v>
      </c>
      <c r="I164" s="29">
        <f>IF(G164="","",G164-H164)</f>
        <v/>
      </c>
      <c r="J164" s="37">
        <f>IF(A164="","",IF(I164&lt;=0,"Đã tất toán",IF(L164&lt;TODAY(),"Quá hạn","Còn nợ")))</f>
        <v/>
      </c>
      <c r="K164" s="37" t="inlineStr">
        <is>
          <t>Công Ty</t>
        </is>
      </c>
      <c r="L164" s="27" t="n"/>
      <c r="M164" s="37" t="n"/>
    </row>
    <row r="165" ht="15.75" customHeight="1" s="56">
      <c r="A165" s="37" t="inlineStr">
        <is>
          <t>651-1/BK-2025</t>
        </is>
      </c>
      <c r="B165" s="37" t="inlineStr">
        <is>
          <t>BK-HS-0159</t>
        </is>
      </c>
      <c r="C165" s="37" t="inlineStr">
        <is>
          <t>Võ Thị Thanh</t>
        </is>
      </c>
      <c r="D165" s="37" t="inlineStr">
        <is>
          <t>Phòng Đo đạc</t>
        </is>
      </c>
      <c r="E165" s="37" t="inlineStr">
        <is>
          <t>Cắm mốc</t>
        </is>
      </c>
      <c r="F165" s="27" t="n">
        <v>46013</v>
      </c>
      <c r="G165" s="29" t="n">
        <v>1</v>
      </c>
      <c r="H165" s="29" t="n">
        <v>1</v>
      </c>
      <c r="I165" s="29">
        <f>IF(G165="","",G165-H165)</f>
        <v/>
      </c>
      <c r="J165" s="37">
        <f>IF(A165="","",IF(I165&lt;=0,"Đã tất toán",IF(L165&lt;TODAY(),"Quá hạn","Còn nợ")))</f>
        <v/>
      </c>
      <c r="K165" s="37" t="inlineStr">
        <is>
          <t>Công Ty</t>
        </is>
      </c>
      <c r="L165" s="27" t="n"/>
      <c r="M165" s="37" t="n"/>
    </row>
    <row r="166" ht="15.75" customHeight="1" s="56">
      <c r="A166" s="37" t="inlineStr">
        <is>
          <t>660/BK-2025</t>
        </is>
      </c>
      <c r="B166" s="37" t="inlineStr">
        <is>
          <t>BK-HS-0158</t>
        </is>
      </c>
      <c r="C166" s="37" t="inlineStr">
        <is>
          <t>Nguyễn Hữu Nam</t>
        </is>
      </c>
      <c r="D166" s="37" t="inlineStr">
        <is>
          <t>Phòng Đo đạc</t>
        </is>
      </c>
      <c r="E166" s="37" t="inlineStr">
        <is>
          <t>Cấp đổi</t>
        </is>
      </c>
      <c r="F166" s="27" t="n">
        <v>46014</v>
      </c>
      <c r="G166" s="29" t="n">
        <v>1000000</v>
      </c>
      <c r="H166" s="29" t="n">
        <v>0</v>
      </c>
      <c r="I166" s="29">
        <f>IF(G166="","",G166-H166)</f>
        <v/>
      </c>
      <c r="J166" s="37">
        <f>IF(A166="","",IF(I166&lt;=0,"Đã tất toán",IF(L166&lt;TODAY(),"Quá hạn","Còn nợ")))</f>
        <v/>
      </c>
      <c r="K166" s="37" t="inlineStr">
        <is>
          <t>Đạt Việt Phát Land</t>
        </is>
      </c>
      <c r="L166" s="27" t="n"/>
      <c r="M166" s="37" t="n"/>
    </row>
    <row r="167" ht="15.75" customHeight="1" s="56">
      <c r="A167" s="37" t="inlineStr">
        <is>
          <t>661/BK-2025</t>
        </is>
      </c>
      <c r="B167" s="37" t="inlineStr">
        <is>
          <t>BK-HS-0157</t>
        </is>
      </c>
      <c r="C167" s="37" t="inlineStr">
        <is>
          <t>Nguyễn Văn Quân</t>
        </is>
      </c>
      <c r="D167" s="37" t="inlineStr">
        <is>
          <t>Phòng Đo đạc</t>
        </is>
      </c>
      <c r="E167" s="37" t="inlineStr">
        <is>
          <t>Cấp đổi</t>
        </is>
      </c>
      <c r="F167" s="27" t="n">
        <v>46014</v>
      </c>
      <c r="G167" s="29" t="n">
        <v>10000000</v>
      </c>
      <c r="H167" s="29" t="n">
        <v>5000000</v>
      </c>
      <c r="I167" s="29">
        <f>IF(G167="","",G167-H167)</f>
        <v/>
      </c>
      <c r="J167" s="37">
        <f>IF(A167="","",IF(I167&lt;=0,"Đã tất toán",IF(L167&lt;TODAY(),"Quá hạn","Còn nợ")))</f>
        <v/>
      </c>
      <c r="K167" s="37" t="inlineStr">
        <is>
          <t>Công Ty</t>
        </is>
      </c>
      <c r="L167" s="27" t="n"/>
      <c r="M167" s="37" t="n"/>
    </row>
    <row r="168" ht="15.75" customHeight="1" s="56">
      <c r="A168" s="37" t="inlineStr">
        <is>
          <t>508-1/BK-2025</t>
        </is>
      </c>
      <c r="B168" s="37" t="inlineStr">
        <is>
          <t>BK-HS-0156</t>
        </is>
      </c>
      <c r="C168" s="37" t="inlineStr">
        <is>
          <t>Trần Nguyễn Uyên Thanh Aka Tran Vivian</t>
        </is>
      </c>
      <c r="D168" s="37" t="inlineStr">
        <is>
          <t>Phòng Đo đạc</t>
        </is>
      </c>
      <c r="E168" s="37" t="inlineStr">
        <is>
          <t>Cắm mốc</t>
        </is>
      </c>
      <c r="F168" s="27" t="n">
        <v>46017</v>
      </c>
      <c r="G168" s="29" t="n">
        <v>7000000</v>
      </c>
      <c r="H168" s="29" t="n">
        <v>7000000</v>
      </c>
      <c r="I168" s="29">
        <f>IF(G168="","",G168-H168)</f>
        <v/>
      </c>
      <c r="J168" s="37">
        <f>IF(A168="","",IF(I168&lt;=0,"Đã tất toán",IF(L168&lt;TODAY(),"Quá hạn","Còn nợ")))</f>
        <v/>
      </c>
      <c r="K168" s="37" t="inlineStr">
        <is>
          <t>Công Ty</t>
        </is>
      </c>
      <c r="L168" s="27" t="n"/>
      <c r="M168" s="37" t="n"/>
    </row>
    <row r="169" ht="15.75" customHeight="1" s="56">
      <c r="A169" s="37" t="inlineStr">
        <is>
          <t>518-3/BK-2025</t>
        </is>
      </c>
      <c r="B169" s="37" t="inlineStr">
        <is>
          <t>BK-HS-0155</t>
        </is>
      </c>
      <c r="C169" s="37" t="inlineStr">
        <is>
          <t>Nguyễn Thanh Hải - Nguyễn Thị Bé</t>
        </is>
      </c>
      <c r="D169" s="37" t="inlineStr">
        <is>
          <t>Phòng Đo đạc</t>
        </is>
      </c>
      <c r="E169" s="37" t="inlineStr">
        <is>
          <t>Cắm mốc</t>
        </is>
      </c>
      <c r="F169" s="27" t="n">
        <v>46017</v>
      </c>
      <c r="G169" s="29" t="n">
        <v>2700000</v>
      </c>
      <c r="H169" s="29" t="n">
        <v>2700000</v>
      </c>
      <c r="I169" s="29">
        <f>IF(G169="","",G169-H169)</f>
        <v/>
      </c>
      <c r="J169" s="37">
        <f>IF(A169="","",IF(I169&lt;=0,"Đã tất toán",IF(L169&lt;TODAY(),"Quá hạn","Còn nợ")))</f>
        <v/>
      </c>
      <c r="K169" s="37" t="inlineStr">
        <is>
          <t>Chị Xuân DV</t>
        </is>
      </c>
      <c r="L169" s="27" t="n"/>
      <c r="M169" s="37" t="n"/>
    </row>
    <row r="170" ht="15.75" customHeight="1" s="56">
      <c r="A170" s="37" t="inlineStr">
        <is>
          <t>662/BK-2025</t>
        </is>
      </c>
      <c r="B170" s="37" t="inlineStr">
        <is>
          <t>BK-HS-0154</t>
        </is>
      </c>
      <c r="C170" s="37" t="inlineStr">
        <is>
          <t>Anh Tiếp (Dragon)</t>
        </is>
      </c>
      <c r="D170" s="37" t="inlineStr">
        <is>
          <t>Phòng Đo đạc</t>
        </is>
      </c>
      <c r="E170" s="37" t="inlineStr">
        <is>
          <t>Cắm mốc</t>
        </is>
      </c>
      <c r="F170" s="27" t="n">
        <v>46015</v>
      </c>
      <c r="G170" s="29" t="n">
        <v>3500000</v>
      </c>
      <c r="H170" s="29" t="n">
        <v>3500000</v>
      </c>
      <c r="I170" s="29">
        <f>IF(G170="","",G170-H170)</f>
        <v/>
      </c>
      <c r="J170" s="37">
        <f>IF(A170="","",IF(I170&lt;=0,"Đã tất toán",IF(L170&lt;TODAY(),"Quá hạn","Còn nợ")))</f>
        <v/>
      </c>
      <c r="K170" s="37" t="inlineStr">
        <is>
          <t>Công Ty</t>
        </is>
      </c>
      <c r="L170" s="27" t="n"/>
      <c r="M170" s="37" t="n"/>
    </row>
    <row r="171" ht="15.75" customHeight="1" s="56">
      <c r="A171" s="37" t="inlineStr">
        <is>
          <t>663/BK-2025</t>
        </is>
      </c>
      <c r="B171" s="37" t="inlineStr">
        <is>
          <t>BK-HS-0153</t>
        </is>
      </c>
      <c r="C171" s="37" t="inlineStr">
        <is>
          <t>Nguyễn Hồng Xuân</t>
        </is>
      </c>
      <c r="D171" s="37" t="inlineStr">
        <is>
          <t>Phòng Đo đạc</t>
        </is>
      </c>
      <c r="E171" s="37" t="inlineStr">
        <is>
          <t>Xác định diện tích</t>
        </is>
      </c>
      <c r="F171" s="27" t="n">
        <v>46017</v>
      </c>
      <c r="G171" s="29" t="n">
        <v>1</v>
      </c>
      <c r="H171" s="29" t="n">
        <v>0</v>
      </c>
      <c r="I171" s="29">
        <f>IF(G171="","",G171-H171)</f>
        <v/>
      </c>
      <c r="J171" s="37">
        <f>IF(A171="","",IF(I171&lt;=0,"Đã tất toán",IF(L171&lt;TODAY(),"Quá hạn","Còn nợ")))</f>
        <v/>
      </c>
      <c r="K171" s="37" t="inlineStr">
        <is>
          <t>Nguyễn Hương DV</t>
        </is>
      </c>
      <c r="L171" s="27" t="n"/>
      <c r="M171" s="37" t="n"/>
    </row>
    <row r="172" ht="15.75" customHeight="1" s="56">
      <c r="A172" s="37" t="inlineStr">
        <is>
          <t>664/BK-2025</t>
        </is>
      </c>
      <c r="B172" s="37" t="inlineStr">
        <is>
          <t>BK-HS-0152</t>
        </is>
      </c>
      <c r="C172" s="37" t="inlineStr">
        <is>
          <t>Trương Thị Thu Hằng</t>
        </is>
      </c>
      <c r="D172" s="37" t="inlineStr">
        <is>
          <t>Phòng Đo đạc</t>
        </is>
      </c>
      <c r="E172" s="37" t="inlineStr">
        <is>
          <t>Cấp đổi</t>
        </is>
      </c>
      <c r="F172" s="27" t="n">
        <v>46017</v>
      </c>
      <c r="G172" s="29" t="n">
        <v>1</v>
      </c>
      <c r="H172" s="29" t="n">
        <v>0</v>
      </c>
      <c r="I172" s="29">
        <f>IF(G172="","",G172-H172)</f>
        <v/>
      </c>
      <c r="J172" s="37">
        <f>IF(A172="","",IF(I172&lt;=0,"Đã tất toán",IF(L172&lt;TODAY(),"Quá hạn","Còn nợ")))</f>
        <v/>
      </c>
      <c r="K172" s="37" t="inlineStr">
        <is>
          <t>Nguyễn Hương DV</t>
        </is>
      </c>
      <c r="L172" s="27" t="n"/>
      <c r="M172" s="37" t="n"/>
    </row>
    <row r="173" ht="15.75" customHeight="1" s="56">
      <c r="A173" s="37" t="inlineStr">
        <is>
          <t>574-DC/BK-2025</t>
        </is>
      </c>
      <c r="B173" s="37" t="inlineStr">
        <is>
          <t>BK-HS-0151</t>
        </is>
      </c>
      <c r="C173" s="37" t="inlineStr">
        <is>
          <t>Bùi Hà Anh</t>
        </is>
      </c>
      <c r="D173" s="37" t="inlineStr">
        <is>
          <t>Phòng Đo đạc</t>
        </is>
      </c>
      <c r="E173" s="37" t="inlineStr">
        <is>
          <t>Điều chỉnh bản vẽ</t>
        </is>
      </c>
      <c r="F173" s="27" t="n">
        <v>46018</v>
      </c>
      <c r="G173" s="29" t="n">
        <v>4500000</v>
      </c>
      <c r="H173" s="29" t="n">
        <v>4500000</v>
      </c>
      <c r="I173" s="29">
        <f>IF(G173="","",G173-H173)</f>
        <v/>
      </c>
      <c r="J173" s="37">
        <f>IF(A173="","",IF(I173&lt;=0,"Đã tất toán",IF(L173&lt;TODAY(),"Quá hạn","Còn nợ")))</f>
        <v/>
      </c>
      <c r="K173" s="37" t="inlineStr">
        <is>
          <t>Công Ty</t>
        </is>
      </c>
      <c r="L173" s="27" t="n"/>
      <c r="M173" s="37" t="n"/>
    </row>
    <row r="174" ht="15.75" customHeight="1" s="56">
      <c r="A174" s="37" t="inlineStr">
        <is>
          <t>658-1/BK-2025</t>
        </is>
      </c>
      <c r="B174" s="37" t="inlineStr">
        <is>
          <t>BK-HS-0150</t>
        </is>
      </c>
      <c r="C174" s="37" t="inlineStr">
        <is>
          <t>Nguyễn Lưu Như Ý</t>
        </is>
      </c>
      <c r="D174" s="37" t="inlineStr">
        <is>
          <t>Phòng Đo đạc</t>
        </is>
      </c>
      <c r="E174" s="37" t="inlineStr">
        <is>
          <t>Đo GPS</t>
        </is>
      </c>
      <c r="F174" s="27" t="n">
        <v>46018</v>
      </c>
      <c r="G174" s="29" t="n">
        <v>1</v>
      </c>
      <c r="H174" s="29" t="n">
        <v>1</v>
      </c>
      <c r="I174" s="29">
        <f>IF(G174="","",G174-H174)</f>
        <v/>
      </c>
      <c r="J174" s="37">
        <f>IF(A174="","",IF(I174&lt;=0,"Đã tất toán",IF(L174&lt;TODAY(),"Quá hạn","Còn nợ")))</f>
        <v/>
      </c>
      <c r="K174" s="37" t="inlineStr">
        <is>
          <t>Công Ty</t>
        </is>
      </c>
      <c r="L174" s="27" t="n"/>
      <c r="M174" s="37" t="n"/>
    </row>
    <row r="175" ht="15.75" customHeight="1" s="56">
      <c r="A175" s="37" t="inlineStr">
        <is>
          <t>665/BK-2025</t>
        </is>
      </c>
      <c r="B175" s="37" t="inlineStr">
        <is>
          <t>BK-HS-0149</t>
        </is>
      </c>
      <c r="C175" s="37" t="inlineStr">
        <is>
          <t>Hộ Lê Huỳnh</t>
        </is>
      </c>
      <c r="D175" s="37" t="inlineStr">
        <is>
          <t>Phòng Đo đạc</t>
        </is>
      </c>
      <c r="E175" s="37" t="inlineStr">
        <is>
          <t>Cấp đổi</t>
        </is>
      </c>
      <c r="F175" s="27" t="n">
        <v>46018</v>
      </c>
      <c r="G175" s="29" t="n">
        <v>15000000</v>
      </c>
      <c r="H175" s="29" t="n">
        <v>0</v>
      </c>
      <c r="I175" s="29">
        <f>IF(G175="","",G175-H175)</f>
        <v/>
      </c>
      <c r="J175" s="37">
        <f>IF(A175="","",IF(I175&lt;=0,"Đã tất toán",IF(L175&lt;TODAY(),"Quá hạn","Còn nợ")))</f>
        <v/>
      </c>
      <c r="K175" s="37" t="inlineStr">
        <is>
          <t>Công Ty</t>
        </is>
      </c>
      <c r="L175" s="27" t="n"/>
      <c r="M175" s="37" t="n"/>
    </row>
    <row r="176" ht="15.75" customHeight="1" s="56">
      <c r="A176" s="37" t="inlineStr">
        <is>
          <t>665-1/BK-2025</t>
        </is>
      </c>
      <c r="B176" s="37" t="inlineStr">
        <is>
          <t>BK-HS-0148</t>
        </is>
      </c>
      <c r="C176" s="37" t="inlineStr">
        <is>
          <t>Hộ Lê Huỳnh</t>
        </is>
      </c>
      <c r="D176" s="37" t="inlineStr">
        <is>
          <t>Phòng Đo đạc</t>
        </is>
      </c>
      <c r="E176" s="37" t="inlineStr">
        <is>
          <t>Đo GPS</t>
        </is>
      </c>
      <c r="F176" s="27" t="n">
        <v>46018</v>
      </c>
      <c r="G176" s="29" t="n">
        <v>1</v>
      </c>
      <c r="H176" s="29" t="n">
        <v>1</v>
      </c>
      <c r="I176" s="29">
        <f>IF(G176="","",G176-H176)</f>
        <v/>
      </c>
      <c r="J176" s="37">
        <f>IF(A176="","",IF(I176&lt;=0,"Đã tất toán",IF(L176&lt;TODAY(),"Quá hạn","Còn nợ")))</f>
        <v/>
      </c>
      <c r="K176" s="37" t="inlineStr">
        <is>
          <t>Công Ty</t>
        </is>
      </c>
      <c r="L176" s="27" t="n"/>
      <c r="M176" s="37" t="n"/>
    </row>
    <row r="177" ht="15.75" customHeight="1" s="56">
      <c r="A177" s="37" t="inlineStr">
        <is>
          <t>665-2/BK-2025</t>
        </is>
      </c>
      <c r="B177" s="37" t="inlineStr">
        <is>
          <t>BK-HS-0147</t>
        </is>
      </c>
      <c r="C177" s="37" t="inlineStr">
        <is>
          <t>Hộ Lê Huỳnh</t>
        </is>
      </c>
      <c r="D177" s="37" t="inlineStr">
        <is>
          <t>Phòng Đo đạc</t>
        </is>
      </c>
      <c r="E177" s="37" t="inlineStr">
        <is>
          <t>Cắm mốc</t>
        </is>
      </c>
      <c r="F177" s="27" t="n">
        <v>46016</v>
      </c>
      <c r="G177" s="29" t="n">
        <v>6400000</v>
      </c>
      <c r="H177" s="29" t="n">
        <v>0</v>
      </c>
      <c r="I177" s="29">
        <f>IF(G177="","",G177-H177)</f>
        <v/>
      </c>
      <c r="J177" s="37">
        <f>IF(A177="","",IF(I177&lt;=0,"Đã tất toán",IF(L177&lt;TODAY(),"Quá hạn","Còn nợ")))</f>
        <v/>
      </c>
      <c r="K177" s="37" t="inlineStr">
        <is>
          <t>Công Ty</t>
        </is>
      </c>
      <c r="L177" s="27" t="n"/>
      <c r="M177" s="37" t="n"/>
    </row>
    <row r="178" ht="15.75" customHeight="1" s="56">
      <c r="A178" s="37" t="inlineStr">
        <is>
          <t>666/BK-2025</t>
        </is>
      </c>
      <c r="B178" s="37" t="inlineStr">
        <is>
          <t>BK-HS-0146</t>
        </is>
      </c>
      <c r="C178" s="37" t="inlineStr">
        <is>
          <t>XDDT Anh Đạt</t>
        </is>
      </c>
      <c r="D178" s="37" t="inlineStr">
        <is>
          <t>Phòng Đo đạc</t>
        </is>
      </c>
      <c r="E178" s="37" t="inlineStr">
        <is>
          <t>Xác định diện tích</t>
        </is>
      </c>
      <c r="F178" s="27" t="n">
        <v>46019</v>
      </c>
      <c r="G178" s="29" t="n">
        <v>3000000</v>
      </c>
      <c r="H178" s="29" t="n">
        <v>3000000</v>
      </c>
      <c r="I178" s="29">
        <f>IF(G178="","",G178-H178)</f>
        <v/>
      </c>
      <c r="J178" s="37">
        <f>IF(A178="","",IF(I178&lt;=0,"Đã tất toán",IF(L178&lt;TODAY(),"Quá hạn","Còn nợ")))</f>
        <v/>
      </c>
      <c r="K178" s="37" t="inlineStr">
        <is>
          <t>Đạt Việt Phát Land</t>
        </is>
      </c>
      <c r="L178" s="27" t="n"/>
      <c r="M178" s="37" t="n"/>
    </row>
    <row r="179" ht="15.75" customHeight="1" s="56">
      <c r="A179" s="37" t="inlineStr">
        <is>
          <t>652-5/BK-2025</t>
        </is>
      </c>
      <c r="B179" s="37" t="inlineStr">
        <is>
          <t>BK-HS-0145</t>
        </is>
      </c>
      <c r="C179" s="37" t="inlineStr">
        <is>
          <t>Nguyễn Thanh Hải - Nguyễn Thị Bé Năm</t>
        </is>
      </c>
      <c r="D179" s="37" t="inlineStr">
        <is>
          <t>Phòng Đo đạc</t>
        </is>
      </c>
      <c r="E179" s="37" t="inlineStr">
        <is>
          <t>Cắm mốc</t>
        </is>
      </c>
      <c r="F179" s="27" t="n">
        <v>46020</v>
      </c>
      <c r="G179" s="29" t="n">
        <v>2000000</v>
      </c>
      <c r="H179" s="29" t="n">
        <v>2000000</v>
      </c>
      <c r="I179" s="29">
        <f>IF(G179="","",G179-H179)</f>
        <v/>
      </c>
      <c r="J179" s="37">
        <f>IF(A179="","",IF(I179&lt;=0,"Đã tất toán",IF(L179&lt;TODAY(),"Quá hạn","Còn nợ")))</f>
        <v/>
      </c>
      <c r="K179" s="37" t="inlineStr">
        <is>
          <t>Chị Xuân DV</t>
        </is>
      </c>
      <c r="L179" s="27" t="n"/>
      <c r="M179" s="37" t="n"/>
    </row>
    <row r="180" ht="15.75" customHeight="1" s="56">
      <c r="A180" s="37" t="inlineStr">
        <is>
          <t>XĐDT 116/BK-2025</t>
        </is>
      </c>
      <c r="B180" s="37" t="inlineStr">
        <is>
          <t>BK-HS-0144</t>
        </is>
      </c>
      <c r="C180" s="37" t="inlineStr">
        <is>
          <t>Lại Quốc Huy</t>
        </is>
      </c>
      <c r="D180" s="37" t="inlineStr">
        <is>
          <t>Phòng Đo đạc</t>
        </is>
      </c>
      <c r="E180" s="37" t="inlineStr">
        <is>
          <t>Xác định diện tích</t>
        </is>
      </c>
      <c r="F180" s="27" t="n">
        <v>46020</v>
      </c>
      <c r="G180" s="29" t="n">
        <v>1</v>
      </c>
      <c r="H180" s="29" t="n">
        <v>1</v>
      </c>
      <c r="I180" s="29">
        <f>IF(G180="","",G180-H180)</f>
        <v/>
      </c>
      <c r="J180" s="37">
        <f>IF(A180="","",IF(I180&lt;=0,"Đã tất toán",IF(L180&lt;TODAY(),"Quá hạn","Còn nợ")))</f>
        <v/>
      </c>
      <c r="K180" s="37" t="inlineStr">
        <is>
          <t>Công Ty</t>
        </is>
      </c>
      <c r="L180" s="27" t="n"/>
      <c r="M180" s="37" t="n"/>
    </row>
    <row r="181" ht="15.75" customHeight="1" s="56">
      <c r="A181" s="37" t="inlineStr">
        <is>
          <t>667/BK-2025</t>
        </is>
      </c>
      <c r="B181" s="37" t="inlineStr">
        <is>
          <t>BK-HS-0143</t>
        </is>
      </c>
      <c r="C181" s="37" t="inlineStr">
        <is>
          <t>Nguyễn Văn Biên</t>
        </is>
      </c>
      <c r="D181" s="37" t="inlineStr">
        <is>
          <t>Phòng Đo đạc</t>
        </is>
      </c>
      <c r="E181" s="37" t="inlineStr">
        <is>
          <t>Cấp đổi</t>
        </is>
      </c>
      <c r="F181" s="27" t="n">
        <v>46020</v>
      </c>
      <c r="G181" s="29" t="n">
        <v>45000000</v>
      </c>
      <c r="H181" s="29" t="n">
        <v>15000000</v>
      </c>
      <c r="I181" s="29">
        <f>IF(G181="","",G181-H181)</f>
        <v/>
      </c>
      <c r="J181" s="37">
        <f>IF(A181="","",IF(I181&lt;=0,"Đã tất toán",IF(L181&lt;TODAY(),"Quá hạn","Còn nợ")))</f>
        <v/>
      </c>
      <c r="K181" s="37" t="inlineStr">
        <is>
          <t>Công Ty</t>
        </is>
      </c>
      <c r="L181" s="27" t="n"/>
      <c r="M181" s="37" t="n"/>
    </row>
    <row r="182" ht="15.75" customHeight="1" s="56">
      <c r="A182" s="37" t="inlineStr">
        <is>
          <t>668/BK-2025</t>
        </is>
      </c>
      <c r="B182" s="37" t="inlineStr">
        <is>
          <t>BK-HS-0142</t>
        </is>
      </c>
      <c r="C182" s="37" t="inlineStr">
        <is>
          <t>Phạm Thị Minh Uyên</t>
        </is>
      </c>
      <c r="D182" s="37" t="inlineStr">
        <is>
          <t>Phòng Đo đạc</t>
        </is>
      </c>
      <c r="E182" s="37" t="inlineStr">
        <is>
          <t>Cấp đổi</t>
        </is>
      </c>
      <c r="F182" s="27" t="n">
        <v>46023</v>
      </c>
      <c r="G182" s="29" t="n">
        <v>35000000</v>
      </c>
      <c r="H182" s="29" t="n">
        <v>0</v>
      </c>
      <c r="I182" s="29">
        <f>IF(G182="","",G182-H182)</f>
        <v/>
      </c>
      <c r="J182" s="37">
        <f>IF(A182="","",IF(I182&lt;=0,"Đã tất toán",IF(L182&lt;TODAY(),"Quá hạn","Còn nợ")))</f>
        <v/>
      </c>
      <c r="K182" s="37" t="inlineStr">
        <is>
          <t>Công Ty</t>
        </is>
      </c>
      <c r="L182" s="27" t="n"/>
      <c r="M182" s="37" t="n"/>
    </row>
    <row r="183" ht="15.75" customHeight="1" s="56">
      <c r="A183" s="37" t="inlineStr">
        <is>
          <t>669/BK-2025</t>
        </is>
      </c>
      <c r="B183" s="37" t="inlineStr">
        <is>
          <t>BK-HS-0141</t>
        </is>
      </c>
      <c r="C183" s="37" t="inlineStr">
        <is>
          <t>Phan Ngọc Bắc</t>
        </is>
      </c>
      <c r="D183" s="37" t="inlineStr">
        <is>
          <t>Phòng Đo đạc</t>
        </is>
      </c>
      <c r="E183" s="37" t="inlineStr">
        <is>
          <t>Hoàn công</t>
        </is>
      </c>
      <c r="F183" s="27" t="n">
        <v>46023</v>
      </c>
      <c r="G183" s="29" t="n"/>
      <c r="H183" s="29" t="n">
        <v>0</v>
      </c>
      <c r="I183" s="29">
        <f>IF(G183="","",G183-H183)</f>
        <v/>
      </c>
      <c r="J183" s="37">
        <f>IF(A183="","",IF(I183&lt;=0,"Đã tất toán",IF(L183&lt;TODAY(),"Quá hạn","Còn nợ")))</f>
        <v/>
      </c>
      <c r="K183" s="37" t="inlineStr">
        <is>
          <t>Tùng Mập</t>
        </is>
      </c>
      <c r="L183" s="27" t="n"/>
      <c r="M183" s="37" t="n"/>
    </row>
    <row r="184" ht="15.75" customHeight="1" s="56">
      <c r="A184" s="37" t="inlineStr">
        <is>
          <t>670/BK-2025</t>
        </is>
      </c>
      <c r="B184" s="37" t="inlineStr">
        <is>
          <t>BK-HS-0140</t>
        </is>
      </c>
      <c r="C184" s="37" t="inlineStr">
        <is>
          <t>Hồ Trọng Dũng</t>
        </is>
      </c>
      <c r="D184" s="37" t="inlineStr">
        <is>
          <t>Phòng Đo đạc</t>
        </is>
      </c>
      <c r="E184" s="37" t="inlineStr">
        <is>
          <t>Hợp thửa</t>
        </is>
      </c>
      <c r="F184" s="27" t="n">
        <v>46023</v>
      </c>
      <c r="G184" s="29" t="n">
        <v>140000000</v>
      </c>
      <c r="H184" s="29" t="n">
        <v>30000000</v>
      </c>
      <c r="I184" s="29">
        <f>IF(G184="","",G184-H184)</f>
        <v/>
      </c>
      <c r="J184" s="37">
        <f>IF(A184="","",IF(I184&lt;=0,"Đã tất toán",IF(L184&lt;TODAY(),"Quá hạn","Còn nợ")))</f>
        <v/>
      </c>
      <c r="K184" s="37" t="inlineStr">
        <is>
          <t>Công Ty</t>
        </is>
      </c>
      <c r="L184" s="27" t="n"/>
      <c r="M184" s="37" t="n"/>
    </row>
    <row r="185" ht="15.75" customHeight="1" s="56">
      <c r="A185" s="37" t="inlineStr">
        <is>
          <t>671/BK-2025</t>
        </is>
      </c>
      <c r="B185" s="37" t="inlineStr">
        <is>
          <t>BK-HS-0139</t>
        </is>
      </c>
      <c r="C185" s="37" t="inlineStr">
        <is>
          <t>Nguyễn Thị Xuân Lan</t>
        </is>
      </c>
      <c r="D185" s="37" t="inlineStr">
        <is>
          <t>Phòng Đo đạc</t>
        </is>
      </c>
      <c r="E185" s="37" t="inlineStr">
        <is>
          <t>Hợp thửa</t>
        </is>
      </c>
      <c r="F185" s="27" t="n">
        <v>46023</v>
      </c>
      <c r="G185" s="29" t="n">
        <v>11000000</v>
      </c>
      <c r="H185" s="29" t="n">
        <v>3000000</v>
      </c>
      <c r="I185" s="29">
        <f>IF(G185="","",G185-H185)</f>
        <v/>
      </c>
      <c r="J185" s="37">
        <f>IF(A185="","",IF(I185&lt;=0,"Đã tất toán",IF(L185&lt;TODAY(),"Quá hạn","Còn nợ")))</f>
        <v/>
      </c>
      <c r="K185" s="37" t="inlineStr">
        <is>
          <t>Công Ty</t>
        </is>
      </c>
      <c r="L185" s="27" t="n"/>
      <c r="M185" s="37" t="n"/>
    </row>
    <row r="186" ht="15.75" customHeight="1" s="56">
      <c r="A186" s="37" t="inlineStr">
        <is>
          <t>672/BK-2025</t>
        </is>
      </c>
      <c r="B186" s="37" t="inlineStr">
        <is>
          <t>BK-HS-0138</t>
        </is>
      </c>
      <c r="C186" s="37" t="inlineStr">
        <is>
          <t>Nguyễn Văn Trưởng - Nguyễn Thị Thúy</t>
        </is>
      </c>
      <c r="D186" s="37" t="inlineStr">
        <is>
          <t>Phòng Đo đạc</t>
        </is>
      </c>
      <c r="E186" s="37" t="inlineStr">
        <is>
          <t>Cấp đổi</t>
        </is>
      </c>
      <c r="F186" s="27" t="n">
        <v>46023</v>
      </c>
      <c r="G186" s="29" t="n">
        <v>10000000</v>
      </c>
      <c r="H186" s="29" t="n">
        <v>5000000</v>
      </c>
      <c r="I186" s="29">
        <f>IF(G186="","",G186-H186)</f>
        <v/>
      </c>
      <c r="J186" s="37">
        <f>IF(A186="","",IF(I186&lt;=0,"Đã tất toán",IF(L186&lt;TODAY(),"Quá hạn","Còn nợ")))</f>
        <v/>
      </c>
      <c r="K186" s="37" t="inlineStr">
        <is>
          <t>Công Ty</t>
        </is>
      </c>
      <c r="L186" s="27" t="n"/>
      <c r="M186" s="37" t="n"/>
    </row>
    <row r="187" ht="15.75" customHeight="1" s="56">
      <c r="A187" s="37" t="inlineStr">
        <is>
          <t>673/BK-2025</t>
        </is>
      </c>
      <c r="B187" s="37" t="inlineStr">
        <is>
          <t>BK-HS-0137</t>
        </is>
      </c>
      <c r="C187" s="37" t="inlineStr">
        <is>
          <t>Phạm Thị Trang</t>
        </is>
      </c>
      <c r="D187" s="37" t="inlineStr">
        <is>
          <t>Phòng Đo đạc</t>
        </is>
      </c>
      <c r="E187" s="37" t="inlineStr">
        <is>
          <t>Hoàn công</t>
        </is>
      </c>
      <c r="F187" s="27" t="n">
        <v>46023</v>
      </c>
      <c r="G187" s="29" t="n">
        <v>55000000</v>
      </c>
      <c r="H187" s="29" t="n">
        <v>55000000</v>
      </c>
      <c r="I187" s="29">
        <f>IF(G187="","",G187-H187)</f>
        <v/>
      </c>
      <c r="J187" s="37">
        <f>IF(A187="","",IF(I187&lt;=0,"Đã tất toán",IF(L187&lt;TODAY(),"Quá hạn","Còn nợ")))</f>
        <v/>
      </c>
      <c r="K187" s="37" t="inlineStr">
        <is>
          <t>Công Ty</t>
        </is>
      </c>
      <c r="L187" s="27" t="n"/>
      <c r="M187" s="37" t="n"/>
    </row>
    <row r="188" ht="15.75" customHeight="1" s="56">
      <c r="A188" s="37" t="inlineStr">
        <is>
          <t>659-1/BK-2025</t>
        </is>
      </c>
      <c r="B188" s="37" t="inlineStr">
        <is>
          <t>BK-HS-0136</t>
        </is>
      </c>
      <c r="C188" s="37" t="inlineStr">
        <is>
          <t>Chu Trần Trọng</t>
        </is>
      </c>
      <c r="D188" s="37" t="inlineStr">
        <is>
          <t>Phòng Đo đạc</t>
        </is>
      </c>
      <c r="E188" s="37" t="inlineStr">
        <is>
          <t>Đo GPS</t>
        </is>
      </c>
      <c r="F188" s="27" t="n">
        <v>46023</v>
      </c>
      <c r="G188" s="29" t="n">
        <v>1</v>
      </c>
      <c r="H188" s="29" t="n">
        <v>1</v>
      </c>
      <c r="I188" s="29">
        <f>IF(G188="","",G188-H188)</f>
        <v/>
      </c>
      <c r="J188" s="37">
        <f>IF(A188="","",IF(I188&lt;=0,"Đã tất toán",IF(L188&lt;TODAY(),"Quá hạn","Còn nợ")))</f>
        <v/>
      </c>
      <c r="K188" s="37" t="inlineStr">
        <is>
          <t>Công Ty</t>
        </is>
      </c>
      <c r="L188" s="27" t="n"/>
      <c r="M188" s="37" t="n"/>
    </row>
    <row r="189" ht="15.75" customHeight="1" s="56">
      <c r="A189" s="37" t="inlineStr">
        <is>
          <t>632-DC/BK-2025</t>
        </is>
      </c>
      <c r="B189" s="37" t="inlineStr">
        <is>
          <t>BK-HS-0135</t>
        </is>
      </c>
      <c r="C189" s="37" t="inlineStr">
        <is>
          <t>Nguyễn Minh Chữ</t>
        </is>
      </c>
      <c r="D189" s="37" t="inlineStr">
        <is>
          <t>Phòng Đo đạc</t>
        </is>
      </c>
      <c r="E189" s="37" t="inlineStr">
        <is>
          <t>Điều chỉnh bản vẽ</t>
        </is>
      </c>
      <c r="F189" s="27" t="n">
        <v>46023</v>
      </c>
      <c r="G189" s="29" t="n">
        <v>1</v>
      </c>
      <c r="H189" s="29" t="n">
        <v>1</v>
      </c>
      <c r="I189" s="29">
        <f>IF(G189="","",G189-H189)</f>
        <v/>
      </c>
      <c r="J189" s="37">
        <f>IF(A189="","",IF(I189&lt;=0,"Đã tất toán",IF(L189&lt;TODAY(),"Quá hạn","Còn nợ")))</f>
        <v/>
      </c>
      <c r="K189" s="37" t="inlineStr">
        <is>
          <t>Chú Loan DV</t>
        </is>
      </c>
      <c r="L189" s="27" t="n"/>
      <c r="M189" s="37" t="n"/>
    </row>
    <row r="190" ht="15.75" customHeight="1" s="56">
      <c r="A190" s="37" t="inlineStr">
        <is>
          <t>674/BK-2025</t>
        </is>
      </c>
      <c r="B190" s="37" t="inlineStr">
        <is>
          <t>BK-HS-0134</t>
        </is>
      </c>
      <c r="C190" s="37" t="inlineStr">
        <is>
          <t>Nguyễn Văn Hải</t>
        </is>
      </c>
      <c r="D190" s="37" t="inlineStr">
        <is>
          <t>Phòng Đo đạc</t>
        </is>
      </c>
      <c r="E190" s="37" t="inlineStr">
        <is>
          <t>Điều chỉnh bản vẽ</t>
        </is>
      </c>
      <c r="F190" s="27" t="n">
        <v>46024</v>
      </c>
      <c r="G190" s="29" t="n">
        <v>10000000</v>
      </c>
      <c r="H190" s="29" t="n">
        <v>1</v>
      </c>
      <c r="I190" s="29">
        <f>IF(G190="","",G190-H190)</f>
        <v/>
      </c>
      <c r="J190" s="37">
        <f>IF(A190="","",IF(I190&lt;=0,"Đã tất toán",IF(L190&lt;TODAY(),"Quá hạn","Còn nợ")))</f>
        <v/>
      </c>
      <c r="K190" s="37" t="inlineStr">
        <is>
          <t>Cô Hoa</t>
        </is>
      </c>
      <c r="L190" s="27" t="n"/>
      <c r="M190" s="37" t="n"/>
    </row>
    <row r="191" ht="15.75" customHeight="1" s="56">
      <c r="A191" s="37" t="inlineStr">
        <is>
          <t>675/BK-2025</t>
        </is>
      </c>
      <c r="B191" s="37" t="inlineStr">
        <is>
          <t>BK-HS-0133</t>
        </is>
      </c>
      <c r="C191" s="37" t="inlineStr">
        <is>
          <t>Vũ Anh Tuấn</t>
        </is>
      </c>
      <c r="D191" s="37" t="inlineStr">
        <is>
          <t>Phòng Đo đạc</t>
        </is>
      </c>
      <c r="E191" s="37" t="inlineStr">
        <is>
          <t>Cắm mốc</t>
        </is>
      </c>
      <c r="F191" s="27" t="n">
        <v>46024</v>
      </c>
      <c r="G191" s="29" t="n">
        <v>3000000</v>
      </c>
      <c r="H191" s="29" t="n">
        <v>0</v>
      </c>
      <c r="I191" s="29">
        <f>IF(G191="","",G191-H191)</f>
        <v/>
      </c>
      <c r="J191" s="37">
        <f>IF(A191="","",IF(I191&lt;=0,"Đã tất toán",IF(L191&lt;TODAY(),"Quá hạn","Còn nợ")))</f>
        <v/>
      </c>
      <c r="K191" s="37" t="inlineStr">
        <is>
          <t>Công Ty</t>
        </is>
      </c>
      <c r="L191" s="27" t="n"/>
      <c r="M191" s="37" t="n"/>
    </row>
    <row r="192" ht="15.75" customHeight="1" s="56">
      <c r="A192" s="37" t="inlineStr">
        <is>
          <t>676/BK-2025</t>
        </is>
      </c>
      <c r="B192" s="37" t="inlineStr">
        <is>
          <t>BK-HS-0132</t>
        </is>
      </c>
      <c r="C192" s="37" t="inlineStr">
        <is>
          <t>Phạm Thị Giao Linh</t>
        </is>
      </c>
      <c r="D192" s="37" t="inlineStr">
        <is>
          <t>Phòng Đo đạc</t>
        </is>
      </c>
      <c r="E192" s="37" t="inlineStr">
        <is>
          <t>Cấp đổi</t>
        </is>
      </c>
      <c r="F192" s="27" t="n">
        <v>46024</v>
      </c>
      <c r="G192" s="29" t="n">
        <v>13000000</v>
      </c>
      <c r="H192" s="29" t="n">
        <v>13000000</v>
      </c>
      <c r="I192" s="29">
        <f>IF(G192="","",G192-H192)</f>
        <v/>
      </c>
      <c r="J192" s="37">
        <f>IF(A192="","",IF(I192&lt;=0,"Đã tất toán",IF(L192&lt;TODAY(),"Quá hạn","Còn nợ")))</f>
        <v/>
      </c>
      <c r="K192" s="37" t="inlineStr">
        <is>
          <t>Tùng Huế DV</t>
        </is>
      </c>
      <c r="L192" s="27" t="n"/>
      <c r="M192" s="37" t="n"/>
    </row>
    <row r="193" ht="15.75" customHeight="1" s="56">
      <c r="A193" s="37" t="inlineStr">
        <is>
          <t>677/BK-2025</t>
        </is>
      </c>
      <c r="B193" s="37" t="inlineStr">
        <is>
          <t>BK-HS-0131</t>
        </is>
      </c>
      <c r="C193" s="37" t="inlineStr">
        <is>
          <t>Phạm Thị Vân</t>
        </is>
      </c>
      <c r="D193" s="37" t="inlineStr">
        <is>
          <t>Phòng Đo đạc</t>
        </is>
      </c>
      <c r="E193" s="37" t="inlineStr">
        <is>
          <t>Cấp đổi</t>
        </is>
      </c>
      <c r="F193" s="27" t="n">
        <v>46024</v>
      </c>
      <c r="G193" s="29" t="n">
        <v>12000000</v>
      </c>
      <c r="H193" s="29" t="n">
        <v>6000000</v>
      </c>
      <c r="I193" s="29">
        <f>IF(G193="","",G193-H193)</f>
        <v/>
      </c>
      <c r="J193" s="37">
        <f>IF(A193="","",IF(I193&lt;=0,"Đã tất toán",IF(L193&lt;TODAY(),"Quá hạn","Còn nợ")))</f>
        <v/>
      </c>
      <c r="K193" s="37" t="inlineStr">
        <is>
          <t>Công Ty</t>
        </is>
      </c>
      <c r="L193" s="27" t="n"/>
      <c r="M193" s="37" t="n"/>
    </row>
    <row r="194" ht="15.75" customHeight="1" s="56">
      <c r="A194" s="37" t="inlineStr">
        <is>
          <t>395-DC/BK-2025</t>
        </is>
      </c>
      <c r="B194" s="37" t="inlineStr">
        <is>
          <t>BK-HS-0130</t>
        </is>
      </c>
      <c r="C194" s="37" t="inlineStr">
        <is>
          <t>Nghiêm Uy Lân</t>
        </is>
      </c>
      <c r="D194" s="37" t="inlineStr">
        <is>
          <t>Phòng Đo đạc</t>
        </is>
      </c>
      <c r="E194" s="37" t="inlineStr">
        <is>
          <t>Điều chỉnh bản vẽ</t>
        </is>
      </c>
      <c r="F194" s="27" t="n">
        <v>46024</v>
      </c>
      <c r="G194" s="29" t="n">
        <v>4000000</v>
      </c>
      <c r="H194" s="29" t="n">
        <v>4000000</v>
      </c>
      <c r="I194" s="29">
        <f>IF(G194="","",G194-H194)</f>
        <v/>
      </c>
      <c r="J194" s="37">
        <f>IF(A194="","",IF(I194&lt;=0,"Đã tất toán",IF(L194&lt;TODAY(),"Quá hạn","Còn nợ")))</f>
        <v/>
      </c>
      <c r="K194" s="37" t="inlineStr">
        <is>
          <t>Công Ty</t>
        </is>
      </c>
      <c r="L194" s="27" t="n"/>
      <c r="M194" s="37" t="n"/>
    </row>
    <row r="195" ht="15.75" customHeight="1" s="56">
      <c r="A195" s="37" t="inlineStr">
        <is>
          <t>678/BK-2025</t>
        </is>
      </c>
      <c r="B195" s="37" t="inlineStr">
        <is>
          <t>BK-HS-0129</t>
        </is>
      </c>
      <c r="C195" s="37" t="inlineStr">
        <is>
          <t>Từ Thị Lai</t>
        </is>
      </c>
      <c r="D195" s="37" t="inlineStr">
        <is>
          <t>Phòng Đo đạc</t>
        </is>
      </c>
      <c r="E195" s="37" t="inlineStr">
        <is>
          <t>Xác định diện tích</t>
        </is>
      </c>
      <c r="F195" s="27" t="n">
        <v>46024</v>
      </c>
      <c r="G195" s="29" t="n">
        <v>200000000</v>
      </c>
      <c r="H195" s="29" t="n">
        <v>40000000</v>
      </c>
      <c r="I195" s="29">
        <f>IF(G195="","",G195-H195)</f>
        <v/>
      </c>
      <c r="J195" s="37">
        <f>IF(A195="","",IF(I195&lt;=0,"Đã tất toán",IF(L195&lt;TODAY(),"Quá hạn","Còn nợ")))</f>
        <v/>
      </c>
      <c r="K195" s="37" t="inlineStr">
        <is>
          <t>Công Ty</t>
        </is>
      </c>
      <c r="L195" s="27" t="n"/>
      <c r="M195" s="37" t="n"/>
    </row>
    <row r="196" ht="15.75" customHeight="1" s="56">
      <c r="A196" s="37" t="inlineStr">
        <is>
          <t>001/BK-2026</t>
        </is>
      </c>
      <c r="B196" s="37" t="inlineStr">
        <is>
          <t>BK-HS-0128</t>
        </is>
      </c>
      <c r="C196" s="37" t="inlineStr">
        <is>
          <t>Đoàn Vân Anh</t>
        </is>
      </c>
      <c r="D196" s="37" t="inlineStr">
        <is>
          <t>Phòng Đo đạc</t>
        </is>
      </c>
      <c r="E196" s="37" t="inlineStr">
        <is>
          <t>Cấp đổi</t>
        </is>
      </c>
      <c r="F196" s="27" t="n">
        <v>46031</v>
      </c>
      <c r="G196" s="29" t="n">
        <v>80000000</v>
      </c>
      <c r="H196" s="29" t="n">
        <v>10000000</v>
      </c>
      <c r="I196" s="29">
        <f>IF(G196="","",G196-H196)</f>
        <v/>
      </c>
      <c r="J196" s="37">
        <f>IF(A196="","",IF(I196&lt;=0,"Đã tất toán",IF(L196&lt;TODAY(),"Quá hạn","Còn nợ")))</f>
        <v/>
      </c>
      <c r="K196" s="37" t="inlineStr">
        <is>
          <t>Công Ty</t>
        </is>
      </c>
      <c r="L196" s="27" t="n"/>
      <c r="M196" s="37" t="n"/>
    </row>
    <row r="197" ht="15.75" customHeight="1" s="56">
      <c r="A197" s="37" t="inlineStr">
        <is>
          <t>002/BK-2026</t>
        </is>
      </c>
      <c r="B197" s="37" t="inlineStr">
        <is>
          <t>BK-HS-0127</t>
        </is>
      </c>
      <c r="C197" s="37" t="inlineStr">
        <is>
          <t>Đoàn Vân Anh</t>
        </is>
      </c>
      <c r="D197" s="37" t="inlineStr">
        <is>
          <t>Phòng Đo đạc</t>
        </is>
      </c>
      <c r="E197" s="37" t="inlineStr">
        <is>
          <t>Cắm mốc</t>
        </is>
      </c>
      <c r="F197" s="27" t="n">
        <v>46031</v>
      </c>
      <c r="G197" s="29" t="n">
        <v>1</v>
      </c>
      <c r="H197" s="29" t="n">
        <v>1</v>
      </c>
      <c r="I197" s="29">
        <f>IF(G197="","",G197-H197)</f>
        <v/>
      </c>
      <c r="J197" s="37">
        <f>IF(A197="","",IF(I197&lt;=0,"Đã tất toán",IF(L197&lt;TODAY(),"Quá hạn","Còn nợ")))</f>
        <v/>
      </c>
      <c r="K197" s="37" t="inlineStr">
        <is>
          <t>Công Ty</t>
        </is>
      </c>
      <c r="L197" s="27" t="n"/>
      <c r="M197" s="37" t="n"/>
    </row>
    <row r="198" ht="15.75" customHeight="1" s="56">
      <c r="A198" s="37" t="inlineStr">
        <is>
          <t>003/BK-2026</t>
        </is>
      </c>
      <c r="B198" s="37" t="inlineStr">
        <is>
          <t>BK-HS-0126</t>
        </is>
      </c>
      <c r="C198" s="37" t="inlineStr">
        <is>
          <t>Đoàn Vân Anh</t>
        </is>
      </c>
      <c r="D198" s="37" t="inlineStr">
        <is>
          <t>Phòng Đo đạc</t>
        </is>
      </c>
      <c r="E198" s="37" t="inlineStr">
        <is>
          <t>Đo GPS</t>
        </is>
      </c>
      <c r="F198" s="27" t="n">
        <v>46031</v>
      </c>
      <c r="G198" s="29" t="n">
        <v>1</v>
      </c>
      <c r="H198" s="29" t="n">
        <v>1</v>
      </c>
      <c r="I198" s="29">
        <f>IF(G198="","",G198-H198)</f>
        <v/>
      </c>
      <c r="J198" s="37">
        <f>IF(A198="","",IF(I198&lt;=0,"Đã tất toán",IF(L198&lt;TODAY(),"Quá hạn","Còn nợ")))</f>
        <v/>
      </c>
      <c r="K198" s="37" t="inlineStr">
        <is>
          <t>Công Ty</t>
        </is>
      </c>
      <c r="L198" s="27" t="n"/>
      <c r="M198" s="37" t="n"/>
    </row>
    <row r="199" ht="15.75" customHeight="1" s="56">
      <c r="A199" s="37" t="inlineStr">
        <is>
          <t>004/BK-2026</t>
        </is>
      </c>
      <c r="B199" s="37" t="inlineStr">
        <is>
          <t>BK-HS-0125</t>
        </is>
      </c>
      <c r="C199" s="37" t="inlineStr">
        <is>
          <t>Nguyễn Minh Trung - Nguyễn Thị Phương Thúy</t>
        </is>
      </c>
      <c r="D199" s="37" t="inlineStr">
        <is>
          <t>Phòng Đo đạc</t>
        </is>
      </c>
      <c r="E199" s="37" t="inlineStr">
        <is>
          <t>Cấp đổi</t>
        </is>
      </c>
      <c r="F199" s="27" t="n">
        <v>46031</v>
      </c>
      <c r="G199" s="29" t="n">
        <v>12000000</v>
      </c>
      <c r="H199" s="29" t="n">
        <v>12000000</v>
      </c>
      <c r="I199" s="29">
        <f>IF(G199="","",G199-H199)</f>
        <v/>
      </c>
      <c r="J199" s="37">
        <f>IF(A199="","",IF(I199&lt;=0,"Đã tất toán",IF(L199&lt;TODAY(),"Quá hạn","Còn nợ")))</f>
        <v/>
      </c>
      <c r="K199" s="37" t="inlineStr">
        <is>
          <t>Công Ty</t>
        </is>
      </c>
      <c r="L199" s="27" t="n"/>
      <c r="M199" s="37" t="n"/>
    </row>
    <row r="200" ht="15.75" customHeight="1" s="56">
      <c r="A200" s="37" t="inlineStr">
        <is>
          <t>005/BK-2026</t>
        </is>
      </c>
      <c r="B200" s="37" t="inlineStr">
        <is>
          <t>BK-HS-0124</t>
        </is>
      </c>
      <c r="C200" s="37" t="inlineStr">
        <is>
          <t>Nguyễn Bắc Nam</t>
        </is>
      </c>
      <c r="D200" s="37" t="inlineStr">
        <is>
          <t>Phòng Đo đạc</t>
        </is>
      </c>
      <c r="E200" s="37" t="inlineStr">
        <is>
          <t>Hoàn công</t>
        </is>
      </c>
      <c r="F200" s="27" t="n">
        <v>46031</v>
      </c>
      <c r="G200" s="29" t="n">
        <v>1</v>
      </c>
      <c r="H200" s="29" t="n">
        <v>1</v>
      </c>
      <c r="I200" s="29">
        <f>IF(G200="","",G200-H200)</f>
        <v/>
      </c>
      <c r="J200" s="37">
        <f>IF(A200="","",IF(I200&lt;=0,"Đã tất toán",IF(L200&lt;TODAY(),"Quá hạn","Còn nợ")))</f>
        <v/>
      </c>
      <c r="K200" s="37" t="inlineStr">
        <is>
          <t>Công Ty</t>
        </is>
      </c>
      <c r="L200" s="27" t="n"/>
      <c r="M200" s="37" t="n"/>
    </row>
    <row r="201" ht="15.75" customHeight="1" s="56">
      <c r="A201" s="37" t="inlineStr">
        <is>
          <t>006/BK-2026</t>
        </is>
      </c>
      <c r="B201" s="37" t="inlineStr">
        <is>
          <t>BK-HS-0123</t>
        </is>
      </c>
      <c r="C201" s="37" t="inlineStr">
        <is>
          <t>Nguyễn Đế Hiếu</t>
        </is>
      </c>
      <c r="D201" s="37" t="inlineStr">
        <is>
          <t>Phòng Đo đạc</t>
        </is>
      </c>
      <c r="E201" s="37" t="inlineStr">
        <is>
          <t>Hoàn công</t>
        </is>
      </c>
      <c r="F201" s="27" t="n">
        <v>46031</v>
      </c>
      <c r="G201" s="29" t="n">
        <v>100000000</v>
      </c>
      <c r="H201" s="29" t="n">
        <v>50000000</v>
      </c>
      <c r="I201" s="29">
        <f>IF(G201="","",G201-H201)</f>
        <v/>
      </c>
      <c r="J201" s="37">
        <f>IF(A201="","",IF(I201&lt;=0,"Đã tất toán",IF(L201&lt;TODAY(),"Quá hạn","Còn nợ")))</f>
        <v/>
      </c>
      <c r="K201" s="37" t="inlineStr">
        <is>
          <t>Hoàng Cương BĐS</t>
        </is>
      </c>
      <c r="L201" s="27" t="n"/>
      <c r="M201" s="37" t="n"/>
    </row>
    <row r="202" ht="15.75" customHeight="1" s="56">
      <c r="A202" s="37" t="inlineStr">
        <is>
          <t>007/BK-2026</t>
        </is>
      </c>
      <c r="B202" s="37" t="inlineStr">
        <is>
          <t>BK-HS-0122</t>
        </is>
      </c>
      <c r="C202" s="37" t="inlineStr">
        <is>
          <t>Nguyễn Đế Hiếu</t>
        </is>
      </c>
      <c r="D202" s="37" t="inlineStr">
        <is>
          <t>Phòng Đo đạc</t>
        </is>
      </c>
      <c r="E202" s="37" t="inlineStr">
        <is>
          <t>Hoàn công</t>
        </is>
      </c>
      <c r="F202" s="27" t="n">
        <v>46031</v>
      </c>
      <c r="G202" s="29" t="n">
        <v>70000000</v>
      </c>
      <c r="H202" s="29" t="n">
        <v>60000000</v>
      </c>
      <c r="I202" s="29">
        <f>IF(G202="","",G202-H202)</f>
        <v/>
      </c>
      <c r="J202" s="37">
        <f>IF(A202="","",IF(I202&lt;=0,"Đã tất toán",IF(L202&lt;TODAY(),"Quá hạn","Còn nợ")))</f>
        <v/>
      </c>
      <c r="K202" s="37" t="inlineStr">
        <is>
          <t>Hoàng Cương BĐS</t>
        </is>
      </c>
      <c r="L202" s="27" t="n"/>
      <c r="M202" s="37" t="n"/>
    </row>
    <row r="203" ht="15.75" customHeight="1" s="56">
      <c r="A203" s="37" t="inlineStr">
        <is>
          <t>008/BK-2026</t>
        </is>
      </c>
      <c r="B203" s="37" t="inlineStr">
        <is>
          <t>BK-HS-0120</t>
        </is>
      </c>
      <c r="C203" s="37" t="inlineStr">
        <is>
          <t>Thái Văn Nghĩa</t>
        </is>
      </c>
      <c r="D203" s="37" t="inlineStr">
        <is>
          <t>Phòng Đo đạc</t>
        </is>
      </c>
      <c r="E203" s="37" t="inlineStr">
        <is>
          <t>Cắm mốc</t>
        </is>
      </c>
      <c r="F203" s="27" t="n">
        <v>46032</v>
      </c>
      <c r="G203" s="29" t="n">
        <v>3000000</v>
      </c>
      <c r="H203" s="29" t="n">
        <v>3000000</v>
      </c>
      <c r="I203" s="29">
        <f>IF(G203="","",G203-H203)</f>
        <v/>
      </c>
      <c r="J203" s="37">
        <f>IF(A203="","",IF(I203&lt;=0,"Đã tất toán",IF(L203&lt;TODAY(),"Quá hạn","Còn nợ")))</f>
        <v/>
      </c>
      <c r="K203" s="37" t="inlineStr">
        <is>
          <t>Công Ty</t>
        </is>
      </c>
      <c r="L203" s="27" t="n"/>
      <c r="M203" s="37" t="n"/>
    </row>
    <row r="204" ht="15.75" customHeight="1" s="56">
      <c r="A204" s="37" t="inlineStr">
        <is>
          <t>009/BK-2026</t>
        </is>
      </c>
      <c r="B204" s="37" t="inlineStr">
        <is>
          <t>BK-HS-0121</t>
        </is>
      </c>
      <c r="C204" s="37" t="inlineStr">
        <is>
          <t>Đào Văn Duy</t>
        </is>
      </c>
      <c r="D204" s="37" t="inlineStr">
        <is>
          <t>Phòng Đo đạc</t>
        </is>
      </c>
      <c r="E204" s="37" t="inlineStr">
        <is>
          <t>Cấp đổi</t>
        </is>
      </c>
      <c r="F204" s="27" t="n">
        <v>46032</v>
      </c>
      <c r="G204" s="29" t="n">
        <v>8000000</v>
      </c>
      <c r="H204" s="29" t="n">
        <v>8000000</v>
      </c>
      <c r="I204" s="29">
        <f>IF(G204="","",G204-H204)</f>
        <v/>
      </c>
      <c r="J204" s="37">
        <f>IF(A204="","",IF(I204&lt;=0,"Đã tất toán",IF(L204&lt;TODAY(),"Quá hạn","Còn nợ")))</f>
        <v/>
      </c>
      <c r="K204" s="37" t="inlineStr">
        <is>
          <t>Đạt Việt Phát Land</t>
        </is>
      </c>
      <c r="L204" s="27" t="n"/>
      <c r="M204" s="37" t="n"/>
    </row>
    <row r="205" ht="15.75" customHeight="1" s="56">
      <c r="A205" s="37" t="inlineStr">
        <is>
          <t>010/BK-2026</t>
        </is>
      </c>
      <c r="B205" s="37" t="inlineStr">
        <is>
          <t>BK-HS-0113</t>
        </is>
      </c>
      <c r="C205" s="37" t="inlineStr">
        <is>
          <t>Hồng Thế Phương</t>
        </is>
      </c>
      <c r="D205" s="37" t="inlineStr">
        <is>
          <t>Phòng Đo đạc</t>
        </is>
      </c>
      <c r="E205" s="37" t="inlineStr">
        <is>
          <t>Kiểm tra hiện trạng</t>
        </is>
      </c>
      <c r="F205" s="27" t="n">
        <v>46034</v>
      </c>
      <c r="G205" s="29" t="n">
        <v>50</v>
      </c>
      <c r="H205" s="29" t="n">
        <v>0</v>
      </c>
      <c r="I205" s="29">
        <f>IF(G205="","",G205-H205)</f>
        <v/>
      </c>
      <c r="J205" s="37">
        <f>IF(A205="","",IF(I205&lt;=0,"Đã tất toán",IF(L205&lt;TODAY(),"Quá hạn","Còn nợ")))</f>
        <v/>
      </c>
      <c r="K205" s="37" t="inlineStr">
        <is>
          <t>Cô Hoa</t>
        </is>
      </c>
      <c r="L205" s="27" t="n"/>
      <c r="M205" s="37" t="n"/>
    </row>
    <row r="206" ht="15.75" customHeight="1" s="56">
      <c r="A206" s="37" t="inlineStr">
        <is>
          <t>011/BK-2026</t>
        </is>
      </c>
      <c r="B206" s="37" t="inlineStr">
        <is>
          <t>BK-HS-0112</t>
        </is>
      </c>
      <c r="C206" s="37" t="inlineStr">
        <is>
          <t>Hồng Thế Phương</t>
        </is>
      </c>
      <c r="D206" s="37" t="inlineStr">
        <is>
          <t>Phòng Đo đạc</t>
        </is>
      </c>
      <c r="E206" s="37" t="inlineStr">
        <is>
          <t>Kiểm tra hiện trạng</t>
        </is>
      </c>
      <c r="F206" s="27" t="n">
        <v>46034</v>
      </c>
      <c r="G206" s="29" t="n">
        <v>50</v>
      </c>
      <c r="H206" s="29" t="n">
        <v>0</v>
      </c>
      <c r="I206" s="29">
        <f>IF(G206="","",G206-H206)</f>
        <v/>
      </c>
      <c r="J206" s="37">
        <f>IF(A206="","",IF(I206&lt;=0,"Đã tất toán",IF(L206&lt;TODAY(),"Quá hạn","Còn nợ")))</f>
        <v/>
      </c>
      <c r="K206" s="37" t="inlineStr">
        <is>
          <t>Cô Hoa</t>
        </is>
      </c>
      <c r="L206" s="27" t="n"/>
      <c r="M206" s="37" t="n"/>
    </row>
    <row r="207" ht="15.75" customHeight="1" s="56">
      <c r="A207" s="37" t="inlineStr">
        <is>
          <t>012/BK-2026</t>
        </is>
      </c>
      <c r="B207" s="37" t="inlineStr">
        <is>
          <t>BK-HS-0119</t>
        </is>
      </c>
      <c r="C207" s="37" t="inlineStr">
        <is>
          <t>Phạm Thị Trang</t>
        </is>
      </c>
      <c r="D207" s="37" t="inlineStr">
        <is>
          <t>Phòng Đo đạc</t>
        </is>
      </c>
      <c r="E207" s="37" t="inlineStr">
        <is>
          <t>Cấp đổi</t>
        </is>
      </c>
      <c r="F207" s="27" t="n">
        <v>46033</v>
      </c>
      <c r="G207" s="29" t="n">
        <v>40000000</v>
      </c>
      <c r="H207" s="29" t="n">
        <v>20000000</v>
      </c>
      <c r="I207" s="29">
        <f>IF(G207="","",G207-H207)</f>
        <v/>
      </c>
      <c r="J207" s="37">
        <f>IF(A207="","",IF(I207&lt;=0,"Đã tất toán",IF(L207&lt;TODAY(),"Quá hạn","Còn nợ")))</f>
        <v/>
      </c>
      <c r="K207" s="37" t="inlineStr">
        <is>
          <t>Cô Hoa</t>
        </is>
      </c>
      <c r="L207" s="27" t="n"/>
      <c r="M207" s="37" t="n"/>
    </row>
    <row r="208" ht="15.75" customHeight="1" s="56">
      <c r="A208" s="37" t="inlineStr">
        <is>
          <t>013/BK-2026</t>
        </is>
      </c>
      <c r="B208" s="37" t="inlineStr">
        <is>
          <t>BK-HS-0118</t>
        </is>
      </c>
      <c r="C208" s="37" t="inlineStr">
        <is>
          <t>Nguyễn Thanh Tùng</t>
        </is>
      </c>
      <c r="D208" s="37" t="inlineStr">
        <is>
          <t>Phòng Đo đạc</t>
        </is>
      </c>
      <c r="E208" s="37" t="inlineStr">
        <is>
          <t>Cấp đổi</t>
        </is>
      </c>
      <c r="F208" s="27" t="n">
        <v>46033</v>
      </c>
      <c r="G208" s="29" t="n">
        <v>12000000</v>
      </c>
      <c r="H208" s="29" t="n">
        <v>5000000</v>
      </c>
      <c r="I208" s="29">
        <f>IF(G208="","",G208-H208)</f>
        <v/>
      </c>
      <c r="J208" s="37">
        <f>IF(A208="","",IF(I208&lt;=0,"Đã tất toán",IF(L208&lt;TODAY(),"Quá hạn","Còn nợ")))</f>
        <v/>
      </c>
      <c r="K208" s="37" t="inlineStr">
        <is>
          <t>Công Ty</t>
        </is>
      </c>
      <c r="L208" s="27" t="n"/>
      <c r="M208" s="37" t="n"/>
    </row>
    <row r="209" ht="15.75" customHeight="1" s="56">
      <c r="A209" s="37" t="inlineStr">
        <is>
          <t>014/BK-2026</t>
        </is>
      </c>
      <c r="B209" s="37" t="inlineStr">
        <is>
          <t>BK-HS-0117</t>
        </is>
      </c>
      <c r="C209" s="37" t="inlineStr">
        <is>
          <t>Nguyễn Thanh Tùng</t>
        </is>
      </c>
      <c r="D209" s="37" t="inlineStr">
        <is>
          <t>Phòng Đo đạc</t>
        </is>
      </c>
      <c r="E209" s="37" t="inlineStr">
        <is>
          <t>Đo GPS</t>
        </is>
      </c>
      <c r="F209" s="27" t="n">
        <v>46033</v>
      </c>
      <c r="G209" s="29" t="n">
        <v>1</v>
      </c>
      <c r="H209" s="29" t="n">
        <v>1</v>
      </c>
      <c r="I209" s="29">
        <f>IF(G209="","",G209-H209)</f>
        <v/>
      </c>
      <c r="J209" s="37">
        <f>IF(A209="","",IF(I209&lt;=0,"Đã tất toán",IF(L209&lt;TODAY(),"Quá hạn","Còn nợ")))</f>
        <v/>
      </c>
      <c r="K209" s="37" t="inlineStr">
        <is>
          <t>Công Ty</t>
        </is>
      </c>
      <c r="L209" s="27" t="n"/>
      <c r="M209" s="37" t="n"/>
    </row>
    <row r="210" ht="15.75" customHeight="1" s="56">
      <c r="A210" s="37" t="inlineStr">
        <is>
          <t>015/BK-2026</t>
        </is>
      </c>
      <c r="B210" s="37" t="inlineStr">
        <is>
          <t>BK-HS-0116</t>
        </is>
      </c>
      <c r="C210" s="37" t="inlineStr">
        <is>
          <t>Nguyễn Trần Ngọc Khoa</t>
        </is>
      </c>
      <c r="D210" s="37" t="inlineStr">
        <is>
          <t>Phòng Đo đạc</t>
        </is>
      </c>
      <c r="E210" s="37" t="inlineStr">
        <is>
          <t>Kiểm tra hiện trạng</t>
        </is>
      </c>
      <c r="F210" s="27" t="n">
        <v>46033</v>
      </c>
      <c r="G210" s="29" t="n">
        <v>1</v>
      </c>
      <c r="H210" s="29" t="n">
        <v>1</v>
      </c>
      <c r="I210" s="29">
        <f>IF(G210="","",G210-H210)</f>
        <v/>
      </c>
      <c r="J210" s="37">
        <f>IF(A210="","",IF(I210&lt;=0,"Đã tất toán",IF(L210&lt;TODAY(),"Quá hạn","Còn nợ")))</f>
        <v/>
      </c>
      <c r="K210" s="37" t="inlineStr">
        <is>
          <t>Công Ty</t>
        </is>
      </c>
      <c r="L210" s="27" t="n"/>
      <c r="M210" s="37" t="n"/>
    </row>
    <row r="211" ht="15.75" customHeight="1" s="56">
      <c r="A211" s="37" t="inlineStr">
        <is>
          <t>016/BK-2026</t>
        </is>
      </c>
      <c r="B211" s="37" t="inlineStr">
        <is>
          <t>BK-HS-0115</t>
        </is>
      </c>
      <c r="C211" s="37" t="inlineStr">
        <is>
          <t>Nguyễn Trung Thông</t>
        </is>
      </c>
      <c r="D211" s="37" t="inlineStr">
        <is>
          <t>Phòng Đo đạc</t>
        </is>
      </c>
      <c r="E211" s="37" t="inlineStr">
        <is>
          <t>Cấp đổi</t>
        </is>
      </c>
      <c r="F211" s="27" t="n">
        <v>46033</v>
      </c>
      <c r="G211" s="29" t="n">
        <v>27000000</v>
      </c>
      <c r="H211" s="29" t="n">
        <v>27000000</v>
      </c>
      <c r="I211" s="29">
        <f>IF(G211="","",G211-H211)</f>
        <v/>
      </c>
      <c r="J211" s="37">
        <f>IF(A211="","",IF(I211&lt;=0,"Đã tất toán",IF(L211&lt;TODAY(),"Quá hạn","Còn nợ")))</f>
        <v/>
      </c>
      <c r="K211" s="37" t="inlineStr">
        <is>
          <t>Cô Hoa</t>
        </is>
      </c>
      <c r="L211" s="27" t="n"/>
      <c r="M211" s="37" t="n"/>
    </row>
    <row r="212" ht="15.75" customHeight="1" s="56">
      <c r="A212" s="37" t="inlineStr">
        <is>
          <t>017/BK-2026</t>
        </is>
      </c>
      <c r="B212" s="37" t="inlineStr">
        <is>
          <t>BK-HS-0114</t>
        </is>
      </c>
      <c r="C212" s="37" t="inlineStr">
        <is>
          <t>Cao Viết Trọng</t>
        </is>
      </c>
      <c r="D212" s="37" t="inlineStr">
        <is>
          <t>Phòng Đo đạc</t>
        </is>
      </c>
      <c r="E212" s="37" t="inlineStr">
        <is>
          <t>Hoàn công</t>
        </is>
      </c>
      <c r="F212" s="27" t="n">
        <v>46033</v>
      </c>
      <c r="G212" s="29" t="n">
        <v>20000000</v>
      </c>
      <c r="H212" s="29" t="n">
        <v>20000000</v>
      </c>
      <c r="I212" s="29">
        <f>IF(G212="","",G212-H212)</f>
        <v/>
      </c>
      <c r="J212" s="37">
        <f>IF(A212="","",IF(I212&lt;=0,"Đã tất toán",IF(L212&lt;TODAY(),"Quá hạn","Còn nợ")))</f>
        <v/>
      </c>
      <c r="K212" s="37" t="inlineStr">
        <is>
          <t>Tùng Mập</t>
        </is>
      </c>
      <c r="L212" s="27" t="n"/>
      <c r="M212" s="37" t="n"/>
    </row>
    <row r="213" ht="15.75" customHeight="1" s="56">
      <c r="A213" s="37" t="inlineStr">
        <is>
          <t>018/BK-2026</t>
        </is>
      </c>
      <c r="B213" s="37" t="inlineStr">
        <is>
          <t>BK-HS-0111</t>
        </is>
      </c>
      <c r="C213" s="37" t="inlineStr">
        <is>
          <t>Huỳnh Thị Bích Hồng</t>
        </is>
      </c>
      <c r="D213" s="37" t="inlineStr">
        <is>
          <t>Phòng Đo đạc</t>
        </is>
      </c>
      <c r="E213" s="37" t="inlineStr">
        <is>
          <t>Cắm mốc</t>
        </is>
      </c>
      <c r="F213" s="27" t="n">
        <v>46034</v>
      </c>
      <c r="G213" s="29" t="n">
        <v>2500000</v>
      </c>
      <c r="H213" s="29" t="n">
        <v>2500000</v>
      </c>
      <c r="I213" s="29">
        <f>IF(G213="","",G213-H213)</f>
        <v/>
      </c>
      <c r="J213" s="37">
        <f>IF(A213="","",IF(I213&lt;=0,"Đã tất toán",IF(L213&lt;TODAY(),"Quá hạn","Còn nợ")))</f>
        <v/>
      </c>
      <c r="K213" s="37" t="inlineStr">
        <is>
          <t>Anh Chiến KTS</t>
        </is>
      </c>
      <c r="L213" s="27" t="n"/>
      <c r="M213" s="37" t="n"/>
    </row>
    <row r="214" ht="15.75" customHeight="1" s="56">
      <c r="A214" s="37" t="inlineStr">
        <is>
          <t>019/BK-2026</t>
        </is>
      </c>
      <c r="B214" s="37" t="inlineStr">
        <is>
          <t>BK-HS-0110</t>
        </is>
      </c>
      <c r="C214" s="37" t="inlineStr">
        <is>
          <t>Nguyễn Thị Xuân Lan</t>
        </is>
      </c>
      <c r="D214" s="37" t="inlineStr">
        <is>
          <t>Phòng Đo đạc</t>
        </is>
      </c>
      <c r="E214" s="37" t="inlineStr">
        <is>
          <t>Cắm mốc</t>
        </is>
      </c>
      <c r="F214" s="27" t="n">
        <v>46034</v>
      </c>
      <c r="G214" s="29" t="n"/>
      <c r="H214" s="29" t="n">
        <v>0</v>
      </c>
      <c r="I214" s="29">
        <f>IF(G214="","",G214-H214)</f>
        <v/>
      </c>
      <c r="J214" s="37">
        <f>IF(A214="","",IF(I214&lt;=0,"Đã tất toán",IF(L214&lt;TODAY(),"Quá hạn","Còn nợ")))</f>
        <v/>
      </c>
      <c r="K214" s="37" t="inlineStr">
        <is>
          <t>Công Ty</t>
        </is>
      </c>
      <c r="L214" s="27" t="n"/>
      <c r="M214" s="37" t="n"/>
    </row>
    <row r="215" ht="15.75" customHeight="1" s="56">
      <c r="A215" s="37" t="inlineStr">
        <is>
          <t>020/BK-2026</t>
        </is>
      </c>
      <c r="B215" s="37" t="inlineStr">
        <is>
          <t>BK-HS-0109</t>
        </is>
      </c>
      <c r="C215" s="37" t="inlineStr">
        <is>
          <t>Nguyễn Thị Hà</t>
        </is>
      </c>
      <c r="D215" s="37" t="inlineStr">
        <is>
          <t>Phòng Đo đạc</t>
        </is>
      </c>
      <c r="E215" s="37" t="inlineStr">
        <is>
          <t>Cấp đổi</t>
        </is>
      </c>
      <c r="F215" s="27" t="n">
        <v>46034</v>
      </c>
      <c r="G215" s="29" t="n">
        <v>1</v>
      </c>
      <c r="H215" s="29" t="n">
        <v>0</v>
      </c>
      <c r="I215" s="29">
        <f>IF(G215="","",G215-H215)</f>
        <v/>
      </c>
      <c r="J215" s="37">
        <f>IF(A215="","",IF(I215&lt;=0,"Đã tất toán",IF(L215&lt;TODAY(),"Quá hạn","Còn nợ")))</f>
        <v/>
      </c>
      <c r="K215" s="37" t="inlineStr">
        <is>
          <t>Công Ty</t>
        </is>
      </c>
      <c r="L215" s="27" t="n"/>
      <c r="M215" s="37" t="n"/>
    </row>
    <row r="216" ht="15.75" customHeight="1" s="56">
      <c r="A216" s="37" t="inlineStr">
        <is>
          <t>021/BK-2026</t>
        </is>
      </c>
      <c r="B216" s="37" t="inlineStr">
        <is>
          <t>BK-HS-0108</t>
        </is>
      </c>
      <c r="C216" s="37" t="inlineStr">
        <is>
          <t>Nguyễn Trần Ngọc Khoa</t>
        </is>
      </c>
      <c r="D216" s="37" t="inlineStr">
        <is>
          <t>Phòng Đo đạc</t>
        </is>
      </c>
      <c r="E216" s="37" t="inlineStr">
        <is>
          <t>Cấp đổi</t>
        </is>
      </c>
      <c r="F216" s="27" t="n">
        <v>46034</v>
      </c>
      <c r="G216" s="29" t="n">
        <v>65000000</v>
      </c>
      <c r="H216" s="29" t="n">
        <v>65000000</v>
      </c>
      <c r="I216" s="29">
        <f>IF(G216="","",G216-H216)</f>
        <v/>
      </c>
      <c r="J216" s="37">
        <f>IF(A216="","",IF(I216&lt;=0,"Đã tất toán",IF(L216&lt;TODAY(),"Quá hạn","Còn nợ")))</f>
        <v/>
      </c>
      <c r="K216" s="37" t="inlineStr">
        <is>
          <t>Công Ty</t>
        </is>
      </c>
      <c r="L216" s="27" t="n"/>
      <c r="M216" s="37" t="n"/>
    </row>
    <row r="217" ht="15.75" customHeight="1" s="56">
      <c r="A217" s="37" t="inlineStr">
        <is>
          <t>022/BK-2026</t>
        </is>
      </c>
      <c r="B217" s="37" t="inlineStr">
        <is>
          <t>BK-HS-0107</t>
        </is>
      </c>
      <c r="C217" s="37" t="inlineStr">
        <is>
          <t>Nguyễn Thanh Tùng</t>
        </is>
      </c>
      <c r="D217" s="37" t="inlineStr">
        <is>
          <t>Phòng Đo đạc</t>
        </is>
      </c>
      <c r="E217" s="37" t="inlineStr">
        <is>
          <t>Cắm mốc</t>
        </is>
      </c>
      <c r="F217" s="27" t="n">
        <v>46037</v>
      </c>
      <c r="G217" s="29" t="n">
        <v>3000000</v>
      </c>
      <c r="H217" s="29" t="n">
        <v>0</v>
      </c>
      <c r="I217" s="29">
        <f>IF(G217="","",G217-H217)</f>
        <v/>
      </c>
      <c r="J217" s="37">
        <f>IF(A217="","",IF(I217&lt;=0,"Đã tất toán",IF(L217&lt;TODAY(),"Quá hạn","Còn nợ")))</f>
        <v/>
      </c>
      <c r="K217" s="37" t="inlineStr">
        <is>
          <t>Công Ty</t>
        </is>
      </c>
      <c r="L217" s="27" t="n"/>
      <c r="M217" s="37" t="n"/>
    </row>
    <row r="218" ht="15.75" customHeight="1" s="56">
      <c r="A218" s="37" t="inlineStr">
        <is>
          <t>023/BK-2026</t>
        </is>
      </c>
      <c r="B218" s="37" t="inlineStr">
        <is>
          <t>BK-HS-0106</t>
        </is>
      </c>
      <c r="C218" s="37" t="inlineStr">
        <is>
          <t>Lê Quý</t>
        </is>
      </c>
      <c r="D218" s="37" t="inlineStr">
        <is>
          <t>Phòng Đo đạc</t>
        </is>
      </c>
      <c r="E218" s="37" t="inlineStr">
        <is>
          <t>Hoàn công</t>
        </is>
      </c>
      <c r="F218" s="27" t="n">
        <v>46037</v>
      </c>
      <c r="G218" s="29" t="n">
        <v>10</v>
      </c>
      <c r="H218" s="29" t="n">
        <v>0</v>
      </c>
      <c r="I218" s="29">
        <f>IF(G218="","",G218-H218)</f>
        <v/>
      </c>
      <c r="J218" s="37">
        <f>IF(A218="","",IF(I218&lt;=0,"Đã tất toán",IF(L218&lt;TODAY(),"Quá hạn","Còn nợ")))</f>
        <v/>
      </c>
      <c r="K218" s="37" t="inlineStr">
        <is>
          <t>Đạt Việt Phát Land</t>
        </is>
      </c>
      <c r="L218" s="27" t="n"/>
      <c r="M218" s="37" t="n"/>
    </row>
    <row r="219" ht="15.75" customHeight="1" s="56">
      <c r="A219" s="37" t="inlineStr">
        <is>
          <t>024/BK-2026</t>
        </is>
      </c>
      <c r="B219" s="37" t="inlineStr">
        <is>
          <t>BK-HS-0105</t>
        </is>
      </c>
      <c r="C219" s="37" t="inlineStr">
        <is>
          <t>Phạm Thị Giao Linh</t>
        </is>
      </c>
      <c r="D219" s="37" t="inlineStr">
        <is>
          <t>Phòng Đo đạc</t>
        </is>
      </c>
      <c r="E219" s="37" t="inlineStr">
        <is>
          <t>Đo GPS</t>
        </is>
      </c>
      <c r="F219" s="27" t="n">
        <v>46038</v>
      </c>
      <c r="G219" s="29" t="n">
        <v>1</v>
      </c>
      <c r="H219" s="29" t="n">
        <v>0</v>
      </c>
      <c r="I219" s="29">
        <f>IF(G219="","",G219-H219)</f>
        <v/>
      </c>
      <c r="J219" s="37">
        <f>IF(A219="","",IF(I219&lt;=0,"Đã tất toán",IF(L219&lt;TODAY(),"Quá hạn","Còn nợ")))</f>
        <v/>
      </c>
      <c r="K219" s="37" t="inlineStr">
        <is>
          <t>Tùng Huế DV</t>
        </is>
      </c>
      <c r="L219" s="27" t="n"/>
      <c r="M219" s="37" t="n"/>
    </row>
    <row r="220" ht="15.75" customHeight="1" s="56">
      <c r="A220" s="37" t="inlineStr">
        <is>
          <t>025/BK-2026</t>
        </is>
      </c>
      <c r="B220" s="37" t="inlineStr">
        <is>
          <t>BK-HS-0104</t>
        </is>
      </c>
      <c r="C220" s="37" t="inlineStr">
        <is>
          <t>Lê Thị Nguyệt</t>
        </is>
      </c>
      <c r="D220" s="37" t="inlineStr">
        <is>
          <t>Phòng Đo đạc</t>
        </is>
      </c>
      <c r="E220" s="37" t="inlineStr">
        <is>
          <t>Xác định diện tích</t>
        </is>
      </c>
      <c r="F220" s="27" t="n">
        <v>46038</v>
      </c>
      <c r="G220" s="29" t="n">
        <v>1</v>
      </c>
      <c r="H220" s="29" t="n">
        <v>1</v>
      </c>
      <c r="I220" s="29">
        <f>IF(G220="","",G220-H220)</f>
        <v/>
      </c>
      <c r="J220" s="37">
        <f>IF(A220="","",IF(I220&lt;=0,"Đã tất toán",IF(L220&lt;TODAY(),"Quá hạn","Còn nợ")))</f>
        <v/>
      </c>
      <c r="K220" s="37" t="inlineStr">
        <is>
          <t>Đạt Việt Phát Land</t>
        </is>
      </c>
      <c r="L220" s="27" t="n"/>
      <c r="M220" s="37" t="n"/>
    </row>
    <row r="221" ht="15.75" customHeight="1" s="56">
      <c r="A221" s="37" t="inlineStr">
        <is>
          <t>026/BK-2026</t>
        </is>
      </c>
      <c r="B221" s="37" t="inlineStr">
        <is>
          <t>BK-HS-0103</t>
        </is>
      </c>
      <c r="C221" s="37" t="inlineStr">
        <is>
          <t>Phạm Thị Trang</t>
        </is>
      </c>
      <c r="D221" s="37" t="inlineStr">
        <is>
          <t>Phòng Đo đạc</t>
        </is>
      </c>
      <c r="E221" s="37" t="inlineStr">
        <is>
          <t>Cắm mốc</t>
        </is>
      </c>
      <c r="F221" s="27" t="n">
        <v>46039</v>
      </c>
      <c r="G221" s="29" t="n">
        <v>1</v>
      </c>
      <c r="H221" s="29" t="n">
        <v>1</v>
      </c>
      <c r="I221" s="29">
        <f>IF(G221="","",G221-H221)</f>
        <v/>
      </c>
      <c r="J221" s="37">
        <f>IF(A221="","",IF(I221&lt;=0,"Đã tất toán",IF(L221&lt;TODAY(),"Quá hạn","Còn nợ")))</f>
        <v/>
      </c>
      <c r="K221" s="37" t="inlineStr">
        <is>
          <t>Cô Hoa</t>
        </is>
      </c>
      <c r="L221" s="27" t="n"/>
      <c r="M221" s="37" t="n"/>
    </row>
    <row r="222" ht="15.75" customHeight="1" s="56">
      <c r="A222" s="37" t="inlineStr">
        <is>
          <t>027/BK-2026</t>
        </is>
      </c>
      <c r="B222" s="37" t="inlineStr">
        <is>
          <t>BK-HS-0102</t>
        </is>
      </c>
      <c r="C222" s="37" t="inlineStr">
        <is>
          <t>Vũ Thị Nhuần</t>
        </is>
      </c>
      <c r="D222" s="37" t="inlineStr">
        <is>
          <t>Phòng Đo đạc</t>
        </is>
      </c>
      <c r="E222" s="37" t="inlineStr">
        <is>
          <t>Hoàn công</t>
        </is>
      </c>
      <c r="F222" s="27" t="n">
        <v>46039</v>
      </c>
      <c r="G222" s="29" t="n">
        <v>38258000</v>
      </c>
      <c r="H222" s="29" t="n">
        <v>38258000</v>
      </c>
      <c r="I222" s="29">
        <f>IF(G222="","",G222-H222)</f>
        <v/>
      </c>
      <c r="J222" s="37">
        <f>IF(A222="","",IF(I222&lt;=0,"Đã tất toán",IF(L222&lt;TODAY(),"Quá hạn","Còn nợ")))</f>
        <v/>
      </c>
      <c r="K222" s="37" t="inlineStr">
        <is>
          <t>Công Ty</t>
        </is>
      </c>
      <c r="L222" s="27" t="n"/>
      <c r="M222" s="37" t="n"/>
    </row>
    <row r="223" ht="15.75" customHeight="1" s="56">
      <c r="A223" s="37" t="inlineStr">
        <is>
          <t>028/BK-2026</t>
        </is>
      </c>
      <c r="B223" s="37" t="inlineStr">
        <is>
          <t>BK-HS-0101</t>
        </is>
      </c>
      <c r="C223" s="37" t="inlineStr">
        <is>
          <t>Phạm Hồng Sỹ</t>
        </is>
      </c>
      <c r="D223" s="37" t="inlineStr">
        <is>
          <t>Phòng Đo đạc</t>
        </is>
      </c>
      <c r="E223" s="37" t="inlineStr">
        <is>
          <t>Hoàn công</t>
        </is>
      </c>
      <c r="F223" s="27" t="n">
        <v>46039</v>
      </c>
      <c r="G223" s="29" t="n">
        <v>8000000</v>
      </c>
      <c r="H223" s="29" t="n">
        <v>8000000</v>
      </c>
      <c r="I223" s="29">
        <f>IF(G223="","",G223-H223)</f>
        <v/>
      </c>
      <c r="J223" s="37">
        <f>IF(A223="","",IF(I223&lt;=0,"Đã tất toán",IF(L223&lt;TODAY(),"Quá hạn","Còn nợ")))</f>
        <v/>
      </c>
      <c r="K223" s="37" t="inlineStr">
        <is>
          <t>Tuấn Lộc</t>
        </is>
      </c>
      <c r="L223" s="27" t="n"/>
      <c r="M223" s="37" t="n"/>
    </row>
    <row r="224" ht="15.75" customHeight="1" s="56">
      <c r="A224" s="37" t="inlineStr">
        <is>
          <t>029/BK-2026</t>
        </is>
      </c>
      <c r="B224" s="37" t="inlineStr">
        <is>
          <t>BK-HS-0100</t>
        </is>
      </c>
      <c r="C224" s="37" t="inlineStr">
        <is>
          <t>Nguyễn Văn Trung</t>
        </is>
      </c>
      <c r="D224" s="37" t="inlineStr">
        <is>
          <t>Phòng Đo đạc</t>
        </is>
      </c>
      <c r="E224" s="37" t="inlineStr">
        <is>
          <t>Hoàn công</t>
        </is>
      </c>
      <c r="F224" s="27" t="n">
        <v>46039</v>
      </c>
      <c r="G224" s="29" t="n"/>
      <c r="H224" s="29" t="n">
        <v>5000000</v>
      </c>
      <c r="I224" s="29">
        <f>IF(G224="","",G224-H224)</f>
        <v/>
      </c>
      <c r="J224" s="37">
        <f>IF(A224="","",IF(I224&lt;=0,"Đã tất toán",IF(L224&lt;TODAY(),"Quá hạn","Còn nợ")))</f>
        <v/>
      </c>
      <c r="K224" s="37" t="inlineStr">
        <is>
          <t>Cô Hoa</t>
        </is>
      </c>
      <c r="L224" s="27" t="n"/>
      <c r="M224" s="37" t="n"/>
    </row>
    <row r="225" ht="15.75" customHeight="1" s="56">
      <c r="A225" s="37" t="inlineStr">
        <is>
          <t>030/BK-2026</t>
        </is>
      </c>
      <c r="B225" s="37" t="inlineStr">
        <is>
          <t>BK-HS-0099</t>
        </is>
      </c>
      <c r="C225" s="37" t="inlineStr">
        <is>
          <t>Trần Đức Phú</t>
        </is>
      </c>
      <c r="D225" s="37" t="inlineStr">
        <is>
          <t>Phòng Đo đạc</t>
        </is>
      </c>
      <c r="E225" s="37" t="inlineStr">
        <is>
          <t>Cắm mốc</t>
        </is>
      </c>
      <c r="F225" s="27" t="n">
        <v>46039</v>
      </c>
      <c r="G225" s="29" t="n">
        <v>1</v>
      </c>
      <c r="H225" s="29" t="n">
        <v>1</v>
      </c>
      <c r="I225" s="29">
        <f>IF(G225="","",G225-H225)</f>
        <v/>
      </c>
      <c r="J225" s="37">
        <f>IF(A225="","",IF(I225&lt;=0,"Đã tất toán",IF(L225&lt;TODAY(),"Quá hạn","Còn nợ")))</f>
        <v/>
      </c>
      <c r="K225" s="37" t="inlineStr">
        <is>
          <t>Hoàng Quân</t>
        </is>
      </c>
      <c r="L225" s="27" t="n"/>
      <c r="M225" s="37" t="n"/>
    </row>
    <row r="226" ht="15.75" customHeight="1" s="56">
      <c r="A226" s="37" t="inlineStr">
        <is>
          <t>031/BK-2026</t>
        </is>
      </c>
      <c r="B226" s="37" t="inlineStr">
        <is>
          <t>BK-HS-0098</t>
        </is>
      </c>
      <c r="C226" s="37" t="inlineStr">
        <is>
          <t>Trần Đình Sỹ Tấn</t>
        </is>
      </c>
      <c r="D226" s="37" t="inlineStr">
        <is>
          <t>Phòng Đo đạc</t>
        </is>
      </c>
      <c r="E226" s="37" t="inlineStr">
        <is>
          <t>Hoàn công</t>
        </is>
      </c>
      <c r="F226" s="27" t="n">
        <v>46040</v>
      </c>
      <c r="G226" s="29" t="n">
        <v>35</v>
      </c>
      <c r="H226" s="29" t="n">
        <v>0</v>
      </c>
      <c r="I226" s="29">
        <f>IF(G226="","",G226-H226)</f>
        <v/>
      </c>
      <c r="J226" s="37">
        <f>IF(A226="","",IF(I226&lt;=0,"Đã tất toán",IF(L226&lt;TODAY(),"Quá hạn","Còn nợ")))</f>
        <v/>
      </c>
      <c r="K226" s="37" t="inlineStr">
        <is>
          <t>Công Ty</t>
        </is>
      </c>
      <c r="L226" s="27" t="n"/>
      <c r="M226" s="37" t="n"/>
    </row>
    <row r="227" ht="15.75" customHeight="1" s="56">
      <c r="A227" s="37" t="inlineStr">
        <is>
          <t>032/BK-2026</t>
        </is>
      </c>
      <c r="B227" s="37" t="inlineStr">
        <is>
          <t>BK-HS-0097</t>
        </is>
      </c>
      <c r="C227" s="37" t="inlineStr">
        <is>
          <t>Nguyễn Khắc Thọ-Nguyễn Thị Hồng</t>
        </is>
      </c>
      <c r="D227" s="37" t="inlineStr">
        <is>
          <t>Phòng Đo đạc</t>
        </is>
      </c>
      <c r="E227" s="37" t="inlineStr">
        <is>
          <t>Hoàn công</t>
        </is>
      </c>
      <c r="F227" s="27" t="n">
        <v>46040</v>
      </c>
      <c r="G227" s="29" t="n">
        <v>40</v>
      </c>
      <c r="H227" s="29" t="n">
        <v>0</v>
      </c>
      <c r="I227" s="29">
        <f>IF(G227="","",G227-H227)</f>
        <v/>
      </c>
      <c r="J227" s="37">
        <f>IF(A227="","",IF(I227&lt;=0,"Đã tất toán",IF(L227&lt;TODAY(),"Quá hạn","Còn nợ")))</f>
        <v/>
      </c>
      <c r="K227" s="37" t="inlineStr">
        <is>
          <t>Tạ Khắc Tập</t>
        </is>
      </c>
      <c r="L227" s="27" t="n"/>
      <c r="M227" s="37" t="n"/>
    </row>
    <row r="228" ht="15.75" customHeight="1" s="56">
      <c r="A228" s="37" t="inlineStr">
        <is>
          <t>033/BK-2026</t>
        </is>
      </c>
      <c r="B228" s="37" t="inlineStr">
        <is>
          <t>BK-HS-0096</t>
        </is>
      </c>
      <c r="C228" s="37" t="inlineStr">
        <is>
          <t>Lê Văn Mạnh</t>
        </is>
      </c>
      <c r="D228" s="37" t="inlineStr">
        <is>
          <t>Phòng Đo đạc</t>
        </is>
      </c>
      <c r="E228" s="37" t="inlineStr">
        <is>
          <t>Điều chỉnh bản vẽ</t>
        </is>
      </c>
      <c r="F228" s="27" t="n">
        <v>46040</v>
      </c>
      <c r="G228" s="29" t="n">
        <v>7000000</v>
      </c>
      <c r="H228" s="29" t="n">
        <v>0</v>
      </c>
      <c r="I228" s="29">
        <f>IF(G228="","",G228-H228)</f>
        <v/>
      </c>
      <c r="J228" s="37">
        <f>IF(A228="","",IF(I228&lt;=0,"Đã tất toán",IF(L228&lt;TODAY(),"Quá hạn","Còn nợ")))</f>
        <v/>
      </c>
      <c r="K228" s="37" t="inlineStr">
        <is>
          <t>Công Ty</t>
        </is>
      </c>
      <c r="L228" s="27" t="n"/>
      <c r="M228" s="37" t="n"/>
    </row>
    <row r="229" ht="15.75" customHeight="1" s="56">
      <c r="A229" s="37" t="inlineStr">
        <is>
          <t>034/BK-2026</t>
        </is>
      </c>
      <c r="B229" s="37" t="inlineStr">
        <is>
          <t>BK-HS-0095</t>
        </is>
      </c>
      <c r="C229" s="37" t="inlineStr">
        <is>
          <t>Đỗ Thị Mười</t>
        </is>
      </c>
      <c r="D229" s="37" t="inlineStr">
        <is>
          <t>Phòng Đo đạc</t>
        </is>
      </c>
      <c r="E229" s="37" t="inlineStr">
        <is>
          <t>Điều chỉnh bản vẽ</t>
        </is>
      </c>
      <c r="F229" s="27" t="n">
        <v>46040</v>
      </c>
      <c r="G229" s="29" t="n">
        <v>7000000</v>
      </c>
      <c r="H229" s="29" t="n">
        <v>0</v>
      </c>
      <c r="I229" s="29">
        <f>IF(G229="","",G229-H229)</f>
        <v/>
      </c>
      <c r="J229" s="37">
        <f>IF(A229="","",IF(I229&lt;=0,"Đã tất toán",IF(L229&lt;TODAY(),"Quá hạn","Còn nợ")))</f>
        <v/>
      </c>
      <c r="K229" s="37" t="inlineStr">
        <is>
          <t>Công Ty</t>
        </is>
      </c>
      <c r="L229" s="27" t="n"/>
      <c r="M229" s="37" t="n"/>
    </row>
    <row r="230" ht="15.75" customHeight="1" s="56">
      <c r="A230" s="37" t="inlineStr">
        <is>
          <t>035/BK-2026</t>
        </is>
      </c>
      <c r="B230" s="37" t="inlineStr">
        <is>
          <t>BK-HS-0094</t>
        </is>
      </c>
      <c r="C230" s="37" t="inlineStr">
        <is>
          <t>Nguyễn Thị Trúc Thanh-Hoàng Phi Hải</t>
        </is>
      </c>
      <c r="D230" s="37" t="inlineStr">
        <is>
          <t>Phòng Đo đạc</t>
        </is>
      </c>
      <c r="E230" s="37" t="inlineStr">
        <is>
          <t>Cấp đổi</t>
        </is>
      </c>
      <c r="F230" s="27" t="n">
        <v>46040</v>
      </c>
      <c r="G230" s="29" t="n">
        <v>75000000</v>
      </c>
      <c r="H230" s="29" t="n">
        <v>75000000</v>
      </c>
      <c r="I230" s="29">
        <f>IF(G230="","",G230-H230)</f>
        <v/>
      </c>
      <c r="J230" s="37">
        <f>IF(A230="","",IF(I230&lt;=0,"Đã tất toán",IF(L230&lt;TODAY(),"Quá hạn","Còn nợ")))</f>
        <v/>
      </c>
      <c r="K230" s="37" t="inlineStr">
        <is>
          <t>Nguyễn Hương DV</t>
        </is>
      </c>
      <c r="L230" s="27" t="n"/>
      <c r="M230" s="37" t="n"/>
    </row>
    <row r="231" ht="15.75" customHeight="1" s="56">
      <c r="A231" s="37" t="inlineStr">
        <is>
          <t>036/BK-2026</t>
        </is>
      </c>
      <c r="B231" s="37" t="inlineStr">
        <is>
          <t>BK-HS-0093</t>
        </is>
      </c>
      <c r="C231" s="37" t="inlineStr">
        <is>
          <t>Phạm Thị Trang</t>
        </is>
      </c>
      <c r="D231" s="37" t="inlineStr">
        <is>
          <t>Phòng Đo đạc</t>
        </is>
      </c>
      <c r="E231" s="37" t="inlineStr">
        <is>
          <t>Đo GPS</t>
        </is>
      </c>
      <c r="F231" s="27" t="n">
        <v>46040</v>
      </c>
      <c r="G231" s="29" t="n">
        <v>1</v>
      </c>
      <c r="H231" s="29" t="n">
        <v>1</v>
      </c>
      <c r="I231" s="29">
        <f>IF(G231="","",G231-H231)</f>
        <v/>
      </c>
      <c r="J231" s="37">
        <f>IF(A231="","",IF(I231&lt;=0,"Đã tất toán",IF(L231&lt;TODAY(),"Quá hạn","Còn nợ")))</f>
        <v/>
      </c>
      <c r="K231" s="37" t="inlineStr">
        <is>
          <t>Cô Hoa</t>
        </is>
      </c>
      <c r="L231" s="27" t="n"/>
      <c r="M231" s="37" t="n"/>
    </row>
    <row r="232" ht="15.75" customHeight="1" s="56">
      <c r="A232" s="37" t="inlineStr">
        <is>
          <t>037/BK-2026</t>
        </is>
      </c>
      <c r="B232" s="37" t="inlineStr">
        <is>
          <t>BK-HS-0092</t>
        </is>
      </c>
      <c r="C232" s="37" t="inlineStr">
        <is>
          <t>Nguyễn Thị An</t>
        </is>
      </c>
      <c r="D232" s="37" t="inlineStr">
        <is>
          <t>Phòng Đo đạc</t>
        </is>
      </c>
      <c r="E232" s="37" t="inlineStr">
        <is>
          <t>Hoàn công</t>
        </is>
      </c>
      <c r="F232" s="27" t="n">
        <v>46040</v>
      </c>
      <c r="G232" s="29" t="n">
        <v>29500000</v>
      </c>
      <c r="H232" s="29" t="n">
        <v>29500000</v>
      </c>
      <c r="I232" s="29">
        <f>IF(G232="","",G232-H232)</f>
        <v/>
      </c>
      <c r="J232" s="37">
        <f>IF(A232="","",IF(I232&lt;=0,"Đã tất toán",IF(L232&lt;TODAY(),"Quá hạn","Còn nợ")))</f>
        <v/>
      </c>
      <c r="K232" s="37" t="inlineStr">
        <is>
          <t>Công Ty</t>
        </is>
      </c>
      <c r="L232" s="27" t="n"/>
      <c r="M232" s="37" t="n"/>
    </row>
    <row r="233" ht="15.75" customHeight="1" s="56">
      <c r="A233" s="37" t="inlineStr">
        <is>
          <t>038/BK-2026</t>
        </is>
      </c>
      <c r="B233" s="37" t="inlineStr">
        <is>
          <t>BK-HS-0091</t>
        </is>
      </c>
      <c r="C233" s="37" t="inlineStr">
        <is>
          <t>Nguyễn Thị Cẩm Vân</t>
        </is>
      </c>
      <c r="D233" s="37" t="inlineStr">
        <is>
          <t>Phòng Đo đạc</t>
        </is>
      </c>
      <c r="E233" s="37" t="inlineStr">
        <is>
          <t>Cấp đổi</t>
        </is>
      </c>
      <c r="F233" s="27" t="n">
        <v>46042</v>
      </c>
      <c r="G233" s="29" t="n">
        <v>20000000</v>
      </c>
      <c r="H233" s="29" t="n">
        <v>3</v>
      </c>
      <c r="I233" s="29">
        <f>IF(G233="","",G233-H233)</f>
        <v/>
      </c>
      <c r="J233" s="37">
        <f>IF(A233="","",IF(I233&lt;=0,"Đã tất toán",IF(L233&lt;TODAY(),"Quá hạn","Còn nợ")))</f>
        <v/>
      </c>
      <c r="K233" s="37" t="inlineStr">
        <is>
          <t>Công Ty</t>
        </is>
      </c>
      <c r="L233" s="27" t="n"/>
      <c r="M233" s="37" t="n"/>
    </row>
    <row r="234" ht="15.75" customHeight="1" s="56">
      <c r="A234" s="37" t="inlineStr">
        <is>
          <t>039/BK-2026</t>
        </is>
      </c>
      <c r="B234" s="37" t="inlineStr">
        <is>
          <t>BK-HS-0090</t>
        </is>
      </c>
      <c r="C234" s="37" t="inlineStr">
        <is>
          <t>Trương Thị Ngọc Mai</t>
        </is>
      </c>
      <c r="D234" s="37" t="inlineStr">
        <is>
          <t>Phòng Đo đạc</t>
        </is>
      </c>
      <c r="E234" s="37" t="inlineStr">
        <is>
          <t>Cắm mốc</t>
        </is>
      </c>
      <c r="F234" s="27" t="n">
        <v>46042</v>
      </c>
      <c r="G234" s="29" t="n">
        <v>3000000</v>
      </c>
      <c r="H234" s="29" t="n">
        <v>3000000</v>
      </c>
      <c r="I234" s="29">
        <f>IF(G234="","",G234-H234)</f>
        <v/>
      </c>
      <c r="J234" s="37">
        <f>IF(A234="","",IF(I234&lt;=0,"Đã tất toán",IF(L234&lt;TODAY(),"Quá hạn","Còn nợ")))</f>
        <v/>
      </c>
      <c r="K234" s="37" t="inlineStr">
        <is>
          <t>Công Ty</t>
        </is>
      </c>
      <c r="L234" s="27" t="n"/>
      <c r="M234" s="37" t="n"/>
    </row>
    <row r="235" ht="15.75" customHeight="1" s="56">
      <c r="A235" s="37" t="inlineStr">
        <is>
          <t>040/BK-2026</t>
        </is>
      </c>
      <c r="B235" s="37" t="inlineStr">
        <is>
          <t>BK-HS-0089</t>
        </is>
      </c>
      <c r="C235" s="37" t="inlineStr">
        <is>
          <t>Cắm mốc Tuấn BK</t>
        </is>
      </c>
      <c r="D235" s="37" t="inlineStr">
        <is>
          <t>Phòng Đo đạc</t>
        </is>
      </c>
      <c r="E235" s="37" t="inlineStr">
        <is>
          <t>Cắm mốc</t>
        </is>
      </c>
      <c r="F235" s="27" t="n">
        <v>46043</v>
      </c>
      <c r="G235" s="29" t="n">
        <v>3000000</v>
      </c>
      <c r="H235" s="29" t="n">
        <v>3000000</v>
      </c>
      <c r="I235" s="29">
        <f>IF(G235="","",G235-H235)</f>
        <v/>
      </c>
      <c r="J235" s="37">
        <f>IF(A235="","",IF(I235&lt;=0,"Đã tất toán",IF(L235&lt;TODAY(),"Quá hạn","Còn nợ")))</f>
        <v/>
      </c>
      <c r="K235" s="37" t="inlineStr">
        <is>
          <t>Tuấn Lộc</t>
        </is>
      </c>
      <c r="L235" s="27" t="n"/>
      <c r="M235" s="37" t="n"/>
    </row>
    <row r="236" ht="15.75" customHeight="1" s="56">
      <c r="A236" s="37" t="inlineStr">
        <is>
          <t>041/BK-2026</t>
        </is>
      </c>
      <c r="B236" s="37" t="inlineStr">
        <is>
          <t>BK-HS-0088</t>
        </is>
      </c>
      <c r="C236" s="37" t="inlineStr">
        <is>
          <t>Đinh Văn Long</t>
        </is>
      </c>
      <c r="D236" s="37" t="inlineStr">
        <is>
          <t>Phòng Đo đạc</t>
        </is>
      </c>
      <c r="E236" s="37" t="inlineStr">
        <is>
          <t>Hoàn công</t>
        </is>
      </c>
      <c r="F236" s="27" t="n">
        <v>46044</v>
      </c>
      <c r="G236" s="29" t="n">
        <v>100</v>
      </c>
      <c r="H236" s="29" t="n">
        <v>0</v>
      </c>
      <c r="I236" s="29">
        <f>IF(G236="","",G236-H236)</f>
        <v/>
      </c>
      <c r="J236" s="37">
        <f>IF(A236="","",IF(I236&lt;=0,"Đã tất toán",IF(L236&lt;TODAY(),"Quá hạn","Còn nợ")))</f>
        <v/>
      </c>
      <c r="K236" s="37" t="inlineStr">
        <is>
          <t>Đạt Việt Phát Land</t>
        </is>
      </c>
      <c r="L236" s="27" t="n"/>
      <c r="M236" s="37" t="n"/>
    </row>
    <row r="237" ht="15.75" customHeight="1" s="56">
      <c r="A237" s="37" t="inlineStr">
        <is>
          <t>042/BK-2026</t>
        </is>
      </c>
      <c r="B237" s="37" t="inlineStr">
        <is>
          <t>BK-HS-0087</t>
        </is>
      </c>
      <c r="C237" s="37" t="inlineStr">
        <is>
          <t>Lê Thị Nguyệt</t>
        </is>
      </c>
      <c r="D237" s="37" t="inlineStr">
        <is>
          <t>Phòng Đo đạc</t>
        </is>
      </c>
      <c r="E237" s="37" t="inlineStr">
        <is>
          <t>Xác định diện tích</t>
        </is>
      </c>
      <c r="F237" s="27" t="n">
        <v>46044</v>
      </c>
      <c r="G237" s="29" t="n">
        <v>1</v>
      </c>
      <c r="H237" s="29" t="n">
        <v>1</v>
      </c>
      <c r="I237" s="29">
        <f>IF(G237="","",G237-H237)</f>
        <v/>
      </c>
      <c r="J237" s="37">
        <f>IF(A237="","",IF(I237&lt;=0,"Đã tất toán",IF(L237&lt;TODAY(),"Quá hạn","Còn nợ")))</f>
        <v/>
      </c>
      <c r="K237" s="37" t="inlineStr">
        <is>
          <t>Đạt Việt Phát Land</t>
        </is>
      </c>
      <c r="L237" s="27" t="n"/>
      <c r="M237" s="37" t="n"/>
    </row>
    <row r="238" ht="15.75" customHeight="1" s="56">
      <c r="A238" s="37" t="inlineStr">
        <is>
          <t>043/BK-2026</t>
        </is>
      </c>
      <c r="B238" s="37" t="inlineStr">
        <is>
          <t>BK-HS-0086</t>
        </is>
      </c>
      <c r="C238" s="37" t="inlineStr">
        <is>
          <t>Võ Văn Hoa</t>
        </is>
      </c>
      <c r="D238" s="37" t="inlineStr">
        <is>
          <t>Phòng Đo đạc</t>
        </is>
      </c>
      <c r="E238" s="37" t="inlineStr">
        <is>
          <t>Xác định diện tích</t>
        </is>
      </c>
      <c r="F238" s="27" t="n">
        <v>46044</v>
      </c>
      <c r="G238" s="29" t="n">
        <v>1</v>
      </c>
      <c r="H238" s="29" t="n">
        <v>1</v>
      </c>
      <c r="I238" s="29">
        <f>IF(G238="","",G238-H238)</f>
        <v/>
      </c>
      <c r="J238" s="37">
        <f>IF(A238="","",IF(I238&lt;=0,"Đã tất toán",IF(L238&lt;TODAY(),"Quá hạn","Còn nợ")))</f>
        <v/>
      </c>
      <c r="K238" s="37" t="inlineStr">
        <is>
          <t>Công Ty</t>
        </is>
      </c>
      <c r="L238" s="27" t="n"/>
      <c r="M238" s="37" t="n"/>
    </row>
    <row r="239" ht="15.75" customHeight="1" s="56">
      <c r="A239" s="37" t="inlineStr">
        <is>
          <t>044/BK-2026</t>
        </is>
      </c>
      <c r="B239" s="37" t="inlineStr">
        <is>
          <t>BK-HS-0085</t>
        </is>
      </c>
      <c r="C239" s="37" t="inlineStr">
        <is>
          <t>Lê Quang Đạo</t>
        </is>
      </c>
      <c r="D239" s="37" t="inlineStr">
        <is>
          <t>Phòng Đo đạc</t>
        </is>
      </c>
      <c r="E239" s="37" t="inlineStr">
        <is>
          <t>Hoàn công</t>
        </is>
      </c>
      <c r="F239" s="27" t="n">
        <v>46044</v>
      </c>
      <c r="G239" s="29" t="n">
        <v>1</v>
      </c>
      <c r="H239" s="29" t="n">
        <v>1</v>
      </c>
      <c r="I239" s="29">
        <f>IF(G239="","",G239-H239)</f>
        <v/>
      </c>
      <c r="J239" s="37">
        <f>IF(A239="","",IF(I239&lt;=0,"Đã tất toán",IF(L239&lt;TODAY(),"Quá hạn","Còn nợ")))</f>
        <v/>
      </c>
      <c r="K239" s="37" t="inlineStr">
        <is>
          <t>Chị Phấn DV</t>
        </is>
      </c>
      <c r="L239" s="27" t="n"/>
      <c r="M239" s="37" t="n"/>
    </row>
    <row r="240" ht="15.75" customHeight="1" s="56">
      <c r="A240" s="37" t="inlineStr">
        <is>
          <t>045/BK-2026</t>
        </is>
      </c>
      <c r="B240" s="37" t="inlineStr">
        <is>
          <t>BK-HS-0084</t>
        </is>
      </c>
      <c r="C240" s="37" t="inlineStr">
        <is>
          <t>Phan Thanh Phong</t>
        </is>
      </c>
      <c r="D240" s="37" t="inlineStr">
        <is>
          <t>Phòng Đo đạc</t>
        </is>
      </c>
      <c r="E240" s="37" t="inlineStr">
        <is>
          <t>Xác định diện tích</t>
        </is>
      </c>
      <c r="F240" s="27" t="n">
        <v>46045</v>
      </c>
      <c r="G240" s="29" t="n">
        <v>3000000</v>
      </c>
      <c r="H240" s="29" t="n">
        <v>3000000</v>
      </c>
      <c r="I240" s="29">
        <f>IF(G240="","",G240-H240)</f>
        <v/>
      </c>
      <c r="J240" s="37">
        <f>IF(A240="","",IF(I240&lt;=0,"Đã tất toán",IF(L240&lt;TODAY(),"Quá hạn","Còn nợ")))</f>
        <v/>
      </c>
      <c r="K240" s="37" t="inlineStr">
        <is>
          <t>Anh Long PCT</t>
        </is>
      </c>
      <c r="L240" s="27" t="n"/>
      <c r="M240" s="37" t="n"/>
    </row>
    <row r="241" ht="15.75" customHeight="1" s="56">
      <c r="A241" s="37" t="inlineStr">
        <is>
          <t>046/BK-2026</t>
        </is>
      </c>
      <c r="B241" s="37" t="inlineStr">
        <is>
          <t>BK-HS-0083</t>
        </is>
      </c>
      <c r="C241" s="37" t="inlineStr">
        <is>
          <t>Nguyễn Tiến Quân</t>
        </is>
      </c>
      <c r="D241" s="37" t="inlineStr">
        <is>
          <t>Phòng Đo đạc</t>
        </is>
      </c>
      <c r="E241" s="37" t="inlineStr">
        <is>
          <t>Cấp đổi</t>
        </is>
      </c>
      <c r="F241" s="27" t="n">
        <v>46045</v>
      </c>
      <c r="G241" s="29" t="n"/>
      <c r="H241" s="29" t="n">
        <v>0</v>
      </c>
      <c r="I241" s="29">
        <f>IF(G241="","",G241-H241)</f>
        <v/>
      </c>
      <c r="J241" s="37">
        <f>IF(A241="","",IF(I241&lt;=0,"Đã tất toán",IF(L241&lt;TODAY(),"Quá hạn","Còn nợ")))</f>
        <v/>
      </c>
      <c r="K241" s="37" t="inlineStr">
        <is>
          <t>Hoàng Cương BĐS</t>
        </is>
      </c>
      <c r="L241" s="27" t="n"/>
      <c r="M241" s="37" t="n"/>
    </row>
    <row r="242" ht="15.75" customHeight="1" s="56">
      <c r="A242" s="37" t="inlineStr">
        <is>
          <t>047/BK-2026</t>
        </is>
      </c>
      <c r="B242" s="37" t="inlineStr">
        <is>
          <t>BK-HS-0082</t>
        </is>
      </c>
      <c r="C242" s="37" t="inlineStr">
        <is>
          <t>Đặng Thị Kim Thiện</t>
        </is>
      </c>
      <c r="D242" s="37" t="inlineStr">
        <is>
          <t>Phòng Đo đạc</t>
        </is>
      </c>
      <c r="E242" s="37" t="inlineStr">
        <is>
          <t>Cấp đổi</t>
        </is>
      </c>
      <c r="F242" s="27" t="n">
        <v>46046</v>
      </c>
      <c r="G242" s="29" t="n">
        <v>45000000</v>
      </c>
      <c r="H242" s="29" t="n">
        <v>45000000</v>
      </c>
      <c r="I242" s="29">
        <f>IF(G242="","",G242-H242)</f>
        <v/>
      </c>
      <c r="J242" s="37">
        <f>IF(A242="","",IF(I242&lt;=0,"Đã tất toán",IF(L242&lt;TODAY(),"Quá hạn","Còn nợ")))</f>
        <v/>
      </c>
      <c r="K242" s="37" t="inlineStr">
        <is>
          <t>Chị Phấn DV</t>
        </is>
      </c>
      <c r="L242" s="27" t="n"/>
      <c r="M242" s="37" t="n"/>
    </row>
    <row r="243" ht="15.75" customHeight="1" s="56">
      <c r="A243" s="37" t="inlineStr">
        <is>
          <t>048/BK-2026</t>
        </is>
      </c>
      <c r="B243" s="37" t="inlineStr">
        <is>
          <t>BK-HS-0081</t>
        </is>
      </c>
      <c r="C243" s="37" t="inlineStr">
        <is>
          <t>Phạm Thị Giao Linh</t>
        </is>
      </c>
      <c r="D243" s="37" t="inlineStr">
        <is>
          <t>Phòng Đo đạc</t>
        </is>
      </c>
      <c r="E243" s="37" t="inlineStr">
        <is>
          <t>Cắm mốc</t>
        </is>
      </c>
      <c r="F243" s="27" t="n">
        <v>46046</v>
      </c>
      <c r="G243" s="29" t="n">
        <v>3000000</v>
      </c>
      <c r="H243" s="29" t="n">
        <v>3000000</v>
      </c>
      <c r="I243" s="29">
        <f>IF(G243="","",G243-H243)</f>
        <v/>
      </c>
      <c r="J243" s="37">
        <f>IF(A243="","",IF(I243&lt;=0,"Đã tất toán",IF(L243&lt;TODAY(),"Quá hạn","Còn nợ")))</f>
        <v/>
      </c>
      <c r="K243" s="37" t="inlineStr">
        <is>
          <t>Tùng Huế DV</t>
        </is>
      </c>
      <c r="L243" s="27" t="n"/>
      <c r="M243" s="37" t="n"/>
    </row>
    <row r="244" ht="15.75" customHeight="1" s="56">
      <c r="A244" s="37" t="inlineStr">
        <is>
          <t>049/BK-2026</t>
        </is>
      </c>
      <c r="B244" s="37" t="inlineStr">
        <is>
          <t>BK-HS-0080</t>
        </is>
      </c>
      <c r="C244" s="37" t="inlineStr">
        <is>
          <t>Tống Thị Mỹ Trang</t>
        </is>
      </c>
      <c r="D244" s="37" t="inlineStr">
        <is>
          <t>Phòng Đo đạc</t>
        </is>
      </c>
      <c r="E244" s="37" t="inlineStr">
        <is>
          <t>Hoàn công</t>
        </is>
      </c>
      <c r="F244" s="27" t="n">
        <v>46046</v>
      </c>
      <c r="G244" s="29" t="n">
        <v>10</v>
      </c>
      <c r="H244" s="29" t="n">
        <v>0</v>
      </c>
      <c r="I244" s="29">
        <f>IF(G244="","",G244-H244)</f>
        <v/>
      </c>
      <c r="J244" s="37">
        <f>IF(A244="","",IF(I244&lt;=0,"Đã tất toán",IF(L244&lt;TODAY(),"Quá hạn","Còn nợ")))</f>
        <v/>
      </c>
      <c r="K244" s="37" t="inlineStr">
        <is>
          <t>Đạt Việt Phát Land</t>
        </is>
      </c>
      <c r="L244" s="27" t="n"/>
      <c r="M244" s="37" t="n"/>
    </row>
    <row r="245" ht="15.75" customHeight="1" s="56">
      <c r="A245" s="37" t="inlineStr">
        <is>
          <t>050/BK-2026</t>
        </is>
      </c>
      <c r="B245" s="37" t="inlineStr">
        <is>
          <t>BK-HS-0079</t>
        </is>
      </c>
      <c r="C245" s="37" t="inlineStr">
        <is>
          <t>Đinh Văn Hòa</t>
        </is>
      </c>
      <c r="D245" s="37" t="inlineStr">
        <is>
          <t>Phòng Đo đạc</t>
        </is>
      </c>
      <c r="E245" s="37" t="inlineStr">
        <is>
          <t>Cấp đổi</t>
        </is>
      </c>
      <c r="F245" s="27" t="n">
        <v>46047</v>
      </c>
      <c r="G245" s="29" t="n"/>
      <c r="H245" s="29" t="n">
        <v>0</v>
      </c>
      <c r="I245" s="29">
        <f>IF(G245="","",G245-H245)</f>
        <v/>
      </c>
      <c r="J245" s="37">
        <f>IF(A245="","",IF(I245&lt;=0,"Đã tất toán",IF(L245&lt;TODAY(),"Quá hạn","Còn nợ")))</f>
        <v/>
      </c>
      <c r="K245" s="37" t="inlineStr">
        <is>
          <t>Anh Tùng Bất Động Sản</t>
        </is>
      </c>
      <c r="L245" s="27" t="n"/>
      <c r="M245" s="37" t="n"/>
    </row>
    <row r="246" ht="15.75" customHeight="1" s="56">
      <c r="A246" s="37" t="inlineStr">
        <is>
          <t>051/BK-2026</t>
        </is>
      </c>
      <c r="B246" s="37" t="inlineStr">
        <is>
          <t>BK-HS-0078</t>
        </is>
      </c>
      <c r="C246" s="37" t="inlineStr">
        <is>
          <t>Đinh Văn Hòa</t>
        </is>
      </c>
      <c r="D246" s="37" t="inlineStr">
        <is>
          <t>Phòng Đo đạc</t>
        </is>
      </c>
      <c r="E246" s="37" t="inlineStr">
        <is>
          <t>Cắm mốc</t>
        </is>
      </c>
      <c r="F246" s="27" t="n">
        <v>46048</v>
      </c>
      <c r="G246" s="29" t="n"/>
      <c r="H246" s="29" t="n">
        <v>0</v>
      </c>
      <c r="I246" s="29">
        <f>IF(G246="","",G246-H246)</f>
        <v/>
      </c>
      <c r="J246" s="37">
        <f>IF(A246="","",IF(I246&lt;=0,"Đã tất toán",IF(L246&lt;TODAY(),"Quá hạn","Còn nợ")))</f>
        <v/>
      </c>
      <c r="K246" s="37" t="inlineStr">
        <is>
          <t>Anh Tùng Bất Động Sản</t>
        </is>
      </c>
      <c r="L246" s="27" t="n"/>
      <c r="M246" s="37" t="n"/>
    </row>
    <row r="247" ht="15.75" customHeight="1" s="56">
      <c r="A247" s="37" t="inlineStr">
        <is>
          <t>052/BK-2026</t>
        </is>
      </c>
      <c r="B247" s="37" t="inlineStr">
        <is>
          <t>BK-HS-0072</t>
        </is>
      </c>
      <c r="C247" s="37" t="inlineStr">
        <is>
          <t>Lê Thị Thu Hiền</t>
        </is>
      </c>
      <c r="D247" s="37" t="inlineStr">
        <is>
          <t>Phòng Đo đạc</t>
        </is>
      </c>
      <c r="E247" s="37" t="inlineStr">
        <is>
          <t>Xin phép xây dựng</t>
        </is>
      </c>
      <c r="F247" s="27" t="n">
        <v>46051</v>
      </c>
      <c r="G247" s="29" t="n"/>
      <c r="H247" s="29" t="n">
        <v>0</v>
      </c>
      <c r="I247" s="29">
        <f>IF(G247="","",G247-H247)</f>
        <v/>
      </c>
      <c r="J247" s="37">
        <f>IF(A247="","",IF(I247&lt;=0,"Đã tất toán",IF(L247&lt;TODAY(),"Quá hạn","Còn nợ")))</f>
        <v/>
      </c>
      <c r="K247" s="37" t="inlineStr">
        <is>
          <t>Công Ty</t>
        </is>
      </c>
      <c r="L247" s="27" t="n"/>
      <c r="M247" s="37" t="n"/>
    </row>
    <row r="248" ht="15.75" customHeight="1" s="56">
      <c r="A248" s="37" t="inlineStr">
        <is>
          <t>053/BK-2026</t>
        </is>
      </c>
      <c r="B248" s="37" t="inlineStr">
        <is>
          <t>BK-HS-0076</t>
        </is>
      </c>
      <c r="C248" s="37" t="inlineStr">
        <is>
          <t>Nguyễn Hữu Cường</t>
        </is>
      </c>
      <c r="D248" s="37" t="inlineStr">
        <is>
          <t>Phòng Đo đạc</t>
        </is>
      </c>
      <c r="E248" s="37" t="inlineStr">
        <is>
          <t>Cấp đổi</t>
        </is>
      </c>
      <c r="F248" s="27" t="n">
        <v>46048</v>
      </c>
      <c r="G248" s="29" t="n">
        <v>12000000</v>
      </c>
      <c r="H248" s="29" t="n">
        <v>6000000</v>
      </c>
      <c r="I248" s="29">
        <f>IF(G248="","",G248-H248)</f>
        <v/>
      </c>
      <c r="J248" s="37">
        <f>IF(A248="","",IF(I248&lt;=0,"Đã tất toán",IF(L248&lt;TODAY(),"Quá hạn","Còn nợ")))</f>
        <v/>
      </c>
      <c r="K248" s="37" t="inlineStr">
        <is>
          <t>Công Ty</t>
        </is>
      </c>
      <c r="L248" s="27" t="n"/>
      <c r="M248" s="37" t="n"/>
    </row>
    <row r="249" ht="15.75" customHeight="1" s="56">
      <c r="A249" s="37" t="inlineStr">
        <is>
          <t>054/BK-2026</t>
        </is>
      </c>
      <c r="B249" s="37" t="inlineStr">
        <is>
          <t>BK-HS-0075</t>
        </is>
      </c>
      <c r="C249" s="37" t="inlineStr">
        <is>
          <t>Trần Thị Ngọc Minh</t>
        </is>
      </c>
      <c r="D249" s="37" t="inlineStr">
        <is>
          <t>Phòng Đo đạc</t>
        </is>
      </c>
      <c r="E249" s="37" t="inlineStr">
        <is>
          <t>Cấp đổi</t>
        </is>
      </c>
      <c r="F249" s="27" t="n">
        <v>46049</v>
      </c>
      <c r="G249" s="29" t="n"/>
      <c r="H249" s="29" t="n">
        <v>0</v>
      </c>
      <c r="I249" s="29">
        <f>IF(G249="","",G249-H249)</f>
        <v/>
      </c>
      <c r="J249" s="37">
        <f>IF(A249="","",IF(I249&lt;=0,"Đã tất toán",IF(L249&lt;TODAY(),"Quá hạn","Còn nợ")))</f>
        <v/>
      </c>
      <c r="K249" s="37" t="inlineStr">
        <is>
          <t>Anh Tùng Bất Động Sản</t>
        </is>
      </c>
      <c r="L249" s="27" t="n"/>
      <c r="M249" s="37" t="n"/>
    </row>
    <row r="250" ht="15.75" customHeight="1" s="56">
      <c r="A250" s="37" t="inlineStr">
        <is>
          <t>055/BK-2026</t>
        </is>
      </c>
      <c r="B250" s="37" t="inlineStr">
        <is>
          <t>BK-HS-0074</t>
        </is>
      </c>
      <c r="C250" s="37" t="inlineStr">
        <is>
          <t>Đỗ Hoàng Sang</t>
        </is>
      </c>
      <c r="D250" s="37" t="inlineStr">
        <is>
          <t>Phòng Đo đạc</t>
        </is>
      </c>
      <c r="E250" s="37" t="inlineStr">
        <is>
          <t>Điều chỉnh bản vẽ</t>
        </is>
      </c>
      <c r="F250" s="27" t="n">
        <v>46049</v>
      </c>
      <c r="G250" s="29" t="n">
        <v>8000000</v>
      </c>
      <c r="H250" s="29" t="n">
        <v>4000000</v>
      </c>
      <c r="I250" s="29">
        <f>IF(G250="","",G250-H250)</f>
        <v/>
      </c>
      <c r="J250" s="37">
        <f>IF(A250="","",IF(I250&lt;=0,"Đã tất toán",IF(L250&lt;TODAY(),"Quá hạn","Còn nợ")))</f>
        <v/>
      </c>
      <c r="K250" s="37" t="inlineStr">
        <is>
          <t>Công Ty</t>
        </is>
      </c>
      <c r="L250" s="27" t="n"/>
      <c r="M250" s="37" t="n"/>
    </row>
    <row r="251" ht="15.75" customHeight="1" s="56">
      <c r="A251" s="37" t="inlineStr">
        <is>
          <t>056/BK-2026</t>
        </is>
      </c>
      <c r="B251" s="37" t="inlineStr">
        <is>
          <t>BK-HS-0073</t>
        </is>
      </c>
      <c r="C251" s="37" t="inlineStr">
        <is>
          <t>Đào Thị Huyền Nhung</t>
        </is>
      </c>
      <c r="D251" s="37" t="inlineStr">
        <is>
          <t>Phòng Đo đạc</t>
        </is>
      </c>
      <c r="E251" s="37" t="inlineStr">
        <is>
          <t>Xin phép xây dựng</t>
        </is>
      </c>
      <c r="F251" s="27" t="n">
        <v>46051</v>
      </c>
      <c r="G251" s="29" t="n">
        <v>11000000</v>
      </c>
      <c r="H251" s="29" t="n">
        <v>11000000</v>
      </c>
      <c r="I251" s="29">
        <f>IF(G251="","",G251-H251)</f>
        <v/>
      </c>
      <c r="J251" s="37">
        <f>IF(A251="","",IF(I251&lt;=0,"Đã tất toán",IF(L251&lt;TODAY(),"Quá hạn","Còn nợ")))</f>
        <v/>
      </c>
      <c r="K251" s="37" t="inlineStr">
        <is>
          <t>Đạt Việt Phát Land</t>
        </is>
      </c>
      <c r="L251" s="27" t="n"/>
      <c r="M251" s="37" t="n"/>
    </row>
    <row r="252" ht="15.75" customHeight="1" s="56">
      <c r="A252" s="37" t="inlineStr">
        <is>
          <t>057/BK-2026</t>
        </is>
      </c>
      <c r="B252" s="37" t="inlineStr">
        <is>
          <t>BK-HS-0077</t>
        </is>
      </c>
      <c r="C252" s="37" t="inlineStr">
        <is>
          <t>Nguyễn Thị Phượng</t>
        </is>
      </c>
      <c r="D252" s="37" t="inlineStr">
        <is>
          <t>Phòng Đo đạc</t>
        </is>
      </c>
      <c r="E252" s="37" t="inlineStr">
        <is>
          <t>Điều chỉnh bản vẽ</t>
        </is>
      </c>
      <c r="F252" s="27" t="n">
        <v>46048</v>
      </c>
      <c r="G252" s="29" t="n">
        <v>50000000</v>
      </c>
      <c r="H252" s="29" t="n">
        <v>50000000</v>
      </c>
      <c r="I252" s="29">
        <f>IF(G252="","",G252-H252)</f>
        <v/>
      </c>
      <c r="J252" s="37">
        <f>IF(A252="","",IF(I252&lt;=0,"Đã tất toán",IF(L252&lt;TODAY(),"Quá hạn","Còn nợ")))</f>
        <v/>
      </c>
      <c r="K252" s="37" t="inlineStr">
        <is>
          <t>Chị Phấn DV</t>
        </is>
      </c>
      <c r="L252" s="27" t="n"/>
      <c r="M252" s="37" t="n"/>
    </row>
    <row r="253" ht="15.75" customHeight="1" s="56">
      <c r="A253" s="37" t="inlineStr">
        <is>
          <t>058/BK-2026</t>
        </is>
      </c>
      <c r="B253" s="37" t="inlineStr">
        <is>
          <t>BK-HS-0071</t>
        </is>
      </c>
      <c r="C253" s="37" t="inlineStr">
        <is>
          <t>Lưu Sanh Đạt</t>
        </is>
      </c>
      <c r="D253" s="37" t="inlineStr">
        <is>
          <t>Phòng Đo đạc</t>
        </is>
      </c>
      <c r="E253" s="37" t="inlineStr">
        <is>
          <t>Xin phép xây dựng</t>
        </is>
      </c>
      <c r="F253" s="27" t="n">
        <v>46051</v>
      </c>
      <c r="G253" s="29" t="n"/>
      <c r="H253" s="29" t="n">
        <v>0</v>
      </c>
      <c r="I253" s="29">
        <f>IF(G253="","",G253-H253)</f>
        <v/>
      </c>
      <c r="J253" s="37">
        <f>IF(A253="","",IF(I253&lt;=0,"Đã tất toán",IF(L253&lt;TODAY(),"Quá hạn","Còn nợ")))</f>
        <v/>
      </c>
      <c r="K253" s="37" t="inlineStr">
        <is>
          <t>Đạt Việt Phát Land</t>
        </is>
      </c>
      <c r="L253" s="27" t="n"/>
      <c r="M253" s="37" t="n"/>
    </row>
    <row r="254" ht="15.75" customHeight="1" s="56">
      <c r="A254" s="37" t="inlineStr">
        <is>
          <t>059/BK-2026</t>
        </is>
      </c>
      <c r="B254" s="37" t="inlineStr">
        <is>
          <t>BK-HS-0070</t>
        </is>
      </c>
      <c r="C254" s="37" t="inlineStr">
        <is>
          <t>Đặng Văn Lẹ</t>
        </is>
      </c>
      <c r="D254" s="37" t="inlineStr">
        <is>
          <t>Phòng Đo đạc</t>
        </is>
      </c>
      <c r="E254" s="37" t="inlineStr">
        <is>
          <t>Cắm mốc</t>
        </is>
      </c>
      <c r="F254" s="27" t="n">
        <v>46052</v>
      </c>
      <c r="G254" s="29" t="n">
        <v>2500000</v>
      </c>
      <c r="H254" s="29" t="n">
        <v>0</v>
      </c>
      <c r="I254" s="29">
        <f>IF(G254="","",G254-H254)</f>
        <v/>
      </c>
      <c r="J254" s="37">
        <f>IF(A254="","",IF(I254&lt;=0,"Đã tất toán",IF(L254&lt;TODAY(),"Quá hạn","Còn nợ")))</f>
        <v/>
      </c>
      <c r="K254" s="37" t="inlineStr">
        <is>
          <t>Anh Long PCT</t>
        </is>
      </c>
      <c r="L254" s="27" t="n"/>
      <c r="M254" s="37" t="n"/>
    </row>
    <row r="255" ht="15.75" customHeight="1" s="56">
      <c r="A255" s="37" t="inlineStr">
        <is>
          <t>060/BK-2026</t>
        </is>
      </c>
      <c r="B255" s="37" t="inlineStr">
        <is>
          <t>BK-HS-0069</t>
        </is>
      </c>
      <c r="C255" s="37" t="inlineStr">
        <is>
          <t>Đặng Văn Lẹ</t>
        </is>
      </c>
      <c r="D255" s="37" t="inlineStr">
        <is>
          <t>Phòng Đo đạc</t>
        </is>
      </c>
      <c r="E255" s="37" t="inlineStr">
        <is>
          <t>Chuyển mục đích</t>
        </is>
      </c>
      <c r="F255" s="27" t="n">
        <v>46052</v>
      </c>
      <c r="G255" s="29" t="n">
        <v>18000000</v>
      </c>
      <c r="H255" s="29" t="n">
        <v>0</v>
      </c>
      <c r="I255" s="29">
        <f>IF(G255="","",G255-H255)</f>
        <v/>
      </c>
      <c r="J255" s="37">
        <f>IF(A255="","",IF(I255&lt;=0,"Đã tất toán",IF(L255&lt;TODAY(),"Quá hạn","Còn nợ")))</f>
        <v/>
      </c>
      <c r="K255" s="37" t="inlineStr">
        <is>
          <t>Anh Long PCT</t>
        </is>
      </c>
      <c r="L255" s="27" t="n"/>
      <c r="M255" s="37" t="n"/>
    </row>
    <row r="256" ht="15.75" customHeight="1" s="56">
      <c r="A256" s="37" t="inlineStr">
        <is>
          <t>061-1/BK-2026</t>
        </is>
      </c>
      <c r="B256" s="37" t="inlineStr">
        <is>
          <t>BK-HS-0068</t>
        </is>
      </c>
      <c r="C256" s="37" t="inlineStr">
        <is>
          <t>Bùi Đình Khánh</t>
        </is>
      </c>
      <c r="D256" s="37" t="inlineStr">
        <is>
          <t>Phòng Đo đạc</t>
        </is>
      </c>
      <c r="E256" s="37" t="inlineStr">
        <is>
          <t>Tách Thửa</t>
        </is>
      </c>
      <c r="F256" s="27" t="n">
        <v>46052</v>
      </c>
      <c r="G256" s="29" t="n">
        <v>200</v>
      </c>
      <c r="H256" s="29" t="n">
        <v>0</v>
      </c>
      <c r="I256" s="29">
        <f>IF(G256="","",G256-H256)</f>
        <v/>
      </c>
      <c r="J256" s="37">
        <f>IF(A256="","",IF(I256&lt;=0,"Đã tất toán",IF(L256&lt;TODAY(),"Quá hạn","Còn nợ")))</f>
        <v/>
      </c>
      <c r="K256" s="37" t="inlineStr">
        <is>
          <t>Công Ty</t>
        </is>
      </c>
      <c r="L256" s="27" t="n"/>
      <c r="M256" s="37" t="n"/>
    </row>
    <row r="257" ht="15.75" customHeight="1" s="56">
      <c r="A257" s="37" t="inlineStr">
        <is>
          <t>061-2/BK-2026</t>
        </is>
      </c>
      <c r="B257" s="37" t="inlineStr">
        <is>
          <t>BK-HS-0067</t>
        </is>
      </c>
      <c r="C257" s="37" t="inlineStr">
        <is>
          <t>Bùi Đình Khánh</t>
        </is>
      </c>
      <c r="D257" s="37" t="inlineStr">
        <is>
          <t>Phòng Đo đạc</t>
        </is>
      </c>
      <c r="E257" s="37" t="inlineStr">
        <is>
          <t>Tách Thửa</t>
        </is>
      </c>
      <c r="F257" s="27" t="n">
        <v>46052</v>
      </c>
      <c r="G257" s="29" t="n">
        <v>200</v>
      </c>
      <c r="H257" s="29" t="n">
        <v>0</v>
      </c>
      <c r="I257" s="29">
        <f>IF(G257="","",G257-H257)</f>
        <v/>
      </c>
      <c r="J257" s="37">
        <f>IF(A257="","",IF(I257&lt;=0,"Đã tất toán",IF(L257&lt;TODAY(),"Quá hạn","Còn nợ")))</f>
        <v/>
      </c>
      <c r="K257" s="37" t="inlineStr">
        <is>
          <t>Công Ty</t>
        </is>
      </c>
      <c r="L257" s="27" t="n"/>
      <c r="M257" s="37" t="n"/>
    </row>
    <row r="258" ht="15.75" customHeight="1" s="56">
      <c r="A258" s="37" t="inlineStr">
        <is>
          <t>062/BK-2026</t>
        </is>
      </c>
      <c r="B258" s="37" t="inlineStr">
        <is>
          <t>BK-HS-0066</t>
        </is>
      </c>
      <c r="C258" s="37" t="inlineStr">
        <is>
          <t>Nguyễn Thị Hương</t>
        </is>
      </c>
      <c r="D258" s="37" t="inlineStr">
        <is>
          <t>Phòng Đo đạc</t>
        </is>
      </c>
      <c r="E258" s="37" t="inlineStr">
        <is>
          <t>Hoàn công</t>
        </is>
      </c>
      <c r="F258" s="27" t="n">
        <v>46053</v>
      </c>
      <c r="G258" s="29" t="n">
        <v>1</v>
      </c>
      <c r="H258" s="29" t="n">
        <v>1</v>
      </c>
      <c r="I258" s="29">
        <f>IF(G258="","",G258-H258)</f>
        <v/>
      </c>
      <c r="J258" s="37">
        <f>IF(A258="","",IF(I258&lt;=0,"Đã tất toán",IF(L258&lt;TODAY(),"Quá hạn","Còn nợ")))</f>
        <v/>
      </c>
      <c r="K258" s="37" t="inlineStr">
        <is>
          <t>Công Ty</t>
        </is>
      </c>
      <c r="L258" s="27" t="n"/>
      <c r="M258" s="37" t="n"/>
    </row>
    <row r="259" ht="15.75" customHeight="1" s="56">
      <c r="A259" s="37" t="inlineStr">
        <is>
          <t>063/BK-2026</t>
        </is>
      </c>
      <c r="B259" s="37" t="inlineStr">
        <is>
          <t>BK-HS-0065</t>
        </is>
      </c>
      <c r="C259" s="37" t="inlineStr">
        <is>
          <t>Dương Ngọc Sinh</t>
        </is>
      </c>
      <c r="D259" s="37" t="inlineStr">
        <is>
          <t>Phòng Đo đạc</t>
        </is>
      </c>
      <c r="E259" s="37" t="inlineStr">
        <is>
          <t>Tách Thửa</t>
        </is>
      </c>
      <c r="F259" s="27" t="n">
        <v>46053</v>
      </c>
      <c r="G259" s="29" t="n">
        <v>500000</v>
      </c>
      <c r="H259" s="29" t="n">
        <v>500000</v>
      </c>
      <c r="I259" s="29">
        <f>IF(G259="","",G259-H259)</f>
        <v/>
      </c>
      <c r="J259" s="37">
        <f>IF(A259="","",IF(I259&lt;=0,"Đã tất toán",IF(L259&lt;TODAY(),"Quá hạn","Còn nợ")))</f>
        <v/>
      </c>
      <c r="K259" s="37" t="inlineStr">
        <is>
          <t>Anh Trường LS</t>
        </is>
      </c>
      <c r="L259" s="27" t="n"/>
      <c r="M259" s="37" t="n"/>
    </row>
    <row r="260" ht="15.75" customHeight="1" s="56">
      <c r="A260" s="37" t="inlineStr">
        <is>
          <t>064/BK-2026</t>
        </is>
      </c>
      <c r="B260" s="37" t="inlineStr">
        <is>
          <t>BK-HS-0064</t>
        </is>
      </c>
      <c r="C260" s="37" t="inlineStr">
        <is>
          <t>Lê Xuân Hưng - Nguyễn Thị Kim Yến</t>
        </is>
      </c>
      <c r="D260" s="37" t="inlineStr">
        <is>
          <t>Phòng Đo đạc</t>
        </is>
      </c>
      <c r="E260" s="37" t="inlineStr">
        <is>
          <t>Cấp sổ lần đầu</t>
        </is>
      </c>
      <c r="F260" s="27" t="n">
        <v>46053</v>
      </c>
      <c r="G260" s="29" t="n">
        <v>350</v>
      </c>
      <c r="H260" s="29" t="n">
        <v>0</v>
      </c>
      <c r="I260" s="29">
        <f>IF(G260="","",G260-H260)</f>
        <v/>
      </c>
      <c r="J260" s="37">
        <f>IF(A260="","",IF(I260&lt;=0,"Đã tất toán",IF(L260&lt;TODAY(),"Quá hạn","Còn nợ")))</f>
        <v/>
      </c>
      <c r="K260" s="37" t="inlineStr">
        <is>
          <t>Công Ty</t>
        </is>
      </c>
      <c r="L260" s="27" t="n"/>
      <c r="M260" s="37" t="n"/>
    </row>
    <row r="261" ht="15.75" customHeight="1" s="56">
      <c r="A261" s="37" t="inlineStr">
        <is>
          <t>065/BK-2026</t>
        </is>
      </c>
      <c r="B261" s="37" t="inlineStr">
        <is>
          <t>BK-HS-0063</t>
        </is>
      </c>
      <c r="C261" s="37" t="inlineStr">
        <is>
          <t>Phạm Thị Ngọc Điệp</t>
        </is>
      </c>
      <c r="D261" s="37" t="inlineStr">
        <is>
          <t>Phòng Đo đạc</t>
        </is>
      </c>
      <c r="E261" s="37" t="inlineStr">
        <is>
          <t>Cắm mốc</t>
        </is>
      </c>
      <c r="F261" s="27" t="n">
        <v>46052</v>
      </c>
      <c r="G261" s="29" t="n">
        <v>4000000</v>
      </c>
      <c r="H261" s="29" t="n">
        <v>0</v>
      </c>
      <c r="I261" s="29">
        <f>IF(G261="","",G261-H261)</f>
        <v/>
      </c>
      <c r="J261" s="37">
        <f>IF(A261="","",IF(I261&lt;=0,"Đã tất toán",IF(L261&lt;TODAY(),"Quá hạn","Còn nợ")))</f>
        <v/>
      </c>
      <c r="K261" s="37" t="inlineStr">
        <is>
          <t>Công Ty</t>
        </is>
      </c>
      <c r="L261" s="27" t="n"/>
      <c r="M261" s="37" t="n"/>
    </row>
    <row r="262" ht="15.75" customHeight="1" s="56">
      <c r="A262" s="37" t="inlineStr">
        <is>
          <t>066/BK-2026</t>
        </is>
      </c>
      <c r="B262" s="37" t="inlineStr">
        <is>
          <t>BK-HS-0062</t>
        </is>
      </c>
      <c r="C262" s="37" t="inlineStr">
        <is>
          <t>Trần Thị Phước</t>
        </is>
      </c>
      <c r="D262" s="37" t="inlineStr">
        <is>
          <t>Phòng Đo đạc</t>
        </is>
      </c>
      <c r="E262" s="37" t="inlineStr">
        <is>
          <t>Cấp sổ lần đầu</t>
        </is>
      </c>
      <c r="F262" s="27" t="n">
        <v>46054</v>
      </c>
      <c r="G262" s="29" t="n"/>
      <c r="H262" s="29" t="n">
        <v>0</v>
      </c>
      <c r="I262" s="29">
        <f>IF(G262="","",G262-H262)</f>
        <v/>
      </c>
      <c r="J262" s="37">
        <f>IF(A262="","",IF(I262&lt;=0,"Đã tất toán",IF(L262&lt;TODAY(),"Quá hạn","Còn nợ")))</f>
        <v/>
      </c>
      <c r="K262" s="37" t="inlineStr">
        <is>
          <t>Chị Phấn DV</t>
        </is>
      </c>
      <c r="L262" s="27" t="n"/>
      <c r="M262" s="37" t="n"/>
    </row>
    <row r="263" ht="15.75" customHeight="1" s="56">
      <c r="A263" s="37" t="inlineStr">
        <is>
          <t>067/BK-2026</t>
        </is>
      </c>
      <c r="B263" s="37" t="inlineStr">
        <is>
          <t>BK-HS-0061</t>
        </is>
      </c>
      <c r="C263" s="37" t="inlineStr">
        <is>
          <t>Đặng Văn Lẹ</t>
        </is>
      </c>
      <c r="D263" s="37" t="inlineStr">
        <is>
          <t>Phòng Đo đạc</t>
        </is>
      </c>
      <c r="E263" s="37" t="inlineStr">
        <is>
          <t>Đo GPS</t>
        </is>
      </c>
      <c r="F263" s="27" t="n">
        <v>46055</v>
      </c>
      <c r="G263" s="29" t="n">
        <v>1</v>
      </c>
      <c r="H263" s="29" t="n">
        <v>1</v>
      </c>
      <c r="I263" s="29">
        <f>IF(G263="","",G263-H263)</f>
        <v/>
      </c>
      <c r="J263" s="37">
        <f>IF(A263="","",IF(I263&lt;=0,"Đã tất toán",IF(L263&lt;TODAY(),"Quá hạn","Còn nợ")))</f>
        <v/>
      </c>
      <c r="K263" s="37" t="inlineStr">
        <is>
          <t>Anh Long PCT</t>
        </is>
      </c>
      <c r="L263" s="27" t="n"/>
      <c r="M263" s="37" t="n"/>
    </row>
    <row r="264" ht="15.75" customHeight="1" s="56">
      <c r="A264" s="37" t="inlineStr">
        <is>
          <t>068/BK-2026</t>
        </is>
      </c>
      <c r="B264" s="37" t="inlineStr">
        <is>
          <t>BK-HS-0060</t>
        </is>
      </c>
      <c r="C264" s="37" t="inlineStr">
        <is>
          <t>Đặng Văn Lẹ</t>
        </is>
      </c>
      <c r="D264" s="37" t="inlineStr">
        <is>
          <t>Phòng Đo đạc</t>
        </is>
      </c>
      <c r="E264" s="37" t="inlineStr">
        <is>
          <t>Cắm mốc</t>
        </is>
      </c>
      <c r="F264" s="27" t="n">
        <v>46055</v>
      </c>
      <c r="G264" s="29" t="n"/>
      <c r="H264" s="29" t="n">
        <v>0</v>
      </c>
      <c r="I264" s="29">
        <f>IF(G264="","",G264-H264)</f>
        <v/>
      </c>
      <c r="J264" s="37">
        <f>IF(A264="","",IF(I264&lt;=0,"Đã tất toán",IF(L264&lt;TODAY(),"Quá hạn","Còn nợ")))</f>
        <v/>
      </c>
      <c r="K264" s="37" t="inlineStr">
        <is>
          <t>Anh Long PCT</t>
        </is>
      </c>
      <c r="L264" s="27" t="n"/>
      <c r="M264" s="37" t="n"/>
    </row>
    <row r="265" ht="15.75" customHeight="1" s="56">
      <c r="A265" s="37" t="inlineStr">
        <is>
          <t>069/BK-2026</t>
        </is>
      </c>
      <c r="B265" s="37" t="inlineStr">
        <is>
          <t>BK-HS-0059</t>
        </is>
      </c>
      <c r="C265" s="37" t="inlineStr">
        <is>
          <t>Nguyễn Hữu Cường</t>
        </is>
      </c>
      <c r="D265" s="37" t="inlineStr">
        <is>
          <t>Phòng Đo đạc</t>
        </is>
      </c>
      <c r="E265" s="37" t="inlineStr">
        <is>
          <t>Đo GPS</t>
        </is>
      </c>
      <c r="F265" s="27" t="n">
        <v>46055</v>
      </c>
      <c r="G265" s="29" t="n">
        <v>1</v>
      </c>
      <c r="H265" s="29" t="n">
        <v>1</v>
      </c>
      <c r="I265" s="29">
        <f>IF(G265="","",G265-H265)</f>
        <v/>
      </c>
      <c r="J265" s="37">
        <f>IF(A265="","",IF(I265&lt;=0,"Đã tất toán",IF(L265&lt;TODAY(),"Quá hạn","Còn nợ")))</f>
        <v/>
      </c>
      <c r="K265" s="37" t="inlineStr">
        <is>
          <t>Công Ty</t>
        </is>
      </c>
      <c r="L265" s="27" t="n"/>
      <c r="M265" s="37" t="n"/>
    </row>
    <row r="266" ht="15.75" customHeight="1" s="56">
      <c r="A266" s="37" t="inlineStr">
        <is>
          <t>070/BK-2026</t>
        </is>
      </c>
      <c r="B266" s="37" t="inlineStr">
        <is>
          <t>BK-HS-0058</t>
        </is>
      </c>
      <c r="C266" s="37" t="inlineStr">
        <is>
          <t>Đinh Gia Trí</t>
        </is>
      </c>
      <c r="D266" s="37" t="inlineStr">
        <is>
          <t>Phòng Đo đạc</t>
        </is>
      </c>
      <c r="E266" s="37" t="inlineStr">
        <is>
          <t>Xin phép xây dựng</t>
        </is>
      </c>
      <c r="F266" s="27" t="n">
        <v>46055</v>
      </c>
      <c r="G266" s="29" t="n">
        <v>10000000</v>
      </c>
      <c r="H266" s="29" t="n">
        <v>10000000</v>
      </c>
      <c r="I266" s="29">
        <f>IF(G266="","",G266-H266)</f>
        <v/>
      </c>
      <c r="J266" s="37">
        <f>IF(A266="","",IF(I266&lt;=0,"Đã tất toán",IF(L266&lt;TODAY(),"Quá hạn","Còn nợ")))</f>
        <v/>
      </c>
      <c r="K266" s="37" t="inlineStr">
        <is>
          <t>Công Ty</t>
        </is>
      </c>
      <c r="L266" s="27" t="n"/>
      <c r="M266" s="37" t="n"/>
    </row>
    <row r="267" ht="15.75" customHeight="1" s="56">
      <c r="A267" s="37" t="inlineStr">
        <is>
          <t>071/BK-2026</t>
        </is>
      </c>
      <c r="B267" s="37" t="inlineStr">
        <is>
          <t>BK-HS-0057</t>
        </is>
      </c>
      <c r="C267" s="37" t="inlineStr">
        <is>
          <t>Nguyễn Kim Chi</t>
        </is>
      </c>
      <c r="D267" s="37" t="inlineStr">
        <is>
          <t>Phòng Đo đạc</t>
        </is>
      </c>
      <c r="E267" s="37" t="inlineStr">
        <is>
          <t>Xin phép xây dựng</t>
        </is>
      </c>
      <c r="F267" s="27" t="n">
        <v>46055</v>
      </c>
      <c r="G267" s="29" t="n">
        <v>43000000</v>
      </c>
      <c r="H267" s="29" t="n">
        <v>23000000</v>
      </c>
      <c r="I267" s="29">
        <f>IF(G267="","",G267-H267)</f>
        <v/>
      </c>
      <c r="J267" s="37">
        <f>IF(A267="","",IF(I267&lt;=0,"Đã tất toán",IF(L267&lt;TODAY(),"Quá hạn","Còn nợ")))</f>
        <v/>
      </c>
      <c r="K267" s="37" t="inlineStr">
        <is>
          <t>Công Ty</t>
        </is>
      </c>
      <c r="L267" s="27" t="n"/>
      <c r="M267" s="37" t="n"/>
    </row>
    <row r="268" ht="15.75" customHeight="1" s="56">
      <c r="A268" s="37" t="inlineStr">
        <is>
          <t>072/BK-2026</t>
        </is>
      </c>
      <c r="B268" s="37" t="inlineStr">
        <is>
          <t>BK-HS-0056</t>
        </is>
      </c>
      <c r="C268" s="37" t="inlineStr">
        <is>
          <t>Nguyễn Đình Phan- Nguyễn Thị Sa</t>
        </is>
      </c>
      <c r="D268" s="37" t="inlineStr">
        <is>
          <t>Phòng Đo đạc</t>
        </is>
      </c>
      <c r="E268" s="37" t="inlineStr">
        <is>
          <t>Tách Thửa</t>
        </is>
      </c>
      <c r="F268" s="27" t="n">
        <v>46056</v>
      </c>
      <c r="G268" s="29" t="n"/>
      <c r="H268" s="29" t="n">
        <v>0</v>
      </c>
      <c r="I268" s="29">
        <f>IF(G268="","",G268-H268)</f>
        <v/>
      </c>
      <c r="J268" s="37">
        <f>IF(A268="","",IF(I268&lt;=0,"Đã tất toán",IF(L268&lt;TODAY(),"Quá hạn","Còn nợ")))</f>
        <v/>
      </c>
      <c r="K268" s="37" t="inlineStr">
        <is>
          <t>Công Ty</t>
        </is>
      </c>
      <c r="L268" s="27" t="n"/>
      <c r="M268" s="37" t="n"/>
    </row>
    <row r="269" ht="15.75" customHeight="1" s="56">
      <c r="A269" s="37" t="inlineStr">
        <is>
          <t>073/BK-2026</t>
        </is>
      </c>
      <c r="B269" s="37" t="inlineStr">
        <is>
          <t>BK-HS-0055</t>
        </is>
      </c>
      <c r="C269" s="37" t="inlineStr">
        <is>
          <t>Đào Thị Hòa</t>
        </is>
      </c>
      <c r="D269" s="37" t="inlineStr">
        <is>
          <t>Phòng Đo đạc</t>
        </is>
      </c>
      <c r="E269" s="37" t="inlineStr">
        <is>
          <t>Cấp đổi</t>
        </is>
      </c>
      <c r="F269" s="27" t="n">
        <v>46058</v>
      </c>
      <c r="G269" s="29" t="n">
        <v>9000000</v>
      </c>
      <c r="H269" s="29" t="n">
        <v>9000000</v>
      </c>
      <c r="I269" s="29">
        <f>IF(G269="","",G269-H269)</f>
        <v/>
      </c>
      <c r="J269" s="37">
        <f>IF(A269="","",IF(I269&lt;=0,"Đã tất toán",IF(L269&lt;TODAY(),"Quá hạn","Còn nợ")))</f>
        <v/>
      </c>
      <c r="K269" s="37" t="inlineStr">
        <is>
          <t>Chị Xuân DV</t>
        </is>
      </c>
      <c r="L269" s="27" t="n"/>
      <c r="M269" s="37" t="n"/>
    </row>
    <row r="270" ht="15.75" customHeight="1" s="56">
      <c r="A270" s="37" t="inlineStr">
        <is>
          <t>074/BK-2026</t>
        </is>
      </c>
      <c r="B270" s="37" t="inlineStr">
        <is>
          <t>BK-HS-0054</t>
        </is>
      </c>
      <c r="C270" s="37" t="inlineStr">
        <is>
          <t>Nguyễn Hoàng Phong</t>
        </is>
      </c>
      <c r="D270" s="37" t="inlineStr">
        <is>
          <t>Phòng Đo đạc</t>
        </is>
      </c>
      <c r="E270" s="37" t="inlineStr">
        <is>
          <t>Xác định diện tích</t>
        </is>
      </c>
      <c r="F270" s="27" t="n">
        <v>46058</v>
      </c>
      <c r="G270" s="29" t="n">
        <v>2500000</v>
      </c>
      <c r="H270" s="29" t="n">
        <v>0</v>
      </c>
      <c r="I270" s="29">
        <f>IF(G270="","",G270-H270)</f>
        <v/>
      </c>
      <c r="J270" s="37">
        <f>IF(A270="","",IF(I270&lt;=0,"Đã tất toán",IF(L270&lt;TODAY(),"Quá hạn","Còn nợ")))</f>
        <v/>
      </c>
      <c r="K270" s="37" t="inlineStr">
        <is>
          <t>Đạt Việt Phát Land</t>
        </is>
      </c>
      <c r="L270" s="27" t="n"/>
      <c r="M270" s="37" t="n"/>
    </row>
    <row r="271" ht="15.75" customHeight="1" s="56">
      <c r="A271" s="37" t="inlineStr">
        <is>
          <t>075/BK-2026</t>
        </is>
      </c>
      <c r="B271" s="37" t="inlineStr">
        <is>
          <t>BK-HS-0053</t>
        </is>
      </c>
      <c r="C271" s="37" t="inlineStr">
        <is>
          <t>Hoàng Thị Cúc</t>
        </is>
      </c>
      <c r="D271" s="37" t="inlineStr">
        <is>
          <t>Phòng Đo đạc</t>
        </is>
      </c>
      <c r="E271" s="37" t="inlineStr">
        <is>
          <t>Điều chỉnh bản vẽ</t>
        </is>
      </c>
      <c r="F271" s="27" t="n">
        <v>46059</v>
      </c>
      <c r="G271" s="29" t="n">
        <v>8000000</v>
      </c>
      <c r="H271" s="29" t="n">
        <v>0</v>
      </c>
      <c r="I271" s="29">
        <f>IF(G271="","",G271-H271)</f>
        <v/>
      </c>
      <c r="J271" s="37">
        <f>IF(A271="","",IF(I271&lt;=0,"Đã tất toán",IF(L271&lt;TODAY(),"Quá hạn","Còn nợ")))</f>
        <v/>
      </c>
      <c r="K271" s="37" t="inlineStr">
        <is>
          <t>Công Ty</t>
        </is>
      </c>
      <c r="L271" s="27" t="n"/>
      <c r="M271" s="37" t="n"/>
    </row>
    <row r="272" ht="15.75" customHeight="1" s="56">
      <c r="A272" s="37" t="inlineStr">
        <is>
          <t>076/BK-2026</t>
        </is>
      </c>
      <c r="B272" s="37" t="inlineStr">
        <is>
          <t>BK-HS-0052</t>
        </is>
      </c>
      <c r="C272" s="37" t="inlineStr">
        <is>
          <t>Phan Thị Tố Như</t>
        </is>
      </c>
      <c r="D272" s="37" t="inlineStr">
        <is>
          <t>Phòng Đo đạc</t>
        </is>
      </c>
      <c r="E272" s="37" t="inlineStr">
        <is>
          <t>Xác định diện tích</t>
        </is>
      </c>
      <c r="F272" s="27" t="n">
        <v>46059</v>
      </c>
      <c r="G272" s="29" t="n">
        <v>1</v>
      </c>
      <c r="H272" s="29" t="n">
        <v>1</v>
      </c>
      <c r="I272" s="29">
        <f>IF(G272="","",G272-H272)</f>
        <v/>
      </c>
      <c r="J272" s="37">
        <f>IF(A272="","",IF(I272&lt;=0,"Đã tất toán",IF(L272&lt;TODAY(),"Quá hạn","Còn nợ")))</f>
        <v/>
      </c>
      <c r="K272" s="37" t="inlineStr">
        <is>
          <t>Anh Long PCT</t>
        </is>
      </c>
      <c r="L272" s="27" t="n"/>
      <c r="M272" s="37" t="n"/>
    </row>
    <row r="273" ht="15.75" customHeight="1" s="56">
      <c r="A273" s="37" t="inlineStr">
        <is>
          <t>077/BK-2026</t>
        </is>
      </c>
      <c r="B273" s="37" t="inlineStr">
        <is>
          <t>BK-HS-0051</t>
        </is>
      </c>
      <c r="C273" s="37" t="inlineStr">
        <is>
          <t>Nguyễn Phạm Hoài Vy</t>
        </is>
      </c>
      <c r="D273" s="37" t="inlineStr">
        <is>
          <t>Phòng Đo đạc</t>
        </is>
      </c>
      <c r="E273" s="37" t="inlineStr">
        <is>
          <t>Xác định diện tích</t>
        </is>
      </c>
      <c r="F273" s="27" t="n">
        <v>46059</v>
      </c>
      <c r="G273" s="29" t="n">
        <v>1</v>
      </c>
      <c r="H273" s="29" t="n">
        <v>1</v>
      </c>
      <c r="I273" s="29">
        <f>IF(G273="","",G273-H273)</f>
        <v/>
      </c>
      <c r="J273" s="37">
        <f>IF(A273="","",IF(I273&lt;=0,"Đã tất toán",IF(L273&lt;TODAY(),"Quá hạn","Còn nợ")))</f>
        <v/>
      </c>
      <c r="K273" s="37" t="inlineStr">
        <is>
          <t>Anh Long PCT</t>
        </is>
      </c>
      <c r="L273" s="27" t="n"/>
      <c r="M273" s="37" t="n"/>
    </row>
    <row r="274" ht="15.75" customHeight="1" s="56">
      <c r="A274" s="37" t="inlineStr">
        <is>
          <t>078/BK-2026</t>
        </is>
      </c>
      <c r="B274" s="37" t="inlineStr">
        <is>
          <t>BK-HS-0050</t>
        </is>
      </c>
      <c r="C274" s="37" t="inlineStr">
        <is>
          <t>Lê Minh Thạnh</t>
        </is>
      </c>
      <c r="D274" s="37" t="inlineStr">
        <is>
          <t>Phòng Đo đạc</t>
        </is>
      </c>
      <c r="E274" s="37" t="inlineStr">
        <is>
          <t>Cấp đổi</t>
        </is>
      </c>
      <c r="F274" s="27" t="n">
        <v>46060</v>
      </c>
      <c r="G274" s="29" t="n">
        <v>12000000</v>
      </c>
      <c r="H274" s="29" t="n">
        <v>12000000</v>
      </c>
      <c r="I274" s="29">
        <f>IF(G274="","",G274-H274)</f>
        <v/>
      </c>
      <c r="J274" s="37">
        <f>IF(A274="","",IF(I274&lt;=0,"Đã tất toán",IF(L274&lt;TODAY(),"Quá hạn","Còn nợ")))</f>
        <v/>
      </c>
      <c r="K274" s="37" t="inlineStr">
        <is>
          <t>Công Ty</t>
        </is>
      </c>
      <c r="L274" s="27" t="n"/>
      <c r="M274" s="37" t="n"/>
    </row>
    <row r="275" ht="15.75" customHeight="1" s="56">
      <c r="A275" s="37" t="inlineStr">
        <is>
          <t>079/BK-2026</t>
        </is>
      </c>
      <c r="B275" s="37" t="inlineStr">
        <is>
          <t>BK-HS-0049</t>
        </is>
      </c>
      <c r="C275" s="37" t="inlineStr">
        <is>
          <t>Nguyễn Quỳnh Lê</t>
        </is>
      </c>
      <c r="D275" s="37" t="inlineStr">
        <is>
          <t>Phòng Đo đạc</t>
        </is>
      </c>
      <c r="E275" s="37" t="inlineStr">
        <is>
          <t>Cấp đổi</t>
        </is>
      </c>
      <c r="F275" s="27" t="n">
        <v>46060</v>
      </c>
      <c r="G275" s="29" t="n">
        <v>16000000</v>
      </c>
      <c r="H275" s="29" t="n">
        <v>16000000</v>
      </c>
      <c r="I275" s="29">
        <f>IF(G275="","",G275-H275)</f>
        <v/>
      </c>
      <c r="J275" s="37">
        <f>IF(A275="","",IF(I275&lt;=0,"Đã tất toán",IF(L275&lt;TODAY(),"Quá hạn","Còn nợ")))</f>
        <v/>
      </c>
      <c r="K275" s="37" t="inlineStr">
        <is>
          <t>Công Ty</t>
        </is>
      </c>
      <c r="L275" s="27" t="n"/>
      <c r="M275" s="37" t="n"/>
    </row>
    <row r="276" ht="15.75" customHeight="1" s="56">
      <c r="A276" s="37" t="inlineStr">
        <is>
          <t>080/BK-2026</t>
        </is>
      </c>
      <c r="B276" s="37" t="inlineStr">
        <is>
          <t>BK-HS-0048</t>
        </is>
      </c>
      <c r="C276" s="37" t="inlineStr">
        <is>
          <t>Nguyễn Thị Ngọc Thảo</t>
        </is>
      </c>
      <c r="D276" s="37" t="inlineStr">
        <is>
          <t>Phòng Đo đạc</t>
        </is>
      </c>
      <c r="E276" s="37" t="inlineStr">
        <is>
          <t>Cắm mốc</t>
        </is>
      </c>
      <c r="F276" s="27" t="n">
        <v>46060</v>
      </c>
      <c r="G276" s="29" t="n">
        <v>2000000</v>
      </c>
      <c r="H276" s="29" t="n">
        <v>0</v>
      </c>
      <c r="I276" s="29">
        <f>IF(G276="","",G276-H276)</f>
        <v/>
      </c>
      <c r="J276" s="37">
        <f>IF(A276="","",IF(I276&lt;=0,"Đã tất toán",IF(L276&lt;TODAY(),"Quá hạn","Còn nợ")))</f>
        <v/>
      </c>
      <c r="K276" s="37" t="inlineStr">
        <is>
          <t>Đạt Việt Phát Land</t>
        </is>
      </c>
      <c r="L276" s="27" t="n"/>
      <c r="M276" s="37" t="n"/>
    </row>
    <row r="277" ht="15.75" customHeight="1" s="56">
      <c r="A277" s="37" t="inlineStr">
        <is>
          <t>081/BK-2026</t>
        </is>
      </c>
      <c r="B277" s="37" t="inlineStr">
        <is>
          <t>BK-HS-0047</t>
        </is>
      </c>
      <c r="C277" s="37" t="inlineStr">
        <is>
          <t>La Thị Thanh Duyên</t>
        </is>
      </c>
      <c r="D277" s="37" t="inlineStr">
        <is>
          <t>Phòng Đo đạc</t>
        </is>
      </c>
      <c r="E277" s="37" t="inlineStr">
        <is>
          <t>Cắm mốc</t>
        </is>
      </c>
      <c r="F277" s="27" t="n">
        <v>46060</v>
      </c>
      <c r="G277" s="29" t="n">
        <v>4000000</v>
      </c>
      <c r="H277" s="29" t="n">
        <v>4000000</v>
      </c>
      <c r="I277" s="29">
        <f>IF(G277="","",G277-H277)</f>
        <v/>
      </c>
      <c r="J277" s="37">
        <f>IF(A277="","",IF(I277&lt;=0,"Đã tất toán",IF(L277&lt;TODAY(),"Quá hạn","Còn nợ")))</f>
        <v/>
      </c>
      <c r="K277" s="37" t="inlineStr">
        <is>
          <t>Công Ty</t>
        </is>
      </c>
      <c r="L277" s="27" t="n"/>
      <c r="M277" s="37" t="n"/>
    </row>
    <row r="278" ht="15.75" customHeight="1" s="56">
      <c r="A278" s="37" t="inlineStr">
        <is>
          <t>082/BK-2026</t>
        </is>
      </c>
      <c r="B278" s="37" t="inlineStr">
        <is>
          <t>BK-HS-0046</t>
        </is>
      </c>
      <c r="C278" s="37" t="inlineStr">
        <is>
          <t>Nguyễn Thị Hồng Trâm</t>
        </is>
      </c>
      <c r="D278" s="37" t="inlineStr">
        <is>
          <t>Phòng Đo đạc</t>
        </is>
      </c>
      <c r="E278" s="37" t="inlineStr">
        <is>
          <t>Cấp đổi</t>
        </is>
      </c>
      <c r="F278" s="27" t="n">
        <v>46060</v>
      </c>
      <c r="G278" s="29" t="n">
        <v>45000000</v>
      </c>
      <c r="H278" s="29" t="n">
        <v>10000000</v>
      </c>
      <c r="I278" s="29">
        <f>IF(G278="","",G278-H278)</f>
        <v/>
      </c>
      <c r="J278" s="37">
        <f>IF(A278="","",IF(I278&lt;=0,"Đã tất toán",IF(L278&lt;TODAY(),"Quá hạn","Còn nợ")))</f>
        <v/>
      </c>
      <c r="K278" s="37" t="inlineStr">
        <is>
          <t>Cô Hoa</t>
        </is>
      </c>
      <c r="L278" s="27" t="n"/>
      <c r="M278" s="37" t="n"/>
    </row>
    <row r="279" ht="15.75" customHeight="1" s="56">
      <c r="A279" s="37" t="inlineStr">
        <is>
          <t>083/BK-2026</t>
        </is>
      </c>
      <c r="B279" s="37" t="inlineStr">
        <is>
          <t>BK-HS-0045</t>
        </is>
      </c>
      <c r="C279" s="37" t="inlineStr">
        <is>
          <t>Vũ Thị Thùy Trang</t>
        </is>
      </c>
      <c r="D279" s="37" t="inlineStr">
        <is>
          <t>Phòng Đo đạc</t>
        </is>
      </c>
      <c r="E279" s="37" t="inlineStr">
        <is>
          <t>Cấp đổi</t>
        </is>
      </c>
      <c r="F279" s="27" t="n">
        <v>46060</v>
      </c>
      <c r="G279" s="29" t="n">
        <v>500000</v>
      </c>
      <c r="H279" s="29" t="n">
        <v>500000</v>
      </c>
      <c r="I279" s="29">
        <f>IF(G279="","",G279-H279)</f>
        <v/>
      </c>
      <c r="J279" s="37">
        <f>IF(A279="","",IF(I279&lt;=0,"Đã tất toán",IF(L279&lt;TODAY(),"Quá hạn","Còn nợ")))</f>
        <v/>
      </c>
      <c r="K279" s="37" t="inlineStr">
        <is>
          <t>Công Ty</t>
        </is>
      </c>
      <c r="L279" s="27" t="n"/>
      <c r="M279" s="37" t="n"/>
    </row>
    <row r="280" ht="15.75" customHeight="1" s="56">
      <c r="A280" s="37" t="inlineStr">
        <is>
          <t>084/BK-2026</t>
        </is>
      </c>
      <c r="B280" s="37" t="inlineStr">
        <is>
          <t>BK-HS-0044</t>
        </is>
      </c>
      <c r="C280" s="37" t="inlineStr">
        <is>
          <t>Đinh Văn Hòa</t>
        </is>
      </c>
      <c r="D280" s="37" t="inlineStr">
        <is>
          <t>Phòng Đo đạc</t>
        </is>
      </c>
      <c r="E280" s="37" t="inlineStr">
        <is>
          <t>Xin phép xây dựng</t>
        </is>
      </c>
      <c r="F280" s="27" t="n">
        <v>46060</v>
      </c>
      <c r="G280" s="29" t="n"/>
      <c r="H280" s="29" t="n">
        <v>0</v>
      </c>
      <c r="I280" s="29">
        <f>IF(G280="","",G280-H280)</f>
        <v/>
      </c>
      <c r="J280" s="37">
        <f>IF(A280="","",IF(I280&lt;=0,"Đã tất toán",IF(L280&lt;TODAY(),"Quá hạn","Còn nợ")))</f>
        <v/>
      </c>
      <c r="K280" s="37" t="inlineStr">
        <is>
          <t>Anh Tùng Bất Động Sản</t>
        </is>
      </c>
      <c r="L280" s="27" t="n"/>
      <c r="M280" s="37" t="n"/>
    </row>
    <row r="281" ht="15.75" customHeight="1" s="56">
      <c r="A281" s="37" t="inlineStr">
        <is>
          <t>085/BK-2026</t>
        </is>
      </c>
      <c r="B281" s="37" t="inlineStr">
        <is>
          <t>BK-HS-0043</t>
        </is>
      </c>
      <c r="C281" s="37" t="inlineStr">
        <is>
          <t>Lê Tiến Nhật Minh</t>
        </is>
      </c>
      <c r="D281" s="37" t="inlineStr">
        <is>
          <t>Phòng Đo đạc</t>
        </is>
      </c>
      <c r="E281" s="37" t="inlineStr">
        <is>
          <t>Xác định diện tích</t>
        </is>
      </c>
      <c r="F281" s="27" t="n">
        <v>46061</v>
      </c>
      <c r="G281" s="29" t="n">
        <v>1</v>
      </c>
      <c r="H281" s="29" t="n">
        <v>1</v>
      </c>
      <c r="I281" s="29">
        <f>IF(G281="","",G281-H281)</f>
        <v/>
      </c>
      <c r="J281" s="37">
        <f>IF(A281="","",IF(I281&lt;=0,"Đã tất toán",IF(L281&lt;TODAY(),"Quá hạn","Còn nợ")))</f>
        <v/>
      </c>
      <c r="K281" s="37" t="inlineStr">
        <is>
          <t>Công Ty</t>
        </is>
      </c>
      <c r="L281" s="27" t="n"/>
      <c r="M281" s="37" t="n"/>
    </row>
    <row r="282" ht="15.75" customHeight="1" s="56">
      <c r="A282" s="37" t="inlineStr">
        <is>
          <t>086/BK-2026</t>
        </is>
      </c>
      <c r="B282" s="37" t="inlineStr">
        <is>
          <t>BK-HS-0042</t>
        </is>
      </c>
      <c r="C282" s="37" t="inlineStr">
        <is>
          <t>Đỗ Thị Trang</t>
        </is>
      </c>
      <c r="D282" s="37" t="inlineStr">
        <is>
          <t>Phòng Đo đạc</t>
        </is>
      </c>
      <c r="E282" s="37" t="inlineStr">
        <is>
          <t>Cắm mốc</t>
        </is>
      </c>
      <c r="F282" s="27" t="n">
        <v>46062</v>
      </c>
      <c r="G282" s="29" t="n">
        <v>6000000</v>
      </c>
      <c r="H282" s="29" t="n">
        <v>6000000</v>
      </c>
      <c r="I282" s="29">
        <f>IF(G282="","",G282-H282)</f>
        <v/>
      </c>
      <c r="J282" s="37">
        <f>IF(A282="","",IF(I282&lt;=0,"Đã tất toán",IF(L282&lt;TODAY(),"Quá hạn","Còn nợ")))</f>
        <v/>
      </c>
      <c r="K282" s="37" t="inlineStr">
        <is>
          <t>Công Ty</t>
        </is>
      </c>
      <c r="L282" s="27" t="n"/>
      <c r="M282" s="37" t="n"/>
    </row>
    <row r="283" ht="15.75" customHeight="1" s="56">
      <c r="A283" s="37" t="inlineStr">
        <is>
          <t>087/BK-2026</t>
        </is>
      </c>
      <c r="B283" s="37" t="inlineStr">
        <is>
          <t>BK-HS-0041</t>
        </is>
      </c>
      <c r="C283" s="37" t="inlineStr">
        <is>
          <t>Đỗ Thị Trang</t>
        </is>
      </c>
      <c r="D283" s="37" t="inlineStr">
        <is>
          <t>Phòng Đo đạc</t>
        </is>
      </c>
      <c r="E283" s="37" t="inlineStr">
        <is>
          <t>Cắm mốc</t>
        </is>
      </c>
      <c r="F283" s="27" t="n">
        <v>46062</v>
      </c>
      <c r="G283" s="29" t="n">
        <v>6000000</v>
      </c>
      <c r="H283" s="29" t="n">
        <v>6000000</v>
      </c>
      <c r="I283" s="29">
        <f>IF(G283="","",G283-H283)</f>
        <v/>
      </c>
      <c r="J283" s="37">
        <f>IF(A283="","",IF(I283&lt;=0,"Đã tất toán",IF(L283&lt;TODAY(),"Quá hạn","Còn nợ")))</f>
        <v/>
      </c>
      <c r="K283" s="37" t="inlineStr">
        <is>
          <t>Công Ty</t>
        </is>
      </c>
      <c r="L283" s="27" t="n"/>
      <c r="M283" s="37" t="n"/>
    </row>
    <row r="284" ht="15.75" customHeight="1" s="56">
      <c r="A284" s="37" t="inlineStr">
        <is>
          <t>088/BK-2026</t>
        </is>
      </c>
      <c r="B284" s="37" t="inlineStr">
        <is>
          <t>BK-HS-0040</t>
        </is>
      </c>
      <c r="C284" s="37" t="inlineStr">
        <is>
          <t>Nguyễn Quỳnh Lê- Nguyễn Thảo Linh</t>
        </is>
      </c>
      <c r="D284" s="37" t="inlineStr">
        <is>
          <t>Phòng Đo đạc</t>
        </is>
      </c>
      <c r="E284" s="37" t="inlineStr">
        <is>
          <t>Cắm mốc</t>
        </is>
      </c>
      <c r="F284" s="27" t="n">
        <v>46062</v>
      </c>
      <c r="G284" s="29" t="n"/>
      <c r="H284" s="29" t="n">
        <v>0</v>
      </c>
      <c r="I284" s="29">
        <f>IF(G284="","",G284-H284)</f>
        <v/>
      </c>
      <c r="J284" s="37">
        <f>IF(A284="","",IF(I284&lt;=0,"Đã tất toán",IF(L284&lt;TODAY(),"Quá hạn","Còn nợ")))</f>
        <v/>
      </c>
      <c r="K284" s="37" t="inlineStr">
        <is>
          <t>Công Ty</t>
        </is>
      </c>
      <c r="L284" s="27" t="n"/>
      <c r="M284" s="37" t="n"/>
    </row>
    <row r="285" ht="15.75" customHeight="1" s="56">
      <c r="A285" s="37" t="inlineStr">
        <is>
          <t>089/BK-2026</t>
        </is>
      </c>
      <c r="B285" s="37" t="inlineStr">
        <is>
          <t>BK-HS-0039</t>
        </is>
      </c>
      <c r="C285" s="37" t="inlineStr">
        <is>
          <t>Phan Xuân Phước-Nguyễn Thị Bích Thủy</t>
        </is>
      </c>
      <c r="D285" s="37" t="inlineStr">
        <is>
          <t>Phòng Đo đạc</t>
        </is>
      </c>
      <c r="E285" s="37" t="inlineStr">
        <is>
          <t>Hoàn công</t>
        </is>
      </c>
      <c r="F285" s="27" t="n">
        <v>46063</v>
      </c>
      <c r="G285" s="29" t="n">
        <v>110000000</v>
      </c>
      <c r="H285" s="29" t="n">
        <v>30000000</v>
      </c>
      <c r="I285" s="29">
        <f>IF(G285="","",G285-H285)</f>
        <v/>
      </c>
      <c r="J285" s="37">
        <f>IF(A285="","",IF(I285&lt;=0,"Đã tất toán",IF(L285&lt;TODAY(),"Quá hạn","Còn nợ")))</f>
        <v/>
      </c>
      <c r="K285" s="37" t="inlineStr">
        <is>
          <t>Công Ty</t>
        </is>
      </c>
      <c r="L285" s="27" t="n"/>
      <c r="M285" s="37" t="n"/>
    </row>
    <row r="286" ht="15.75" customHeight="1" s="56">
      <c r="A286" s="37" t="inlineStr">
        <is>
          <t>090/BK-2026</t>
        </is>
      </c>
      <c r="B286" s="37" t="inlineStr">
        <is>
          <t>BK-HS-0038</t>
        </is>
      </c>
      <c r="C286" s="37" t="inlineStr">
        <is>
          <t>Ngô Thị Việt Hà - Nguyễn Văn Hoàng</t>
        </is>
      </c>
      <c r="D286" s="37" t="inlineStr">
        <is>
          <t>Phòng Đo đạc</t>
        </is>
      </c>
      <c r="E286" s="37" t="inlineStr">
        <is>
          <t>Xin phép xây dựng</t>
        </is>
      </c>
      <c r="F286" s="27" t="n">
        <v>46065</v>
      </c>
      <c r="G286" s="29" t="n">
        <v>15000000</v>
      </c>
      <c r="H286" s="29" t="n">
        <v>5000000</v>
      </c>
      <c r="I286" s="29">
        <f>IF(G286="","",G286-H286)</f>
        <v/>
      </c>
      <c r="J286" s="37">
        <f>IF(A286="","",IF(I286&lt;=0,"Đã tất toán",IF(L286&lt;TODAY(),"Quá hạn","Còn nợ")))</f>
        <v/>
      </c>
      <c r="K286" s="37" t="inlineStr">
        <is>
          <t>Công Ty</t>
        </is>
      </c>
      <c r="L286" s="27" t="n"/>
      <c r="M286" s="37" t="n"/>
    </row>
    <row r="287" ht="15.75" customHeight="1" s="56">
      <c r="A287" s="37" t="inlineStr">
        <is>
          <t>091/BK-2026</t>
        </is>
      </c>
      <c r="B287" s="37" t="inlineStr">
        <is>
          <t>BK-HS-0037</t>
        </is>
      </c>
      <c r="C287" s="37" t="inlineStr">
        <is>
          <t>Tôn Phượng Nga</t>
        </is>
      </c>
      <c r="D287" s="37" t="inlineStr">
        <is>
          <t>Phòng Đo đạc</t>
        </is>
      </c>
      <c r="E287" s="37" t="inlineStr">
        <is>
          <t>Điều chỉnh bản vẽ</t>
        </is>
      </c>
      <c r="F287" s="27" t="n">
        <v>46083</v>
      </c>
      <c r="G287" s="29" t="n">
        <v>1</v>
      </c>
      <c r="H287" s="29" t="n">
        <v>1</v>
      </c>
      <c r="I287" s="29">
        <f>IF(G287="","",G287-H287)</f>
        <v/>
      </c>
      <c r="J287" s="37">
        <f>IF(A287="","",IF(I287&lt;=0,"Đã tất toán",IF(L287&lt;TODAY(),"Quá hạn","Còn nợ")))</f>
        <v/>
      </c>
      <c r="K287" s="37" t="inlineStr">
        <is>
          <t>Công Ty</t>
        </is>
      </c>
      <c r="L287" s="27" t="n"/>
      <c r="M287" s="37" t="n"/>
    </row>
    <row r="288" ht="15.75" customHeight="1" s="56">
      <c r="A288" s="37" t="inlineStr">
        <is>
          <t>092/BK-2026</t>
        </is>
      </c>
      <c r="B288" s="37" t="inlineStr">
        <is>
          <t>BK-HS-0036</t>
        </is>
      </c>
      <c r="C288" s="37" t="inlineStr">
        <is>
          <t>Phạm Thị Giao Linh</t>
        </is>
      </c>
      <c r="D288" s="37" t="inlineStr">
        <is>
          <t>Phòng Đo đạc</t>
        </is>
      </c>
      <c r="E288" s="37" t="inlineStr">
        <is>
          <t>Điều chỉnh bản vẽ</t>
        </is>
      </c>
      <c r="F288" s="27" t="n">
        <v>46083</v>
      </c>
      <c r="G288" s="29" t="n">
        <v>1</v>
      </c>
      <c r="H288" s="29" t="n">
        <v>1</v>
      </c>
      <c r="I288" s="29">
        <f>IF(G288="","",G288-H288)</f>
        <v/>
      </c>
      <c r="J288" s="37">
        <f>IF(A288="","",IF(I288&lt;=0,"Đã tất toán",IF(L288&lt;TODAY(),"Quá hạn","Còn nợ")))</f>
        <v/>
      </c>
      <c r="K288" s="37" t="inlineStr">
        <is>
          <t>Tùng Huế DV</t>
        </is>
      </c>
      <c r="L288" s="27" t="n"/>
      <c r="M288" s="37" t="n"/>
    </row>
    <row r="289" ht="15.75" customHeight="1" s="56">
      <c r="A289" s="37" t="inlineStr">
        <is>
          <t>093/BK-2026</t>
        </is>
      </c>
      <c r="B289" s="37" t="inlineStr">
        <is>
          <t>BK-HS-0035</t>
        </is>
      </c>
      <c r="C289" s="37" t="inlineStr">
        <is>
          <t>Thái Thị Bích Vân</t>
        </is>
      </c>
      <c r="D289" s="37" t="inlineStr">
        <is>
          <t>Phòng Đo đạc</t>
        </is>
      </c>
      <c r="E289" s="37" t="inlineStr">
        <is>
          <t>Cắm mốc</t>
        </is>
      </c>
      <c r="F289" s="27" t="n">
        <v>46083</v>
      </c>
      <c r="G289" s="29" t="n">
        <v>3000000</v>
      </c>
      <c r="H289" s="29" t="n">
        <v>0</v>
      </c>
      <c r="I289" s="29">
        <f>IF(G289="","",G289-H289)</f>
        <v/>
      </c>
      <c r="J289" s="37">
        <f>IF(A289="","",IF(I289&lt;=0,"Đã tất toán",IF(L289&lt;TODAY(),"Quá hạn","Còn nợ")))</f>
        <v/>
      </c>
      <c r="K289" s="37" t="inlineStr">
        <is>
          <t>Anh Duẩn DV</t>
        </is>
      </c>
      <c r="L289" s="27" t="n"/>
      <c r="M289" s="37" t="n"/>
    </row>
    <row r="290" ht="15.75" customHeight="1" s="56">
      <c r="A290" s="37" t="inlineStr">
        <is>
          <t>094/BK-2026</t>
        </is>
      </c>
      <c r="B290" s="37" t="inlineStr">
        <is>
          <t>BK-HS-0034</t>
        </is>
      </c>
      <c r="C290" s="37" t="inlineStr">
        <is>
          <t>Lê Quang Thạnh</t>
        </is>
      </c>
      <c r="D290" s="37" t="inlineStr">
        <is>
          <t>Phòng Đo đạc</t>
        </is>
      </c>
      <c r="E290" s="37" t="inlineStr">
        <is>
          <t>Cấp đổi</t>
        </is>
      </c>
      <c r="F290" s="27" t="n">
        <v>46083</v>
      </c>
      <c r="G290" s="29" t="n">
        <v>10000000</v>
      </c>
      <c r="H290" s="29" t="n">
        <v>5000000</v>
      </c>
      <c r="I290" s="29">
        <f>IF(G290="","",G290-H290)</f>
        <v/>
      </c>
      <c r="J290" s="37">
        <f>IF(A290="","",IF(I290&lt;=0,"Đã tất toán",IF(L290&lt;TODAY(),"Quá hạn","Còn nợ")))</f>
        <v/>
      </c>
      <c r="K290" s="37" t="inlineStr">
        <is>
          <t>Công Ty</t>
        </is>
      </c>
      <c r="L290" s="27" t="n"/>
      <c r="M290" s="37" t="n"/>
    </row>
    <row r="291" ht="15.75" customHeight="1" s="56">
      <c r="A291" s="37" t="inlineStr">
        <is>
          <t>095/BK-2026</t>
        </is>
      </c>
      <c r="B291" s="37" t="inlineStr">
        <is>
          <t>BK-HS-0033</t>
        </is>
      </c>
      <c r="C291" s="37" t="inlineStr">
        <is>
          <t>Nguyễn Hoàng Tấn</t>
        </is>
      </c>
      <c r="D291" s="37" t="inlineStr">
        <is>
          <t>Phòng Đo đạc</t>
        </is>
      </c>
      <c r="E291" s="37" t="inlineStr">
        <is>
          <t>Cấp sổ lần đầu</t>
        </is>
      </c>
      <c r="F291" s="27" t="n">
        <v>46086</v>
      </c>
      <c r="G291" s="29" t="n"/>
      <c r="H291" s="29" t="n">
        <v>0</v>
      </c>
      <c r="I291" s="29">
        <f>IF(G291="","",G291-H291)</f>
        <v/>
      </c>
      <c r="J291" s="37">
        <f>IF(A291="","",IF(I291&lt;=0,"Đã tất toán",IF(L291&lt;TODAY(),"Quá hạn","Còn nợ")))</f>
        <v/>
      </c>
      <c r="K291" s="37" t="inlineStr">
        <is>
          <t>Nguyễn Tâm DV</t>
        </is>
      </c>
      <c r="L291" s="27" t="n"/>
      <c r="M291" s="37" t="n"/>
    </row>
    <row r="292" ht="15.75" customHeight="1" s="56">
      <c r="A292" s="37" t="inlineStr">
        <is>
          <t>096/BK-2026</t>
        </is>
      </c>
      <c r="B292" s="37" t="inlineStr">
        <is>
          <t>BK-HS-0032</t>
        </is>
      </c>
      <c r="C292" s="37" t="inlineStr">
        <is>
          <t>Nguyễn Quốc Chiến-Trần Thị Thu Hương</t>
        </is>
      </c>
      <c r="D292" s="37" t="inlineStr">
        <is>
          <t>Phòng Đo đạc</t>
        </is>
      </c>
      <c r="E292" s="37" t="inlineStr">
        <is>
          <t>Cấp đổi</t>
        </is>
      </c>
      <c r="F292" s="27" t="n">
        <v>46087</v>
      </c>
      <c r="G292" s="29" t="n">
        <v>10000000</v>
      </c>
      <c r="H292" s="29" t="n">
        <v>10000000</v>
      </c>
      <c r="I292" s="29">
        <f>IF(G292="","",G292-H292)</f>
        <v/>
      </c>
      <c r="J292" s="37">
        <f>IF(A292="","",IF(I292&lt;=0,"Đã tất toán",IF(L292&lt;TODAY(),"Quá hạn","Còn nợ")))</f>
        <v/>
      </c>
      <c r="K292" s="37" t="inlineStr">
        <is>
          <t>Công Ty</t>
        </is>
      </c>
      <c r="L292" s="27" t="n"/>
      <c r="M292" s="37" t="n"/>
    </row>
    <row r="293" ht="15.75" customHeight="1" s="56">
      <c r="A293" s="37" t="inlineStr">
        <is>
          <t>097/BK-2026</t>
        </is>
      </c>
      <c r="B293" s="37" t="inlineStr">
        <is>
          <t>BK-HS-0031</t>
        </is>
      </c>
      <c r="C293" s="37" t="inlineStr">
        <is>
          <t>Nguyễn Thị Ngọc Thuận</t>
        </is>
      </c>
      <c r="D293" s="37" t="inlineStr">
        <is>
          <t>Phòng Đo đạc</t>
        </is>
      </c>
      <c r="E293" s="37" t="inlineStr">
        <is>
          <t>Hoàn công</t>
        </is>
      </c>
      <c r="F293" s="27" t="n">
        <v>46087</v>
      </c>
      <c r="G293" s="29" t="n">
        <v>8000000</v>
      </c>
      <c r="H293" s="29" t="n">
        <v>0</v>
      </c>
      <c r="I293" s="29">
        <f>IF(G293="","",G293-H293)</f>
        <v/>
      </c>
      <c r="J293" s="37">
        <f>IF(A293="","",IF(I293&lt;=0,"Đã tất toán",IF(L293&lt;TODAY(),"Quá hạn","Còn nợ")))</f>
        <v/>
      </c>
      <c r="K293" s="37" t="inlineStr">
        <is>
          <t>Tuấn Lộc</t>
        </is>
      </c>
      <c r="L293" s="27" t="n"/>
      <c r="M293" s="37" t="n"/>
    </row>
    <row r="294" ht="15.75" customHeight="1" s="56">
      <c r="A294" s="37" t="inlineStr">
        <is>
          <t>098/BK-2026</t>
        </is>
      </c>
      <c r="B294" s="37" t="inlineStr">
        <is>
          <t>BK-HS-0030</t>
        </is>
      </c>
      <c r="C294" s="37" t="inlineStr">
        <is>
          <t>Nguyễn Thị Cẩm Vân</t>
        </is>
      </c>
      <c r="D294" s="37" t="inlineStr">
        <is>
          <t>Phòng Đo đạc</t>
        </is>
      </c>
      <c r="E294" s="37" t="inlineStr">
        <is>
          <t>Cắm mốc</t>
        </is>
      </c>
      <c r="F294" s="27" t="n">
        <v>46088</v>
      </c>
      <c r="G294" s="29" t="n"/>
      <c r="H294" s="29" t="n">
        <v>0</v>
      </c>
      <c r="I294" s="29">
        <f>IF(G294="","",G294-H294)</f>
        <v/>
      </c>
      <c r="J294" s="37">
        <f>IF(A294="","",IF(I294&lt;=0,"Đã tất toán",IF(L294&lt;TODAY(),"Quá hạn","Còn nợ")))</f>
        <v/>
      </c>
      <c r="K294" s="37" t="inlineStr">
        <is>
          <t>Công Ty</t>
        </is>
      </c>
      <c r="L294" s="27" t="n"/>
      <c r="M294" s="37" t="n"/>
    </row>
    <row r="295" ht="15.75" customHeight="1" s="56">
      <c r="A295" s="37" t="inlineStr">
        <is>
          <t>099/BK-2026</t>
        </is>
      </c>
      <c r="B295" s="37" t="inlineStr">
        <is>
          <t>BK-HS-0029</t>
        </is>
      </c>
      <c r="C295" s="37" t="inlineStr">
        <is>
          <t>Phan Trong Quang</t>
        </is>
      </c>
      <c r="D295" s="37" t="inlineStr">
        <is>
          <t>Phòng Đo đạc</t>
        </is>
      </c>
      <c r="E295" s="37" t="inlineStr">
        <is>
          <t>Hoàn công</t>
        </is>
      </c>
      <c r="F295" s="27" t="n">
        <v>46088</v>
      </c>
      <c r="G295" s="29" t="n"/>
      <c r="H295" s="29" t="n">
        <v>0</v>
      </c>
      <c r="I295" s="29">
        <f>IF(G295="","",G295-H295)</f>
        <v/>
      </c>
      <c r="J295" s="37">
        <f>IF(A295="","",IF(I295&lt;=0,"Đã tất toán",IF(L295&lt;TODAY(),"Quá hạn","Còn nợ")))</f>
        <v/>
      </c>
      <c r="K295" s="37" t="inlineStr">
        <is>
          <t>Công Ty</t>
        </is>
      </c>
      <c r="L295" s="27" t="n"/>
      <c r="M295" s="37" t="n"/>
    </row>
    <row r="296" ht="15.75" customHeight="1" s="56">
      <c r="A296" s="37" t="inlineStr">
        <is>
          <t>100/BK-2026</t>
        </is>
      </c>
      <c r="B296" s="37" t="inlineStr">
        <is>
          <t>BK-HS-0028</t>
        </is>
      </c>
      <c r="C296" s="37" t="inlineStr">
        <is>
          <t>Tô Thị MỸ Nương</t>
        </is>
      </c>
      <c r="D296" s="37" t="inlineStr">
        <is>
          <t>Phòng Đo đạc</t>
        </is>
      </c>
      <c r="E296" s="37" t="inlineStr">
        <is>
          <t>Hoàn công</t>
        </is>
      </c>
      <c r="F296" s="27" t="n">
        <v>46088</v>
      </c>
      <c r="G296" s="29" t="n">
        <v>44000000</v>
      </c>
      <c r="H296" s="29" t="n">
        <v>5000000</v>
      </c>
      <c r="I296" s="29">
        <f>IF(G296="","",G296-H296)</f>
        <v/>
      </c>
      <c r="J296" s="37">
        <f>IF(A296="","",IF(I296&lt;=0,"Đã tất toán",IF(L296&lt;TODAY(),"Quá hạn","Còn nợ")))</f>
        <v/>
      </c>
      <c r="K296" s="37" t="inlineStr">
        <is>
          <t>Tuấn Lộc</t>
        </is>
      </c>
      <c r="L296" s="27" t="n"/>
      <c r="M296" s="37" t="n"/>
    </row>
    <row r="297" ht="15.75" customHeight="1" s="56">
      <c r="A297" s="37" t="inlineStr">
        <is>
          <t>101/BK-2026</t>
        </is>
      </c>
      <c r="B297" s="37" t="inlineStr">
        <is>
          <t>BK-HS-0027</t>
        </is>
      </c>
      <c r="C297" s="37" t="inlineStr">
        <is>
          <t>Lê Quang Thạnh</t>
        </is>
      </c>
      <c r="D297" s="37" t="inlineStr">
        <is>
          <t>Phòng Đo đạc</t>
        </is>
      </c>
      <c r="E297" s="37" t="inlineStr">
        <is>
          <t>Xác định diện tích</t>
        </is>
      </c>
      <c r="F297" s="27" t="n">
        <v>46088</v>
      </c>
      <c r="G297" s="29" t="n"/>
      <c r="H297" s="29" t="n">
        <v>0</v>
      </c>
      <c r="I297" s="29">
        <f>IF(G297="","",G297-H297)</f>
        <v/>
      </c>
      <c r="J297" s="37">
        <f>IF(A297="","",IF(I297&lt;=0,"Đã tất toán",IF(L297&lt;TODAY(),"Quá hạn","Còn nợ")))</f>
        <v/>
      </c>
      <c r="K297" s="37" t="inlineStr">
        <is>
          <t>Công Ty</t>
        </is>
      </c>
      <c r="L297" s="27" t="n"/>
      <c r="M297" s="37" t="n"/>
    </row>
    <row r="298" ht="15.75" customHeight="1" s="56">
      <c r="A298" s="37" t="inlineStr">
        <is>
          <t>102/BK-2026</t>
        </is>
      </c>
      <c r="B298" s="37" t="inlineStr">
        <is>
          <t>BK-HS-0026</t>
        </is>
      </c>
      <c r="C298" s="37" t="inlineStr">
        <is>
          <t>Bùi Đình Khánh-Nguyễn Thị Kim Quyên</t>
        </is>
      </c>
      <c r="D298" s="37" t="inlineStr">
        <is>
          <t>Phòng Đo đạc</t>
        </is>
      </c>
      <c r="E298" s="37" t="inlineStr">
        <is>
          <t>Xác định diện tích</t>
        </is>
      </c>
      <c r="F298" s="27" t="n">
        <v>46088</v>
      </c>
      <c r="G298" s="29" t="n"/>
      <c r="H298" s="29" t="n">
        <v>0</v>
      </c>
      <c r="I298" s="29">
        <f>IF(G298="","",G298-H298)</f>
        <v/>
      </c>
      <c r="J298" s="37">
        <f>IF(A298="","",IF(I298&lt;=0,"Đã tất toán",IF(L298&lt;TODAY(),"Quá hạn","Còn nợ")))</f>
        <v/>
      </c>
      <c r="K298" s="37" t="inlineStr">
        <is>
          <t>Công Ty</t>
        </is>
      </c>
      <c r="L298" s="27" t="n"/>
      <c r="M298" s="37" t="n"/>
    </row>
    <row r="299" ht="15.75" customHeight="1" s="56">
      <c r="A299" s="37" t="inlineStr">
        <is>
          <t>103/BK-2026</t>
        </is>
      </c>
      <c r="B299" s="37" t="inlineStr">
        <is>
          <t>BK-HS-0025</t>
        </is>
      </c>
      <c r="C299" s="37" t="inlineStr">
        <is>
          <t>Đỗ Thị Trang</t>
        </is>
      </c>
      <c r="D299" s="37" t="inlineStr">
        <is>
          <t>Phòng Đo đạc</t>
        </is>
      </c>
      <c r="E299" s="37" t="inlineStr">
        <is>
          <t>Cắm mốc</t>
        </is>
      </c>
      <c r="F299" s="27" t="n">
        <v>46088</v>
      </c>
      <c r="G299" s="29" t="n"/>
      <c r="H299" s="29" t="n">
        <v>0</v>
      </c>
      <c r="I299" s="29">
        <f>IF(G299="","",G299-H299)</f>
        <v/>
      </c>
      <c r="J299" s="37">
        <f>IF(A299="","",IF(I299&lt;=0,"Đã tất toán",IF(L299&lt;TODAY(),"Quá hạn","Còn nợ")))</f>
        <v/>
      </c>
      <c r="K299" s="37" t="inlineStr">
        <is>
          <t>Công Ty</t>
        </is>
      </c>
      <c r="L299" s="27" t="n"/>
      <c r="M299" s="37" t="n"/>
    </row>
    <row r="300" ht="15.75" customHeight="1" s="56">
      <c r="A300" s="37" t="inlineStr">
        <is>
          <t>104/BK-2026</t>
        </is>
      </c>
      <c r="B300" s="37" t="inlineStr">
        <is>
          <t>BK-HS-0024</t>
        </is>
      </c>
      <c r="C300" s="37" t="inlineStr">
        <is>
          <t>Trương Quế Phương</t>
        </is>
      </c>
      <c r="D300" s="37" t="inlineStr">
        <is>
          <t>Phòng Đo đạc</t>
        </is>
      </c>
      <c r="E300" s="37" t="inlineStr">
        <is>
          <t>Cấp sổ lần đầu</t>
        </is>
      </c>
      <c r="F300" s="27" t="n">
        <v>46088</v>
      </c>
      <c r="G300" s="29" t="n">
        <v>5000000</v>
      </c>
      <c r="H300" s="29" t="n">
        <v>5000000</v>
      </c>
      <c r="I300" s="29">
        <f>IF(G300="","",G300-H300)</f>
        <v/>
      </c>
      <c r="J300" s="37">
        <f>IF(A300="","",IF(I300&lt;=0,"Đã tất toán",IF(L300&lt;TODAY(),"Quá hạn","Còn nợ")))</f>
        <v/>
      </c>
      <c r="K300" s="37" t="inlineStr">
        <is>
          <t>Công Ty</t>
        </is>
      </c>
      <c r="L300" s="27" t="n"/>
      <c r="M300" s="37" t="n"/>
    </row>
    <row r="301" ht="15.75" customHeight="1" s="56">
      <c r="A301" s="37" t="inlineStr">
        <is>
          <t>105/BK-2026</t>
        </is>
      </c>
      <c r="B301" s="37" t="inlineStr">
        <is>
          <t>BK-HS-0023</t>
        </is>
      </c>
      <c r="C301" s="37" t="inlineStr">
        <is>
          <t>Phạm Thị Giao Linh</t>
        </is>
      </c>
      <c r="D301" s="37" t="inlineStr">
        <is>
          <t>Phòng Đo đạc</t>
        </is>
      </c>
      <c r="E301" s="37" t="inlineStr">
        <is>
          <t>Cắm mốc</t>
        </is>
      </c>
      <c r="F301" s="27" t="n">
        <v>46089</v>
      </c>
      <c r="G301" s="29" t="n">
        <v>3</v>
      </c>
      <c r="H301" s="29" t="n">
        <v>0</v>
      </c>
      <c r="I301" s="29">
        <f>IF(G301="","",G301-H301)</f>
        <v/>
      </c>
      <c r="J301" s="37">
        <f>IF(A301="","",IF(I301&lt;=0,"Đã tất toán",IF(L301&lt;TODAY(),"Quá hạn","Còn nợ")))</f>
        <v/>
      </c>
      <c r="K301" s="37" t="inlineStr">
        <is>
          <t>Tùng Huế DV</t>
        </is>
      </c>
      <c r="L301" s="27" t="n"/>
      <c r="M301" s="37" t="n"/>
    </row>
    <row r="302" ht="15.75" customHeight="1" s="56">
      <c r="A302" s="37" t="inlineStr">
        <is>
          <t>106/BK-2026</t>
        </is>
      </c>
      <c r="B302" s="37" t="inlineStr">
        <is>
          <t>BK-HS-0022</t>
        </is>
      </c>
      <c r="C302" s="37" t="inlineStr">
        <is>
          <t>Trần Phi Long</t>
        </is>
      </c>
      <c r="D302" s="37" t="inlineStr">
        <is>
          <t>Phòng Đo đạc</t>
        </is>
      </c>
      <c r="E302" s="37" t="inlineStr">
        <is>
          <t>Hoàn công</t>
        </is>
      </c>
      <c r="F302" s="27" t="n">
        <v>46090</v>
      </c>
      <c r="G302" s="29" t="n">
        <v>12000000</v>
      </c>
      <c r="H302" s="29" t="n">
        <v>6000000</v>
      </c>
      <c r="I302" s="29">
        <f>IF(G302="","",G302-H302)</f>
        <v/>
      </c>
      <c r="J302" s="37">
        <f>IF(A302="","",IF(I302&lt;=0,"Đã tất toán",IF(L302&lt;TODAY(),"Quá hạn","Còn nợ")))</f>
        <v/>
      </c>
      <c r="K302" s="37" t="inlineStr">
        <is>
          <t>Công Ty</t>
        </is>
      </c>
      <c r="L302" s="27" t="n"/>
      <c r="M302" s="37" t="n"/>
    </row>
    <row r="303" ht="15.75" customHeight="1" s="56">
      <c r="A303" s="37" t="inlineStr">
        <is>
          <t>107/BK-2026</t>
        </is>
      </c>
      <c r="B303" s="37" t="inlineStr">
        <is>
          <t>BK-HS-0021</t>
        </is>
      </c>
      <c r="C303" s="37" t="inlineStr">
        <is>
          <t>Bùi Đình Khánh</t>
        </is>
      </c>
      <c r="D303" s="37" t="inlineStr">
        <is>
          <t>Phòng Đo đạc</t>
        </is>
      </c>
      <c r="E303" s="37" t="inlineStr">
        <is>
          <t>Xin phép xây dựng</t>
        </is>
      </c>
      <c r="F303" s="27" t="n">
        <v>46091</v>
      </c>
      <c r="G303" s="29" t="n">
        <v>1</v>
      </c>
      <c r="H303" s="29" t="n">
        <v>0</v>
      </c>
      <c r="I303" s="29">
        <f>IF(G303="","",G303-H303)</f>
        <v/>
      </c>
      <c r="J303" s="37">
        <f>IF(A303="","",IF(I303&lt;=0,"Đã tất toán",IF(L303&lt;TODAY(),"Quá hạn","Còn nợ")))</f>
        <v/>
      </c>
      <c r="K303" s="37" t="inlineStr">
        <is>
          <t>Công Ty</t>
        </is>
      </c>
      <c r="L303" s="27" t="n"/>
      <c r="M303" s="37" t="n"/>
    </row>
    <row r="304" ht="15.75" customHeight="1" s="56">
      <c r="A304" s="37" t="inlineStr">
        <is>
          <t>108/BK-2026</t>
        </is>
      </c>
      <c r="B304" s="37" t="inlineStr">
        <is>
          <t>BK-HS-0020</t>
        </is>
      </c>
      <c r="C304" s="37" t="inlineStr">
        <is>
          <t>Đỗ Bình Trọng</t>
        </is>
      </c>
      <c r="D304" s="37" t="inlineStr">
        <is>
          <t>Phòng Đo đạc</t>
        </is>
      </c>
      <c r="E304" s="37" t="inlineStr">
        <is>
          <t>Cấp đổi</t>
        </is>
      </c>
      <c r="F304" s="27" t="n">
        <v>46091</v>
      </c>
      <c r="G304" s="29" t="n">
        <v>50000000</v>
      </c>
      <c r="H304" s="29" t="n">
        <v>25000000</v>
      </c>
      <c r="I304" s="29">
        <f>IF(G304="","",G304-H304)</f>
        <v/>
      </c>
      <c r="J304" s="37">
        <f>IF(A304="","",IF(I304&lt;=0,"Đã tất toán",IF(L304&lt;TODAY(),"Quá hạn","Còn nợ")))</f>
        <v/>
      </c>
      <c r="K304" s="37" t="inlineStr">
        <is>
          <t>Anh Hoàng Nhà Đầu Tư</t>
        </is>
      </c>
      <c r="L304" s="27" t="n"/>
      <c r="M304" s="37" t="n"/>
    </row>
    <row r="305" ht="15.75" customHeight="1" s="56">
      <c r="A305" s="37" t="inlineStr">
        <is>
          <t>109/BK-2026</t>
        </is>
      </c>
      <c r="B305" s="37" t="inlineStr">
        <is>
          <t>BK-HS-0019</t>
        </is>
      </c>
      <c r="C305" s="37" t="inlineStr">
        <is>
          <t>Đỗ Bình Trọng</t>
        </is>
      </c>
      <c r="D305" s="37" t="inlineStr">
        <is>
          <t>Phòng Đo đạc</t>
        </is>
      </c>
      <c r="E305" s="37" t="inlineStr">
        <is>
          <t>Đo GPS</t>
        </is>
      </c>
      <c r="F305" s="27" t="n">
        <v>46093</v>
      </c>
      <c r="G305" s="29" t="n"/>
      <c r="H305" s="29" t="n">
        <v>0</v>
      </c>
      <c r="I305" s="29">
        <f>IF(G305="","",G305-H305)</f>
        <v/>
      </c>
      <c r="J305" s="37">
        <f>IF(A305="","",IF(I305&lt;=0,"Đã tất toán",IF(L305&lt;TODAY(),"Quá hạn","Còn nợ")))</f>
        <v/>
      </c>
      <c r="K305" s="37" t="inlineStr">
        <is>
          <t>Anh Hoàng nhà đầu tư</t>
        </is>
      </c>
      <c r="L305" s="27" t="n"/>
      <c r="M305" s="37" t="n"/>
    </row>
    <row r="306" ht="15.75" customHeight="1" s="56">
      <c r="A306" s="37" t="inlineStr">
        <is>
          <t>110/BK-2026</t>
        </is>
      </c>
      <c r="B306" s="37" t="inlineStr">
        <is>
          <t>BK-HS-0018</t>
        </is>
      </c>
      <c r="C306" s="37" t="inlineStr">
        <is>
          <t>Nguyễn Doãn Tuấn</t>
        </is>
      </c>
      <c r="D306" s="37" t="inlineStr">
        <is>
          <t>Phòng Đo đạc</t>
        </is>
      </c>
      <c r="E306" s="37" t="inlineStr">
        <is>
          <t>Cấp sổ lần đầu</t>
        </is>
      </c>
      <c r="F306" s="27" t="n">
        <v>46093</v>
      </c>
      <c r="G306" s="29" t="n">
        <v>12000000</v>
      </c>
      <c r="H306" s="29" t="n">
        <v>6000000</v>
      </c>
      <c r="I306" s="29">
        <f>IF(G306="","",G306-H306)</f>
        <v/>
      </c>
      <c r="J306" s="37">
        <f>IF(A306="","",IF(I306&lt;=0,"Đã tất toán",IF(L306&lt;TODAY(),"Quá hạn","Còn nợ")))</f>
        <v/>
      </c>
      <c r="K306" s="37" t="inlineStr">
        <is>
          <t>Công Ty</t>
        </is>
      </c>
      <c r="L306" s="27" t="n"/>
      <c r="M306" s="37" t="n"/>
    </row>
    <row r="307" ht="15.75" customHeight="1" s="56">
      <c r="A307" s="37" t="inlineStr">
        <is>
          <t>111/BK-2026</t>
        </is>
      </c>
      <c r="B307" s="37" t="inlineStr">
        <is>
          <t>BK-HS-0017</t>
        </is>
      </c>
      <c r="C307" s="37" t="inlineStr">
        <is>
          <t>Nguyễn Doãn Tuấn</t>
        </is>
      </c>
      <c r="D307" s="37" t="inlineStr">
        <is>
          <t>Phòng Đo đạc</t>
        </is>
      </c>
      <c r="E307" s="37" t="inlineStr">
        <is>
          <t>Đo GPS</t>
        </is>
      </c>
      <c r="F307" s="27" t="n">
        <v>46093</v>
      </c>
      <c r="G307" s="29" t="n"/>
      <c r="H307" s="29" t="n">
        <v>0</v>
      </c>
      <c r="I307" s="29">
        <f>IF(G307="","",G307-H307)</f>
        <v/>
      </c>
      <c r="J307" s="37">
        <f>IF(A307="","",IF(I307&lt;=0,"Đã tất toán",IF(L307&lt;TODAY(),"Quá hạn","Còn nợ")))</f>
        <v/>
      </c>
      <c r="K307" s="37" t="inlineStr">
        <is>
          <t>Công Ty</t>
        </is>
      </c>
      <c r="L307" s="27" t="n"/>
      <c r="M307" s="37" t="n"/>
    </row>
    <row r="308" ht="15.75" customHeight="1" s="56">
      <c r="A308" s="37" t="inlineStr">
        <is>
          <t>112/BK-2026</t>
        </is>
      </c>
      <c r="B308" s="37" t="inlineStr">
        <is>
          <t>BK-HS-0016</t>
        </is>
      </c>
      <c r="C308" s="37" t="inlineStr">
        <is>
          <t>Đỗ Thị Trang</t>
        </is>
      </c>
      <c r="D308" s="37" t="inlineStr">
        <is>
          <t>Phòng Đo đạc</t>
        </is>
      </c>
      <c r="E308" s="37" t="inlineStr">
        <is>
          <t>Xác định diện tích</t>
        </is>
      </c>
      <c r="F308" s="27" t="n">
        <v>46094</v>
      </c>
      <c r="G308" s="29" t="n">
        <v>1</v>
      </c>
      <c r="H308" s="29" t="n">
        <v>0</v>
      </c>
      <c r="I308" s="29">
        <f>IF(G308="","",G308-H308)</f>
        <v/>
      </c>
      <c r="J308" s="37">
        <f>IF(A308="","",IF(I308&lt;=0,"Đã tất toán",IF(L308&lt;TODAY(),"Quá hạn","Còn nợ")))</f>
        <v/>
      </c>
      <c r="K308" s="37" t="inlineStr">
        <is>
          <t>Công Ty</t>
        </is>
      </c>
      <c r="L308" s="27" t="n"/>
      <c r="M308" s="37" t="n"/>
    </row>
    <row r="309" ht="15.75" customHeight="1" s="56">
      <c r="A309" s="37" t="inlineStr">
        <is>
          <t>113/BK-2026</t>
        </is>
      </c>
      <c r="B309" s="37" t="inlineStr">
        <is>
          <t>BK-HS-0015</t>
        </is>
      </c>
      <c r="C309" s="37" t="inlineStr">
        <is>
          <t>Đỗ Thị Trang</t>
        </is>
      </c>
      <c r="D309" s="37" t="inlineStr">
        <is>
          <t>Phòng Đo đạc</t>
        </is>
      </c>
      <c r="E309" s="37" t="inlineStr">
        <is>
          <t>Xác định diện tích</t>
        </is>
      </c>
      <c r="F309" s="27" t="n">
        <v>46094</v>
      </c>
      <c r="G309" s="29" t="n">
        <v>2000000</v>
      </c>
      <c r="H309" s="29" t="n">
        <v>2000000</v>
      </c>
      <c r="I309" s="29">
        <f>IF(G309="","",G309-H309)</f>
        <v/>
      </c>
      <c r="J309" s="37">
        <f>IF(A309="","",IF(I309&lt;=0,"Đã tất toán",IF(L309&lt;TODAY(),"Quá hạn","Còn nợ")))</f>
        <v/>
      </c>
      <c r="K309" s="37" t="inlineStr">
        <is>
          <t>Công Ty</t>
        </is>
      </c>
      <c r="L309" s="27" t="n"/>
      <c r="M309" s="37" t="n"/>
    </row>
    <row r="310" ht="15.75" customHeight="1" s="56">
      <c r="A310" s="37" t="inlineStr">
        <is>
          <t>114/BK-2026</t>
        </is>
      </c>
      <c r="B310" s="37" t="inlineStr">
        <is>
          <t>BK-HS-0014</t>
        </is>
      </c>
      <c r="C310" s="37" t="inlineStr">
        <is>
          <t>Lê Quang Khoa</t>
        </is>
      </c>
      <c r="D310" s="37" t="inlineStr">
        <is>
          <t>Phòng Đo đạc</t>
        </is>
      </c>
      <c r="E310" s="37" t="inlineStr">
        <is>
          <t>Cắm mốc</t>
        </is>
      </c>
      <c r="F310" s="27" t="n">
        <v>46094</v>
      </c>
      <c r="G310" s="29" t="n">
        <v>2000000</v>
      </c>
      <c r="H310" s="29" t="n">
        <v>2000000</v>
      </c>
      <c r="I310" s="29">
        <f>IF(G310="","",G310-H310)</f>
        <v/>
      </c>
      <c r="J310" s="37">
        <f>IF(A310="","",IF(I310&lt;=0,"Đã tất toán",IF(L310&lt;TODAY(),"Quá hạn","Còn nợ")))</f>
        <v/>
      </c>
      <c r="K310" s="37" t="inlineStr">
        <is>
          <t>Đạt Việt Phát Land</t>
        </is>
      </c>
      <c r="L310" s="27" t="n"/>
      <c r="M310" s="37" t="n"/>
    </row>
    <row r="311" ht="15.75" customHeight="1" s="56">
      <c r="A311" s="37" t="inlineStr">
        <is>
          <t>115/BK-2026</t>
        </is>
      </c>
      <c r="B311" s="37" t="inlineStr">
        <is>
          <t>BK-HS-0013</t>
        </is>
      </c>
      <c r="C311" s="37" t="inlineStr">
        <is>
          <t>Nguyễn Đức Mẫn</t>
        </is>
      </c>
      <c r="D311" s="37" t="inlineStr">
        <is>
          <t>Phòng Đo đạc</t>
        </is>
      </c>
      <c r="E311" s="37" t="inlineStr">
        <is>
          <t>Chuyển mục đích</t>
        </is>
      </c>
      <c r="F311" s="27" t="n">
        <v>46094</v>
      </c>
      <c r="G311" s="29" t="n">
        <v>100000000</v>
      </c>
      <c r="H311" s="29" t="n">
        <v>0</v>
      </c>
      <c r="I311" s="29">
        <f>IF(G311="","",G311-H311)</f>
        <v/>
      </c>
      <c r="J311" s="37">
        <f>IF(A311="","",IF(I311&lt;=0,"Đã tất toán",IF(L311&lt;TODAY(),"Quá hạn","Còn nợ")))</f>
        <v/>
      </c>
      <c r="K311" s="37" t="inlineStr">
        <is>
          <t>Công Ty</t>
        </is>
      </c>
      <c r="L311" s="27" t="n"/>
      <c r="M311" s="37" t="n"/>
    </row>
    <row r="312" ht="15.75" customHeight="1" s="56">
      <c r="A312" s="37" t="inlineStr">
        <is>
          <t>116/BK-2026</t>
        </is>
      </c>
      <c r="B312" s="37" t="inlineStr">
        <is>
          <t>BK-HS-0012</t>
        </is>
      </c>
      <c r="C312" s="37" t="inlineStr">
        <is>
          <t>Trần Phước Vân</t>
        </is>
      </c>
      <c r="D312" s="37" t="inlineStr">
        <is>
          <t>Phòng Đo đạc</t>
        </is>
      </c>
      <c r="E312" s="37" t="inlineStr">
        <is>
          <t>Cắm mốc</t>
        </is>
      </c>
      <c r="F312" s="27" t="n">
        <v>46094</v>
      </c>
      <c r="G312" s="29" t="n">
        <v>2500000</v>
      </c>
      <c r="H312" s="29" t="n">
        <v>2500000</v>
      </c>
      <c r="I312" s="29">
        <f>IF(G312="","",G312-H312)</f>
        <v/>
      </c>
      <c r="J312" s="37">
        <f>IF(A312="","",IF(I312&lt;=0,"Đã tất toán",IF(L312&lt;TODAY(),"Quá hạn","Còn nợ")))</f>
        <v/>
      </c>
      <c r="K312" s="37" t="inlineStr">
        <is>
          <t>Chinh Đen</t>
        </is>
      </c>
      <c r="L312" s="27" t="n"/>
      <c r="M312" s="37" t="n"/>
    </row>
    <row r="313" ht="15.75" customHeight="1" s="56">
      <c r="A313" s="37" t="inlineStr">
        <is>
          <t>117/BK-2026</t>
        </is>
      </c>
      <c r="B313" s="37" t="inlineStr">
        <is>
          <t>BK-HS-0011</t>
        </is>
      </c>
      <c r="C313" s="37" t="inlineStr">
        <is>
          <t>Đào Minh Quân</t>
        </is>
      </c>
      <c r="D313" s="37" t="inlineStr">
        <is>
          <t>Phòng Đo đạc</t>
        </is>
      </c>
      <c r="E313" s="37" t="inlineStr">
        <is>
          <t>Cấp đổi</t>
        </is>
      </c>
      <c r="F313" s="27" t="n">
        <v>46095</v>
      </c>
      <c r="G313" s="29" t="n">
        <v>12000000</v>
      </c>
      <c r="H313" s="29" t="n">
        <v>6000000</v>
      </c>
      <c r="I313" s="29">
        <f>IF(G313="","",G313-H313)</f>
        <v/>
      </c>
      <c r="J313" s="37">
        <f>IF(A313="","",IF(I313&lt;=0,"Đã tất toán",IF(L313&lt;TODAY(),"Quá hạn","Còn nợ")))</f>
        <v/>
      </c>
      <c r="K313" s="37" t="inlineStr">
        <is>
          <t>Công Ty</t>
        </is>
      </c>
      <c r="L313" s="27" t="n"/>
      <c r="M313" s="37" t="n"/>
    </row>
    <row r="314" ht="15.75" customHeight="1" s="56">
      <c r="A314" s="37" t="inlineStr">
        <is>
          <t>119/BK-2026</t>
        </is>
      </c>
      <c r="B314" s="37" t="inlineStr">
        <is>
          <t>BK-HS-0010</t>
        </is>
      </c>
      <c r="C314" s="37" t="inlineStr">
        <is>
          <t>Đặng Quang Huy</t>
        </is>
      </c>
      <c r="D314" s="37" t="inlineStr">
        <is>
          <t>Phòng Đo đạc</t>
        </is>
      </c>
      <c r="E314" s="37" t="inlineStr">
        <is>
          <t>Hoàn công</t>
        </is>
      </c>
      <c r="F314" s="27" t="n">
        <v>46095</v>
      </c>
      <c r="G314" s="29" t="n"/>
      <c r="H314" s="29" t="n">
        <v>0</v>
      </c>
      <c r="I314" s="29">
        <f>IF(G314="","",G314-H314)</f>
        <v/>
      </c>
      <c r="J314" s="37">
        <f>IF(A314="","",IF(I314&lt;=0,"Đã tất toán",IF(L314&lt;TODAY(),"Quá hạn","Còn nợ")))</f>
        <v/>
      </c>
      <c r="K314" s="37" t="inlineStr">
        <is>
          <t>Cô Hoa</t>
        </is>
      </c>
      <c r="L314" s="27" t="n"/>
      <c r="M314" s="37" t="n"/>
    </row>
    <row r="315" ht="15.75" customHeight="1" s="56">
      <c r="A315" s="37" t="inlineStr">
        <is>
          <t>120/BK-2026</t>
        </is>
      </c>
      <c r="B315" s="37" t="inlineStr">
        <is>
          <t>BK-HS-0009</t>
        </is>
      </c>
      <c r="C315" s="37" t="inlineStr">
        <is>
          <t>Nguyễn Xuân Hạnh</t>
        </is>
      </c>
      <c r="D315" s="37" t="inlineStr">
        <is>
          <t>Phòng Đo đạc</t>
        </is>
      </c>
      <c r="E315" s="37" t="inlineStr">
        <is>
          <t>Xác định diện tích</t>
        </is>
      </c>
      <c r="F315" s="27" t="n">
        <v>46095</v>
      </c>
      <c r="G315" s="29" t="n">
        <v>5000000</v>
      </c>
      <c r="H315" s="29" t="n">
        <v>0</v>
      </c>
      <c r="I315" s="29">
        <f>IF(G315="","",G315-H315)</f>
        <v/>
      </c>
      <c r="J315" s="37">
        <f>IF(A315="","",IF(I315&lt;=0,"Đã tất toán",IF(L315&lt;TODAY(),"Quá hạn","Còn nợ")))</f>
        <v/>
      </c>
      <c r="K315" s="37" t="inlineStr">
        <is>
          <t>Công Ty</t>
        </is>
      </c>
      <c r="L315" s="27" t="n"/>
      <c r="M315" s="37" t="n"/>
    </row>
    <row r="316" ht="15.75" customHeight="1" s="56">
      <c r="A316" s="37" t="inlineStr">
        <is>
          <t>121/BK-2026</t>
        </is>
      </c>
      <c r="B316" s="37" t="inlineStr">
        <is>
          <t>BK-HS-0008</t>
        </is>
      </c>
      <c r="C316" s="37" t="inlineStr">
        <is>
          <t>Nguyễn Thị Hoa</t>
        </is>
      </c>
      <c r="D316" s="37" t="inlineStr">
        <is>
          <t>Phòng Đo đạc</t>
        </is>
      </c>
      <c r="E316" s="37" t="inlineStr">
        <is>
          <t>Hoàn công</t>
        </is>
      </c>
      <c r="F316" s="27" t="n">
        <v>46096</v>
      </c>
      <c r="G316" s="29" t="n"/>
      <c r="H316" s="29" t="n">
        <v>0</v>
      </c>
      <c r="I316" s="29">
        <f>IF(G316="","",G316-H316)</f>
        <v/>
      </c>
      <c r="J316" s="37">
        <f>IF(A316="","",IF(I316&lt;=0,"Đã tất toán",IF(L316&lt;TODAY(),"Quá hạn","Còn nợ")))</f>
        <v/>
      </c>
      <c r="K316" s="37" t="inlineStr">
        <is>
          <t>Anh Chiến KTS</t>
        </is>
      </c>
      <c r="L316" s="27" t="n"/>
      <c r="M316" s="37" t="n"/>
    </row>
    <row r="317" ht="15.75" customHeight="1" s="56">
      <c r="A317" s="37" t="inlineStr">
        <is>
          <t>122/BK-2026</t>
        </is>
      </c>
      <c r="B317" s="37" t="inlineStr">
        <is>
          <t>BK-HS-0007</t>
        </is>
      </c>
      <c r="C317" s="37" t="inlineStr">
        <is>
          <t>Trần Thanh Khương</t>
        </is>
      </c>
      <c r="D317" s="37" t="inlineStr">
        <is>
          <t>Phòng Đo đạc</t>
        </is>
      </c>
      <c r="E317" s="37" t="inlineStr">
        <is>
          <t>Cấp đổi</t>
        </is>
      </c>
      <c r="F317" s="27" t="n">
        <v>46096</v>
      </c>
      <c r="G317" s="29" t="n">
        <v>2000000</v>
      </c>
      <c r="H317" s="29" t="n">
        <v>2000000</v>
      </c>
      <c r="I317" s="29">
        <f>IF(G317="","",G317-H317)</f>
        <v/>
      </c>
      <c r="J317" s="37">
        <f>IF(A317="","",IF(I317&lt;=0,"Đã tất toán",IF(L317&lt;TODAY(),"Quá hạn","Còn nợ")))</f>
        <v/>
      </c>
      <c r="K317" s="37" t="inlineStr">
        <is>
          <t>Công Ty</t>
        </is>
      </c>
      <c r="L317" s="27" t="n"/>
      <c r="M317" s="37" t="n"/>
    </row>
    <row r="318" ht="15.75" customHeight="1" s="56">
      <c r="A318" s="37" t="inlineStr">
        <is>
          <t>123/BK-2026</t>
        </is>
      </c>
      <c r="B318" s="37" t="inlineStr">
        <is>
          <t>BK-HS-0006</t>
        </is>
      </c>
      <c r="C318" s="37" t="inlineStr">
        <is>
          <t>Đào Minh Quân</t>
        </is>
      </c>
      <c r="D318" s="37" t="inlineStr">
        <is>
          <t>Phòng Đo đạc</t>
        </is>
      </c>
      <c r="E318" s="37" t="inlineStr">
        <is>
          <t>Cắm mốc</t>
        </is>
      </c>
      <c r="F318" s="27" t="n">
        <v>46097</v>
      </c>
      <c r="G318" s="29" t="n">
        <v>2000000</v>
      </c>
      <c r="H318" s="29" t="n">
        <v>0</v>
      </c>
      <c r="I318" s="29">
        <f>IF(G318="","",G318-H318)</f>
        <v/>
      </c>
      <c r="J318" s="37">
        <f>IF(A318="","",IF(I318&lt;=0,"Đã tất toán",IF(L318&lt;TODAY(),"Quá hạn","Còn nợ")))</f>
        <v/>
      </c>
      <c r="K318" s="37" t="inlineStr">
        <is>
          <t>Công Ty</t>
        </is>
      </c>
      <c r="L318" s="27" t="n"/>
      <c r="M318" s="37" t="n"/>
    </row>
    <row r="319" ht="15.75" customHeight="1" s="56">
      <c r="A319" s="37" t="inlineStr">
        <is>
          <t>124/BK-2026</t>
        </is>
      </c>
      <c r="B319" s="37" t="inlineStr">
        <is>
          <t>BK-HS-0005</t>
        </is>
      </c>
      <c r="C319" s="37" t="inlineStr">
        <is>
          <t>Đặng Khoa Học-Trần Ngọc Thùy Tiên</t>
        </is>
      </c>
      <c r="D319" s="37" t="inlineStr">
        <is>
          <t>Phòng Đo đạc</t>
        </is>
      </c>
      <c r="E319" s="37" t="inlineStr">
        <is>
          <t>Cấp đổi</t>
        </is>
      </c>
      <c r="F319" s="27" t="n">
        <v>46097</v>
      </c>
      <c r="G319" s="29" t="n">
        <v>8000000</v>
      </c>
      <c r="H319" s="29" t="n">
        <v>0</v>
      </c>
      <c r="I319" s="29">
        <f>IF(G319="","",G319-H319)</f>
        <v/>
      </c>
      <c r="J319" s="37">
        <f>IF(A319="","",IF(I319&lt;=0,"Đã tất toán",IF(L319&lt;TODAY(),"Quá hạn","Còn nợ")))</f>
        <v/>
      </c>
      <c r="K319" s="37" t="inlineStr">
        <is>
          <t>Tuấn Lộc</t>
        </is>
      </c>
      <c r="L319" s="27" t="n"/>
      <c r="M319" s="37" t="n"/>
    </row>
    <row r="320" ht="15.75" customHeight="1" s="56">
      <c r="A320" s="37" t="inlineStr">
        <is>
          <t>125/BK-2026</t>
        </is>
      </c>
      <c r="B320" s="37" t="inlineStr">
        <is>
          <t>BK-HS-0004</t>
        </is>
      </c>
      <c r="C320" s="37" t="inlineStr">
        <is>
          <t>Nguyễn Văn Học</t>
        </is>
      </c>
      <c r="D320" s="37" t="inlineStr">
        <is>
          <t>Phòng Đo đạc</t>
        </is>
      </c>
      <c r="E320" s="37" t="inlineStr">
        <is>
          <t>Cấp đổi</t>
        </is>
      </c>
      <c r="F320" s="27" t="n">
        <v>46097</v>
      </c>
      <c r="G320" s="29" t="n">
        <v>12000000</v>
      </c>
      <c r="H320" s="29" t="n">
        <v>6000000</v>
      </c>
      <c r="I320" s="29">
        <f>IF(G320="","",G320-H320)</f>
        <v/>
      </c>
      <c r="J320" s="37">
        <f>IF(A320="","",IF(I320&lt;=0,"Đã tất toán",IF(L320&lt;TODAY(),"Quá hạn","Còn nợ")))</f>
        <v/>
      </c>
      <c r="K320" s="37" t="inlineStr">
        <is>
          <t>Công Ty</t>
        </is>
      </c>
      <c r="L320" s="27" t="n"/>
      <c r="M320" s="37" t="n"/>
    </row>
    <row r="321" ht="15.75" customHeight="1" s="56">
      <c r="A321" s="37" t="inlineStr">
        <is>
          <t>126/BK-2026</t>
        </is>
      </c>
      <c r="B321" s="37" t="inlineStr">
        <is>
          <t>BK-HS-0003</t>
        </is>
      </c>
      <c r="C321" s="37" t="inlineStr">
        <is>
          <t>Trần Văn Giấy</t>
        </is>
      </c>
      <c r="D321" s="37" t="inlineStr">
        <is>
          <t>Phòng Đo đạc</t>
        </is>
      </c>
      <c r="E321" s="37" t="inlineStr">
        <is>
          <t>Hoàn công</t>
        </is>
      </c>
      <c r="F321" s="27" t="n">
        <v>46097</v>
      </c>
      <c r="G321" s="29" t="n"/>
      <c r="H321" s="29" t="n">
        <v>0</v>
      </c>
      <c r="I321" s="29">
        <f>IF(G321="","",G321-H321)</f>
        <v/>
      </c>
      <c r="J321" s="37">
        <f>IF(A321="","",IF(I321&lt;=0,"Đã tất toán",IF(L321&lt;TODAY(),"Quá hạn","Còn nợ")))</f>
        <v/>
      </c>
      <c r="K321" s="37" t="inlineStr">
        <is>
          <t>Tuấn Lộc</t>
        </is>
      </c>
      <c r="L321" s="27" t="n"/>
      <c r="M321" s="37" t="n"/>
    </row>
    <row r="322" ht="15.75" customHeight="1" s="56">
      <c r="A322" s="37" t="inlineStr">
        <is>
          <t>127/BK-2026</t>
        </is>
      </c>
      <c r="B322" s="37" t="inlineStr">
        <is>
          <t>BK-HS-0002</t>
        </is>
      </c>
      <c r="C322" s="37" t="inlineStr">
        <is>
          <t>Lê Văn Hoàng</t>
        </is>
      </c>
      <c r="D322" s="37" t="inlineStr">
        <is>
          <t>Phòng Đo đạc</t>
        </is>
      </c>
      <c r="E322" s="37" t="inlineStr">
        <is>
          <t>Cấp đổi</t>
        </is>
      </c>
      <c r="F322" s="27" t="n">
        <v>46097</v>
      </c>
      <c r="G322" s="29" t="n"/>
      <c r="H322" s="29" t="n">
        <v>0</v>
      </c>
      <c r="I322" s="29">
        <f>IF(G322="","",G322-H322)</f>
        <v/>
      </c>
      <c r="J322" s="37">
        <f>IF(A322="","",IF(I322&lt;=0,"Đã tất toán",IF(L322&lt;TODAY(),"Quá hạn","Còn nợ")))</f>
        <v/>
      </c>
      <c r="K322" s="37" t="inlineStr">
        <is>
          <t>Cô Hoa</t>
        </is>
      </c>
      <c r="L322" s="27" t="n"/>
      <c r="M322" s="37" t="n"/>
    </row>
    <row r="323" ht="15.75" customHeight="1" s="56">
      <c r="A323" s="37" t="inlineStr">
        <is>
          <t>128/BK-2026</t>
        </is>
      </c>
      <c r="B323" s="37" t="inlineStr">
        <is>
          <t>BK-HS-0001</t>
        </is>
      </c>
      <c r="C323" s="37" t="inlineStr">
        <is>
          <t>Hoàng Nam</t>
        </is>
      </c>
      <c r="D323" s="37" t="inlineStr">
        <is>
          <t>Phòng Đo đạc</t>
        </is>
      </c>
      <c r="E323" s="37" t="inlineStr">
        <is>
          <t>Xin phép xây dựng</t>
        </is>
      </c>
      <c r="F323" s="27" t="n">
        <v>46100</v>
      </c>
      <c r="G323" s="29" t="n"/>
      <c r="H323" s="29" t="n">
        <v>0</v>
      </c>
      <c r="I323" s="29">
        <f>IF(G323="","",G323-H323)</f>
        <v/>
      </c>
      <c r="J323" s="37">
        <f>IF(A323="","",IF(I323&lt;=0,"Đã tất toán",IF(L323&lt;TODAY(),"Quá hạn","Còn nợ")))</f>
        <v/>
      </c>
      <c r="K323" s="37" t="inlineStr">
        <is>
          <t>Công Ty</t>
        </is>
      </c>
      <c r="L323" s="27" t="n"/>
      <c r="M323" s="37" t="n"/>
    </row>
    <row r="324" ht="15.75" customHeight="1" s="56">
      <c r="A324" s="37" t="inlineStr">
        <is>
          <t>999/HD-DODAC</t>
        </is>
      </c>
      <c r="B324" s="37" t="inlineStr">
        <is>
          <t>BK-HS-0322</t>
        </is>
      </c>
      <c r="C324" s="37" t="inlineStr">
        <is>
          <t>Nguyễn Văn A</t>
        </is>
      </c>
      <c r="D324" s="37" t="inlineStr">
        <is>
          <t>Phòng Đo đạc</t>
        </is>
      </c>
      <c r="E324" s="37" t="inlineStr">
        <is>
          <t>Đo hiện trạng</t>
        </is>
      </c>
      <c r="F324" s="27" t="inlineStr">
        <is>
          <t>2026-06-23</t>
        </is>
      </c>
      <c r="G324" s="29" t="n">
        <v>10000000</v>
      </c>
      <c r="H324" s="29" t="n">
        <v>0</v>
      </c>
      <c r="I324" s="29">
        <f>IF(G324="","",G324-H324)</f>
        <v/>
      </c>
      <c r="J324" s="37">
        <f>IF(A324="","",IF(I324&lt;=0,"Đã tất toán",IF(L324&lt;TODAY(),"Quá hạn thanh toán","Chờ thanh toán")))</f>
        <v/>
      </c>
      <c r="K324" s="37" t="inlineStr">
        <is>
          <t>Lê Văn Dựng</t>
        </is>
      </c>
      <c r="L324" s="27" t="n"/>
      <c r="M324" s="37" t="inlineStr">
        <is>
          <t>File Hợp đồng: /static/generated_contracts/HopDong_BK-HS-0322_999_HD-DODAC.docx</t>
        </is>
      </c>
    </row>
    <row r="325" ht="15.75" customHeight="1" s="56">
      <c r="A325" s="37" t="inlineStr">
        <is>
          <t>999/HD-DODAC</t>
        </is>
      </c>
      <c r="B325" s="37" t="inlineStr">
        <is>
          <t>BK-HS-0323</t>
        </is>
      </c>
      <c r="C325" s="37" t="inlineStr">
        <is>
          <t>Nguyễn Văn A</t>
        </is>
      </c>
      <c r="D325" s="37" t="inlineStr">
        <is>
          <t>Phòng Đo đạc</t>
        </is>
      </c>
      <c r="E325" s="37" t="inlineStr">
        <is>
          <t>Đo hiện trạng</t>
        </is>
      </c>
      <c r="F325" s="27" t="inlineStr">
        <is>
          <t>2026-06-23</t>
        </is>
      </c>
      <c r="G325" s="29" t="n">
        <v>10000000</v>
      </c>
      <c r="H325" s="29" t="n">
        <v>0</v>
      </c>
      <c r="I325" s="29">
        <f>IF(G325="","",G325-H325)</f>
        <v/>
      </c>
      <c r="J325" s="37">
        <f>IF(A325="","",IF(I325&lt;=0,"Đã tất toán",IF(L325&lt;TODAY(),"Quá hạn thanh toán","Chờ thanh toán")))</f>
        <v/>
      </c>
      <c r="K325" s="37" t="inlineStr">
        <is>
          <t>Lê Văn Dựng</t>
        </is>
      </c>
      <c r="L325" s="27" t="n"/>
      <c r="M325" s="37" t="inlineStr">
        <is>
          <t>File Hợp đồng: /static/generated_contracts/HopDong_BK-HS-0323_999_HD-DODAC.docx</t>
        </is>
      </c>
    </row>
    <row r="326" ht="15.75" customHeight="1" s="56">
      <c r="A326" s="37" t="inlineStr">
        <is>
          <t>999/HD-DODAC</t>
        </is>
      </c>
      <c r="B326" s="37" t="inlineStr">
        <is>
          <t>BK-HS-0325</t>
        </is>
      </c>
      <c r="C326" s="37" t="inlineStr">
        <is>
          <t>Nguyen Van A</t>
        </is>
      </c>
      <c r="D326" s="37" t="inlineStr">
        <is>
          <t>Phòng Đo đạc</t>
        </is>
      </c>
      <c r="E326" s="37" t="inlineStr">
        <is>
          <t>Do hien trang</t>
        </is>
      </c>
      <c r="F326" s="27" t="inlineStr">
        <is>
          <t>2026-06-23</t>
        </is>
      </c>
      <c r="G326" s="29" t="n">
        <v>10000000</v>
      </c>
      <c r="H326" s="29" t="n">
        <v>0</v>
      </c>
      <c r="I326" s="29">
        <f>IF(G326="","",G326-H326)</f>
        <v/>
      </c>
      <c r="J326" s="37">
        <f>IF(A326="","",IF(I326&lt;=0,"Đã tất toán",IF(L326&lt;TODAY(),"Quá hạn thanh toán","Chờ thanh toán")))</f>
        <v/>
      </c>
      <c r="K326" s="37" t="inlineStr">
        <is>
          <t>Le Van Dung</t>
        </is>
      </c>
      <c r="L326" s="27" t="n"/>
      <c r="M326" s="37" t="inlineStr">
        <is>
          <t>File Hợp đồng: /static/generated_contracts/HopDong_BK-HS-0325_999_HD-DODAC.docx</t>
        </is>
      </c>
    </row>
    <row r="327" ht="15.75" customHeight="1" s="56">
      <c r="A327" s="37" t="inlineStr">
        <is>
          <t>TEST-001/BK-2026</t>
        </is>
      </c>
      <c r="B327" s="37" t="inlineStr">
        <is>
          <t>BK-HS-0326</t>
        </is>
      </c>
      <c r="C327" s="37" t="inlineStr">
        <is>
          <t>Nguyen Van Test</t>
        </is>
      </c>
      <c r="D327" s="37" t="inlineStr">
        <is>
          <t>Phòng Đo đạc</t>
        </is>
      </c>
      <c r="E327" s="37" t="inlineStr">
        <is>
          <t>Do hien trang</t>
        </is>
      </c>
      <c r="F327" s="27" t="inlineStr">
        <is>
          <t>2026-06-23</t>
        </is>
      </c>
      <c r="G327" s="29" t="n">
        <v>15000000</v>
      </c>
      <c r="H327" s="29" t="n">
        <v>0</v>
      </c>
      <c r="I327" s="29">
        <f>IF(G327="","",G327-H327)</f>
        <v/>
      </c>
      <c r="J327" s="37">
        <f>IF(A327="","",IF(I327&lt;=0,"Đã tất toán",IF(L327&lt;TODAY(),"Quá hạn thanh toán","Chờ thanh toán")))</f>
        <v/>
      </c>
      <c r="K327" s="37" t="inlineStr">
        <is>
          <t>Le Van Dung</t>
        </is>
      </c>
      <c r="L327" s="27" t="n"/>
      <c r="M327" s="37" t="inlineStr">
        <is>
          <t>File Hợp đồng: /static/generated_contracts/HopDong_BK-HS-0326_TEST-001_BK-2026.docx</t>
        </is>
      </c>
    </row>
    <row r="328" ht="15.75" customHeight="1" s="56">
      <c r="A328" s="37" t="n"/>
      <c r="B328" s="37" t="n"/>
      <c r="C328" s="37" t="n"/>
      <c r="D328" s="37" t="n"/>
      <c r="E328" s="37" t="n"/>
      <c r="F328" s="27" t="n"/>
      <c r="G328" s="29" t="n"/>
      <c r="H328" s="29" t="n"/>
      <c r="I328" s="29">
        <f>IF(G328="","",G328-H328)</f>
        <v/>
      </c>
      <c r="J328" s="37">
        <f>IF(A328="","",IF(I328&lt;=0,"Đã tất toán",IF(L328&lt;TODAY(),"Quá hạn","Còn nợ")))</f>
        <v/>
      </c>
      <c r="K328" s="37" t="n"/>
      <c r="L328" s="27" t="n"/>
      <c r="M328" s="37" t="n"/>
    </row>
    <row r="329" ht="15.75" customHeight="1" s="56">
      <c r="A329" s="37" t="n"/>
      <c r="B329" s="37" t="n"/>
      <c r="C329" s="37" t="n"/>
      <c r="D329" s="37" t="n"/>
      <c r="E329" s="37" t="n"/>
      <c r="F329" s="27" t="n"/>
      <c r="G329" s="29" t="n"/>
      <c r="H329" s="29" t="n"/>
      <c r="I329" s="29">
        <f>IF(G329="","",G329-H329)</f>
        <v/>
      </c>
      <c r="J329" s="37">
        <f>IF(A329="","",IF(I329&lt;=0,"Đã tất toán",IF(L329&lt;TODAY(),"Quá hạn","Còn nợ")))</f>
        <v/>
      </c>
      <c r="K329" s="37" t="n"/>
      <c r="L329" s="27" t="n"/>
      <c r="M329" s="37" t="n"/>
    </row>
    <row r="330" ht="15.75" customHeight="1" s="56">
      <c r="A330" s="37" t="n"/>
      <c r="B330" s="37" t="n"/>
      <c r="C330" s="37" t="n"/>
      <c r="D330" s="37" t="n"/>
      <c r="E330" s="37" t="n"/>
      <c r="F330" s="27" t="n"/>
      <c r="G330" s="29" t="n"/>
      <c r="H330" s="29" t="n"/>
      <c r="I330" s="29">
        <f>IF(G330="","",G330-H330)</f>
        <v/>
      </c>
      <c r="J330" s="37">
        <f>IF(A330="","",IF(I330&lt;=0,"Đã tất toán",IF(L330&lt;TODAY(),"Quá hạn","Còn nợ")))</f>
        <v/>
      </c>
      <c r="K330" s="37" t="n"/>
      <c r="L330" s="27" t="n"/>
      <c r="M330" s="37" t="n"/>
    </row>
    <row r="331" ht="15.75" customHeight="1" s="56">
      <c r="A331" s="37" t="n"/>
      <c r="B331" s="37" t="n"/>
      <c r="C331" s="37" t="n"/>
      <c r="D331" s="37" t="n"/>
      <c r="E331" s="37" t="n"/>
      <c r="F331" s="27" t="n"/>
      <c r="G331" s="29" t="n"/>
      <c r="H331" s="29" t="n"/>
      <c r="I331" s="29">
        <f>IF(G331="","",G331-H331)</f>
        <v/>
      </c>
      <c r="J331" s="37">
        <f>IF(A331="","",IF(I331&lt;=0,"Đã tất toán",IF(L331&lt;TODAY(),"Quá hạn","Còn nợ")))</f>
        <v/>
      </c>
      <c r="K331" s="37" t="n"/>
      <c r="L331" s="27" t="n"/>
      <c r="M331" s="37" t="n"/>
    </row>
    <row r="332" ht="15.75" customHeight="1" s="56">
      <c r="A332" s="37" t="n"/>
      <c r="B332" s="37" t="n"/>
      <c r="C332" s="37" t="n"/>
      <c r="D332" s="37" t="n"/>
      <c r="E332" s="37" t="n"/>
      <c r="F332" s="27" t="n"/>
      <c r="G332" s="29" t="n"/>
      <c r="H332" s="29" t="n"/>
      <c r="I332" s="29">
        <f>IF(G332="","",G332-H332)</f>
        <v/>
      </c>
      <c r="J332" s="37">
        <f>IF(A332="","",IF(I332&lt;=0,"Đã tất toán",IF(L332&lt;TODAY(),"Quá hạn","Còn nợ")))</f>
        <v/>
      </c>
      <c r="K332" s="37" t="n"/>
      <c r="L332" s="27" t="n"/>
      <c r="M332" s="37" t="n"/>
    </row>
    <row r="333" ht="15.75" customHeight="1" s="56">
      <c r="A333" s="37" t="n"/>
      <c r="B333" s="37" t="n"/>
      <c r="C333" s="37" t="n"/>
      <c r="D333" s="37" t="n"/>
      <c r="E333" s="37" t="n"/>
      <c r="F333" s="27" t="n"/>
      <c r="G333" s="29" t="n"/>
      <c r="H333" s="29" t="n"/>
      <c r="I333" s="29">
        <f>IF(G333="","",G333-H333)</f>
        <v/>
      </c>
      <c r="J333" s="37">
        <f>IF(A333="","",IF(I333&lt;=0,"Đã tất toán",IF(L333&lt;TODAY(),"Quá hạn","Còn nợ")))</f>
        <v/>
      </c>
      <c r="K333" s="37" t="n"/>
      <c r="L333" s="27" t="n"/>
      <c r="M333" s="37" t="n"/>
    </row>
    <row r="334" ht="15.75" customHeight="1" s="56">
      <c r="A334" s="37" t="n"/>
      <c r="B334" s="37" t="n"/>
      <c r="C334" s="37" t="n"/>
      <c r="D334" s="37" t="n"/>
      <c r="E334" s="37" t="n"/>
      <c r="F334" s="27" t="n"/>
      <c r="G334" s="29" t="n"/>
      <c r="H334" s="29" t="n"/>
      <c r="I334" s="29">
        <f>IF(G334="","",G334-H334)</f>
        <v/>
      </c>
      <c r="J334" s="37">
        <f>IF(A334="","",IF(I334&lt;=0,"Đã tất toán",IF(L334&lt;TODAY(),"Quá hạn","Còn nợ")))</f>
        <v/>
      </c>
      <c r="K334" s="37" t="n"/>
      <c r="L334" s="27" t="n"/>
      <c r="M334" s="37" t="n"/>
    </row>
    <row r="335" ht="15.75" customHeight="1" s="56">
      <c r="A335" s="37" t="n"/>
      <c r="B335" s="37" t="n"/>
      <c r="C335" s="37" t="n"/>
      <c r="D335" s="37" t="n"/>
      <c r="E335" s="37" t="n"/>
      <c r="F335" s="27" t="n"/>
      <c r="G335" s="29" t="n"/>
      <c r="H335" s="29" t="n"/>
      <c r="I335" s="29">
        <f>IF(G335="","",G335-H335)</f>
        <v/>
      </c>
      <c r="J335" s="37">
        <f>IF(A335="","",IF(I335&lt;=0,"Đã tất toán",IF(L335&lt;TODAY(),"Quá hạn","Còn nợ")))</f>
        <v/>
      </c>
      <c r="K335" s="37" t="n"/>
      <c r="L335" s="27" t="n"/>
      <c r="M335" s="37" t="n"/>
    </row>
    <row r="336" ht="15.75" customHeight="1" s="56">
      <c r="A336" s="37" t="n"/>
      <c r="B336" s="37" t="n"/>
      <c r="C336" s="37" t="n"/>
      <c r="D336" s="37" t="n"/>
      <c r="E336" s="37" t="n"/>
      <c r="F336" s="27" t="n"/>
      <c r="G336" s="29" t="n"/>
      <c r="H336" s="29" t="n"/>
      <c r="I336" s="29">
        <f>IF(G336="","",G336-H336)</f>
        <v/>
      </c>
      <c r="J336" s="37">
        <f>IF(A336="","",IF(I336&lt;=0,"Đã tất toán",IF(L336&lt;TODAY(),"Quá hạn","Còn nợ")))</f>
        <v/>
      </c>
      <c r="K336" s="37" t="n"/>
      <c r="L336" s="27" t="n"/>
      <c r="M336" s="37" t="n"/>
    </row>
    <row r="337" ht="15.75" customHeight="1" s="56">
      <c r="A337" s="37" t="n"/>
      <c r="B337" s="37" t="n"/>
      <c r="C337" s="37" t="n"/>
      <c r="D337" s="37" t="n"/>
      <c r="E337" s="37" t="n"/>
      <c r="F337" s="27" t="n"/>
      <c r="G337" s="29" t="n"/>
      <c r="H337" s="29" t="n"/>
      <c r="I337" s="29">
        <f>IF(G337="","",G337-H337)</f>
        <v/>
      </c>
      <c r="J337" s="37">
        <f>IF(A337="","",IF(I337&lt;=0,"Đã tất toán",IF(L337&lt;TODAY(),"Quá hạn","Còn nợ")))</f>
        <v/>
      </c>
      <c r="K337" s="37" t="n"/>
      <c r="L337" s="27" t="n"/>
      <c r="M337" s="37" t="n"/>
    </row>
    <row r="338" ht="15.75" customHeight="1" s="56">
      <c r="A338" s="37" t="n"/>
      <c r="B338" s="37" t="n"/>
      <c r="C338" s="37" t="n"/>
      <c r="D338" s="37" t="n"/>
      <c r="E338" s="37" t="n"/>
      <c r="F338" s="27" t="n"/>
      <c r="G338" s="29" t="n"/>
      <c r="H338" s="29" t="n"/>
      <c r="I338" s="29">
        <f>IF(G338="","",G338-H338)</f>
        <v/>
      </c>
      <c r="J338" s="37">
        <f>IF(A338="","",IF(I338&lt;=0,"Đã tất toán",IF(L338&lt;TODAY(),"Quá hạn","Còn nợ")))</f>
        <v/>
      </c>
      <c r="K338" s="37" t="n"/>
      <c r="L338" s="27" t="n"/>
      <c r="M338" s="37" t="n"/>
    </row>
    <row r="339" ht="15.75" customHeight="1" s="56">
      <c r="A339" s="37" t="n"/>
      <c r="B339" s="37" t="n"/>
      <c r="C339" s="37" t="n"/>
      <c r="D339" s="37" t="n"/>
      <c r="E339" s="37" t="n"/>
      <c r="F339" s="27" t="n"/>
      <c r="G339" s="29" t="n"/>
      <c r="H339" s="29" t="n"/>
      <c r="I339" s="29">
        <f>IF(G339="","",G339-H339)</f>
        <v/>
      </c>
      <c r="J339" s="37">
        <f>IF(A339="","",IF(I339&lt;=0,"Đã tất toán",IF(L339&lt;TODAY(),"Quá hạn","Còn nợ")))</f>
        <v/>
      </c>
      <c r="K339" s="37" t="n"/>
      <c r="L339" s="27" t="n"/>
      <c r="M339" s="37" t="n"/>
    </row>
    <row r="340" ht="15.75" customHeight="1" s="56">
      <c r="A340" s="37" t="n"/>
      <c r="B340" s="37" t="n"/>
      <c r="C340" s="37" t="n"/>
      <c r="D340" s="37" t="n"/>
      <c r="E340" s="37" t="n"/>
      <c r="F340" s="27" t="n"/>
      <c r="G340" s="29" t="n"/>
      <c r="H340" s="29" t="n"/>
      <c r="I340" s="29">
        <f>IF(G340="","",G340-H340)</f>
        <v/>
      </c>
      <c r="J340" s="37">
        <f>IF(A340="","",IF(I340&lt;=0,"Đã tất toán",IF(L340&lt;TODAY(),"Quá hạn","Còn nợ")))</f>
        <v/>
      </c>
      <c r="K340" s="37" t="n"/>
      <c r="L340" s="27" t="n"/>
      <c r="M340" s="37" t="n"/>
    </row>
    <row r="341" ht="15.75" customHeight="1" s="56">
      <c r="A341" s="37" t="n"/>
      <c r="B341" s="37" t="n"/>
      <c r="C341" s="37" t="n"/>
      <c r="D341" s="37" t="n"/>
      <c r="E341" s="37" t="n"/>
      <c r="F341" s="27" t="n"/>
      <c r="G341" s="29" t="n"/>
      <c r="H341" s="29" t="n"/>
      <c r="I341" s="29">
        <f>IF(G341="","",G341-H341)</f>
        <v/>
      </c>
      <c r="J341" s="37">
        <f>IF(A341="","",IF(I341&lt;=0,"Đã tất toán",IF(L341&lt;TODAY(),"Quá hạn","Còn nợ")))</f>
        <v/>
      </c>
      <c r="K341" s="37" t="n"/>
      <c r="L341" s="27" t="n"/>
      <c r="M341" s="37" t="n"/>
    </row>
    <row r="342" ht="15.75" customHeight="1" s="56">
      <c r="A342" s="37" t="n"/>
      <c r="B342" s="37" t="n"/>
      <c r="C342" s="37" t="n"/>
      <c r="D342" s="37" t="n"/>
      <c r="E342" s="37" t="n"/>
      <c r="F342" s="27" t="n"/>
      <c r="G342" s="29" t="n"/>
      <c r="H342" s="29" t="n"/>
      <c r="I342" s="29">
        <f>IF(G342="","",G342-H342)</f>
        <v/>
      </c>
      <c r="J342" s="37">
        <f>IF(A342="","",IF(I342&lt;=0,"Đã tất toán",IF(L342&lt;TODAY(),"Quá hạn","Còn nợ")))</f>
        <v/>
      </c>
      <c r="K342" s="37" t="n"/>
      <c r="L342" s="27" t="n"/>
      <c r="M342" s="37" t="n"/>
    </row>
    <row r="343" ht="15.75" customHeight="1" s="56">
      <c r="A343" s="37" t="n"/>
      <c r="B343" s="37" t="n"/>
      <c r="C343" s="37" t="n"/>
      <c r="D343" s="37" t="n"/>
      <c r="E343" s="37" t="n"/>
      <c r="F343" s="27" t="n"/>
      <c r="G343" s="29" t="n"/>
      <c r="H343" s="29" t="n"/>
      <c r="I343" s="29">
        <f>IF(G343="","",G343-H343)</f>
        <v/>
      </c>
      <c r="J343" s="37">
        <f>IF(A343="","",IF(I343&lt;=0,"Đã tất toán",IF(L343&lt;TODAY(),"Quá hạn","Còn nợ")))</f>
        <v/>
      </c>
      <c r="K343" s="37" t="n"/>
      <c r="L343" s="27" t="n"/>
      <c r="M343" s="37" t="n"/>
    </row>
    <row r="344" ht="15.75" customHeight="1" s="56">
      <c r="A344" s="37" t="n"/>
      <c r="B344" s="37" t="n"/>
      <c r="C344" s="37" t="n"/>
      <c r="D344" s="37" t="n"/>
      <c r="E344" s="37" t="n"/>
      <c r="F344" s="27" t="n"/>
      <c r="G344" s="29" t="n"/>
      <c r="H344" s="29" t="n"/>
      <c r="I344" s="29">
        <f>IF(G344="","",G344-H344)</f>
        <v/>
      </c>
      <c r="J344" s="37">
        <f>IF(A344="","",IF(I344&lt;=0,"Đã tất toán",IF(L344&lt;TODAY(),"Quá hạn","Còn nợ")))</f>
        <v/>
      </c>
      <c r="K344" s="37" t="n"/>
      <c r="L344" s="27" t="n"/>
      <c r="M344" s="37" t="n"/>
    </row>
    <row r="345" ht="15.75" customHeight="1" s="56">
      <c r="A345" s="37" t="n"/>
      <c r="B345" s="37" t="n"/>
      <c r="C345" s="37" t="n"/>
      <c r="D345" s="37" t="n"/>
      <c r="E345" s="37" t="n"/>
      <c r="F345" s="27" t="n"/>
      <c r="G345" s="29" t="n"/>
      <c r="H345" s="29" t="n"/>
      <c r="I345" s="29">
        <f>IF(G345="","",G345-H345)</f>
        <v/>
      </c>
      <c r="J345" s="37">
        <f>IF(A345="","",IF(I345&lt;=0,"Đã tất toán",IF(L345&lt;TODAY(),"Quá hạn","Còn nợ")))</f>
        <v/>
      </c>
      <c r="K345" s="37" t="n"/>
      <c r="L345" s="27" t="n"/>
      <c r="M345" s="37" t="n"/>
    </row>
    <row r="346" ht="15.75" customHeight="1" s="56">
      <c r="A346" s="37" t="n"/>
      <c r="B346" s="37" t="n"/>
      <c r="C346" s="37" t="n"/>
      <c r="D346" s="37" t="n"/>
      <c r="E346" s="37" t="n"/>
      <c r="F346" s="27" t="n"/>
      <c r="G346" s="29" t="n"/>
      <c r="H346" s="29" t="n"/>
      <c r="I346" s="29">
        <f>IF(G346="","",G346-H346)</f>
        <v/>
      </c>
      <c r="J346" s="37">
        <f>IF(A346="","",IF(I346&lt;=0,"Đã tất toán",IF(L346&lt;TODAY(),"Quá hạn","Còn nợ")))</f>
        <v/>
      </c>
      <c r="K346" s="37" t="n"/>
      <c r="L346" s="27" t="n"/>
      <c r="M346" s="37" t="n"/>
    </row>
    <row r="347" ht="15.75" customHeight="1" s="56">
      <c r="A347" s="37" t="n"/>
      <c r="B347" s="37" t="n"/>
      <c r="C347" s="37" t="n"/>
      <c r="D347" s="37" t="n"/>
      <c r="E347" s="37" t="n"/>
      <c r="F347" s="27" t="n"/>
      <c r="G347" s="29" t="n"/>
      <c r="H347" s="29" t="n"/>
      <c r="I347" s="29">
        <f>IF(G347="","",G347-H347)</f>
        <v/>
      </c>
      <c r="J347" s="37">
        <f>IF(A347="","",IF(I347&lt;=0,"Đã tất toán",IF(L347&lt;TODAY(),"Quá hạn","Còn nợ")))</f>
        <v/>
      </c>
      <c r="K347" s="37" t="n"/>
      <c r="L347" s="27" t="n"/>
      <c r="M347" s="37" t="n"/>
    </row>
    <row r="348" ht="15.75" customHeight="1" s="56">
      <c r="A348" s="37" t="n"/>
      <c r="B348" s="37" t="n"/>
      <c r="C348" s="37" t="n"/>
      <c r="D348" s="37" t="n"/>
      <c r="E348" s="37" t="n"/>
      <c r="F348" s="27" t="n"/>
      <c r="G348" s="29" t="n"/>
      <c r="H348" s="29" t="n"/>
      <c r="I348" s="29">
        <f>IF(G348="","",G348-H348)</f>
        <v/>
      </c>
      <c r="J348" s="37">
        <f>IF(A348="","",IF(I348&lt;=0,"Đã tất toán",IF(L348&lt;TODAY(),"Quá hạn","Còn nợ")))</f>
        <v/>
      </c>
      <c r="K348" s="37" t="n"/>
      <c r="L348" s="27" t="n"/>
      <c r="M348" s="37" t="n"/>
    </row>
    <row r="349" ht="15.75" customHeight="1" s="56">
      <c r="A349" s="37" t="n"/>
      <c r="B349" s="37" t="n"/>
      <c r="C349" s="37" t="n"/>
      <c r="D349" s="37" t="n"/>
      <c r="E349" s="37" t="n"/>
      <c r="F349" s="27" t="n"/>
      <c r="G349" s="29" t="n"/>
      <c r="H349" s="29" t="n"/>
      <c r="I349" s="29">
        <f>IF(G349="","",G349-H349)</f>
        <v/>
      </c>
      <c r="J349" s="37">
        <f>IF(A349="","",IF(I349&lt;=0,"Đã tất toán",IF(L349&lt;TODAY(),"Quá hạn","Còn nợ")))</f>
        <v/>
      </c>
      <c r="K349" s="37" t="n"/>
      <c r="L349" s="27" t="n"/>
      <c r="M349" s="37" t="n"/>
    </row>
    <row r="350" ht="15.75" customHeight="1" s="56">
      <c r="A350" s="37" t="n"/>
      <c r="B350" s="37" t="n"/>
      <c r="C350" s="37" t="n"/>
      <c r="D350" s="37" t="n"/>
      <c r="E350" s="37" t="n"/>
      <c r="F350" s="27" t="n"/>
      <c r="G350" s="29" t="n"/>
      <c r="H350" s="29" t="n"/>
      <c r="I350" s="29">
        <f>IF(G350="","",G350-H350)</f>
        <v/>
      </c>
      <c r="J350" s="37">
        <f>IF(A350="","",IF(I350&lt;=0,"Đã tất toán",IF(L350&lt;TODAY(),"Quá hạn","Còn nợ")))</f>
        <v/>
      </c>
      <c r="K350" s="37" t="n"/>
      <c r="L350" s="27" t="n"/>
      <c r="M350" s="37" t="n"/>
    </row>
    <row r="351" ht="15.75" customHeight="1" s="56">
      <c r="A351" s="37" t="n"/>
      <c r="B351" s="37" t="n"/>
      <c r="C351" s="37" t="n"/>
      <c r="D351" s="37" t="n"/>
      <c r="E351" s="37" t="n"/>
      <c r="F351" s="27" t="n"/>
      <c r="G351" s="29" t="n"/>
      <c r="H351" s="29" t="n"/>
      <c r="I351" s="29">
        <f>IF(G351="","",G351-H351)</f>
        <v/>
      </c>
      <c r="J351" s="37">
        <f>IF(A351="","",IF(I351&lt;=0,"Đã tất toán",IF(L351&lt;TODAY(),"Quá hạn","Còn nợ")))</f>
        <v/>
      </c>
      <c r="K351" s="37" t="n"/>
      <c r="L351" s="27" t="n"/>
      <c r="M351" s="37" t="n"/>
    </row>
    <row r="352" ht="15.75" customHeight="1" s="56">
      <c r="A352" s="37" t="n"/>
      <c r="B352" s="37" t="n"/>
      <c r="C352" s="37" t="n"/>
      <c r="D352" s="37" t="n"/>
      <c r="E352" s="37" t="n"/>
      <c r="F352" s="27" t="n"/>
      <c r="G352" s="29" t="n"/>
      <c r="H352" s="29" t="n"/>
      <c r="I352" s="29">
        <f>IF(G352="","",G352-H352)</f>
        <v/>
      </c>
      <c r="J352" s="37">
        <f>IF(A352="","",IF(I352&lt;=0,"Đã tất toán",IF(L352&lt;TODAY(),"Quá hạn","Còn nợ")))</f>
        <v/>
      </c>
      <c r="K352" s="37" t="n"/>
      <c r="L352" s="27" t="n"/>
      <c r="M352" s="37" t="n"/>
    </row>
    <row r="353" ht="15.75" customHeight="1" s="56">
      <c r="A353" s="37" t="n"/>
      <c r="B353" s="37" t="n"/>
      <c r="C353" s="37" t="n"/>
      <c r="D353" s="37" t="n"/>
      <c r="E353" s="37" t="n"/>
      <c r="F353" s="27" t="n"/>
      <c r="G353" s="29" t="n"/>
      <c r="H353" s="29" t="n"/>
      <c r="I353" s="29">
        <f>IF(G353="","",G353-H353)</f>
        <v/>
      </c>
      <c r="J353" s="37">
        <f>IF(A353="","",IF(I353&lt;=0,"Đã tất toán",IF(L353&lt;TODAY(),"Quá hạn","Còn nợ")))</f>
        <v/>
      </c>
      <c r="K353" s="37" t="n"/>
      <c r="L353" s="27" t="n"/>
      <c r="M353" s="37" t="n"/>
    </row>
    <row r="354" ht="15.75" customHeight="1" s="56">
      <c r="A354" s="37" t="n"/>
      <c r="B354" s="37" t="n"/>
      <c r="C354" s="37" t="n"/>
      <c r="D354" s="37" t="n"/>
      <c r="E354" s="37" t="n"/>
      <c r="F354" s="27" t="n"/>
      <c r="G354" s="29" t="n"/>
      <c r="H354" s="29" t="n"/>
      <c r="I354" s="29">
        <f>IF(G354="","",G354-H354)</f>
        <v/>
      </c>
      <c r="J354" s="37">
        <f>IF(A354="","",IF(I354&lt;=0,"Đã tất toán",IF(L354&lt;TODAY(),"Quá hạn","Còn nợ")))</f>
        <v/>
      </c>
      <c r="K354" s="37" t="n"/>
      <c r="L354" s="27" t="n"/>
      <c r="M354" s="37" t="n"/>
    </row>
    <row r="355" ht="15.75" customHeight="1" s="56">
      <c r="A355" s="37" t="n"/>
      <c r="B355" s="37" t="n"/>
      <c r="C355" s="37" t="n"/>
      <c r="D355" s="37" t="n"/>
      <c r="E355" s="37" t="n"/>
      <c r="F355" s="27" t="n"/>
      <c r="G355" s="29" t="n"/>
      <c r="H355" s="29" t="n"/>
      <c r="I355" s="29">
        <f>IF(G355="","",G355-H355)</f>
        <v/>
      </c>
      <c r="J355" s="37">
        <f>IF(A355="","",IF(I355&lt;=0,"Đã tất toán",IF(L355&lt;TODAY(),"Quá hạn","Còn nợ")))</f>
        <v/>
      </c>
      <c r="K355" s="37" t="n"/>
      <c r="L355" s="27" t="n"/>
      <c r="M355" s="37" t="n"/>
    </row>
    <row r="356" ht="15.75" customHeight="1" s="56">
      <c r="A356" s="37" t="n"/>
      <c r="B356" s="37" t="n"/>
      <c r="C356" s="37" t="n"/>
      <c r="D356" s="37" t="n"/>
      <c r="E356" s="37" t="n"/>
      <c r="F356" s="27" t="n"/>
      <c r="G356" s="29" t="n"/>
      <c r="H356" s="29" t="n"/>
      <c r="I356" s="29">
        <f>IF(G356="","",G356-H356)</f>
        <v/>
      </c>
      <c r="J356" s="37">
        <f>IF(A356="","",IF(I356&lt;=0,"Đã tất toán",IF(L356&lt;TODAY(),"Quá hạn","Còn nợ")))</f>
        <v/>
      </c>
      <c r="K356" s="37" t="n"/>
      <c r="L356" s="27" t="n"/>
      <c r="M356" s="37" t="n"/>
    </row>
    <row r="357" ht="15.75" customHeight="1" s="56">
      <c r="A357" s="37" t="n"/>
      <c r="B357" s="37" t="n"/>
      <c r="C357" s="37" t="n"/>
      <c r="D357" s="37" t="n"/>
      <c r="E357" s="37" t="n"/>
      <c r="F357" s="27" t="n"/>
      <c r="G357" s="29" t="n"/>
      <c r="H357" s="29" t="n"/>
      <c r="I357" s="29">
        <f>IF(G357="","",G357-H357)</f>
        <v/>
      </c>
      <c r="J357" s="37">
        <f>IF(A357="","",IF(I357&lt;=0,"Đã tất toán",IF(L357&lt;TODAY(),"Quá hạn","Còn nợ")))</f>
        <v/>
      </c>
      <c r="K357" s="37" t="n"/>
      <c r="L357" s="27" t="n"/>
      <c r="M357" s="37" t="n"/>
    </row>
    <row r="358" ht="15.75" customHeight="1" s="56">
      <c r="A358" s="37" t="n"/>
      <c r="B358" s="37" t="n"/>
      <c r="C358" s="37" t="n"/>
      <c r="D358" s="37" t="n"/>
      <c r="E358" s="37" t="n"/>
      <c r="F358" s="27" t="n"/>
      <c r="G358" s="29" t="n"/>
      <c r="H358" s="29" t="n"/>
      <c r="I358" s="29">
        <f>IF(G358="","",G358-H358)</f>
        <v/>
      </c>
      <c r="J358" s="37">
        <f>IF(A358="","",IF(I358&lt;=0,"Đã tất toán",IF(L358&lt;TODAY(),"Quá hạn","Còn nợ")))</f>
        <v/>
      </c>
      <c r="K358" s="37" t="n"/>
      <c r="L358" s="27" t="n"/>
      <c r="M358" s="37" t="n"/>
    </row>
    <row r="359" ht="15.75" customHeight="1" s="56">
      <c r="A359" s="37" t="n"/>
      <c r="B359" s="37" t="n"/>
      <c r="C359" s="37" t="n"/>
      <c r="D359" s="37" t="n"/>
      <c r="E359" s="37" t="n"/>
      <c r="F359" s="27" t="n"/>
      <c r="G359" s="29" t="n"/>
      <c r="H359" s="29" t="n"/>
      <c r="I359" s="29">
        <f>IF(G359="","",G359-H359)</f>
        <v/>
      </c>
      <c r="J359" s="37">
        <f>IF(A359="","",IF(I359&lt;=0,"Đã tất toán",IF(L359&lt;TODAY(),"Quá hạn","Còn nợ")))</f>
        <v/>
      </c>
      <c r="K359" s="37" t="n"/>
      <c r="L359" s="27" t="n"/>
      <c r="M359" s="37" t="n"/>
    </row>
    <row r="360" ht="15.75" customHeight="1" s="56">
      <c r="A360" s="37" t="n"/>
      <c r="B360" s="37" t="n"/>
      <c r="C360" s="37" t="n"/>
      <c r="D360" s="37" t="n"/>
      <c r="E360" s="37" t="n"/>
      <c r="F360" s="27" t="n"/>
      <c r="G360" s="29" t="n"/>
      <c r="H360" s="29" t="n"/>
      <c r="I360" s="29">
        <f>IF(G360="","",G360-H360)</f>
        <v/>
      </c>
      <c r="J360" s="37">
        <f>IF(A360="","",IF(I360&lt;=0,"Đã tất toán",IF(L360&lt;TODAY(),"Quá hạn","Còn nợ")))</f>
        <v/>
      </c>
      <c r="K360" s="37" t="n"/>
      <c r="L360" s="27" t="n"/>
      <c r="M360" s="37" t="n"/>
    </row>
    <row r="361" ht="15.75" customHeight="1" s="56">
      <c r="A361" s="37" t="n"/>
      <c r="B361" s="37" t="n"/>
      <c r="C361" s="37" t="n"/>
      <c r="D361" s="37" t="n"/>
      <c r="E361" s="37" t="n"/>
      <c r="F361" s="27" t="n"/>
      <c r="G361" s="29" t="n"/>
      <c r="H361" s="29" t="n"/>
      <c r="I361" s="29">
        <f>IF(G361="","",G361-H361)</f>
        <v/>
      </c>
      <c r="J361" s="37">
        <f>IF(A361="","",IF(I361&lt;=0,"Đã tất toán",IF(L361&lt;TODAY(),"Quá hạn","Còn nợ")))</f>
        <v/>
      </c>
      <c r="K361" s="37" t="n"/>
      <c r="L361" s="27" t="n"/>
      <c r="M361" s="37" t="n"/>
    </row>
    <row r="362" ht="15.75" customHeight="1" s="56">
      <c r="A362" s="37" t="n"/>
      <c r="B362" s="37" t="n"/>
      <c r="C362" s="37" t="n"/>
      <c r="D362" s="37" t="n"/>
      <c r="E362" s="37" t="n"/>
      <c r="F362" s="27" t="n"/>
      <c r="G362" s="29" t="n"/>
      <c r="H362" s="29" t="n"/>
      <c r="I362" s="29">
        <f>IF(G362="","",G362-H362)</f>
        <v/>
      </c>
      <c r="J362" s="37">
        <f>IF(A362="","",IF(I362&lt;=0,"Đã tất toán",IF(L362&lt;TODAY(),"Quá hạn","Còn nợ")))</f>
        <v/>
      </c>
      <c r="K362" s="37" t="n"/>
      <c r="L362" s="27" t="n"/>
      <c r="M362" s="37" t="n"/>
    </row>
    <row r="363" ht="15.75" customHeight="1" s="56">
      <c r="A363" s="37" t="n"/>
      <c r="B363" s="37" t="n"/>
      <c r="C363" s="37" t="n"/>
      <c r="D363" s="37" t="n"/>
      <c r="E363" s="37" t="n"/>
      <c r="F363" s="27" t="n"/>
      <c r="G363" s="29" t="n"/>
      <c r="H363" s="29" t="n"/>
      <c r="I363" s="29">
        <f>IF(G363="","",G363-H363)</f>
        <v/>
      </c>
      <c r="J363" s="37">
        <f>IF(A363="","",IF(I363&lt;=0,"Đã tất toán",IF(L363&lt;TODAY(),"Quá hạn","Còn nợ")))</f>
        <v/>
      </c>
      <c r="K363" s="37" t="n"/>
      <c r="L363" s="27" t="n"/>
      <c r="M363" s="37" t="n"/>
    </row>
    <row r="364" ht="15.75" customHeight="1" s="56">
      <c r="A364" s="37" t="n"/>
      <c r="B364" s="37" t="n"/>
      <c r="C364" s="37" t="n"/>
      <c r="D364" s="37" t="n"/>
      <c r="E364" s="37" t="n"/>
      <c r="F364" s="27" t="n"/>
      <c r="G364" s="29" t="n"/>
      <c r="H364" s="29" t="n"/>
      <c r="I364" s="29">
        <f>IF(G364="","",G364-H364)</f>
        <v/>
      </c>
      <c r="J364" s="37">
        <f>IF(A364="","",IF(I364&lt;=0,"Đã tất toán",IF(L364&lt;TODAY(),"Quá hạn","Còn nợ")))</f>
        <v/>
      </c>
      <c r="K364" s="37" t="n"/>
      <c r="L364" s="27" t="n"/>
      <c r="M364" s="37" t="n"/>
    </row>
    <row r="365" ht="15.75" customHeight="1" s="56">
      <c r="A365" s="37" t="n"/>
      <c r="B365" s="37" t="n"/>
      <c r="C365" s="37" t="n"/>
      <c r="D365" s="37" t="n"/>
      <c r="E365" s="37" t="n"/>
      <c r="F365" s="27" t="n"/>
      <c r="G365" s="29" t="n"/>
      <c r="H365" s="29" t="n"/>
      <c r="I365" s="29">
        <f>IF(G365="","",G365-H365)</f>
        <v/>
      </c>
      <c r="J365" s="37">
        <f>IF(A365="","",IF(I365&lt;=0,"Đã tất toán",IF(L365&lt;TODAY(),"Quá hạn","Còn nợ")))</f>
        <v/>
      </c>
      <c r="K365" s="37" t="n"/>
      <c r="L365" s="27" t="n"/>
      <c r="M365" s="37" t="n"/>
    </row>
    <row r="366" ht="15.75" customHeight="1" s="56">
      <c r="A366" s="37" t="n"/>
      <c r="B366" s="37" t="n"/>
      <c r="C366" s="37" t="n"/>
      <c r="D366" s="37" t="n"/>
      <c r="E366" s="37" t="n"/>
      <c r="F366" s="27" t="n"/>
      <c r="G366" s="29" t="n"/>
      <c r="H366" s="29" t="n"/>
      <c r="I366" s="29">
        <f>IF(G366="","",G366-H366)</f>
        <v/>
      </c>
      <c r="J366" s="37">
        <f>IF(A366="","",IF(I366&lt;=0,"Đã tất toán",IF(L366&lt;TODAY(),"Quá hạn","Còn nợ")))</f>
        <v/>
      </c>
      <c r="K366" s="37" t="n"/>
      <c r="L366" s="27" t="n"/>
      <c r="M366" s="37" t="n"/>
    </row>
    <row r="367" ht="15.75" customHeight="1" s="56">
      <c r="A367" s="37" t="n"/>
      <c r="B367" s="37" t="n"/>
      <c r="C367" s="37" t="n"/>
      <c r="D367" s="37" t="n"/>
      <c r="E367" s="37" t="n"/>
      <c r="F367" s="27" t="n"/>
      <c r="G367" s="29" t="n"/>
      <c r="H367" s="29" t="n"/>
      <c r="I367" s="29">
        <f>IF(G367="","",G367-H367)</f>
        <v/>
      </c>
      <c r="J367" s="37">
        <f>IF(A367="","",IF(I367&lt;=0,"Đã tất toán",IF(L367&lt;TODAY(),"Quá hạn","Còn nợ")))</f>
        <v/>
      </c>
      <c r="K367" s="37" t="n"/>
      <c r="L367" s="27" t="n"/>
      <c r="M367" s="37" t="n"/>
    </row>
    <row r="368" ht="15.75" customHeight="1" s="56">
      <c r="A368" s="37" t="n"/>
      <c r="B368" s="37" t="n"/>
      <c r="C368" s="37" t="n"/>
      <c r="D368" s="37" t="n"/>
      <c r="E368" s="37" t="n"/>
      <c r="F368" s="27" t="n"/>
      <c r="G368" s="29" t="n"/>
      <c r="H368" s="29" t="n"/>
      <c r="I368" s="29">
        <f>IF(G368="","",G368-H368)</f>
        <v/>
      </c>
      <c r="J368" s="37">
        <f>IF(A368="","",IF(I368&lt;=0,"Đã tất toán",IF(L368&lt;TODAY(),"Quá hạn","Còn nợ")))</f>
        <v/>
      </c>
      <c r="K368" s="37" t="n"/>
      <c r="L368" s="27" t="n"/>
      <c r="M368" s="37" t="n"/>
    </row>
    <row r="369" ht="15.75" customHeight="1" s="56">
      <c r="A369" s="37" t="n"/>
      <c r="B369" s="37" t="n"/>
      <c r="C369" s="37" t="n"/>
      <c r="D369" s="37" t="n"/>
      <c r="E369" s="37" t="n"/>
      <c r="F369" s="27" t="n"/>
      <c r="G369" s="29" t="n"/>
      <c r="H369" s="29" t="n"/>
      <c r="I369" s="29">
        <f>IF(G369="","",G369-H369)</f>
        <v/>
      </c>
      <c r="J369" s="37">
        <f>IF(A369="","",IF(I369&lt;=0,"Đã tất toán",IF(L369&lt;TODAY(),"Quá hạn","Còn nợ")))</f>
        <v/>
      </c>
      <c r="K369" s="37" t="n"/>
      <c r="L369" s="27" t="n"/>
      <c r="M369" s="37" t="n"/>
    </row>
    <row r="370" ht="15.75" customHeight="1" s="56">
      <c r="A370" s="37" t="n"/>
      <c r="B370" s="37" t="n"/>
      <c r="C370" s="37" t="n"/>
      <c r="D370" s="37" t="n"/>
      <c r="E370" s="37" t="n"/>
      <c r="F370" s="27" t="n"/>
      <c r="G370" s="29" t="n"/>
      <c r="H370" s="29" t="n"/>
      <c r="I370" s="29">
        <f>IF(G370="","",G370-H370)</f>
        <v/>
      </c>
      <c r="J370" s="37">
        <f>IF(A370="","",IF(I370&lt;=0,"Đã tất toán",IF(L370&lt;TODAY(),"Quá hạn","Còn nợ")))</f>
        <v/>
      </c>
      <c r="K370" s="37" t="n"/>
      <c r="L370" s="27" t="n"/>
      <c r="M370" s="37" t="n"/>
    </row>
    <row r="371" ht="15.75" customHeight="1" s="56">
      <c r="A371" s="37" t="n"/>
      <c r="B371" s="37" t="n"/>
      <c r="C371" s="37" t="n"/>
      <c r="D371" s="37" t="n"/>
      <c r="E371" s="37" t="n"/>
      <c r="F371" s="27" t="n"/>
      <c r="G371" s="29" t="n"/>
      <c r="H371" s="29" t="n"/>
      <c r="I371" s="29">
        <f>IF(G371="","",G371-H371)</f>
        <v/>
      </c>
      <c r="J371" s="37">
        <f>IF(A371="","",IF(I371&lt;=0,"Đã tất toán",IF(L371&lt;TODAY(),"Quá hạn","Còn nợ")))</f>
        <v/>
      </c>
      <c r="K371" s="37" t="n"/>
      <c r="L371" s="27" t="n"/>
      <c r="M371" s="37" t="n"/>
    </row>
    <row r="372" ht="15.75" customHeight="1" s="56">
      <c r="A372" s="37" t="n"/>
      <c r="B372" s="37" t="n"/>
      <c r="C372" s="37" t="n"/>
      <c r="D372" s="37" t="n"/>
      <c r="E372" s="37" t="n"/>
      <c r="F372" s="27" t="n"/>
      <c r="G372" s="29" t="n"/>
      <c r="H372" s="29" t="n"/>
      <c r="I372" s="29">
        <f>IF(G372="","",G372-H372)</f>
        <v/>
      </c>
      <c r="J372" s="37">
        <f>IF(A372="","",IF(I372&lt;=0,"Đã tất toán",IF(L372&lt;TODAY(),"Quá hạn","Còn nợ")))</f>
        <v/>
      </c>
      <c r="K372" s="37" t="n"/>
      <c r="L372" s="27" t="n"/>
      <c r="M372" s="37" t="n"/>
    </row>
    <row r="373" ht="15.75" customHeight="1" s="56">
      <c r="A373" s="37" t="n"/>
      <c r="B373" s="37" t="n"/>
      <c r="C373" s="37" t="n"/>
      <c r="D373" s="37" t="n"/>
      <c r="E373" s="37" t="n"/>
      <c r="F373" s="27" t="n"/>
      <c r="G373" s="29" t="n"/>
      <c r="H373" s="29" t="n"/>
      <c r="I373" s="29">
        <f>IF(G373="","",G373-H373)</f>
        <v/>
      </c>
      <c r="J373" s="37">
        <f>IF(A373="","",IF(I373&lt;=0,"Đã tất toán",IF(L373&lt;TODAY(),"Quá hạn","Còn nợ")))</f>
        <v/>
      </c>
      <c r="K373" s="37" t="n"/>
      <c r="L373" s="27" t="n"/>
      <c r="M373" s="37" t="n"/>
    </row>
    <row r="374" ht="15.75" customHeight="1" s="56">
      <c r="A374" s="37" t="n"/>
      <c r="B374" s="37" t="n"/>
      <c r="C374" s="37" t="n"/>
      <c r="D374" s="37" t="n"/>
      <c r="E374" s="37" t="n"/>
      <c r="F374" s="27" t="n"/>
      <c r="G374" s="29" t="n"/>
      <c r="H374" s="29" t="n"/>
      <c r="I374" s="29">
        <f>IF(G374="","",G374-H374)</f>
        <v/>
      </c>
      <c r="J374" s="37">
        <f>IF(A374="","",IF(I374&lt;=0,"Đã tất toán",IF(L374&lt;TODAY(),"Quá hạn","Còn nợ")))</f>
        <v/>
      </c>
      <c r="K374" s="37" t="n"/>
      <c r="L374" s="27" t="n"/>
      <c r="M374" s="37" t="n"/>
    </row>
    <row r="375" ht="15.75" customHeight="1" s="56">
      <c r="A375" s="37" t="n"/>
      <c r="B375" s="37" t="n"/>
      <c r="C375" s="37" t="n"/>
      <c r="D375" s="37" t="n"/>
      <c r="E375" s="37" t="n"/>
      <c r="F375" s="27" t="n"/>
      <c r="G375" s="29" t="n"/>
      <c r="H375" s="29" t="n"/>
      <c r="I375" s="29">
        <f>IF(G375="","",G375-H375)</f>
        <v/>
      </c>
      <c r="J375" s="37">
        <f>IF(A375="","",IF(I375&lt;=0,"Đã tất toán",IF(L375&lt;TODAY(),"Quá hạn","Còn nợ")))</f>
        <v/>
      </c>
      <c r="K375" s="37" t="n"/>
      <c r="L375" s="27" t="n"/>
      <c r="M375" s="37" t="n"/>
    </row>
    <row r="376" ht="15.75" customHeight="1" s="56">
      <c r="A376" s="37" t="n"/>
      <c r="B376" s="37" t="n"/>
      <c r="C376" s="37" t="n"/>
      <c r="D376" s="37" t="n"/>
      <c r="E376" s="37" t="n"/>
      <c r="F376" s="27" t="n"/>
      <c r="G376" s="29" t="n"/>
      <c r="H376" s="29" t="n"/>
      <c r="I376" s="29">
        <f>IF(G376="","",G376-H376)</f>
        <v/>
      </c>
      <c r="J376" s="37">
        <f>IF(A376="","",IF(I376&lt;=0,"Đã tất toán",IF(L376&lt;TODAY(),"Quá hạn","Còn nợ")))</f>
        <v/>
      </c>
      <c r="K376" s="37" t="n"/>
      <c r="L376" s="27" t="n"/>
      <c r="M376" s="37" t="n"/>
    </row>
    <row r="377" ht="15.75" customHeight="1" s="56">
      <c r="A377" s="37" t="n"/>
      <c r="B377" s="37" t="n"/>
      <c r="C377" s="37" t="n"/>
      <c r="D377" s="37" t="n"/>
      <c r="E377" s="37" t="n"/>
      <c r="F377" s="27" t="n"/>
      <c r="G377" s="29" t="n"/>
      <c r="H377" s="29" t="n"/>
      <c r="I377" s="29">
        <f>IF(G377="","",G377-H377)</f>
        <v/>
      </c>
      <c r="J377" s="37">
        <f>IF(A377="","",IF(I377&lt;=0,"Đã tất toán",IF(L377&lt;TODAY(),"Quá hạn","Còn nợ")))</f>
        <v/>
      </c>
      <c r="K377" s="37" t="n"/>
      <c r="L377" s="27" t="n"/>
      <c r="M377" s="37" t="n"/>
    </row>
    <row r="378" ht="15.75" customHeight="1" s="56">
      <c r="A378" s="37" t="n"/>
      <c r="B378" s="37" t="n"/>
      <c r="C378" s="37" t="n"/>
      <c r="D378" s="37" t="n"/>
      <c r="E378" s="37" t="n"/>
      <c r="F378" s="27" t="n"/>
      <c r="G378" s="29" t="n"/>
      <c r="H378" s="29" t="n"/>
      <c r="I378" s="29">
        <f>IF(G378="","",G378-H378)</f>
        <v/>
      </c>
      <c r="J378" s="37">
        <f>IF(A378="","",IF(I378&lt;=0,"Đã tất toán",IF(L378&lt;TODAY(),"Quá hạn","Còn nợ")))</f>
        <v/>
      </c>
      <c r="K378" s="37" t="n"/>
      <c r="L378" s="27" t="n"/>
      <c r="M378" s="37" t="n"/>
    </row>
    <row r="379" ht="15.75" customHeight="1" s="56">
      <c r="A379" s="37" t="n"/>
      <c r="B379" s="37" t="n"/>
      <c r="C379" s="37" t="n"/>
      <c r="D379" s="37" t="n"/>
      <c r="E379" s="37" t="n"/>
      <c r="F379" s="27" t="n"/>
      <c r="G379" s="29" t="n"/>
      <c r="H379" s="29" t="n"/>
      <c r="I379" s="29">
        <f>IF(G379="","",G379-H379)</f>
        <v/>
      </c>
      <c r="J379" s="37">
        <f>IF(A379="","",IF(I379&lt;=0,"Đã tất toán",IF(L379&lt;TODAY(),"Quá hạn","Còn nợ")))</f>
        <v/>
      </c>
      <c r="K379" s="37" t="n"/>
      <c r="L379" s="27" t="n"/>
      <c r="M379" s="37" t="n"/>
    </row>
    <row r="380" ht="15.75" customHeight="1" s="56">
      <c r="A380" s="37" t="n"/>
      <c r="B380" s="37" t="n"/>
      <c r="C380" s="37" t="n"/>
      <c r="D380" s="37" t="n"/>
      <c r="E380" s="37" t="n"/>
      <c r="F380" s="27" t="n"/>
      <c r="G380" s="29" t="n"/>
      <c r="H380" s="29" t="n"/>
      <c r="I380" s="29">
        <f>IF(G380="","",G380-H380)</f>
        <v/>
      </c>
      <c r="J380" s="37">
        <f>IF(A380="","",IF(I380&lt;=0,"Đã tất toán",IF(L380&lt;TODAY(),"Quá hạn","Còn nợ")))</f>
        <v/>
      </c>
      <c r="K380" s="37" t="n"/>
      <c r="L380" s="27" t="n"/>
      <c r="M380" s="37" t="n"/>
    </row>
    <row r="381" ht="15.75" customHeight="1" s="56">
      <c r="A381" s="37" t="n"/>
      <c r="B381" s="37" t="n"/>
      <c r="C381" s="37" t="n"/>
      <c r="D381" s="37" t="n"/>
      <c r="E381" s="37" t="n"/>
      <c r="F381" s="27" t="n"/>
      <c r="G381" s="29" t="n"/>
      <c r="H381" s="29" t="n"/>
      <c r="I381" s="29">
        <f>IF(G381="","",G381-H381)</f>
        <v/>
      </c>
      <c r="J381" s="37">
        <f>IF(A381="","",IF(I381&lt;=0,"Đã tất toán",IF(L381&lt;TODAY(),"Quá hạn","Còn nợ")))</f>
        <v/>
      </c>
      <c r="K381" s="37" t="n"/>
      <c r="L381" s="27" t="n"/>
      <c r="M381" s="37" t="n"/>
    </row>
    <row r="382" ht="15.75" customHeight="1" s="56">
      <c r="A382" s="37" t="n"/>
      <c r="B382" s="37" t="n"/>
      <c r="C382" s="37" t="n"/>
      <c r="D382" s="37" t="n"/>
      <c r="E382" s="37" t="n"/>
      <c r="F382" s="27" t="n"/>
      <c r="G382" s="29" t="n"/>
      <c r="H382" s="29" t="n"/>
      <c r="I382" s="29">
        <f>IF(G382="","",G382-H382)</f>
        <v/>
      </c>
      <c r="J382" s="37">
        <f>IF(A382="","",IF(I382&lt;=0,"Đã tất toán",IF(L382&lt;TODAY(),"Quá hạn","Còn nợ")))</f>
        <v/>
      </c>
      <c r="K382" s="37" t="n"/>
      <c r="L382" s="27" t="n"/>
      <c r="M382" s="37" t="n"/>
    </row>
    <row r="383" ht="15.75" customHeight="1" s="56">
      <c r="A383" s="37" t="n"/>
      <c r="B383" s="37" t="n"/>
      <c r="C383" s="37" t="n"/>
      <c r="D383" s="37" t="n"/>
      <c r="E383" s="37" t="n"/>
      <c r="F383" s="27" t="n"/>
      <c r="G383" s="29" t="n"/>
      <c r="H383" s="29" t="n"/>
      <c r="I383" s="29">
        <f>IF(G383="","",G383-H383)</f>
        <v/>
      </c>
      <c r="J383" s="37">
        <f>IF(A383="","",IF(I383&lt;=0,"Đã tất toán",IF(L383&lt;TODAY(),"Quá hạn","Còn nợ")))</f>
        <v/>
      </c>
      <c r="K383" s="37" t="n"/>
      <c r="L383" s="27" t="n"/>
      <c r="M383" s="37" t="n"/>
    </row>
    <row r="384" ht="15.75" customHeight="1" s="56">
      <c r="A384" s="37" t="n"/>
      <c r="B384" s="37" t="n"/>
      <c r="C384" s="37" t="n"/>
      <c r="D384" s="37" t="n"/>
      <c r="E384" s="37" t="n"/>
      <c r="F384" s="27" t="n"/>
      <c r="G384" s="29" t="n"/>
      <c r="H384" s="29" t="n"/>
      <c r="I384" s="29">
        <f>IF(G384="","",G384-H384)</f>
        <v/>
      </c>
      <c r="J384" s="37">
        <f>IF(A384="","",IF(I384&lt;=0,"Đã tất toán",IF(L384&lt;TODAY(),"Quá hạn","Còn nợ")))</f>
        <v/>
      </c>
      <c r="K384" s="37" t="n"/>
      <c r="L384" s="27" t="n"/>
      <c r="M384" s="37" t="n"/>
    </row>
    <row r="385" ht="15.75" customHeight="1" s="56">
      <c r="A385" s="37" t="n"/>
      <c r="B385" s="37" t="n"/>
      <c r="C385" s="37" t="n"/>
      <c r="D385" s="37" t="n"/>
      <c r="E385" s="37" t="n"/>
      <c r="F385" s="27" t="n"/>
      <c r="G385" s="29" t="n"/>
      <c r="H385" s="29" t="n"/>
      <c r="I385" s="29">
        <f>IF(G385="","",G385-H385)</f>
        <v/>
      </c>
      <c r="J385" s="37">
        <f>IF(A385="","",IF(I385&lt;=0,"Đã tất toán",IF(L385&lt;TODAY(),"Quá hạn","Còn nợ")))</f>
        <v/>
      </c>
      <c r="K385" s="37" t="n"/>
      <c r="L385" s="27" t="n"/>
      <c r="M385" s="37" t="n"/>
    </row>
    <row r="386" ht="15.75" customHeight="1" s="56">
      <c r="A386" s="37" t="n"/>
      <c r="B386" s="37" t="n"/>
      <c r="C386" s="37" t="n"/>
      <c r="D386" s="37" t="n"/>
      <c r="E386" s="37" t="n"/>
      <c r="F386" s="27" t="n"/>
      <c r="G386" s="29" t="n"/>
      <c r="H386" s="29" t="n"/>
      <c r="I386" s="29">
        <f>IF(G386="","",G386-H386)</f>
        <v/>
      </c>
      <c r="J386" s="37">
        <f>IF(A386="","",IF(I386&lt;=0,"Đã tất toán",IF(L386&lt;TODAY(),"Quá hạn","Còn nợ")))</f>
        <v/>
      </c>
      <c r="K386" s="37" t="n"/>
      <c r="L386" s="27" t="n"/>
      <c r="M386" s="37" t="n"/>
    </row>
    <row r="387" ht="15.75" customHeight="1" s="56">
      <c r="A387" s="37" t="n"/>
      <c r="B387" s="37" t="n"/>
      <c r="C387" s="37" t="n"/>
      <c r="D387" s="37" t="n"/>
      <c r="E387" s="37" t="n"/>
      <c r="F387" s="27" t="n"/>
      <c r="G387" s="29" t="n"/>
      <c r="H387" s="29" t="n"/>
      <c r="I387" s="29">
        <f>IF(G387="","",G387-H387)</f>
        <v/>
      </c>
      <c r="J387" s="37">
        <f>IF(A387="","",IF(I387&lt;=0,"Đã tất toán",IF(L387&lt;TODAY(),"Quá hạn","Còn nợ")))</f>
        <v/>
      </c>
      <c r="K387" s="37" t="n"/>
      <c r="L387" s="27" t="n"/>
      <c r="M387" s="37" t="n"/>
    </row>
    <row r="388" ht="15.75" customHeight="1" s="56">
      <c r="A388" s="37" t="n"/>
      <c r="B388" s="37" t="n"/>
      <c r="C388" s="37" t="n"/>
      <c r="D388" s="37" t="n"/>
      <c r="E388" s="37" t="n"/>
      <c r="F388" s="27" t="n"/>
      <c r="G388" s="29" t="n"/>
      <c r="H388" s="29" t="n"/>
      <c r="I388" s="29">
        <f>IF(G388="","",G388-H388)</f>
        <v/>
      </c>
      <c r="J388" s="37">
        <f>IF(A388="","",IF(I388&lt;=0,"Đã tất toán",IF(L388&lt;TODAY(),"Quá hạn","Còn nợ")))</f>
        <v/>
      </c>
      <c r="K388" s="37" t="n"/>
      <c r="L388" s="27" t="n"/>
      <c r="M388" s="37" t="n"/>
    </row>
    <row r="389" ht="15.75" customHeight="1" s="56">
      <c r="A389" s="37" t="n"/>
      <c r="B389" s="37" t="n"/>
      <c r="C389" s="37" t="n"/>
      <c r="D389" s="37" t="n"/>
      <c r="E389" s="37" t="n"/>
      <c r="F389" s="27" t="n"/>
      <c r="G389" s="29" t="n"/>
      <c r="H389" s="29" t="n"/>
      <c r="I389" s="29">
        <f>IF(G389="","",G389-H389)</f>
        <v/>
      </c>
      <c r="J389" s="37">
        <f>IF(A389="","",IF(I389&lt;=0,"Đã tất toán",IF(L389&lt;TODAY(),"Quá hạn","Còn nợ")))</f>
        <v/>
      </c>
      <c r="K389" s="37" t="n"/>
      <c r="L389" s="27" t="n"/>
      <c r="M389" s="37" t="n"/>
    </row>
    <row r="390" ht="15.75" customHeight="1" s="56">
      <c r="A390" s="37" t="n"/>
      <c r="B390" s="37" t="n"/>
      <c r="C390" s="37" t="n"/>
      <c r="D390" s="37" t="n"/>
      <c r="E390" s="37" t="n"/>
      <c r="F390" s="27" t="n"/>
      <c r="G390" s="29" t="n"/>
      <c r="H390" s="29" t="n"/>
      <c r="I390" s="29">
        <f>IF(G390="","",G390-H390)</f>
        <v/>
      </c>
      <c r="J390" s="37">
        <f>IF(A390="","",IF(I390&lt;=0,"Đã tất toán",IF(L390&lt;TODAY(),"Quá hạn","Còn nợ")))</f>
        <v/>
      </c>
      <c r="K390" s="37" t="n"/>
      <c r="L390" s="27" t="n"/>
      <c r="M390" s="37" t="n"/>
    </row>
    <row r="391" ht="15.75" customHeight="1" s="56">
      <c r="A391" s="37" t="n"/>
      <c r="B391" s="37" t="n"/>
      <c r="C391" s="37" t="n"/>
      <c r="D391" s="37" t="n"/>
      <c r="E391" s="37" t="n"/>
      <c r="F391" s="27" t="n"/>
      <c r="G391" s="29" t="n"/>
      <c r="H391" s="29" t="n"/>
      <c r="I391" s="29">
        <f>IF(G391="","",G391-H391)</f>
        <v/>
      </c>
      <c r="J391" s="37">
        <f>IF(A391="","",IF(I391&lt;=0,"Đã tất toán",IF(L391&lt;TODAY(),"Quá hạn","Còn nợ")))</f>
        <v/>
      </c>
      <c r="K391" s="37" t="n"/>
      <c r="L391" s="27" t="n"/>
      <c r="M391" s="37" t="n"/>
    </row>
    <row r="392" ht="15.75" customHeight="1" s="56">
      <c r="A392" s="37" t="n"/>
      <c r="B392" s="37" t="n"/>
      <c r="C392" s="37" t="n"/>
      <c r="D392" s="37" t="n"/>
      <c r="E392" s="37" t="n"/>
      <c r="F392" s="27" t="n"/>
      <c r="G392" s="29" t="n"/>
      <c r="H392" s="29" t="n"/>
      <c r="I392" s="29">
        <f>IF(G392="","",G392-H392)</f>
        <v/>
      </c>
      <c r="J392" s="37">
        <f>IF(A392="","",IF(I392&lt;=0,"Đã tất toán",IF(L392&lt;TODAY(),"Quá hạn","Còn nợ")))</f>
        <v/>
      </c>
      <c r="K392" s="37" t="n"/>
      <c r="L392" s="27" t="n"/>
      <c r="M392" s="37" t="n"/>
    </row>
    <row r="393" ht="15.75" customHeight="1" s="56">
      <c r="A393" s="37" t="n"/>
      <c r="B393" s="37" t="n"/>
      <c r="C393" s="37" t="n"/>
      <c r="D393" s="37" t="n"/>
      <c r="E393" s="37" t="n"/>
      <c r="F393" s="27" t="n"/>
      <c r="G393" s="29" t="n"/>
      <c r="H393" s="29" t="n"/>
      <c r="I393" s="29">
        <f>IF(G393="","",G393-H393)</f>
        <v/>
      </c>
      <c r="J393" s="37">
        <f>IF(A393="","",IF(I393&lt;=0,"Đã tất toán",IF(L393&lt;TODAY(),"Quá hạn","Còn nợ")))</f>
        <v/>
      </c>
      <c r="K393" s="37" t="n"/>
      <c r="L393" s="27" t="n"/>
      <c r="M393" s="37" t="n"/>
    </row>
    <row r="394" ht="15.75" customHeight="1" s="56">
      <c r="A394" s="37" t="n"/>
      <c r="B394" s="37" t="n"/>
      <c r="C394" s="37" t="n"/>
      <c r="D394" s="37" t="n"/>
      <c r="E394" s="37" t="n"/>
      <c r="F394" s="27" t="n"/>
      <c r="G394" s="29" t="n"/>
      <c r="H394" s="29" t="n"/>
      <c r="I394" s="29">
        <f>IF(G394="","",G394-H394)</f>
        <v/>
      </c>
      <c r="J394" s="37">
        <f>IF(A394="","",IF(I394&lt;=0,"Đã tất toán",IF(L394&lt;TODAY(),"Quá hạn","Còn nợ")))</f>
        <v/>
      </c>
      <c r="K394" s="37" t="n"/>
      <c r="L394" s="27" t="n"/>
      <c r="M394" s="37" t="n"/>
    </row>
    <row r="395" ht="15.75" customHeight="1" s="56">
      <c r="A395" s="37" t="n"/>
      <c r="B395" s="37" t="n"/>
      <c r="C395" s="37" t="n"/>
      <c r="D395" s="37" t="n"/>
      <c r="E395" s="37" t="n"/>
      <c r="F395" s="27" t="n"/>
      <c r="G395" s="29" t="n"/>
      <c r="H395" s="29" t="n"/>
      <c r="I395" s="29">
        <f>IF(G395="","",G395-H395)</f>
        <v/>
      </c>
      <c r="J395" s="37">
        <f>IF(A395="","",IF(I395&lt;=0,"Đã tất toán",IF(L395&lt;TODAY(),"Quá hạn","Còn nợ")))</f>
        <v/>
      </c>
      <c r="K395" s="37" t="n"/>
      <c r="L395" s="27" t="n"/>
      <c r="M395" s="37" t="n"/>
    </row>
    <row r="396" ht="15.75" customHeight="1" s="56">
      <c r="A396" s="37" t="n"/>
      <c r="B396" s="37" t="n"/>
      <c r="C396" s="37" t="n"/>
      <c r="D396" s="37" t="n"/>
      <c r="E396" s="37" t="n"/>
      <c r="F396" s="27" t="n"/>
      <c r="G396" s="29" t="n"/>
      <c r="H396" s="29" t="n"/>
      <c r="I396" s="29">
        <f>IF(G396="","",G396-H396)</f>
        <v/>
      </c>
      <c r="J396" s="37">
        <f>IF(A396="","",IF(I396&lt;=0,"Đã tất toán",IF(L396&lt;TODAY(),"Quá hạn","Còn nợ")))</f>
        <v/>
      </c>
      <c r="K396" s="37" t="n"/>
      <c r="L396" s="27" t="n"/>
      <c r="M396" s="37" t="n"/>
    </row>
    <row r="397" ht="15.75" customHeight="1" s="56">
      <c r="A397" s="37" t="n"/>
      <c r="B397" s="37" t="n"/>
      <c r="C397" s="37" t="n"/>
      <c r="D397" s="37" t="n"/>
      <c r="E397" s="37" t="n"/>
      <c r="F397" s="27" t="n"/>
      <c r="G397" s="29" t="n"/>
      <c r="H397" s="29" t="n"/>
      <c r="I397" s="29">
        <f>IF(G397="","",G397-H397)</f>
        <v/>
      </c>
      <c r="J397" s="37">
        <f>IF(A397="","",IF(I397&lt;=0,"Đã tất toán",IF(L397&lt;TODAY(),"Quá hạn","Còn nợ")))</f>
        <v/>
      </c>
      <c r="K397" s="37" t="n"/>
      <c r="L397" s="27" t="n"/>
      <c r="M397" s="37" t="n"/>
    </row>
    <row r="398" ht="15.75" customHeight="1" s="56">
      <c r="A398" s="37" t="n"/>
      <c r="B398" s="37" t="n"/>
      <c r="C398" s="37" t="n"/>
      <c r="D398" s="37" t="n"/>
      <c r="E398" s="37" t="n"/>
      <c r="F398" s="27" t="n"/>
      <c r="G398" s="29" t="n"/>
      <c r="H398" s="29" t="n"/>
      <c r="I398" s="29">
        <f>IF(G398="","",G398-H398)</f>
        <v/>
      </c>
      <c r="J398" s="37">
        <f>IF(A398="","",IF(I398&lt;=0,"Đã tất toán",IF(L398&lt;TODAY(),"Quá hạn","Còn nợ")))</f>
        <v/>
      </c>
      <c r="K398" s="37" t="n"/>
      <c r="L398" s="27" t="n"/>
      <c r="M398" s="37" t="n"/>
    </row>
    <row r="399" ht="15.75" customHeight="1" s="56">
      <c r="A399" s="37" t="n"/>
      <c r="B399" s="37" t="n"/>
      <c r="C399" s="37" t="n"/>
      <c r="D399" s="37" t="n"/>
      <c r="E399" s="37" t="n"/>
      <c r="F399" s="27" t="n"/>
      <c r="G399" s="29" t="n"/>
      <c r="H399" s="29" t="n"/>
      <c r="I399" s="29">
        <f>IF(G399="","",G399-H399)</f>
        <v/>
      </c>
      <c r="J399" s="37">
        <f>IF(A399="","",IF(I399&lt;=0,"Đã tất toán",IF(L399&lt;TODAY(),"Quá hạn","Còn nợ")))</f>
        <v/>
      </c>
      <c r="K399" s="37" t="n"/>
      <c r="L399" s="27" t="n"/>
      <c r="M399" s="37" t="n"/>
    </row>
    <row r="400" ht="15.75" customHeight="1" s="56">
      <c r="A400" s="37" t="n"/>
      <c r="B400" s="37" t="n"/>
      <c r="C400" s="37" t="n"/>
      <c r="D400" s="37" t="n"/>
      <c r="E400" s="37" t="n"/>
      <c r="F400" s="27" t="n"/>
      <c r="G400" s="29" t="n"/>
      <c r="H400" s="29" t="n"/>
      <c r="I400" s="29">
        <f>IF(G400="","",G400-H400)</f>
        <v/>
      </c>
      <c r="J400" s="37">
        <f>IF(A400="","",IF(I400&lt;=0,"Đã tất toán",IF(L400&lt;TODAY(),"Quá hạn","Còn nợ")))</f>
        <v/>
      </c>
      <c r="K400" s="37" t="n"/>
      <c r="L400" s="27" t="n"/>
      <c r="M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M$400"/>
  <mergeCells count="2">
    <mergeCell ref="A2:M2"/>
    <mergeCell ref="A1:M1"/>
  </mergeCells>
  <conditionalFormatting sqref="J4:J400">
    <cfRule type="expression" priority="1" dxfId="0">
      <formula>$J4="Quá hạn"</formula>
    </cfRule>
    <cfRule type="expression" priority="2" dxfId="2">
      <formula>$J4="Đã tất toán"</formula>
    </cfRule>
  </conditionalFormatting>
  <dataValidations count="2">
    <dataValidation sqref="E4:E400" showDropDown="0" showInputMessage="0" showErrorMessage="0" allowBlank="1" type="list">
      <formula1>DM_DICHVU</formula1>
    </dataValidation>
    <dataValidation sqref="D4:D400" showDropDown="0" showInputMessage="0" showErrorMessage="0" allowBlank="1" type="list">
      <formula1>DM_PHONGBAN</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M4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6" customWidth="1" style="56" min="2" max="2"/>
    <col width="14" customWidth="1" style="56" min="3" max="3"/>
    <col width="16" customWidth="1" style="56" min="4" max="4"/>
    <col width="18" customWidth="1" style="56" min="5" max="5"/>
    <col width="28" customWidth="1" style="56" min="6" max="6"/>
    <col width="18" customWidth="1" style="56" min="7" max="8"/>
    <col width="14" customWidth="1" style="56" min="9" max="9"/>
    <col width="15" customWidth="1" style="56" min="10" max="12"/>
    <col width="24" customWidth="1" style="56" min="13" max="13"/>
    <col width="8.710000000000001" customWidth="1" style="56" min="14" max="26"/>
  </cols>
  <sheetData>
    <row r="1">
      <c r="A1" s="65" t="inlineStr">
        <is>
          <t>DATABASE THU CHI</t>
        </is>
      </c>
      <c r="B1" s="58" t="n"/>
      <c r="C1" s="58" t="n"/>
      <c r="D1" s="58" t="n"/>
      <c r="E1" s="58" t="n"/>
      <c r="F1" s="58" t="n"/>
      <c r="G1" s="58" t="n"/>
      <c r="H1" s="58" t="n"/>
      <c r="I1" s="58" t="n"/>
      <c r="J1" s="58" t="n"/>
      <c r="K1" s="58" t="n"/>
      <c r="L1" s="58" t="n"/>
      <c r="M1" s="59" t="n"/>
    </row>
    <row r="2">
      <c r="A2" s="23" t="inlineStr">
        <is>
          <t>Mọi thu/chi nên gắn Mã hồ sơ hoặc Mã hợp đồng khi có liên quan.</t>
        </is>
      </c>
    </row>
    <row r="3">
      <c r="A3" s="35" t="inlineStr">
        <is>
          <t>Ngày</t>
        </is>
      </c>
      <c r="B3" s="35" t="inlineStr">
        <is>
          <t>Mã phiếu</t>
        </is>
      </c>
      <c r="C3" s="35" t="inlineStr">
        <is>
          <t>Loại Thu/Chi</t>
        </is>
      </c>
      <c r="D3" s="35" t="inlineStr">
        <is>
          <t>Mã hồ sơ</t>
        </is>
      </c>
      <c r="E3" s="35" t="inlineStr">
        <is>
          <t>Mã hợp đồng</t>
        </is>
      </c>
      <c r="F3" s="35" t="inlineStr">
        <is>
          <t>Diễn giải</t>
        </is>
      </c>
      <c r="G3" s="35" t="inlineStr">
        <is>
          <t>Phòng ban</t>
        </is>
      </c>
      <c r="H3" s="35" t="inlineStr">
        <is>
          <t>Người nhận/Nộp</t>
        </is>
      </c>
      <c r="I3" s="35" t="inlineStr">
        <is>
          <t>Hình thức</t>
        </is>
      </c>
      <c r="J3" s="35" t="inlineStr">
        <is>
          <t>Số tiền</t>
        </is>
      </c>
      <c r="K3" s="35" t="inlineStr">
        <is>
          <t>Thu (+)</t>
        </is>
      </c>
      <c r="L3" s="35" t="inlineStr">
        <is>
          <t>Chi (-)</t>
        </is>
      </c>
      <c r="M3" s="35" t="inlineStr">
        <is>
          <t>Ghi chú</t>
        </is>
      </c>
    </row>
    <row r="4">
      <c r="A4" s="27" t="n">
        <v>46097</v>
      </c>
      <c r="B4" s="37" t="inlineStr">
        <is>
          <t>PC-03/2026-085</t>
        </is>
      </c>
      <c r="C4" s="37" t="inlineStr">
        <is>
          <t>Chi</t>
        </is>
      </c>
      <c r="D4" s="37" t="n"/>
      <c r="E4" s="37" t="n"/>
      <c r="F4" s="37" t="inlineStr">
        <is>
          <t>Gửi bv bv Hoàng Thị Cúc - Chi bảo vệ</t>
        </is>
      </c>
      <c r="G4" s="37" t="inlineStr">
        <is>
          <t>Phòng Kế toán</t>
        </is>
      </c>
      <c r="H4" s="37" t="inlineStr">
        <is>
          <t>bảo vệ</t>
        </is>
      </c>
      <c r="I4" s="37" t="inlineStr">
        <is>
          <t>Tiền mặt</t>
        </is>
      </c>
      <c r="J4" s="29" t="n">
        <v>50000</v>
      </c>
      <c r="K4" s="29">
        <f>IF(C4="Thu",J4,0)</f>
        <v/>
      </c>
      <c r="L4" s="29">
        <f>IF(C4="Chi",J4,0)</f>
        <v/>
      </c>
      <c r="M4" s="29">
        <f>K4-L4</f>
        <v/>
      </c>
    </row>
    <row r="5">
      <c r="A5" s="27" t="n">
        <v>46097</v>
      </c>
      <c r="B5" s="37" t="inlineStr">
        <is>
          <t>PC-03/2026-086</t>
        </is>
      </c>
      <c r="C5" s="37" t="inlineStr">
        <is>
          <t>Chi</t>
        </is>
      </c>
      <c r="D5" s="37" t="n"/>
      <c r="E5" s="37" t="n"/>
      <c r="F5" s="37" t="inlineStr">
        <is>
          <t>thanh toán trích lục Lê Văn Hoàng - Lấy trích lục</t>
        </is>
      </c>
      <c r="G5" s="37" t="inlineStr">
        <is>
          <t>Phòng Kế toán</t>
        </is>
      </c>
      <c r="H5" s="37" t="inlineStr">
        <is>
          <t>Chi nhánh số 2</t>
        </is>
      </c>
      <c r="I5" s="37" t="inlineStr">
        <is>
          <t>Chuyển khoản</t>
        </is>
      </c>
      <c r="J5" s="29" t="n">
        <v>200000</v>
      </c>
      <c r="K5" s="29">
        <f>IF(C5="Thu",J5,0)</f>
        <v/>
      </c>
      <c r="L5" s="29">
        <f>IF(C5="Chi",J5,0)</f>
        <v/>
      </c>
      <c r="M5" s="29">
        <f>K5-L5</f>
        <v/>
      </c>
    </row>
    <row r="6">
      <c r="A6" s="27" t="n">
        <v>46097</v>
      </c>
      <c r="B6" s="37" t="inlineStr">
        <is>
          <t>PC-03/2026-087</t>
        </is>
      </c>
      <c r="C6" s="37" t="inlineStr">
        <is>
          <t>Chi</t>
        </is>
      </c>
      <c r="D6" s="37" t="n"/>
      <c r="E6" s="37" t="n"/>
      <c r="F6" s="37" t="inlineStr">
        <is>
          <t>gửi chị Huy nộp bản vẽ sáng 16/3 - Chi quầy tiếp nhận</t>
        </is>
      </c>
      <c r="G6" s="37" t="inlineStr">
        <is>
          <t>Phòng Kế toán</t>
        </is>
      </c>
      <c r="H6" s="37" t="inlineStr">
        <is>
          <t>Chị Huy</t>
        </is>
      </c>
      <c r="I6" s="37" t="inlineStr">
        <is>
          <t>Tiền mặt</t>
        </is>
      </c>
      <c r="J6" s="29" t="n">
        <v>100000</v>
      </c>
      <c r="K6" s="29">
        <f>IF(C6="Thu",J6,0)</f>
        <v/>
      </c>
      <c r="L6" s="29">
        <f>IF(C6="Chi",J6,0)</f>
        <v/>
      </c>
      <c r="M6" s="29">
        <f>K6-L6</f>
        <v/>
      </c>
    </row>
    <row r="7">
      <c r="A7" s="27" t="n">
        <v>46097</v>
      </c>
      <c r="B7" s="37" t="inlineStr">
        <is>
          <t>PC-03/2026-088</t>
        </is>
      </c>
      <c r="C7" s="37" t="inlineStr">
        <is>
          <t>Chi</t>
        </is>
      </c>
      <c r="D7" s="37" t="n"/>
      <c r="E7" s="37" t="n"/>
      <c r="F7" s="37" t="inlineStr">
        <is>
          <t>Phan Xuân Phước (255) - Lấy bản vẽ</t>
        </is>
      </c>
      <c r="G7" s="37" t="inlineStr">
        <is>
          <t>Phòng Kế toán</t>
        </is>
      </c>
      <c r="H7" s="37" t="inlineStr">
        <is>
          <t>Chi nhánh số 2</t>
        </is>
      </c>
      <c r="I7" s="37" t="inlineStr">
        <is>
          <t>Chuyển khoản</t>
        </is>
      </c>
      <c r="J7" s="29" t="n">
        <v>130873</v>
      </c>
      <c r="K7" s="29">
        <f>IF(C7="Thu",J7,0)</f>
        <v/>
      </c>
      <c r="L7" s="29">
        <f>IF(C7="Chi",J7,0)</f>
        <v/>
      </c>
      <c r="M7" s="29">
        <f>K7-L7</f>
        <v/>
      </c>
    </row>
    <row r="8">
      <c r="A8" s="27" t="n">
        <v>46097</v>
      </c>
      <c r="B8" s="37" t="inlineStr">
        <is>
          <t>PC-03/2026-089</t>
        </is>
      </c>
      <c r="C8" s="37" t="inlineStr">
        <is>
          <t>Chi</t>
        </is>
      </c>
      <c r="D8" s="37" t="n"/>
      <c r="E8" s="37" t="n"/>
      <c r="F8" s="37" t="inlineStr">
        <is>
          <t>nộp hồ sơ tách thửa Trần Thị Ngọc Dung - Chi quầy tiếp nhận</t>
        </is>
      </c>
      <c r="G8" s="37" t="inlineStr">
        <is>
          <t>Phòng Kế toán</t>
        </is>
      </c>
      <c r="H8" s="37" t="inlineStr">
        <is>
          <t>quầy tiếp nhận</t>
        </is>
      </c>
      <c r="I8" s="37" t="inlineStr">
        <is>
          <t>Tiền mặt</t>
        </is>
      </c>
      <c r="J8" s="29" t="n">
        <v>200000</v>
      </c>
      <c r="K8" s="29">
        <f>IF(C8="Thu",J8,0)</f>
        <v/>
      </c>
      <c r="L8" s="29">
        <f>IF(C8="Chi",J8,0)</f>
        <v/>
      </c>
      <c r="M8" s="29">
        <f>K8-L8</f>
        <v/>
      </c>
    </row>
    <row r="9">
      <c r="A9" s="27" t="n">
        <v>46097</v>
      </c>
      <c r="B9" s="37" t="inlineStr">
        <is>
          <t>PC-03/2026-090</t>
        </is>
      </c>
      <c r="C9" s="37" t="inlineStr">
        <is>
          <t>Chi</t>
        </is>
      </c>
      <c r="D9" s="37" t="n"/>
      <c r="E9" s="37" t="n"/>
      <c r="F9" s="37" t="inlineStr">
        <is>
          <t>Đào Thị Hòa (235) - Lấy bản vẽ</t>
        </is>
      </c>
      <c r="G9" s="37" t="inlineStr">
        <is>
          <t>Phòng Kế toán</t>
        </is>
      </c>
      <c r="H9" s="37" t="inlineStr">
        <is>
          <t>Chi nhánh số 2</t>
        </is>
      </c>
      <c r="I9" s="37" t="inlineStr">
        <is>
          <t>Chuyển khoản</t>
        </is>
      </c>
      <c r="J9" s="29" t="n">
        <v>86900</v>
      </c>
      <c r="K9" s="29">
        <f>IF(C9="Thu",J9,0)</f>
        <v/>
      </c>
      <c r="L9" s="29">
        <f>IF(C9="Chi",J9,0)</f>
        <v/>
      </c>
      <c r="M9" s="29">
        <f>K9-L9</f>
        <v/>
      </c>
    </row>
    <row r="10">
      <c r="A10" s="27" t="n">
        <v>46097</v>
      </c>
      <c r="B10" s="37" t="inlineStr">
        <is>
          <t>PC-03/2026-091</t>
        </is>
      </c>
      <c r="C10" s="37" t="inlineStr">
        <is>
          <t>Chi</t>
        </is>
      </c>
      <c r="D10" s="37" t="n"/>
      <c r="E10" s="37" t="n"/>
      <c r="F10" s="37" t="inlineStr">
        <is>
          <t>gửi chị Huy lấy bản vẽ đạt 16/3 - Chi quầy tiếp nhận</t>
        </is>
      </c>
      <c r="G10" s="37" t="inlineStr">
        <is>
          <t>Phòng Kế toán</t>
        </is>
      </c>
      <c r="H10" s="37" t="inlineStr">
        <is>
          <t>Chị Huy</t>
        </is>
      </c>
      <c r="I10" s="37" t="inlineStr">
        <is>
          <t>Tiền mặt</t>
        </is>
      </c>
      <c r="J10" s="29" t="n">
        <v>100000</v>
      </c>
      <c r="K10" s="29">
        <f>IF(C10="Thu",J10,0)</f>
        <v/>
      </c>
      <c r="L10" s="29">
        <f>IF(C10="Chi",J10,0)</f>
        <v/>
      </c>
      <c r="M10" s="29">
        <f>K10-L10</f>
        <v/>
      </c>
    </row>
    <row r="11">
      <c r="A11" s="27" t="n">
        <v>46097</v>
      </c>
      <c r="B11" s="37" t="inlineStr">
        <is>
          <t>PC-03/2026-092</t>
        </is>
      </c>
      <c r="C11" s="37" t="inlineStr">
        <is>
          <t>Chi</t>
        </is>
      </c>
      <c r="D11" s="37" t="n"/>
      <c r="E11" s="37" t="n"/>
      <c r="F11" s="37" t="inlineStr">
        <is>
          <t>nộp hs Phan Xuân Phước - Chi quầy tiếp nhận</t>
        </is>
      </c>
      <c r="G11" s="37" t="inlineStr">
        <is>
          <t>Phòng Kế toán</t>
        </is>
      </c>
      <c r="H11" s="37" t="inlineStr">
        <is>
          <t>quầy tiếp nhận</t>
        </is>
      </c>
      <c r="I11" s="37" t="inlineStr">
        <is>
          <t>Tiền mặt</t>
        </is>
      </c>
      <c r="J11" s="29" t="n">
        <v>100000</v>
      </c>
      <c r="K11" s="29">
        <f>IF(C11="Thu",J11,0)</f>
        <v/>
      </c>
      <c r="L11" s="29">
        <f>IF(C11="Chi",J11,0)</f>
        <v/>
      </c>
      <c r="M11" s="29">
        <f>K11-L11</f>
        <v/>
      </c>
    </row>
    <row r="12">
      <c r="A12" s="27" t="n">
        <v>46097</v>
      </c>
      <c r="B12" s="37" t="inlineStr">
        <is>
          <t>PC-03/2026-093</t>
        </is>
      </c>
      <c r="C12" s="37" t="inlineStr">
        <is>
          <t>Chi</t>
        </is>
      </c>
      <c r="D12" s="37" t="n"/>
      <c r="E12" s="37" t="n"/>
      <c r="F12" s="37" t="inlineStr">
        <is>
          <t>gửi hợp đồng cho anh Ý - Chuyển phát - Bưu chính-Grap</t>
        </is>
      </c>
      <c r="G12" s="37" t="inlineStr">
        <is>
          <t>Phòng Kế toán</t>
        </is>
      </c>
      <c r="H12" s="37" t="inlineStr">
        <is>
          <t>Anh Ý</t>
        </is>
      </c>
      <c r="I12" s="37" t="inlineStr">
        <is>
          <t>Chuyển khoản</t>
        </is>
      </c>
      <c r="J12" s="29" t="n">
        <v>41000</v>
      </c>
      <c r="K12" s="29">
        <f>IF(C12="Thu",J12,0)</f>
        <v/>
      </c>
      <c r="L12" s="29">
        <f>IF(C12="Chi",J12,0)</f>
        <v/>
      </c>
      <c r="M12" s="29">
        <f>K12-L12</f>
        <v/>
      </c>
    </row>
    <row r="13">
      <c r="A13" s="27" t="n">
        <v>46097</v>
      </c>
      <c r="B13" s="37" t="inlineStr">
        <is>
          <t>PC-03/2026-094</t>
        </is>
      </c>
      <c r="C13" s="37" t="inlineStr">
        <is>
          <t>Chi</t>
        </is>
      </c>
      <c r="D13" s="37" t="n"/>
      <c r="E13" s="37" t="n"/>
      <c r="F13" s="37" t="inlineStr">
        <is>
          <t>gửi phi nông nghiệp Phan Xuân Phước cho chị Trâm - Đóng thuế</t>
        </is>
      </c>
      <c r="G13" s="37" t="inlineStr">
        <is>
          <t>Phòng Kế toán</t>
        </is>
      </c>
      <c r="H13" s="37" t="inlineStr">
        <is>
          <t>Chị Trâm</t>
        </is>
      </c>
      <c r="I13" s="37" t="inlineStr">
        <is>
          <t>Tiền mặt</t>
        </is>
      </c>
      <c r="J13" s="29" t="n">
        <v>300000</v>
      </c>
      <c r="K13" s="29">
        <f>IF(C13="Thu",J13,0)</f>
        <v/>
      </c>
      <c r="L13" s="29">
        <f>IF(C13="Chi",J13,0)</f>
        <v/>
      </c>
      <c r="M13" s="29">
        <f>K13-L13</f>
        <v/>
      </c>
    </row>
    <row r="14">
      <c r="A14" s="27" t="n">
        <v>46097</v>
      </c>
      <c r="B14" s="37" t="inlineStr">
        <is>
          <t>PC-03/2026-095</t>
        </is>
      </c>
      <c r="C14" s="37" t="inlineStr">
        <is>
          <t>Chi</t>
        </is>
      </c>
      <c r="D14" s="37" t="n"/>
      <c r="E14" s="37" t="n"/>
      <c r="F14" s="37" t="inlineStr">
        <is>
          <t>đóng thuế phi NN Phan Xuân Phước - Đóng thuế</t>
        </is>
      </c>
      <c r="G14" s="37" t="inlineStr">
        <is>
          <t>Phòng Kế toán</t>
        </is>
      </c>
      <c r="H14" s="37" t="inlineStr">
        <is>
          <t>Agribank</t>
        </is>
      </c>
      <c r="I14" s="37" t="inlineStr">
        <is>
          <t>Tiền mặt</t>
        </is>
      </c>
      <c r="J14" s="29" t="n">
        <v>53000</v>
      </c>
      <c r="K14" s="29">
        <f>IF(C14="Thu",J14,0)</f>
        <v/>
      </c>
      <c r="L14" s="29">
        <f>IF(C14="Chi",J14,0)</f>
        <v/>
      </c>
      <c r="M14" s="29">
        <f>K14-L14</f>
        <v/>
      </c>
    </row>
    <row r="15">
      <c r="A15" s="27" t="n">
        <v>46097</v>
      </c>
      <c r="B15" s="37" t="inlineStr">
        <is>
          <t>PC-03/2026-096</t>
        </is>
      </c>
      <c r="C15" s="37" t="inlineStr">
        <is>
          <t>Chi</t>
        </is>
      </c>
      <c r="D15" s="37" t="n"/>
      <c r="E15" s="37" t="n"/>
      <c r="F15" s="37" t="inlineStr">
        <is>
          <t>gửi bv cho anh Xuất - Chi bảo vệ</t>
        </is>
      </c>
      <c r="G15" s="37" t="inlineStr">
        <is>
          <t>Phòng Kế toán</t>
        </is>
      </c>
      <c r="H15" s="37" t="inlineStr">
        <is>
          <t>bảo vệ</t>
        </is>
      </c>
      <c r="I15" s="37" t="inlineStr">
        <is>
          <t>Tiền mặt</t>
        </is>
      </c>
      <c r="J15" s="29" t="n">
        <v>50000</v>
      </c>
      <c r="K15" s="29">
        <f>IF(C15="Thu",J15,0)</f>
        <v/>
      </c>
      <c r="L15" s="29">
        <f>IF(C15="Chi",J15,0)</f>
        <v/>
      </c>
      <c r="M15" s="29">
        <f>K15-L15</f>
        <v/>
      </c>
    </row>
    <row r="16">
      <c r="A16" s="27" t="n">
        <v>46095</v>
      </c>
      <c r="B16" s="37" t="inlineStr">
        <is>
          <t>PC-03/2026-083</t>
        </is>
      </c>
      <c r="C16" s="37" t="inlineStr">
        <is>
          <t>Chi</t>
        </is>
      </c>
      <c r="D16" s="37" t="n"/>
      <c r="E16" s="37" t="n"/>
      <c r="F16" s="37" t="inlineStr">
        <is>
          <t>cắm mốc Đào Minh Quân - Công tác phí</t>
        </is>
      </c>
      <c r="G16" s="37" t="inlineStr">
        <is>
          <t>Phòng Kế toán</t>
        </is>
      </c>
      <c r="H16" s="37" t="inlineStr">
        <is>
          <t>Anh Tập</t>
        </is>
      </c>
      <c r="I16" s="37" t="inlineStr">
        <is>
          <t>Chuyển khoản</t>
        </is>
      </c>
      <c r="J16" s="29" t="n">
        <v>110000</v>
      </c>
      <c r="K16" s="29">
        <f>IF(C16="Thu",J16,0)</f>
        <v/>
      </c>
      <c r="L16" s="29">
        <f>IF(C16="Chi",J16,0)</f>
        <v/>
      </c>
      <c r="M16" s="29">
        <f>K16-L16</f>
        <v/>
      </c>
    </row>
    <row r="17">
      <c r="A17" s="27" t="n">
        <v>46095</v>
      </c>
      <c r="B17" s="37" t="inlineStr">
        <is>
          <t>PC-03/2026-084</t>
        </is>
      </c>
      <c r="C17" s="37" t="inlineStr">
        <is>
          <t>Chi</t>
        </is>
      </c>
      <c r="D17" s="37" t="n"/>
      <c r="E17" s="37" t="n"/>
      <c r="F17" s="37" t="inlineStr">
        <is>
          <t>đồ ăn trưa - Ăn uống</t>
        </is>
      </c>
      <c r="G17" s="37" t="inlineStr">
        <is>
          <t>Phòng Kế toán</t>
        </is>
      </c>
      <c r="H17" s="37" t="inlineStr">
        <is>
          <t>shipper</t>
        </is>
      </c>
      <c r="I17" s="37" t="inlineStr">
        <is>
          <t>Chuyển khoản</t>
        </is>
      </c>
      <c r="J17" s="29" t="n">
        <v>277000</v>
      </c>
      <c r="K17" s="29">
        <f>IF(C17="Thu",J17,0)</f>
        <v/>
      </c>
      <c r="L17" s="29">
        <f>IF(C17="Chi",J17,0)</f>
        <v/>
      </c>
      <c r="M17" s="29">
        <f>K17-L17</f>
        <v/>
      </c>
    </row>
    <row r="18">
      <c r="A18" s="27" t="n">
        <v>46094</v>
      </c>
      <c r="B18" s="37" t="inlineStr">
        <is>
          <t>PC-03/2026-076</t>
        </is>
      </c>
      <c r="C18" s="37" t="inlineStr">
        <is>
          <t>Thu</t>
        </is>
      </c>
      <c r="D18" s="37" t="n"/>
      <c r="E18" s="37" t="n"/>
      <c r="F18" s="37" t="inlineStr">
        <is>
          <t>GIÁM ĐỐC NỘP QUỸ L3 THÁNG 3 - Bổ sung quỹ</t>
        </is>
      </c>
      <c r="G18" s="37" t="inlineStr">
        <is>
          <t>Phòng Kế toán</t>
        </is>
      </c>
      <c r="H18" s="37" t="inlineStr">
        <is>
          <t>GIÁM ĐỐC</t>
        </is>
      </c>
      <c r="I18" s="37" t="inlineStr">
        <is>
          <t>Chuyển khoản</t>
        </is>
      </c>
      <c r="J18" s="29" t="n">
        <v>10000000</v>
      </c>
      <c r="K18" s="29">
        <f>IF(C18="Thu",J18,0)</f>
        <v/>
      </c>
      <c r="L18" s="29">
        <f>IF(C18="Chi",J18,0)</f>
        <v/>
      </c>
      <c r="M18" s="29">
        <f>K18-L18</f>
        <v/>
      </c>
    </row>
    <row r="19">
      <c r="A19" s="27" t="n">
        <v>46094</v>
      </c>
      <c r="B19" s="37" t="inlineStr">
        <is>
          <t>PC-03/2026-077</t>
        </is>
      </c>
      <c r="C19" s="37" t="inlineStr">
        <is>
          <t>Chi</t>
        </is>
      </c>
      <c r="D19" s="37" t="n"/>
      <c r="E19" s="37" t="n"/>
      <c r="F19" s="37" t="inlineStr">
        <is>
          <t>089/BK-2026	Phan Xuân Phước-Nguyễn Thị Bích Thủy - Chi thụ lý bản vẽ</t>
        </is>
      </c>
      <c r="G19" s="37" t="inlineStr">
        <is>
          <t>Phòng Kế toán</t>
        </is>
      </c>
      <c r="H19" s="37" t="inlineStr">
        <is>
          <t>Anh Trung Kiên</t>
        </is>
      </c>
      <c r="I19" s="37" t="inlineStr">
        <is>
          <t>Tiền mặt</t>
        </is>
      </c>
      <c r="J19" s="29" t="n">
        <v>2000000</v>
      </c>
      <c r="K19" s="29">
        <f>IF(C19="Thu",J19,0)</f>
        <v/>
      </c>
      <c r="L19" s="29">
        <f>IF(C19="Chi",J19,0)</f>
        <v/>
      </c>
      <c r="M19" s="29">
        <f>K19-L19</f>
        <v/>
      </c>
    </row>
    <row r="20">
      <c r="A20" s="27" t="n">
        <v>46094</v>
      </c>
      <c r="B20" s="37" t="inlineStr">
        <is>
          <t>PC-03/2026-078</t>
        </is>
      </c>
      <c r="C20" s="37" t="inlineStr">
        <is>
          <t>Chi</t>
        </is>
      </c>
      <c r="D20" s="37" t="n"/>
      <c r="E20" s="37" t="n"/>
      <c r="F20" s="37" t="inlineStr">
        <is>
          <t>gửi bv bv Phan Xuân Phước - Chi bảo vệ</t>
        </is>
      </c>
      <c r="G20" s="37" t="inlineStr">
        <is>
          <t>Phòng Kế toán</t>
        </is>
      </c>
      <c r="H20" s="37" t="inlineStr">
        <is>
          <t>bảo vệ</t>
        </is>
      </c>
      <c r="I20" s="37" t="inlineStr">
        <is>
          <t>Tiền mặt</t>
        </is>
      </c>
      <c r="J20" s="29" t="n">
        <v>50000</v>
      </c>
      <c r="K20" s="29">
        <f>IF(C20="Thu",J20,0)</f>
        <v/>
      </c>
      <c r="L20" s="29">
        <f>IF(C20="Chi",J20,0)</f>
        <v/>
      </c>
      <c r="M20" s="29">
        <f>K20-L20</f>
        <v/>
      </c>
    </row>
    <row r="21" ht="15.75" customHeight="1" s="56">
      <c r="A21" s="27" t="n">
        <v>46094</v>
      </c>
      <c r="B21" s="37" t="inlineStr">
        <is>
          <t>PC-03/2026-079</t>
        </is>
      </c>
      <c r="C21" s="37" t="inlineStr">
        <is>
          <t>Chi</t>
        </is>
      </c>
      <c r="D21" s="37" t="n"/>
      <c r="E21" s="37" t="n"/>
      <c r="F21" s="37" t="inlineStr">
        <is>
          <t>nộp 2 hồ sơ hoàn công Nguyễn Đế Hiếu - Chi quầy tiếp nhận</t>
        </is>
      </c>
      <c r="G21" s="37" t="inlineStr">
        <is>
          <t>Phòng Kế toán</t>
        </is>
      </c>
      <c r="H21" s="37" t="inlineStr">
        <is>
          <t>quầy tiếp nhận</t>
        </is>
      </c>
      <c r="I21" s="37" t="inlineStr">
        <is>
          <t>Tiền mặt</t>
        </is>
      </c>
      <c r="J21" s="29" t="n">
        <v>200000</v>
      </c>
      <c r="K21" s="29">
        <f>IF(C21="Thu",J21,0)</f>
        <v/>
      </c>
      <c r="L21" s="29">
        <f>IF(C21="Chi",J21,0)</f>
        <v/>
      </c>
      <c r="M21" s="29">
        <f>K21-L21</f>
        <v/>
      </c>
    </row>
    <row r="22" ht="15.75" customHeight="1" s="56">
      <c r="A22" s="27" t="n">
        <v>46094</v>
      </c>
      <c r="B22" s="37" t="inlineStr">
        <is>
          <t>PC-03/2026-080</t>
        </is>
      </c>
      <c r="C22" s="37" t="inlineStr">
        <is>
          <t>Chi</t>
        </is>
      </c>
      <c r="D22" s="37" t="n"/>
      <c r="E22" s="37" t="n"/>
      <c r="F22" s="37" t="inlineStr">
        <is>
          <t>nộp hồ sơ Hồ Trọng Dũng - Chi quầy tiếp nhận</t>
        </is>
      </c>
      <c r="G22" s="37" t="inlineStr">
        <is>
          <t>Phòng Kế toán</t>
        </is>
      </c>
      <c r="H22" s="37" t="inlineStr">
        <is>
          <t>quầy tiếp nhận</t>
        </is>
      </c>
      <c r="I22" s="37" t="inlineStr">
        <is>
          <t>Tiền mặt</t>
        </is>
      </c>
      <c r="J22" s="29" t="n">
        <v>100000</v>
      </c>
      <c r="K22" s="29">
        <f>IF(C22="Thu",J22,0)</f>
        <v/>
      </c>
      <c r="L22" s="29">
        <f>IF(C22="Chi",J22,0)</f>
        <v/>
      </c>
      <c r="M22" s="29">
        <f>K22-L22</f>
        <v/>
      </c>
    </row>
    <row r="23" ht="15.75" customHeight="1" s="56">
      <c r="A23" s="27" t="n">
        <v>46094</v>
      </c>
      <c r="B23" s="37" t="inlineStr">
        <is>
          <t>PC-03/2026-081</t>
        </is>
      </c>
      <c r="C23" s="37" t="inlineStr">
        <is>
          <t>Chi</t>
        </is>
      </c>
      <c r="D23" s="37" t="n"/>
      <c r="E23" s="37" t="n"/>
      <c r="F23" s="37" t="inlineStr">
        <is>
          <t>gửi hđ tặng cho Trần Thị Ngọc Dung cho Cô Hoa - Chuyển phát - Bưu chính-Grap</t>
        </is>
      </c>
      <c r="G23" s="37" t="inlineStr">
        <is>
          <t>Phòng Kế toán</t>
        </is>
      </c>
      <c r="H23" s="37" t="inlineStr">
        <is>
          <t>Cô Hoa</t>
        </is>
      </c>
      <c r="I23" s="37" t="inlineStr">
        <is>
          <t>Chuyển khoản</t>
        </is>
      </c>
      <c r="J23" s="29" t="n">
        <v>66000</v>
      </c>
      <c r="K23" s="29">
        <f>IF(C23="Thu",J23,0)</f>
        <v/>
      </c>
      <c r="L23" s="29">
        <f>IF(C23="Chi",J23,0)</f>
        <v/>
      </c>
      <c r="M23" s="29">
        <f>K23-L23</f>
        <v/>
      </c>
    </row>
    <row r="24" ht="15.75" customHeight="1" s="56">
      <c r="A24" s="27" t="n">
        <v>46094</v>
      </c>
      <c r="B24" s="37" t="inlineStr">
        <is>
          <t>PC-03/2026-082</t>
        </is>
      </c>
      <c r="C24" s="37" t="inlineStr">
        <is>
          <t>Chi</t>
        </is>
      </c>
      <c r="D24" s="37" t="n"/>
      <c r="E24" s="37" t="n"/>
      <c r="F24" s="37" t="inlineStr">
        <is>
          <t>tiền cơm - Ăn uống</t>
        </is>
      </c>
      <c r="G24" s="37" t="inlineStr">
        <is>
          <t>Phòng Kế toán</t>
        </is>
      </c>
      <c r="H24" s="37" t="inlineStr">
        <is>
          <t>Anh Hùng</t>
        </is>
      </c>
      <c r="I24" s="37" t="inlineStr">
        <is>
          <t>Chuyển khoản</t>
        </is>
      </c>
      <c r="J24" s="29" t="n">
        <v>1450000</v>
      </c>
      <c r="K24" s="29">
        <f>IF(C24="Thu",J24,0)</f>
        <v/>
      </c>
      <c r="L24" s="29">
        <f>IF(C24="Chi",J24,0)</f>
        <v/>
      </c>
      <c r="M24" s="29">
        <f>K24-L24</f>
        <v/>
      </c>
    </row>
    <row r="25" ht="15.75" customHeight="1" s="56">
      <c r="A25" s="27" t="n">
        <v>46093</v>
      </c>
      <c r="B25" s="37" t="inlineStr">
        <is>
          <t>PC-03/2026-069</t>
        </is>
      </c>
      <c r="C25" s="37" t="inlineStr">
        <is>
          <t>Chi</t>
        </is>
      </c>
      <c r="D25" s="37" t="n"/>
      <c r="E25" s="37" t="n"/>
      <c r="F25" s="37" t="inlineStr">
        <is>
          <t>073/BK-2026	Đào Thị Hòa - Chi thụ lý bản vẽ</t>
        </is>
      </c>
      <c r="G25" s="37" t="inlineStr">
        <is>
          <t>Phòng Kế toán</t>
        </is>
      </c>
      <c r="H25" s="37" t="inlineStr">
        <is>
          <t>Anh Trung Kiên</t>
        </is>
      </c>
      <c r="I25" s="37" t="inlineStr">
        <is>
          <t>Tiền mặt</t>
        </is>
      </c>
      <c r="J25" s="29" t="n">
        <v>1500000</v>
      </c>
      <c r="K25" s="29">
        <f>IF(C25="Thu",J25,0)</f>
        <v/>
      </c>
      <c r="L25" s="29">
        <f>IF(C25="Chi",J25,0)</f>
        <v/>
      </c>
      <c r="M25" s="29">
        <f>K25-L25</f>
        <v/>
      </c>
    </row>
    <row r="26" ht="15.75" customHeight="1" s="56">
      <c r="A26" s="27" t="n">
        <v>46093</v>
      </c>
      <c r="B26" s="37" t="inlineStr">
        <is>
          <t>PC-03/2026-070</t>
        </is>
      </c>
      <c r="C26" s="37" t="inlineStr">
        <is>
          <t>Chi</t>
        </is>
      </c>
      <c r="D26" s="37" t="n"/>
      <c r="E26" s="37" t="n"/>
      <c r="F26" s="37" t="inlineStr">
        <is>
          <t>Gửi bv bv Đào Thị Hòa - Chi bảo vệ</t>
        </is>
      </c>
      <c r="G26" s="37" t="inlineStr">
        <is>
          <t>Phòng Kế toán</t>
        </is>
      </c>
      <c r="H26" s="37" t="inlineStr">
        <is>
          <t>bảo vệ</t>
        </is>
      </c>
      <c r="I26" s="37" t="inlineStr">
        <is>
          <t>Tiền mặt</t>
        </is>
      </c>
      <c r="J26" s="29" t="n">
        <v>50000</v>
      </c>
      <c r="K26" s="29">
        <f>IF(C26="Thu",J26,0)</f>
        <v/>
      </c>
      <c r="L26" s="29">
        <f>IF(C26="Chi",J26,0)</f>
        <v/>
      </c>
      <c r="M26" s="29">
        <f>K26-L26</f>
        <v/>
      </c>
    </row>
    <row r="27" ht="15.75" customHeight="1" s="56">
      <c r="A27" s="27" t="n">
        <v>46093</v>
      </c>
      <c r="B27" s="37" t="inlineStr">
        <is>
          <t>PC-03/2026-071</t>
        </is>
      </c>
      <c r="C27" s="37" t="inlineStr">
        <is>
          <t>Chi</t>
        </is>
      </c>
      <c r="D27" s="37" t="n"/>
      <c r="E27" s="37" t="n"/>
      <c r="F27" s="37" t="inlineStr">
        <is>
          <t>Nguyễn Đế Hiếu (669) - Lấy bản vẽ</t>
        </is>
      </c>
      <c r="G27" s="37" t="inlineStr">
        <is>
          <t>Phòng Kế toán</t>
        </is>
      </c>
      <c r="H27" s="37" t="inlineStr">
        <is>
          <t>Chi nhánh số 2</t>
        </is>
      </c>
      <c r="I27" s="37" t="inlineStr">
        <is>
          <t>Chuyển khoản</t>
        </is>
      </c>
      <c r="J27" s="29" t="n">
        <v>130022</v>
      </c>
      <c r="K27" s="29">
        <f>IF(C27="Thu",J27,0)</f>
        <v/>
      </c>
      <c r="L27" s="29">
        <f>IF(C27="Chi",J27,0)</f>
        <v/>
      </c>
      <c r="M27" s="29">
        <f>K27-L27</f>
        <v/>
      </c>
    </row>
    <row r="28" ht="15.75" customHeight="1" s="56">
      <c r="A28" s="27" t="n">
        <v>46093</v>
      </c>
      <c r="B28" s="37" t="inlineStr">
        <is>
          <t>PC-03/2026-072</t>
        </is>
      </c>
      <c r="C28" s="37" t="inlineStr">
        <is>
          <t>Chi</t>
        </is>
      </c>
      <c r="D28" s="37" t="n"/>
      <c r="E28" s="37" t="n"/>
      <c r="F28" s="37" t="inlineStr">
        <is>
          <t>Nguyễn Đế Hiếu (670) - Lấy bản vẽ</t>
        </is>
      </c>
      <c r="G28" s="37" t="inlineStr">
        <is>
          <t>Phòng Kế toán</t>
        </is>
      </c>
      <c r="H28" s="37" t="inlineStr">
        <is>
          <t>Chi nhánh số 2</t>
        </is>
      </c>
      <c r="I28" s="37" t="inlineStr">
        <is>
          <t>Chuyển khoản</t>
        </is>
      </c>
      <c r="J28" s="29" t="n">
        <v>129628</v>
      </c>
      <c r="K28" s="29">
        <f>IF(C28="Thu",J28,0)</f>
        <v/>
      </c>
      <c r="L28" s="29">
        <f>IF(C28="Chi",J28,0)</f>
        <v/>
      </c>
      <c r="M28" s="29">
        <f>K28-L28</f>
        <v/>
      </c>
    </row>
    <row r="29" ht="15.75" customHeight="1" s="56">
      <c r="A29" s="27" t="n">
        <v>46093</v>
      </c>
      <c r="B29" s="37" t="inlineStr">
        <is>
          <t>PC-03/2026-073</t>
        </is>
      </c>
      <c r="C29" s="37" t="inlineStr">
        <is>
          <t>Chi</t>
        </is>
      </c>
      <c r="D29" s="37" t="n"/>
      <c r="E29" s="37" t="n"/>
      <c r="F29" s="37" t="inlineStr">
        <is>
          <t>nhận cam kết Hồ Trọng Dũng - Chuyển phát - Bưu chính-Grap</t>
        </is>
      </c>
      <c r="G29" s="37" t="inlineStr">
        <is>
          <t>Phòng Kế toán</t>
        </is>
      </c>
      <c r="H29" s="37" t="inlineStr">
        <is>
          <t>shipper</t>
        </is>
      </c>
      <c r="I29" s="37" t="inlineStr">
        <is>
          <t>Tiền mặt</t>
        </is>
      </c>
      <c r="J29" s="29" t="n">
        <v>90000</v>
      </c>
      <c r="K29" s="29">
        <f>IF(C29="Thu",J29,0)</f>
        <v/>
      </c>
      <c r="L29" s="29">
        <f>IF(C29="Chi",J29,0)</f>
        <v/>
      </c>
      <c r="M29" s="29">
        <f>K29-L29</f>
        <v/>
      </c>
    </row>
    <row r="30" ht="15.75" customHeight="1" s="56">
      <c r="A30" s="27" t="n">
        <v>46093</v>
      </c>
      <c r="B30" s="37" t="inlineStr">
        <is>
          <t>PC-03/2026-074</t>
        </is>
      </c>
      <c r="C30" s="37" t="inlineStr">
        <is>
          <t>Chi</t>
        </is>
      </c>
      <c r="D30" s="37" t="n"/>
      <c r="E30" s="37" t="n"/>
      <c r="F30" s="37" t="inlineStr">
        <is>
          <t>lấy sổ Vũ Thúy Nhuần - Chi quầy tiếp nhận</t>
        </is>
      </c>
      <c r="G30" s="37" t="inlineStr">
        <is>
          <t>Phòng Kế toán</t>
        </is>
      </c>
      <c r="H30" s="37" t="inlineStr">
        <is>
          <t>quầy tiếp nhận</t>
        </is>
      </c>
      <c r="I30" s="37" t="inlineStr">
        <is>
          <t>Tiền mặt</t>
        </is>
      </c>
      <c r="J30" s="29" t="n">
        <v>100000</v>
      </c>
      <c r="K30" s="29">
        <f>IF(C30="Thu",J30,0)</f>
        <v/>
      </c>
      <c r="L30" s="29">
        <f>IF(C30="Chi",J30,0)</f>
        <v/>
      </c>
      <c r="M30" s="29">
        <f>K30-L30</f>
        <v/>
      </c>
    </row>
    <row r="31" ht="15.75" customHeight="1" s="56">
      <c r="A31" s="27" t="n">
        <v>46093</v>
      </c>
      <c r="B31" s="37" t="inlineStr">
        <is>
          <t>PC-03/2026-075</t>
        </is>
      </c>
      <c r="C31" s="37" t="inlineStr">
        <is>
          <t>Chi</t>
        </is>
      </c>
      <c r="D31" s="37" t="n"/>
      <c r="E31" s="37" t="n"/>
      <c r="F31" s="37" t="inlineStr">
        <is>
          <t>thanh toán trích lục Nguyễn Thị Phi - Lấy trích lục</t>
        </is>
      </c>
      <c r="G31" s="37" t="inlineStr">
        <is>
          <t>Phòng Kế toán</t>
        </is>
      </c>
      <c r="H31" s="37" t="inlineStr">
        <is>
          <t>Chi nhánh số 2</t>
        </is>
      </c>
      <c r="I31" s="37" t="inlineStr">
        <is>
          <t>Chuyển khoản</t>
        </is>
      </c>
      <c r="J31" s="29" t="n">
        <v>200000</v>
      </c>
      <c r="K31" s="29">
        <f>IF(C31="Thu",J31,0)</f>
        <v/>
      </c>
      <c r="L31" s="29">
        <f>IF(C31="Chi",J31,0)</f>
        <v/>
      </c>
      <c r="M31" s="29">
        <f>K31-L31</f>
        <v/>
      </c>
    </row>
    <row r="32" ht="15.75" customHeight="1" s="56">
      <c r="A32" s="27" t="n">
        <v>46092</v>
      </c>
      <c r="B32" s="37" t="inlineStr">
        <is>
          <t>PC-03/2026-064</t>
        </is>
      </c>
      <c r="C32" s="37" t="inlineStr">
        <is>
          <t>Chi</t>
        </is>
      </c>
      <c r="D32" s="37" t="n"/>
      <c r="E32" s="37" t="n"/>
      <c r="F32" s="37" t="inlineStr">
        <is>
          <t>cắm mốc hs Lê Quang Đạo, Trần Phước Vân - Công tác phí</t>
        </is>
      </c>
      <c r="G32" s="37" t="inlineStr">
        <is>
          <t>Phòng Kế toán</t>
        </is>
      </c>
      <c r="H32" s="37" t="inlineStr">
        <is>
          <t>Anh Tập</t>
        </is>
      </c>
      <c r="I32" s="37" t="inlineStr">
        <is>
          <t>Chuyển khoản</t>
        </is>
      </c>
      <c r="J32" s="29" t="n">
        <v>70000</v>
      </c>
      <c r="K32" s="29">
        <f>IF(C32="Thu",J32,0)</f>
        <v/>
      </c>
      <c r="L32" s="29">
        <f>IF(C32="Chi",J32,0)</f>
        <v/>
      </c>
      <c r="M32" s="29">
        <f>K32-L32</f>
        <v/>
      </c>
    </row>
    <row r="33" ht="15.75" customHeight="1" s="56">
      <c r="A33" s="27" t="n">
        <v>46092</v>
      </c>
      <c r="B33" s="37" t="inlineStr">
        <is>
          <t>PC-03/2026-065</t>
        </is>
      </c>
      <c r="C33" s="37" t="inlineStr">
        <is>
          <t>Chi</t>
        </is>
      </c>
      <c r="D33" s="37" t="n"/>
      <c r="E33" s="37" t="n"/>
      <c r="F33" s="37" t="inlineStr">
        <is>
          <t>sao y + sao y điện tử hồ sơ Hoàng Nam - Công chứng hồ sơ</t>
        </is>
      </c>
      <c r="G33" s="37" t="inlineStr">
        <is>
          <t>Phòng Kế toán</t>
        </is>
      </c>
      <c r="H33" s="37" t="inlineStr">
        <is>
          <t>VPCC Lê Ngọc Bích Ngân</t>
        </is>
      </c>
      <c r="I33" s="37" t="inlineStr">
        <is>
          <t>Chuyển khoản</t>
        </is>
      </c>
      <c r="J33" s="29" t="n">
        <v>120000</v>
      </c>
      <c r="K33" s="29">
        <f>IF(C33="Thu",J33,0)</f>
        <v/>
      </c>
      <c r="L33" s="29">
        <f>IF(C33="Chi",J33,0)</f>
        <v/>
      </c>
      <c r="M33" s="29">
        <f>K33-L33</f>
        <v/>
      </c>
    </row>
    <row r="34" ht="15.75" customHeight="1" s="56">
      <c r="A34" s="27" t="n">
        <v>46092</v>
      </c>
      <c r="B34" s="37" t="inlineStr">
        <is>
          <t>PC-03/2026-066</t>
        </is>
      </c>
      <c r="C34" s="37" t="inlineStr">
        <is>
          <t>Chi</t>
        </is>
      </c>
      <c r="D34" s="37" t="n"/>
      <c r="E34" s="37" t="n"/>
      <c r="F34" s="37" t="inlineStr">
        <is>
          <t>nhận card vist - Chuyển phát - Bưu chính-Grap</t>
        </is>
      </c>
      <c r="G34" s="37" t="inlineStr">
        <is>
          <t>Phòng Kế toán</t>
        </is>
      </c>
      <c r="H34" s="37" t="inlineStr">
        <is>
          <t>shipper</t>
        </is>
      </c>
      <c r="I34" s="37" t="inlineStr">
        <is>
          <t>Chuyển khoản</t>
        </is>
      </c>
      <c r="J34" s="29" t="n">
        <v>153000</v>
      </c>
      <c r="K34" s="29">
        <f>IF(C34="Thu",J34,0)</f>
        <v/>
      </c>
      <c r="L34" s="29">
        <f>IF(C34="Chi",J34,0)</f>
        <v/>
      </c>
      <c r="M34" s="29">
        <f>K34-L34</f>
        <v/>
      </c>
    </row>
    <row r="35" ht="15.75" customHeight="1" s="56">
      <c r="A35" s="27" t="n">
        <v>46092</v>
      </c>
      <c r="B35" s="37" t="inlineStr">
        <is>
          <t>PC-03/2026-067</t>
        </is>
      </c>
      <c r="C35" s="37" t="inlineStr">
        <is>
          <t>Chi</t>
        </is>
      </c>
      <c r="D35" s="37" t="n"/>
      <c r="E35" s="37" t="n"/>
      <c r="F35" s="37" t="inlineStr">
        <is>
          <t>giao biên bản cọc ranh Nguyễn Kim Ruộng - Chuyển phát - Bưu chính-Grap</t>
        </is>
      </c>
      <c r="G35" s="37" t="inlineStr">
        <is>
          <t>Phòng Kế toán</t>
        </is>
      </c>
      <c r="H35" s="37" t="inlineStr">
        <is>
          <t>Anh Duẩn</t>
        </is>
      </c>
      <c r="I35" s="37" t="inlineStr">
        <is>
          <t>Chuyển khoản</t>
        </is>
      </c>
      <c r="J35" s="29" t="n">
        <v>67000</v>
      </c>
      <c r="K35" s="29">
        <f>IF(C35="Thu",J35,0)</f>
        <v/>
      </c>
      <c r="L35" s="29">
        <f>IF(C35="Chi",J35,0)</f>
        <v/>
      </c>
      <c r="M35" s="29">
        <f>K35-L35</f>
        <v/>
      </c>
    </row>
    <row r="36" ht="15.75" customHeight="1" s="56">
      <c r="A36" s="27" t="n">
        <v>46092</v>
      </c>
      <c r="B36" s="37" t="inlineStr">
        <is>
          <t>PC-03/2026-068</t>
        </is>
      </c>
      <c r="C36" s="37" t="inlineStr">
        <is>
          <t>Chi</t>
        </is>
      </c>
      <c r="D36" s="37" t="n"/>
      <c r="E36" s="37" t="n"/>
      <c r="F36" s="37" t="inlineStr">
        <is>
          <t>nộp hồ sơ Nguyễn Thị An - Chi quầy tiếp nhận</t>
        </is>
      </c>
      <c r="G36" s="37" t="inlineStr">
        <is>
          <t>Phòng Kế toán</t>
        </is>
      </c>
      <c r="H36" s="37" t="inlineStr">
        <is>
          <t>quầy tiếp nhận</t>
        </is>
      </c>
      <c r="I36" s="37" t="inlineStr">
        <is>
          <t>Tiền mặt</t>
        </is>
      </c>
      <c r="J36" s="29" t="n">
        <v>100000</v>
      </c>
      <c r="K36" s="29">
        <f>IF(C36="Thu",J36,0)</f>
        <v/>
      </c>
      <c r="L36" s="29">
        <f>IF(C36="Chi",J36,0)</f>
        <v/>
      </c>
      <c r="M36" s="29">
        <f>K36-L36</f>
        <v/>
      </c>
    </row>
    <row r="37" ht="15.75" customHeight="1" s="56">
      <c r="A37" s="27" t="n">
        <v>46091</v>
      </c>
      <c r="B37" s="37" t="inlineStr">
        <is>
          <t>PC-03/2026-060</t>
        </is>
      </c>
      <c r="C37" s="37" t="inlineStr">
        <is>
          <t>Chi</t>
        </is>
      </c>
      <c r="D37" s="37" t="n"/>
      <c r="E37" s="37" t="n"/>
      <c r="F37" s="37" t="inlineStr">
        <is>
          <t>trái cây - Sinh hoạt gia đình</t>
        </is>
      </c>
      <c r="G37" s="37" t="inlineStr">
        <is>
          <t>Phòng Kế toán</t>
        </is>
      </c>
      <c r="H37" s="37" t="inlineStr">
        <is>
          <t>Hằng</t>
        </is>
      </c>
      <c r="I37" s="37" t="inlineStr">
        <is>
          <t>Tiền mặt</t>
        </is>
      </c>
      <c r="J37" s="29" t="n">
        <v>60000</v>
      </c>
      <c r="K37" s="29">
        <f>IF(C37="Thu",J37,0)</f>
        <v/>
      </c>
      <c r="L37" s="29">
        <f>IF(C37="Chi",J37,0)</f>
        <v/>
      </c>
      <c r="M37" s="29">
        <f>K37-L37</f>
        <v/>
      </c>
    </row>
    <row r="38" ht="15.75" customHeight="1" s="56">
      <c r="A38" s="27" t="n">
        <v>46091</v>
      </c>
      <c r="B38" s="37" t="inlineStr">
        <is>
          <t>PC-03/2026-061</t>
        </is>
      </c>
      <c r="C38" s="37" t="inlineStr">
        <is>
          <t>Chi</t>
        </is>
      </c>
      <c r="D38" s="37" t="n"/>
      <c r="E38" s="37" t="n"/>
      <c r="F38" s="37" t="inlineStr">
        <is>
          <t>cam - Sinh hoạt gia đình</t>
        </is>
      </c>
      <c r="G38" s="37" t="inlineStr">
        <is>
          <t>Phòng Kế toán</t>
        </is>
      </c>
      <c r="H38" s="37" t="inlineStr">
        <is>
          <t>Hằng</t>
        </is>
      </c>
      <c r="I38" s="37" t="inlineStr">
        <is>
          <t>Tiền mặt</t>
        </is>
      </c>
      <c r="J38" s="29" t="n">
        <v>50000</v>
      </c>
      <c r="K38" s="29">
        <f>IF(C38="Thu",J38,0)</f>
        <v/>
      </c>
      <c r="L38" s="29">
        <f>IF(C38="Chi",J38,0)</f>
        <v/>
      </c>
      <c r="M38" s="29">
        <f>K38-L38</f>
        <v/>
      </c>
    </row>
    <row r="39" ht="15.75" customHeight="1" s="56">
      <c r="A39" s="27" t="n">
        <v>46091</v>
      </c>
      <c r="B39" s="37" t="inlineStr">
        <is>
          <t>PC-03/2026-062</t>
        </is>
      </c>
      <c r="C39" s="37" t="inlineStr">
        <is>
          <t>Chi</t>
        </is>
      </c>
      <c r="D39" s="37" t="n"/>
      <c r="E39" s="37" t="n"/>
      <c r="F39" s="37" t="inlineStr">
        <is>
          <t>giao hợp đồng cho anh Đức Mẫn - Chuyển phát - Bưu chính-Grap</t>
        </is>
      </c>
      <c r="G39" s="37" t="inlineStr">
        <is>
          <t>Phòng Kế toán</t>
        </is>
      </c>
      <c r="H39" s="37" t="inlineStr">
        <is>
          <t>Anh Đức Mẫn</t>
        </is>
      </c>
      <c r="I39" s="37" t="inlineStr">
        <is>
          <t>Chuyển khoản</t>
        </is>
      </c>
      <c r="J39" s="29" t="n">
        <v>51000</v>
      </c>
      <c r="K39" s="29">
        <f>IF(C39="Thu",J39,0)</f>
        <v/>
      </c>
      <c r="L39" s="29">
        <f>IF(C39="Chi",J39,0)</f>
        <v/>
      </c>
      <c r="M39" s="29">
        <f>K39-L39</f>
        <v/>
      </c>
    </row>
    <row r="40" ht="15.75" customHeight="1" s="56">
      <c r="A40" s="27" t="n">
        <v>46091</v>
      </c>
      <c r="B40" s="37" t="inlineStr">
        <is>
          <t>PC-03/2026-063</t>
        </is>
      </c>
      <c r="C40" s="37" t="inlineStr">
        <is>
          <t>Chi</t>
        </is>
      </c>
      <c r="D40" s="37" t="n"/>
      <c r="E40" s="37" t="n"/>
      <c r="F40" s="37" t="inlineStr">
        <is>
          <t>Nguyễn Quốc Chiến (179) - Lấy bản vẽ</t>
        </is>
      </c>
      <c r="G40" s="37" t="inlineStr">
        <is>
          <t>Phòng Kế toán</t>
        </is>
      </c>
      <c r="H40" s="37" t="inlineStr">
        <is>
          <t>Chi nhánh số 2</t>
        </is>
      </c>
      <c r="I40" s="37" t="inlineStr">
        <is>
          <t>Chuyển khoản</t>
        </is>
      </c>
      <c r="J40" s="29" t="n">
        <v>273106</v>
      </c>
      <c r="K40" s="29">
        <f>IF(C40="Thu",J40,0)</f>
        <v/>
      </c>
      <c r="L40" s="29">
        <f>IF(C40="Chi",J40,0)</f>
        <v/>
      </c>
      <c r="M40" s="29">
        <f>K40-L40</f>
        <v/>
      </c>
    </row>
    <row r="41" ht="15.75" customHeight="1" s="56">
      <c r="A41" s="27" t="n">
        <v>46090</v>
      </c>
      <c r="B41" s="37" t="inlineStr">
        <is>
          <t>PC-03/2026-049</t>
        </is>
      </c>
      <c r="C41" s="37" t="inlineStr">
        <is>
          <t>Chi</t>
        </is>
      </c>
      <c r="D41" s="37" t="n"/>
      <c r="E41" s="37" t="n"/>
      <c r="F41" s="37" t="inlineStr">
        <is>
          <t>Hồ Trọng Dũng (616) - Lấy bản vẽ</t>
        </is>
      </c>
      <c r="G41" s="37" t="inlineStr">
        <is>
          <t>Phòng Kế toán</t>
        </is>
      </c>
      <c r="H41" s="37" t="inlineStr">
        <is>
          <t>Chi nhánh số 2</t>
        </is>
      </c>
      <c r="I41" s="37" t="inlineStr">
        <is>
          <t>Chuyển khoản</t>
        </is>
      </c>
      <c r="J41" s="29" t="n">
        <v>97928</v>
      </c>
      <c r="K41" s="29">
        <f>IF(C41="Thu",J41,0)</f>
        <v/>
      </c>
      <c r="L41" s="29">
        <f>IF(C41="Chi",J41,0)</f>
        <v/>
      </c>
      <c r="M41" s="29">
        <f>K41-L41</f>
        <v/>
      </c>
    </row>
    <row r="42" ht="15.75" customHeight="1" s="56">
      <c r="A42" s="27" t="n">
        <v>46090</v>
      </c>
      <c r="B42" s="37" t="inlineStr">
        <is>
          <t>PC-03/2026-050</t>
        </is>
      </c>
      <c r="C42" s="37" t="inlineStr">
        <is>
          <t>Chi</t>
        </is>
      </c>
      <c r="D42" s="37" t="n"/>
      <c r="E42" s="37" t="n"/>
      <c r="F42" s="37" t="inlineStr">
        <is>
          <t>La Thị Thanh Duyên (182) - Lấy bản vẽ</t>
        </is>
      </c>
      <c r="G42" s="37" t="inlineStr">
        <is>
          <t>Phòng Kế toán</t>
        </is>
      </c>
      <c r="H42" s="37" t="inlineStr">
        <is>
          <t>Chi nhánh số 2</t>
        </is>
      </c>
      <c r="I42" s="37" t="inlineStr">
        <is>
          <t>Chuyển khoản</t>
        </is>
      </c>
      <c r="J42" s="29" t="n">
        <v>79200</v>
      </c>
      <c r="K42" s="29">
        <f>IF(C42="Thu",J42,0)</f>
        <v/>
      </c>
      <c r="L42" s="29">
        <f>IF(C42="Chi",J42,0)</f>
        <v/>
      </c>
      <c r="M42" s="29">
        <f>K42-L42</f>
        <v/>
      </c>
    </row>
    <row r="43" ht="15.75" customHeight="1" s="56">
      <c r="A43" s="27" t="n">
        <v>46090</v>
      </c>
      <c r="B43" s="37" t="inlineStr">
        <is>
          <t>PC-03/2026-051</t>
        </is>
      </c>
      <c r="C43" s="37" t="inlineStr">
        <is>
          <t>Chi</t>
        </is>
      </c>
      <c r="D43" s="37" t="n"/>
      <c r="E43" s="37" t="n"/>
      <c r="F43" s="37" t="inlineStr">
        <is>
          <t>Tiền dừa - Quầy nước- cà phê</t>
        </is>
      </c>
      <c r="G43" s="37" t="inlineStr">
        <is>
          <t>Phòng Kế toán</t>
        </is>
      </c>
      <c r="H43" s="37" t="inlineStr">
        <is>
          <t>Chị Thùy</t>
        </is>
      </c>
      <c r="I43" s="37" t="inlineStr">
        <is>
          <t>Chuyển khoản</t>
        </is>
      </c>
      <c r="J43" s="29" t="n">
        <v>165000</v>
      </c>
      <c r="K43" s="29">
        <f>IF(C43="Thu",J43,0)</f>
        <v/>
      </c>
      <c r="L43" s="29">
        <f>IF(C43="Chi",J43,0)</f>
        <v/>
      </c>
      <c r="M43" s="29">
        <f>K43-L43</f>
        <v/>
      </c>
    </row>
    <row r="44" ht="15.75" customHeight="1" s="56">
      <c r="A44" s="27" t="n">
        <v>46090</v>
      </c>
      <c r="B44" s="37" t="inlineStr">
        <is>
          <t>PC-03/2026-052</t>
        </is>
      </c>
      <c r="C44" s="37" t="inlineStr">
        <is>
          <t>Chi</t>
        </is>
      </c>
      <c r="D44" s="37" t="n"/>
      <c r="E44" s="37" t="n"/>
      <c r="F44" s="37" t="inlineStr">
        <is>
          <t>096/BK-2026        Nguyễn Quốc Chiến-Trần Thị Thu Hương - Chi thụ lý bản vẽ</t>
        </is>
      </c>
      <c r="G44" s="37" t="inlineStr">
        <is>
          <t>Phòng Kế toán</t>
        </is>
      </c>
      <c r="H44" s="37" t="inlineStr">
        <is>
          <t>Anh Xuân Tiền</t>
        </is>
      </c>
      <c r="I44" s="37" t="inlineStr">
        <is>
          <t>Tiền mặt</t>
        </is>
      </c>
      <c r="J44" s="29" t="n">
        <v>1500000</v>
      </c>
      <c r="K44" s="29">
        <f>IF(C44="Thu",J44,0)</f>
        <v/>
      </c>
      <c r="L44" s="29">
        <f>IF(C44="Chi",J44,0)</f>
        <v/>
      </c>
      <c r="M44" s="29">
        <f>K44-L44</f>
        <v/>
      </c>
    </row>
    <row r="45" ht="15.75" customHeight="1" s="56">
      <c r="A45" s="27" t="n">
        <v>46090</v>
      </c>
      <c r="B45" s="37" t="inlineStr">
        <is>
          <t>PC-03/2026-053</t>
        </is>
      </c>
      <c r="C45" s="37" t="inlineStr">
        <is>
          <t>Chi</t>
        </is>
      </c>
      <c r="D45" s="37" t="n"/>
      <c r="E45" s="37" t="n"/>
      <c r="F45" s="37" t="inlineStr">
        <is>
          <t>gửi bv bv Nguyễn Quốc Chiến - Chi bảo vệ</t>
        </is>
      </c>
      <c r="G45" s="37" t="inlineStr">
        <is>
          <t>Phòng Kế toán</t>
        </is>
      </c>
      <c r="H45" s="37" t="inlineStr">
        <is>
          <t>bảo vệ</t>
        </is>
      </c>
      <c r="I45" s="37" t="inlineStr">
        <is>
          <t>Tiền mặt</t>
        </is>
      </c>
      <c r="J45" s="29" t="n">
        <v>50000</v>
      </c>
      <c r="K45" s="29">
        <f>IF(C45="Thu",J45,0)</f>
        <v/>
      </c>
      <c r="L45" s="29">
        <f>IF(C45="Chi",J45,0)</f>
        <v/>
      </c>
      <c r="M45" s="29">
        <f>K45-L45</f>
        <v/>
      </c>
    </row>
    <row r="46" ht="15.75" customHeight="1" s="56">
      <c r="A46" s="27" t="n">
        <v>46090</v>
      </c>
      <c r="B46" s="37" t="inlineStr">
        <is>
          <t>PC-03/2026-054</t>
        </is>
      </c>
      <c r="C46" s="37" t="inlineStr">
        <is>
          <t>Chi</t>
        </is>
      </c>
      <c r="D46" s="37" t="n"/>
      <c r="E46" s="37" t="n"/>
      <c r="F46" s="37" t="inlineStr">
        <is>
          <t>006/BK-2026	Nguyễn Đế Hiếu - Chi thụ lý bản vẽ</t>
        </is>
      </c>
      <c r="G46" s="37" t="inlineStr">
        <is>
          <t>Phòng Kế toán</t>
        </is>
      </c>
      <c r="H46" s="37" t="inlineStr">
        <is>
          <t>GĐ chi rồi</t>
        </is>
      </c>
      <c r="I46" s="37" t="inlineStr">
        <is>
          <t>Tiền mặt</t>
        </is>
      </c>
      <c r="J46" s="29" t="n">
        <v>0</v>
      </c>
      <c r="K46" s="29">
        <f>IF(C46="Thu",J46,0)</f>
        <v/>
      </c>
      <c r="L46" s="29">
        <f>IF(C46="Chi",J46,0)</f>
        <v/>
      </c>
      <c r="M46" s="29">
        <f>K46-L46</f>
        <v/>
      </c>
    </row>
    <row r="47" ht="15.75" customHeight="1" s="56">
      <c r="A47" s="27" t="n">
        <v>46090</v>
      </c>
      <c r="B47" s="37" t="inlineStr">
        <is>
          <t>PC-03/2026-055</t>
        </is>
      </c>
      <c r="C47" s="37" t="inlineStr">
        <is>
          <t>Chi</t>
        </is>
      </c>
      <c r="D47" s="37" t="n"/>
      <c r="E47" s="37" t="n"/>
      <c r="F47" s="37" t="inlineStr">
        <is>
          <t>007/BK-2026	Nguyễn Đế Hiếu - Chi thụ lý bản vẽ</t>
        </is>
      </c>
      <c r="G47" s="37" t="inlineStr">
        <is>
          <t>Phòng Kế toán</t>
        </is>
      </c>
      <c r="H47" s="37" t="inlineStr">
        <is>
          <t>GĐ chi rồi</t>
        </is>
      </c>
      <c r="I47" s="37" t="inlineStr">
        <is>
          <t>Tiền mặt</t>
        </is>
      </c>
      <c r="J47" s="29" t="n">
        <v>0</v>
      </c>
      <c r="K47" s="29">
        <f>IF(C47="Thu",J47,0)</f>
        <v/>
      </c>
      <c r="L47" s="29">
        <f>IF(C47="Chi",J47,0)</f>
        <v/>
      </c>
      <c r="M47" s="29">
        <f>K47-L47</f>
        <v/>
      </c>
    </row>
    <row r="48" ht="15.75" customHeight="1" s="56">
      <c r="A48" s="27" t="n">
        <v>46090</v>
      </c>
      <c r="B48" s="37" t="inlineStr">
        <is>
          <t>PC-03/2026-056</t>
        </is>
      </c>
      <c r="C48" s="37" t="inlineStr">
        <is>
          <t>Chi</t>
        </is>
      </c>
      <c r="D48" s="37" t="n"/>
      <c r="E48" s="37" t="n"/>
      <c r="F48" s="37" t="inlineStr">
        <is>
          <t>052/BK-2026	Nguyễn Thị Phượng - Chi thụ lý bản vẽ</t>
        </is>
      </c>
      <c r="G48" s="37" t="inlineStr">
        <is>
          <t>Phòng Kế toán</t>
        </is>
      </c>
      <c r="H48" s="37" t="inlineStr">
        <is>
          <t>GĐ chi rồi</t>
        </is>
      </c>
      <c r="I48" s="37" t="inlineStr">
        <is>
          <t>Tiền mặt</t>
        </is>
      </c>
      <c r="J48" s="29" t="n">
        <v>0</v>
      </c>
      <c r="K48" s="29">
        <f>IF(C48="Thu",J48,0)</f>
        <v/>
      </c>
      <c r="L48" s="29">
        <f>IF(C48="Chi",J48,0)</f>
        <v/>
      </c>
      <c r="M48" s="29">
        <f>K48-L48</f>
        <v/>
      </c>
    </row>
    <row r="49" ht="15.75" customHeight="1" s="56">
      <c r="A49" s="27" t="n">
        <v>46090</v>
      </c>
      <c r="B49" s="37" t="inlineStr">
        <is>
          <t>PC-03/2026-057</t>
        </is>
      </c>
      <c r="C49" s="37" t="inlineStr">
        <is>
          <t>Chi</t>
        </is>
      </c>
      <c r="D49" s="37" t="n"/>
      <c r="E49" s="37" t="n"/>
      <c r="F49" s="37" t="inlineStr">
        <is>
          <t>Lê Minh Thạnh (189) - Lấy bản vẽ</t>
        </is>
      </c>
      <c r="G49" s="37" t="inlineStr">
        <is>
          <t>Phòng Kế toán</t>
        </is>
      </c>
      <c r="H49" s="37" t="inlineStr">
        <is>
          <t>Chi nhánh số 2</t>
        </is>
      </c>
      <c r="I49" s="37" t="inlineStr">
        <is>
          <t>Chuyển khoản</t>
        </is>
      </c>
      <c r="J49" s="29" t="n">
        <v>114631</v>
      </c>
      <c r="K49" s="29">
        <f>IF(C49="Thu",J49,0)</f>
        <v/>
      </c>
      <c r="L49" s="29">
        <f>IF(C49="Chi",J49,0)</f>
        <v/>
      </c>
      <c r="M49" s="29">
        <f>K49-L49</f>
        <v/>
      </c>
    </row>
    <row r="50" ht="15.75" customHeight="1" s="56">
      <c r="A50" s="27" t="n">
        <v>46090</v>
      </c>
      <c r="B50" s="37" t="inlineStr">
        <is>
          <t>PC-03/2026-058</t>
        </is>
      </c>
      <c r="C50" s="37" t="inlineStr">
        <is>
          <t>Chi</t>
        </is>
      </c>
      <c r="D50" s="37" t="n"/>
      <c r="E50" s="37" t="n"/>
      <c r="F50" s="37" t="inlineStr">
        <is>
          <t>Nguyễn Thị Phượng (633) - Lấy bản vẽ</t>
        </is>
      </c>
      <c r="G50" s="37" t="inlineStr">
        <is>
          <t>Phòng Kế toán</t>
        </is>
      </c>
      <c r="H50" s="37" t="inlineStr">
        <is>
          <t>Chi nhánh số 2</t>
        </is>
      </c>
      <c r="I50" s="37" t="inlineStr">
        <is>
          <t>Chuyển khoản</t>
        </is>
      </c>
      <c r="J50" s="29" t="n">
        <v>87319</v>
      </c>
      <c r="K50" s="29">
        <f>IF(C50="Thu",J50,0)</f>
        <v/>
      </c>
      <c r="L50" s="29">
        <f>IF(C50="Chi",J50,0)</f>
        <v/>
      </c>
      <c r="M50" s="29">
        <f>K50-L50</f>
        <v/>
      </c>
    </row>
    <row r="51" ht="15.75" customHeight="1" s="56">
      <c r="A51" s="27" t="n">
        <v>46090</v>
      </c>
      <c r="B51" s="37" t="inlineStr">
        <is>
          <t>PC-03/2026-059</t>
        </is>
      </c>
      <c r="C51" s="37" t="inlineStr">
        <is>
          <t>Chi</t>
        </is>
      </c>
      <c r="D51" s="37" t="n"/>
      <c r="E51" s="37" t="n"/>
      <c r="F51" s="37" t="inlineStr">
        <is>
          <t>giao bản vẽ Trịng Thị Lan Viên - Chuyển phát - Bưu chính-Grap</t>
        </is>
      </c>
      <c r="G51" s="37" t="inlineStr">
        <is>
          <t>Phòng Kế toán</t>
        </is>
      </c>
      <c r="H51" s="37" t="inlineStr">
        <is>
          <t>Chị Lan Viên</t>
        </is>
      </c>
      <c r="I51" s="37" t="inlineStr">
        <is>
          <t>Chuyển khoản</t>
        </is>
      </c>
      <c r="J51" s="29" t="n">
        <v>41000</v>
      </c>
      <c r="K51" s="29">
        <f>IF(C51="Thu",J51,0)</f>
        <v/>
      </c>
      <c r="L51" s="29">
        <f>IF(C51="Chi",J51,0)</f>
        <v/>
      </c>
      <c r="M51" s="29">
        <f>K51-L51</f>
        <v/>
      </c>
    </row>
    <row r="52" ht="15.75" customHeight="1" s="56">
      <c r="A52" s="27" t="n">
        <v>46088</v>
      </c>
      <c r="B52" s="37" t="inlineStr">
        <is>
          <t>PC-03/2026-044</t>
        </is>
      </c>
      <c r="C52" s="37" t="inlineStr">
        <is>
          <t>Chi</t>
        </is>
      </c>
      <c r="D52" s="37" t="n"/>
      <c r="E52" s="37" t="n"/>
      <c r="F52" s="37" t="inlineStr">
        <is>
          <t>nộp bản vẽ sáng 7/3 - Chi quầy tiếp nhận</t>
        </is>
      </c>
      <c r="G52" s="37" t="inlineStr">
        <is>
          <t>Phòng Kế toán</t>
        </is>
      </c>
      <c r="H52" s="37" t="inlineStr">
        <is>
          <t>Chị Vân</t>
        </is>
      </c>
      <c r="I52" s="37" t="inlineStr">
        <is>
          <t>Tiền mặt</t>
        </is>
      </c>
      <c r="J52" s="29" t="n">
        <v>100000</v>
      </c>
      <c r="K52" s="29">
        <f>IF(C52="Thu",J52,0)</f>
        <v/>
      </c>
      <c r="L52" s="29">
        <f>IF(C52="Chi",J52,0)</f>
        <v/>
      </c>
      <c r="M52" s="29">
        <f>K52-L52</f>
        <v/>
      </c>
    </row>
    <row r="53" ht="15.75" customHeight="1" s="56">
      <c r="A53" s="27" t="n">
        <v>46088</v>
      </c>
      <c r="B53" s="37" t="inlineStr">
        <is>
          <t>PC-03/2026-045</t>
        </is>
      </c>
      <c r="C53" s="37" t="inlineStr">
        <is>
          <t>Chi</t>
        </is>
      </c>
      <c r="D53" s="37" t="n"/>
      <c r="E53" s="37" t="n"/>
      <c r="F53" s="37" t="inlineStr">
        <is>
          <t>nộp hs chị Yến (Lê Xuân Hưng - Nguyễn Thị Kim Yến) có kẹp vào hs rồi - Chi quầy tiếp nhận</t>
        </is>
      </c>
      <c r="G53" s="37" t="inlineStr">
        <is>
          <t>Phòng Kế toán</t>
        </is>
      </c>
      <c r="H53" s="37" t="inlineStr">
        <is>
          <t>quầy tiếp nhận</t>
        </is>
      </c>
      <c r="I53" s="37" t="inlineStr">
        <is>
          <t>Tiền mặt</t>
        </is>
      </c>
      <c r="J53" s="29" t="n">
        <v>100000</v>
      </c>
      <c r="K53" s="29">
        <f>IF(C53="Thu",J53,0)</f>
        <v/>
      </c>
      <c r="L53" s="29">
        <f>IF(C53="Chi",J53,0)</f>
        <v/>
      </c>
      <c r="M53" s="29">
        <f>K53-L53</f>
        <v/>
      </c>
    </row>
    <row r="54" ht="15.75" customHeight="1" s="56">
      <c r="A54" s="27" t="n">
        <v>46088</v>
      </c>
      <c r="B54" s="37" t="inlineStr">
        <is>
          <t>PC-03/2026-047</t>
        </is>
      </c>
      <c r="C54" s="37" t="inlineStr">
        <is>
          <t>Chi</t>
        </is>
      </c>
      <c r="D54" s="37" t="n"/>
      <c r="E54" s="37" t="n"/>
      <c r="F54" s="37" t="inlineStr">
        <is>
          <t>tiền nước - Quầy nước- cà phê</t>
        </is>
      </c>
      <c r="G54" s="37" t="inlineStr">
        <is>
          <t>Phòng Kế toán</t>
        </is>
      </c>
      <c r="H54" s="37" t="inlineStr">
        <is>
          <t>Anh Chính (Nguyệt tạp hóa)</t>
        </is>
      </c>
      <c r="I54" s="37" t="inlineStr">
        <is>
          <t>Chuyển khoản</t>
        </is>
      </c>
      <c r="J54" s="29" t="n">
        <v>966000</v>
      </c>
      <c r="K54" s="29">
        <f>IF(C54="Thu",J54,0)</f>
        <v/>
      </c>
      <c r="L54" s="29">
        <f>IF(C54="Chi",J54,0)</f>
        <v/>
      </c>
      <c r="M54" s="29">
        <f>K54-L54</f>
        <v/>
      </c>
    </row>
    <row r="55" ht="15.75" customHeight="1" s="56">
      <c r="A55" s="27" t="n">
        <v>46088</v>
      </c>
      <c r="B55" s="37" t="inlineStr">
        <is>
          <t>PC-03/2026-048</t>
        </is>
      </c>
      <c r="C55" s="37" t="inlineStr">
        <is>
          <t>Chi</t>
        </is>
      </c>
      <c r="D55" s="37" t="n"/>
      <c r="E55" s="37" t="n"/>
      <c r="F55" s="37" t="inlineStr">
        <is>
          <t>đồ ăn trưa - Ăn uống</t>
        </is>
      </c>
      <c r="G55" s="37" t="inlineStr">
        <is>
          <t>Phòng Kế toán</t>
        </is>
      </c>
      <c r="H55" s="37" t="inlineStr">
        <is>
          <t>shipper</t>
        </is>
      </c>
      <c r="I55" s="37" t="inlineStr">
        <is>
          <t>Chuyển khoản</t>
        </is>
      </c>
      <c r="J55" s="29" t="n">
        <v>343000</v>
      </c>
      <c r="K55" s="29">
        <f>IF(C55="Thu",J55,0)</f>
        <v/>
      </c>
      <c r="L55" s="29">
        <f>IF(C55="Chi",J55,0)</f>
        <v/>
      </c>
      <c r="M55" s="29">
        <f>K55-L55</f>
        <v/>
      </c>
    </row>
    <row r="56" ht="15.75" customHeight="1" s="56">
      <c r="A56" s="27" t="n">
        <v>46087</v>
      </c>
      <c r="B56" s="37" t="inlineStr">
        <is>
          <t>PC-03/2026-038</t>
        </is>
      </c>
      <c r="C56" s="37" t="inlineStr">
        <is>
          <t>Chi</t>
        </is>
      </c>
      <c r="D56" s="37" t="n"/>
      <c r="E56" s="37" t="n"/>
      <c r="F56" s="37" t="inlineStr">
        <is>
          <t>gửi giấy tờ lên VPĐKĐĐ TP cho anh Tập - Chuyển phát - Bưu chính-Grap</t>
        </is>
      </c>
      <c r="G56" s="37" t="inlineStr">
        <is>
          <t>Phòng Kế toán</t>
        </is>
      </c>
      <c r="H56" s="37" t="inlineStr">
        <is>
          <t>Anh Tập</t>
        </is>
      </c>
      <c r="I56" s="37" t="inlineStr">
        <is>
          <t>Chuyển khoản</t>
        </is>
      </c>
      <c r="J56" s="29" t="n">
        <v>70000</v>
      </c>
      <c r="K56" s="29">
        <f>IF(C56="Thu",J56,0)</f>
        <v/>
      </c>
      <c r="L56" s="29">
        <f>IF(C56="Chi",J56,0)</f>
        <v/>
      </c>
      <c r="M56" s="29">
        <f>K56-L56</f>
        <v/>
      </c>
    </row>
    <row r="57" ht="15.75" customHeight="1" s="56">
      <c r="A57" s="27" t="n">
        <v>46087</v>
      </c>
      <c r="B57" s="37" t="inlineStr">
        <is>
          <t>PC-03/2026-039</t>
        </is>
      </c>
      <c r="C57" s="37" t="inlineStr">
        <is>
          <t>Chi</t>
        </is>
      </c>
      <c r="D57" s="37" t="n"/>
      <c r="E57" s="37" t="n"/>
      <c r="F57" s="37" t="inlineStr">
        <is>
          <t>nộp bản vẽ sáng 6/3 - Chi quầy tiếp nhận</t>
        </is>
      </c>
      <c r="G57" s="37" t="inlineStr">
        <is>
          <t>Phòng Kế toán</t>
        </is>
      </c>
      <c r="H57" s="37" t="inlineStr">
        <is>
          <t>Chị Vân</t>
        </is>
      </c>
      <c r="I57" s="37" t="inlineStr">
        <is>
          <t>Tiền mặt</t>
        </is>
      </c>
      <c r="J57" s="29" t="n">
        <v>100000</v>
      </c>
      <c r="K57" s="29">
        <f>IF(C57="Thu",J57,0)</f>
        <v/>
      </c>
      <c r="L57" s="29">
        <f>IF(C57="Chi",J57,0)</f>
        <v/>
      </c>
      <c r="M57" s="29">
        <f>K57-L57</f>
        <v/>
      </c>
    </row>
    <row r="58" ht="15.75" customHeight="1" s="56">
      <c r="A58" s="27" t="n">
        <v>46087</v>
      </c>
      <c r="B58" s="37" t="inlineStr">
        <is>
          <t>PC-03/2026-040</t>
        </is>
      </c>
      <c r="C58" s="37" t="inlineStr">
        <is>
          <t>Thu</t>
        </is>
      </c>
      <c r="D58" s="37" t="n"/>
      <c r="E58" s="37" t="n"/>
      <c r="F58" s="37" t="inlineStr">
        <is>
          <t>GIÁM ĐỐC NỘP QUỸ L2 THÁNG 3 - Bổ sung quỹ</t>
        </is>
      </c>
      <c r="G58" s="37" t="inlineStr">
        <is>
          <t>Phòng Kế toán</t>
        </is>
      </c>
      <c r="H58" s="37" t="inlineStr">
        <is>
          <t>GIÁM ĐỐC</t>
        </is>
      </c>
      <c r="I58" s="37" t="inlineStr">
        <is>
          <t>Tiền mặt</t>
        </is>
      </c>
      <c r="J58" s="29" t="n">
        <v>10000000</v>
      </c>
      <c r="K58" s="29">
        <f>IF(C58="Thu",J58,0)</f>
        <v/>
      </c>
      <c r="L58" s="29">
        <f>IF(C58="Chi",J58,0)</f>
        <v/>
      </c>
      <c r="M58" s="29">
        <f>K58-L58</f>
        <v/>
      </c>
    </row>
    <row r="59" ht="15.75" customHeight="1" s="56">
      <c r="A59" s="27" t="n">
        <v>46087</v>
      </c>
      <c r="B59" s="37" t="inlineStr">
        <is>
          <t>PC-03/2026-041</t>
        </is>
      </c>
      <c r="C59" s="37" t="inlineStr">
        <is>
          <t>Chi</t>
        </is>
      </c>
      <c r="D59" s="37" t="n"/>
      <c r="E59" s="37" t="n"/>
      <c r="F59" s="37" t="inlineStr">
        <is>
          <t>gửi giấy tờ lên VPĐKĐĐ TP cho anh Tập lần 2 - Chuyển phát - Bưu chính-Grap</t>
        </is>
      </c>
      <c r="G59" s="37" t="inlineStr">
        <is>
          <t>Phòng Kế toán</t>
        </is>
      </c>
      <c r="H59" s="37" t="inlineStr">
        <is>
          <t>Anh Tập</t>
        </is>
      </c>
      <c r="I59" s="37" t="inlineStr">
        <is>
          <t>Chuyển khoản</t>
        </is>
      </c>
      <c r="J59" s="29" t="n">
        <v>58000</v>
      </c>
      <c r="K59" s="29">
        <f>IF(C59="Thu",J59,0)</f>
        <v/>
      </c>
      <c r="L59" s="29">
        <f>IF(C59="Chi",J59,0)</f>
        <v/>
      </c>
      <c r="M59" s="29">
        <f>K59-L59</f>
        <v/>
      </c>
    </row>
    <row r="60" ht="15.75" customHeight="1" s="56">
      <c r="A60" s="27" t="n">
        <v>46087</v>
      </c>
      <c r="B60" s="37" t="inlineStr">
        <is>
          <t>PC-03/2026-042</t>
        </is>
      </c>
      <c r="C60" s="37" t="inlineStr">
        <is>
          <t>Chi</t>
        </is>
      </c>
      <c r="D60" s="37" t="n"/>
      <c r="E60" s="37" t="n"/>
      <c r="F60" s="37" t="inlineStr">
        <is>
          <t>nộp hs bản vẽ Nguyễn Khắc Thọ trên VPĐKDĐ TP - Chi quầy tiếp nhận</t>
        </is>
      </c>
      <c r="G60" s="37" t="inlineStr">
        <is>
          <t>Phòng Kế toán</t>
        </is>
      </c>
      <c r="H60" s="37" t="inlineStr">
        <is>
          <t>Anh Tập</t>
        </is>
      </c>
      <c r="I60" s="37" t="inlineStr">
        <is>
          <t>Tiền mặt</t>
        </is>
      </c>
      <c r="J60" s="29" t="n">
        <v>300000</v>
      </c>
      <c r="K60" s="29">
        <f>IF(C60="Thu",J60,0)</f>
        <v/>
      </c>
      <c r="L60" s="29">
        <f>IF(C60="Chi",J60,0)</f>
        <v/>
      </c>
      <c r="M60" s="29">
        <f>K60-L60</f>
        <v/>
      </c>
    </row>
    <row r="61" ht="15.75" customHeight="1" s="56">
      <c r="A61" s="27" t="n">
        <v>46087</v>
      </c>
      <c r="B61" s="37" t="inlineStr">
        <is>
          <t>PC-03/2026-043</t>
        </is>
      </c>
      <c r="C61" s="37" t="inlineStr">
        <is>
          <t>Chi</t>
        </is>
      </c>
      <c r="D61" s="37" t="n"/>
      <c r="E61" s="37" t="n"/>
      <c r="F61" s="37" t="inlineStr">
        <is>
          <t>gửi bản vẽ Bùi Đình Khánh - Chuyển phát - Bưu chính-Grap</t>
        </is>
      </c>
      <c r="G61" s="37" t="inlineStr">
        <is>
          <t>Phòng Kế toán</t>
        </is>
      </c>
      <c r="H61" s="37" t="inlineStr">
        <is>
          <t>Anh Khánh</t>
        </is>
      </c>
      <c r="I61" s="37" t="inlineStr">
        <is>
          <t>Chuyển khoản</t>
        </is>
      </c>
      <c r="J61" s="29" t="n">
        <v>54000</v>
      </c>
      <c r="K61" s="29">
        <f>IF(C61="Thu",J61,0)</f>
        <v/>
      </c>
      <c r="L61" s="29">
        <f>IF(C61="Chi",J61,0)</f>
        <v/>
      </c>
      <c r="M61" s="29">
        <f>K61-L61</f>
        <v/>
      </c>
    </row>
    <row r="62" ht="15.75" customHeight="1" s="56">
      <c r="A62" s="27" t="n">
        <v>46087</v>
      </c>
      <c r="B62" s="37" t="inlineStr">
        <is>
          <t>PC-03/2026-046</t>
        </is>
      </c>
      <c r="C62" s="37" t="inlineStr">
        <is>
          <t>Chi</t>
        </is>
      </c>
      <c r="D62" s="37" t="n"/>
      <c r="E62" s="37" t="n"/>
      <c r="F62" s="37" t="inlineStr">
        <is>
          <t>tiền cơm 6/3 - Ăn uống</t>
        </is>
      </c>
      <c r="G62" s="37" t="inlineStr">
        <is>
          <t>Phòng Kế toán</t>
        </is>
      </c>
      <c r="H62" s="37" t="inlineStr">
        <is>
          <t>Anh Hùng</t>
        </is>
      </c>
      <c r="I62" s="37" t="inlineStr">
        <is>
          <t>Chuyển khoản</t>
        </is>
      </c>
      <c r="J62" s="29" t="n">
        <v>1300000</v>
      </c>
      <c r="K62" s="29">
        <f>IF(C62="Thu",J62,0)</f>
        <v/>
      </c>
      <c r="L62" s="29">
        <f>IF(C62="Chi",J62,0)</f>
        <v/>
      </c>
      <c r="M62" s="29">
        <f>K62-L62</f>
        <v/>
      </c>
    </row>
    <row r="63" ht="15.75" customHeight="1" s="56">
      <c r="A63" s="27" t="n">
        <v>46086</v>
      </c>
      <c r="B63" s="37" t="inlineStr">
        <is>
          <t>PC-03/2026-030</t>
        </is>
      </c>
      <c r="C63" s="37" t="inlineStr">
        <is>
          <t>Chi</t>
        </is>
      </c>
      <c r="D63" s="37" t="n"/>
      <c r="E63" s="37" t="n"/>
      <c r="F63" s="37" t="inlineStr">
        <is>
          <t>cắm mốc hồ sơ Phạm Thị Giao Linh - Công tác phí</t>
        </is>
      </c>
      <c r="G63" s="37" t="inlineStr">
        <is>
          <t>Phòng Kế toán</t>
        </is>
      </c>
      <c r="H63" s="37" t="inlineStr">
        <is>
          <t>Anh Dựng</t>
        </is>
      </c>
      <c r="I63" s="37" t="inlineStr">
        <is>
          <t>Chuyển khoản</t>
        </is>
      </c>
      <c r="J63" s="29" t="n">
        <v>275000</v>
      </c>
      <c r="K63" s="29">
        <f>IF(C63="Thu",J63,0)</f>
        <v/>
      </c>
      <c r="L63" s="29">
        <f>IF(C63="Chi",J63,0)</f>
        <v/>
      </c>
      <c r="M63" s="29">
        <f>K63-L63</f>
        <v/>
      </c>
    </row>
    <row r="64" ht="15.75" customHeight="1" s="56">
      <c r="A64" s="27" t="n">
        <v>46086</v>
      </c>
      <c r="B64" s="37" t="inlineStr">
        <is>
          <t>PC-03/2026-031</t>
        </is>
      </c>
      <c r="C64" s="37" t="inlineStr">
        <is>
          <t>Chi</t>
        </is>
      </c>
      <c r="D64" s="37" t="n"/>
      <c r="E64" s="37" t="n"/>
      <c r="F64" s="37" t="inlineStr">
        <is>
          <t>nộp bản vẽ sáng 5/3 - Chi quầy tiếp nhận</t>
        </is>
      </c>
      <c r="G64" s="37" t="inlineStr">
        <is>
          <t>Phòng Kế toán</t>
        </is>
      </c>
      <c r="H64" s="37" t="inlineStr">
        <is>
          <t>Chị Vân</t>
        </is>
      </c>
      <c r="I64" s="37" t="inlineStr">
        <is>
          <t>Tiền mặt</t>
        </is>
      </c>
      <c r="J64" s="29" t="n">
        <v>100000</v>
      </c>
      <c r="K64" s="29">
        <f>IF(C64="Thu",J64,0)</f>
        <v/>
      </c>
      <c r="L64" s="29">
        <f>IF(C64="Chi",J64,0)</f>
        <v/>
      </c>
      <c r="M64" s="29">
        <f>K64-L64</f>
        <v/>
      </c>
    </row>
    <row r="65" ht="15.75" customHeight="1" s="56">
      <c r="A65" s="27" t="n">
        <v>46086</v>
      </c>
      <c r="B65" s="37" t="inlineStr">
        <is>
          <t>PC-03/2026-032</t>
        </is>
      </c>
      <c r="C65" s="37" t="inlineStr">
        <is>
          <t>Chi</t>
        </is>
      </c>
      <c r="D65" s="37" t="n"/>
      <c r="E65" s="37" t="n"/>
      <c r="F65" s="37" t="inlineStr">
        <is>
          <t>giao hồ sơ cho anh Hòa - Chuyển phát - Bưu chính-Grap</t>
        </is>
      </c>
      <c r="G65" s="37" t="inlineStr">
        <is>
          <t>Phòng Kế toán</t>
        </is>
      </c>
      <c r="H65" s="37" t="inlineStr">
        <is>
          <t>Anh Hoà</t>
        </is>
      </c>
      <c r="I65" s="37" t="inlineStr">
        <is>
          <t>Chuyển khoản</t>
        </is>
      </c>
      <c r="J65" s="29" t="n">
        <v>95000</v>
      </c>
      <c r="K65" s="29">
        <f>IF(C65="Thu",J65,0)</f>
        <v/>
      </c>
      <c r="L65" s="29">
        <f>IF(C65="Chi",J65,0)</f>
        <v/>
      </c>
      <c r="M65" s="29">
        <f>K65-L65</f>
        <v/>
      </c>
    </row>
    <row r="66" ht="15.75" customHeight="1" s="56">
      <c r="A66" s="27" t="n">
        <v>46086</v>
      </c>
      <c r="B66" s="37" t="inlineStr">
        <is>
          <t>PC-03/2026-033</t>
        </is>
      </c>
      <c r="C66" s="37" t="inlineStr">
        <is>
          <t>Chi</t>
        </is>
      </c>
      <c r="D66" s="37" t="n"/>
      <c r="E66" s="37" t="n"/>
      <c r="F66" s="37" t="inlineStr">
        <is>
          <t>giao bản vẽ cho chị Trương Quế Phương - Chuyển phát - Bưu chính-Grap</t>
        </is>
      </c>
      <c r="G66" s="37" t="inlineStr">
        <is>
          <t>Phòng Kế toán</t>
        </is>
      </c>
      <c r="H66" s="37" t="inlineStr">
        <is>
          <t>Chị Phương</t>
        </is>
      </c>
      <c r="I66" s="37" t="inlineStr">
        <is>
          <t>Chuyển khoản</t>
        </is>
      </c>
      <c r="J66" s="29" t="n">
        <v>60000</v>
      </c>
      <c r="K66" s="29">
        <f>IF(C66="Thu",J66,0)</f>
        <v/>
      </c>
      <c r="L66" s="29">
        <f>IF(C66="Chi",J66,0)</f>
        <v/>
      </c>
      <c r="M66" s="29">
        <f>K66-L66</f>
        <v/>
      </c>
    </row>
    <row r="67" ht="15.75" customHeight="1" s="56">
      <c r="A67" s="27" t="n">
        <v>46086</v>
      </c>
      <c r="B67" s="37" t="inlineStr">
        <is>
          <t>PC-03/2026-034</t>
        </is>
      </c>
      <c r="C67" s="37" t="inlineStr">
        <is>
          <t>Chi</t>
        </is>
      </c>
      <c r="D67" s="37" t="n"/>
      <c r="E67" s="37" t="n"/>
      <c r="F67" s="37" t="inlineStr">
        <is>
          <t>ly nhựa - Quầy nước- cà phê</t>
        </is>
      </c>
      <c r="G67" s="37" t="inlineStr">
        <is>
          <t>Phòng Kế toán</t>
        </is>
      </c>
      <c r="H67" s="37" t="inlineStr">
        <is>
          <t>shipper</t>
        </is>
      </c>
      <c r="I67" s="37" t="inlineStr">
        <is>
          <t>Chuyển khoản</t>
        </is>
      </c>
      <c r="J67" s="29" t="n">
        <v>184000</v>
      </c>
      <c r="K67" s="29">
        <f>IF(C67="Thu",J67,0)</f>
        <v/>
      </c>
      <c r="L67" s="29">
        <f>IF(C67="Chi",J67,0)</f>
        <v/>
      </c>
      <c r="M67" s="29">
        <f>K67-L67</f>
        <v/>
      </c>
    </row>
    <row r="68" ht="15.75" customHeight="1" s="56">
      <c r="A68" s="27" t="n">
        <v>46086</v>
      </c>
      <c r="B68" s="37" t="inlineStr">
        <is>
          <t>PC-03/2026-035</t>
        </is>
      </c>
      <c r="C68" s="37" t="inlineStr">
        <is>
          <t>Chi</t>
        </is>
      </c>
      <c r="D68" s="37" t="n"/>
      <c r="E68" s="37" t="n"/>
      <c r="F68" s="37" t="inlineStr">
        <is>
          <t>nộp bản vẽ chiều 5/3 - Chi quầy tiếp nhận</t>
        </is>
      </c>
      <c r="G68" s="37" t="inlineStr">
        <is>
          <t>Phòng Kế toán</t>
        </is>
      </c>
      <c r="H68" s="37" t="inlineStr">
        <is>
          <t>Chị Vân</t>
        </is>
      </c>
      <c r="I68" s="37" t="inlineStr">
        <is>
          <t>Tiền mặt</t>
        </is>
      </c>
      <c r="J68" s="29" t="n">
        <v>100000</v>
      </c>
      <c r="K68" s="29">
        <f>IF(C68="Thu",J68,0)</f>
        <v/>
      </c>
      <c r="L68" s="29">
        <f>IF(C68="Chi",J68,0)</f>
        <v/>
      </c>
      <c r="M68" s="29">
        <f>K68-L68</f>
        <v/>
      </c>
    </row>
    <row r="69" ht="15.75" customHeight="1" s="56">
      <c r="A69" s="27" t="n">
        <v>46086</v>
      </c>
      <c r="B69" s="37" t="inlineStr">
        <is>
          <t>PC-03/2026-036</t>
        </is>
      </c>
      <c r="C69" s="37" t="inlineStr">
        <is>
          <t>Chi</t>
        </is>
      </c>
      <c r="D69" s="37" t="n"/>
      <c r="E69" s="37" t="n"/>
      <c r="F69" s="37" t="inlineStr">
        <is>
          <t>078/BK-2026	Lê Minh Thạnh - Chi thụ lý bản vẽ</t>
        </is>
      </c>
      <c r="G69" s="37" t="inlineStr">
        <is>
          <t>Phòng Kế toán</t>
        </is>
      </c>
      <c r="H69" s="37" t="inlineStr">
        <is>
          <t>Anh Đình Cường</t>
        </is>
      </c>
      <c r="I69" s="37" t="inlineStr">
        <is>
          <t>Tiền mặt</t>
        </is>
      </c>
      <c r="J69" s="29" t="n">
        <v>1500000</v>
      </c>
      <c r="K69" s="29">
        <f>IF(C69="Thu",J69,0)</f>
        <v/>
      </c>
      <c r="L69" s="29">
        <f>IF(C69="Chi",J69,0)</f>
        <v/>
      </c>
      <c r="M69" s="29">
        <f>K69-L69</f>
        <v/>
      </c>
    </row>
    <row r="70" ht="15.75" customHeight="1" s="56">
      <c r="A70" s="27" t="n">
        <v>46086</v>
      </c>
      <c r="B70" s="37" t="inlineStr">
        <is>
          <t>PC-03/2026-037</t>
        </is>
      </c>
      <c r="C70" s="37" t="inlineStr">
        <is>
          <t>Chi</t>
        </is>
      </c>
      <c r="D70" s="37" t="n"/>
      <c r="E70" s="37" t="n"/>
      <c r="F70" s="37" t="inlineStr">
        <is>
          <t>gửi bv bv Lê Minh Thạnh - Chi bảo vệ</t>
        </is>
      </c>
      <c r="G70" s="37" t="inlineStr">
        <is>
          <t>Phòng Kế toán</t>
        </is>
      </c>
      <c r="H70" s="37" t="inlineStr">
        <is>
          <t>bảo vệ</t>
        </is>
      </c>
      <c r="I70" s="37" t="inlineStr">
        <is>
          <t>Tiền mặt</t>
        </is>
      </c>
      <c r="J70" s="29" t="n">
        <v>50000</v>
      </c>
      <c r="K70" s="29">
        <f>IF(C70="Thu",J70,0)</f>
        <v/>
      </c>
      <c r="L70" s="29">
        <f>IF(C70="Chi",J70,0)</f>
        <v/>
      </c>
      <c r="M70" s="29">
        <f>K70-L70</f>
        <v/>
      </c>
    </row>
    <row r="71" ht="15.75" customHeight="1" s="56">
      <c r="A71" s="27" t="n">
        <v>46085</v>
      </c>
      <c r="B71" s="37" t="inlineStr">
        <is>
          <t>PC-03/2026-023</t>
        </is>
      </c>
      <c r="C71" s="37" t="inlineStr">
        <is>
          <t>Chi</t>
        </is>
      </c>
      <c r="D71" s="37" t="n"/>
      <c r="E71" s="37" t="n"/>
      <c r="F71" s="37" t="inlineStr">
        <is>
          <t>nộp tờ giấy đóng tiền phạt Đặng Văn Hòa - Chi quầy tiếp nhận</t>
        </is>
      </c>
      <c r="G71" s="37" t="inlineStr">
        <is>
          <t>Phòng Kế toán</t>
        </is>
      </c>
      <c r="H71" s="37" t="inlineStr">
        <is>
          <t>quầy tiếp nhận</t>
        </is>
      </c>
      <c r="I71" s="37" t="inlineStr">
        <is>
          <t>Tiền mặt</t>
        </is>
      </c>
      <c r="J71" s="29" t="n">
        <v>100000</v>
      </c>
      <c r="K71" s="29">
        <f>IF(C71="Thu",J71,0)</f>
        <v/>
      </c>
      <c r="L71" s="29">
        <f>IF(C71="Chi",J71,0)</f>
        <v/>
      </c>
      <c r="M71" s="29">
        <f>K71-L71</f>
        <v/>
      </c>
    </row>
    <row r="72" ht="15.75" customHeight="1" s="56">
      <c r="A72" s="27" t="n">
        <v>46085</v>
      </c>
      <c r="B72" s="37" t="inlineStr">
        <is>
          <t>PC-03/2026-024</t>
        </is>
      </c>
      <c r="C72" s="37" t="inlineStr">
        <is>
          <t>Chi</t>
        </is>
      </c>
      <c r="D72" s="37" t="n"/>
      <c r="E72" s="37" t="n"/>
      <c r="F72" s="37" t="inlineStr">
        <is>
          <t>gửi sổ Trần Thị Ngọc Dung với GUQ qua Cô Hoa - Chuyển phát - Bưu chính-Grap</t>
        </is>
      </c>
      <c r="G72" s="37" t="inlineStr">
        <is>
          <t>Phòng Kế toán</t>
        </is>
      </c>
      <c r="H72" s="37" t="inlineStr">
        <is>
          <t>Cô Hoa</t>
        </is>
      </c>
      <c r="I72" s="37" t="inlineStr">
        <is>
          <t>Chuyển khoản</t>
        </is>
      </c>
      <c r="J72" s="29" t="n">
        <v>75000</v>
      </c>
      <c r="K72" s="29">
        <f>IF(C72="Thu",J72,0)</f>
        <v/>
      </c>
      <c r="L72" s="29">
        <f>IF(C72="Chi",J72,0)</f>
        <v/>
      </c>
      <c r="M72" s="29">
        <f>K72-L72</f>
        <v/>
      </c>
    </row>
    <row r="73" ht="15.75" customHeight="1" s="56">
      <c r="A73" s="27" t="n">
        <v>46085</v>
      </c>
      <c r="B73" s="37" t="inlineStr">
        <is>
          <t>PC-03/2026-025</t>
        </is>
      </c>
      <c r="C73" s="37" t="inlineStr">
        <is>
          <t>Chi</t>
        </is>
      </c>
      <c r="D73" s="37" t="n"/>
      <c r="E73" s="37" t="n"/>
      <c r="F73" s="37" t="inlineStr">
        <is>
          <t>nộp bản vẽ chiều 4/3 - Chi quầy tiếp nhận</t>
        </is>
      </c>
      <c r="G73" s="37" t="inlineStr">
        <is>
          <t>Phòng Kế toán</t>
        </is>
      </c>
      <c r="H73" s="37" t="inlineStr">
        <is>
          <t>Chị Vân</t>
        </is>
      </c>
      <c r="I73" s="37" t="inlineStr">
        <is>
          <t>Tiền mặt</t>
        </is>
      </c>
      <c r="J73" s="29" t="n">
        <v>100000</v>
      </c>
      <c r="K73" s="29">
        <f>IF(C73="Thu",J73,0)</f>
        <v/>
      </c>
      <c r="L73" s="29">
        <f>IF(C73="Chi",J73,0)</f>
        <v/>
      </c>
      <c r="M73" s="29">
        <f>K73-L73</f>
        <v/>
      </c>
    </row>
    <row r="74" ht="15.75" customHeight="1" s="56">
      <c r="A74" s="27" t="n">
        <v>46085</v>
      </c>
      <c r="B74" s="37" t="inlineStr">
        <is>
          <t>PC-03/2026-026</t>
        </is>
      </c>
      <c r="C74" s="37" t="inlineStr">
        <is>
          <t>Chi</t>
        </is>
      </c>
      <c r="D74" s="37" t="n"/>
      <c r="E74" s="37" t="n"/>
      <c r="F74" s="37" t="inlineStr">
        <is>
          <t>lấy sổ Đặng Văn Hòa - Chi quầy tiếp nhận</t>
        </is>
      </c>
      <c r="G74" s="37" t="inlineStr">
        <is>
          <t>Phòng Kế toán</t>
        </is>
      </c>
      <c r="H74" s="37" t="inlineStr">
        <is>
          <t>quầy tiếp nhận</t>
        </is>
      </c>
      <c r="I74" s="37" t="inlineStr">
        <is>
          <t>Tiền mặt</t>
        </is>
      </c>
      <c r="J74" s="29" t="n">
        <v>100000</v>
      </c>
      <c r="K74" s="29">
        <f>IF(C74="Thu",J74,0)</f>
        <v/>
      </c>
      <c r="L74" s="29">
        <f>IF(C74="Chi",J74,0)</f>
        <v/>
      </c>
      <c r="M74" s="29">
        <f>K74-L74</f>
        <v/>
      </c>
    </row>
    <row r="75" ht="15.75" customHeight="1" s="56">
      <c r="A75" s="27" t="n">
        <v>46085</v>
      </c>
      <c r="B75" s="37" t="inlineStr">
        <is>
          <t>PC-03/2026-027</t>
        </is>
      </c>
      <c r="C75" s="37" t="inlineStr">
        <is>
          <t>Chi</t>
        </is>
      </c>
      <c r="D75" s="37" t="n"/>
      <c r="E75" s="37" t="n"/>
      <c r="F75" s="37" t="inlineStr">
        <is>
          <t>phí lấy sổ Đặng Văn Hòa - Lấy sổ</t>
        </is>
      </c>
      <c r="G75" s="37" t="inlineStr">
        <is>
          <t>Phòng Kế toán</t>
        </is>
      </c>
      <c r="H75" s="37" t="inlineStr">
        <is>
          <t>Chi nhánh số 2</t>
        </is>
      </c>
      <c r="I75" s="37" t="inlineStr">
        <is>
          <t>Chuyển khoản</t>
        </is>
      </c>
      <c r="J75" s="29" t="n">
        <v>1723000</v>
      </c>
      <c r="K75" s="29">
        <f>IF(C75="Thu",J75,0)</f>
        <v/>
      </c>
      <c r="L75" s="29">
        <f>IF(C75="Chi",J75,0)</f>
        <v/>
      </c>
      <c r="M75" s="29">
        <f>K75-L75</f>
        <v/>
      </c>
    </row>
    <row r="76" ht="15.75" customHeight="1" s="56">
      <c r="A76" s="27" t="n">
        <v>46085</v>
      </c>
      <c r="B76" s="37" t="inlineStr">
        <is>
          <t>PC-03/2026-028</t>
        </is>
      </c>
      <c r="C76" s="37" t="inlineStr">
        <is>
          <t>Chi</t>
        </is>
      </c>
      <c r="D76" s="37" t="n"/>
      <c r="E76" s="37" t="n"/>
      <c r="F76" s="37" t="inlineStr">
        <is>
          <t>Bình bơm đường - Quầy nước- cà phê</t>
        </is>
      </c>
      <c r="G76" s="37" t="inlineStr">
        <is>
          <t>Phòng Kế toán</t>
        </is>
      </c>
      <c r="H76" s="37" t="inlineStr">
        <is>
          <t>shipper</t>
        </is>
      </c>
      <c r="I76" s="37" t="inlineStr">
        <is>
          <t>Chuyển khoản</t>
        </is>
      </c>
      <c r="J76" s="29" t="n">
        <v>49000</v>
      </c>
      <c r="K76" s="29">
        <f>IF(C76="Thu",J76,0)</f>
        <v/>
      </c>
      <c r="L76" s="29">
        <f>IF(C76="Chi",J76,0)</f>
        <v/>
      </c>
      <c r="M76" s="29">
        <f>K76-L76</f>
        <v/>
      </c>
    </row>
    <row r="77" ht="15.75" customHeight="1" s="56">
      <c r="A77" s="27" t="n">
        <v>46085</v>
      </c>
      <c r="B77" s="37" t="inlineStr">
        <is>
          <t>PC-03/2026-029</t>
        </is>
      </c>
      <c r="C77" s="37" t="inlineStr">
        <is>
          <t>Chi</t>
        </is>
      </c>
      <c r="D77" s="37" t="n"/>
      <c r="E77" s="37" t="n"/>
      <c r="F77" s="37" t="inlineStr">
        <is>
          <t>gửi chị Ngọc hồ sơ Trịnh Nguyên Như Hiếu - Đóng thuế</t>
        </is>
      </c>
      <c r="G77" s="37" t="inlineStr">
        <is>
          <t>Phòng Kế toán</t>
        </is>
      </c>
      <c r="H77" s="37" t="inlineStr">
        <is>
          <t>Chị Ngọc bên thuế</t>
        </is>
      </c>
      <c r="I77" s="37" t="inlineStr">
        <is>
          <t>Tiền mặt</t>
        </is>
      </c>
      <c r="J77" s="29" t="n">
        <v>2000000</v>
      </c>
      <c r="K77" s="29">
        <f>IF(C77="Thu",J77,0)</f>
        <v/>
      </c>
      <c r="L77" s="29">
        <f>IF(C77="Chi",J77,0)</f>
        <v/>
      </c>
      <c r="M77" s="29">
        <f>K77-L77</f>
        <v/>
      </c>
    </row>
    <row r="78" ht="15.75" customHeight="1" s="56">
      <c r="A78" s="27" t="n">
        <v>46084</v>
      </c>
      <c r="B78" s="37" t="inlineStr">
        <is>
          <t>PC-03/2026-009</t>
        </is>
      </c>
      <c r="C78" s="37" t="inlineStr">
        <is>
          <t>Chi</t>
        </is>
      </c>
      <c r="D78" s="37" t="n"/>
      <c r="E78" s="37" t="n"/>
      <c r="F78" s="37" t="inlineStr">
        <is>
          <t>209/BK-2025	La Thị Thanh Duyên - Chi thụ lý bản vẽ</t>
        </is>
      </c>
      <c r="G78" s="37" t="inlineStr">
        <is>
          <t>Phòng Kế toán</t>
        </is>
      </c>
      <c r="H78" s="37" t="inlineStr">
        <is>
          <t>Anh Đình Cường</t>
        </is>
      </c>
      <c r="I78" s="37" t="inlineStr">
        <is>
          <t>Tiền mặt</t>
        </is>
      </c>
      <c r="J78" s="29" t="n">
        <v>1500000</v>
      </c>
      <c r="K78" s="29">
        <f>IF(C78="Thu",J78,0)</f>
        <v/>
      </c>
      <c r="L78" s="29">
        <f>IF(C78="Chi",J78,0)</f>
        <v/>
      </c>
      <c r="M78" s="29">
        <f>K78-L78</f>
        <v/>
      </c>
    </row>
    <row r="79" ht="15.75" customHeight="1" s="56">
      <c r="A79" s="27" t="n">
        <v>46084</v>
      </c>
      <c r="B79" s="37" t="inlineStr">
        <is>
          <t>PC-03/2026-010</t>
        </is>
      </c>
      <c r="C79" s="37" t="inlineStr">
        <is>
          <t>Chi</t>
        </is>
      </c>
      <c r="D79" s="37" t="n"/>
      <c r="E79" s="37" t="n"/>
      <c r="F79" s="37" t="inlineStr">
        <is>
          <t>gửi bv bv La Thị Thanh Duyên - Chi bảo vệ</t>
        </is>
      </c>
      <c r="G79" s="37" t="inlineStr">
        <is>
          <t>Phòng Kế toán</t>
        </is>
      </c>
      <c r="H79" s="37" t="inlineStr">
        <is>
          <t>bảo vệ</t>
        </is>
      </c>
      <c r="I79" s="37" t="inlineStr">
        <is>
          <t>Tiền mặt</t>
        </is>
      </c>
      <c r="J79" s="29" t="n">
        <v>50000</v>
      </c>
      <c r="K79" s="29">
        <f>IF(C79="Thu",J79,0)</f>
        <v/>
      </c>
      <c r="L79" s="29">
        <f>IF(C79="Chi",J79,0)</f>
        <v/>
      </c>
      <c r="M79" s="29">
        <f>K79-L79</f>
        <v/>
      </c>
    </row>
    <row r="80" ht="15.75" customHeight="1" s="56">
      <c r="A80" s="27" t="n">
        <v>46084</v>
      </c>
      <c r="B80" s="37" t="inlineStr">
        <is>
          <t>PC-03/2026-011</t>
        </is>
      </c>
      <c r="C80" s="37" t="inlineStr">
        <is>
          <t>Chi</t>
        </is>
      </c>
      <c r="D80" s="37" t="n"/>
      <c r="E80" s="37" t="n"/>
      <c r="F80" s="37" t="inlineStr">
        <is>
          <t>phí lấy sổ Nguyễn Thị Trúc Thanh - Hoàng Phi Hải - Lấy sổ</t>
        </is>
      </c>
      <c r="G80" s="37" t="inlineStr">
        <is>
          <t>Phòng Kế toán</t>
        </is>
      </c>
      <c r="H80" s="37" t="inlineStr">
        <is>
          <t>Chi nhánh số 2</t>
        </is>
      </c>
      <c r="I80" s="37" t="inlineStr">
        <is>
          <t>Chuyển khoản</t>
        </is>
      </c>
      <c r="J80" s="29" t="n">
        <v>1574000</v>
      </c>
      <c r="K80" s="29">
        <f>IF(C80="Thu",J80,0)</f>
        <v/>
      </c>
      <c r="L80" s="29">
        <f>IF(C80="Chi",J80,0)</f>
        <v/>
      </c>
      <c r="M80" s="29">
        <f>K80-L80</f>
        <v/>
      </c>
    </row>
    <row r="81" ht="15.75" customHeight="1" s="56">
      <c r="A81" s="27" t="n">
        <v>46084</v>
      </c>
      <c r="B81" s="37" t="inlineStr">
        <is>
          <t>PC-03/2026-012</t>
        </is>
      </c>
      <c r="C81" s="37" t="inlineStr">
        <is>
          <t>Chi</t>
        </is>
      </c>
      <c r="D81" s="37" t="n"/>
      <c r="E81" s="37" t="n"/>
      <c r="F81" s="37" t="inlineStr">
        <is>
          <t>lấy sổ Nguyễn Thị Trúc Thanh - Hoàng Phi Hải - Chi quầy tiếp nhận</t>
        </is>
      </c>
      <c r="G81" s="37" t="inlineStr">
        <is>
          <t>Phòng Kế toán</t>
        </is>
      </c>
      <c r="H81" s="37" t="inlineStr">
        <is>
          <t>quầy tiếp nhận</t>
        </is>
      </c>
      <c r="I81" s="37" t="inlineStr">
        <is>
          <t>Tiền mặt</t>
        </is>
      </c>
      <c r="J81" s="29" t="n">
        <v>100000</v>
      </c>
      <c r="K81" s="29">
        <f>IF(C81="Thu",J81,0)</f>
        <v/>
      </c>
      <c r="L81" s="29">
        <f>IF(C81="Chi",J81,0)</f>
        <v/>
      </c>
      <c r="M81" s="29">
        <f>K81-L81</f>
        <v/>
      </c>
    </row>
    <row r="82" ht="15.75" customHeight="1" s="56">
      <c r="A82" s="27" t="n">
        <v>46084</v>
      </c>
      <c r="B82" s="37" t="inlineStr">
        <is>
          <t>PC-03/2026-013</t>
        </is>
      </c>
      <c r="C82" s="37" t="inlineStr">
        <is>
          <t>Chi</t>
        </is>
      </c>
      <c r="D82" s="37" t="n"/>
      <c r="E82" s="37" t="n"/>
      <c r="F82" s="37" t="inlineStr">
        <is>
          <t>tiền rác - Vệ sinh - Rác thải</t>
        </is>
      </c>
      <c r="G82" s="37" t="inlineStr">
        <is>
          <t>Phòng Kế toán</t>
        </is>
      </c>
      <c r="H82" s="37" t="inlineStr">
        <is>
          <t>VSMT Cường Nguyễn</t>
        </is>
      </c>
      <c r="I82" s="37" t="inlineStr">
        <is>
          <t>Tiền mặt</t>
        </is>
      </c>
      <c r="J82" s="29" t="n">
        <v>250000</v>
      </c>
      <c r="K82" s="29">
        <f>IF(C82="Thu",J82,0)</f>
        <v/>
      </c>
      <c r="L82" s="29">
        <f>IF(C82="Chi",J82,0)</f>
        <v/>
      </c>
      <c r="M82" s="29">
        <f>K82-L82</f>
        <v/>
      </c>
    </row>
    <row r="83" ht="15.75" customHeight="1" s="56">
      <c r="A83" s="27" t="n">
        <v>46084</v>
      </c>
      <c r="B83" s="37" t="inlineStr">
        <is>
          <t>PC-03/2026-014</t>
        </is>
      </c>
      <c r="C83" s="37" t="inlineStr">
        <is>
          <t>Chi</t>
        </is>
      </c>
      <c r="D83" s="37" t="n"/>
      <c r="E83" s="37" t="n"/>
      <c r="F83" s="37" t="inlineStr">
        <is>
          <t>qua quầy tiếp nhận lấy quyết định xử phạt Đặng Văn Hòa - Đặng Thị Kim Thiện - Chi quầy tiếp nhận</t>
        </is>
      </c>
      <c r="G83" s="37" t="inlineStr">
        <is>
          <t>Phòng Kế toán</t>
        </is>
      </c>
      <c r="H83" s="37" t="inlineStr">
        <is>
          <t>quầy tiếp nhận</t>
        </is>
      </c>
      <c r="I83" s="37" t="inlineStr">
        <is>
          <t>Tiền mặt</t>
        </is>
      </c>
      <c r="J83" s="29" t="n">
        <v>100000</v>
      </c>
      <c r="K83" s="29">
        <f>IF(C83="Thu",J83,0)</f>
        <v/>
      </c>
      <c r="L83" s="29">
        <f>IF(C83="Chi",J83,0)</f>
        <v/>
      </c>
      <c r="M83" s="29">
        <f>K83-L83</f>
        <v/>
      </c>
    </row>
    <row r="84" ht="15.75" customHeight="1" s="56">
      <c r="A84" s="27" t="n">
        <v>46084</v>
      </c>
      <c r="B84" s="37" t="inlineStr">
        <is>
          <t>PC-03/2026-015</t>
        </is>
      </c>
      <c r="C84" s="37" t="inlineStr">
        <is>
          <t>Chi</t>
        </is>
      </c>
      <c r="D84" s="37" t="n"/>
      <c r="E84" s="37" t="n"/>
      <c r="F84" s="37" t="inlineStr">
        <is>
          <t>nộp bản vẽ chiều 3/3 - Chi quầy tiếp nhận</t>
        </is>
      </c>
      <c r="G84" s="37" t="inlineStr">
        <is>
          <t>Phòng Kế toán</t>
        </is>
      </c>
      <c r="H84" s="37" t="inlineStr">
        <is>
          <t>Chị Vân</t>
        </is>
      </c>
      <c r="I84" s="37" t="inlineStr">
        <is>
          <t>Tiền mặt</t>
        </is>
      </c>
      <c r="J84" s="29" t="n">
        <v>100000</v>
      </c>
      <c r="K84" s="29">
        <f>IF(C84="Thu",J84,0)</f>
        <v/>
      </c>
      <c r="L84" s="29">
        <f>IF(C84="Chi",J84,0)</f>
        <v/>
      </c>
      <c r="M84" s="29">
        <f>K84-L84</f>
        <v/>
      </c>
    </row>
    <row r="85" ht="15.75" customHeight="1" s="56">
      <c r="A85" s="27" t="n">
        <v>46084</v>
      </c>
      <c r="B85" s="37" t="inlineStr">
        <is>
          <t>PC-03/2026-016</t>
        </is>
      </c>
      <c r="C85" s="37" t="inlineStr">
        <is>
          <t>Chi</t>
        </is>
      </c>
      <c r="D85" s="37" t="n"/>
      <c r="E85" s="37" t="n"/>
      <c r="F85" s="37" t="inlineStr">
        <is>
          <t>gửi grab cho anh Thanh bảng khối lượng - Chuyển phát - Bưu chính-Grap</t>
        </is>
      </c>
      <c r="G85" s="37" t="inlineStr">
        <is>
          <t>Phòng Kế toán</t>
        </is>
      </c>
      <c r="H85" s="37" t="inlineStr">
        <is>
          <t>Anh Thanh</t>
        </is>
      </c>
      <c r="I85" s="37" t="inlineStr">
        <is>
          <t>Chuyển khoản</t>
        </is>
      </c>
      <c r="J85" s="29" t="n">
        <v>80000</v>
      </c>
      <c r="K85" s="29">
        <f>IF(C85="Thu",J85,0)</f>
        <v/>
      </c>
      <c r="L85" s="29">
        <f>IF(C85="Chi",J85,0)</f>
        <v/>
      </c>
      <c r="M85" s="29">
        <f>K85-L85</f>
        <v/>
      </c>
    </row>
    <row r="86" ht="15.75" customHeight="1" s="56">
      <c r="A86" s="27" t="n">
        <v>46084</v>
      </c>
      <c r="B86" s="37" t="inlineStr">
        <is>
          <t>PC-03/2026-017</t>
        </is>
      </c>
      <c r="C86" s="37" t="inlineStr">
        <is>
          <t>Chi</t>
        </is>
      </c>
      <c r="D86" s="37" t="n"/>
      <c r="E86" s="37" t="n"/>
      <c r="F86" s="37" t="inlineStr">
        <is>
          <t>670/DC-2026 Hồ Trọng Dũng - Chi thụ lý bản vẽ</t>
        </is>
      </c>
      <c r="G86" s="37" t="inlineStr">
        <is>
          <t>Phòng Kế toán</t>
        </is>
      </c>
      <c r="H86" s="37" t="inlineStr">
        <is>
          <t>Anh Xuất</t>
        </is>
      </c>
      <c r="I86" s="37" t="inlineStr">
        <is>
          <t>Tiền mặt</t>
        </is>
      </c>
      <c r="J86" s="29" t="n">
        <v>1000000</v>
      </c>
      <c r="K86" s="29">
        <f>IF(C86="Thu",J86,0)</f>
        <v/>
      </c>
      <c r="L86" s="29">
        <f>IF(C86="Chi",J86,0)</f>
        <v/>
      </c>
      <c r="M86" s="29">
        <f>K86-L86</f>
        <v/>
      </c>
    </row>
    <row r="87" ht="15.75" customHeight="1" s="56">
      <c r="A87" s="27" t="n">
        <v>46084</v>
      </c>
      <c r="B87" s="37" t="inlineStr">
        <is>
          <t>PC-03/2026-018</t>
        </is>
      </c>
      <c r="C87" s="37" t="inlineStr">
        <is>
          <t>Chi</t>
        </is>
      </c>
      <c r="D87" s="37" t="n"/>
      <c r="E87" s="37" t="n"/>
      <c r="F87" s="37" t="inlineStr">
        <is>
          <t>gửi bv bv Hồ Trọng Dũng - Chi bảo vệ</t>
        </is>
      </c>
      <c r="G87" s="37" t="inlineStr">
        <is>
          <t>Phòng Kế toán</t>
        </is>
      </c>
      <c r="H87" s="37" t="inlineStr">
        <is>
          <t>bảo vệ</t>
        </is>
      </c>
      <c r="I87" s="37" t="inlineStr">
        <is>
          <t>Tiền mặt</t>
        </is>
      </c>
      <c r="J87" s="29" t="n">
        <v>50000</v>
      </c>
      <c r="K87" s="29">
        <f>IF(C87="Thu",J87,0)</f>
        <v/>
      </c>
      <c r="L87" s="29">
        <f>IF(C87="Chi",J87,0)</f>
        <v/>
      </c>
      <c r="M87" s="29">
        <f>K87-L87</f>
        <v/>
      </c>
    </row>
    <row r="88" ht="15.75" customHeight="1" s="56">
      <c r="A88" s="27" t="n">
        <v>46084</v>
      </c>
      <c r="B88" s="37" t="inlineStr">
        <is>
          <t>PC-03/2026-019</t>
        </is>
      </c>
      <c r="C88" s="37" t="inlineStr">
        <is>
          <t>Thu</t>
        </is>
      </c>
      <c r="D88" s="37" t="n"/>
      <c r="E88" s="37" t="n"/>
      <c r="F88" s="37" t="inlineStr">
        <is>
          <t>GIÁM ĐỐC NỘP QUỸ L1 THÁNG 3 - Bổ sung quỹ</t>
        </is>
      </c>
      <c r="G88" s="37" t="inlineStr">
        <is>
          <t>Phòng Kế toán</t>
        </is>
      </c>
      <c r="H88" s="37" t="inlineStr">
        <is>
          <t>GIÁM ĐỐC</t>
        </is>
      </c>
      <c r="I88" s="37" t="inlineStr">
        <is>
          <t>Tiền mặt</t>
        </is>
      </c>
      <c r="J88" s="29" t="n">
        <v>5000000</v>
      </c>
      <c r="K88" s="29">
        <f>IF(C88="Thu",J88,0)</f>
        <v/>
      </c>
      <c r="L88" s="29">
        <f>IF(C88="Chi",J88,0)</f>
        <v/>
      </c>
      <c r="M88" s="29">
        <f>K88-L88</f>
        <v/>
      </c>
    </row>
    <row r="89" ht="15.75" customHeight="1" s="56">
      <c r="A89" s="27" t="n">
        <v>46084</v>
      </c>
      <c r="B89" s="37" t="inlineStr">
        <is>
          <t>PC-03/2026-020</t>
        </is>
      </c>
      <c r="C89" s="37" t="inlineStr">
        <is>
          <t>Chi</t>
        </is>
      </c>
      <c r="D89" s="37" t="n"/>
      <c r="E89" s="37" t="n"/>
      <c r="F89" s="37" t="inlineStr">
        <is>
          <t>Đặng Văn Hòa - Đặng Thị Kim Thiện PC/4406 - Đóng thuế</t>
        </is>
      </c>
      <c r="G89" s="37" t="inlineStr">
        <is>
          <t>Phòng Kế toán</t>
        </is>
      </c>
      <c r="H89" s="37" t="inlineStr">
        <is>
          <t>Anh Phúc</t>
        </is>
      </c>
      <c r="I89" s="37" t="inlineStr">
        <is>
          <t>Tiền mặt</t>
        </is>
      </c>
      <c r="J89" s="29" t="n">
        <v>2000000</v>
      </c>
      <c r="K89" s="29">
        <f>IF(C89="Thu",J89,0)</f>
        <v/>
      </c>
      <c r="L89" s="29">
        <f>IF(C89="Chi",J89,0)</f>
        <v/>
      </c>
      <c r="M89" s="29">
        <f>K89-L89</f>
        <v/>
      </c>
    </row>
    <row r="90" ht="15.75" customHeight="1" s="56">
      <c r="A90" s="27" t="n">
        <v>46084</v>
      </c>
      <c r="B90" s="37" t="inlineStr">
        <is>
          <t>PC-03/2026-021</t>
        </is>
      </c>
      <c r="C90" s="37" t="inlineStr">
        <is>
          <t>Chi</t>
        </is>
      </c>
      <c r="D90" s="37" t="n"/>
      <c r="E90" s="37" t="n"/>
      <c r="F90" s="37" t="inlineStr">
        <is>
          <t>Đóng tiền phạt Đặng Văn Hòa - Đóng thuế</t>
        </is>
      </c>
      <c r="G90" s="37" t="inlineStr">
        <is>
          <t>Phòng Kế toán</t>
        </is>
      </c>
      <c r="H90" s="37" t="inlineStr">
        <is>
          <t>Agribank</t>
        </is>
      </c>
      <c r="I90" s="37" t="inlineStr">
        <is>
          <t>Tiền mặt</t>
        </is>
      </c>
      <c r="J90" s="29" t="n">
        <v>2500000</v>
      </c>
      <c r="K90" s="29">
        <f>IF(C90="Thu",J90,0)</f>
        <v/>
      </c>
      <c r="L90" s="29">
        <f>IF(C90="Chi",J90,0)</f>
        <v/>
      </c>
      <c r="M90" s="29">
        <f>K90-L90</f>
        <v/>
      </c>
    </row>
    <row r="91" ht="15.75" customHeight="1" s="56">
      <c r="A91" s="27" t="n">
        <v>46084</v>
      </c>
      <c r="B91" s="37" t="inlineStr">
        <is>
          <t>PC-03/2026-022</t>
        </is>
      </c>
      <c r="C91" s="37" t="inlineStr">
        <is>
          <t>Chi</t>
        </is>
      </c>
      <c r="D91" s="37" t="n"/>
      <c r="E91" s="37" t="n"/>
      <c r="F91" s="37" t="inlineStr">
        <is>
          <t>tiền đá tháng 2 - Quầy nước- cà phê</t>
        </is>
      </c>
      <c r="G91" s="37" t="inlineStr">
        <is>
          <t>Phòng Kế toán</t>
        </is>
      </c>
      <c r="H91" s="37" t="inlineStr">
        <is>
          <t>anh Hữu Trí</t>
        </is>
      </c>
      <c r="I91" s="37" t="inlineStr">
        <is>
          <t>Chuyển khoản</t>
        </is>
      </c>
      <c r="J91" s="29" t="n">
        <v>200000</v>
      </c>
      <c r="K91" s="29">
        <f>IF(C91="Thu",J91,0)</f>
        <v/>
      </c>
      <c r="L91" s="29">
        <f>IF(C91="Chi",J91,0)</f>
        <v/>
      </c>
      <c r="M91" s="29">
        <f>K91-L91</f>
        <v/>
      </c>
    </row>
    <row r="92" ht="15.75" customHeight="1" s="56">
      <c r="A92" s="27" t="n">
        <v>46083</v>
      </c>
      <c r="B92" s="37" t="inlineStr">
        <is>
          <t>PC-03/2026-001</t>
        </is>
      </c>
      <c r="C92" s="37" t="inlineStr">
        <is>
          <t>Chi</t>
        </is>
      </c>
      <c r="D92" s="37" t="n"/>
      <c r="E92" s="37" t="n"/>
      <c r="F92" s="37" t="inlineStr">
        <is>
          <t>cam + bưởi - Sinh hoạt gia đình</t>
        </is>
      </c>
      <c r="G92" s="37" t="inlineStr">
        <is>
          <t>Phòng Kế toán</t>
        </is>
      </c>
      <c r="H92" s="37" t="inlineStr">
        <is>
          <t>Hằng</t>
        </is>
      </c>
      <c r="I92" s="37" t="inlineStr">
        <is>
          <t>Tiền mặt</t>
        </is>
      </c>
      <c r="J92" s="29" t="n">
        <v>105000</v>
      </c>
      <c r="K92" s="29">
        <f>IF(C92="Thu",J92,0)</f>
        <v/>
      </c>
      <c r="L92" s="29">
        <f>IF(C92="Chi",J92,0)</f>
        <v/>
      </c>
      <c r="M92" s="29">
        <f>K92-L92</f>
        <v/>
      </c>
    </row>
    <row r="93" ht="15.75" customHeight="1" s="56">
      <c r="A93" s="27" t="n">
        <v>46083</v>
      </c>
      <c r="B93" s="37" t="inlineStr">
        <is>
          <t>PC-03/2026-002</t>
        </is>
      </c>
      <c r="C93" s="37" t="inlineStr">
        <is>
          <t>Chi</t>
        </is>
      </c>
      <c r="D93" s="37" t="n"/>
      <c r="E93" s="37" t="n"/>
      <c r="F93" s="37" t="inlineStr">
        <is>
          <t>bông cúc - Sinh hoạt gia đình</t>
        </is>
      </c>
      <c r="G93" s="37" t="inlineStr">
        <is>
          <t>Phòng Kế toán</t>
        </is>
      </c>
      <c r="H93" s="37" t="inlineStr">
        <is>
          <t>Hằng</t>
        </is>
      </c>
      <c r="I93" s="37" t="inlineStr">
        <is>
          <t>Tiền mặt</t>
        </is>
      </c>
      <c r="J93" s="29" t="n">
        <v>40000</v>
      </c>
      <c r="K93" s="29">
        <f>IF(C93="Thu",J93,0)</f>
        <v/>
      </c>
      <c r="L93" s="29">
        <f>IF(C93="Chi",J93,0)</f>
        <v/>
      </c>
      <c r="M93" s="29">
        <f>K93-L93</f>
        <v/>
      </c>
    </row>
    <row r="94" ht="15.75" customHeight="1" s="56">
      <c r="A94" s="27" t="n">
        <v>46083</v>
      </c>
      <c r="B94" s="37" t="inlineStr">
        <is>
          <t>PC-03/2026-003</t>
        </is>
      </c>
      <c r="C94" s="37" t="inlineStr">
        <is>
          <t>Chi</t>
        </is>
      </c>
      <c r="D94" s="37" t="n"/>
      <c r="E94" s="37" t="n"/>
      <c r="F94" s="37" t="inlineStr">
        <is>
          <t>hộp quẹt - Sinh hoạt gia đình</t>
        </is>
      </c>
      <c r="G94" s="37" t="inlineStr">
        <is>
          <t>Phòng Kế toán</t>
        </is>
      </c>
      <c r="H94" s="37" t="inlineStr">
        <is>
          <t>Hằng</t>
        </is>
      </c>
      <c r="I94" s="37" t="inlineStr">
        <is>
          <t>Tiền mặt</t>
        </is>
      </c>
      <c r="J94" s="29" t="n">
        <v>10000</v>
      </c>
      <c r="K94" s="29">
        <f>IF(C94="Thu",J94,0)</f>
        <v/>
      </c>
      <c r="L94" s="29">
        <f>IF(C94="Chi",J94,0)</f>
        <v/>
      </c>
      <c r="M94" s="29">
        <f>K94-L94</f>
        <v/>
      </c>
    </row>
    <row r="95" ht="15.75" customHeight="1" s="56">
      <c r="A95" s="27" t="n">
        <v>46083</v>
      </c>
      <c r="B95" s="37" t="inlineStr">
        <is>
          <t>PC-03/2026-004</t>
        </is>
      </c>
      <c r="C95" s="37" t="inlineStr">
        <is>
          <t>Chi</t>
        </is>
      </c>
      <c r="D95" s="37" t="n"/>
      <c r="E95" s="37" t="n"/>
      <c r="F95" s="37" t="inlineStr">
        <is>
          <t>075/BK-2026	Hoàng Thị Cúc - Chi thụ lý bản vẽ</t>
        </is>
      </c>
      <c r="G95" s="37" t="inlineStr">
        <is>
          <t>Phòng Kế toán</t>
        </is>
      </c>
      <c r="H95" s="37" t="inlineStr">
        <is>
          <t>Anh Mạnh Quân</t>
        </is>
      </c>
      <c r="I95" s="37" t="inlineStr">
        <is>
          <t>Tiền mặt</t>
        </is>
      </c>
      <c r="J95" s="29" t="n">
        <v>1000000</v>
      </c>
      <c r="K95" s="29">
        <f>IF(C95="Thu",J95,0)</f>
        <v/>
      </c>
      <c r="L95" s="29">
        <f>IF(C95="Chi",J95,0)</f>
        <v/>
      </c>
      <c r="M95" s="29">
        <f>K95-L95</f>
        <v/>
      </c>
    </row>
    <row r="96" ht="15.75" customHeight="1" s="56">
      <c r="A96" s="27" t="n">
        <v>46083</v>
      </c>
      <c r="B96" s="37" t="inlineStr">
        <is>
          <t>PC-03/2026-005</t>
        </is>
      </c>
      <c r="C96" s="37" t="inlineStr">
        <is>
          <t>Chi</t>
        </is>
      </c>
      <c r="D96" s="37" t="n"/>
      <c r="E96" s="37" t="n"/>
      <c r="F96" s="37" t="inlineStr">
        <is>
          <t>Gửi bv bv Hoàng Thị Cúc - Chi bảo vệ</t>
        </is>
      </c>
      <c r="G96" s="37" t="inlineStr">
        <is>
          <t>Phòng Kế toán</t>
        </is>
      </c>
      <c r="H96" s="37" t="inlineStr">
        <is>
          <t>bảo vệ</t>
        </is>
      </c>
      <c r="I96" s="37" t="inlineStr">
        <is>
          <t>Tiền mặt</t>
        </is>
      </c>
      <c r="J96" s="29" t="n">
        <v>50000</v>
      </c>
      <c r="K96" s="29">
        <f>IF(C96="Thu",J96,0)</f>
        <v/>
      </c>
      <c r="L96" s="29">
        <f>IF(C96="Chi",J96,0)</f>
        <v/>
      </c>
      <c r="M96" s="29">
        <f>K96-L96</f>
        <v/>
      </c>
    </row>
    <row r="97" ht="15.75" customHeight="1" s="56">
      <c r="A97" s="27" t="n">
        <v>46083</v>
      </c>
      <c r="B97" s="37" t="inlineStr">
        <is>
          <t>PC-03/2026-006</t>
        </is>
      </c>
      <c r="C97" s="37" t="inlineStr">
        <is>
          <t>Chi</t>
        </is>
      </c>
      <c r="D97" s="37" t="n"/>
      <c r="E97" s="37" t="n"/>
      <c r="F97" s="37" t="inlineStr">
        <is>
          <t>nộp bản vẽ chiều 2/3 - Chi quầy tiếp nhận</t>
        </is>
      </c>
      <c r="G97" s="37" t="inlineStr">
        <is>
          <t>Phòng Kế toán</t>
        </is>
      </c>
      <c r="H97" s="37" t="inlineStr">
        <is>
          <t>Chị Vân</t>
        </is>
      </c>
      <c r="I97" s="37" t="inlineStr">
        <is>
          <t>Tiền mặt</t>
        </is>
      </c>
      <c r="J97" s="29" t="n">
        <v>100000</v>
      </c>
      <c r="K97" s="29">
        <f>IF(C97="Thu",J97,0)</f>
        <v/>
      </c>
      <c r="L97" s="29">
        <f>IF(C97="Chi",J97,0)</f>
        <v/>
      </c>
      <c r="M97" s="29">
        <f>K97-L97</f>
        <v/>
      </c>
    </row>
    <row r="98" ht="15.75" customHeight="1" s="56">
      <c r="A98" s="27" t="n">
        <v>46083</v>
      </c>
      <c r="B98" s="37" t="inlineStr">
        <is>
          <t>PC-03/2026-007</t>
        </is>
      </c>
      <c r="C98" s="37" t="inlineStr">
        <is>
          <t>Chi</t>
        </is>
      </c>
      <c r="D98" s="37" t="n"/>
      <c r="E98" s="37" t="n"/>
      <c r="F98" s="37" t="inlineStr">
        <is>
          <t>chổi chà sàn (2) - Sinh hoạt gia đình</t>
        </is>
      </c>
      <c r="G98" s="37" t="inlineStr">
        <is>
          <t>Phòng Kế toán</t>
        </is>
      </c>
      <c r="H98" s="37" t="inlineStr">
        <is>
          <t>shipper</t>
        </is>
      </c>
      <c r="I98" s="37" t="inlineStr">
        <is>
          <t>Chuyển khoản</t>
        </is>
      </c>
      <c r="J98" s="29" t="n">
        <v>57000</v>
      </c>
      <c r="K98" s="29">
        <f>IF(C98="Thu",J98,0)</f>
        <v/>
      </c>
      <c r="L98" s="29">
        <f>IF(C98="Chi",J98,0)</f>
        <v/>
      </c>
      <c r="M98" s="29">
        <f>K98-L98</f>
        <v/>
      </c>
    </row>
    <row r="99" ht="15.75" customHeight="1" s="56">
      <c r="A99" s="27" t="n">
        <v>46083</v>
      </c>
      <c r="B99" s="37" t="inlineStr">
        <is>
          <t>PC-03/2026-008</t>
        </is>
      </c>
      <c r="C99" s="37" t="inlineStr">
        <is>
          <t>Chi</t>
        </is>
      </c>
      <c r="D99" s="37" t="n"/>
      <c r="E99" s="37" t="n"/>
      <c r="F99" s="37" t="inlineStr">
        <is>
          <t>Tiền vệ sinh tháng 2 - Vệ sinh - Rác thải</t>
        </is>
      </c>
      <c r="G99" s="37" t="inlineStr">
        <is>
          <t>Phòng Kế toán</t>
        </is>
      </c>
      <c r="H99" s="37" t="inlineStr">
        <is>
          <t>Gia Phát</t>
        </is>
      </c>
      <c r="I99" s="37" t="inlineStr">
        <is>
          <t>Chuyển khoản</t>
        </is>
      </c>
      <c r="J99" s="29" t="n">
        <v>960000</v>
      </c>
      <c r="K99" s="29">
        <f>IF(C99="Thu",J99,0)</f>
        <v/>
      </c>
      <c r="L99" s="29">
        <f>IF(C99="Chi",J99,0)</f>
        <v/>
      </c>
      <c r="M99" s="29">
        <f>K99-L99</f>
        <v/>
      </c>
    </row>
    <row r="100" ht="15.75" customHeight="1" s="56">
      <c r="A100" s="27" t="n">
        <v>46081</v>
      </c>
      <c r="B100" s="37" t="inlineStr">
        <is>
          <t>PC-02/2026-120</t>
        </is>
      </c>
      <c r="C100" s="37" t="inlineStr">
        <is>
          <t>Chi</t>
        </is>
      </c>
      <c r="D100" s="37" t="n"/>
      <c r="E100" s="37" t="n"/>
      <c r="F100" s="37" t="inlineStr">
        <is>
          <t>nộp bản vẽ sáng 28/2 - Chi quầy tiếp nhận</t>
        </is>
      </c>
      <c r="G100" s="37" t="inlineStr">
        <is>
          <t>Phòng Kế toán</t>
        </is>
      </c>
      <c r="H100" s="37" t="inlineStr">
        <is>
          <t>Chị Huy</t>
        </is>
      </c>
      <c r="I100" s="37" t="inlineStr">
        <is>
          <t>Tiền mặt</t>
        </is>
      </c>
      <c r="J100" s="29" t="n">
        <v>100000</v>
      </c>
      <c r="K100" s="29">
        <f>IF(C100="Thu",J100,0)</f>
        <v/>
      </c>
      <c r="L100" s="29">
        <f>IF(C100="Chi",J100,0)</f>
        <v/>
      </c>
      <c r="M100" s="29">
        <f>K100-L100</f>
        <v/>
      </c>
    </row>
    <row r="101" ht="15.75" customHeight="1" s="56">
      <c r="A101" s="27" t="n">
        <v>46081</v>
      </c>
      <c r="B101" s="37" t="inlineStr">
        <is>
          <t>PC-02/2026-121</t>
        </is>
      </c>
      <c r="C101" s="37" t="inlineStr">
        <is>
          <t>Chi</t>
        </is>
      </c>
      <c r="D101" s="37" t="n"/>
      <c r="E101" s="37" t="n"/>
      <c r="F101" s="37" t="inlineStr">
        <is>
          <t>lọ tỏa hương (2) - Sinh hoạt gia đình</t>
        </is>
      </c>
      <c r="G101" s="37" t="inlineStr">
        <is>
          <t>Phòng Kế toán</t>
        </is>
      </c>
      <c r="H101" s="37" t="inlineStr">
        <is>
          <t>shipper</t>
        </is>
      </c>
      <c r="I101" s="37" t="inlineStr">
        <is>
          <t>Chuyển khoản</t>
        </is>
      </c>
      <c r="J101" s="29" t="n">
        <v>138000</v>
      </c>
      <c r="K101" s="29">
        <f>IF(C101="Thu",J101,0)</f>
        <v/>
      </c>
      <c r="L101" s="29">
        <f>IF(C101="Chi",J101,0)</f>
        <v/>
      </c>
      <c r="M101" s="29">
        <f>K101-L101</f>
        <v/>
      </c>
    </row>
    <row r="102" ht="15.75" customHeight="1" s="56">
      <c r="A102" s="27" t="n">
        <v>46081</v>
      </c>
      <c r="B102" s="37" t="inlineStr">
        <is>
          <t>PC-02/2026-122</t>
        </is>
      </c>
      <c r="C102" s="37" t="inlineStr">
        <is>
          <t>Chi</t>
        </is>
      </c>
      <c r="D102" s="37" t="n"/>
      <c r="E102" s="37" t="n"/>
      <c r="F102" s="37" t="inlineStr">
        <is>
          <t>Vim (2) - Sinh hoạt gia đình</t>
        </is>
      </c>
      <c r="G102" s="37" t="inlineStr">
        <is>
          <t>Phòng Kế toán</t>
        </is>
      </c>
      <c r="H102" s="37" t="inlineStr">
        <is>
          <t>shipper</t>
        </is>
      </c>
      <c r="I102" s="37" t="inlineStr">
        <is>
          <t>Chuyển khoản</t>
        </is>
      </c>
      <c r="J102" s="29" t="n">
        <v>78000</v>
      </c>
      <c r="K102" s="29">
        <f>IF(C102="Thu",J102,0)</f>
        <v/>
      </c>
      <c r="L102" s="29">
        <f>IF(C102="Chi",J102,0)</f>
        <v/>
      </c>
      <c r="M102" s="29">
        <f>K102-L102</f>
        <v/>
      </c>
    </row>
    <row r="103" ht="15.75" customHeight="1" s="56">
      <c r="A103" s="27" t="n">
        <v>46081</v>
      </c>
      <c r="B103" s="37" t="inlineStr">
        <is>
          <t>PC-02/2026-123</t>
        </is>
      </c>
      <c r="C103" s="37" t="inlineStr">
        <is>
          <t>Chi</t>
        </is>
      </c>
      <c r="D103" s="37" t="n"/>
      <c r="E103" s="37" t="n"/>
      <c r="F103" s="37" t="inlineStr">
        <is>
          <t>đồ ăn trưa - Ăn uống</t>
        </is>
      </c>
      <c r="G103" s="37" t="inlineStr">
        <is>
          <t>Phòng Kế toán</t>
        </is>
      </c>
      <c r="H103" s="37" t="inlineStr">
        <is>
          <t>shipper</t>
        </is>
      </c>
      <c r="I103" s="37" t="inlineStr">
        <is>
          <t>Chuyển khoản</t>
        </is>
      </c>
      <c r="J103" s="29" t="n">
        <v>257000</v>
      </c>
      <c r="K103" s="29">
        <f>IF(C103="Thu",J103,0)</f>
        <v/>
      </c>
      <c r="L103" s="29">
        <f>IF(C103="Chi",J103,0)</f>
        <v/>
      </c>
      <c r="M103" s="29">
        <f>K103-L103</f>
        <v/>
      </c>
    </row>
    <row r="104" ht="15.75" customHeight="1" s="56">
      <c r="A104" s="27" t="n">
        <v>46080</v>
      </c>
      <c r="B104" s="37" t="inlineStr">
        <is>
          <t>PC-02/2026-112</t>
        </is>
      </c>
      <c r="C104" s="37" t="inlineStr">
        <is>
          <t>Chi</t>
        </is>
      </c>
      <c r="D104" s="37" t="n"/>
      <c r="E104" s="37" t="n"/>
      <c r="F104" s="37" t="inlineStr">
        <is>
          <t>túi đựng rác + nước rửa chén - Sinh hoạt gia đình</t>
        </is>
      </c>
      <c r="G104" s="37" t="inlineStr">
        <is>
          <t>Phòng Kế toán</t>
        </is>
      </c>
      <c r="H104" s="37" t="inlineStr">
        <is>
          <t>Hằng</t>
        </is>
      </c>
      <c r="I104" s="37" t="inlineStr">
        <is>
          <t>Tiền mặt</t>
        </is>
      </c>
      <c r="J104" s="29" t="n">
        <v>49000</v>
      </c>
      <c r="K104" s="29">
        <f>IF(C104="Thu",J104,0)</f>
        <v/>
      </c>
      <c r="L104" s="29">
        <f>IF(C104="Chi",J104,0)</f>
        <v/>
      </c>
      <c r="M104" s="29">
        <f>K104-L104</f>
        <v/>
      </c>
    </row>
    <row r="105" ht="15.75" customHeight="1" s="56">
      <c r="A105" s="27" t="n">
        <v>46080</v>
      </c>
      <c r="B105" s="37" t="inlineStr">
        <is>
          <t>PC-02/2026-113</t>
        </is>
      </c>
      <c r="C105" s="37" t="inlineStr">
        <is>
          <t>Chi</t>
        </is>
      </c>
      <c r="D105" s="37" t="n"/>
      <c r="E105" s="37" t="n"/>
      <c r="F105" s="37" t="inlineStr">
        <is>
          <t>lấy sổ Dương Hồng Cẩm - Chi quầy tiếp nhận</t>
        </is>
      </c>
      <c r="G105" s="37" t="inlineStr">
        <is>
          <t>Phòng Kế toán</t>
        </is>
      </c>
      <c r="H105" s="37" t="inlineStr">
        <is>
          <t>quầy tiếp nhận</t>
        </is>
      </c>
      <c r="I105" s="37" t="inlineStr">
        <is>
          <t>Tiền mặt</t>
        </is>
      </c>
      <c r="J105" s="29" t="n">
        <v>100000</v>
      </c>
      <c r="K105" s="29">
        <f>IF(C105="Thu",J105,0)</f>
        <v/>
      </c>
      <c r="L105" s="29">
        <f>IF(C105="Chi",J105,0)</f>
        <v/>
      </c>
      <c r="M105" s="29">
        <f>K105-L105</f>
        <v/>
      </c>
    </row>
    <row r="106" ht="15.75" customHeight="1" s="56">
      <c r="A106" s="27" t="n">
        <v>46080</v>
      </c>
      <c r="B106" s="37" t="inlineStr">
        <is>
          <t>PC-02/2026-114</t>
        </is>
      </c>
      <c r="C106" s="37" t="inlineStr">
        <is>
          <t>Thu</t>
        </is>
      </c>
      <c r="D106" s="37" t="n"/>
      <c r="E106" s="37" t="n"/>
      <c r="F106" s="37" t="inlineStr">
        <is>
          <t>GIÁM ĐỐC NỘP QUỸ L8 THÁNG 2 - Bổ sung quỹ</t>
        </is>
      </c>
      <c r="G106" s="37" t="inlineStr">
        <is>
          <t>Phòng Kế toán</t>
        </is>
      </c>
      <c r="H106" s="37" t="inlineStr">
        <is>
          <t>GIÁM ĐỐC</t>
        </is>
      </c>
      <c r="I106" s="37" t="inlineStr">
        <is>
          <t>Tiền mặt</t>
        </is>
      </c>
      <c r="J106" s="29" t="n">
        <v>5000000</v>
      </c>
      <c r="K106" s="29">
        <f>IF(C106="Thu",J106,0)</f>
        <v/>
      </c>
      <c r="L106" s="29">
        <f>IF(C106="Chi",J106,0)</f>
        <v/>
      </c>
      <c r="M106" s="29">
        <f>K106-L106</f>
        <v/>
      </c>
    </row>
    <row r="107" ht="15.75" customHeight="1" s="56">
      <c r="A107" s="27" t="n">
        <v>46080</v>
      </c>
      <c r="B107" s="37" t="inlineStr">
        <is>
          <t>PC-02/2026-115</t>
        </is>
      </c>
      <c r="C107" s="37" t="inlineStr">
        <is>
          <t>Chi</t>
        </is>
      </c>
      <c r="D107" s="37" t="n"/>
      <c r="E107" s="37" t="n"/>
      <c r="F107" s="37" t="inlineStr">
        <is>
          <t>nộp bản vẽ chiều 27/2 - Chi quầy tiếp nhận</t>
        </is>
      </c>
      <c r="G107" s="37" t="inlineStr">
        <is>
          <t>Phòng Kế toán</t>
        </is>
      </c>
      <c r="H107" s="37" t="inlineStr">
        <is>
          <t>Chị Huy</t>
        </is>
      </c>
      <c r="I107" s="37" t="inlineStr">
        <is>
          <t>Tiền mặt</t>
        </is>
      </c>
      <c r="J107" s="29" t="n">
        <v>100000</v>
      </c>
      <c r="K107" s="29">
        <f>IF(C107="Thu",J107,0)</f>
        <v/>
      </c>
      <c r="L107" s="29">
        <f>IF(C107="Chi",J107,0)</f>
        <v/>
      </c>
      <c r="M107" s="29">
        <f>K107-L107</f>
        <v/>
      </c>
    </row>
    <row r="108" ht="15.75" customHeight="1" s="56">
      <c r="A108" s="27" t="n">
        <v>46080</v>
      </c>
      <c r="B108" s="37" t="inlineStr">
        <is>
          <t>PC-02/2026-116</t>
        </is>
      </c>
      <c r="C108" s="37" t="inlineStr">
        <is>
          <t>Chi</t>
        </is>
      </c>
      <c r="D108" s="37" t="n"/>
      <c r="E108" s="37" t="n"/>
      <c r="F108" s="37" t="inlineStr">
        <is>
          <t>đóng lệ phí trước bạ Nguyễn Thị Trúc Thanh - Hoàng Phi Hải - Đóng thuế</t>
        </is>
      </c>
      <c r="G108" s="37" t="inlineStr">
        <is>
          <t>Phòng Kế toán</t>
        </is>
      </c>
      <c r="H108" s="37" t="inlineStr">
        <is>
          <t>Chi nhánh số 2</t>
        </is>
      </c>
      <c r="I108" s="37" t="inlineStr">
        <is>
          <t>Tiền mặt</t>
        </is>
      </c>
      <c r="J108" s="29" t="n">
        <v>496000</v>
      </c>
      <c r="K108" s="29">
        <f>IF(C108="Thu",J108,0)</f>
        <v/>
      </c>
      <c r="L108" s="29">
        <f>IF(C108="Chi",J108,0)</f>
        <v/>
      </c>
      <c r="M108" s="29">
        <f>K108-L108</f>
        <v/>
      </c>
    </row>
    <row r="109" ht="15.75" customHeight="1" s="56">
      <c r="A109" s="27" t="n">
        <v>46080</v>
      </c>
      <c r="B109" s="37" t="inlineStr">
        <is>
          <t>PC-02/2026-117</t>
        </is>
      </c>
      <c r="C109" s="37" t="inlineStr">
        <is>
          <t>Chi</t>
        </is>
      </c>
      <c r="D109" s="37" t="n"/>
      <c r="E109" s="37" t="n"/>
      <c r="F109" s="37" t="inlineStr">
        <is>
          <t>nộp chứng từ Nguyễn Thị Trúc Thanh - Hoàng Phi Hải - Chi quầy tiếp nhận</t>
        </is>
      </c>
      <c r="G109" s="37" t="inlineStr">
        <is>
          <t>Phòng Kế toán</t>
        </is>
      </c>
      <c r="H109" s="37" t="inlineStr">
        <is>
          <t>quầy tiếp nhận</t>
        </is>
      </c>
      <c r="I109" s="37" t="inlineStr">
        <is>
          <t>Tiền mặt</t>
        </is>
      </c>
      <c r="J109" s="29" t="n">
        <v>100000</v>
      </c>
      <c r="K109" s="29">
        <f>IF(C109="Thu",J109,0)</f>
        <v/>
      </c>
      <c r="L109" s="29">
        <f>IF(C109="Chi",J109,0)</f>
        <v/>
      </c>
      <c r="M109" s="29">
        <f>K109-L109</f>
        <v/>
      </c>
    </row>
    <row r="110" ht="15.75" customHeight="1" s="56">
      <c r="A110" s="27" t="n">
        <v>46080</v>
      </c>
      <c r="B110" s="37" t="inlineStr">
        <is>
          <t>PC-02/2026-118</t>
        </is>
      </c>
      <c r="C110" s="37" t="inlineStr">
        <is>
          <t>Chi</t>
        </is>
      </c>
      <c r="D110" s="37" t="n"/>
      <c r="E110" s="37" t="n"/>
      <c r="F110" s="37" t="inlineStr">
        <is>
          <t>bản vẽ thu hồi Nguyễn Hữu Cường (hồ sơ anh Dựng) - Công tác phí</t>
        </is>
      </c>
      <c r="G110" s="37" t="inlineStr">
        <is>
          <t>Phòng Kế toán</t>
        </is>
      </c>
      <c r="H110" s="37" t="inlineStr">
        <is>
          <t>Anh Lâu Đức Toàn</t>
        </is>
      </c>
      <c r="I110" s="37" t="inlineStr">
        <is>
          <t>Chuyển khoản</t>
        </is>
      </c>
      <c r="J110" s="29" t="n">
        <v>1000000</v>
      </c>
      <c r="K110" s="29">
        <f>IF(C110="Thu",J110,0)</f>
        <v/>
      </c>
      <c r="L110" s="29">
        <f>IF(C110="Chi",J110,0)</f>
        <v/>
      </c>
      <c r="M110" s="29">
        <f>K110-L110</f>
        <v/>
      </c>
    </row>
    <row r="111" ht="15.75" customHeight="1" s="56">
      <c r="A111" s="27" t="n">
        <v>46080</v>
      </c>
      <c r="B111" s="37" t="inlineStr">
        <is>
          <t>PC-02/2026-119</t>
        </is>
      </c>
      <c r="C111" s="37" t="inlineStr">
        <is>
          <t>Chi</t>
        </is>
      </c>
      <c r="D111" s="37" t="n"/>
      <c r="E111" s="37" t="n"/>
      <c r="F111" s="37" t="inlineStr">
        <is>
          <t>lấy hồ sơ rút Trần Thị Ngọc Dung - Chi quầy tiếp nhận</t>
        </is>
      </c>
      <c r="G111" s="37" t="inlineStr">
        <is>
          <t>Phòng Kế toán</t>
        </is>
      </c>
      <c r="H111" s="37" t="inlineStr">
        <is>
          <t>quầy tiếp nhận</t>
        </is>
      </c>
      <c r="I111" s="37" t="inlineStr">
        <is>
          <t>Tiền mặt</t>
        </is>
      </c>
      <c r="J111" s="29" t="n">
        <v>100000</v>
      </c>
      <c r="K111" s="29">
        <f>IF(C111="Thu",J111,0)</f>
        <v/>
      </c>
      <c r="L111" s="29">
        <f>IF(C111="Chi",J111,0)</f>
        <v/>
      </c>
      <c r="M111" s="29">
        <f>K111-L111</f>
        <v/>
      </c>
    </row>
    <row r="112" ht="15.75" customHeight="1" s="56">
      <c r="A112" s="27" t="n">
        <v>46079</v>
      </c>
      <c r="B112" s="37" t="inlineStr">
        <is>
          <t>PC-02/2026-094</t>
        </is>
      </c>
      <c r="C112" s="37" t="inlineStr">
        <is>
          <t>Chi</t>
        </is>
      </c>
      <c r="D112" s="37" t="n"/>
      <c r="E112" s="37" t="n"/>
      <c r="F112" s="37" t="inlineStr">
        <is>
          <t>lấy sổ Phạm Thị Trang - Phạm Thị Huỳnh Trà - Chi quầy tiếp nhận</t>
        </is>
      </c>
      <c r="G112" s="37" t="inlineStr">
        <is>
          <t>Phòng Kế toán</t>
        </is>
      </c>
      <c r="H112" s="37" t="inlineStr">
        <is>
          <t>quầy tiếp nhận</t>
        </is>
      </c>
      <c r="I112" s="37" t="inlineStr">
        <is>
          <t>Tiền mặt</t>
        </is>
      </c>
      <c r="J112" s="29" t="n">
        <v>100000</v>
      </c>
      <c r="K112" s="29">
        <f>IF(C112="Thu",J112,0)</f>
        <v/>
      </c>
      <c r="L112" s="29">
        <f>IF(C112="Chi",J112,0)</f>
        <v/>
      </c>
      <c r="M112" s="29">
        <f>K112-L112</f>
        <v/>
      </c>
    </row>
    <row r="113" ht="15.75" customHeight="1" s="56">
      <c r="A113" s="27" t="n">
        <v>46079</v>
      </c>
      <c r="B113" s="37" t="inlineStr">
        <is>
          <t>PC-02/2026-095</t>
        </is>
      </c>
      <c r="C113" s="37" t="inlineStr">
        <is>
          <t>Chi</t>
        </is>
      </c>
      <c r="D113" s="37" t="n"/>
      <c r="E113" s="37" t="n"/>
      <c r="F113" s="37" t="inlineStr">
        <is>
          <t>dưa hấu - Sinh hoạt gia đình</t>
        </is>
      </c>
      <c r="G113" s="37" t="inlineStr">
        <is>
          <t>Phòng Kế toán</t>
        </is>
      </c>
      <c r="H113" s="37" t="inlineStr">
        <is>
          <t>Hằng</t>
        </is>
      </c>
      <c r="I113" s="37" t="inlineStr">
        <is>
          <t>Tiền mặt</t>
        </is>
      </c>
      <c r="J113" s="29" t="n">
        <v>68000</v>
      </c>
      <c r="K113" s="29">
        <f>IF(C113="Thu",J113,0)</f>
        <v/>
      </c>
      <c r="L113" s="29">
        <f>IF(C113="Chi",J113,0)</f>
        <v/>
      </c>
      <c r="M113" s="29">
        <f>K113-L113</f>
        <v/>
      </c>
    </row>
    <row r="114" ht="15.75" customHeight="1" s="56">
      <c r="A114" s="27" t="n">
        <v>46079</v>
      </c>
      <c r="B114" s="37" t="inlineStr">
        <is>
          <t>PC-02/2026-096</t>
        </is>
      </c>
      <c r="C114" s="37" t="inlineStr">
        <is>
          <t>Chi</t>
        </is>
      </c>
      <c r="D114" s="37" t="n"/>
      <c r="E114" s="37" t="n"/>
      <c r="F114" s="37" t="inlineStr">
        <is>
          <t>Lê Quý (246) - Lấy bản vẽ</t>
        </is>
      </c>
      <c r="G114" s="37" t="inlineStr">
        <is>
          <t>Phòng Kế toán</t>
        </is>
      </c>
      <c r="H114" s="37" t="inlineStr">
        <is>
          <t>Chi nhánh số 2</t>
        </is>
      </c>
      <c r="I114" s="37" t="inlineStr">
        <is>
          <t>Chuyển khoản</t>
        </is>
      </c>
      <c r="J114" s="29" t="n">
        <v>73851</v>
      </c>
      <c r="K114" s="29">
        <f>IF(C114="Thu",J114,0)</f>
        <v/>
      </c>
      <c r="L114" s="29">
        <f>IF(C114="Chi",J114,0)</f>
        <v/>
      </c>
      <c r="M114" s="29">
        <f>K114-L114</f>
        <v/>
      </c>
    </row>
    <row r="115" ht="15.75" customHeight="1" s="56">
      <c r="A115" s="27" t="n">
        <v>46079</v>
      </c>
      <c r="B115" s="37" t="inlineStr">
        <is>
          <t>PC-02/2026-097</t>
        </is>
      </c>
      <c r="C115" s="37" t="inlineStr">
        <is>
          <t>Chi</t>
        </is>
      </c>
      <c r="D115" s="37" t="n"/>
      <c r="E115" s="37" t="n"/>
      <c r="F115" s="37" t="inlineStr">
        <is>
          <t>Nguyễn Thị Ngọc Thảo (221) - Lấy bản vẽ</t>
        </is>
      </c>
      <c r="G115" s="37" t="inlineStr">
        <is>
          <t>Phòng Kế toán</t>
        </is>
      </c>
      <c r="H115" s="37" t="inlineStr">
        <is>
          <t>Chi nhánh số 2</t>
        </is>
      </c>
      <c r="I115" s="37" t="inlineStr">
        <is>
          <t>Chuyển khoản</t>
        </is>
      </c>
      <c r="J115" s="29" t="n">
        <v>117451</v>
      </c>
      <c r="K115" s="29">
        <f>IF(C115="Thu",J115,0)</f>
        <v/>
      </c>
      <c r="L115" s="29">
        <f>IF(C115="Chi",J115,0)</f>
        <v/>
      </c>
      <c r="M115" s="29">
        <f>K115-L115</f>
        <v/>
      </c>
    </row>
    <row r="116" ht="15.75" customHeight="1" s="56">
      <c r="A116" s="27" t="n">
        <v>46079</v>
      </c>
      <c r="B116" s="37" t="inlineStr">
        <is>
          <t>PC-02/2026-098</t>
        </is>
      </c>
      <c r="C116" s="37" t="inlineStr">
        <is>
          <t>Chi</t>
        </is>
      </c>
      <c r="D116" s="37" t="n"/>
      <c r="E116" s="37" t="n"/>
      <c r="F116" s="37" t="inlineStr">
        <is>
          <t>Nguyễn Quỳnh Lê (092) - Lấy bản vẽ</t>
        </is>
      </c>
      <c r="G116" s="37" t="inlineStr">
        <is>
          <t>Phòng Kế toán</t>
        </is>
      </c>
      <c r="H116" s="37" t="inlineStr">
        <is>
          <t>Chi nhánh số 2</t>
        </is>
      </c>
      <c r="I116" s="37" t="inlineStr">
        <is>
          <t>Chuyển khoản</t>
        </is>
      </c>
      <c r="J116" s="29" t="n">
        <v>60500</v>
      </c>
      <c r="K116" s="29">
        <f>IF(C116="Thu",J116,0)</f>
        <v/>
      </c>
      <c r="L116" s="29">
        <f>IF(C116="Chi",J116,0)</f>
        <v/>
      </c>
      <c r="M116" s="29">
        <f>K116-L116</f>
        <v/>
      </c>
    </row>
    <row r="117" ht="15.75" customHeight="1" s="56">
      <c r="A117" s="27" t="n">
        <v>46079</v>
      </c>
      <c r="B117" s="37" t="inlineStr">
        <is>
          <t>PC-02/2026-099</t>
        </is>
      </c>
      <c r="C117" s="37" t="inlineStr">
        <is>
          <t>Chi</t>
        </is>
      </c>
      <c r="D117" s="37" t="n"/>
      <c r="E117" s="37" t="n"/>
      <c r="F117" s="37" t="inlineStr">
        <is>
          <t>nộp hồ sơ Lê Minh Châu - Vũ Thúy Nhuần - Chi quầy tiếp nhận</t>
        </is>
      </c>
      <c r="G117" s="37" t="inlineStr">
        <is>
          <t>Phòng Kế toán</t>
        </is>
      </c>
      <c r="H117" s="37" t="inlineStr">
        <is>
          <t>quầy tiếp nhận</t>
        </is>
      </c>
      <c r="I117" s="37" t="inlineStr">
        <is>
          <t>Tiền mặt</t>
        </is>
      </c>
      <c r="J117" s="29" t="n">
        <v>100000</v>
      </c>
      <c r="K117" s="29">
        <f>IF(C117="Thu",J117,0)</f>
        <v/>
      </c>
      <c r="L117" s="29">
        <f>IF(C117="Chi",J117,0)</f>
        <v/>
      </c>
      <c r="M117" s="29">
        <f>K117-L117</f>
        <v/>
      </c>
    </row>
    <row r="118" ht="15.75" customHeight="1" s="56">
      <c r="A118" s="27" t="n">
        <v>46079</v>
      </c>
      <c r="B118" s="37" t="inlineStr">
        <is>
          <t>PC-02/2026-102</t>
        </is>
      </c>
      <c r="C118" s="37" t="inlineStr">
        <is>
          <t>Chi</t>
        </is>
      </c>
      <c r="D118" s="37" t="n"/>
      <c r="E118" s="37" t="n"/>
      <c r="F118" s="37" t="inlineStr">
        <is>
          <t>lấy sổ Nguyễn Trần Ngọc Khoa - Chi quầy tiếp nhận</t>
        </is>
      </c>
      <c r="G118" s="37" t="inlineStr">
        <is>
          <t>Phòng Kế toán</t>
        </is>
      </c>
      <c r="H118" s="37" t="inlineStr">
        <is>
          <t>quầy tiếp nhận</t>
        </is>
      </c>
      <c r="I118" s="37" t="inlineStr">
        <is>
          <t>Tiền mặt</t>
        </is>
      </c>
      <c r="J118" s="29" t="n">
        <v>100000</v>
      </c>
      <c r="K118" s="29">
        <f>IF(C118="Thu",J118,0)</f>
        <v/>
      </c>
      <c r="L118" s="29">
        <f>IF(C118="Chi",J118,0)</f>
        <v/>
      </c>
      <c r="M118" s="29">
        <f>K118-L118</f>
        <v/>
      </c>
    </row>
    <row r="119" ht="15.75" customHeight="1" s="56">
      <c r="A119" s="27" t="n">
        <v>46079</v>
      </c>
      <c r="B119" s="37" t="inlineStr">
        <is>
          <t>PC-02/2026-103</t>
        </is>
      </c>
      <c r="C119" s="37" t="inlineStr">
        <is>
          <t>Thu</t>
        </is>
      </c>
      <c r="D119" s="37" t="n"/>
      <c r="E119" s="37" t="n"/>
      <c r="F119" s="37" t="inlineStr">
        <is>
          <t>GIÁM ĐỐC NỘP QUỸ L6 THÁNG 2 - Bổ sung quỹ</t>
        </is>
      </c>
      <c r="G119" s="37" t="inlineStr">
        <is>
          <t>Phòng Kế toán</t>
        </is>
      </c>
      <c r="H119" s="37" t="inlineStr">
        <is>
          <t>GIÁM ĐỐC</t>
        </is>
      </c>
      <c r="I119" s="37" t="inlineStr">
        <is>
          <t>Chuyển khoản</t>
        </is>
      </c>
      <c r="J119" s="29" t="n">
        <v>10000000</v>
      </c>
      <c r="K119" s="29">
        <f>IF(C119="Thu",J119,0)</f>
        <v/>
      </c>
      <c r="L119" s="29">
        <f>IF(C119="Chi",J119,0)</f>
        <v/>
      </c>
      <c r="M119" s="29">
        <f>K119-L119</f>
        <v/>
      </c>
    </row>
    <row r="120" ht="15.75" customHeight="1" s="56">
      <c r="A120" s="27" t="n">
        <v>46079</v>
      </c>
      <c r="B120" s="37" t="inlineStr">
        <is>
          <t>PC-02/2026-104</t>
        </is>
      </c>
      <c r="C120" s="37" t="inlineStr">
        <is>
          <t>Chi</t>
        </is>
      </c>
      <c r="D120" s="37" t="n"/>
      <c r="E120" s="37" t="n"/>
      <c r="F120" s="37" t="inlineStr">
        <is>
          <t>làm đơn rút hs Trần Thị Ngọc Dung - Chi quầy tiếp nhận</t>
        </is>
      </c>
      <c r="G120" s="37" t="inlineStr">
        <is>
          <t>Phòng Kế toán</t>
        </is>
      </c>
      <c r="H120" s="37" t="inlineStr">
        <is>
          <t>quầy tiếp nhận</t>
        </is>
      </c>
      <c r="I120" s="37" t="inlineStr">
        <is>
          <t>Tiền mặt</t>
        </is>
      </c>
      <c r="J120" s="29" t="n">
        <v>100000</v>
      </c>
      <c r="K120" s="29">
        <f>IF(C120="Thu",J120,0)</f>
        <v/>
      </c>
      <c r="L120" s="29">
        <f>IF(C120="Chi",J120,0)</f>
        <v/>
      </c>
      <c r="M120" s="29">
        <f>K120-L120</f>
        <v/>
      </c>
    </row>
    <row r="121" ht="15.75" customHeight="1" s="56">
      <c r="A121" s="27" t="n">
        <v>46079</v>
      </c>
      <c r="B121" s="37" t="inlineStr">
        <is>
          <t>PC-02/2026-105</t>
        </is>
      </c>
      <c r="C121" s="37" t="inlineStr">
        <is>
          <t>Thu</t>
        </is>
      </c>
      <c r="D121" s="37" t="n"/>
      <c r="E121" s="37" t="n"/>
      <c r="F121" s="37" t="inlineStr">
        <is>
          <t>sếp đưa 2tr gửi chị Hoài - Bổ sung quỹ</t>
        </is>
      </c>
      <c r="G121" s="37" t="inlineStr">
        <is>
          <t>Phòng Kế toán</t>
        </is>
      </c>
      <c r="H121" s="37" t="inlineStr">
        <is>
          <t>GIÁM ĐỐC</t>
        </is>
      </c>
      <c r="I121" s="37" t="inlineStr">
        <is>
          <t>Tiền mặt</t>
        </is>
      </c>
      <c r="J121" s="29" t="n">
        <v>2000000</v>
      </c>
      <c r="K121" s="29">
        <f>IF(C121="Thu",J121,0)</f>
        <v/>
      </c>
      <c r="L121" s="29">
        <f>IF(C121="Chi",J121,0)</f>
        <v/>
      </c>
      <c r="M121" s="29">
        <f>K121-L121</f>
        <v/>
      </c>
    </row>
    <row r="122" ht="15.75" customHeight="1" s="56">
      <c r="A122" s="27" t="n">
        <v>46079</v>
      </c>
      <c r="B122" s="37" t="inlineStr">
        <is>
          <t>PC-02/2026-106</t>
        </is>
      </c>
      <c r="C122" s="37" t="inlineStr">
        <is>
          <t>Chi</t>
        </is>
      </c>
      <c r="D122" s="37" t="n"/>
      <c r="E122" s="37" t="n"/>
      <c r="F122" s="37" t="inlineStr">
        <is>
          <t>gửi chị Hoài Hồ Sơ Lưu Vân Trang - Công tác phí</t>
        </is>
      </c>
      <c r="G122" s="37" t="inlineStr">
        <is>
          <t>Phòng Kế toán</t>
        </is>
      </c>
      <c r="H122" s="37" t="inlineStr">
        <is>
          <t>Chị Hoài</t>
        </is>
      </c>
      <c r="I122" s="37" t="inlineStr">
        <is>
          <t>Tiền mặt</t>
        </is>
      </c>
      <c r="J122" s="29" t="n">
        <v>2000000</v>
      </c>
      <c r="K122" s="29">
        <f>IF(C122="Thu",J122,0)</f>
        <v/>
      </c>
      <c r="L122" s="29">
        <f>IF(C122="Chi",J122,0)</f>
        <v/>
      </c>
      <c r="M122" s="29">
        <f>K122-L122</f>
        <v/>
      </c>
    </row>
    <row r="123" ht="15.75" customHeight="1" s="56">
      <c r="A123" s="27" t="n">
        <v>46079</v>
      </c>
      <c r="B123" s="37" t="inlineStr">
        <is>
          <t>PC-02/2026-107</t>
        </is>
      </c>
      <c r="C123" s="37" t="inlineStr">
        <is>
          <t>Chi</t>
        </is>
      </c>
      <c r="D123" s="37" t="n"/>
      <c r="E123" s="37" t="n"/>
      <c r="F123" s="37" t="inlineStr">
        <is>
          <t>gửi bản vẽ Đỗ Hoàng Sang cho chị Lam Mai - Chuyển phát - Bưu chính-Grap</t>
        </is>
      </c>
      <c r="G123" s="37" t="inlineStr">
        <is>
          <t>Phòng Kế toán</t>
        </is>
      </c>
      <c r="H123" s="37" t="inlineStr">
        <is>
          <t>chị Lam Mai</t>
        </is>
      </c>
      <c r="I123" s="37" t="inlineStr">
        <is>
          <t>Chuyển khoản</t>
        </is>
      </c>
      <c r="J123" s="29" t="n">
        <v>70000</v>
      </c>
      <c r="K123" s="29">
        <f>IF(C123="Thu",J123,0)</f>
        <v/>
      </c>
      <c r="L123" s="29">
        <f>IF(C123="Chi",J123,0)</f>
        <v/>
      </c>
      <c r="M123" s="29">
        <f>K123-L123</f>
        <v/>
      </c>
    </row>
    <row r="124" ht="15.75" customHeight="1" s="56">
      <c r="A124" s="27" t="n">
        <v>46079</v>
      </c>
      <c r="B124" s="37" t="inlineStr">
        <is>
          <t>PC-02/2026-108</t>
        </is>
      </c>
      <c r="C124" s="37" t="inlineStr">
        <is>
          <t>Chi</t>
        </is>
      </c>
      <c r="D124" s="37" t="n"/>
      <c r="E124" s="37" t="n"/>
      <c r="F124" s="37" t="inlineStr">
        <is>
          <t>gửi chị Huy lấy bản vẽ đạt 26/2 - Chi quầy tiếp nhận</t>
        </is>
      </c>
      <c r="G124" s="37" t="inlineStr">
        <is>
          <t>Phòng Kế toán</t>
        </is>
      </c>
      <c r="H124" s="37" t="inlineStr">
        <is>
          <t>Chị Huy</t>
        </is>
      </c>
      <c r="I124" s="37" t="inlineStr">
        <is>
          <t>Tiền mặt</t>
        </is>
      </c>
      <c r="J124" s="29" t="n">
        <v>100000</v>
      </c>
      <c r="K124" s="29">
        <f>IF(C124="Thu",J124,0)</f>
        <v/>
      </c>
      <c r="L124" s="29">
        <f>IF(C124="Chi",J124,0)</f>
        <v/>
      </c>
      <c r="M124" s="29">
        <f>K124-L124</f>
        <v/>
      </c>
    </row>
    <row r="125" ht="15.75" customHeight="1" s="56">
      <c r="A125" s="27" t="n">
        <v>46079</v>
      </c>
      <c r="B125" s="37" t="inlineStr">
        <is>
          <t>PC-02/2026-109</t>
        </is>
      </c>
      <c r="C125" s="37" t="inlineStr">
        <is>
          <t>Thu</t>
        </is>
      </c>
      <c r="D125" s="37" t="n"/>
      <c r="E125" s="37" t="n"/>
      <c r="F125" s="37" t="inlineStr">
        <is>
          <t>GIÁM ĐỐC NỘP QUỸ L7 THÁNG 2 - Bổ sung quỹ</t>
        </is>
      </c>
      <c r="G125" s="37" t="inlineStr">
        <is>
          <t>Phòng Kế toán</t>
        </is>
      </c>
      <c r="H125" s="37" t="inlineStr">
        <is>
          <t>GIÁM ĐỐC</t>
        </is>
      </c>
      <c r="I125" s="37" t="inlineStr">
        <is>
          <t>Tiền mặt</t>
        </is>
      </c>
      <c r="J125" s="29" t="n">
        <v>5000000</v>
      </c>
      <c r="K125" s="29">
        <f>IF(C125="Thu",J125,0)</f>
        <v/>
      </c>
      <c r="L125" s="29">
        <f>IF(C125="Chi",J125,0)</f>
        <v/>
      </c>
      <c r="M125" s="29">
        <f>K125-L125</f>
        <v/>
      </c>
    </row>
    <row r="126" ht="15.75" customHeight="1" s="56">
      <c r="A126" s="27" t="n">
        <v>46079</v>
      </c>
      <c r="B126" s="37" t="inlineStr">
        <is>
          <t>PC-02/2026-110</t>
        </is>
      </c>
      <c r="C126" s="37" t="inlineStr">
        <is>
          <t>Chi</t>
        </is>
      </c>
      <c r="D126" s="37" t="n"/>
      <c r="E126" s="37" t="n"/>
      <c r="F126" s="37" t="inlineStr">
        <is>
          <t>gửi chị Linh tờ bổ sung lệ phí trc bạ cho anh Hải thụ lý Linh Xuân - Chi quầy tiếp nhận</t>
        </is>
      </c>
      <c r="G126" s="37" t="inlineStr">
        <is>
          <t>Phòng Kế toán</t>
        </is>
      </c>
      <c r="H126" s="37" t="inlineStr">
        <is>
          <t>quầy tiếp nhận</t>
        </is>
      </c>
      <c r="I126" s="37" t="inlineStr">
        <is>
          <t>Tiền mặt</t>
        </is>
      </c>
      <c r="J126" s="29" t="n">
        <v>100000</v>
      </c>
      <c r="K126" s="29">
        <f>IF(C126="Thu",J126,0)</f>
        <v/>
      </c>
      <c r="L126" s="29">
        <f>IF(C126="Chi",J126,0)</f>
        <v/>
      </c>
      <c r="M126" s="29">
        <f>K126-L126</f>
        <v/>
      </c>
    </row>
    <row r="127" ht="15.75" customHeight="1" s="56">
      <c r="A127" s="27" t="n">
        <v>46079</v>
      </c>
      <c r="B127" s="37" t="inlineStr">
        <is>
          <t>PC-02/2026-111</t>
        </is>
      </c>
      <c r="C127" s="37" t="inlineStr">
        <is>
          <t>Chi</t>
        </is>
      </c>
      <c r="D127" s="37" t="n"/>
      <c r="E127" s="37" t="n"/>
      <c r="F127" s="37" t="inlineStr">
        <is>
          <t>gửi chị Huy nộp bản vẽ chiều 26/2 - Chi quầy tiếp nhận</t>
        </is>
      </c>
      <c r="G127" s="37" t="inlineStr">
        <is>
          <t>Phòng Kế toán</t>
        </is>
      </c>
      <c r="H127" s="37" t="inlineStr">
        <is>
          <t>Chị Huy</t>
        </is>
      </c>
      <c r="I127" s="37" t="inlineStr">
        <is>
          <t>Tiền mặt</t>
        </is>
      </c>
      <c r="J127" s="29" t="n">
        <v>100000</v>
      </c>
      <c r="K127" s="29">
        <f>IF(C127="Thu",J127,0)</f>
        <v/>
      </c>
      <c r="L127" s="29">
        <f>IF(C127="Chi",J127,0)</f>
        <v/>
      </c>
      <c r="M127" s="29">
        <f>K127-L127</f>
        <v/>
      </c>
    </row>
    <row r="128" ht="15.75" customHeight="1" s="56">
      <c r="A128" s="27" t="n">
        <v>46063</v>
      </c>
      <c r="B128" s="37" t="inlineStr">
        <is>
          <t>PC-02/2026-085</t>
        </is>
      </c>
      <c r="C128" s="37" t="inlineStr">
        <is>
          <t>Chi</t>
        </is>
      </c>
      <c r="D128" s="37" t="n"/>
      <c r="E128" s="37" t="n"/>
      <c r="F128" s="37" t="inlineStr">
        <is>
          <t>trái cây - Sinh hoạt gia đình</t>
        </is>
      </c>
      <c r="G128" s="37" t="inlineStr">
        <is>
          <t>Phòng Kế toán</t>
        </is>
      </c>
      <c r="H128" s="37" t="inlineStr">
        <is>
          <t>Hằng</t>
        </is>
      </c>
      <c r="I128" s="37" t="inlineStr">
        <is>
          <t>Tiền mặt</t>
        </is>
      </c>
      <c r="J128" s="29" t="n">
        <v>150000</v>
      </c>
      <c r="K128" s="29">
        <f>IF(C128="Thu",J128,0)</f>
        <v/>
      </c>
      <c r="L128" s="29">
        <f>IF(C128="Chi",J128,0)</f>
        <v/>
      </c>
      <c r="M128" s="29">
        <f>K128-L128</f>
        <v/>
      </c>
    </row>
    <row r="129" ht="15.75" customHeight="1" s="56">
      <c r="A129" s="27" t="n">
        <v>46063</v>
      </c>
      <c r="B129" s="37" t="inlineStr">
        <is>
          <t>PC-02/2026-086</t>
        </is>
      </c>
      <c r="C129" s="37" t="inlineStr">
        <is>
          <t>Chi</t>
        </is>
      </c>
      <c r="D129" s="37" t="n"/>
      <c r="E129" s="37" t="n"/>
      <c r="F129" s="37" t="inlineStr">
        <is>
          <t>gửi đơn rút hồ sơ Lê Tiến Nhật Minh cho anh Đức - Chuyển phát - Bưu chính-Grap</t>
        </is>
      </c>
      <c r="G129" s="37" t="inlineStr">
        <is>
          <t>Phòng Kế toán</t>
        </is>
      </c>
      <c r="H129" s="37" t="inlineStr">
        <is>
          <t>Grab</t>
        </is>
      </c>
      <c r="I129" s="37" t="inlineStr">
        <is>
          <t>Chuyển khoản</t>
        </is>
      </c>
      <c r="J129" s="29" t="n">
        <v>105000</v>
      </c>
      <c r="K129" s="29">
        <f>IF(C129="Thu",J129,0)</f>
        <v/>
      </c>
      <c r="L129" s="29">
        <f>IF(C129="Chi",J129,0)</f>
        <v/>
      </c>
      <c r="M129" s="29">
        <f>K129-L129</f>
        <v/>
      </c>
    </row>
    <row r="130" ht="15.75" customHeight="1" s="56">
      <c r="A130" s="27" t="n">
        <v>46063</v>
      </c>
      <c r="B130" s="37" t="inlineStr">
        <is>
          <t>PC-02/2026-087</t>
        </is>
      </c>
      <c r="C130" s="37" t="inlineStr">
        <is>
          <t>Chi</t>
        </is>
      </c>
      <c r="D130" s="37" t="n"/>
      <c r="E130" s="37" t="n"/>
      <c r="F130" s="37" t="inlineStr">
        <is>
          <t>gửi phí cho grab gửi anh Đức dùm - Công tác phí</t>
        </is>
      </c>
      <c r="G130" s="37" t="inlineStr">
        <is>
          <t>Phòng Kế toán</t>
        </is>
      </c>
      <c r="H130" s="37" t="inlineStr">
        <is>
          <t>Grab</t>
        </is>
      </c>
      <c r="I130" s="37" t="inlineStr">
        <is>
          <t>Tiền mặt</t>
        </is>
      </c>
      <c r="J130" s="29" t="n">
        <v>50000</v>
      </c>
      <c r="K130" s="29">
        <f>IF(C130="Thu",J130,0)</f>
        <v/>
      </c>
      <c r="L130" s="29">
        <f>IF(C130="Chi",J130,0)</f>
        <v/>
      </c>
      <c r="M130" s="29">
        <f>K130-L130</f>
        <v/>
      </c>
    </row>
    <row r="131" ht="15.75" customHeight="1" s="56">
      <c r="A131" s="27" t="n">
        <v>46063</v>
      </c>
      <c r="B131" s="37" t="inlineStr">
        <is>
          <t>PC-02/2026-088</t>
        </is>
      </c>
      <c r="C131" s="37" t="inlineStr">
        <is>
          <t>Chi</t>
        </is>
      </c>
      <c r="D131" s="37" t="n"/>
      <c r="E131" s="37" t="n"/>
      <c r="F131" s="37" t="inlineStr">
        <is>
          <t>tiền cơm - Ăn uống</t>
        </is>
      </c>
      <c r="G131" s="37" t="inlineStr">
        <is>
          <t>Phòng Kế toán</t>
        </is>
      </c>
      <c r="H131" s="37" t="inlineStr">
        <is>
          <t>Anh Hùng</t>
        </is>
      </c>
      <c r="I131" s="37" t="inlineStr">
        <is>
          <t>Chuyển khoản</t>
        </is>
      </c>
      <c r="J131" s="29" t="n">
        <v>385000</v>
      </c>
      <c r="K131" s="29">
        <f>IF(C131="Thu",J131,0)</f>
        <v/>
      </c>
      <c r="L131" s="29">
        <f>IF(C131="Chi",J131,0)</f>
        <v/>
      </c>
      <c r="M131" s="29">
        <f>K131-L131</f>
        <v/>
      </c>
    </row>
    <row r="132" ht="15.75" customHeight="1" s="56">
      <c r="A132" s="27" t="n">
        <v>46063</v>
      </c>
      <c r="B132" s="37" t="inlineStr">
        <is>
          <t>PC-02/2026-089</t>
        </is>
      </c>
      <c r="C132" s="37" t="inlineStr">
        <is>
          <t>Chi</t>
        </is>
      </c>
      <c r="D132" s="37" t="n"/>
      <c r="E132" s="37" t="n"/>
      <c r="F132" s="37" t="inlineStr">
        <is>
          <t>lấy sổ Võ Văn Ninh - Chi quầy tiếp nhận</t>
        </is>
      </c>
      <c r="G132" s="37" t="inlineStr">
        <is>
          <t>Phòng Kế toán</t>
        </is>
      </c>
      <c r="H132" s="37" t="inlineStr">
        <is>
          <t>quầy tiếp nhận</t>
        </is>
      </c>
      <c r="I132" s="37" t="inlineStr">
        <is>
          <t>Tiền mặt</t>
        </is>
      </c>
      <c r="J132" s="29" t="n">
        <v>100000</v>
      </c>
      <c r="K132" s="29">
        <f>IF(C132="Thu",J132,0)</f>
        <v/>
      </c>
      <c r="L132" s="29">
        <f>IF(C132="Chi",J132,0)</f>
        <v/>
      </c>
      <c r="M132" s="29">
        <f>K132-L132</f>
        <v/>
      </c>
    </row>
    <row r="133" ht="15.75" customHeight="1" s="56">
      <c r="A133" s="27" t="n">
        <v>46063</v>
      </c>
      <c r="B133" s="37" t="inlineStr">
        <is>
          <t>PC-02/2026-090</t>
        </is>
      </c>
      <c r="C133" s="37" t="inlineStr">
        <is>
          <t>Chi</t>
        </is>
      </c>
      <c r="D133" s="37" t="n"/>
      <c r="E133" s="37" t="n"/>
      <c r="F133" s="37" t="inlineStr">
        <is>
          <t>gửi bảo vệ báo cáo đo Nguyễn Mạnh Hùng (giúp anh Quân) - Chi bảo vệ</t>
        </is>
      </c>
      <c r="G133" s="37" t="inlineStr">
        <is>
          <t>Phòng Kế toán</t>
        </is>
      </c>
      <c r="H133" s="37" t="inlineStr">
        <is>
          <t>bảo vệ</t>
        </is>
      </c>
      <c r="I133" s="37" t="inlineStr">
        <is>
          <t>Tiền mặt</t>
        </is>
      </c>
      <c r="J133" s="29" t="n">
        <v>50000</v>
      </c>
      <c r="K133" s="29">
        <f>IF(C133="Thu",J133,0)</f>
        <v/>
      </c>
      <c r="L133" s="29">
        <f>IF(C133="Chi",J133,0)</f>
        <v/>
      </c>
      <c r="M133" s="29">
        <f>K133-L133</f>
        <v/>
      </c>
    </row>
    <row r="134" ht="15.75" customHeight="1" s="56">
      <c r="A134" s="27" t="n">
        <v>46063</v>
      </c>
      <c r="B134" s="37" t="inlineStr">
        <is>
          <t>PC-02/2026-091</t>
        </is>
      </c>
      <c r="C134" s="37" t="inlineStr">
        <is>
          <t>Chi</t>
        </is>
      </c>
      <c r="D134" s="37" t="n"/>
      <c r="E134" s="37" t="n"/>
      <c r="F134" s="37" t="inlineStr">
        <is>
          <t>023/BK-2026	Lê Quý - Chi thụ lý bản vẽ</t>
        </is>
      </c>
      <c r="G134" s="37" t="inlineStr">
        <is>
          <t>Phòng Kế toán</t>
        </is>
      </c>
      <c r="H134" s="37" t="inlineStr">
        <is>
          <t>Anh Văn Sáng</t>
        </is>
      </c>
      <c r="I134" s="37" t="inlineStr">
        <is>
          <t>Tiền mặt</t>
        </is>
      </c>
      <c r="J134" s="29" t="n">
        <v>1500000</v>
      </c>
      <c r="K134" s="29">
        <f>IF(C134="Thu",J134,0)</f>
        <v/>
      </c>
      <c r="L134" s="29">
        <f>IF(C134="Chi",J134,0)</f>
        <v/>
      </c>
      <c r="M134" s="29">
        <f>K134-L134</f>
        <v/>
      </c>
    </row>
    <row r="135" ht="15.75" customHeight="1" s="56">
      <c r="A135" s="27" t="n">
        <v>46063</v>
      </c>
      <c r="B135" s="37" t="inlineStr">
        <is>
          <t>PC-02/2026-092</t>
        </is>
      </c>
      <c r="C135" s="37" t="inlineStr">
        <is>
          <t>Chi</t>
        </is>
      </c>
      <c r="D135" s="37" t="n"/>
      <c r="E135" s="37" t="n"/>
      <c r="F135" s="37" t="inlineStr">
        <is>
          <t>gửi bv bv Lê Quý - Chi bảo vệ</t>
        </is>
      </c>
      <c r="G135" s="37" t="inlineStr">
        <is>
          <t>Phòng Kế toán</t>
        </is>
      </c>
      <c r="H135" s="37" t="inlineStr">
        <is>
          <t>bảo vệ</t>
        </is>
      </c>
      <c r="I135" s="37" t="inlineStr">
        <is>
          <t>Tiền mặt</t>
        </is>
      </c>
      <c r="J135" s="29" t="n">
        <v>50000</v>
      </c>
      <c r="K135" s="29">
        <f>IF(C135="Thu",J135,0)</f>
        <v/>
      </c>
      <c r="L135" s="29">
        <f>IF(C135="Chi",J135,0)</f>
        <v/>
      </c>
      <c r="M135" s="29">
        <f>K135-L135</f>
        <v/>
      </c>
    </row>
    <row r="136" ht="15.75" customHeight="1" s="56">
      <c r="A136" s="27" t="n">
        <v>46063</v>
      </c>
      <c r="B136" s="37" t="inlineStr">
        <is>
          <t>PC-02/2026-093</t>
        </is>
      </c>
      <c r="C136" s="37" t="inlineStr">
        <is>
          <t>Chi</t>
        </is>
      </c>
      <c r="D136" s="37" t="n"/>
      <c r="E136" s="37" t="n"/>
      <c r="F136" s="37" t="inlineStr">
        <is>
          <t>mua hoa - Sinh hoạt gia đình</t>
        </is>
      </c>
      <c r="G136" s="37" t="inlineStr">
        <is>
          <t>Phòng Kế toán</t>
        </is>
      </c>
      <c r="H136" s="37" t="inlineStr">
        <is>
          <t>Chị Vy</t>
        </is>
      </c>
      <c r="I136" s="37" t="inlineStr">
        <is>
          <t>Tiền mặt</t>
        </is>
      </c>
      <c r="J136" s="29" t="n">
        <v>25000</v>
      </c>
      <c r="K136" s="29">
        <f>IF(C136="Thu",J136,0)</f>
        <v/>
      </c>
      <c r="L136" s="29">
        <f>IF(C136="Chi",J136,0)</f>
        <v/>
      </c>
      <c r="M136" s="29">
        <f>K136-L136</f>
        <v/>
      </c>
    </row>
    <row r="137" ht="15.75" customHeight="1" s="56">
      <c r="A137" s="27" t="n">
        <v>46063</v>
      </c>
      <c r="B137" s="37" t="inlineStr">
        <is>
          <t>PC-02/2026-100</t>
        </is>
      </c>
      <c r="C137" s="37" t="inlineStr">
        <is>
          <t>Chi</t>
        </is>
      </c>
      <c r="D137" s="37" t="n"/>
      <c r="E137" s="37" t="n"/>
      <c r="F137" s="37" t="inlineStr">
        <is>
          <t>Đỗ Thị Mười (438) - Lấy bản vẽ</t>
        </is>
      </c>
      <c r="G137" s="37" t="inlineStr">
        <is>
          <t>Phòng Kế toán</t>
        </is>
      </c>
      <c r="H137" s="37" t="inlineStr">
        <is>
          <t>Chi nhánh số 2</t>
        </is>
      </c>
      <c r="I137" s="37" t="inlineStr">
        <is>
          <t>Chuyển khoản</t>
        </is>
      </c>
      <c r="J137" s="29" t="n">
        <v>97240</v>
      </c>
      <c r="K137" s="29">
        <f>IF(C137="Thu",J137,0)</f>
        <v/>
      </c>
      <c r="L137" s="29">
        <f>IF(C137="Chi",J137,0)</f>
        <v/>
      </c>
      <c r="M137" s="29">
        <f>K137-L137</f>
        <v/>
      </c>
    </row>
    <row r="138" ht="15.75" customHeight="1" s="56">
      <c r="A138" s="27" t="n">
        <v>46063</v>
      </c>
      <c r="B138" s="37" t="inlineStr">
        <is>
          <t>PC-02/2026-101</t>
        </is>
      </c>
      <c r="C138" s="37" t="inlineStr">
        <is>
          <t>Chi</t>
        </is>
      </c>
      <c r="D138" s="37" t="n"/>
      <c r="E138" s="37" t="n"/>
      <c r="F138" s="37" t="inlineStr">
        <is>
          <t>Lê Văn Mạnh (439) - Lấy bản vẽ</t>
        </is>
      </c>
      <c r="G138" s="37" t="inlineStr">
        <is>
          <t>Phòng Kế toán</t>
        </is>
      </c>
      <c r="H138" s="37" t="inlineStr">
        <is>
          <t>Chi nhánh số 2</t>
        </is>
      </c>
      <c r="I138" s="37" t="inlineStr">
        <is>
          <t>Chuyển khoản</t>
        </is>
      </c>
      <c r="J138" s="29" t="n">
        <v>110561</v>
      </c>
      <c r="K138" s="29">
        <f>IF(C138="Thu",J138,0)</f>
        <v/>
      </c>
      <c r="L138" s="29">
        <f>IF(C138="Chi",J138,0)</f>
        <v/>
      </c>
      <c r="M138" s="29">
        <f>K138-L138</f>
        <v/>
      </c>
    </row>
    <row r="139" ht="15.75" customHeight="1" s="56">
      <c r="A139" s="27" t="n">
        <v>46062</v>
      </c>
      <c r="B139" s="37" t="inlineStr">
        <is>
          <t>PC-02/2026-077</t>
        </is>
      </c>
      <c r="C139" s="37" t="inlineStr">
        <is>
          <t>Chi</t>
        </is>
      </c>
      <c r="D139" s="37" t="n"/>
      <c r="E139" s="37" t="n"/>
      <c r="F139" s="37" t="inlineStr">
        <is>
          <t>thanh toán trích lục Đặng Thị Hồng Trâm - Lấy trích lục</t>
        </is>
      </c>
      <c r="G139" s="37" t="inlineStr">
        <is>
          <t>Phòng Kế toán</t>
        </is>
      </c>
      <c r="H139" s="37" t="inlineStr">
        <is>
          <t>Chi nhánh số 2</t>
        </is>
      </c>
      <c r="I139" s="37" t="inlineStr">
        <is>
          <t>Chuyển khoản</t>
        </is>
      </c>
      <c r="J139" s="29" t="n">
        <v>200000</v>
      </c>
      <c r="K139" s="29">
        <f>IF(C139="Thu",J139,0)</f>
        <v/>
      </c>
      <c r="L139" s="29">
        <f>IF(C139="Chi",J139,0)</f>
        <v/>
      </c>
      <c r="M139" s="29">
        <f>K139-L139</f>
        <v/>
      </c>
    </row>
    <row r="140" ht="15.75" customHeight="1" s="56">
      <c r="A140" s="27" t="n">
        <v>46062</v>
      </c>
      <c r="B140" s="37" t="inlineStr">
        <is>
          <t>PC-02/2026-078</t>
        </is>
      </c>
      <c r="C140" s="37" t="inlineStr">
        <is>
          <t>Thu</t>
        </is>
      </c>
      <c r="D140" s="37" t="n"/>
      <c r="E140" s="37" t="n"/>
      <c r="F140" s="37" t="inlineStr">
        <is>
          <t>GIÁM ĐỐC NỘP QUỸ L4 THÁNG 2 - Bổ sung quỹ</t>
        </is>
      </c>
      <c r="G140" s="37" t="inlineStr">
        <is>
          <t>Phòng Kế toán</t>
        </is>
      </c>
      <c r="H140" s="37" t="inlineStr">
        <is>
          <t>GIÁM ĐỐC</t>
        </is>
      </c>
      <c r="I140" s="37" t="inlineStr">
        <is>
          <t>Tiền mặt</t>
        </is>
      </c>
      <c r="J140" s="29" t="n">
        <v>5000000</v>
      </c>
      <c r="K140" s="29">
        <f>IF(C140="Thu",J140,0)</f>
        <v/>
      </c>
      <c r="L140" s="29">
        <f>IF(C140="Chi",J140,0)</f>
        <v/>
      </c>
      <c r="M140" s="29">
        <f>K140-L140</f>
        <v/>
      </c>
    </row>
    <row r="141" ht="15.75" customHeight="1" s="56">
      <c r="A141" s="27" t="n">
        <v>46062</v>
      </c>
      <c r="B141" s="37" t="inlineStr">
        <is>
          <t>PC-02/2026-079</t>
        </is>
      </c>
      <c r="C141" s="37" t="inlineStr">
        <is>
          <t>Chi</t>
        </is>
      </c>
      <c r="D141" s="37" t="n"/>
      <c r="E141" s="37" t="n"/>
      <c r="F141" s="37" t="inlineStr">
        <is>
          <t>đóng thuế phi NN Nguyễn Thị An, Nguyễn Thị Kim Yến, Trần Đình Sĩ Tấn - Đóng thuế</t>
        </is>
      </c>
      <c r="G141" s="37" t="inlineStr">
        <is>
          <t>Phòng Kế toán</t>
        </is>
      </c>
      <c r="H141" s="37" t="inlineStr">
        <is>
          <t>Agribank</t>
        </is>
      </c>
      <c r="I141" s="37" t="inlineStr">
        <is>
          <t>Tiền mặt</t>
        </is>
      </c>
      <c r="J141" s="29" t="n">
        <v>569000</v>
      </c>
      <c r="K141" s="29">
        <f>IF(C141="Thu",J141,0)</f>
        <v/>
      </c>
      <c r="L141" s="29">
        <f>IF(C141="Chi",J141,0)</f>
        <v/>
      </c>
      <c r="M141" s="29">
        <f>K141-L141</f>
        <v/>
      </c>
    </row>
    <row r="142" ht="15.75" customHeight="1" s="56">
      <c r="A142" s="27" t="n">
        <v>46062</v>
      </c>
      <c r="B142" s="37" t="inlineStr">
        <is>
          <t>PC-02/2026-080</t>
        </is>
      </c>
      <c r="C142" s="37" t="inlineStr">
        <is>
          <t>Thu</t>
        </is>
      </c>
      <c r="D142" s="37" t="n"/>
      <c r="E142" s="37" t="n"/>
      <c r="F142" s="37" t="inlineStr">
        <is>
          <t>GIÁM ĐỐC NỘP QUỸ L5 THÁNG 2 - Bổ sung quỹ</t>
        </is>
      </c>
      <c r="G142" s="37" t="inlineStr">
        <is>
          <t>Phòng Kế toán</t>
        </is>
      </c>
      <c r="H142" s="37" t="inlineStr">
        <is>
          <t>GIÁM ĐỐC</t>
        </is>
      </c>
      <c r="I142" s="37" t="inlineStr">
        <is>
          <t>Tiền mặt</t>
        </is>
      </c>
      <c r="J142" s="29" t="n">
        <v>1000000</v>
      </c>
      <c r="K142" s="29">
        <f>IF(C142="Thu",J142,0)</f>
        <v/>
      </c>
      <c r="L142" s="29">
        <f>IF(C142="Chi",J142,0)</f>
        <v/>
      </c>
      <c r="M142" s="29">
        <f>K142-L142</f>
        <v/>
      </c>
    </row>
    <row r="143" ht="15.75" customHeight="1" s="56">
      <c r="A143" s="27" t="n">
        <v>46062</v>
      </c>
      <c r="B143" s="37" t="inlineStr">
        <is>
          <t>PC-02/2026-081</t>
        </is>
      </c>
      <c r="C143" s="37" t="inlineStr">
        <is>
          <t>Chi</t>
        </is>
      </c>
      <c r="D143" s="37" t="n"/>
      <c r="E143" s="37" t="n"/>
      <c r="F143" s="37" t="inlineStr">
        <is>
          <t>gửi anh Dân - Chi quầy tiếp nhận</t>
        </is>
      </c>
      <c r="G143" s="37" t="inlineStr">
        <is>
          <t>Phòng Kế toán</t>
        </is>
      </c>
      <c r="H143" s="37" t="inlineStr">
        <is>
          <t>Anh Dân</t>
        </is>
      </c>
      <c r="I143" s="37" t="inlineStr">
        <is>
          <t>Tiền mặt</t>
        </is>
      </c>
      <c r="J143" s="29" t="n">
        <v>1000000</v>
      </c>
      <c r="K143" s="29">
        <f>IF(C143="Thu",J143,0)</f>
        <v/>
      </c>
      <c r="L143" s="29">
        <f>IF(C143="Chi",J143,0)</f>
        <v/>
      </c>
      <c r="M143" s="29">
        <f>K143-L143</f>
        <v/>
      </c>
    </row>
    <row r="144" ht="15.75" customHeight="1" s="56">
      <c r="A144" s="27" t="n">
        <v>46062</v>
      </c>
      <c r="B144" s="37" t="inlineStr">
        <is>
          <t>PC-02/2026-082</t>
        </is>
      </c>
      <c r="C144" s="37" t="inlineStr">
        <is>
          <t>Chi</t>
        </is>
      </c>
      <c r="D144" s="37" t="n"/>
      <c r="E144" s="37" t="n"/>
      <c r="F144" s="37" t="inlineStr">
        <is>
          <t>nộp hs Hồ Trọng Dũng - Chi quầy tiếp nhận</t>
        </is>
      </c>
      <c r="G144" s="37" t="inlineStr">
        <is>
          <t>Phòng Kế toán</t>
        </is>
      </c>
      <c r="H144" s="37" t="inlineStr">
        <is>
          <t>quầy tiếp nhận</t>
        </is>
      </c>
      <c r="I144" s="37" t="inlineStr">
        <is>
          <t>Tiền mặt</t>
        </is>
      </c>
      <c r="J144" s="29" t="n">
        <v>100000</v>
      </c>
      <c r="K144" s="29">
        <f>IF(C144="Thu",J144,0)</f>
        <v/>
      </c>
      <c r="L144" s="29">
        <f>IF(C144="Chi",J144,0)</f>
        <v/>
      </c>
      <c r="M144" s="29">
        <f>K144-L144</f>
        <v/>
      </c>
    </row>
    <row r="145" ht="15.75" customHeight="1" s="56">
      <c r="A145" s="27" t="n">
        <v>46062</v>
      </c>
      <c r="B145" s="37" t="inlineStr">
        <is>
          <t>PC-02/2026-083</t>
        </is>
      </c>
      <c r="C145" s="37" t="inlineStr">
        <is>
          <t>Chi</t>
        </is>
      </c>
      <c r="D145" s="37" t="n"/>
      <c r="E145" s="37" t="n"/>
      <c r="F145" s="37" t="inlineStr">
        <is>
          <t>nộp chứng từ Võ Văn Ninh - Chi quầy tiếp nhận</t>
        </is>
      </c>
      <c r="G145" s="37" t="inlineStr">
        <is>
          <t>Phòng Kế toán</t>
        </is>
      </c>
      <c r="H145" s="37" t="inlineStr">
        <is>
          <t>quầy tiếp nhận</t>
        </is>
      </c>
      <c r="I145" s="37" t="inlineStr">
        <is>
          <t>Tiền mặt</t>
        </is>
      </c>
      <c r="J145" s="29" t="n">
        <v>100000</v>
      </c>
      <c r="K145" s="29">
        <f>IF(C145="Thu",J145,0)</f>
        <v/>
      </c>
      <c r="L145" s="29">
        <f>IF(C145="Chi",J145,0)</f>
        <v/>
      </c>
      <c r="M145" s="29">
        <f>K145-L145</f>
        <v/>
      </c>
    </row>
    <row r="146" ht="15.75" customHeight="1" s="56">
      <c r="A146" s="27" t="n">
        <v>46062</v>
      </c>
      <c r="B146" s="37" t="inlineStr">
        <is>
          <t>PC-02/2026-084</t>
        </is>
      </c>
      <c r="C146" s="37" t="inlineStr">
        <is>
          <t>Chi</t>
        </is>
      </c>
      <c r="D146" s="37" t="n"/>
      <c r="E146" s="37" t="n"/>
      <c r="F146" s="37" t="inlineStr">
        <is>
          <t>Võ Văn Ninh - Công tác phí</t>
        </is>
      </c>
      <c r="G146" s="37" t="inlineStr">
        <is>
          <t>Phòng Kế toán</t>
        </is>
      </c>
      <c r="H146" s="37" t="inlineStr">
        <is>
          <t>Chị Hoài</t>
        </is>
      </c>
      <c r="I146" s="37" t="inlineStr">
        <is>
          <t>Tiền mặt</t>
        </is>
      </c>
      <c r="J146" s="29" t="n">
        <v>2000000</v>
      </c>
      <c r="K146" s="29">
        <f>IF(C146="Thu",J146,0)</f>
        <v/>
      </c>
      <c r="L146" s="29">
        <f>IF(C146="Chi",J146,0)</f>
        <v/>
      </c>
      <c r="M146" s="29">
        <f>K146-L146</f>
        <v/>
      </c>
    </row>
    <row r="147" ht="15.75" customHeight="1" s="56">
      <c r="A147" s="27" t="n">
        <v>46060</v>
      </c>
      <c r="B147" s="37" t="inlineStr">
        <is>
          <t>PC-02/2026-071</t>
        </is>
      </c>
      <c r="C147" s="37" t="inlineStr">
        <is>
          <t>Chi</t>
        </is>
      </c>
      <c r="D147" s="37" t="n"/>
      <c r="E147" s="37" t="n"/>
      <c r="F147" s="37" t="inlineStr">
        <is>
          <t>531/BK-2025	Nguyễn Thị Ngọc Thảo - Chi thụ lý bản vẽ</t>
        </is>
      </c>
      <c r="G147" s="37" t="inlineStr">
        <is>
          <t>Phòng Kế toán</t>
        </is>
      </c>
      <c r="H147" s="37" t="inlineStr">
        <is>
          <t>Anh Mạnh Quân</t>
        </is>
      </c>
      <c r="I147" s="37" t="inlineStr">
        <is>
          <t>Tiền mặt</t>
        </is>
      </c>
      <c r="J147" s="29" t="n">
        <v>1500000</v>
      </c>
      <c r="K147" s="29">
        <f>IF(C147="Thu",J147,0)</f>
        <v/>
      </c>
      <c r="L147" s="29">
        <f>IF(C147="Chi",J147,0)</f>
        <v/>
      </c>
      <c r="M147" s="29">
        <f>K147-L147</f>
        <v/>
      </c>
    </row>
    <row r="148" ht="15.75" customHeight="1" s="56">
      <c r="A148" s="27" t="n">
        <v>46060</v>
      </c>
      <c r="B148" s="37" t="inlineStr">
        <is>
          <t>PC-02/2026-072</t>
        </is>
      </c>
      <c r="C148" s="37" t="inlineStr">
        <is>
          <t>Chi</t>
        </is>
      </c>
      <c r="D148" s="37" t="n"/>
      <c r="E148" s="37" t="n"/>
      <c r="F148" s="37" t="inlineStr">
        <is>
          <t>gửi bv bv Nguyễn Thị Ngọc Thảo - Chi bảo vệ</t>
        </is>
      </c>
      <c r="G148" s="37" t="inlineStr">
        <is>
          <t>Phòng Kế toán</t>
        </is>
      </c>
      <c r="H148" s="37" t="inlineStr">
        <is>
          <t>bảo vệ</t>
        </is>
      </c>
      <c r="I148" s="37" t="inlineStr">
        <is>
          <t>Tiền mặt</t>
        </is>
      </c>
      <c r="J148" s="29" t="n">
        <v>50000</v>
      </c>
      <c r="K148" s="29">
        <f>IF(C148="Thu",J148,0)</f>
        <v/>
      </c>
      <c r="L148" s="29">
        <f>IF(C148="Chi",J148,0)</f>
        <v/>
      </c>
      <c r="M148" s="29">
        <f>K148-L148</f>
        <v/>
      </c>
    </row>
    <row r="149" ht="15.75" customHeight="1" s="56">
      <c r="A149" s="27" t="n">
        <v>46060</v>
      </c>
      <c r="B149" s="37" t="inlineStr">
        <is>
          <t>PC-02/2026-073</t>
        </is>
      </c>
      <c r="C149" s="37" t="inlineStr">
        <is>
          <t>Chi</t>
        </is>
      </c>
      <c r="D149" s="37" t="n"/>
      <c r="E149" s="37" t="n"/>
      <c r="F149" s="37" t="inlineStr">
        <is>
          <t>trái cây - Sinh hoạt gia đình</t>
        </is>
      </c>
      <c r="G149" s="37" t="inlineStr">
        <is>
          <t>Phòng Kế toán</t>
        </is>
      </c>
      <c r="H149" s="37" t="inlineStr">
        <is>
          <t>Hằng</t>
        </is>
      </c>
      <c r="I149" s="37" t="inlineStr">
        <is>
          <t>Tiền mặt</t>
        </is>
      </c>
      <c r="J149" s="29" t="n">
        <v>70000</v>
      </c>
      <c r="K149" s="29">
        <f>IF(C149="Thu",J149,0)</f>
        <v/>
      </c>
      <c r="L149" s="29">
        <f>IF(C149="Chi",J149,0)</f>
        <v/>
      </c>
      <c r="M149" s="29">
        <f>K149-L149</f>
        <v/>
      </c>
    </row>
    <row r="150" ht="15.75" customHeight="1" s="56">
      <c r="A150" s="27" t="n">
        <v>46060</v>
      </c>
      <c r="B150" s="37" t="inlineStr">
        <is>
          <t>PC-02/2026-074</t>
        </is>
      </c>
      <c r="C150" s="37" t="inlineStr">
        <is>
          <t>Chi</t>
        </is>
      </c>
      <c r="D150" s="37" t="n"/>
      <c r="E150" s="37" t="n"/>
      <c r="F150" s="37" t="inlineStr">
        <is>
          <t>nộp hồ sơ tách thửa Trần Thị Ngọc Dung - Chi quầy tiếp nhận</t>
        </is>
      </c>
      <c r="G150" s="37" t="inlineStr">
        <is>
          <t>Phòng Kế toán</t>
        </is>
      </c>
      <c r="H150" s="37" t="inlineStr">
        <is>
          <t>quầy tiếp nhận</t>
        </is>
      </c>
      <c r="I150" s="37" t="inlineStr">
        <is>
          <t>Tiền mặt</t>
        </is>
      </c>
      <c r="J150" s="29" t="n">
        <v>200000</v>
      </c>
      <c r="K150" s="29">
        <f>IF(C150="Thu",J150,0)</f>
        <v/>
      </c>
      <c r="L150" s="29">
        <f>IF(C150="Chi",J150,0)</f>
        <v/>
      </c>
      <c r="M150" s="29">
        <f>K150-L150</f>
        <v/>
      </c>
    </row>
    <row r="151" ht="15.75" customHeight="1" s="56">
      <c r="A151" s="27" t="n">
        <v>46060</v>
      </c>
      <c r="B151" s="37" t="inlineStr">
        <is>
          <t>PC-02/2026-075</t>
        </is>
      </c>
      <c r="C151" s="37" t="inlineStr">
        <is>
          <t>Chi</t>
        </is>
      </c>
      <c r="D151" s="37" t="n"/>
      <c r="E151" s="37" t="n"/>
      <c r="F151" s="37" t="inlineStr">
        <is>
          <t>nộp bản vẽ sáng 7/2 - Chi quầy tiếp nhận</t>
        </is>
      </c>
      <c r="G151" s="37" t="inlineStr">
        <is>
          <t>Phòng Kế toán</t>
        </is>
      </c>
      <c r="H151" s="37" t="inlineStr">
        <is>
          <t>Chị Vân</t>
        </is>
      </c>
      <c r="I151" s="37" t="inlineStr">
        <is>
          <t>Tiền mặt</t>
        </is>
      </c>
      <c r="J151" s="29" t="n">
        <v>100000</v>
      </c>
      <c r="K151" s="29">
        <f>IF(C151="Thu",J151,0)</f>
        <v/>
      </c>
      <c r="L151" s="29">
        <f>IF(C151="Chi",J151,0)</f>
        <v/>
      </c>
      <c r="M151" s="29">
        <f>K151-L151</f>
        <v/>
      </c>
    </row>
    <row r="152" ht="15.75" customHeight="1" s="56">
      <c r="A152" s="27" t="n">
        <v>46060</v>
      </c>
      <c r="B152" s="37" t="inlineStr">
        <is>
          <t>PC-02/2026-076</t>
        </is>
      </c>
      <c r="C152" s="37" t="inlineStr">
        <is>
          <t>Chi</t>
        </is>
      </c>
      <c r="D152" s="37" t="n"/>
      <c r="E152" s="37" t="n"/>
      <c r="F152" s="37" t="inlineStr">
        <is>
          <t>tiền cơm - Ăn uống</t>
        </is>
      </c>
      <c r="G152" s="37" t="inlineStr">
        <is>
          <t>Phòng Kế toán</t>
        </is>
      </c>
      <c r="H152" s="37" t="inlineStr">
        <is>
          <t>Anh Hùng</t>
        </is>
      </c>
      <c r="I152" s="37" t="inlineStr">
        <is>
          <t>Chuyển khoản</t>
        </is>
      </c>
      <c r="J152" s="29" t="n">
        <v>1365000</v>
      </c>
      <c r="K152" s="29">
        <f>IF(C152="Thu",J152,0)</f>
        <v/>
      </c>
      <c r="L152" s="29">
        <f>IF(C152="Chi",J152,0)</f>
        <v/>
      </c>
      <c r="M152" s="29">
        <f>K152-L152</f>
        <v/>
      </c>
    </row>
    <row r="153" ht="15.75" customHeight="1" s="56">
      <c r="A153" s="27" t="n">
        <v>46059</v>
      </c>
      <c r="B153" s="37" t="inlineStr">
        <is>
          <t>PC-02/2026-054</t>
        </is>
      </c>
      <c r="C153" s="37" t="inlineStr">
        <is>
          <t>Chi</t>
        </is>
      </c>
      <c r="D153" s="37" t="n"/>
      <c r="E153" s="37" t="n"/>
      <c r="F153" s="37" t="inlineStr">
        <is>
          <t>trái cây - Sinh hoạt gia đình</t>
        </is>
      </c>
      <c r="G153" s="37" t="inlineStr">
        <is>
          <t>Phòng Kế toán</t>
        </is>
      </c>
      <c r="H153" s="37" t="inlineStr">
        <is>
          <t>Hằng</t>
        </is>
      </c>
      <c r="I153" s="37" t="inlineStr">
        <is>
          <t>Tiền mặt</t>
        </is>
      </c>
      <c r="J153" s="29" t="n">
        <v>55000</v>
      </c>
      <c r="K153" s="29">
        <f>IF(C153="Thu",J153,0)</f>
        <v/>
      </c>
      <c r="L153" s="29">
        <f>IF(C153="Chi",J153,0)</f>
        <v/>
      </c>
      <c r="M153" s="29">
        <f>K153-L153</f>
        <v/>
      </c>
    </row>
    <row r="154" ht="15.75" customHeight="1" s="56">
      <c r="A154" s="27" t="n">
        <v>46059</v>
      </c>
      <c r="B154" s="37" t="inlineStr">
        <is>
          <t>PC-02/2026-055</t>
        </is>
      </c>
      <c r="C154" s="37" t="inlineStr">
        <is>
          <t>Chi</t>
        </is>
      </c>
      <c r="D154" s="37" t="n"/>
      <c r="E154" s="37" t="n"/>
      <c r="F154" s="37" t="inlineStr">
        <is>
          <t>đổi tiền mặt cho khách (khách ck cho sếp) - Công tác phí</t>
        </is>
      </c>
      <c r="G154" s="37" t="inlineStr">
        <is>
          <t>Phòng Kế toán</t>
        </is>
      </c>
      <c r="H154" s="37" t="inlineStr">
        <is>
          <t>Anh Phước Tâm</t>
        </is>
      </c>
      <c r="I154" s="37" t="inlineStr">
        <is>
          <t>Tiền mặt</t>
        </is>
      </c>
      <c r="J154" s="29" t="n">
        <v>300000</v>
      </c>
      <c r="K154" s="29">
        <f>IF(C154="Thu",J154,0)</f>
        <v/>
      </c>
      <c r="L154" s="29">
        <f>IF(C154="Chi",J154,0)</f>
        <v/>
      </c>
      <c r="M154" s="29">
        <f>K154-L154</f>
        <v/>
      </c>
    </row>
    <row r="155" ht="15.75" customHeight="1" s="56">
      <c r="A155" s="27" t="n">
        <v>46059</v>
      </c>
      <c r="B155" s="37" t="inlineStr">
        <is>
          <t>PC-02/2026-056</t>
        </is>
      </c>
      <c r="C155" s="37" t="inlineStr">
        <is>
          <t>Chi</t>
        </is>
      </c>
      <c r="D155" s="37" t="n"/>
      <c r="E155" s="37" t="n"/>
      <c r="F155" s="37" t="inlineStr">
        <is>
          <t>kê khai thuế phi NN Lê Xuân Hưng, Nguyễn Thị Kim Yến - Đóng thuế</t>
        </is>
      </c>
      <c r="G155" s="37" t="inlineStr">
        <is>
          <t>Phòng Kế toán</t>
        </is>
      </c>
      <c r="H155" s="37" t="inlineStr">
        <is>
          <t>Chị Trâm</t>
        </is>
      </c>
      <c r="I155" s="37" t="inlineStr">
        <is>
          <t>Tiền mặt</t>
        </is>
      </c>
      <c r="J155" s="29" t="n">
        <v>300000</v>
      </c>
      <c r="K155" s="29">
        <f>IF(C155="Thu",J155,0)</f>
        <v/>
      </c>
      <c r="L155" s="29">
        <f>IF(C155="Chi",J155,0)</f>
        <v/>
      </c>
      <c r="M155" s="29">
        <f>K155-L155</f>
        <v/>
      </c>
    </row>
    <row r="156" ht="15.75" customHeight="1" s="56">
      <c r="A156" s="27" t="n">
        <v>46059</v>
      </c>
      <c r="B156" s="37" t="inlineStr">
        <is>
          <t>PC-02/2026-057</t>
        </is>
      </c>
      <c r="C156" s="37" t="inlineStr">
        <is>
          <t>Chi</t>
        </is>
      </c>
      <c r="D156" s="37" t="n"/>
      <c r="E156" s="37" t="n"/>
      <c r="F156" s="37" t="inlineStr">
        <is>
          <t>giao biên bản cọc ranh Đỗ Thị Trang - Chuyển phát - Bưu chính-Grap</t>
        </is>
      </c>
      <c r="G156" s="37" t="inlineStr">
        <is>
          <t>Phòng Kế toán</t>
        </is>
      </c>
      <c r="H156" s="37" t="inlineStr">
        <is>
          <t>grab</t>
        </is>
      </c>
      <c r="I156" s="37" t="inlineStr">
        <is>
          <t>Chuyển khoản</t>
        </is>
      </c>
      <c r="J156" s="29" t="n">
        <v>75000</v>
      </c>
      <c r="K156" s="29">
        <f>IF(C156="Thu",J156,0)</f>
        <v/>
      </c>
      <c r="L156" s="29">
        <f>IF(C156="Chi",J156,0)</f>
        <v/>
      </c>
      <c r="M156" s="29">
        <f>K156-L156</f>
        <v/>
      </c>
    </row>
    <row r="157" ht="15.75" customHeight="1" s="56">
      <c r="A157" s="27" t="n">
        <v>46059</v>
      </c>
      <c r="B157" s="37" t="inlineStr">
        <is>
          <t>PC-02/2026-058</t>
        </is>
      </c>
      <c r="C157" s="37" t="inlineStr">
        <is>
          <t>Thu</t>
        </is>
      </c>
      <c r="D157" s="37" t="n"/>
      <c r="E157" s="37" t="n"/>
      <c r="F157" s="37" t="inlineStr">
        <is>
          <t>Viết hồ sơ (Đinh Duy Tây) - Bổ sung quỹ</t>
        </is>
      </c>
      <c r="G157" s="37" t="inlineStr">
        <is>
          <t>Phòng Kế toán</t>
        </is>
      </c>
      <c r="H157" s="37" t="inlineStr">
        <is>
          <t>Anh Tùng BĐS</t>
        </is>
      </c>
      <c r="I157" s="37" t="inlineStr">
        <is>
          <t>Tiền mặt</t>
        </is>
      </c>
      <c r="J157" s="29" t="n">
        <v>200000</v>
      </c>
      <c r="K157" s="29">
        <f>IF(C157="Thu",J157,0)</f>
        <v/>
      </c>
      <c r="L157" s="29">
        <f>IF(C157="Chi",J157,0)</f>
        <v/>
      </c>
      <c r="M157" s="29">
        <f>K157-L157</f>
        <v/>
      </c>
    </row>
    <row r="158" ht="15.75" customHeight="1" s="56">
      <c r="A158" s="27" t="n">
        <v>46059</v>
      </c>
      <c r="B158" s="37" t="inlineStr">
        <is>
          <t>PC-02/2026-059</t>
        </is>
      </c>
      <c r="C158" s="37" t="inlineStr">
        <is>
          <t>Chi</t>
        </is>
      </c>
      <c r="D158" s="37" t="n"/>
      <c r="E158" s="37" t="n"/>
      <c r="F158" s="37" t="inlineStr">
        <is>
          <t>Đá 1m ( SL: 9) - Công tác phí</t>
        </is>
      </c>
      <c r="G158" s="37" t="inlineStr">
        <is>
          <t>Phòng Kế toán</t>
        </is>
      </c>
      <c r="H158" s="37" t="inlineStr">
        <is>
          <t>Anh Tập</t>
        </is>
      </c>
      <c r="I158" s="37" t="inlineStr">
        <is>
          <t>Chuyển khoản</t>
        </is>
      </c>
      <c r="J158" s="29" t="n">
        <v>450000</v>
      </c>
      <c r="K158" s="29">
        <f>IF(C158="Thu",J158,0)</f>
        <v/>
      </c>
      <c r="L158" s="29">
        <f>IF(C158="Chi",J158,0)</f>
        <v/>
      </c>
      <c r="M158" s="29">
        <f>K158-L158</f>
        <v/>
      </c>
    </row>
    <row r="159" ht="15.75" customHeight="1" s="56">
      <c r="A159" s="27" t="n">
        <v>46059</v>
      </c>
      <c r="B159" s="37" t="inlineStr">
        <is>
          <t>PC-02/2026-060</t>
        </is>
      </c>
      <c r="C159" s="37" t="inlineStr">
        <is>
          <t>Chi</t>
        </is>
      </c>
      <c r="D159" s="37" t="n"/>
      <c r="E159" s="37" t="n"/>
      <c r="F159" s="37" t="inlineStr">
        <is>
          <t>Dương Hồng Cẩm bổ sung (gửi chị Thủy) - Chi quầy tiếp nhận</t>
        </is>
      </c>
      <c r="G159" s="37" t="inlineStr">
        <is>
          <t>Phòng Kế toán</t>
        </is>
      </c>
      <c r="H159" s="37" t="inlineStr">
        <is>
          <t>Chị Thủy</t>
        </is>
      </c>
      <c r="I159" s="37" t="inlineStr">
        <is>
          <t>Tiền mặt</t>
        </is>
      </c>
      <c r="J159" s="29" t="n">
        <v>100000</v>
      </c>
      <c r="K159" s="29">
        <f>IF(C159="Thu",J159,0)</f>
        <v/>
      </c>
      <c r="L159" s="29">
        <f>IF(C159="Chi",J159,0)</f>
        <v/>
      </c>
      <c r="M159" s="29">
        <f>K159-L159</f>
        <v/>
      </c>
    </row>
    <row r="160" ht="15.75" customHeight="1" s="56">
      <c r="A160" s="27" t="n">
        <v>46059</v>
      </c>
      <c r="B160" s="37" t="inlineStr">
        <is>
          <t>PC-02/2026-061</t>
        </is>
      </c>
      <c r="C160" s="37" t="inlineStr">
        <is>
          <t>Chi</t>
        </is>
      </c>
      <c r="D160" s="37" t="n"/>
      <c r="E160" s="37" t="n"/>
      <c r="F160" s="37" t="inlineStr">
        <is>
          <t>nộp bản vẽ chiều 6/2 - Chi quầy tiếp nhận</t>
        </is>
      </c>
      <c r="G160" s="37" t="inlineStr">
        <is>
          <t>Phòng Kế toán</t>
        </is>
      </c>
      <c r="H160" s="37" t="inlineStr">
        <is>
          <t>Chị Vân</t>
        </is>
      </c>
      <c r="I160" s="37" t="inlineStr">
        <is>
          <t>Tiền mặt</t>
        </is>
      </c>
      <c r="J160" s="29" t="n">
        <v>100000</v>
      </c>
      <c r="K160" s="29">
        <f>IF(C160="Thu",J160,0)</f>
        <v/>
      </c>
      <c r="L160" s="29">
        <f>IF(C160="Chi",J160,0)</f>
        <v/>
      </c>
      <c r="M160" s="29">
        <f>K160-L160</f>
        <v/>
      </c>
    </row>
    <row r="161" ht="15.75" customHeight="1" s="56">
      <c r="A161" s="27" t="n">
        <v>46059</v>
      </c>
      <c r="B161" s="37" t="inlineStr">
        <is>
          <t>PC-02/2026-062</t>
        </is>
      </c>
      <c r="C161" s="37" t="inlineStr">
        <is>
          <t>Chi</t>
        </is>
      </c>
      <c r="D161" s="37" t="n"/>
      <c r="E161" s="37" t="n"/>
      <c r="F161" s="37" t="inlineStr">
        <is>
          <t>Trần Ngọc Anh Tú - Phạm Thị Huệ - Đóng thuế</t>
        </is>
      </c>
      <c r="G161" s="37" t="inlineStr">
        <is>
          <t>Phòng Kế toán</t>
        </is>
      </c>
      <c r="H161" s="37" t="inlineStr">
        <is>
          <t>Anh Phúc thuế</t>
        </is>
      </c>
      <c r="I161" s="37" t="inlineStr">
        <is>
          <t>Tiền mặt</t>
        </is>
      </c>
      <c r="J161" s="29" t="n">
        <v>2000000</v>
      </c>
      <c r="K161" s="29">
        <f>IF(C161="Thu",J161,0)</f>
        <v/>
      </c>
      <c r="L161" s="29">
        <f>IF(C161="Chi",J161,0)</f>
        <v/>
      </c>
      <c r="M161" s="29">
        <f>K161-L161</f>
        <v/>
      </c>
    </row>
    <row r="162" ht="15.75" customHeight="1" s="56">
      <c r="A162" s="27" t="n">
        <v>46059</v>
      </c>
      <c r="B162" s="37" t="inlineStr">
        <is>
          <t>PC-02/2026-063</t>
        </is>
      </c>
      <c r="C162" s="37" t="inlineStr">
        <is>
          <t>Chi</t>
        </is>
      </c>
      <c r="D162" s="37" t="n"/>
      <c r="E162" s="37" t="n"/>
      <c r="F162" s="37" t="inlineStr">
        <is>
          <t>kê khai thuế phi NN Nguyễn Thị An - Đóng thuế</t>
        </is>
      </c>
      <c r="G162" s="37" t="inlineStr">
        <is>
          <t>Phòng Kế toán</t>
        </is>
      </c>
      <c r="H162" s="37" t="inlineStr">
        <is>
          <t>Chị Trâm thuế</t>
        </is>
      </c>
      <c r="I162" s="37" t="inlineStr">
        <is>
          <t>Tiền mặt</t>
        </is>
      </c>
      <c r="J162" s="29" t="n">
        <v>300000</v>
      </c>
      <c r="K162" s="29">
        <f>IF(C162="Thu",J162,0)</f>
        <v/>
      </c>
      <c r="L162" s="29">
        <f>IF(C162="Chi",J162,0)</f>
        <v/>
      </c>
      <c r="M162" s="29">
        <f>K162-L162</f>
        <v/>
      </c>
    </row>
    <row r="163" ht="15.75" customHeight="1" s="56">
      <c r="A163" s="27" t="n">
        <v>46059</v>
      </c>
      <c r="B163" s="37" t="inlineStr">
        <is>
          <t>PC-02/2026-064</t>
        </is>
      </c>
      <c r="C163" s="37" t="inlineStr">
        <is>
          <t>Chi</t>
        </is>
      </c>
      <c r="D163" s="37" t="n"/>
      <c r="E163" s="37" t="n"/>
      <c r="F163" s="37" t="inlineStr">
        <is>
          <t>Phạm Hồng Sỹ (409) - Lấy bản vẽ</t>
        </is>
      </c>
      <c r="G163" s="37" t="inlineStr">
        <is>
          <t>Phòng Kế toán</t>
        </is>
      </c>
      <c r="H163" s="37" t="inlineStr">
        <is>
          <t>Chi nhánh số 2</t>
        </is>
      </c>
      <c r="I163" s="37" t="inlineStr">
        <is>
          <t>Chuyển khoản</t>
        </is>
      </c>
      <c r="J163" s="29" t="n">
        <v>109760</v>
      </c>
      <c r="K163" s="29">
        <f>IF(C163="Thu",J163,0)</f>
        <v/>
      </c>
      <c r="L163" s="29">
        <f>IF(C163="Chi",J163,0)</f>
        <v/>
      </c>
      <c r="M163" s="29">
        <f>K163-L163</f>
        <v/>
      </c>
    </row>
    <row r="164" ht="15.75" customHeight="1" s="56">
      <c r="A164" s="27" t="n">
        <v>46059</v>
      </c>
      <c r="B164" s="37" t="inlineStr">
        <is>
          <t>PC-02/2026-065</t>
        </is>
      </c>
      <c r="C164" s="37" t="inlineStr">
        <is>
          <t>Chi</t>
        </is>
      </c>
      <c r="D164" s="37" t="n"/>
      <c r="E164" s="37" t="n"/>
      <c r="F164" s="37" t="inlineStr">
        <is>
          <t>Nguyễn Thị Kim Yến (117) - Lấy bản vẽ</t>
        </is>
      </c>
      <c r="G164" s="37" t="inlineStr">
        <is>
          <t>Phòng Kế toán</t>
        </is>
      </c>
      <c r="H164" s="37" t="inlineStr">
        <is>
          <t>Chi nhánh số 2</t>
        </is>
      </c>
      <c r="I164" s="37" t="inlineStr">
        <is>
          <t>Chuyển khoản</t>
        </is>
      </c>
      <c r="J164" s="29" t="n">
        <v>299790</v>
      </c>
      <c r="K164" s="29">
        <f>IF(C164="Thu",J164,0)</f>
        <v/>
      </c>
      <c r="L164" s="29">
        <f>IF(C164="Chi",J164,0)</f>
        <v/>
      </c>
      <c r="M164" s="29">
        <f>K164-L164</f>
        <v/>
      </c>
    </row>
    <row r="165" ht="15.75" customHeight="1" s="56">
      <c r="A165" s="27" t="n">
        <v>46059</v>
      </c>
      <c r="B165" s="37" t="inlineStr">
        <is>
          <t>PC-02/2026-066</t>
        </is>
      </c>
      <c r="C165" s="37" t="inlineStr">
        <is>
          <t>Chi</t>
        </is>
      </c>
      <c r="D165" s="37" t="n"/>
      <c r="E165" s="37" t="n"/>
      <c r="F165" s="37" t="inlineStr">
        <is>
          <t>Nguyễn Thị An (112) - Lấy bản vẽ</t>
        </is>
      </c>
      <c r="G165" s="37" t="inlineStr">
        <is>
          <t>Phòng Kế toán</t>
        </is>
      </c>
      <c r="H165" s="37" t="inlineStr">
        <is>
          <t>Chi nhánh số 2</t>
        </is>
      </c>
      <c r="I165" s="37" t="inlineStr">
        <is>
          <t>Chuyển khoản</t>
        </is>
      </c>
      <c r="J165" s="29" t="n">
        <v>117710</v>
      </c>
      <c r="K165" s="29">
        <f>IF(C165="Thu",J165,0)</f>
        <v/>
      </c>
      <c r="L165" s="29">
        <f>IF(C165="Chi",J165,0)</f>
        <v/>
      </c>
      <c r="M165" s="29">
        <f>K165-L165</f>
        <v/>
      </c>
    </row>
    <row r="166" ht="15.75" customHeight="1" s="56">
      <c r="A166" s="27" t="n">
        <v>46059</v>
      </c>
      <c r="B166" s="37" t="inlineStr">
        <is>
          <t>PC-02/2026-067</t>
        </is>
      </c>
      <c r="C166" s="37" t="inlineStr">
        <is>
          <t>Chi</t>
        </is>
      </c>
      <c r="D166" s="37" t="n"/>
      <c r="E166" s="37" t="n"/>
      <c r="F166" s="37" t="inlineStr">
        <is>
          <t>079/BK-2026	Nguyễn Quỳnh Lê - Chi thụ lý bản vẽ</t>
        </is>
      </c>
      <c r="G166" s="37" t="inlineStr">
        <is>
          <t>Phòng Kế toán</t>
        </is>
      </c>
      <c r="H166" s="37" t="inlineStr">
        <is>
          <t>Chị Hồng</t>
        </is>
      </c>
      <c r="I166" s="37" t="inlineStr">
        <is>
          <t>Tiền mặt</t>
        </is>
      </c>
      <c r="J166" s="29" t="n">
        <v>1500000</v>
      </c>
      <c r="K166" s="29">
        <f>IF(C166="Thu",J166,0)</f>
        <v/>
      </c>
      <c r="L166" s="29">
        <f>IF(C166="Chi",J166,0)</f>
        <v/>
      </c>
      <c r="M166" s="29">
        <f>K166-L166</f>
        <v/>
      </c>
    </row>
    <row r="167" ht="15.75" customHeight="1" s="56">
      <c r="A167" s="27" t="n">
        <v>46059</v>
      </c>
      <c r="B167" s="37" t="inlineStr">
        <is>
          <t>PC-02/2026-068</t>
        </is>
      </c>
      <c r="C167" s="37" t="inlineStr">
        <is>
          <t>Chi</t>
        </is>
      </c>
      <c r="D167" s="37" t="n"/>
      <c r="E167" s="37" t="n"/>
      <c r="F167" s="37" t="inlineStr">
        <is>
          <t>gửi bv bv Nguyễn Quỳnh Lê - Chi bảo vệ</t>
        </is>
      </c>
      <c r="G167" s="37" t="inlineStr">
        <is>
          <t>Phòng Kế toán</t>
        </is>
      </c>
      <c r="H167" s="37" t="inlineStr">
        <is>
          <t>bảo vệ</t>
        </is>
      </c>
      <c r="I167" s="37" t="inlineStr">
        <is>
          <t>Tiền mặt</t>
        </is>
      </c>
      <c r="J167" s="29" t="n">
        <v>50000</v>
      </c>
      <c r="K167" s="29">
        <f>IF(C167="Thu",J167,0)</f>
        <v/>
      </c>
      <c r="L167" s="29">
        <f>IF(C167="Chi",J167,0)</f>
        <v/>
      </c>
      <c r="M167" s="29">
        <f>K167-L167</f>
        <v/>
      </c>
    </row>
    <row r="168" ht="15.75" customHeight="1" s="56">
      <c r="A168" s="27" t="n">
        <v>46059</v>
      </c>
      <c r="B168" s="37" t="inlineStr">
        <is>
          <t>PC-02/2026-069</t>
        </is>
      </c>
      <c r="C168" s="37" t="inlineStr">
        <is>
          <t>Chi</t>
        </is>
      </c>
      <c r="D168" s="37" t="n"/>
      <c r="E168" s="37" t="n"/>
      <c r="F168" s="37" t="inlineStr">
        <is>
          <t>gửi bản vẽ Đặng Văn Lẹ + phiếu trả cho Anh Long - Chuyển phát - Bưu chính-Grap</t>
        </is>
      </c>
      <c r="G168" s="37" t="inlineStr">
        <is>
          <t>Phòng Kế toán</t>
        </is>
      </c>
      <c r="H168" s="37" t="inlineStr">
        <is>
          <t>Grab</t>
        </is>
      </c>
      <c r="I168" s="37" t="inlineStr">
        <is>
          <t>Chuyển khoản</t>
        </is>
      </c>
      <c r="J168" s="29" t="n">
        <v>60000</v>
      </c>
      <c r="K168" s="29">
        <f>IF(C168="Thu",J168,0)</f>
        <v/>
      </c>
      <c r="L168" s="29">
        <f>IF(C168="Chi",J168,0)</f>
        <v/>
      </c>
      <c r="M168" s="29">
        <f>K168-L168</f>
        <v/>
      </c>
    </row>
    <row r="169" ht="15.75" customHeight="1" s="56">
      <c r="A169" s="27" t="n">
        <v>46059</v>
      </c>
      <c r="B169" s="37" t="inlineStr">
        <is>
          <t>PC-02/2026-070</t>
        </is>
      </c>
      <c r="C169" s="37" t="inlineStr">
        <is>
          <t>Chi</t>
        </is>
      </c>
      <c r="D169" s="37" t="n"/>
      <c r="E169" s="37" t="n"/>
      <c r="F169" s="37" t="inlineStr">
        <is>
          <t>nộp hs tầng đất mặt Lê Tiến Nhật Minh - Chi quầy tiếp nhận</t>
        </is>
      </c>
      <c r="G169" s="37" t="inlineStr">
        <is>
          <t>Phòng Kế toán</t>
        </is>
      </c>
      <c r="H169" s="37" t="inlineStr">
        <is>
          <t>Anh Đức</t>
        </is>
      </c>
      <c r="I169" s="37" t="inlineStr">
        <is>
          <t>Tiền mặt</t>
        </is>
      </c>
      <c r="J169" s="29" t="n">
        <v>200000</v>
      </c>
      <c r="K169" s="29">
        <f>IF(C169="Thu",J169,0)</f>
        <v/>
      </c>
      <c r="L169" s="29">
        <f>IF(C169="Chi",J169,0)</f>
        <v/>
      </c>
      <c r="M169" s="29">
        <f>K169-L169</f>
        <v/>
      </c>
    </row>
    <row r="170" ht="15.75" customHeight="1" s="56">
      <c r="A170" s="27" t="n">
        <v>46058</v>
      </c>
      <c r="B170" s="37" t="inlineStr">
        <is>
          <t>PC-02/2026-043</t>
        </is>
      </c>
      <c r="C170" s="37" t="inlineStr">
        <is>
          <t>Chi</t>
        </is>
      </c>
      <c r="D170" s="37" t="n"/>
      <c r="E170" s="37" t="n"/>
      <c r="F170" s="37" t="inlineStr">
        <is>
          <t>nộp hs Nguyễn Thị Trúc Thanh - Hoàng Phi Hải - Chi quầy tiếp nhận</t>
        </is>
      </c>
      <c r="G170" s="37" t="inlineStr">
        <is>
          <t>Phòng Kế toán</t>
        </is>
      </c>
      <c r="H170" s="37" t="inlineStr">
        <is>
          <t>quầy tiếp nhận</t>
        </is>
      </c>
      <c r="I170" s="37" t="inlineStr">
        <is>
          <t>Tiền mặt</t>
        </is>
      </c>
      <c r="J170" s="29" t="n">
        <v>100000</v>
      </c>
      <c r="K170" s="29">
        <f>IF(C170="Thu",J170,0)</f>
        <v/>
      </c>
      <c r="L170" s="29">
        <f>IF(C170="Chi",J170,0)</f>
        <v/>
      </c>
      <c r="M170" s="29">
        <f>K170-L170</f>
        <v/>
      </c>
    </row>
    <row r="171" ht="15.75" customHeight="1" s="56">
      <c r="A171" s="27" t="n">
        <v>46058</v>
      </c>
      <c r="B171" s="37" t="inlineStr">
        <is>
          <t>PC-02/2026-044</t>
        </is>
      </c>
      <c r="C171" s="37" t="inlineStr">
        <is>
          <t>Chi</t>
        </is>
      </c>
      <c r="D171" s="37" t="n"/>
      <c r="E171" s="37" t="n"/>
      <c r="F171" s="37" t="inlineStr">
        <is>
          <t>nộp bản vẽ sáng 5/2 - Chi quầy tiếp nhận</t>
        </is>
      </c>
      <c r="G171" s="37" t="inlineStr">
        <is>
          <t>Phòng Kế toán</t>
        </is>
      </c>
      <c r="H171" s="37" t="inlineStr">
        <is>
          <t>Chị Vân</t>
        </is>
      </c>
      <c r="I171" s="37" t="inlineStr">
        <is>
          <t>Tiền mặt</t>
        </is>
      </c>
      <c r="J171" s="29" t="n">
        <v>100000</v>
      </c>
      <c r="K171" s="29">
        <f>IF(C171="Thu",J171,0)</f>
        <v/>
      </c>
      <c r="L171" s="29">
        <f>IF(C171="Chi",J171,0)</f>
        <v/>
      </c>
      <c r="M171" s="29">
        <f>K171-L171</f>
        <v/>
      </c>
    </row>
    <row r="172" ht="15.75" customHeight="1" s="56">
      <c r="A172" s="27" t="n">
        <v>46058</v>
      </c>
      <c r="B172" s="37" t="inlineStr">
        <is>
          <t>PC-02/2026-045</t>
        </is>
      </c>
      <c r="C172" s="37" t="inlineStr">
        <is>
          <t>Chi</t>
        </is>
      </c>
      <c r="D172" s="37" t="n"/>
      <c r="E172" s="37" t="n"/>
      <c r="F172" s="37" t="inlineStr">
        <is>
          <t>033/BK-2026	Lê Văn Mạnh - Chi thụ lý bản vẽ</t>
        </is>
      </c>
      <c r="G172" s="37" t="inlineStr">
        <is>
          <t>Phòng Kế toán</t>
        </is>
      </c>
      <c r="H172" s="37" t="inlineStr">
        <is>
          <t>Anh Công Trưởng</t>
        </is>
      </c>
      <c r="I172" s="37" t="inlineStr">
        <is>
          <t>Tiền mặt</t>
        </is>
      </c>
      <c r="J172" s="29" t="n">
        <v>1500000</v>
      </c>
      <c r="K172" s="29">
        <f>IF(C172="Thu",J172,0)</f>
        <v/>
      </c>
      <c r="L172" s="29">
        <f>IF(C172="Chi",J172,0)</f>
        <v/>
      </c>
      <c r="M172" s="29">
        <f>K172-L172</f>
        <v/>
      </c>
    </row>
    <row r="173" ht="15.75" customHeight="1" s="56">
      <c r="A173" s="27" t="n">
        <v>46058</v>
      </c>
      <c r="B173" s="37" t="inlineStr">
        <is>
          <t>PC-02/2026-046</t>
        </is>
      </c>
      <c r="C173" s="37" t="inlineStr">
        <is>
          <t>Chi</t>
        </is>
      </c>
      <c r="D173" s="37" t="n"/>
      <c r="E173" s="37" t="n"/>
      <c r="F173" s="37" t="inlineStr">
        <is>
          <t>034/BK-2026	Đỗ Thị Mười - Chi thụ lý bản vẽ</t>
        </is>
      </c>
      <c r="G173" s="37" t="inlineStr">
        <is>
          <t>Phòng Kế toán</t>
        </is>
      </c>
      <c r="H173" s="37" t="inlineStr">
        <is>
          <t>Anh Công Trưởng</t>
        </is>
      </c>
      <c r="I173" s="37" t="inlineStr">
        <is>
          <t>Tiền mặt</t>
        </is>
      </c>
      <c r="J173" s="29" t="n">
        <v>1500000</v>
      </c>
      <c r="K173" s="29">
        <f>IF(C173="Thu",J173,0)</f>
        <v/>
      </c>
      <c r="L173" s="29">
        <f>IF(C173="Chi",J173,0)</f>
        <v/>
      </c>
      <c r="M173" s="29">
        <f>K173-L173</f>
        <v/>
      </c>
    </row>
    <row r="174" ht="15.75" customHeight="1" s="56">
      <c r="A174" s="27" t="n">
        <v>46058</v>
      </c>
      <c r="B174" s="37" t="inlineStr">
        <is>
          <t>PC-02/2026-047</t>
        </is>
      </c>
      <c r="C174" s="37" t="inlineStr">
        <is>
          <t>Chi</t>
        </is>
      </c>
      <c r="D174" s="37" t="n"/>
      <c r="E174" s="37" t="n"/>
      <c r="F174" s="37" t="inlineStr">
        <is>
          <t>gửi bảo vệ bản vẽ Lê Văn Mạnh, Đỗ Thị Mười - Chi bảo vệ</t>
        </is>
      </c>
      <c r="G174" s="37" t="inlineStr">
        <is>
          <t>Phòng Kế toán</t>
        </is>
      </c>
      <c r="H174" s="37" t="inlineStr">
        <is>
          <t>bảo vệ</t>
        </is>
      </c>
      <c r="I174" s="37" t="inlineStr">
        <is>
          <t>Tiền mặt</t>
        </is>
      </c>
      <c r="J174" s="29" t="n">
        <v>50000</v>
      </c>
      <c r="K174" s="29">
        <f>IF(C174="Thu",J174,0)</f>
        <v/>
      </c>
      <c r="L174" s="29">
        <f>IF(C174="Chi",J174,0)</f>
        <v/>
      </c>
      <c r="M174" s="29">
        <f>K174-L174</f>
        <v/>
      </c>
    </row>
    <row r="175" ht="15.75" customHeight="1" s="56">
      <c r="A175" s="27" t="n">
        <v>46058</v>
      </c>
      <c r="B175" s="37" t="inlineStr">
        <is>
          <t>PC-02/2026-048</t>
        </is>
      </c>
      <c r="C175" s="37" t="inlineStr">
        <is>
          <t>Chi</t>
        </is>
      </c>
      <c r="D175" s="37" t="n"/>
      <c r="E175" s="37" t="n"/>
      <c r="F175" s="37" t="inlineStr">
        <is>
          <t>gửi bảo vệ lại BV Lê Văn Mạnh - Chi bảo vệ</t>
        </is>
      </c>
      <c r="G175" s="37" t="inlineStr">
        <is>
          <t>Phòng Kế toán</t>
        </is>
      </c>
      <c r="H175" s="37" t="inlineStr">
        <is>
          <t>bảo vệ</t>
        </is>
      </c>
      <c r="I175" s="37" t="inlineStr">
        <is>
          <t>Tiền mặt</t>
        </is>
      </c>
      <c r="J175" s="29" t="n">
        <v>40000</v>
      </c>
      <c r="K175" s="29">
        <f>IF(C175="Thu",J175,0)</f>
        <v/>
      </c>
      <c r="L175" s="29">
        <f>IF(C175="Chi",J175,0)</f>
        <v/>
      </c>
      <c r="M175" s="29">
        <f>K175-L175</f>
        <v/>
      </c>
    </row>
    <row r="176" ht="15.75" customHeight="1" s="56">
      <c r="A176" s="27" t="n">
        <v>46058</v>
      </c>
      <c r="B176" s="37" t="inlineStr">
        <is>
          <t>PC-02/2026-050</t>
        </is>
      </c>
      <c r="C176" s="37" t="inlineStr">
        <is>
          <t>Chi</t>
        </is>
      </c>
      <c r="D176" s="37" t="n"/>
      <c r="E176" s="37" t="n"/>
      <c r="F176" s="37" t="inlineStr">
        <is>
          <t>3 trụ xi măng - Công tác phí</t>
        </is>
      </c>
      <c r="G176" s="37" t="inlineStr">
        <is>
          <t>Phòng Kế toán</t>
        </is>
      </c>
      <c r="H176" s="37" t="inlineStr">
        <is>
          <t>Anh Xây</t>
        </is>
      </c>
      <c r="I176" s="37" t="inlineStr">
        <is>
          <t>Chuyển khoản</t>
        </is>
      </c>
      <c r="J176" s="29" t="n">
        <v>150000</v>
      </c>
      <c r="K176" s="29">
        <f>IF(C176="Thu",J176,0)</f>
        <v/>
      </c>
      <c r="L176" s="29">
        <f>IF(C176="Chi",J176,0)</f>
        <v/>
      </c>
      <c r="M176" s="29">
        <f>K176-L176</f>
        <v/>
      </c>
    </row>
    <row r="177" ht="15.75" customHeight="1" s="56">
      <c r="A177" s="27" t="n">
        <v>46058</v>
      </c>
      <c r="B177" s="37" t="inlineStr">
        <is>
          <t>PC-02/2026-051</t>
        </is>
      </c>
      <c r="C177" s="37" t="inlineStr">
        <is>
          <t>Thu</t>
        </is>
      </c>
      <c r="D177" s="37" t="n"/>
      <c r="E177" s="37" t="n"/>
      <c r="F177" s="37" t="inlineStr">
        <is>
          <t>Viết hồ sơ (Nguyễn Đăng Thọ - Huỳnh Thị Lan Chi ) - Bổ sung quỹ</t>
        </is>
      </c>
      <c r="G177" s="37" t="inlineStr">
        <is>
          <t>Phòng Kế toán</t>
        </is>
      </c>
      <c r="H177" s="37" t="inlineStr">
        <is>
          <t>Anh Thanh Sang Land</t>
        </is>
      </c>
      <c r="I177" s="37" t="inlineStr">
        <is>
          <t>Tiền mặt</t>
        </is>
      </c>
      <c r="J177" s="29" t="n">
        <v>200000</v>
      </c>
      <c r="K177" s="29">
        <f>IF(C177="Thu",J177,0)</f>
        <v/>
      </c>
      <c r="L177" s="29">
        <f>IF(C177="Chi",J177,0)</f>
        <v/>
      </c>
      <c r="M177" s="29">
        <f>K177-L177</f>
        <v/>
      </c>
    </row>
    <row r="178" ht="15.75" customHeight="1" s="56">
      <c r="A178" s="27" t="n">
        <v>46058</v>
      </c>
      <c r="B178" s="37" t="inlineStr">
        <is>
          <t>PC-02/2026-052</t>
        </is>
      </c>
      <c r="C178" s="37" t="inlineStr">
        <is>
          <t>Chi</t>
        </is>
      </c>
      <c r="D178" s="37" t="n"/>
      <c r="E178" s="37" t="n"/>
      <c r="F178" s="37" t="inlineStr">
        <is>
          <t>gửi đề nghị thanh toán cho anh Thanh - Chuyển phát - Bưu chính-Grap</t>
        </is>
      </c>
      <c r="G178" s="37" t="inlineStr">
        <is>
          <t>Phòng Kế toán</t>
        </is>
      </c>
      <c r="H178" s="37" t="inlineStr">
        <is>
          <t>Grab</t>
        </is>
      </c>
      <c r="I178" s="37" t="inlineStr">
        <is>
          <t>Chuyển khoản</t>
        </is>
      </c>
      <c r="J178" s="29" t="n">
        <v>75000</v>
      </c>
      <c r="K178" s="29">
        <f>IF(C178="Thu",J178,0)</f>
        <v/>
      </c>
      <c r="L178" s="29">
        <f>IF(C178="Chi",J178,0)</f>
        <v/>
      </c>
      <c r="M178" s="29">
        <f>K178-L178</f>
        <v/>
      </c>
    </row>
    <row r="179" ht="15.75" customHeight="1" s="56">
      <c r="A179" s="27" t="n">
        <v>46058</v>
      </c>
      <c r="B179" s="37" t="inlineStr">
        <is>
          <t>PC-02/2026-053</t>
        </is>
      </c>
      <c r="C179" s="37" t="inlineStr">
        <is>
          <t>Chi</t>
        </is>
      </c>
      <c r="D179" s="37" t="n"/>
      <c r="E179" s="37" t="n"/>
      <c r="F179" s="37" t="inlineStr">
        <is>
          <t>gửi HĐ cho anh Vinh - Chuyển phát - Bưu chính-Grap</t>
        </is>
      </c>
      <c r="G179" s="37" t="inlineStr">
        <is>
          <t>Phòng Kế toán</t>
        </is>
      </c>
      <c r="H179" s="37" t="inlineStr">
        <is>
          <t>Grab</t>
        </is>
      </c>
      <c r="I179" s="37" t="inlineStr">
        <is>
          <t>Chuyển khoản</t>
        </is>
      </c>
      <c r="J179" s="29" t="n">
        <v>60000</v>
      </c>
      <c r="K179" s="29">
        <f>IF(C179="Thu",J179,0)</f>
        <v/>
      </c>
      <c r="L179" s="29">
        <f>IF(C179="Chi",J179,0)</f>
        <v/>
      </c>
      <c r="M179" s="29">
        <f>K179-L179</f>
        <v/>
      </c>
    </row>
    <row r="180" ht="15.75" customHeight="1" s="56">
      <c r="A180" s="27" t="n">
        <v>46057</v>
      </c>
      <c r="B180" s="37" t="inlineStr">
        <is>
          <t>PC-02/2026-022</t>
        </is>
      </c>
      <c r="C180" s="37" t="inlineStr">
        <is>
          <t>Chi</t>
        </is>
      </c>
      <c r="D180" s="37" t="n"/>
      <c r="E180" s="37" t="n"/>
      <c r="F180" s="37" t="inlineStr">
        <is>
          <t>Đào Thị Hòa - Lấy trích lục</t>
        </is>
      </c>
      <c r="G180" s="37" t="inlineStr">
        <is>
          <t>Phòng Kế toán</t>
        </is>
      </c>
      <c r="H180" s="37" t="inlineStr">
        <is>
          <t>Chi nhánh số 2</t>
        </is>
      </c>
      <c r="I180" s="37" t="inlineStr">
        <is>
          <t>Chuyển khoản</t>
        </is>
      </c>
      <c r="J180" s="29" t="n">
        <v>200000</v>
      </c>
      <c r="K180" s="29">
        <f>IF(C180="Thu",J180,0)</f>
        <v/>
      </c>
      <c r="L180" s="29">
        <f>IF(C180="Chi",J180,0)</f>
        <v/>
      </c>
      <c r="M180" s="29">
        <f>K180-L180</f>
        <v/>
      </c>
    </row>
    <row r="181" ht="15.75" customHeight="1" s="56">
      <c r="A181" s="27" t="n">
        <v>46057</v>
      </c>
      <c r="B181" s="37" t="inlineStr">
        <is>
          <t>PC-02/2026-023</t>
        </is>
      </c>
      <c r="C181" s="37" t="inlineStr">
        <is>
          <t>Chi</t>
        </is>
      </c>
      <c r="D181" s="37" t="n"/>
      <c r="E181" s="37" t="n"/>
      <c r="F181" s="37" t="inlineStr">
        <is>
          <t>Nguyễn Thị Kim Anh - Lấy trích lục</t>
        </is>
      </c>
      <c r="G181" s="37" t="inlineStr">
        <is>
          <t>Phòng Kế toán</t>
        </is>
      </c>
      <c r="H181" s="37" t="inlineStr">
        <is>
          <t>Chi nhánh số 2</t>
        </is>
      </c>
      <c r="I181" s="37" t="inlineStr">
        <is>
          <t>Chuyển khoản</t>
        </is>
      </c>
      <c r="J181" s="29" t="n">
        <v>200000</v>
      </c>
      <c r="K181" s="29">
        <f>IF(C181="Thu",J181,0)</f>
        <v/>
      </c>
      <c r="L181" s="29">
        <f>IF(C181="Chi",J181,0)</f>
        <v/>
      </c>
      <c r="M181" s="29">
        <f>K181-L181</f>
        <v/>
      </c>
    </row>
    <row r="182" ht="15.75" customHeight="1" s="56">
      <c r="A182" s="27" t="n">
        <v>46057</v>
      </c>
      <c r="B182" s="37" t="inlineStr">
        <is>
          <t>PC-02/2026-024</t>
        </is>
      </c>
      <c r="C182" s="37" t="inlineStr">
        <is>
          <t>Chi</t>
        </is>
      </c>
      <c r="D182" s="37" t="n"/>
      <c r="E182" s="37" t="n"/>
      <c r="F182" s="37" t="inlineStr">
        <is>
          <t>Nguyễn Đình Phan - Lấy trích lục</t>
        </is>
      </c>
      <c r="G182" s="37" t="inlineStr">
        <is>
          <t>Phòng Kế toán</t>
        </is>
      </c>
      <c r="H182" s="37" t="inlineStr">
        <is>
          <t>Chi nhánh số 2</t>
        </is>
      </c>
      <c r="I182" s="37" t="inlineStr">
        <is>
          <t>Chuyển khoản</t>
        </is>
      </c>
      <c r="J182" s="29" t="n">
        <v>200000</v>
      </c>
      <c r="K182" s="29">
        <f>IF(C182="Thu",J182,0)</f>
        <v/>
      </c>
      <c r="L182" s="29">
        <f>IF(C182="Chi",J182,0)</f>
        <v/>
      </c>
      <c r="M182" s="29">
        <f>K182-L182</f>
        <v/>
      </c>
    </row>
    <row r="183" ht="15.75" customHeight="1" s="56">
      <c r="A183" s="27" t="n">
        <v>46057</v>
      </c>
      <c r="B183" s="37" t="inlineStr">
        <is>
          <t>PC-02/2026-025</t>
        </is>
      </c>
      <c r="C183" s="37" t="inlineStr">
        <is>
          <t>Thu</t>
        </is>
      </c>
      <c r="D183" s="37" t="n"/>
      <c r="E183" s="37" t="n"/>
      <c r="F183" s="37" t="inlineStr">
        <is>
          <t>thu 500k nhận nộp hs giúp khách Nguyễn Thị Hoàng Nhung - Bổ sung quỹ</t>
        </is>
      </c>
      <c r="G183" s="37" t="inlineStr">
        <is>
          <t>Phòng Kế toán</t>
        </is>
      </c>
      <c r="H183" s="37" t="inlineStr">
        <is>
          <t>Hoàng Nhung</t>
        </is>
      </c>
      <c r="I183" s="37" t="inlineStr">
        <is>
          <t>Tiền mặt</t>
        </is>
      </c>
      <c r="J183" s="29" t="n">
        <v>500000</v>
      </c>
      <c r="K183" s="29">
        <f>IF(C183="Thu",J183,0)</f>
        <v/>
      </c>
      <c r="L183" s="29">
        <f>IF(C183="Chi",J183,0)</f>
        <v/>
      </c>
      <c r="M183" s="29">
        <f>K183-L183</f>
        <v/>
      </c>
    </row>
    <row r="184" ht="15.75" customHeight="1" s="56">
      <c r="A184" s="27" t="n">
        <v>46057</v>
      </c>
      <c r="B184" s="37" t="inlineStr">
        <is>
          <t>PC-02/2026-026</t>
        </is>
      </c>
      <c r="C184" s="37" t="inlineStr">
        <is>
          <t>Chi</t>
        </is>
      </c>
      <c r="D184" s="37" t="n"/>
      <c r="E184" s="37" t="n"/>
      <c r="F184" s="37" t="inlineStr">
        <is>
          <t>bổ sung Thuế TNCN hồ sơ Nguyễn Thị Hoàng Nhung - Chi quầy tiếp nhận</t>
        </is>
      </c>
      <c r="G184" s="37" t="inlineStr">
        <is>
          <t>Phòng Kế toán</t>
        </is>
      </c>
      <c r="H184" s="37" t="inlineStr">
        <is>
          <t>quầy tiếp nhận</t>
        </is>
      </c>
      <c r="I184" s="37" t="inlineStr">
        <is>
          <t>Tiền mặt</t>
        </is>
      </c>
      <c r="J184" s="29" t="n">
        <v>100000</v>
      </c>
      <c r="K184" s="29">
        <f>IF(C184="Thu",J184,0)</f>
        <v/>
      </c>
      <c r="L184" s="29">
        <f>IF(C184="Chi",J184,0)</f>
        <v/>
      </c>
      <c r="M184" s="29">
        <f>K184-L184</f>
        <v/>
      </c>
    </row>
    <row r="185" ht="15.75" customHeight="1" s="56">
      <c r="A185" s="27" t="n">
        <v>46057</v>
      </c>
      <c r="B185" s="37" t="inlineStr">
        <is>
          <t>PC-02/2026-027</t>
        </is>
      </c>
      <c r="C185" s="37" t="inlineStr">
        <is>
          <t>Chi</t>
        </is>
      </c>
      <c r="D185" s="37" t="n"/>
      <c r="E185" s="37" t="n"/>
      <c r="F185" s="37" t="inlineStr">
        <is>
          <t>Trần Đình Sỹ Tấn (364) - Lấy bản vẽ</t>
        </is>
      </c>
      <c r="G185" s="37" t="inlineStr">
        <is>
          <t>Phòng Kế toán</t>
        </is>
      </c>
      <c r="H185" s="37" t="inlineStr">
        <is>
          <t>Chi nhánh số 2</t>
        </is>
      </c>
      <c r="I185" s="37" t="inlineStr">
        <is>
          <t>Chuyển khoản</t>
        </is>
      </c>
      <c r="J185" s="29" t="n">
        <v>140671</v>
      </c>
      <c r="K185" s="29">
        <f>IF(C185="Thu",J185,0)</f>
        <v/>
      </c>
      <c r="L185" s="29">
        <f>IF(C185="Chi",J185,0)</f>
        <v/>
      </c>
      <c r="M185" s="29">
        <f>K185-L185</f>
        <v/>
      </c>
    </row>
    <row r="186" ht="15.75" customHeight="1" s="56">
      <c r="A186" s="27" t="n">
        <v>46057</v>
      </c>
      <c r="B186" s="37" t="inlineStr">
        <is>
          <t>PC-02/2026-028</t>
        </is>
      </c>
      <c r="C186" s="37" t="inlineStr">
        <is>
          <t>Chi</t>
        </is>
      </c>
      <c r="D186" s="37" t="n"/>
      <c r="E186" s="37" t="n"/>
      <c r="F186" s="37" t="inlineStr">
        <is>
          <t>Nguyễn Thị Kim Yến (hs Anh Quốc) - Bản vẽ cấp giấy</t>
        </is>
      </c>
      <c r="G186" s="37" t="inlineStr">
        <is>
          <t>Phòng Kế toán</t>
        </is>
      </c>
      <c r="H186" s="37" t="inlineStr">
        <is>
          <t>Anh Lâu Đức Toàn</t>
        </is>
      </c>
      <c r="I186" s="37" t="inlineStr">
        <is>
          <t>Chuyển khoản</t>
        </is>
      </c>
      <c r="J186" s="29" t="n">
        <v>1000000</v>
      </c>
      <c r="K186" s="29">
        <f>IF(C186="Thu",J186,0)</f>
        <v/>
      </c>
      <c r="L186" s="29">
        <f>IF(C186="Chi",J186,0)</f>
        <v/>
      </c>
      <c r="M186" s="29">
        <f>K186-L186</f>
        <v/>
      </c>
    </row>
    <row r="187" ht="15.75" customHeight="1" s="56">
      <c r="A187" s="27" t="n">
        <v>46057</v>
      </c>
      <c r="B187" s="37" t="inlineStr">
        <is>
          <t>PC-02/2026-029</t>
        </is>
      </c>
      <c r="C187" s="37" t="inlineStr">
        <is>
          <t>Chi</t>
        </is>
      </c>
      <c r="D187" s="37" t="n"/>
      <c r="E187" s="37" t="n"/>
      <c r="F187" s="37" t="inlineStr">
        <is>
          <t>gửi chị Vân lấy bản vẽ - Chi quầy tiếp nhận</t>
        </is>
      </c>
      <c r="G187" s="37" t="inlineStr">
        <is>
          <t>Phòng Kế toán</t>
        </is>
      </c>
      <c r="H187" s="37" t="inlineStr">
        <is>
          <t>Chị Vân</t>
        </is>
      </c>
      <c r="I187" s="37" t="inlineStr">
        <is>
          <t>Tiền mặt</t>
        </is>
      </c>
      <c r="J187" s="29" t="n">
        <v>100000</v>
      </c>
      <c r="K187" s="29">
        <f>IF(C187="Thu",J187,0)</f>
        <v/>
      </c>
      <c r="L187" s="29">
        <f>IF(C187="Chi",J187,0)</f>
        <v/>
      </c>
      <c r="M187" s="29">
        <f>K187-L187</f>
        <v/>
      </c>
    </row>
    <row r="188" ht="15.75" customHeight="1" s="56">
      <c r="A188" s="27" t="n">
        <v>46057</v>
      </c>
      <c r="B188" s="37" t="inlineStr">
        <is>
          <t>PC-02/2026-030</t>
        </is>
      </c>
      <c r="C188" s="37" t="inlineStr">
        <is>
          <t>Chi</t>
        </is>
      </c>
      <c r="D188" s="37" t="n"/>
      <c r="E188" s="37" t="n"/>
      <c r="F188" s="37" t="inlineStr">
        <is>
          <t>064/BK-2026	Lê Xuân Hưng - Nguyễn Thị Kim Yến - Chi thụ lý bản vẽ</t>
        </is>
      </c>
      <c r="G188" s="37" t="inlineStr">
        <is>
          <t>Phòng Kế toán</t>
        </is>
      </c>
      <c r="H188" s="37" t="inlineStr">
        <is>
          <t>Anh Xuân Tiền</t>
        </is>
      </c>
      <c r="I188" s="37" t="inlineStr">
        <is>
          <t>Tiền mặt</t>
        </is>
      </c>
      <c r="J188" s="29" t="n">
        <v>1500000</v>
      </c>
      <c r="K188" s="29">
        <f>IF(C188="Thu",J188,0)</f>
        <v/>
      </c>
      <c r="L188" s="29">
        <f>IF(C188="Chi",J188,0)</f>
        <v/>
      </c>
      <c r="M188" s="29">
        <f>K188-L188</f>
        <v/>
      </c>
    </row>
    <row r="189" ht="15.75" customHeight="1" s="56">
      <c r="A189" s="27" t="n">
        <v>46057</v>
      </c>
      <c r="B189" s="37" t="inlineStr">
        <is>
          <t>PC-02/2026-031</t>
        </is>
      </c>
      <c r="C189" s="37" t="inlineStr">
        <is>
          <t>Chi</t>
        </is>
      </c>
      <c r="D189" s="37" t="n"/>
      <c r="E189" s="37" t="n"/>
      <c r="F189" s="37" t="inlineStr">
        <is>
          <t>Gửi bv bv Nguyễn Thị Kim Yến - Chi bảo vệ</t>
        </is>
      </c>
      <c r="G189" s="37" t="inlineStr">
        <is>
          <t>Phòng Kế toán</t>
        </is>
      </c>
      <c r="H189" s="37" t="inlineStr">
        <is>
          <t>bảo vệ</t>
        </is>
      </c>
      <c r="I189" s="37" t="inlineStr">
        <is>
          <t>Tiền mặt</t>
        </is>
      </c>
      <c r="J189" s="29" t="n">
        <v>50000</v>
      </c>
      <c r="K189" s="29">
        <f>IF(C189="Thu",J189,0)</f>
        <v/>
      </c>
      <c r="L189" s="29">
        <f>IF(C189="Chi",J189,0)</f>
        <v/>
      </c>
      <c r="M189" s="29">
        <f>K189-L189</f>
        <v/>
      </c>
    </row>
    <row r="190" ht="15.75" customHeight="1" s="56">
      <c r="A190" s="27" t="n">
        <v>46057</v>
      </c>
      <c r="B190" s="37" t="inlineStr">
        <is>
          <t>PC-02/2026-032</t>
        </is>
      </c>
      <c r="C190" s="37" t="inlineStr">
        <is>
          <t>Chi</t>
        </is>
      </c>
      <c r="D190" s="37" t="n"/>
      <c r="E190" s="37" t="n"/>
      <c r="F190" s="37" t="inlineStr">
        <is>
          <t>bút bi - Văn phòng phẩm</t>
        </is>
      </c>
      <c r="G190" s="37" t="inlineStr">
        <is>
          <t>Phòng Kế toán</t>
        </is>
      </c>
      <c r="H190" s="37" t="inlineStr">
        <is>
          <t>shipper</t>
        </is>
      </c>
      <c r="I190" s="37" t="inlineStr">
        <is>
          <t>Chuyển khoản</t>
        </is>
      </c>
      <c r="J190" s="29" t="n">
        <v>112000</v>
      </c>
      <c r="K190" s="29">
        <f>IF(C190="Thu",J190,0)</f>
        <v/>
      </c>
      <c r="L190" s="29">
        <f>IF(C190="Chi",J190,0)</f>
        <v/>
      </c>
      <c r="M190" s="29">
        <f>K190-L190</f>
        <v/>
      </c>
    </row>
    <row r="191" ht="15.75" customHeight="1" s="56">
      <c r="A191" s="27" t="n">
        <v>46057</v>
      </c>
      <c r="B191" s="37" t="inlineStr">
        <is>
          <t>PC-02/2026-033</t>
        </is>
      </c>
      <c r="C191" s="37" t="inlineStr">
        <is>
          <t>Chi</t>
        </is>
      </c>
      <c r="D191" s="37" t="n"/>
      <c r="E191" s="37" t="n"/>
      <c r="F191" s="37" t="inlineStr">
        <is>
          <t>037/BK-2026	Nguyễn Thị An - Chi thụ lý bản vẽ</t>
        </is>
      </c>
      <c r="G191" s="37" t="inlineStr">
        <is>
          <t>Phòng Kế toán</t>
        </is>
      </c>
      <c r="H191" s="37" t="inlineStr">
        <is>
          <t>Anh Xuân Tiền</t>
        </is>
      </c>
      <c r="I191" s="37" t="inlineStr">
        <is>
          <t>Tiền mặt</t>
        </is>
      </c>
      <c r="J191" s="29" t="n">
        <v>1500000</v>
      </c>
      <c r="K191" s="29">
        <f>IF(C191="Thu",J191,0)</f>
        <v/>
      </c>
      <c r="L191" s="29">
        <f>IF(C191="Chi",J191,0)</f>
        <v/>
      </c>
      <c r="M191" s="29">
        <f>K191-L191</f>
        <v/>
      </c>
    </row>
    <row r="192" ht="15.75" customHeight="1" s="56">
      <c r="A192" s="27" t="n">
        <v>46057</v>
      </c>
      <c r="B192" s="37" t="inlineStr">
        <is>
          <t>PC-02/2026-034</t>
        </is>
      </c>
      <c r="C192" s="37" t="inlineStr">
        <is>
          <t>Chi</t>
        </is>
      </c>
      <c r="D192" s="37" t="n"/>
      <c r="E192" s="37" t="n"/>
      <c r="F192" s="37" t="inlineStr">
        <is>
          <t>cắm mốc Nguyễn Thị Ngọc Thảo - Công tác phí</t>
        </is>
      </c>
      <c r="G192" s="37" t="inlineStr">
        <is>
          <t>Phòng Kế toán</t>
        </is>
      </c>
      <c r="H192" s="37" t="inlineStr">
        <is>
          <t>Anh Tập</t>
        </is>
      </c>
      <c r="I192" s="37" t="inlineStr">
        <is>
          <t>Chuyển khoản</t>
        </is>
      </c>
      <c r="J192" s="29" t="n">
        <v>120000</v>
      </c>
      <c r="K192" s="29">
        <f>IF(C192="Thu",J192,0)</f>
        <v/>
      </c>
      <c r="L192" s="29">
        <f>IF(C192="Chi",J192,0)</f>
        <v/>
      </c>
      <c r="M192" s="29">
        <f>K192-L192</f>
        <v/>
      </c>
    </row>
    <row r="193" ht="15.75" customHeight="1" s="56">
      <c r="A193" s="27" t="n">
        <v>46057</v>
      </c>
      <c r="B193" s="37" t="inlineStr">
        <is>
          <t>PC-02/2026-035</t>
        </is>
      </c>
      <c r="C193" s="37" t="inlineStr">
        <is>
          <t>Chi</t>
        </is>
      </c>
      <c r="D193" s="37" t="n"/>
      <c r="E193" s="37" t="n"/>
      <c r="F193" s="37" t="inlineStr">
        <is>
          <t>cắm mốc La Thị Thanh Duyên - Công tác phí</t>
        </is>
      </c>
      <c r="G193" s="37" t="inlineStr">
        <is>
          <t>Phòng Kế toán</t>
        </is>
      </c>
      <c r="H193" s="37" t="inlineStr">
        <is>
          <t>Anh Tập</t>
        </is>
      </c>
      <c r="I193" s="37" t="inlineStr">
        <is>
          <t>Chuyển khoản</t>
        </is>
      </c>
      <c r="J193" s="29" t="n">
        <v>135000</v>
      </c>
      <c r="K193" s="29">
        <f>IF(C193="Thu",J193,0)</f>
        <v/>
      </c>
      <c r="L193" s="29">
        <f>IF(C193="Chi",J193,0)</f>
        <v/>
      </c>
      <c r="M193" s="29">
        <f>K193-L193</f>
        <v/>
      </c>
    </row>
    <row r="194" ht="15.75" customHeight="1" s="56">
      <c r="A194" s="27" t="n">
        <v>46057</v>
      </c>
      <c r="B194" s="37" t="inlineStr">
        <is>
          <t>PC-02/2026-036</t>
        </is>
      </c>
      <c r="C194" s="37" t="inlineStr">
        <is>
          <t>Chi</t>
        </is>
      </c>
      <c r="D194" s="37" t="n"/>
      <c r="E194" s="37" t="n"/>
      <c r="F194" s="37" t="inlineStr">
        <is>
          <t>gửi anh Phúc hs Lại Quốc Huy - Phạm Thị Hồng Vinh - Đóng thuế</t>
        </is>
      </c>
      <c r="G194" s="37" t="inlineStr">
        <is>
          <t>Phòng Kế toán</t>
        </is>
      </c>
      <c r="H194" s="37" t="inlineStr">
        <is>
          <t>Anh Phúc</t>
        </is>
      </c>
      <c r="I194" s="37" t="inlineStr">
        <is>
          <t>Tiền mặt</t>
        </is>
      </c>
      <c r="J194" s="29" t="n">
        <v>2000000</v>
      </c>
      <c r="K194" s="29">
        <f>IF(C194="Thu",J194,0)</f>
        <v/>
      </c>
      <c r="L194" s="29">
        <f>IF(C194="Chi",J194,0)</f>
        <v/>
      </c>
      <c r="M194" s="29">
        <f>K194-L194</f>
        <v/>
      </c>
    </row>
    <row r="195" ht="15.75" customHeight="1" s="56">
      <c r="A195" s="27" t="n">
        <v>46057</v>
      </c>
      <c r="B195" s="37" t="inlineStr">
        <is>
          <t>PC-02/2026-037</t>
        </is>
      </c>
      <c r="C195" s="37" t="inlineStr">
        <is>
          <t>Chi</t>
        </is>
      </c>
      <c r="D195" s="37" t="n"/>
      <c r="E195" s="37" t="n"/>
      <c r="F195" s="37" t="inlineStr">
        <is>
          <t>rút hồ sơ tách thửa Trần Thị Ngọc Dung - Chi quầy tiếp nhận</t>
        </is>
      </c>
      <c r="G195" s="37" t="inlineStr">
        <is>
          <t>Phòng Kế toán</t>
        </is>
      </c>
      <c r="H195" s="37" t="inlineStr">
        <is>
          <t>quầy tiếp nhận</t>
        </is>
      </c>
      <c r="I195" s="37" t="inlineStr">
        <is>
          <t>Tiền mặt</t>
        </is>
      </c>
      <c r="J195" s="29" t="n">
        <v>100000</v>
      </c>
      <c r="K195" s="29">
        <f>IF(C195="Thu",J195,0)</f>
        <v/>
      </c>
      <c r="L195" s="29">
        <f>IF(C195="Chi",J195,0)</f>
        <v/>
      </c>
      <c r="M195" s="29">
        <f>K195-L195</f>
        <v/>
      </c>
    </row>
    <row r="196" ht="15.75" customHeight="1" s="56">
      <c r="A196" s="27" t="n">
        <v>46057</v>
      </c>
      <c r="B196" s="37" t="inlineStr">
        <is>
          <t>PC-02/2026-038</t>
        </is>
      </c>
      <c r="C196" s="37" t="inlineStr">
        <is>
          <t>Chi</t>
        </is>
      </c>
      <c r="D196" s="37" t="n"/>
      <c r="E196" s="37" t="n"/>
      <c r="F196" s="37" t="inlineStr">
        <is>
          <t>nộp hs Đặng Thị Kim Thiện - Chi quầy tiếp nhận</t>
        </is>
      </c>
      <c r="G196" s="37" t="inlineStr">
        <is>
          <t>Phòng Kế toán</t>
        </is>
      </c>
      <c r="H196" s="37" t="inlineStr">
        <is>
          <t>quầy tiếp nhận</t>
        </is>
      </c>
      <c r="I196" s="37" t="inlineStr">
        <is>
          <t>Tiền mặt</t>
        </is>
      </c>
      <c r="J196" s="29" t="n">
        <v>100000</v>
      </c>
      <c r="K196" s="29">
        <f>IF(C196="Thu",J196,0)</f>
        <v/>
      </c>
      <c r="L196" s="29">
        <f>IF(C196="Chi",J196,0)</f>
        <v/>
      </c>
      <c r="M196" s="29">
        <f>K196-L196</f>
        <v/>
      </c>
    </row>
    <row r="197" ht="15.75" customHeight="1" s="56">
      <c r="A197" s="27" t="n">
        <v>46057</v>
      </c>
      <c r="B197" s="37" t="inlineStr">
        <is>
          <t>PC-02/2026-039</t>
        </is>
      </c>
      <c r="C197" s="37" t="inlineStr">
        <is>
          <t>Thu</t>
        </is>
      </c>
      <c r="D197" s="37" t="n"/>
      <c r="E197" s="37" t="n"/>
      <c r="F197" s="37" t="inlineStr">
        <is>
          <t>GIÁM ĐỐC NỘP QUỸ L3 THÁNG 2 - Bổ sung quỹ</t>
        </is>
      </c>
      <c r="G197" s="37" t="inlineStr">
        <is>
          <t>Phòng Kế toán</t>
        </is>
      </c>
      <c r="H197" s="37" t="inlineStr">
        <is>
          <t>GIÁM ĐỐC</t>
        </is>
      </c>
      <c r="I197" s="37" t="inlineStr">
        <is>
          <t>Tiền mặt</t>
        </is>
      </c>
      <c r="J197" s="29" t="n">
        <v>6000000</v>
      </c>
      <c r="K197" s="29">
        <f>IF(C197="Thu",J197,0)</f>
        <v/>
      </c>
      <c r="L197" s="29">
        <f>IF(C197="Chi",J197,0)</f>
        <v/>
      </c>
      <c r="M197" s="29">
        <f>K197-L197</f>
        <v/>
      </c>
    </row>
    <row r="198" ht="15.75" customHeight="1" s="56">
      <c r="A198" s="27" t="n">
        <v>46057</v>
      </c>
      <c r="B198" s="37" t="inlineStr">
        <is>
          <t>PC-02/2026-040</t>
        </is>
      </c>
      <c r="C198" s="37" t="inlineStr">
        <is>
          <t>Chi</t>
        </is>
      </c>
      <c r="D198" s="37" t="n"/>
      <c r="E198" s="37" t="n"/>
      <c r="F198" s="37" t="inlineStr">
        <is>
          <t>kê khai thuế phi NN Trần Đình Sỹ Tấn - Đóng thuế</t>
        </is>
      </c>
      <c r="G198" s="37" t="inlineStr">
        <is>
          <t>Phòng Kế toán</t>
        </is>
      </c>
      <c r="H198" s="37" t="inlineStr">
        <is>
          <t>Chị Trâm</t>
        </is>
      </c>
      <c r="I198" s="37" t="inlineStr">
        <is>
          <t>Tiền mặt</t>
        </is>
      </c>
      <c r="J198" s="29" t="n">
        <v>300000</v>
      </c>
      <c r="K198" s="29">
        <f>IF(C198="Thu",J198,0)</f>
        <v/>
      </c>
      <c r="L198" s="29">
        <f>IF(C198="Chi",J198,0)</f>
        <v/>
      </c>
      <c r="M198" s="29">
        <f>K198-L198</f>
        <v/>
      </c>
    </row>
    <row r="199" ht="15.75" customHeight="1" s="56">
      <c r="A199" s="27" t="n">
        <v>46057</v>
      </c>
      <c r="B199" s="37" t="inlineStr">
        <is>
          <t>PC-02/2026-041</t>
        </is>
      </c>
      <c r="C199" s="37" t="inlineStr">
        <is>
          <t>Chi</t>
        </is>
      </c>
      <c r="D199" s="37" t="n"/>
      <c r="E199" s="37" t="n"/>
      <c r="F199" s="37" t="inlineStr">
        <is>
          <t>giao lại bản vẽ Chu Trần Trọng - Chuyển phát - Bưu chính-Grap</t>
        </is>
      </c>
      <c r="G199" s="37" t="inlineStr">
        <is>
          <t>Phòng Kế toán</t>
        </is>
      </c>
      <c r="H199" s="37" t="inlineStr">
        <is>
          <t>Anh Trọng</t>
        </is>
      </c>
      <c r="I199" s="37" t="inlineStr">
        <is>
          <t>Chuyển khoản</t>
        </is>
      </c>
      <c r="J199" s="29" t="n">
        <v>47000</v>
      </c>
      <c r="K199" s="29">
        <f>IF(C199="Thu",J199,0)</f>
        <v/>
      </c>
      <c r="L199" s="29">
        <f>IF(C199="Chi",J199,0)</f>
        <v/>
      </c>
      <c r="M199" s="29">
        <f>K199-L199</f>
        <v/>
      </c>
    </row>
    <row r="200" ht="15.75" customHeight="1" s="56">
      <c r="A200" s="27" t="n">
        <v>46057</v>
      </c>
      <c r="B200" s="37" t="inlineStr">
        <is>
          <t>PC-02/2026-042</t>
        </is>
      </c>
      <c r="C200" s="37" t="inlineStr">
        <is>
          <t>Chi</t>
        </is>
      </c>
      <c r="D200" s="37" t="n"/>
      <c r="E200" s="37" t="n"/>
      <c r="F200" s="37" t="inlineStr">
        <is>
          <t>đóng tiền bản vẽ bên cty Thiên Gia Phát - Lấy bản vẽ</t>
        </is>
      </c>
      <c r="G200" s="37" t="inlineStr">
        <is>
          <t>Phòng Kế toán</t>
        </is>
      </c>
      <c r="H200" s="37" t="inlineStr">
        <is>
          <t>Cty Thiên Gia Phát</t>
        </is>
      </c>
      <c r="I200" s="37" t="inlineStr">
        <is>
          <t>Chuyển khoản</t>
        </is>
      </c>
      <c r="J200" s="29" t="n">
        <v>113913</v>
      </c>
      <c r="K200" s="29">
        <f>IF(C200="Thu",J200,0)</f>
        <v/>
      </c>
      <c r="L200" s="29">
        <f>IF(C200="Chi",J200,0)</f>
        <v/>
      </c>
      <c r="M200" s="29">
        <f>K200-L200</f>
        <v/>
      </c>
    </row>
    <row r="201" ht="15.75" customHeight="1" s="56">
      <c r="A201" s="27" t="n">
        <v>46057</v>
      </c>
      <c r="B201" s="37" t="inlineStr">
        <is>
          <t>PC-02/2026-049</t>
        </is>
      </c>
      <c r="C201" s="37" t="inlineStr">
        <is>
          <t>Chi</t>
        </is>
      </c>
      <c r="D201" s="37" t="n"/>
      <c r="E201" s="37" t="n"/>
      <c r="F201" s="37" t="inlineStr">
        <is>
          <t>đóng thuế phi NN Hồ Trọng Dũng - Đóng thuế</t>
        </is>
      </c>
      <c r="G201" s="37" t="inlineStr">
        <is>
          <t>Phòng Kế toán</t>
        </is>
      </c>
      <c r="H201" s="37" t="inlineStr">
        <is>
          <t>Agribank</t>
        </is>
      </c>
      <c r="I201" s="37" t="inlineStr">
        <is>
          <t>Tiền mặt</t>
        </is>
      </c>
      <c r="J201" s="29" t="n">
        <v>230000</v>
      </c>
      <c r="K201" s="29">
        <f>IF(C201="Thu",J201,0)</f>
        <v/>
      </c>
      <c r="L201" s="29">
        <f>IF(C201="Chi",J201,0)</f>
        <v/>
      </c>
      <c r="M201" s="29">
        <f>K201-L201</f>
        <v/>
      </c>
    </row>
    <row r="202" ht="15.75" customHeight="1" s="56">
      <c r="A202" s="27" t="n">
        <v>46056</v>
      </c>
      <c r="B202" s="37" t="inlineStr">
        <is>
          <t>PC-02/2026-016</t>
        </is>
      </c>
      <c r="C202" s="37" t="inlineStr">
        <is>
          <t>Chi</t>
        </is>
      </c>
      <c r="D202" s="37" t="n"/>
      <c r="E202" s="37" t="n"/>
      <c r="F202" s="37" t="inlineStr">
        <is>
          <t>nộp bản vẽ sáng 3/2 - Chi quầy tiếp nhận</t>
        </is>
      </c>
      <c r="G202" s="37" t="inlineStr">
        <is>
          <t>Phòng Kế toán</t>
        </is>
      </c>
      <c r="H202" s="37" t="inlineStr">
        <is>
          <t>Chị Vân</t>
        </is>
      </c>
      <c r="I202" s="37" t="inlineStr">
        <is>
          <t>Tiền mặt</t>
        </is>
      </c>
      <c r="J202" s="29" t="n">
        <v>100000</v>
      </c>
      <c r="K202" s="29">
        <f>IF(C202="Thu",J202,0)</f>
        <v/>
      </c>
      <c r="L202" s="29">
        <f>IF(C202="Chi",J202,0)</f>
        <v/>
      </c>
      <c r="M202" s="29">
        <f>K202-L202</f>
        <v/>
      </c>
    </row>
    <row r="203" ht="15.75" customHeight="1" s="56">
      <c r="A203" s="27" t="n">
        <v>46056</v>
      </c>
      <c r="B203" s="37" t="inlineStr">
        <is>
          <t>PC-02/2026-017</t>
        </is>
      </c>
      <c r="C203" s="37" t="inlineStr">
        <is>
          <t>Chi</t>
        </is>
      </c>
      <c r="D203" s="37" t="n"/>
      <c r="E203" s="37" t="n"/>
      <c r="F203" s="37" t="inlineStr">
        <is>
          <t>Hồ Trọng Dũng (345) - Lấy bản vẽ</t>
        </is>
      </c>
      <c r="G203" s="37" t="inlineStr">
        <is>
          <t>Phòng Kế toán</t>
        </is>
      </c>
      <c r="H203" s="37" t="inlineStr">
        <is>
          <t>Chi nhánh số 2</t>
        </is>
      </c>
      <c r="I203" s="37" t="inlineStr">
        <is>
          <t>Chuyển khoản</t>
        </is>
      </c>
      <c r="J203" s="29" t="n">
        <v>97928</v>
      </c>
      <c r="K203" s="29">
        <f>IF(C203="Thu",J203,0)</f>
        <v/>
      </c>
      <c r="L203" s="29">
        <f>IF(C203="Chi",J203,0)</f>
        <v/>
      </c>
      <c r="M203" s="29">
        <f>K203-L203</f>
        <v/>
      </c>
    </row>
    <row r="204" ht="15.75" customHeight="1" s="56">
      <c r="A204" s="27" t="n">
        <v>46056</v>
      </c>
      <c r="B204" s="37" t="inlineStr">
        <is>
          <t>PC-02/2026-018</t>
        </is>
      </c>
      <c r="C204" s="37" t="inlineStr">
        <is>
          <t>Chi</t>
        </is>
      </c>
      <c r="D204" s="37" t="n"/>
      <c r="E204" s="37" t="n"/>
      <c r="F204" s="37" t="inlineStr">
        <is>
          <t>nộp bản vẽ chiều 3/2 - Chi quầy tiếp nhận</t>
        </is>
      </c>
      <c r="G204" s="37" t="inlineStr">
        <is>
          <t>Phòng Kế toán</t>
        </is>
      </c>
      <c r="H204" s="37" t="inlineStr">
        <is>
          <t>Chị Vân</t>
        </is>
      </c>
      <c r="I204" s="37" t="inlineStr">
        <is>
          <t>Tiền mặt</t>
        </is>
      </c>
      <c r="J204" s="29" t="n">
        <v>100000</v>
      </c>
      <c r="K204" s="29">
        <f>IF(C204="Thu",J204,0)</f>
        <v/>
      </c>
      <c r="L204" s="29">
        <f>IF(C204="Chi",J204,0)</f>
        <v/>
      </c>
      <c r="M204" s="29">
        <f>K204-L204</f>
        <v/>
      </c>
    </row>
    <row r="205" ht="15.75" customHeight="1" s="56">
      <c r="A205" s="27" t="n">
        <v>46056</v>
      </c>
      <c r="B205" s="37" t="inlineStr">
        <is>
          <t>PC-02/2026-019</t>
        </is>
      </c>
      <c r="C205" s="37" t="inlineStr">
        <is>
          <t>Thu</t>
        </is>
      </c>
      <c r="D205" s="37" t="n"/>
      <c r="E205" s="37" t="n"/>
      <c r="F205" s="37" t="inlineStr">
        <is>
          <t>GIÁM ĐỐC NỘP QUỸ L2 THÁNG 2 - Bổ sung quỹ</t>
        </is>
      </c>
      <c r="G205" s="37" t="inlineStr">
        <is>
          <t>Phòng Kế toán</t>
        </is>
      </c>
      <c r="H205" s="37" t="inlineStr">
        <is>
          <t>GIÁM ĐỐC</t>
        </is>
      </c>
      <c r="I205" s="37" t="inlineStr">
        <is>
          <t>Chuyển khoản</t>
        </is>
      </c>
      <c r="J205" s="29" t="n">
        <v>10000000</v>
      </c>
      <c r="K205" s="29">
        <f>IF(C205="Thu",J205,0)</f>
        <v/>
      </c>
      <c r="L205" s="29">
        <f>IF(C205="Chi",J205,0)</f>
        <v/>
      </c>
      <c r="M205" s="29">
        <f>K205-L205</f>
        <v/>
      </c>
    </row>
    <row r="206" ht="15.75" customHeight="1" s="56">
      <c r="A206" s="27" t="n">
        <v>46056</v>
      </c>
      <c r="B206" s="37" t="inlineStr">
        <is>
          <t>PC-02/2026-020</t>
        </is>
      </c>
      <c r="C206" s="37" t="inlineStr">
        <is>
          <t>Chi</t>
        </is>
      </c>
      <c r="D206" s="37" t="n"/>
      <c r="E206" s="37" t="n"/>
      <c r="F206" s="37" t="inlineStr">
        <is>
          <t>tiền cafe - Quầy nước- cà phê</t>
        </is>
      </c>
      <c r="G206" s="37" t="inlineStr">
        <is>
          <t>Phòng Kế toán</t>
        </is>
      </c>
      <c r="H206" s="37" t="inlineStr">
        <is>
          <t>Chị Nguyên</t>
        </is>
      </c>
      <c r="I206" s="37" t="inlineStr">
        <is>
          <t>Chuyển khoản</t>
        </is>
      </c>
      <c r="J206" s="29" t="n">
        <v>2240000</v>
      </c>
      <c r="K206" s="29">
        <f>IF(C206="Thu",J206,0)</f>
        <v/>
      </c>
      <c r="L206" s="29">
        <f>IF(C206="Chi",J206,0)</f>
        <v/>
      </c>
      <c r="M206" s="29">
        <f>K206-L206</f>
        <v/>
      </c>
    </row>
    <row r="207" ht="15.75" customHeight="1" s="56">
      <c r="A207" s="27" t="n">
        <v>46056</v>
      </c>
      <c r="B207" s="37" t="inlineStr">
        <is>
          <t>PC-02/2026-021</t>
        </is>
      </c>
      <c r="C207" s="37" t="inlineStr">
        <is>
          <t>Chi</t>
        </is>
      </c>
      <c r="D207" s="37" t="n"/>
      <c r="E207" s="37" t="n"/>
      <c r="F207" s="37" t="inlineStr">
        <is>
          <t>khăn giấy - Văn phòng phẩm</t>
        </is>
      </c>
      <c r="G207" s="37" t="inlineStr">
        <is>
          <t>Phòng Kế toán</t>
        </is>
      </c>
      <c r="H207" s="37" t="inlineStr">
        <is>
          <t>shipper</t>
        </is>
      </c>
      <c r="I207" s="37" t="inlineStr">
        <is>
          <t>Chuyển khoản</t>
        </is>
      </c>
      <c r="J207" s="29" t="n">
        <v>229000</v>
      </c>
      <c r="K207" s="29">
        <f>IF(C207="Thu",J207,0)</f>
        <v/>
      </c>
      <c r="L207" s="29">
        <f>IF(C207="Chi",J207,0)</f>
        <v/>
      </c>
      <c r="M207" s="29">
        <f>K207-L207</f>
        <v/>
      </c>
    </row>
    <row r="208" ht="15.75" customHeight="1" s="56">
      <c r="A208" s="27" t="n">
        <v>46055</v>
      </c>
      <c r="B208" s="37" t="inlineStr">
        <is>
          <t>PC-02/2026-001</t>
        </is>
      </c>
      <c r="C208" s="37" t="inlineStr">
        <is>
          <t>Chi</t>
        </is>
      </c>
      <c r="D208" s="37" t="n"/>
      <c r="E208" s="37" t="n"/>
      <c r="F208" s="37" t="inlineStr">
        <is>
          <t>031/BK-2026	Trần Đình Sỹ Tấn - Chi thụ lý bản vẽ</t>
        </is>
      </c>
      <c r="G208" s="37" t="inlineStr">
        <is>
          <t>Phòng Kế toán</t>
        </is>
      </c>
      <c r="H208" s="37" t="inlineStr">
        <is>
          <t>Anh Xuất</t>
        </is>
      </c>
      <c r="I208" s="37" t="inlineStr">
        <is>
          <t>Tiền mặt</t>
        </is>
      </c>
      <c r="J208" s="29" t="n">
        <v>1500000</v>
      </c>
      <c r="K208" s="29">
        <f>IF(C208="Thu",J208,0)</f>
        <v/>
      </c>
      <c r="L208" s="29">
        <f>IF(C208="Chi",J208,0)</f>
        <v/>
      </c>
      <c r="M208" s="29">
        <f>K208-L208</f>
        <v/>
      </c>
    </row>
    <row r="209" ht="15.75" customHeight="1" s="56">
      <c r="A209" s="27" t="n">
        <v>46055</v>
      </c>
      <c r="B209" s="37" t="inlineStr">
        <is>
          <t>PC-02/2026-002</t>
        </is>
      </c>
      <c r="C209" s="37" t="inlineStr">
        <is>
          <t>Chi</t>
        </is>
      </c>
      <c r="D209" s="37" t="n"/>
      <c r="E209" s="37" t="n"/>
      <c r="F209" s="37" t="inlineStr">
        <is>
          <t>gửi bv bv Trần Đình Sỹ Tấn - Chi bảo vệ</t>
        </is>
      </c>
      <c r="G209" s="37" t="inlineStr">
        <is>
          <t>Phòng Kế toán</t>
        </is>
      </c>
      <c r="H209" s="37" t="inlineStr">
        <is>
          <t>bảo vệ</t>
        </is>
      </c>
      <c r="I209" s="37" t="inlineStr">
        <is>
          <t>Tiền mặt</t>
        </is>
      </c>
      <c r="J209" s="29" t="n">
        <v>50000</v>
      </c>
      <c r="K209" s="29">
        <f>IF(C209="Thu",J209,0)</f>
        <v/>
      </c>
      <c r="L209" s="29">
        <f>IF(C209="Chi",J209,0)</f>
        <v/>
      </c>
      <c r="M209" s="29">
        <f>K209-L209</f>
        <v/>
      </c>
    </row>
    <row r="210" ht="15.75" customHeight="1" s="56">
      <c r="A210" s="27" t="n">
        <v>46055</v>
      </c>
      <c r="B210" s="37" t="inlineStr">
        <is>
          <t>PC-02/2026-003</t>
        </is>
      </c>
      <c r="C210" s="37" t="inlineStr">
        <is>
          <t>Chi</t>
        </is>
      </c>
      <c r="D210" s="37" t="n"/>
      <c r="E210" s="37" t="n"/>
      <c r="F210" s="37" t="inlineStr">
        <is>
          <t>dưa hấu - Sinh hoạt gia đình</t>
        </is>
      </c>
      <c r="G210" s="37" t="inlineStr">
        <is>
          <t>Phòng Kế toán</t>
        </is>
      </c>
      <c r="H210" s="37" t="inlineStr">
        <is>
          <t>Hằng</t>
        </is>
      </c>
      <c r="I210" s="37" t="inlineStr">
        <is>
          <t>Tiền mặt</t>
        </is>
      </c>
      <c r="J210" s="29" t="n">
        <v>50000</v>
      </c>
      <c r="K210" s="29">
        <f>IF(C210="Thu",J210,0)</f>
        <v/>
      </c>
      <c r="L210" s="29">
        <f>IF(C210="Chi",J210,0)</f>
        <v/>
      </c>
      <c r="M210" s="29">
        <f>K210-L210</f>
        <v/>
      </c>
    </row>
    <row r="211" ht="15.75" customHeight="1" s="56">
      <c r="A211" s="27" t="n">
        <v>46055</v>
      </c>
      <c r="B211" s="37" t="inlineStr">
        <is>
          <t>PC-02/2026-004</t>
        </is>
      </c>
      <c r="C211" s="37" t="inlineStr">
        <is>
          <t>Chi</t>
        </is>
      </c>
      <c r="D211" s="37" t="n"/>
      <c r="E211" s="37" t="n"/>
      <c r="F211" s="37" t="inlineStr">
        <is>
          <t>bông cúc - Sinh hoạt gia đình</t>
        </is>
      </c>
      <c r="G211" s="37" t="inlineStr">
        <is>
          <t>Phòng Kế toán</t>
        </is>
      </c>
      <c r="H211" s="37" t="inlineStr">
        <is>
          <t>Hằng</t>
        </is>
      </c>
      <c r="I211" s="37" t="inlineStr">
        <is>
          <t>Tiền mặt</t>
        </is>
      </c>
      <c r="J211" s="29" t="n">
        <v>45000</v>
      </c>
      <c r="K211" s="29">
        <f>IF(C211="Thu",J211,0)</f>
        <v/>
      </c>
      <c r="L211" s="29">
        <f>IF(C211="Chi",J211,0)</f>
        <v/>
      </c>
      <c r="M211" s="29">
        <f>K211-L211</f>
        <v/>
      </c>
    </row>
    <row r="212" ht="15.75" customHeight="1" s="56">
      <c r="A212" s="27" t="n">
        <v>46055</v>
      </c>
      <c r="B212" s="37" t="inlineStr">
        <is>
          <t>PC-02/2026-005</t>
        </is>
      </c>
      <c r="C212" s="37" t="inlineStr">
        <is>
          <t>Chi</t>
        </is>
      </c>
      <c r="D212" s="37" t="n"/>
      <c r="E212" s="37" t="n"/>
      <c r="F212" s="37" t="inlineStr">
        <is>
          <t>nộp hs Nguyễn Trần Ngọc Khoa - Chi quầy tiếp nhận</t>
        </is>
      </c>
      <c r="G212" s="37" t="inlineStr">
        <is>
          <t>Phòng Kế toán</t>
        </is>
      </c>
      <c r="H212" s="37" t="inlineStr">
        <is>
          <t>quầy tiếp nhận</t>
        </is>
      </c>
      <c r="I212" s="37" t="inlineStr">
        <is>
          <t>Tiền mặt</t>
        </is>
      </c>
      <c r="J212" s="29" t="n">
        <v>100000</v>
      </c>
      <c r="K212" s="29">
        <f>IF(C212="Thu",J212,0)</f>
        <v/>
      </c>
      <c r="L212" s="29">
        <f>IF(C212="Chi",J212,0)</f>
        <v/>
      </c>
      <c r="M212" s="29">
        <f>K212-L212</f>
        <v/>
      </c>
    </row>
    <row r="213" ht="15.75" customHeight="1" s="56">
      <c r="A213" s="27" t="n">
        <v>46055</v>
      </c>
      <c r="B213" s="37" t="inlineStr">
        <is>
          <t>PC-02/2026-006</t>
        </is>
      </c>
      <c r="C213" s="37" t="inlineStr">
        <is>
          <t>Chi</t>
        </is>
      </c>
      <c r="D213" s="37" t="n"/>
      <c r="E213" s="37" t="n"/>
      <c r="F213" s="37" t="inlineStr">
        <is>
          <t>028/BK-2026	Phạm Hồng Sỹ - Chi thụ lý bản vẽ</t>
        </is>
      </c>
      <c r="G213" s="37" t="inlineStr">
        <is>
          <t>Phòng Kế toán</t>
        </is>
      </c>
      <c r="H213" s="37" t="inlineStr">
        <is>
          <t>Anh Công Trưởng</t>
        </is>
      </c>
      <c r="I213" s="37" t="inlineStr">
        <is>
          <t>Tiền mặt</t>
        </is>
      </c>
      <c r="J213" s="29" t="n">
        <v>1500000</v>
      </c>
      <c r="K213" s="29">
        <f>IF(C213="Thu",J213,0)</f>
        <v/>
      </c>
      <c r="L213" s="29">
        <f>IF(C213="Chi",J213,0)</f>
        <v/>
      </c>
      <c r="M213" s="29">
        <f>K213-L213</f>
        <v/>
      </c>
    </row>
    <row r="214" ht="15.75" customHeight="1" s="56">
      <c r="A214" s="27" t="n">
        <v>46055</v>
      </c>
      <c r="B214" s="37" t="inlineStr">
        <is>
          <t>PC-02/2026-007</t>
        </is>
      </c>
      <c r="C214" s="37" t="inlineStr">
        <is>
          <t>Chi</t>
        </is>
      </c>
      <c r="D214" s="37" t="n"/>
      <c r="E214" s="37" t="n"/>
      <c r="F214" s="37" t="inlineStr">
        <is>
          <t>gửi bv bv Phạm Hồng Sỹ - Chi bảo vệ</t>
        </is>
      </c>
      <c r="G214" s="37" t="inlineStr">
        <is>
          <t>Phòng Kế toán</t>
        </is>
      </c>
      <c r="H214" s="37" t="inlineStr">
        <is>
          <t>bảo vệ</t>
        </is>
      </c>
      <c r="I214" s="37" t="inlineStr">
        <is>
          <t>Tiền mặt</t>
        </is>
      </c>
      <c r="J214" s="29" t="n">
        <v>50000</v>
      </c>
      <c r="K214" s="29">
        <f>IF(C214="Thu",J214,0)</f>
        <v/>
      </c>
      <c r="L214" s="29">
        <f>IF(C214="Chi",J214,0)</f>
        <v/>
      </c>
      <c r="M214" s="29">
        <f>K214-L214</f>
        <v/>
      </c>
    </row>
    <row r="215" ht="15.75" customHeight="1" s="56">
      <c r="A215" s="27" t="n">
        <v>46055</v>
      </c>
      <c r="B215" s="37" t="inlineStr">
        <is>
          <t>PC-02/2026-008</t>
        </is>
      </c>
      <c r="C215" s="37" t="inlineStr">
        <is>
          <t>Thu</t>
        </is>
      </c>
      <c r="D215" s="37" t="n"/>
      <c r="E215" s="37" t="n"/>
      <c r="F215" s="37" t="inlineStr">
        <is>
          <t>GIÁM ĐỐC NỘP QUỸ L1 THÁNG 2 - Bổ sung quỹ</t>
        </is>
      </c>
      <c r="G215" s="37" t="inlineStr">
        <is>
          <t>Phòng Kế toán</t>
        </is>
      </c>
      <c r="H215" s="37" t="inlineStr">
        <is>
          <t>GIÁM ĐỐC</t>
        </is>
      </c>
      <c r="I215" s="37" t="inlineStr">
        <is>
          <t>Tiền mặt</t>
        </is>
      </c>
      <c r="J215" s="29" t="n">
        <v>10000000</v>
      </c>
      <c r="K215" s="29">
        <f>IF(C215="Thu",J215,0)</f>
        <v/>
      </c>
      <c r="L215" s="29">
        <f>IF(C215="Chi",J215,0)</f>
        <v/>
      </c>
      <c r="M215" s="29">
        <f>K215-L215</f>
        <v/>
      </c>
    </row>
    <row r="216" ht="15.75" customHeight="1" s="56">
      <c r="A216" s="27" t="n">
        <v>46055</v>
      </c>
      <c r="B216" s="37" t="inlineStr">
        <is>
          <t>PC-02/2026-009</t>
        </is>
      </c>
      <c r="C216" s="37" t="inlineStr">
        <is>
          <t>Chi</t>
        </is>
      </c>
      <c r="D216" s="37" t="n"/>
      <c r="E216" s="37" t="n"/>
      <c r="F216" s="37" t="inlineStr">
        <is>
          <t>Đinh Văn Hòa (058) - Lấy bản vẽ</t>
        </is>
      </c>
      <c r="G216" s="37" t="inlineStr">
        <is>
          <t>Phòng Kế toán</t>
        </is>
      </c>
      <c r="H216" s="37" t="inlineStr">
        <is>
          <t>Chi nhánh số 2</t>
        </is>
      </c>
      <c r="I216" s="37" t="inlineStr">
        <is>
          <t>Chuyển khoản</t>
        </is>
      </c>
      <c r="J216" s="29" t="n">
        <v>60500</v>
      </c>
      <c r="K216" s="29">
        <f>IF(C216="Thu",J216,0)</f>
        <v/>
      </c>
      <c r="L216" s="29">
        <f>IF(C216="Chi",J216,0)</f>
        <v/>
      </c>
      <c r="M216" s="29">
        <f>K216-L216</f>
        <v/>
      </c>
    </row>
    <row r="217" ht="15.75" customHeight="1" s="56">
      <c r="A217" s="27" t="n">
        <v>46055</v>
      </c>
      <c r="B217" s="37" t="inlineStr">
        <is>
          <t>PC-02/2026-010</t>
        </is>
      </c>
      <c r="C217" s="37" t="inlineStr">
        <is>
          <t>Chi</t>
        </is>
      </c>
      <c r="D217" s="37" t="n"/>
      <c r="E217" s="37" t="n"/>
      <c r="F217" s="37" t="inlineStr">
        <is>
          <t>Chu Trần Trọng (334) - Lấy bản vẽ</t>
        </is>
      </c>
      <c r="G217" s="37" t="inlineStr">
        <is>
          <t>Phòng Kế toán</t>
        </is>
      </c>
      <c r="H217" s="37" t="inlineStr">
        <is>
          <t>Chi nhánh số 2</t>
        </is>
      </c>
      <c r="I217" s="37" t="inlineStr">
        <is>
          <t>Chuyển khoản</t>
        </is>
      </c>
      <c r="J217" s="29" t="n">
        <v>60500</v>
      </c>
      <c r="K217" s="29">
        <f>IF(C217="Thu",J217,0)</f>
        <v/>
      </c>
      <c r="L217" s="29">
        <f>IF(C217="Chi",J217,0)</f>
        <v/>
      </c>
      <c r="M217" s="29">
        <f>K217-L217</f>
        <v/>
      </c>
    </row>
    <row r="218" ht="15.75" customHeight="1" s="56">
      <c r="A218" s="27" t="n">
        <v>46055</v>
      </c>
      <c r="B218" s="37" t="inlineStr">
        <is>
          <t>PC-02/2026-011</t>
        </is>
      </c>
      <c r="C218" s="37" t="inlineStr">
        <is>
          <t>Chi</t>
        </is>
      </c>
      <c r="D218" s="37" t="n"/>
      <c r="E218" s="37" t="n"/>
      <c r="F218" s="37" t="inlineStr">
        <is>
          <t>gửi chị Vân lấy bản vẽ - Chi quầy tiếp nhận</t>
        </is>
      </c>
      <c r="G218" s="37" t="inlineStr">
        <is>
          <t>Phòng Kế toán</t>
        </is>
      </c>
      <c r="H218" s="37" t="inlineStr">
        <is>
          <t>Chị Vân</t>
        </is>
      </c>
      <c r="I218" s="37" t="inlineStr">
        <is>
          <t>Tiền mặt</t>
        </is>
      </c>
      <c r="J218" s="29" t="n">
        <v>100000</v>
      </c>
      <c r="K218" s="29">
        <f>IF(C218="Thu",J218,0)</f>
        <v/>
      </c>
      <c r="L218" s="29">
        <f>IF(C218="Chi",J218,0)</f>
        <v/>
      </c>
      <c r="M218" s="29">
        <f>K218-L218</f>
        <v/>
      </c>
    </row>
    <row r="219" ht="15.75" customHeight="1" s="56">
      <c r="A219" s="27" t="n">
        <v>46055</v>
      </c>
      <c r="B219" s="37" t="inlineStr">
        <is>
          <t>PC-02/2026-012</t>
        </is>
      </c>
      <c r="C219" s="37" t="inlineStr">
        <is>
          <t>Chi</t>
        </is>
      </c>
      <c r="D219" s="37" t="n"/>
      <c r="E219" s="37" t="n"/>
      <c r="F219" s="37" t="inlineStr">
        <is>
          <t>làm đơn rút hs tách thửa Trần Thị Ngọc Dung - Chi quầy tiếp nhận</t>
        </is>
      </c>
      <c r="G219" s="37" t="inlineStr">
        <is>
          <t>Phòng Kế toán</t>
        </is>
      </c>
      <c r="H219" s="37" t="inlineStr">
        <is>
          <t>quầy tiếp nhận</t>
        </is>
      </c>
      <c r="I219" s="37" t="inlineStr">
        <is>
          <t>Tiền mặt</t>
        </is>
      </c>
      <c r="J219" s="29" t="n">
        <v>100000</v>
      </c>
      <c r="K219" s="29">
        <f>IF(C219="Thu",J219,0)</f>
        <v/>
      </c>
      <c r="L219" s="29">
        <f>IF(C219="Chi",J219,0)</f>
        <v/>
      </c>
      <c r="M219" s="29">
        <f>K219-L219</f>
        <v/>
      </c>
    </row>
    <row r="220" ht="15.75" customHeight="1" s="56">
      <c r="A220" s="27" t="n">
        <v>46055</v>
      </c>
      <c r="B220" s="37" t="inlineStr">
        <is>
          <t>PC-02/2026-013</t>
        </is>
      </c>
      <c r="C220" s="37" t="inlineStr">
        <is>
          <t>Chi</t>
        </is>
      </c>
      <c r="D220" s="37" t="n"/>
      <c r="E220" s="37" t="n"/>
      <c r="F220" s="37" t="inlineStr">
        <is>
          <t>gửi chị trâm làm phi NN sổ Hồ Trọng Dũng - Đóng thuế</t>
        </is>
      </c>
      <c r="G220" s="37" t="inlineStr">
        <is>
          <t>Phòng Kế toán</t>
        </is>
      </c>
      <c r="H220" s="37" t="inlineStr">
        <is>
          <t>Chị Trâm</t>
        </is>
      </c>
      <c r="I220" s="37" t="inlineStr">
        <is>
          <t>Tiền mặt</t>
        </is>
      </c>
      <c r="J220" s="29" t="n">
        <v>300000</v>
      </c>
      <c r="K220" s="29">
        <f>IF(C220="Thu",J220,0)</f>
        <v/>
      </c>
      <c r="L220" s="29">
        <f>IF(C220="Chi",J220,0)</f>
        <v/>
      </c>
      <c r="M220" s="29">
        <f>K220-L220</f>
        <v/>
      </c>
    </row>
    <row r="221" ht="15.75" customHeight="1" s="56">
      <c r="A221" s="27" t="n">
        <v>46055</v>
      </c>
      <c r="B221" s="37" t="inlineStr">
        <is>
          <t>PC-02/2026-014</t>
        </is>
      </c>
      <c r="C221" s="37" t="inlineStr">
        <is>
          <t>Chi</t>
        </is>
      </c>
      <c r="D221" s="37" t="n"/>
      <c r="E221" s="37" t="n"/>
      <c r="F221" s="37" t="inlineStr">
        <is>
          <t>gửi bản vẽ Chu Trần Trọng - Chuyển phát - Bưu chính-Grap</t>
        </is>
      </c>
      <c r="G221" s="37" t="inlineStr">
        <is>
          <t>Phòng Kế toán</t>
        </is>
      </c>
      <c r="H221" s="37" t="inlineStr">
        <is>
          <t>Anh Trọng</t>
        </is>
      </c>
      <c r="I221" s="37" t="inlineStr">
        <is>
          <t>Chuyển khoản</t>
        </is>
      </c>
      <c r="J221" s="29" t="n">
        <v>50000</v>
      </c>
      <c r="K221" s="29">
        <f>IF(C221="Thu",J221,0)</f>
        <v/>
      </c>
      <c r="L221" s="29">
        <f>IF(C221="Chi",J221,0)</f>
        <v/>
      </c>
      <c r="M221" s="29">
        <f>K221-L221</f>
        <v/>
      </c>
    </row>
    <row r="222" ht="15.75" customHeight="1" s="56">
      <c r="A222" s="27" t="n">
        <v>46055</v>
      </c>
      <c r="B222" s="37" t="inlineStr">
        <is>
          <t>PC-02/2026-015</t>
        </is>
      </c>
      <c r="C222" s="37" t="inlineStr">
        <is>
          <t>Chi</t>
        </is>
      </c>
      <c r="D222" s="37" t="n"/>
      <c r="E222" s="37" t="n"/>
      <c r="F222" s="37" t="inlineStr">
        <is>
          <t>tiền dọn vệ sinh tháng 1 - Vệ sinh - Rác thải</t>
        </is>
      </c>
      <c r="G222" s="37" t="inlineStr">
        <is>
          <t>Phòng Kế toán</t>
        </is>
      </c>
      <c r="H222" s="37" t="inlineStr">
        <is>
          <t>Gia Phát</t>
        </is>
      </c>
      <c r="I222" s="37" t="inlineStr">
        <is>
          <t>Chuyển khoản</t>
        </is>
      </c>
      <c r="J222" s="29" t="n">
        <v>1280000</v>
      </c>
      <c r="K222" s="29">
        <f>IF(C222="Thu",J222,0)</f>
        <v/>
      </c>
      <c r="L222" s="29">
        <f>IF(C222="Chi",J222,0)</f>
        <v/>
      </c>
      <c r="M222" s="29">
        <f>K222-L222</f>
        <v/>
      </c>
    </row>
    <row r="223" ht="15.75" customHeight="1" s="56">
      <c r="A223" s="27" t="n">
        <v>46053</v>
      </c>
      <c r="B223" s="37" t="inlineStr">
        <is>
          <t>PC-01/2026-339</t>
        </is>
      </c>
      <c r="C223" s="37" t="inlineStr">
        <is>
          <t>Chi</t>
        </is>
      </c>
      <c r="D223" s="37" t="n"/>
      <c r="E223" s="37" t="n"/>
      <c r="F223" s="37" t="inlineStr">
        <is>
          <t>trái cây 31/1 - Sinh hoạt gia đình</t>
        </is>
      </c>
      <c r="G223" s="37" t="inlineStr">
        <is>
          <t>Phòng Kế toán</t>
        </is>
      </c>
      <c r="H223" s="37" t="inlineStr">
        <is>
          <t>Hằng</t>
        </is>
      </c>
      <c r="I223" s="37" t="inlineStr">
        <is>
          <t>Tiền mặt</t>
        </is>
      </c>
      <c r="J223" s="29" t="n">
        <v>140000</v>
      </c>
      <c r="K223" s="29">
        <f>IF(C223="Thu",J223,0)</f>
        <v/>
      </c>
      <c r="L223" s="29">
        <f>IF(C223="Chi",J223,0)</f>
        <v/>
      </c>
      <c r="M223" s="29">
        <f>K223-L223</f>
        <v/>
      </c>
    </row>
    <row r="224" ht="15.75" customHeight="1" s="56">
      <c r="A224" s="27" t="inlineStr">
        <is>
          <t>2026-06-23 13:31:38</t>
        </is>
      </c>
      <c r="B224" s="37" t="inlineStr">
        <is>
          <t>PC-03/2026-0097</t>
        </is>
      </c>
      <c r="C224" s="37" t="inlineStr">
        <is>
          <t>Chi</t>
        </is>
      </c>
      <c r="D224" s="37" t="inlineStr">
        <is>
          <t>None</t>
        </is>
      </c>
      <c r="E224" s="37" t="inlineStr">
        <is>
          <t>None</t>
        </is>
      </c>
      <c r="F224" s="37" t="inlineStr">
        <is>
          <t>Lệ phí trích lục bản đồ</t>
        </is>
      </c>
      <c r="G224" s="37" t="inlineStr">
        <is>
          <t>Phòng Đo đạc</t>
        </is>
      </c>
      <c r="H224" s="37" t="inlineStr">
        <is>
          <t>Võ Thành Minh</t>
        </is>
      </c>
      <c r="I224" s="37" t="inlineStr">
        <is>
          <t>Tiền mặt</t>
        </is>
      </c>
      <c r="J224" s="29" t="n">
        <v>150000</v>
      </c>
      <c r="K224" s="29">
        <f>IF(C224="Thu",J224,0)</f>
        <v/>
      </c>
      <c r="L224" s="29">
        <f>IF(C224="Chi",J224,0)</f>
        <v/>
      </c>
      <c r="M224" s="29">
        <f>K224-L224</f>
        <v/>
      </c>
    </row>
    <row r="225" ht="15.75" customHeight="1" s="56">
      <c r="A225" s="27" t="inlineStr">
        <is>
          <t>2026-06-23 13:32:14</t>
        </is>
      </c>
      <c r="B225" s="37" t="inlineStr">
        <is>
          <t>PC-03/2026-0098</t>
        </is>
      </c>
      <c r="C225" s="37" t="inlineStr">
        <is>
          <t>Chi</t>
        </is>
      </c>
      <c r="D225" s="37" t="inlineStr">
        <is>
          <t>None</t>
        </is>
      </c>
      <c r="E225" s="37" t="inlineStr">
        <is>
          <t>None</t>
        </is>
      </c>
      <c r="F225" s="37" t="inlineStr">
        <is>
          <t>Lệ phí trích lục bản đồ</t>
        </is>
      </c>
      <c r="G225" s="37" t="inlineStr">
        <is>
          <t>Phòng Đo đạc</t>
        </is>
      </c>
      <c r="H225" s="37" t="inlineStr">
        <is>
          <t>Võ Thành Minh</t>
        </is>
      </c>
      <c r="I225" s="37" t="inlineStr">
        <is>
          <t>Tiền mặt</t>
        </is>
      </c>
      <c r="J225" s="29" t="n">
        <v>150000</v>
      </c>
      <c r="K225" s="29">
        <f>IF(C225="Thu",J225,0)</f>
        <v/>
      </c>
      <c r="L225" s="29">
        <f>IF(C225="Chi",J225,0)</f>
        <v/>
      </c>
      <c r="M225" s="29">
        <f>K225-L225</f>
        <v/>
      </c>
    </row>
    <row r="226" ht="15.75" customHeight="1" s="56">
      <c r="A226" s="27" t="inlineStr">
        <is>
          <t>2026-06-23 13:33:52</t>
        </is>
      </c>
      <c r="B226" s="37" t="inlineStr">
        <is>
          <t>PC-03/2026-0099</t>
        </is>
      </c>
      <c r="C226" s="37" t="inlineStr">
        <is>
          <t>Chi</t>
        </is>
      </c>
      <c r="D226" s="37" t="inlineStr">
        <is>
          <t>None</t>
        </is>
      </c>
      <c r="E226" s="37" t="inlineStr">
        <is>
          <t>None</t>
        </is>
      </c>
      <c r="F226" s="37" t="inlineStr">
        <is>
          <t>Le phi trich luc bang do</t>
        </is>
      </c>
      <c r="G226" s="37" t="inlineStr">
        <is>
          <t>Phong Do dac</t>
        </is>
      </c>
      <c r="H226" s="37" t="inlineStr">
        <is>
          <t>Vo Thanh Minh</t>
        </is>
      </c>
      <c r="I226" s="37" t="inlineStr">
        <is>
          <t>Tien mat</t>
        </is>
      </c>
      <c r="J226" s="29" t="n">
        <v>150000</v>
      </c>
      <c r="K226" s="29">
        <f>IF(C226="Thu",J226,0)</f>
        <v/>
      </c>
      <c r="L226" s="29">
        <f>IF(C226="Chi",J226,0)</f>
        <v/>
      </c>
      <c r="M226" s="29">
        <f>K226-L226</f>
        <v/>
      </c>
    </row>
    <row r="227" ht="15.75" customHeight="1" s="56">
      <c r="A227" s="27" t="inlineStr">
        <is>
          <t>2026-06-23 13:45:36</t>
        </is>
      </c>
      <c r="B227" s="37" t="inlineStr">
        <is>
          <t>PC-03/2026-0100</t>
        </is>
      </c>
      <c r="C227" s="37" t="inlineStr">
        <is>
          <t>Chi</t>
        </is>
      </c>
      <c r="D227" s="37" t="inlineStr">
        <is>
          <t>None</t>
        </is>
      </c>
      <c r="E227" s="37" t="inlineStr">
        <is>
          <t>None</t>
        </is>
      </c>
      <c r="F227" s="37" t="inlineStr">
        <is>
          <t>Test chi phí Python</t>
        </is>
      </c>
      <c r="G227" s="37" t="inlineStr">
        <is>
          <t>Phòng Giám đốc</t>
        </is>
      </c>
      <c r="H227" s="37" t="inlineStr">
        <is>
          <t>Lê Văn Dựng</t>
        </is>
      </c>
      <c r="I227" s="37" t="inlineStr">
        <is>
          <t>Tiền mặt</t>
        </is>
      </c>
      <c r="J227" s="29" t="n">
        <v>500000</v>
      </c>
      <c r="K227" s="29">
        <f>IF(C227="Thu",J227,0)</f>
        <v/>
      </c>
      <c r="L227" s="29">
        <f>IF(C227="Chi",J227,0)</f>
        <v/>
      </c>
      <c r="M227" s="29">
        <f>K227-L227</f>
        <v/>
      </c>
    </row>
    <row r="228" ht="15.75" customHeight="1" s="56">
      <c r="A228" s="27" t="n"/>
      <c r="B228" s="37" t="n"/>
      <c r="C228" s="37" t="n"/>
      <c r="D228" s="37" t="n"/>
      <c r="E228" s="37" t="n"/>
      <c r="F228" s="37" t="n"/>
      <c r="G228" s="37" t="n"/>
      <c r="H228" s="37" t="n"/>
      <c r="I228" s="37" t="n"/>
      <c r="J228" s="29" t="n"/>
      <c r="K228" s="29">
        <f>IF(C228="Thu",J228,0)</f>
        <v/>
      </c>
      <c r="L228" s="29">
        <f>IF(C228="Chi",J228,0)</f>
        <v/>
      </c>
      <c r="M228" s="29">
        <f>K228-L228</f>
        <v/>
      </c>
    </row>
    <row r="229" ht="15.75" customHeight="1" s="56">
      <c r="A229" s="27" t="n"/>
      <c r="B229" s="37" t="n"/>
      <c r="C229" s="37" t="n"/>
      <c r="D229" s="37" t="n"/>
      <c r="E229" s="37" t="n"/>
      <c r="F229" s="37" t="n"/>
      <c r="G229" s="37" t="n"/>
      <c r="H229" s="37" t="n"/>
      <c r="I229" s="37" t="n"/>
      <c r="J229" s="29" t="n"/>
      <c r="K229" s="29">
        <f>IF(C229="Thu",J229,0)</f>
        <v/>
      </c>
      <c r="L229" s="29">
        <f>IF(C229="Chi",J229,0)</f>
        <v/>
      </c>
      <c r="M229" s="29">
        <f>K229-L229</f>
        <v/>
      </c>
    </row>
    <row r="230" ht="15.75" customHeight="1" s="56">
      <c r="A230" s="27" t="n"/>
      <c r="B230" s="37" t="n"/>
      <c r="C230" s="37" t="n"/>
      <c r="D230" s="37" t="n"/>
      <c r="E230" s="37" t="n"/>
      <c r="F230" s="37" t="n"/>
      <c r="G230" s="37" t="n"/>
      <c r="H230" s="37" t="n"/>
      <c r="I230" s="37" t="n"/>
      <c r="J230" s="29" t="n"/>
      <c r="K230" s="29">
        <f>IF(C230="Thu",J230,0)</f>
        <v/>
      </c>
      <c r="L230" s="29">
        <f>IF(C230="Chi",J230,0)</f>
        <v/>
      </c>
      <c r="M230" s="29">
        <f>K230-L230</f>
        <v/>
      </c>
    </row>
    <row r="231" ht="15.75" customHeight="1" s="56">
      <c r="A231" s="27" t="n"/>
      <c r="B231" s="37" t="n"/>
      <c r="C231" s="37" t="n"/>
      <c r="D231" s="37" t="n"/>
      <c r="E231" s="37" t="n"/>
      <c r="F231" s="37" t="n"/>
      <c r="G231" s="37" t="n"/>
      <c r="H231" s="37" t="n"/>
      <c r="I231" s="37" t="n"/>
      <c r="J231" s="29" t="n"/>
      <c r="K231" s="29">
        <f>IF(C231="Thu",J231,0)</f>
        <v/>
      </c>
      <c r="L231" s="29">
        <f>IF(C231="Chi",J231,0)</f>
        <v/>
      </c>
      <c r="M231" s="29">
        <f>K231-L231</f>
        <v/>
      </c>
    </row>
    <row r="232" ht="15.75" customHeight="1" s="56">
      <c r="A232" s="27" t="n"/>
      <c r="B232" s="37" t="n"/>
      <c r="C232" s="37" t="n"/>
      <c r="D232" s="37" t="n"/>
      <c r="E232" s="37" t="n"/>
      <c r="F232" s="37" t="n"/>
      <c r="G232" s="37" t="n"/>
      <c r="H232" s="37" t="n"/>
      <c r="I232" s="37" t="n"/>
      <c r="J232" s="29" t="n"/>
      <c r="K232" s="29">
        <f>IF(C232="Thu",J232,0)</f>
        <v/>
      </c>
      <c r="L232" s="29">
        <f>IF(C232="Chi",J232,0)</f>
        <v/>
      </c>
      <c r="M232" s="29">
        <f>K232-L232</f>
        <v/>
      </c>
    </row>
    <row r="233" ht="15.75" customHeight="1" s="56">
      <c r="A233" s="27" t="n"/>
      <c r="B233" s="37" t="n"/>
      <c r="C233" s="37" t="n"/>
      <c r="D233" s="37" t="n"/>
      <c r="E233" s="37" t="n"/>
      <c r="F233" s="37" t="n"/>
      <c r="G233" s="37" t="n"/>
      <c r="H233" s="37" t="n"/>
      <c r="I233" s="37" t="n"/>
      <c r="J233" s="29" t="n"/>
      <c r="K233" s="29">
        <f>IF(C233="Thu",J233,0)</f>
        <v/>
      </c>
      <c r="L233" s="29">
        <f>IF(C233="Chi",J233,0)</f>
        <v/>
      </c>
      <c r="M233" s="29">
        <f>K233-L233</f>
        <v/>
      </c>
    </row>
    <row r="234" ht="15.75" customHeight="1" s="56">
      <c r="A234" s="27" t="n"/>
      <c r="B234" s="37" t="n"/>
      <c r="C234" s="37" t="n"/>
      <c r="D234" s="37" t="n"/>
      <c r="E234" s="37" t="n"/>
      <c r="F234" s="37" t="n"/>
      <c r="G234" s="37" t="n"/>
      <c r="H234" s="37" t="n"/>
      <c r="I234" s="37" t="n"/>
      <c r="J234" s="29" t="n"/>
      <c r="K234" s="29">
        <f>IF(C234="Thu",J234,0)</f>
        <v/>
      </c>
      <c r="L234" s="29">
        <f>IF(C234="Chi",J234,0)</f>
        <v/>
      </c>
      <c r="M234" s="29">
        <f>K234-L234</f>
        <v/>
      </c>
    </row>
    <row r="235" ht="15.75" customHeight="1" s="56">
      <c r="A235" s="27" t="n"/>
      <c r="B235" s="37" t="n"/>
      <c r="C235" s="37" t="n"/>
      <c r="D235" s="37" t="n"/>
      <c r="E235" s="37" t="n"/>
      <c r="F235" s="37" t="n"/>
      <c r="G235" s="37" t="n"/>
      <c r="H235" s="37" t="n"/>
      <c r="I235" s="37" t="n"/>
      <c r="J235" s="29" t="n"/>
      <c r="K235" s="29">
        <f>IF(C235="Thu",J235,0)</f>
        <v/>
      </c>
      <c r="L235" s="29">
        <f>IF(C235="Chi",J235,0)</f>
        <v/>
      </c>
      <c r="M235" s="29">
        <f>K235-L235</f>
        <v/>
      </c>
    </row>
    <row r="236" ht="15.75" customHeight="1" s="56">
      <c r="A236" s="27" t="n"/>
      <c r="B236" s="37" t="n"/>
      <c r="C236" s="37" t="n"/>
      <c r="D236" s="37" t="n"/>
      <c r="E236" s="37" t="n"/>
      <c r="F236" s="37" t="n"/>
      <c r="G236" s="37" t="n"/>
      <c r="H236" s="37" t="n"/>
      <c r="I236" s="37" t="n"/>
      <c r="J236" s="29" t="n"/>
      <c r="K236" s="29">
        <f>IF(C236="Thu",J236,0)</f>
        <v/>
      </c>
      <c r="L236" s="29">
        <f>IF(C236="Chi",J236,0)</f>
        <v/>
      </c>
      <c r="M236" s="29">
        <f>K236-L236</f>
        <v/>
      </c>
    </row>
    <row r="237" ht="15.75" customHeight="1" s="56">
      <c r="A237" s="27" t="n"/>
      <c r="B237" s="37" t="n"/>
      <c r="C237" s="37" t="n"/>
      <c r="D237" s="37" t="n"/>
      <c r="E237" s="37" t="n"/>
      <c r="F237" s="37" t="n"/>
      <c r="G237" s="37" t="n"/>
      <c r="H237" s="37" t="n"/>
      <c r="I237" s="37" t="n"/>
      <c r="J237" s="29" t="n"/>
      <c r="K237" s="29">
        <f>IF(C237="Thu",J237,0)</f>
        <v/>
      </c>
      <c r="L237" s="29">
        <f>IF(C237="Chi",J237,0)</f>
        <v/>
      </c>
      <c r="M237" s="29">
        <f>K237-L237</f>
        <v/>
      </c>
    </row>
    <row r="238" ht="15.75" customHeight="1" s="56">
      <c r="A238" s="27" t="n"/>
      <c r="B238" s="37" t="n"/>
      <c r="C238" s="37" t="n"/>
      <c r="D238" s="37" t="n"/>
      <c r="E238" s="37" t="n"/>
      <c r="F238" s="37" t="n"/>
      <c r="G238" s="37" t="n"/>
      <c r="H238" s="37" t="n"/>
      <c r="I238" s="37" t="n"/>
      <c r="J238" s="29" t="n"/>
      <c r="K238" s="29">
        <f>IF(C238="Thu",J238,0)</f>
        <v/>
      </c>
      <c r="L238" s="29">
        <f>IF(C238="Chi",J238,0)</f>
        <v/>
      </c>
      <c r="M238" s="29">
        <f>K238-L238</f>
        <v/>
      </c>
    </row>
    <row r="239" ht="15.75" customHeight="1" s="56">
      <c r="A239" s="27" t="n"/>
      <c r="B239" s="37" t="n"/>
      <c r="C239" s="37" t="n"/>
      <c r="D239" s="37" t="n"/>
      <c r="E239" s="37" t="n"/>
      <c r="F239" s="37" t="n"/>
      <c r="G239" s="37" t="n"/>
      <c r="H239" s="37" t="n"/>
      <c r="I239" s="37" t="n"/>
      <c r="J239" s="29" t="n"/>
      <c r="K239" s="29">
        <f>IF(C239="Thu",J239,0)</f>
        <v/>
      </c>
      <c r="L239" s="29">
        <f>IF(C239="Chi",J239,0)</f>
        <v/>
      </c>
      <c r="M239" s="29">
        <f>K239-L239</f>
        <v/>
      </c>
    </row>
    <row r="240" ht="15.75" customHeight="1" s="56">
      <c r="A240" s="27" t="n"/>
      <c r="B240" s="37" t="n"/>
      <c r="C240" s="37" t="n"/>
      <c r="D240" s="37" t="n"/>
      <c r="E240" s="37" t="n"/>
      <c r="F240" s="37" t="n"/>
      <c r="G240" s="37" t="n"/>
      <c r="H240" s="37" t="n"/>
      <c r="I240" s="37" t="n"/>
      <c r="J240" s="29" t="n"/>
      <c r="K240" s="29">
        <f>IF(C240="Thu",J240,0)</f>
        <v/>
      </c>
      <c r="L240" s="29">
        <f>IF(C240="Chi",J240,0)</f>
        <v/>
      </c>
      <c r="M240" s="29">
        <f>K240-L240</f>
        <v/>
      </c>
    </row>
    <row r="241" ht="15.75" customHeight="1" s="56">
      <c r="A241" s="27" t="n"/>
      <c r="B241" s="37" t="n"/>
      <c r="C241" s="37" t="n"/>
      <c r="D241" s="37" t="n"/>
      <c r="E241" s="37" t="n"/>
      <c r="F241" s="37" t="n"/>
      <c r="G241" s="37" t="n"/>
      <c r="H241" s="37" t="n"/>
      <c r="I241" s="37" t="n"/>
      <c r="J241" s="29" t="n"/>
      <c r="K241" s="29">
        <f>IF(C241="Thu",J241,0)</f>
        <v/>
      </c>
      <c r="L241" s="29">
        <f>IF(C241="Chi",J241,0)</f>
        <v/>
      </c>
      <c r="M241" s="29">
        <f>K241-L241</f>
        <v/>
      </c>
    </row>
    <row r="242" ht="15.75" customHeight="1" s="56">
      <c r="A242" s="27" t="n"/>
      <c r="B242" s="37" t="n"/>
      <c r="C242" s="37" t="n"/>
      <c r="D242" s="37" t="n"/>
      <c r="E242" s="37" t="n"/>
      <c r="F242" s="37" t="n"/>
      <c r="G242" s="37" t="n"/>
      <c r="H242" s="37" t="n"/>
      <c r="I242" s="37" t="n"/>
      <c r="J242" s="29" t="n"/>
      <c r="K242" s="29">
        <f>IF(C242="Thu",J242,0)</f>
        <v/>
      </c>
      <c r="L242" s="29">
        <f>IF(C242="Chi",J242,0)</f>
        <v/>
      </c>
      <c r="M242" s="29">
        <f>K242-L242</f>
        <v/>
      </c>
    </row>
    <row r="243" ht="15.75" customHeight="1" s="56">
      <c r="A243" s="27" t="n"/>
      <c r="B243" s="37" t="n"/>
      <c r="C243" s="37" t="n"/>
      <c r="D243" s="37" t="n"/>
      <c r="E243" s="37" t="n"/>
      <c r="F243" s="37" t="n"/>
      <c r="G243" s="37" t="n"/>
      <c r="H243" s="37" t="n"/>
      <c r="I243" s="37" t="n"/>
      <c r="J243" s="29" t="n"/>
      <c r="K243" s="29">
        <f>IF(C243="Thu",J243,0)</f>
        <v/>
      </c>
      <c r="L243" s="29">
        <f>IF(C243="Chi",J243,0)</f>
        <v/>
      </c>
      <c r="M243" s="29">
        <f>K243-L243</f>
        <v/>
      </c>
    </row>
    <row r="244" ht="15.75" customHeight="1" s="56">
      <c r="A244" s="27" t="n"/>
      <c r="B244" s="37">
        <f>IF(A244="","",THIET_LAP!$B$4&amp;"-TC-"&amp;TEXT(COUNT($A$4:A244),"0000"))</f>
        <v/>
      </c>
      <c r="C244" s="37" t="n"/>
      <c r="D244" s="37" t="n"/>
      <c r="E244" s="37" t="n"/>
      <c r="F244" s="37" t="n"/>
      <c r="G244" s="37" t="n"/>
      <c r="H244" s="37" t="n"/>
      <c r="I244" s="37" t="n"/>
      <c r="J244" s="29" t="n"/>
      <c r="K244" s="29">
        <f>IF(C244="Thu",J244,0)</f>
        <v/>
      </c>
      <c r="L244" s="29">
        <f>IF(C244="Chi",J244,0)</f>
        <v/>
      </c>
      <c r="M244" s="37" t="n"/>
    </row>
    <row r="245" ht="15.75" customHeight="1" s="56">
      <c r="A245" s="27" t="n"/>
      <c r="B245" s="37">
        <f>IF(A245="","",THIET_LAP!$B$4&amp;"-TC-"&amp;TEXT(COUNT($A$4:A245),"0000"))</f>
        <v/>
      </c>
      <c r="C245" s="37" t="n"/>
      <c r="D245" s="37" t="n"/>
      <c r="E245" s="37" t="n"/>
      <c r="F245" s="37" t="n"/>
      <c r="G245" s="37" t="n"/>
      <c r="H245" s="37" t="n"/>
      <c r="I245" s="37" t="n"/>
      <c r="J245" s="29" t="n"/>
      <c r="K245" s="29">
        <f>IF(C245="Thu",J245,0)</f>
        <v/>
      </c>
      <c r="L245" s="29">
        <f>IF(C245="Chi",J245,0)</f>
        <v/>
      </c>
      <c r="M245" s="37" t="n"/>
    </row>
    <row r="246" ht="15.75" customHeight="1" s="56">
      <c r="A246" s="27" t="n"/>
      <c r="B246" s="37">
        <f>IF(A246="","",THIET_LAP!$B$4&amp;"-TC-"&amp;TEXT(COUNT($A$4:A246),"0000"))</f>
        <v/>
      </c>
      <c r="C246" s="37" t="n"/>
      <c r="D246" s="37" t="n"/>
      <c r="E246" s="37" t="n"/>
      <c r="F246" s="37" t="n"/>
      <c r="G246" s="37" t="n"/>
      <c r="H246" s="37" t="n"/>
      <c r="I246" s="37" t="n"/>
      <c r="J246" s="29" t="n"/>
      <c r="K246" s="29">
        <f>IF(C246="Thu",J246,0)</f>
        <v/>
      </c>
      <c r="L246" s="29">
        <f>IF(C246="Chi",J246,0)</f>
        <v/>
      </c>
      <c r="M246" s="37" t="n"/>
    </row>
    <row r="247" ht="15.75" customHeight="1" s="56">
      <c r="A247" s="27" t="n"/>
      <c r="B247" s="37">
        <f>IF(A247="","",THIET_LAP!$B$4&amp;"-TC-"&amp;TEXT(COUNT($A$4:A247),"0000"))</f>
        <v/>
      </c>
      <c r="C247" s="37" t="n"/>
      <c r="D247" s="37" t="n"/>
      <c r="E247" s="37" t="n"/>
      <c r="F247" s="37" t="n"/>
      <c r="G247" s="37" t="n"/>
      <c r="H247" s="37" t="n"/>
      <c r="I247" s="37" t="n"/>
      <c r="J247" s="29" t="n"/>
      <c r="K247" s="29">
        <f>IF(C247="Thu",J247,0)</f>
        <v/>
      </c>
      <c r="L247" s="29">
        <f>IF(C247="Chi",J247,0)</f>
        <v/>
      </c>
      <c r="M247" s="37" t="n"/>
    </row>
    <row r="248" ht="15.75" customHeight="1" s="56">
      <c r="A248" s="27" t="n"/>
      <c r="B248" s="37">
        <f>IF(A248="","",THIET_LAP!$B$4&amp;"-TC-"&amp;TEXT(COUNT($A$4:A248),"0000"))</f>
        <v/>
      </c>
      <c r="C248" s="37" t="n"/>
      <c r="D248" s="37" t="n"/>
      <c r="E248" s="37" t="n"/>
      <c r="F248" s="37" t="n"/>
      <c r="G248" s="37" t="n"/>
      <c r="H248" s="37" t="n"/>
      <c r="I248" s="37" t="n"/>
      <c r="J248" s="29" t="n"/>
      <c r="K248" s="29">
        <f>IF(C248="Thu",J248,0)</f>
        <v/>
      </c>
      <c r="L248" s="29">
        <f>IF(C248="Chi",J248,0)</f>
        <v/>
      </c>
      <c r="M248" s="37" t="n"/>
    </row>
    <row r="249" ht="15.75" customHeight="1" s="56">
      <c r="A249" s="27" t="n"/>
      <c r="B249" s="37">
        <f>IF(A249="","",THIET_LAP!$B$4&amp;"-TC-"&amp;TEXT(COUNT($A$4:A249),"0000"))</f>
        <v/>
      </c>
      <c r="C249" s="37" t="n"/>
      <c r="D249" s="37" t="n"/>
      <c r="E249" s="37" t="n"/>
      <c r="F249" s="37" t="n"/>
      <c r="G249" s="37" t="n"/>
      <c r="H249" s="37" t="n"/>
      <c r="I249" s="37" t="n"/>
      <c r="J249" s="29" t="n"/>
      <c r="K249" s="29">
        <f>IF(C249="Thu",J249,0)</f>
        <v/>
      </c>
      <c r="L249" s="29">
        <f>IF(C249="Chi",J249,0)</f>
        <v/>
      </c>
      <c r="M249" s="37" t="n"/>
    </row>
    <row r="250" ht="15.75" customHeight="1" s="56">
      <c r="A250" s="27" t="n"/>
      <c r="B250" s="37">
        <f>IF(A250="","",THIET_LAP!$B$4&amp;"-TC-"&amp;TEXT(COUNT($A$4:A250),"0000"))</f>
        <v/>
      </c>
      <c r="C250" s="37" t="n"/>
      <c r="D250" s="37" t="n"/>
      <c r="E250" s="37" t="n"/>
      <c r="F250" s="37" t="n"/>
      <c r="G250" s="37" t="n"/>
      <c r="H250" s="37" t="n"/>
      <c r="I250" s="37" t="n"/>
      <c r="J250" s="29" t="n"/>
      <c r="K250" s="29">
        <f>IF(C250="Thu",J250,0)</f>
        <v/>
      </c>
      <c r="L250" s="29">
        <f>IF(C250="Chi",J250,0)</f>
        <v/>
      </c>
      <c r="M250" s="37" t="n"/>
    </row>
    <row r="251" ht="15.75" customHeight="1" s="56">
      <c r="A251" s="27" t="n"/>
      <c r="B251" s="37">
        <f>IF(A251="","",THIET_LAP!$B$4&amp;"-TC-"&amp;TEXT(COUNT($A$4:A251),"0000"))</f>
        <v/>
      </c>
      <c r="C251" s="37" t="n"/>
      <c r="D251" s="37" t="n"/>
      <c r="E251" s="37" t="n"/>
      <c r="F251" s="37" t="n"/>
      <c r="G251" s="37" t="n"/>
      <c r="H251" s="37" t="n"/>
      <c r="I251" s="37" t="n"/>
      <c r="J251" s="29" t="n"/>
      <c r="K251" s="29">
        <f>IF(C251="Thu",J251,0)</f>
        <v/>
      </c>
      <c r="L251" s="29">
        <f>IF(C251="Chi",J251,0)</f>
        <v/>
      </c>
      <c r="M251" s="37" t="n"/>
    </row>
    <row r="252" ht="15.75" customHeight="1" s="56">
      <c r="A252" s="27" t="n"/>
      <c r="B252" s="37">
        <f>IF(A252="","",THIET_LAP!$B$4&amp;"-TC-"&amp;TEXT(COUNT($A$4:A252),"0000"))</f>
        <v/>
      </c>
      <c r="C252" s="37" t="n"/>
      <c r="D252" s="37" t="n"/>
      <c r="E252" s="37" t="n"/>
      <c r="F252" s="37" t="n"/>
      <c r="G252" s="37" t="n"/>
      <c r="H252" s="37" t="n"/>
      <c r="I252" s="37" t="n"/>
      <c r="J252" s="29" t="n"/>
      <c r="K252" s="29">
        <f>IF(C252="Thu",J252,0)</f>
        <v/>
      </c>
      <c r="L252" s="29">
        <f>IF(C252="Chi",J252,0)</f>
        <v/>
      </c>
      <c r="M252" s="37" t="n"/>
    </row>
    <row r="253" ht="15.75" customHeight="1" s="56">
      <c r="A253" s="27" t="n"/>
      <c r="B253" s="37">
        <f>IF(A253="","",THIET_LAP!$B$4&amp;"-TC-"&amp;TEXT(COUNT($A$4:A253),"0000"))</f>
        <v/>
      </c>
      <c r="C253" s="37" t="n"/>
      <c r="D253" s="37" t="n"/>
      <c r="E253" s="37" t="n"/>
      <c r="F253" s="37" t="n"/>
      <c r="G253" s="37" t="n"/>
      <c r="H253" s="37" t="n"/>
      <c r="I253" s="37" t="n"/>
      <c r="J253" s="29" t="n"/>
      <c r="K253" s="29">
        <f>IF(C253="Thu",J253,0)</f>
        <v/>
      </c>
      <c r="L253" s="29">
        <f>IF(C253="Chi",J253,0)</f>
        <v/>
      </c>
      <c r="M253" s="37" t="n"/>
    </row>
    <row r="254" ht="15.75" customHeight="1" s="56">
      <c r="A254" s="27" t="n"/>
      <c r="B254" s="37">
        <f>IF(A254="","",THIET_LAP!$B$4&amp;"-TC-"&amp;TEXT(COUNT($A$4:A254),"0000"))</f>
        <v/>
      </c>
      <c r="C254" s="37" t="n"/>
      <c r="D254" s="37" t="n"/>
      <c r="E254" s="37" t="n"/>
      <c r="F254" s="37" t="n"/>
      <c r="G254" s="37" t="n"/>
      <c r="H254" s="37" t="n"/>
      <c r="I254" s="37" t="n"/>
      <c r="J254" s="29" t="n"/>
      <c r="K254" s="29">
        <f>IF(C254="Thu",J254,0)</f>
        <v/>
      </c>
      <c r="L254" s="29">
        <f>IF(C254="Chi",J254,0)</f>
        <v/>
      </c>
      <c r="M254" s="37" t="n"/>
    </row>
    <row r="255" ht="15.75" customHeight="1" s="56">
      <c r="A255" s="27" t="n"/>
      <c r="B255" s="37">
        <f>IF(A255="","",THIET_LAP!$B$4&amp;"-TC-"&amp;TEXT(COUNT($A$4:A255),"0000"))</f>
        <v/>
      </c>
      <c r="C255" s="37" t="n"/>
      <c r="D255" s="37" t="n"/>
      <c r="E255" s="37" t="n"/>
      <c r="F255" s="37" t="n"/>
      <c r="G255" s="37" t="n"/>
      <c r="H255" s="37" t="n"/>
      <c r="I255" s="37" t="n"/>
      <c r="J255" s="29" t="n"/>
      <c r="K255" s="29">
        <f>IF(C255="Thu",J255,0)</f>
        <v/>
      </c>
      <c r="L255" s="29">
        <f>IF(C255="Chi",J255,0)</f>
        <v/>
      </c>
      <c r="M255" s="37" t="n"/>
    </row>
    <row r="256" ht="15.75" customHeight="1" s="56">
      <c r="A256" s="27" t="n"/>
      <c r="B256" s="37">
        <f>IF(A256="","",THIET_LAP!$B$4&amp;"-TC-"&amp;TEXT(COUNT($A$4:A256),"0000"))</f>
        <v/>
      </c>
      <c r="C256" s="37" t="n"/>
      <c r="D256" s="37" t="n"/>
      <c r="E256" s="37" t="n"/>
      <c r="F256" s="37" t="n"/>
      <c r="G256" s="37" t="n"/>
      <c r="H256" s="37" t="n"/>
      <c r="I256" s="37" t="n"/>
      <c r="J256" s="29" t="n"/>
      <c r="K256" s="29">
        <f>IF(C256="Thu",J256,0)</f>
        <v/>
      </c>
      <c r="L256" s="29">
        <f>IF(C256="Chi",J256,0)</f>
        <v/>
      </c>
      <c r="M256" s="37" t="n"/>
    </row>
    <row r="257" ht="15.75" customHeight="1" s="56">
      <c r="A257" s="27" t="n"/>
      <c r="B257" s="37">
        <f>IF(A257="","",THIET_LAP!$B$4&amp;"-TC-"&amp;TEXT(COUNT($A$4:A257),"0000"))</f>
        <v/>
      </c>
      <c r="C257" s="37" t="n"/>
      <c r="D257" s="37" t="n"/>
      <c r="E257" s="37" t="n"/>
      <c r="F257" s="37" t="n"/>
      <c r="G257" s="37" t="n"/>
      <c r="H257" s="37" t="n"/>
      <c r="I257" s="37" t="n"/>
      <c r="J257" s="29" t="n"/>
      <c r="K257" s="29">
        <f>IF(C257="Thu",J257,0)</f>
        <v/>
      </c>
      <c r="L257" s="29">
        <f>IF(C257="Chi",J257,0)</f>
        <v/>
      </c>
      <c r="M257" s="37" t="n"/>
    </row>
    <row r="258" ht="15.75" customHeight="1" s="56">
      <c r="A258" s="27" t="n"/>
      <c r="B258" s="37">
        <f>IF(A258="","",THIET_LAP!$B$4&amp;"-TC-"&amp;TEXT(COUNT($A$4:A258),"0000"))</f>
        <v/>
      </c>
      <c r="C258" s="37" t="n"/>
      <c r="D258" s="37" t="n"/>
      <c r="E258" s="37" t="n"/>
      <c r="F258" s="37" t="n"/>
      <c r="G258" s="37" t="n"/>
      <c r="H258" s="37" t="n"/>
      <c r="I258" s="37" t="n"/>
      <c r="J258" s="29" t="n"/>
      <c r="K258" s="29">
        <f>IF(C258="Thu",J258,0)</f>
        <v/>
      </c>
      <c r="L258" s="29">
        <f>IF(C258="Chi",J258,0)</f>
        <v/>
      </c>
      <c r="M258" s="37" t="n"/>
    </row>
    <row r="259" ht="15.75" customHeight="1" s="56">
      <c r="A259" s="27" t="n"/>
      <c r="B259" s="37">
        <f>IF(A259="","",THIET_LAP!$B$4&amp;"-TC-"&amp;TEXT(COUNT($A$4:A259),"0000"))</f>
        <v/>
      </c>
      <c r="C259" s="37" t="n"/>
      <c r="D259" s="37" t="n"/>
      <c r="E259" s="37" t="n"/>
      <c r="F259" s="37" t="n"/>
      <c r="G259" s="37" t="n"/>
      <c r="H259" s="37" t="n"/>
      <c r="I259" s="37" t="n"/>
      <c r="J259" s="29" t="n"/>
      <c r="K259" s="29">
        <f>IF(C259="Thu",J259,0)</f>
        <v/>
      </c>
      <c r="L259" s="29">
        <f>IF(C259="Chi",J259,0)</f>
        <v/>
      </c>
      <c r="M259" s="37" t="n"/>
    </row>
    <row r="260" ht="15.75" customHeight="1" s="56">
      <c r="A260" s="27" t="n"/>
      <c r="B260" s="37">
        <f>IF(A260="","",THIET_LAP!$B$4&amp;"-TC-"&amp;TEXT(COUNT($A$4:A260),"0000"))</f>
        <v/>
      </c>
      <c r="C260" s="37" t="n"/>
      <c r="D260" s="37" t="n"/>
      <c r="E260" s="37" t="n"/>
      <c r="F260" s="37" t="n"/>
      <c r="G260" s="37" t="n"/>
      <c r="H260" s="37" t="n"/>
      <c r="I260" s="37" t="n"/>
      <c r="J260" s="29" t="n"/>
      <c r="K260" s="29">
        <f>IF(C260="Thu",J260,0)</f>
        <v/>
      </c>
      <c r="L260" s="29">
        <f>IF(C260="Chi",J260,0)</f>
        <v/>
      </c>
      <c r="M260" s="37" t="n"/>
    </row>
    <row r="261" ht="15.75" customHeight="1" s="56">
      <c r="A261" s="27" t="n"/>
      <c r="B261" s="37">
        <f>IF(A261="","",THIET_LAP!$B$4&amp;"-TC-"&amp;TEXT(COUNT($A$4:A261),"0000"))</f>
        <v/>
      </c>
      <c r="C261" s="37" t="n"/>
      <c r="D261" s="37" t="n"/>
      <c r="E261" s="37" t="n"/>
      <c r="F261" s="37" t="n"/>
      <c r="G261" s="37" t="n"/>
      <c r="H261" s="37" t="n"/>
      <c r="I261" s="37" t="n"/>
      <c r="J261" s="29" t="n"/>
      <c r="K261" s="29">
        <f>IF(C261="Thu",J261,0)</f>
        <v/>
      </c>
      <c r="L261" s="29">
        <f>IF(C261="Chi",J261,0)</f>
        <v/>
      </c>
      <c r="M261" s="37" t="n"/>
    </row>
    <row r="262" ht="15.75" customHeight="1" s="56">
      <c r="A262" s="27" t="n"/>
      <c r="B262" s="37">
        <f>IF(A262="","",THIET_LAP!$B$4&amp;"-TC-"&amp;TEXT(COUNT($A$4:A262),"0000"))</f>
        <v/>
      </c>
      <c r="C262" s="37" t="n"/>
      <c r="D262" s="37" t="n"/>
      <c r="E262" s="37" t="n"/>
      <c r="F262" s="37" t="n"/>
      <c r="G262" s="37" t="n"/>
      <c r="H262" s="37" t="n"/>
      <c r="I262" s="37" t="n"/>
      <c r="J262" s="29" t="n"/>
      <c r="K262" s="29">
        <f>IF(C262="Thu",J262,0)</f>
        <v/>
      </c>
      <c r="L262" s="29">
        <f>IF(C262="Chi",J262,0)</f>
        <v/>
      </c>
      <c r="M262" s="37" t="n"/>
    </row>
    <row r="263" ht="15.75" customHeight="1" s="56">
      <c r="A263" s="27" t="n"/>
      <c r="B263" s="37">
        <f>IF(A263="","",THIET_LAP!$B$4&amp;"-TC-"&amp;TEXT(COUNT($A$4:A263),"0000"))</f>
        <v/>
      </c>
      <c r="C263" s="37" t="n"/>
      <c r="D263" s="37" t="n"/>
      <c r="E263" s="37" t="n"/>
      <c r="F263" s="37" t="n"/>
      <c r="G263" s="37" t="n"/>
      <c r="H263" s="37" t="n"/>
      <c r="I263" s="37" t="n"/>
      <c r="J263" s="29" t="n"/>
      <c r="K263" s="29">
        <f>IF(C263="Thu",J263,0)</f>
        <v/>
      </c>
      <c r="L263" s="29">
        <f>IF(C263="Chi",J263,0)</f>
        <v/>
      </c>
      <c r="M263" s="37" t="n"/>
    </row>
    <row r="264" ht="15.75" customHeight="1" s="56">
      <c r="A264" s="27" t="n"/>
      <c r="B264" s="37">
        <f>IF(A264="","",THIET_LAP!$B$4&amp;"-TC-"&amp;TEXT(COUNT($A$4:A264),"0000"))</f>
        <v/>
      </c>
      <c r="C264" s="37" t="n"/>
      <c r="D264" s="37" t="n"/>
      <c r="E264" s="37" t="n"/>
      <c r="F264" s="37" t="n"/>
      <c r="G264" s="37" t="n"/>
      <c r="H264" s="37" t="n"/>
      <c r="I264" s="37" t="n"/>
      <c r="J264" s="29" t="n"/>
      <c r="K264" s="29">
        <f>IF(C264="Thu",J264,0)</f>
        <v/>
      </c>
      <c r="L264" s="29">
        <f>IF(C264="Chi",J264,0)</f>
        <v/>
      </c>
      <c r="M264" s="37" t="n"/>
    </row>
    <row r="265" ht="15.75" customHeight="1" s="56">
      <c r="A265" s="27" t="n"/>
      <c r="B265" s="37">
        <f>IF(A265="","",THIET_LAP!$B$4&amp;"-TC-"&amp;TEXT(COUNT($A$4:A265),"0000"))</f>
        <v/>
      </c>
      <c r="C265" s="37" t="n"/>
      <c r="D265" s="37" t="n"/>
      <c r="E265" s="37" t="n"/>
      <c r="F265" s="37" t="n"/>
      <c r="G265" s="37" t="n"/>
      <c r="H265" s="37" t="n"/>
      <c r="I265" s="37" t="n"/>
      <c r="J265" s="29" t="n"/>
      <c r="K265" s="29">
        <f>IF(C265="Thu",J265,0)</f>
        <v/>
      </c>
      <c r="L265" s="29">
        <f>IF(C265="Chi",J265,0)</f>
        <v/>
      </c>
      <c r="M265" s="37" t="n"/>
    </row>
    <row r="266" ht="15.75" customHeight="1" s="56">
      <c r="A266" s="27" t="n"/>
      <c r="B266" s="37">
        <f>IF(A266="","",THIET_LAP!$B$4&amp;"-TC-"&amp;TEXT(COUNT($A$4:A266),"0000"))</f>
        <v/>
      </c>
      <c r="C266" s="37" t="n"/>
      <c r="D266" s="37" t="n"/>
      <c r="E266" s="37" t="n"/>
      <c r="F266" s="37" t="n"/>
      <c r="G266" s="37" t="n"/>
      <c r="H266" s="37" t="n"/>
      <c r="I266" s="37" t="n"/>
      <c r="J266" s="29" t="n"/>
      <c r="K266" s="29">
        <f>IF(C266="Thu",J266,0)</f>
        <v/>
      </c>
      <c r="L266" s="29">
        <f>IF(C266="Chi",J266,0)</f>
        <v/>
      </c>
      <c r="M266" s="37" t="n"/>
    </row>
    <row r="267" ht="15.75" customHeight="1" s="56">
      <c r="A267" s="27" t="n"/>
      <c r="B267" s="37">
        <f>IF(A267="","",THIET_LAP!$B$4&amp;"-TC-"&amp;TEXT(COUNT($A$4:A267),"0000"))</f>
        <v/>
      </c>
      <c r="C267" s="37" t="n"/>
      <c r="D267" s="37" t="n"/>
      <c r="E267" s="37" t="n"/>
      <c r="F267" s="37" t="n"/>
      <c r="G267" s="37" t="n"/>
      <c r="H267" s="37" t="n"/>
      <c r="I267" s="37" t="n"/>
      <c r="J267" s="29" t="n"/>
      <c r="K267" s="29">
        <f>IF(C267="Thu",J267,0)</f>
        <v/>
      </c>
      <c r="L267" s="29">
        <f>IF(C267="Chi",J267,0)</f>
        <v/>
      </c>
      <c r="M267" s="37" t="n"/>
    </row>
    <row r="268" ht="15.75" customHeight="1" s="56">
      <c r="A268" s="27" t="n"/>
      <c r="B268" s="37">
        <f>IF(A268="","",THIET_LAP!$B$4&amp;"-TC-"&amp;TEXT(COUNT($A$4:A268),"0000"))</f>
        <v/>
      </c>
      <c r="C268" s="37" t="n"/>
      <c r="D268" s="37" t="n"/>
      <c r="E268" s="37" t="n"/>
      <c r="F268" s="37" t="n"/>
      <c r="G268" s="37" t="n"/>
      <c r="H268" s="37" t="n"/>
      <c r="I268" s="37" t="n"/>
      <c r="J268" s="29" t="n"/>
      <c r="K268" s="29">
        <f>IF(C268="Thu",J268,0)</f>
        <v/>
      </c>
      <c r="L268" s="29">
        <f>IF(C268="Chi",J268,0)</f>
        <v/>
      </c>
      <c r="M268" s="37" t="n"/>
    </row>
    <row r="269" ht="15.75" customHeight="1" s="56">
      <c r="A269" s="27" t="n"/>
      <c r="B269" s="37">
        <f>IF(A269="","",THIET_LAP!$B$4&amp;"-TC-"&amp;TEXT(COUNT($A$4:A269),"0000"))</f>
        <v/>
      </c>
      <c r="C269" s="37" t="n"/>
      <c r="D269" s="37" t="n"/>
      <c r="E269" s="37" t="n"/>
      <c r="F269" s="37" t="n"/>
      <c r="G269" s="37" t="n"/>
      <c r="H269" s="37" t="n"/>
      <c r="I269" s="37" t="n"/>
      <c r="J269" s="29" t="n"/>
      <c r="K269" s="29">
        <f>IF(C269="Thu",J269,0)</f>
        <v/>
      </c>
      <c r="L269" s="29">
        <f>IF(C269="Chi",J269,0)</f>
        <v/>
      </c>
      <c r="M269" s="37" t="n"/>
    </row>
    <row r="270" ht="15.75" customHeight="1" s="56">
      <c r="A270" s="27" t="n"/>
      <c r="B270" s="37">
        <f>IF(A270="","",THIET_LAP!$B$4&amp;"-TC-"&amp;TEXT(COUNT($A$4:A270),"0000"))</f>
        <v/>
      </c>
      <c r="C270" s="37" t="n"/>
      <c r="D270" s="37" t="n"/>
      <c r="E270" s="37" t="n"/>
      <c r="F270" s="37" t="n"/>
      <c r="G270" s="37" t="n"/>
      <c r="H270" s="37" t="n"/>
      <c r="I270" s="37" t="n"/>
      <c r="J270" s="29" t="n"/>
      <c r="K270" s="29">
        <f>IF(C270="Thu",J270,0)</f>
        <v/>
      </c>
      <c r="L270" s="29">
        <f>IF(C270="Chi",J270,0)</f>
        <v/>
      </c>
      <c r="M270" s="37" t="n"/>
    </row>
    <row r="271" ht="15.75" customHeight="1" s="56">
      <c r="A271" s="27" t="n"/>
      <c r="B271" s="37">
        <f>IF(A271="","",THIET_LAP!$B$4&amp;"-TC-"&amp;TEXT(COUNT($A$4:A271),"0000"))</f>
        <v/>
      </c>
      <c r="C271" s="37" t="n"/>
      <c r="D271" s="37" t="n"/>
      <c r="E271" s="37" t="n"/>
      <c r="F271" s="37" t="n"/>
      <c r="G271" s="37" t="n"/>
      <c r="H271" s="37" t="n"/>
      <c r="I271" s="37" t="n"/>
      <c r="J271" s="29" t="n"/>
      <c r="K271" s="29">
        <f>IF(C271="Thu",J271,0)</f>
        <v/>
      </c>
      <c r="L271" s="29">
        <f>IF(C271="Chi",J271,0)</f>
        <v/>
      </c>
      <c r="M271" s="37" t="n"/>
    </row>
    <row r="272" ht="15.75" customHeight="1" s="56">
      <c r="A272" s="27" t="n"/>
      <c r="B272" s="37">
        <f>IF(A272="","",THIET_LAP!$B$4&amp;"-TC-"&amp;TEXT(COUNT($A$4:A272),"0000"))</f>
        <v/>
      </c>
      <c r="C272" s="37" t="n"/>
      <c r="D272" s="37" t="n"/>
      <c r="E272" s="37" t="n"/>
      <c r="F272" s="37" t="n"/>
      <c r="G272" s="37" t="n"/>
      <c r="H272" s="37" t="n"/>
      <c r="I272" s="37" t="n"/>
      <c r="J272" s="29" t="n"/>
      <c r="K272" s="29">
        <f>IF(C272="Thu",J272,0)</f>
        <v/>
      </c>
      <c r="L272" s="29">
        <f>IF(C272="Chi",J272,0)</f>
        <v/>
      </c>
      <c r="M272" s="37" t="n"/>
    </row>
    <row r="273" ht="15.75" customHeight="1" s="56">
      <c r="A273" s="27" t="n"/>
      <c r="B273" s="37">
        <f>IF(A273="","",THIET_LAP!$B$4&amp;"-TC-"&amp;TEXT(COUNT($A$4:A273),"0000"))</f>
        <v/>
      </c>
      <c r="C273" s="37" t="n"/>
      <c r="D273" s="37" t="n"/>
      <c r="E273" s="37" t="n"/>
      <c r="F273" s="37" t="n"/>
      <c r="G273" s="37" t="n"/>
      <c r="H273" s="37" t="n"/>
      <c r="I273" s="37" t="n"/>
      <c r="J273" s="29" t="n"/>
      <c r="K273" s="29">
        <f>IF(C273="Thu",J273,0)</f>
        <v/>
      </c>
      <c r="L273" s="29">
        <f>IF(C273="Chi",J273,0)</f>
        <v/>
      </c>
      <c r="M273" s="37" t="n"/>
    </row>
    <row r="274" ht="15.75" customHeight="1" s="56">
      <c r="A274" s="27" t="n"/>
      <c r="B274" s="37">
        <f>IF(A274="","",THIET_LAP!$B$4&amp;"-TC-"&amp;TEXT(COUNT($A$4:A274),"0000"))</f>
        <v/>
      </c>
      <c r="C274" s="37" t="n"/>
      <c r="D274" s="37" t="n"/>
      <c r="E274" s="37" t="n"/>
      <c r="F274" s="37" t="n"/>
      <c r="G274" s="37" t="n"/>
      <c r="H274" s="37" t="n"/>
      <c r="I274" s="37" t="n"/>
      <c r="J274" s="29" t="n"/>
      <c r="K274" s="29">
        <f>IF(C274="Thu",J274,0)</f>
        <v/>
      </c>
      <c r="L274" s="29">
        <f>IF(C274="Chi",J274,0)</f>
        <v/>
      </c>
      <c r="M274" s="37" t="n"/>
    </row>
    <row r="275" ht="15.75" customHeight="1" s="56">
      <c r="A275" s="27" t="n"/>
      <c r="B275" s="37">
        <f>IF(A275="","",THIET_LAP!$B$4&amp;"-TC-"&amp;TEXT(COUNT($A$4:A275),"0000"))</f>
        <v/>
      </c>
      <c r="C275" s="37" t="n"/>
      <c r="D275" s="37" t="n"/>
      <c r="E275" s="37" t="n"/>
      <c r="F275" s="37" t="n"/>
      <c r="G275" s="37" t="n"/>
      <c r="H275" s="37" t="n"/>
      <c r="I275" s="37" t="n"/>
      <c r="J275" s="29" t="n"/>
      <c r="K275" s="29">
        <f>IF(C275="Thu",J275,0)</f>
        <v/>
      </c>
      <c r="L275" s="29">
        <f>IF(C275="Chi",J275,0)</f>
        <v/>
      </c>
      <c r="M275" s="37" t="n"/>
    </row>
    <row r="276" ht="15.75" customHeight="1" s="56">
      <c r="A276" s="27" t="n"/>
      <c r="B276" s="37">
        <f>IF(A276="","",THIET_LAP!$B$4&amp;"-TC-"&amp;TEXT(COUNT($A$4:A276),"0000"))</f>
        <v/>
      </c>
      <c r="C276" s="37" t="n"/>
      <c r="D276" s="37" t="n"/>
      <c r="E276" s="37" t="n"/>
      <c r="F276" s="37" t="n"/>
      <c r="G276" s="37" t="n"/>
      <c r="H276" s="37" t="n"/>
      <c r="I276" s="37" t="n"/>
      <c r="J276" s="29" t="n"/>
      <c r="K276" s="29">
        <f>IF(C276="Thu",J276,0)</f>
        <v/>
      </c>
      <c r="L276" s="29">
        <f>IF(C276="Chi",J276,0)</f>
        <v/>
      </c>
      <c r="M276" s="37" t="n"/>
    </row>
    <row r="277" ht="15.75" customHeight="1" s="56">
      <c r="A277" s="27" t="n"/>
      <c r="B277" s="37">
        <f>IF(A277="","",THIET_LAP!$B$4&amp;"-TC-"&amp;TEXT(COUNT($A$4:A277),"0000"))</f>
        <v/>
      </c>
      <c r="C277" s="37" t="n"/>
      <c r="D277" s="37" t="n"/>
      <c r="E277" s="37" t="n"/>
      <c r="F277" s="37" t="n"/>
      <c r="G277" s="37" t="n"/>
      <c r="H277" s="37" t="n"/>
      <c r="I277" s="37" t="n"/>
      <c r="J277" s="29" t="n"/>
      <c r="K277" s="29">
        <f>IF(C277="Thu",J277,0)</f>
        <v/>
      </c>
      <c r="L277" s="29">
        <f>IF(C277="Chi",J277,0)</f>
        <v/>
      </c>
      <c r="M277" s="37" t="n"/>
    </row>
    <row r="278" ht="15.75" customHeight="1" s="56">
      <c r="A278" s="27" t="n"/>
      <c r="B278" s="37">
        <f>IF(A278="","",THIET_LAP!$B$4&amp;"-TC-"&amp;TEXT(COUNT($A$4:A278),"0000"))</f>
        <v/>
      </c>
      <c r="C278" s="37" t="n"/>
      <c r="D278" s="37" t="n"/>
      <c r="E278" s="37" t="n"/>
      <c r="F278" s="37" t="n"/>
      <c r="G278" s="37" t="n"/>
      <c r="H278" s="37" t="n"/>
      <c r="I278" s="37" t="n"/>
      <c r="J278" s="29" t="n"/>
      <c r="K278" s="29">
        <f>IF(C278="Thu",J278,0)</f>
        <v/>
      </c>
      <c r="L278" s="29">
        <f>IF(C278="Chi",J278,0)</f>
        <v/>
      </c>
      <c r="M278" s="37" t="n"/>
    </row>
    <row r="279" ht="15.75" customHeight="1" s="56">
      <c r="A279" s="27" t="n"/>
      <c r="B279" s="37">
        <f>IF(A279="","",THIET_LAP!$B$4&amp;"-TC-"&amp;TEXT(COUNT($A$4:A279),"0000"))</f>
        <v/>
      </c>
      <c r="C279" s="37" t="n"/>
      <c r="D279" s="37" t="n"/>
      <c r="E279" s="37" t="n"/>
      <c r="F279" s="37" t="n"/>
      <c r="G279" s="37" t="n"/>
      <c r="H279" s="37" t="n"/>
      <c r="I279" s="37" t="n"/>
      <c r="J279" s="29" t="n"/>
      <c r="K279" s="29">
        <f>IF(C279="Thu",J279,0)</f>
        <v/>
      </c>
      <c r="L279" s="29">
        <f>IF(C279="Chi",J279,0)</f>
        <v/>
      </c>
      <c r="M279" s="37" t="n"/>
    </row>
    <row r="280" ht="15.75" customHeight="1" s="56">
      <c r="A280" s="27" t="n"/>
      <c r="B280" s="37">
        <f>IF(A280="","",THIET_LAP!$B$4&amp;"-TC-"&amp;TEXT(COUNT($A$4:A280),"0000"))</f>
        <v/>
      </c>
      <c r="C280" s="37" t="n"/>
      <c r="D280" s="37" t="n"/>
      <c r="E280" s="37" t="n"/>
      <c r="F280" s="37" t="n"/>
      <c r="G280" s="37" t="n"/>
      <c r="H280" s="37" t="n"/>
      <c r="I280" s="37" t="n"/>
      <c r="J280" s="29" t="n"/>
      <c r="K280" s="29">
        <f>IF(C280="Thu",J280,0)</f>
        <v/>
      </c>
      <c r="L280" s="29">
        <f>IF(C280="Chi",J280,0)</f>
        <v/>
      </c>
      <c r="M280" s="37" t="n"/>
    </row>
    <row r="281" ht="15.75" customHeight="1" s="56">
      <c r="A281" s="27" t="n"/>
      <c r="B281" s="37">
        <f>IF(A281="","",THIET_LAP!$B$4&amp;"-TC-"&amp;TEXT(COUNT($A$4:A281),"0000"))</f>
        <v/>
      </c>
      <c r="C281" s="37" t="n"/>
      <c r="D281" s="37" t="n"/>
      <c r="E281" s="37" t="n"/>
      <c r="F281" s="37" t="n"/>
      <c r="G281" s="37" t="n"/>
      <c r="H281" s="37" t="n"/>
      <c r="I281" s="37" t="n"/>
      <c r="J281" s="29" t="n"/>
      <c r="K281" s="29">
        <f>IF(C281="Thu",J281,0)</f>
        <v/>
      </c>
      <c r="L281" s="29">
        <f>IF(C281="Chi",J281,0)</f>
        <v/>
      </c>
      <c r="M281" s="37" t="n"/>
    </row>
    <row r="282" ht="15.75" customHeight="1" s="56">
      <c r="A282" s="27" t="n"/>
      <c r="B282" s="37">
        <f>IF(A282="","",THIET_LAP!$B$4&amp;"-TC-"&amp;TEXT(COUNT($A$4:A282),"0000"))</f>
        <v/>
      </c>
      <c r="C282" s="37" t="n"/>
      <c r="D282" s="37" t="n"/>
      <c r="E282" s="37" t="n"/>
      <c r="F282" s="37" t="n"/>
      <c r="G282" s="37" t="n"/>
      <c r="H282" s="37" t="n"/>
      <c r="I282" s="37" t="n"/>
      <c r="J282" s="29" t="n"/>
      <c r="K282" s="29">
        <f>IF(C282="Thu",J282,0)</f>
        <v/>
      </c>
      <c r="L282" s="29">
        <f>IF(C282="Chi",J282,0)</f>
        <v/>
      </c>
      <c r="M282" s="37" t="n"/>
    </row>
    <row r="283" ht="15.75" customHeight="1" s="56">
      <c r="A283" s="27" t="n"/>
      <c r="B283" s="37">
        <f>IF(A283="","",THIET_LAP!$B$4&amp;"-TC-"&amp;TEXT(COUNT($A$4:A283),"0000"))</f>
        <v/>
      </c>
      <c r="C283" s="37" t="n"/>
      <c r="D283" s="37" t="n"/>
      <c r="E283" s="37" t="n"/>
      <c r="F283" s="37" t="n"/>
      <c r="G283" s="37" t="n"/>
      <c r="H283" s="37" t="n"/>
      <c r="I283" s="37" t="n"/>
      <c r="J283" s="29" t="n"/>
      <c r="K283" s="29">
        <f>IF(C283="Thu",J283,0)</f>
        <v/>
      </c>
      <c r="L283" s="29">
        <f>IF(C283="Chi",J283,0)</f>
        <v/>
      </c>
      <c r="M283" s="37" t="n"/>
    </row>
    <row r="284" ht="15.75" customHeight="1" s="56">
      <c r="A284" s="27" t="n"/>
      <c r="B284" s="37">
        <f>IF(A284="","",THIET_LAP!$B$4&amp;"-TC-"&amp;TEXT(COUNT($A$4:A284),"0000"))</f>
        <v/>
      </c>
      <c r="C284" s="37" t="n"/>
      <c r="D284" s="37" t="n"/>
      <c r="E284" s="37" t="n"/>
      <c r="F284" s="37" t="n"/>
      <c r="G284" s="37" t="n"/>
      <c r="H284" s="37" t="n"/>
      <c r="I284" s="37" t="n"/>
      <c r="J284" s="29" t="n"/>
      <c r="K284" s="29">
        <f>IF(C284="Thu",J284,0)</f>
        <v/>
      </c>
      <c r="L284" s="29">
        <f>IF(C284="Chi",J284,0)</f>
        <v/>
      </c>
      <c r="M284" s="37" t="n"/>
    </row>
    <row r="285" ht="15.75" customHeight="1" s="56">
      <c r="A285" s="27" t="n"/>
      <c r="B285" s="37">
        <f>IF(A285="","",THIET_LAP!$B$4&amp;"-TC-"&amp;TEXT(COUNT($A$4:A285),"0000"))</f>
        <v/>
      </c>
      <c r="C285" s="37" t="n"/>
      <c r="D285" s="37" t="n"/>
      <c r="E285" s="37" t="n"/>
      <c r="F285" s="37" t="n"/>
      <c r="G285" s="37" t="n"/>
      <c r="H285" s="37" t="n"/>
      <c r="I285" s="37" t="n"/>
      <c r="J285" s="29" t="n"/>
      <c r="K285" s="29">
        <f>IF(C285="Thu",J285,0)</f>
        <v/>
      </c>
      <c r="L285" s="29">
        <f>IF(C285="Chi",J285,0)</f>
        <v/>
      </c>
      <c r="M285" s="37" t="n"/>
    </row>
    <row r="286" ht="15.75" customHeight="1" s="56">
      <c r="A286" s="27" t="n"/>
      <c r="B286" s="37">
        <f>IF(A286="","",THIET_LAP!$B$4&amp;"-TC-"&amp;TEXT(COUNT($A$4:A286),"0000"))</f>
        <v/>
      </c>
      <c r="C286" s="37" t="n"/>
      <c r="D286" s="37" t="n"/>
      <c r="E286" s="37" t="n"/>
      <c r="F286" s="37" t="n"/>
      <c r="G286" s="37" t="n"/>
      <c r="H286" s="37" t="n"/>
      <c r="I286" s="37" t="n"/>
      <c r="J286" s="29" t="n"/>
      <c r="K286" s="29">
        <f>IF(C286="Thu",J286,0)</f>
        <v/>
      </c>
      <c r="L286" s="29">
        <f>IF(C286="Chi",J286,0)</f>
        <v/>
      </c>
      <c r="M286" s="37" t="n"/>
    </row>
    <row r="287" ht="15.75" customHeight="1" s="56">
      <c r="A287" s="27" t="n"/>
      <c r="B287" s="37">
        <f>IF(A287="","",THIET_LAP!$B$4&amp;"-TC-"&amp;TEXT(COUNT($A$4:A287),"0000"))</f>
        <v/>
      </c>
      <c r="C287" s="37" t="n"/>
      <c r="D287" s="37" t="n"/>
      <c r="E287" s="37" t="n"/>
      <c r="F287" s="37" t="n"/>
      <c r="G287" s="37" t="n"/>
      <c r="H287" s="37" t="n"/>
      <c r="I287" s="37" t="n"/>
      <c r="J287" s="29" t="n"/>
      <c r="K287" s="29">
        <f>IF(C287="Thu",J287,0)</f>
        <v/>
      </c>
      <c r="L287" s="29">
        <f>IF(C287="Chi",J287,0)</f>
        <v/>
      </c>
      <c r="M287" s="37" t="n"/>
    </row>
    <row r="288" ht="15.75" customHeight="1" s="56">
      <c r="A288" s="27" t="n"/>
      <c r="B288" s="37">
        <f>IF(A288="","",THIET_LAP!$B$4&amp;"-TC-"&amp;TEXT(COUNT($A$4:A288),"0000"))</f>
        <v/>
      </c>
      <c r="C288" s="37" t="n"/>
      <c r="D288" s="37" t="n"/>
      <c r="E288" s="37" t="n"/>
      <c r="F288" s="37" t="n"/>
      <c r="G288" s="37" t="n"/>
      <c r="H288" s="37" t="n"/>
      <c r="I288" s="37" t="n"/>
      <c r="J288" s="29" t="n"/>
      <c r="K288" s="29">
        <f>IF(C288="Thu",J288,0)</f>
        <v/>
      </c>
      <c r="L288" s="29">
        <f>IF(C288="Chi",J288,0)</f>
        <v/>
      </c>
      <c r="M288" s="37" t="n"/>
    </row>
    <row r="289" ht="15.75" customHeight="1" s="56">
      <c r="A289" s="27" t="n"/>
      <c r="B289" s="37">
        <f>IF(A289="","",THIET_LAP!$B$4&amp;"-TC-"&amp;TEXT(COUNT($A$4:A289),"0000"))</f>
        <v/>
      </c>
      <c r="C289" s="37" t="n"/>
      <c r="D289" s="37" t="n"/>
      <c r="E289" s="37" t="n"/>
      <c r="F289" s="37" t="n"/>
      <c r="G289" s="37" t="n"/>
      <c r="H289" s="37" t="n"/>
      <c r="I289" s="37" t="n"/>
      <c r="J289" s="29" t="n"/>
      <c r="K289" s="29">
        <f>IF(C289="Thu",J289,0)</f>
        <v/>
      </c>
      <c r="L289" s="29">
        <f>IF(C289="Chi",J289,0)</f>
        <v/>
      </c>
      <c r="M289" s="37" t="n"/>
    </row>
    <row r="290" ht="15.75" customHeight="1" s="56">
      <c r="A290" s="27" t="n"/>
      <c r="B290" s="37">
        <f>IF(A290="","",THIET_LAP!$B$4&amp;"-TC-"&amp;TEXT(COUNT($A$4:A290),"0000"))</f>
        <v/>
      </c>
      <c r="C290" s="37" t="n"/>
      <c r="D290" s="37" t="n"/>
      <c r="E290" s="37" t="n"/>
      <c r="F290" s="37" t="n"/>
      <c r="G290" s="37" t="n"/>
      <c r="H290" s="37" t="n"/>
      <c r="I290" s="37" t="n"/>
      <c r="J290" s="29" t="n"/>
      <c r="K290" s="29">
        <f>IF(C290="Thu",J290,0)</f>
        <v/>
      </c>
      <c r="L290" s="29">
        <f>IF(C290="Chi",J290,0)</f>
        <v/>
      </c>
      <c r="M290" s="37" t="n"/>
    </row>
    <row r="291" ht="15.75" customHeight="1" s="56">
      <c r="A291" s="27" t="n"/>
      <c r="B291" s="37">
        <f>IF(A291="","",THIET_LAP!$B$4&amp;"-TC-"&amp;TEXT(COUNT($A$4:A291),"0000"))</f>
        <v/>
      </c>
      <c r="C291" s="37" t="n"/>
      <c r="D291" s="37" t="n"/>
      <c r="E291" s="37" t="n"/>
      <c r="F291" s="37" t="n"/>
      <c r="G291" s="37" t="n"/>
      <c r="H291" s="37" t="n"/>
      <c r="I291" s="37" t="n"/>
      <c r="J291" s="29" t="n"/>
      <c r="K291" s="29">
        <f>IF(C291="Thu",J291,0)</f>
        <v/>
      </c>
      <c r="L291" s="29">
        <f>IF(C291="Chi",J291,0)</f>
        <v/>
      </c>
      <c r="M291" s="37" t="n"/>
    </row>
    <row r="292" ht="15.75" customHeight="1" s="56">
      <c r="A292" s="27" t="n"/>
      <c r="B292" s="37">
        <f>IF(A292="","",THIET_LAP!$B$4&amp;"-TC-"&amp;TEXT(COUNT($A$4:A292),"0000"))</f>
        <v/>
      </c>
      <c r="C292" s="37" t="n"/>
      <c r="D292" s="37" t="n"/>
      <c r="E292" s="37" t="n"/>
      <c r="F292" s="37" t="n"/>
      <c r="G292" s="37" t="n"/>
      <c r="H292" s="37" t="n"/>
      <c r="I292" s="37" t="n"/>
      <c r="J292" s="29" t="n"/>
      <c r="K292" s="29">
        <f>IF(C292="Thu",J292,0)</f>
        <v/>
      </c>
      <c r="L292" s="29">
        <f>IF(C292="Chi",J292,0)</f>
        <v/>
      </c>
      <c r="M292" s="37" t="n"/>
    </row>
    <row r="293" ht="15.75" customHeight="1" s="56">
      <c r="A293" s="27" t="n"/>
      <c r="B293" s="37">
        <f>IF(A293="","",THIET_LAP!$B$4&amp;"-TC-"&amp;TEXT(COUNT($A$4:A293),"0000"))</f>
        <v/>
      </c>
      <c r="C293" s="37" t="n"/>
      <c r="D293" s="37" t="n"/>
      <c r="E293" s="37" t="n"/>
      <c r="F293" s="37" t="n"/>
      <c r="G293" s="37" t="n"/>
      <c r="H293" s="37" t="n"/>
      <c r="I293" s="37" t="n"/>
      <c r="J293" s="29" t="n"/>
      <c r="K293" s="29">
        <f>IF(C293="Thu",J293,0)</f>
        <v/>
      </c>
      <c r="L293" s="29">
        <f>IF(C293="Chi",J293,0)</f>
        <v/>
      </c>
      <c r="M293" s="37" t="n"/>
    </row>
    <row r="294" ht="15.75" customHeight="1" s="56">
      <c r="A294" s="27" t="n"/>
      <c r="B294" s="37">
        <f>IF(A294="","",THIET_LAP!$B$4&amp;"-TC-"&amp;TEXT(COUNT($A$4:A294),"0000"))</f>
        <v/>
      </c>
      <c r="C294" s="37" t="n"/>
      <c r="D294" s="37" t="n"/>
      <c r="E294" s="37" t="n"/>
      <c r="F294" s="37" t="n"/>
      <c r="G294" s="37" t="n"/>
      <c r="H294" s="37" t="n"/>
      <c r="I294" s="37" t="n"/>
      <c r="J294" s="29" t="n"/>
      <c r="K294" s="29">
        <f>IF(C294="Thu",J294,0)</f>
        <v/>
      </c>
      <c r="L294" s="29">
        <f>IF(C294="Chi",J294,0)</f>
        <v/>
      </c>
      <c r="M294" s="37" t="n"/>
    </row>
    <row r="295" ht="15.75" customHeight="1" s="56">
      <c r="A295" s="27" t="n"/>
      <c r="B295" s="37">
        <f>IF(A295="","",THIET_LAP!$B$4&amp;"-TC-"&amp;TEXT(COUNT($A$4:A295),"0000"))</f>
        <v/>
      </c>
      <c r="C295" s="37" t="n"/>
      <c r="D295" s="37" t="n"/>
      <c r="E295" s="37" t="n"/>
      <c r="F295" s="37" t="n"/>
      <c r="G295" s="37" t="n"/>
      <c r="H295" s="37" t="n"/>
      <c r="I295" s="37" t="n"/>
      <c r="J295" s="29" t="n"/>
      <c r="K295" s="29">
        <f>IF(C295="Thu",J295,0)</f>
        <v/>
      </c>
      <c r="L295" s="29">
        <f>IF(C295="Chi",J295,0)</f>
        <v/>
      </c>
      <c r="M295" s="37" t="n"/>
    </row>
    <row r="296" ht="15.75" customHeight="1" s="56">
      <c r="A296" s="27" t="n"/>
      <c r="B296" s="37">
        <f>IF(A296="","",THIET_LAP!$B$4&amp;"-TC-"&amp;TEXT(COUNT($A$4:A296),"0000"))</f>
        <v/>
      </c>
      <c r="C296" s="37" t="n"/>
      <c r="D296" s="37" t="n"/>
      <c r="E296" s="37" t="n"/>
      <c r="F296" s="37" t="n"/>
      <c r="G296" s="37" t="n"/>
      <c r="H296" s="37" t="n"/>
      <c r="I296" s="37" t="n"/>
      <c r="J296" s="29" t="n"/>
      <c r="K296" s="29">
        <f>IF(C296="Thu",J296,0)</f>
        <v/>
      </c>
      <c r="L296" s="29">
        <f>IF(C296="Chi",J296,0)</f>
        <v/>
      </c>
      <c r="M296" s="37" t="n"/>
    </row>
    <row r="297" ht="15.75" customHeight="1" s="56">
      <c r="A297" s="27" t="n"/>
      <c r="B297" s="37">
        <f>IF(A297="","",THIET_LAP!$B$4&amp;"-TC-"&amp;TEXT(COUNT($A$4:A297),"0000"))</f>
        <v/>
      </c>
      <c r="C297" s="37" t="n"/>
      <c r="D297" s="37" t="n"/>
      <c r="E297" s="37" t="n"/>
      <c r="F297" s="37" t="n"/>
      <c r="G297" s="37" t="n"/>
      <c r="H297" s="37" t="n"/>
      <c r="I297" s="37" t="n"/>
      <c r="J297" s="29" t="n"/>
      <c r="K297" s="29">
        <f>IF(C297="Thu",J297,0)</f>
        <v/>
      </c>
      <c r="L297" s="29">
        <f>IF(C297="Chi",J297,0)</f>
        <v/>
      </c>
      <c r="M297" s="37" t="n"/>
    </row>
    <row r="298" ht="15.75" customHeight="1" s="56">
      <c r="A298" s="27" t="n"/>
      <c r="B298" s="37">
        <f>IF(A298="","",THIET_LAP!$B$4&amp;"-TC-"&amp;TEXT(COUNT($A$4:A298),"0000"))</f>
        <v/>
      </c>
      <c r="C298" s="37" t="n"/>
      <c r="D298" s="37" t="n"/>
      <c r="E298" s="37" t="n"/>
      <c r="F298" s="37" t="n"/>
      <c r="G298" s="37" t="n"/>
      <c r="H298" s="37" t="n"/>
      <c r="I298" s="37" t="n"/>
      <c r="J298" s="29" t="n"/>
      <c r="K298" s="29">
        <f>IF(C298="Thu",J298,0)</f>
        <v/>
      </c>
      <c r="L298" s="29">
        <f>IF(C298="Chi",J298,0)</f>
        <v/>
      </c>
      <c r="M298" s="37" t="n"/>
    </row>
    <row r="299" ht="15.75" customHeight="1" s="56">
      <c r="A299" s="27" t="n"/>
      <c r="B299" s="37">
        <f>IF(A299="","",THIET_LAP!$B$4&amp;"-TC-"&amp;TEXT(COUNT($A$4:A299),"0000"))</f>
        <v/>
      </c>
      <c r="C299" s="37" t="n"/>
      <c r="D299" s="37" t="n"/>
      <c r="E299" s="37" t="n"/>
      <c r="F299" s="37" t="n"/>
      <c r="G299" s="37" t="n"/>
      <c r="H299" s="37" t="n"/>
      <c r="I299" s="37" t="n"/>
      <c r="J299" s="29" t="n"/>
      <c r="K299" s="29">
        <f>IF(C299="Thu",J299,0)</f>
        <v/>
      </c>
      <c r="L299" s="29">
        <f>IF(C299="Chi",J299,0)</f>
        <v/>
      </c>
      <c r="M299" s="37" t="n"/>
    </row>
    <row r="300" ht="15.75" customHeight="1" s="56">
      <c r="A300" s="27" t="n"/>
      <c r="B300" s="37">
        <f>IF(A300="","",THIET_LAP!$B$4&amp;"-TC-"&amp;TEXT(COUNT($A$4:A300),"0000"))</f>
        <v/>
      </c>
      <c r="C300" s="37" t="n"/>
      <c r="D300" s="37" t="n"/>
      <c r="E300" s="37" t="n"/>
      <c r="F300" s="37" t="n"/>
      <c r="G300" s="37" t="n"/>
      <c r="H300" s="37" t="n"/>
      <c r="I300" s="37" t="n"/>
      <c r="J300" s="29" t="n"/>
      <c r="K300" s="29">
        <f>IF(C300="Thu",J300,0)</f>
        <v/>
      </c>
      <c r="L300" s="29">
        <f>IF(C300="Chi",J300,0)</f>
        <v/>
      </c>
      <c r="M300" s="37" t="n"/>
    </row>
    <row r="301" ht="15.75" customHeight="1" s="56">
      <c r="A301" s="27" t="n"/>
      <c r="B301" s="37">
        <f>IF(A301="","",THIET_LAP!$B$4&amp;"-TC-"&amp;TEXT(COUNT($A$4:A301),"0000"))</f>
        <v/>
      </c>
      <c r="C301" s="37" t="n"/>
      <c r="D301" s="37" t="n"/>
      <c r="E301" s="37" t="n"/>
      <c r="F301" s="37" t="n"/>
      <c r="G301" s="37" t="n"/>
      <c r="H301" s="37" t="n"/>
      <c r="I301" s="37" t="n"/>
      <c r="J301" s="29" t="n"/>
      <c r="K301" s="29">
        <f>IF(C301="Thu",J301,0)</f>
        <v/>
      </c>
      <c r="L301" s="29">
        <f>IF(C301="Chi",J301,0)</f>
        <v/>
      </c>
      <c r="M301" s="37" t="n"/>
    </row>
    <row r="302" ht="15.75" customHeight="1" s="56">
      <c r="A302" s="27" t="n"/>
      <c r="B302" s="37">
        <f>IF(A302="","",THIET_LAP!$B$4&amp;"-TC-"&amp;TEXT(COUNT($A$4:A302),"0000"))</f>
        <v/>
      </c>
      <c r="C302" s="37" t="n"/>
      <c r="D302" s="37" t="n"/>
      <c r="E302" s="37" t="n"/>
      <c r="F302" s="37" t="n"/>
      <c r="G302" s="37" t="n"/>
      <c r="H302" s="37" t="n"/>
      <c r="I302" s="37" t="n"/>
      <c r="J302" s="29" t="n"/>
      <c r="K302" s="29">
        <f>IF(C302="Thu",J302,0)</f>
        <v/>
      </c>
      <c r="L302" s="29">
        <f>IF(C302="Chi",J302,0)</f>
        <v/>
      </c>
      <c r="M302" s="37" t="n"/>
    </row>
    <row r="303" ht="15.75" customHeight="1" s="56">
      <c r="A303" s="27" t="n"/>
      <c r="B303" s="37">
        <f>IF(A303="","",THIET_LAP!$B$4&amp;"-TC-"&amp;TEXT(COUNT($A$4:A303),"0000"))</f>
        <v/>
      </c>
      <c r="C303" s="37" t="n"/>
      <c r="D303" s="37" t="n"/>
      <c r="E303" s="37" t="n"/>
      <c r="F303" s="37" t="n"/>
      <c r="G303" s="37" t="n"/>
      <c r="H303" s="37" t="n"/>
      <c r="I303" s="37" t="n"/>
      <c r="J303" s="29" t="n"/>
      <c r="K303" s="29">
        <f>IF(C303="Thu",J303,0)</f>
        <v/>
      </c>
      <c r="L303" s="29">
        <f>IF(C303="Chi",J303,0)</f>
        <v/>
      </c>
      <c r="M303" s="37" t="n"/>
    </row>
    <row r="304" ht="15.75" customHeight="1" s="56">
      <c r="A304" s="27" t="n"/>
      <c r="B304" s="37">
        <f>IF(A304="","",THIET_LAP!$B$4&amp;"-TC-"&amp;TEXT(COUNT($A$4:A304),"0000"))</f>
        <v/>
      </c>
      <c r="C304" s="37" t="n"/>
      <c r="D304" s="37" t="n"/>
      <c r="E304" s="37" t="n"/>
      <c r="F304" s="37" t="n"/>
      <c r="G304" s="37" t="n"/>
      <c r="H304" s="37" t="n"/>
      <c r="I304" s="37" t="n"/>
      <c r="J304" s="29" t="n"/>
      <c r="K304" s="29">
        <f>IF(C304="Thu",J304,0)</f>
        <v/>
      </c>
      <c r="L304" s="29">
        <f>IF(C304="Chi",J304,0)</f>
        <v/>
      </c>
      <c r="M304" s="37" t="n"/>
    </row>
    <row r="305" ht="15.75" customHeight="1" s="56">
      <c r="A305" s="27" t="n"/>
      <c r="B305" s="37">
        <f>IF(A305="","",THIET_LAP!$B$4&amp;"-TC-"&amp;TEXT(COUNT($A$4:A305),"0000"))</f>
        <v/>
      </c>
      <c r="C305" s="37" t="n"/>
      <c r="D305" s="37" t="n"/>
      <c r="E305" s="37" t="n"/>
      <c r="F305" s="37" t="n"/>
      <c r="G305" s="37" t="n"/>
      <c r="H305" s="37" t="n"/>
      <c r="I305" s="37" t="n"/>
      <c r="J305" s="29" t="n"/>
      <c r="K305" s="29">
        <f>IF(C305="Thu",J305,0)</f>
        <v/>
      </c>
      <c r="L305" s="29">
        <f>IF(C305="Chi",J305,0)</f>
        <v/>
      </c>
      <c r="M305" s="37" t="n"/>
    </row>
    <row r="306" ht="15.75" customHeight="1" s="56">
      <c r="A306" s="27" t="n"/>
      <c r="B306" s="37">
        <f>IF(A306="","",THIET_LAP!$B$4&amp;"-TC-"&amp;TEXT(COUNT($A$4:A306),"0000"))</f>
        <v/>
      </c>
      <c r="C306" s="37" t="n"/>
      <c r="D306" s="37" t="n"/>
      <c r="E306" s="37" t="n"/>
      <c r="F306" s="37" t="n"/>
      <c r="G306" s="37" t="n"/>
      <c r="H306" s="37" t="n"/>
      <c r="I306" s="37" t="n"/>
      <c r="J306" s="29" t="n"/>
      <c r="K306" s="29">
        <f>IF(C306="Thu",J306,0)</f>
        <v/>
      </c>
      <c r="L306" s="29">
        <f>IF(C306="Chi",J306,0)</f>
        <v/>
      </c>
      <c r="M306" s="37" t="n"/>
    </row>
    <row r="307" ht="15.75" customHeight="1" s="56">
      <c r="A307" s="27" t="n"/>
      <c r="B307" s="37">
        <f>IF(A307="","",THIET_LAP!$B$4&amp;"-TC-"&amp;TEXT(COUNT($A$4:A307),"0000"))</f>
        <v/>
      </c>
      <c r="C307" s="37" t="n"/>
      <c r="D307" s="37" t="n"/>
      <c r="E307" s="37" t="n"/>
      <c r="F307" s="37" t="n"/>
      <c r="G307" s="37" t="n"/>
      <c r="H307" s="37" t="n"/>
      <c r="I307" s="37" t="n"/>
      <c r="J307" s="29" t="n"/>
      <c r="K307" s="29">
        <f>IF(C307="Thu",J307,0)</f>
        <v/>
      </c>
      <c r="L307" s="29">
        <f>IF(C307="Chi",J307,0)</f>
        <v/>
      </c>
      <c r="M307" s="37" t="n"/>
    </row>
    <row r="308" ht="15.75" customHeight="1" s="56">
      <c r="A308" s="27" t="n"/>
      <c r="B308" s="37">
        <f>IF(A308="","",THIET_LAP!$B$4&amp;"-TC-"&amp;TEXT(COUNT($A$4:A308),"0000"))</f>
        <v/>
      </c>
      <c r="C308" s="37" t="n"/>
      <c r="D308" s="37" t="n"/>
      <c r="E308" s="37" t="n"/>
      <c r="F308" s="37" t="n"/>
      <c r="G308" s="37" t="n"/>
      <c r="H308" s="37" t="n"/>
      <c r="I308" s="37" t="n"/>
      <c r="J308" s="29" t="n"/>
      <c r="K308" s="29">
        <f>IF(C308="Thu",J308,0)</f>
        <v/>
      </c>
      <c r="L308" s="29">
        <f>IF(C308="Chi",J308,0)</f>
        <v/>
      </c>
      <c r="M308" s="37" t="n"/>
    </row>
    <row r="309" ht="15.75" customHeight="1" s="56">
      <c r="A309" s="27" t="n"/>
      <c r="B309" s="37">
        <f>IF(A309="","",THIET_LAP!$B$4&amp;"-TC-"&amp;TEXT(COUNT($A$4:A309),"0000"))</f>
        <v/>
      </c>
      <c r="C309" s="37" t="n"/>
      <c r="D309" s="37" t="n"/>
      <c r="E309" s="37" t="n"/>
      <c r="F309" s="37" t="n"/>
      <c r="G309" s="37" t="n"/>
      <c r="H309" s="37" t="n"/>
      <c r="I309" s="37" t="n"/>
      <c r="J309" s="29" t="n"/>
      <c r="K309" s="29">
        <f>IF(C309="Thu",J309,0)</f>
        <v/>
      </c>
      <c r="L309" s="29">
        <f>IF(C309="Chi",J309,0)</f>
        <v/>
      </c>
      <c r="M309" s="37" t="n"/>
    </row>
    <row r="310" ht="15.75" customHeight="1" s="56">
      <c r="A310" s="27" t="n"/>
      <c r="B310" s="37">
        <f>IF(A310="","",THIET_LAP!$B$4&amp;"-TC-"&amp;TEXT(COUNT($A$4:A310),"0000"))</f>
        <v/>
      </c>
      <c r="C310" s="37" t="n"/>
      <c r="D310" s="37" t="n"/>
      <c r="E310" s="37" t="n"/>
      <c r="F310" s="37" t="n"/>
      <c r="G310" s="37" t="n"/>
      <c r="H310" s="37" t="n"/>
      <c r="I310" s="37" t="n"/>
      <c r="J310" s="29" t="n"/>
      <c r="K310" s="29">
        <f>IF(C310="Thu",J310,0)</f>
        <v/>
      </c>
      <c r="L310" s="29">
        <f>IF(C310="Chi",J310,0)</f>
        <v/>
      </c>
      <c r="M310" s="37" t="n"/>
    </row>
    <row r="311" ht="15.75" customHeight="1" s="56">
      <c r="A311" s="27" t="n"/>
      <c r="B311" s="37">
        <f>IF(A311="","",THIET_LAP!$B$4&amp;"-TC-"&amp;TEXT(COUNT($A$4:A311),"0000"))</f>
        <v/>
      </c>
      <c r="C311" s="37" t="n"/>
      <c r="D311" s="37" t="n"/>
      <c r="E311" s="37" t="n"/>
      <c r="F311" s="37" t="n"/>
      <c r="G311" s="37" t="n"/>
      <c r="H311" s="37" t="n"/>
      <c r="I311" s="37" t="n"/>
      <c r="J311" s="29" t="n"/>
      <c r="K311" s="29">
        <f>IF(C311="Thu",J311,0)</f>
        <v/>
      </c>
      <c r="L311" s="29">
        <f>IF(C311="Chi",J311,0)</f>
        <v/>
      </c>
      <c r="M311" s="37" t="n"/>
    </row>
    <row r="312" ht="15.75" customHeight="1" s="56">
      <c r="A312" s="27" t="n"/>
      <c r="B312" s="37">
        <f>IF(A312="","",THIET_LAP!$B$4&amp;"-TC-"&amp;TEXT(COUNT($A$4:A312),"0000"))</f>
        <v/>
      </c>
      <c r="C312" s="37" t="n"/>
      <c r="D312" s="37" t="n"/>
      <c r="E312" s="37" t="n"/>
      <c r="F312" s="37" t="n"/>
      <c r="G312" s="37" t="n"/>
      <c r="H312" s="37" t="n"/>
      <c r="I312" s="37" t="n"/>
      <c r="J312" s="29" t="n"/>
      <c r="K312" s="29">
        <f>IF(C312="Thu",J312,0)</f>
        <v/>
      </c>
      <c r="L312" s="29">
        <f>IF(C312="Chi",J312,0)</f>
        <v/>
      </c>
      <c r="M312" s="37" t="n"/>
    </row>
    <row r="313" ht="15.75" customHeight="1" s="56">
      <c r="A313" s="27" t="n"/>
      <c r="B313" s="37">
        <f>IF(A313="","",THIET_LAP!$B$4&amp;"-TC-"&amp;TEXT(COUNT($A$4:A313),"0000"))</f>
        <v/>
      </c>
      <c r="C313" s="37" t="n"/>
      <c r="D313" s="37" t="n"/>
      <c r="E313" s="37" t="n"/>
      <c r="F313" s="37" t="n"/>
      <c r="G313" s="37" t="n"/>
      <c r="H313" s="37" t="n"/>
      <c r="I313" s="37" t="n"/>
      <c r="J313" s="29" t="n"/>
      <c r="K313" s="29">
        <f>IF(C313="Thu",J313,0)</f>
        <v/>
      </c>
      <c r="L313" s="29">
        <f>IF(C313="Chi",J313,0)</f>
        <v/>
      </c>
      <c r="M313" s="37" t="n"/>
    </row>
    <row r="314" ht="15.75" customHeight="1" s="56">
      <c r="A314" s="27" t="n"/>
      <c r="B314" s="37">
        <f>IF(A314="","",THIET_LAP!$B$4&amp;"-TC-"&amp;TEXT(COUNT($A$4:A314),"0000"))</f>
        <v/>
      </c>
      <c r="C314" s="37" t="n"/>
      <c r="D314" s="37" t="n"/>
      <c r="E314" s="37" t="n"/>
      <c r="F314" s="37" t="n"/>
      <c r="G314" s="37" t="n"/>
      <c r="H314" s="37" t="n"/>
      <c r="I314" s="37" t="n"/>
      <c r="J314" s="29" t="n"/>
      <c r="K314" s="29">
        <f>IF(C314="Thu",J314,0)</f>
        <v/>
      </c>
      <c r="L314" s="29">
        <f>IF(C314="Chi",J314,0)</f>
        <v/>
      </c>
      <c r="M314" s="37" t="n"/>
    </row>
    <row r="315" ht="15.75" customHeight="1" s="56">
      <c r="A315" s="27" t="n"/>
      <c r="B315" s="37">
        <f>IF(A315="","",THIET_LAP!$B$4&amp;"-TC-"&amp;TEXT(COUNT($A$4:A315),"0000"))</f>
        <v/>
      </c>
      <c r="C315" s="37" t="n"/>
      <c r="D315" s="37" t="n"/>
      <c r="E315" s="37" t="n"/>
      <c r="F315" s="37" t="n"/>
      <c r="G315" s="37" t="n"/>
      <c r="H315" s="37" t="n"/>
      <c r="I315" s="37" t="n"/>
      <c r="J315" s="29" t="n"/>
      <c r="K315" s="29">
        <f>IF(C315="Thu",J315,0)</f>
        <v/>
      </c>
      <c r="L315" s="29">
        <f>IF(C315="Chi",J315,0)</f>
        <v/>
      </c>
      <c r="M315" s="37" t="n"/>
    </row>
    <row r="316" ht="15.75" customHeight="1" s="56">
      <c r="A316" s="27" t="n"/>
      <c r="B316" s="37">
        <f>IF(A316="","",THIET_LAP!$B$4&amp;"-TC-"&amp;TEXT(COUNT($A$4:A316),"0000"))</f>
        <v/>
      </c>
      <c r="C316" s="37" t="n"/>
      <c r="D316" s="37" t="n"/>
      <c r="E316" s="37" t="n"/>
      <c r="F316" s="37" t="n"/>
      <c r="G316" s="37" t="n"/>
      <c r="H316" s="37" t="n"/>
      <c r="I316" s="37" t="n"/>
      <c r="J316" s="29" t="n"/>
      <c r="K316" s="29">
        <f>IF(C316="Thu",J316,0)</f>
        <v/>
      </c>
      <c r="L316" s="29">
        <f>IF(C316="Chi",J316,0)</f>
        <v/>
      </c>
      <c r="M316" s="37" t="n"/>
    </row>
    <row r="317" ht="15.75" customHeight="1" s="56">
      <c r="A317" s="27" t="n"/>
      <c r="B317" s="37">
        <f>IF(A317="","",THIET_LAP!$B$4&amp;"-TC-"&amp;TEXT(COUNT($A$4:A317),"0000"))</f>
        <v/>
      </c>
      <c r="C317" s="37" t="n"/>
      <c r="D317" s="37" t="n"/>
      <c r="E317" s="37" t="n"/>
      <c r="F317" s="37" t="n"/>
      <c r="G317" s="37" t="n"/>
      <c r="H317" s="37" t="n"/>
      <c r="I317" s="37" t="n"/>
      <c r="J317" s="29" t="n"/>
      <c r="K317" s="29">
        <f>IF(C317="Thu",J317,0)</f>
        <v/>
      </c>
      <c r="L317" s="29">
        <f>IF(C317="Chi",J317,0)</f>
        <v/>
      </c>
      <c r="M317" s="37" t="n"/>
    </row>
    <row r="318" ht="15.75" customHeight="1" s="56">
      <c r="A318" s="27" t="n"/>
      <c r="B318" s="37">
        <f>IF(A318="","",THIET_LAP!$B$4&amp;"-TC-"&amp;TEXT(COUNT($A$4:A318),"0000"))</f>
        <v/>
      </c>
      <c r="C318" s="37" t="n"/>
      <c r="D318" s="37" t="n"/>
      <c r="E318" s="37" t="n"/>
      <c r="F318" s="37" t="n"/>
      <c r="G318" s="37" t="n"/>
      <c r="H318" s="37" t="n"/>
      <c r="I318" s="37" t="n"/>
      <c r="J318" s="29" t="n"/>
      <c r="K318" s="29">
        <f>IF(C318="Thu",J318,0)</f>
        <v/>
      </c>
      <c r="L318" s="29">
        <f>IF(C318="Chi",J318,0)</f>
        <v/>
      </c>
      <c r="M318" s="37" t="n"/>
    </row>
    <row r="319" ht="15.75" customHeight="1" s="56">
      <c r="A319" s="27" t="n"/>
      <c r="B319" s="37">
        <f>IF(A319="","",THIET_LAP!$B$4&amp;"-TC-"&amp;TEXT(COUNT($A$4:A319),"0000"))</f>
        <v/>
      </c>
      <c r="C319" s="37" t="n"/>
      <c r="D319" s="37" t="n"/>
      <c r="E319" s="37" t="n"/>
      <c r="F319" s="37" t="n"/>
      <c r="G319" s="37" t="n"/>
      <c r="H319" s="37" t="n"/>
      <c r="I319" s="37" t="n"/>
      <c r="J319" s="29" t="n"/>
      <c r="K319" s="29">
        <f>IF(C319="Thu",J319,0)</f>
        <v/>
      </c>
      <c r="L319" s="29">
        <f>IF(C319="Chi",J319,0)</f>
        <v/>
      </c>
      <c r="M319" s="37" t="n"/>
    </row>
    <row r="320" ht="15.75" customHeight="1" s="56">
      <c r="A320" s="27" t="n"/>
      <c r="B320" s="37">
        <f>IF(A320="","",THIET_LAP!$B$4&amp;"-TC-"&amp;TEXT(COUNT($A$4:A320),"0000"))</f>
        <v/>
      </c>
      <c r="C320" s="37" t="n"/>
      <c r="D320" s="37" t="n"/>
      <c r="E320" s="37" t="n"/>
      <c r="F320" s="37" t="n"/>
      <c r="G320" s="37" t="n"/>
      <c r="H320" s="37" t="n"/>
      <c r="I320" s="37" t="n"/>
      <c r="J320" s="29" t="n"/>
      <c r="K320" s="29">
        <f>IF(C320="Thu",J320,0)</f>
        <v/>
      </c>
      <c r="L320" s="29">
        <f>IF(C320="Chi",J320,0)</f>
        <v/>
      </c>
      <c r="M320" s="37" t="n"/>
    </row>
    <row r="321" ht="15.75" customHeight="1" s="56">
      <c r="A321" s="27" t="n"/>
      <c r="B321" s="37">
        <f>IF(A321="","",THIET_LAP!$B$4&amp;"-TC-"&amp;TEXT(COUNT($A$4:A321),"0000"))</f>
        <v/>
      </c>
      <c r="C321" s="37" t="n"/>
      <c r="D321" s="37" t="n"/>
      <c r="E321" s="37" t="n"/>
      <c r="F321" s="37" t="n"/>
      <c r="G321" s="37" t="n"/>
      <c r="H321" s="37" t="n"/>
      <c r="I321" s="37" t="n"/>
      <c r="J321" s="29" t="n"/>
      <c r="K321" s="29">
        <f>IF(C321="Thu",J321,0)</f>
        <v/>
      </c>
      <c r="L321" s="29">
        <f>IF(C321="Chi",J321,0)</f>
        <v/>
      </c>
      <c r="M321" s="37" t="n"/>
    </row>
    <row r="322" ht="15.75" customHeight="1" s="56">
      <c r="A322" s="27" t="n"/>
      <c r="B322" s="37">
        <f>IF(A322="","",THIET_LAP!$B$4&amp;"-TC-"&amp;TEXT(COUNT($A$4:A322),"0000"))</f>
        <v/>
      </c>
      <c r="C322" s="37" t="n"/>
      <c r="D322" s="37" t="n"/>
      <c r="E322" s="37" t="n"/>
      <c r="F322" s="37" t="n"/>
      <c r="G322" s="37" t="n"/>
      <c r="H322" s="37" t="n"/>
      <c r="I322" s="37" t="n"/>
      <c r="J322" s="29" t="n"/>
      <c r="K322" s="29">
        <f>IF(C322="Thu",J322,0)</f>
        <v/>
      </c>
      <c r="L322" s="29">
        <f>IF(C322="Chi",J322,0)</f>
        <v/>
      </c>
      <c r="M322" s="37" t="n"/>
    </row>
    <row r="323" ht="15.75" customHeight="1" s="56">
      <c r="A323" s="27" t="n"/>
      <c r="B323" s="37">
        <f>IF(A323="","",THIET_LAP!$B$4&amp;"-TC-"&amp;TEXT(COUNT($A$4:A323),"0000"))</f>
        <v/>
      </c>
      <c r="C323" s="37" t="n"/>
      <c r="D323" s="37" t="n"/>
      <c r="E323" s="37" t="n"/>
      <c r="F323" s="37" t="n"/>
      <c r="G323" s="37" t="n"/>
      <c r="H323" s="37" t="n"/>
      <c r="I323" s="37" t="n"/>
      <c r="J323" s="29" t="n"/>
      <c r="K323" s="29">
        <f>IF(C323="Thu",J323,0)</f>
        <v/>
      </c>
      <c r="L323" s="29">
        <f>IF(C323="Chi",J323,0)</f>
        <v/>
      </c>
      <c r="M323" s="37" t="n"/>
    </row>
    <row r="324" ht="15.75" customHeight="1" s="56">
      <c r="A324" s="27" t="n"/>
      <c r="B324" s="37">
        <f>IF(A324="","",THIET_LAP!$B$4&amp;"-TC-"&amp;TEXT(COUNT($A$4:A324),"0000"))</f>
        <v/>
      </c>
      <c r="C324" s="37" t="n"/>
      <c r="D324" s="37" t="n"/>
      <c r="E324" s="37" t="n"/>
      <c r="F324" s="37" t="n"/>
      <c r="G324" s="37" t="n"/>
      <c r="H324" s="37" t="n"/>
      <c r="I324" s="37" t="n"/>
      <c r="J324" s="29" t="n"/>
      <c r="K324" s="29">
        <f>IF(C324="Thu",J324,0)</f>
        <v/>
      </c>
      <c r="L324" s="29">
        <f>IF(C324="Chi",J324,0)</f>
        <v/>
      </c>
      <c r="M324" s="37" t="n"/>
    </row>
    <row r="325" ht="15.75" customHeight="1" s="56">
      <c r="A325" s="27" t="n"/>
      <c r="B325" s="37">
        <f>IF(A325="","",THIET_LAP!$B$4&amp;"-TC-"&amp;TEXT(COUNT($A$4:A325),"0000"))</f>
        <v/>
      </c>
      <c r="C325" s="37" t="n"/>
      <c r="D325" s="37" t="n"/>
      <c r="E325" s="37" t="n"/>
      <c r="F325" s="37" t="n"/>
      <c r="G325" s="37" t="n"/>
      <c r="H325" s="37" t="n"/>
      <c r="I325" s="37" t="n"/>
      <c r="J325" s="29" t="n"/>
      <c r="K325" s="29">
        <f>IF(C325="Thu",J325,0)</f>
        <v/>
      </c>
      <c r="L325" s="29">
        <f>IF(C325="Chi",J325,0)</f>
        <v/>
      </c>
      <c r="M325" s="37" t="n"/>
    </row>
    <row r="326" ht="15.75" customHeight="1" s="56">
      <c r="A326" s="27" t="n"/>
      <c r="B326" s="37">
        <f>IF(A326="","",THIET_LAP!$B$4&amp;"-TC-"&amp;TEXT(COUNT($A$4:A326),"0000"))</f>
        <v/>
      </c>
      <c r="C326" s="37" t="n"/>
      <c r="D326" s="37" t="n"/>
      <c r="E326" s="37" t="n"/>
      <c r="F326" s="37" t="n"/>
      <c r="G326" s="37" t="n"/>
      <c r="H326" s="37" t="n"/>
      <c r="I326" s="37" t="n"/>
      <c r="J326" s="29" t="n"/>
      <c r="K326" s="29">
        <f>IF(C326="Thu",J326,0)</f>
        <v/>
      </c>
      <c r="L326" s="29">
        <f>IF(C326="Chi",J326,0)</f>
        <v/>
      </c>
      <c r="M326" s="37" t="n"/>
    </row>
    <row r="327" ht="15.75" customHeight="1" s="56">
      <c r="A327" s="27" t="n"/>
      <c r="B327" s="37">
        <f>IF(A327="","",THIET_LAP!$B$4&amp;"-TC-"&amp;TEXT(COUNT($A$4:A327),"0000"))</f>
        <v/>
      </c>
      <c r="C327" s="37" t="n"/>
      <c r="D327" s="37" t="n"/>
      <c r="E327" s="37" t="n"/>
      <c r="F327" s="37" t="n"/>
      <c r="G327" s="37" t="n"/>
      <c r="H327" s="37" t="n"/>
      <c r="I327" s="37" t="n"/>
      <c r="J327" s="29" t="n"/>
      <c r="K327" s="29">
        <f>IF(C327="Thu",J327,0)</f>
        <v/>
      </c>
      <c r="L327" s="29">
        <f>IF(C327="Chi",J327,0)</f>
        <v/>
      </c>
      <c r="M327" s="37" t="n"/>
    </row>
    <row r="328" ht="15.75" customHeight="1" s="56">
      <c r="A328" s="27" t="n"/>
      <c r="B328" s="37">
        <f>IF(A328="","",THIET_LAP!$B$4&amp;"-TC-"&amp;TEXT(COUNT($A$4:A328),"0000"))</f>
        <v/>
      </c>
      <c r="C328" s="37" t="n"/>
      <c r="D328" s="37" t="n"/>
      <c r="E328" s="37" t="n"/>
      <c r="F328" s="37" t="n"/>
      <c r="G328" s="37" t="n"/>
      <c r="H328" s="37" t="n"/>
      <c r="I328" s="37" t="n"/>
      <c r="J328" s="29" t="n"/>
      <c r="K328" s="29">
        <f>IF(C328="Thu",J328,0)</f>
        <v/>
      </c>
      <c r="L328" s="29">
        <f>IF(C328="Chi",J328,0)</f>
        <v/>
      </c>
      <c r="M328" s="37" t="n"/>
    </row>
    <row r="329" ht="15.75" customHeight="1" s="56">
      <c r="A329" s="27" t="n"/>
      <c r="B329" s="37">
        <f>IF(A329="","",THIET_LAP!$B$4&amp;"-TC-"&amp;TEXT(COUNT($A$4:A329),"0000"))</f>
        <v/>
      </c>
      <c r="C329" s="37" t="n"/>
      <c r="D329" s="37" t="n"/>
      <c r="E329" s="37" t="n"/>
      <c r="F329" s="37" t="n"/>
      <c r="G329" s="37" t="n"/>
      <c r="H329" s="37" t="n"/>
      <c r="I329" s="37" t="n"/>
      <c r="J329" s="29" t="n"/>
      <c r="K329" s="29">
        <f>IF(C329="Thu",J329,0)</f>
        <v/>
      </c>
      <c r="L329" s="29">
        <f>IF(C329="Chi",J329,0)</f>
        <v/>
      </c>
      <c r="M329" s="37" t="n"/>
    </row>
    <row r="330" ht="15.75" customHeight="1" s="56">
      <c r="A330" s="27" t="n"/>
      <c r="B330" s="37">
        <f>IF(A330="","",THIET_LAP!$B$4&amp;"-TC-"&amp;TEXT(COUNT($A$4:A330),"0000"))</f>
        <v/>
      </c>
      <c r="C330" s="37" t="n"/>
      <c r="D330" s="37" t="n"/>
      <c r="E330" s="37" t="n"/>
      <c r="F330" s="37" t="n"/>
      <c r="G330" s="37" t="n"/>
      <c r="H330" s="37" t="n"/>
      <c r="I330" s="37" t="n"/>
      <c r="J330" s="29" t="n"/>
      <c r="K330" s="29">
        <f>IF(C330="Thu",J330,0)</f>
        <v/>
      </c>
      <c r="L330" s="29">
        <f>IF(C330="Chi",J330,0)</f>
        <v/>
      </c>
      <c r="M330" s="37" t="n"/>
    </row>
    <row r="331" ht="15.75" customHeight="1" s="56">
      <c r="A331" s="27" t="n"/>
      <c r="B331" s="37">
        <f>IF(A331="","",THIET_LAP!$B$4&amp;"-TC-"&amp;TEXT(COUNT($A$4:A331),"0000"))</f>
        <v/>
      </c>
      <c r="C331" s="37" t="n"/>
      <c r="D331" s="37" t="n"/>
      <c r="E331" s="37" t="n"/>
      <c r="F331" s="37" t="n"/>
      <c r="G331" s="37" t="n"/>
      <c r="H331" s="37" t="n"/>
      <c r="I331" s="37" t="n"/>
      <c r="J331" s="29" t="n"/>
      <c r="K331" s="29">
        <f>IF(C331="Thu",J331,0)</f>
        <v/>
      </c>
      <c r="L331" s="29">
        <f>IF(C331="Chi",J331,0)</f>
        <v/>
      </c>
      <c r="M331" s="37" t="n"/>
    </row>
    <row r="332" ht="15.75" customHeight="1" s="56">
      <c r="A332" s="27" t="n"/>
      <c r="B332" s="37">
        <f>IF(A332="","",THIET_LAP!$B$4&amp;"-TC-"&amp;TEXT(COUNT($A$4:A332),"0000"))</f>
        <v/>
      </c>
      <c r="C332" s="37" t="n"/>
      <c r="D332" s="37" t="n"/>
      <c r="E332" s="37" t="n"/>
      <c r="F332" s="37" t="n"/>
      <c r="G332" s="37" t="n"/>
      <c r="H332" s="37" t="n"/>
      <c r="I332" s="37" t="n"/>
      <c r="J332" s="29" t="n"/>
      <c r="K332" s="29">
        <f>IF(C332="Thu",J332,0)</f>
        <v/>
      </c>
      <c r="L332" s="29">
        <f>IF(C332="Chi",J332,0)</f>
        <v/>
      </c>
      <c r="M332" s="37" t="n"/>
    </row>
    <row r="333" ht="15.75" customHeight="1" s="56">
      <c r="A333" s="27" t="n"/>
      <c r="B333" s="37">
        <f>IF(A333="","",THIET_LAP!$B$4&amp;"-TC-"&amp;TEXT(COUNT($A$4:A333),"0000"))</f>
        <v/>
      </c>
      <c r="C333" s="37" t="n"/>
      <c r="D333" s="37" t="n"/>
      <c r="E333" s="37" t="n"/>
      <c r="F333" s="37" t="n"/>
      <c r="G333" s="37" t="n"/>
      <c r="H333" s="37" t="n"/>
      <c r="I333" s="37" t="n"/>
      <c r="J333" s="29" t="n"/>
      <c r="K333" s="29">
        <f>IF(C333="Thu",J333,0)</f>
        <v/>
      </c>
      <c r="L333" s="29">
        <f>IF(C333="Chi",J333,0)</f>
        <v/>
      </c>
      <c r="M333" s="37" t="n"/>
    </row>
    <row r="334" ht="15.75" customHeight="1" s="56">
      <c r="A334" s="27" t="n"/>
      <c r="B334" s="37">
        <f>IF(A334="","",THIET_LAP!$B$4&amp;"-TC-"&amp;TEXT(COUNT($A$4:A334),"0000"))</f>
        <v/>
      </c>
      <c r="C334" s="37" t="n"/>
      <c r="D334" s="37" t="n"/>
      <c r="E334" s="37" t="n"/>
      <c r="F334" s="37" t="n"/>
      <c r="G334" s="37" t="n"/>
      <c r="H334" s="37" t="n"/>
      <c r="I334" s="37" t="n"/>
      <c r="J334" s="29" t="n"/>
      <c r="K334" s="29">
        <f>IF(C334="Thu",J334,0)</f>
        <v/>
      </c>
      <c r="L334" s="29">
        <f>IF(C334="Chi",J334,0)</f>
        <v/>
      </c>
      <c r="M334" s="37" t="n"/>
    </row>
    <row r="335" ht="15.75" customHeight="1" s="56">
      <c r="A335" s="27" t="n"/>
      <c r="B335" s="37">
        <f>IF(A335="","",THIET_LAP!$B$4&amp;"-TC-"&amp;TEXT(COUNT($A$4:A335),"0000"))</f>
        <v/>
      </c>
      <c r="C335" s="37" t="n"/>
      <c r="D335" s="37" t="n"/>
      <c r="E335" s="37" t="n"/>
      <c r="F335" s="37" t="n"/>
      <c r="G335" s="37" t="n"/>
      <c r="H335" s="37" t="n"/>
      <c r="I335" s="37" t="n"/>
      <c r="J335" s="29" t="n"/>
      <c r="K335" s="29">
        <f>IF(C335="Thu",J335,0)</f>
        <v/>
      </c>
      <c r="L335" s="29">
        <f>IF(C335="Chi",J335,0)</f>
        <v/>
      </c>
      <c r="M335" s="37" t="n"/>
    </row>
    <row r="336" ht="15.75" customHeight="1" s="56">
      <c r="A336" s="27" t="n"/>
      <c r="B336" s="37">
        <f>IF(A336="","",THIET_LAP!$B$4&amp;"-TC-"&amp;TEXT(COUNT($A$4:A336),"0000"))</f>
        <v/>
      </c>
      <c r="C336" s="37" t="n"/>
      <c r="D336" s="37" t="n"/>
      <c r="E336" s="37" t="n"/>
      <c r="F336" s="37" t="n"/>
      <c r="G336" s="37" t="n"/>
      <c r="H336" s="37" t="n"/>
      <c r="I336" s="37" t="n"/>
      <c r="J336" s="29" t="n"/>
      <c r="K336" s="29">
        <f>IF(C336="Thu",J336,0)</f>
        <v/>
      </c>
      <c r="L336" s="29">
        <f>IF(C336="Chi",J336,0)</f>
        <v/>
      </c>
      <c r="M336" s="37" t="n"/>
    </row>
    <row r="337" ht="15.75" customHeight="1" s="56">
      <c r="A337" s="27" t="n"/>
      <c r="B337" s="37">
        <f>IF(A337="","",THIET_LAP!$B$4&amp;"-TC-"&amp;TEXT(COUNT($A$4:A337),"0000"))</f>
        <v/>
      </c>
      <c r="C337" s="37" t="n"/>
      <c r="D337" s="37" t="n"/>
      <c r="E337" s="37" t="n"/>
      <c r="F337" s="37" t="n"/>
      <c r="G337" s="37" t="n"/>
      <c r="H337" s="37" t="n"/>
      <c r="I337" s="37" t="n"/>
      <c r="J337" s="29" t="n"/>
      <c r="K337" s="29">
        <f>IF(C337="Thu",J337,0)</f>
        <v/>
      </c>
      <c r="L337" s="29">
        <f>IF(C337="Chi",J337,0)</f>
        <v/>
      </c>
      <c r="M337" s="37" t="n"/>
    </row>
    <row r="338" ht="15.75" customHeight="1" s="56">
      <c r="A338" s="27" t="n"/>
      <c r="B338" s="37">
        <f>IF(A338="","",THIET_LAP!$B$4&amp;"-TC-"&amp;TEXT(COUNT($A$4:A338),"0000"))</f>
        <v/>
      </c>
      <c r="C338" s="37" t="n"/>
      <c r="D338" s="37" t="n"/>
      <c r="E338" s="37" t="n"/>
      <c r="F338" s="37" t="n"/>
      <c r="G338" s="37" t="n"/>
      <c r="H338" s="37" t="n"/>
      <c r="I338" s="37" t="n"/>
      <c r="J338" s="29" t="n"/>
      <c r="K338" s="29">
        <f>IF(C338="Thu",J338,0)</f>
        <v/>
      </c>
      <c r="L338" s="29">
        <f>IF(C338="Chi",J338,0)</f>
        <v/>
      </c>
      <c r="M338" s="37" t="n"/>
    </row>
    <row r="339" ht="15.75" customHeight="1" s="56">
      <c r="A339" s="27" t="n"/>
      <c r="B339" s="37">
        <f>IF(A339="","",THIET_LAP!$B$4&amp;"-TC-"&amp;TEXT(COUNT($A$4:A339),"0000"))</f>
        <v/>
      </c>
      <c r="C339" s="37" t="n"/>
      <c r="D339" s="37" t="n"/>
      <c r="E339" s="37" t="n"/>
      <c r="F339" s="37" t="n"/>
      <c r="G339" s="37" t="n"/>
      <c r="H339" s="37" t="n"/>
      <c r="I339" s="37" t="n"/>
      <c r="J339" s="29" t="n"/>
      <c r="K339" s="29">
        <f>IF(C339="Thu",J339,0)</f>
        <v/>
      </c>
      <c r="L339" s="29">
        <f>IF(C339="Chi",J339,0)</f>
        <v/>
      </c>
      <c r="M339" s="37" t="n"/>
    </row>
    <row r="340" ht="15.75" customHeight="1" s="56">
      <c r="A340" s="27" t="n"/>
      <c r="B340" s="37">
        <f>IF(A340="","",THIET_LAP!$B$4&amp;"-TC-"&amp;TEXT(COUNT($A$4:A340),"0000"))</f>
        <v/>
      </c>
      <c r="C340" s="37" t="n"/>
      <c r="D340" s="37" t="n"/>
      <c r="E340" s="37" t="n"/>
      <c r="F340" s="37" t="n"/>
      <c r="G340" s="37" t="n"/>
      <c r="H340" s="37" t="n"/>
      <c r="I340" s="37" t="n"/>
      <c r="J340" s="29" t="n"/>
      <c r="K340" s="29">
        <f>IF(C340="Thu",J340,0)</f>
        <v/>
      </c>
      <c r="L340" s="29">
        <f>IF(C340="Chi",J340,0)</f>
        <v/>
      </c>
      <c r="M340" s="37" t="n"/>
    </row>
    <row r="341" ht="15.75" customHeight="1" s="56">
      <c r="A341" s="27" t="n"/>
      <c r="B341" s="37">
        <f>IF(A341="","",THIET_LAP!$B$4&amp;"-TC-"&amp;TEXT(COUNT($A$4:A341),"0000"))</f>
        <v/>
      </c>
      <c r="C341" s="37" t="n"/>
      <c r="D341" s="37" t="n"/>
      <c r="E341" s="37" t="n"/>
      <c r="F341" s="37" t="n"/>
      <c r="G341" s="37" t="n"/>
      <c r="H341" s="37" t="n"/>
      <c r="I341" s="37" t="n"/>
      <c r="J341" s="29" t="n"/>
      <c r="K341" s="29">
        <f>IF(C341="Thu",J341,0)</f>
        <v/>
      </c>
      <c r="L341" s="29">
        <f>IF(C341="Chi",J341,0)</f>
        <v/>
      </c>
      <c r="M341" s="37" t="n"/>
    </row>
    <row r="342" ht="15.75" customHeight="1" s="56">
      <c r="A342" s="27" t="n"/>
      <c r="B342" s="37">
        <f>IF(A342="","",THIET_LAP!$B$4&amp;"-TC-"&amp;TEXT(COUNT($A$4:A342),"0000"))</f>
        <v/>
      </c>
      <c r="C342" s="37" t="n"/>
      <c r="D342" s="37" t="n"/>
      <c r="E342" s="37" t="n"/>
      <c r="F342" s="37" t="n"/>
      <c r="G342" s="37" t="n"/>
      <c r="H342" s="37" t="n"/>
      <c r="I342" s="37" t="n"/>
      <c r="J342" s="29" t="n"/>
      <c r="K342" s="29">
        <f>IF(C342="Thu",J342,0)</f>
        <v/>
      </c>
      <c r="L342" s="29">
        <f>IF(C342="Chi",J342,0)</f>
        <v/>
      </c>
      <c r="M342" s="37" t="n"/>
    </row>
    <row r="343" ht="15.75" customHeight="1" s="56">
      <c r="A343" s="27" t="n"/>
      <c r="B343" s="37">
        <f>IF(A343="","",THIET_LAP!$B$4&amp;"-TC-"&amp;TEXT(COUNT($A$4:A343),"0000"))</f>
        <v/>
      </c>
      <c r="C343" s="37" t="n"/>
      <c r="D343" s="37" t="n"/>
      <c r="E343" s="37" t="n"/>
      <c r="F343" s="37" t="n"/>
      <c r="G343" s="37" t="n"/>
      <c r="H343" s="37" t="n"/>
      <c r="I343" s="37" t="n"/>
      <c r="J343" s="29" t="n"/>
      <c r="K343" s="29">
        <f>IF(C343="Thu",J343,0)</f>
        <v/>
      </c>
      <c r="L343" s="29">
        <f>IF(C343="Chi",J343,0)</f>
        <v/>
      </c>
      <c r="M343" s="37" t="n"/>
    </row>
    <row r="344" ht="15.75" customHeight="1" s="56">
      <c r="A344" s="27" t="n"/>
      <c r="B344" s="37">
        <f>IF(A344="","",THIET_LAP!$B$4&amp;"-TC-"&amp;TEXT(COUNT($A$4:A344),"0000"))</f>
        <v/>
      </c>
      <c r="C344" s="37" t="n"/>
      <c r="D344" s="37" t="n"/>
      <c r="E344" s="37" t="n"/>
      <c r="F344" s="37" t="n"/>
      <c r="G344" s="37" t="n"/>
      <c r="H344" s="37" t="n"/>
      <c r="I344" s="37" t="n"/>
      <c r="J344" s="29" t="n"/>
      <c r="K344" s="29">
        <f>IF(C344="Thu",J344,0)</f>
        <v/>
      </c>
      <c r="L344" s="29">
        <f>IF(C344="Chi",J344,0)</f>
        <v/>
      </c>
      <c r="M344" s="37" t="n"/>
    </row>
    <row r="345" ht="15.75" customHeight="1" s="56">
      <c r="A345" s="27" t="n"/>
      <c r="B345" s="37">
        <f>IF(A345="","",THIET_LAP!$B$4&amp;"-TC-"&amp;TEXT(COUNT($A$4:A345),"0000"))</f>
        <v/>
      </c>
      <c r="C345" s="37" t="n"/>
      <c r="D345" s="37" t="n"/>
      <c r="E345" s="37" t="n"/>
      <c r="F345" s="37" t="n"/>
      <c r="G345" s="37" t="n"/>
      <c r="H345" s="37" t="n"/>
      <c r="I345" s="37" t="n"/>
      <c r="J345" s="29" t="n"/>
      <c r="K345" s="29">
        <f>IF(C345="Thu",J345,0)</f>
        <v/>
      </c>
      <c r="L345" s="29">
        <f>IF(C345="Chi",J345,0)</f>
        <v/>
      </c>
      <c r="M345" s="37" t="n"/>
    </row>
    <row r="346" ht="15.75" customHeight="1" s="56">
      <c r="A346" s="27" t="n"/>
      <c r="B346" s="37">
        <f>IF(A346="","",THIET_LAP!$B$4&amp;"-TC-"&amp;TEXT(COUNT($A$4:A346),"0000"))</f>
        <v/>
      </c>
      <c r="C346" s="37" t="n"/>
      <c r="D346" s="37" t="n"/>
      <c r="E346" s="37" t="n"/>
      <c r="F346" s="37" t="n"/>
      <c r="G346" s="37" t="n"/>
      <c r="H346" s="37" t="n"/>
      <c r="I346" s="37" t="n"/>
      <c r="J346" s="29" t="n"/>
      <c r="K346" s="29">
        <f>IF(C346="Thu",J346,0)</f>
        <v/>
      </c>
      <c r="L346" s="29">
        <f>IF(C346="Chi",J346,0)</f>
        <v/>
      </c>
      <c r="M346" s="37" t="n"/>
    </row>
    <row r="347" ht="15.75" customHeight="1" s="56">
      <c r="A347" s="27" t="n"/>
      <c r="B347" s="37">
        <f>IF(A347="","",THIET_LAP!$B$4&amp;"-TC-"&amp;TEXT(COUNT($A$4:A347),"0000"))</f>
        <v/>
      </c>
      <c r="C347" s="37" t="n"/>
      <c r="D347" s="37" t="n"/>
      <c r="E347" s="37" t="n"/>
      <c r="F347" s="37" t="n"/>
      <c r="G347" s="37" t="n"/>
      <c r="H347" s="37" t="n"/>
      <c r="I347" s="37" t="n"/>
      <c r="J347" s="29" t="n"/>
      <c r="K347" s="29">
        <f>IF(C347="Thu",J347,0)</f>
        <v/>
      </c>
      <c r="L347" s="29">
        <f>IF(C347="Chi",J347,0)</f>
        <v/>
      </c>
      <c r="M347" s="37" t="n"/>
    </row>
    <row r="348" ht="15.75" customHeight="1" s="56">
      <c r="A348" s="27" t="n"/>
      <c r="B348" s="37">
        <f>IF(A348="","",THIET_LAP!$B$4&amp;"-TC-"&amp;TEXT(COUNT($A$4:A348),"0000"))</f>
        <v/>
      </c>
      <c r="C348" s="37" t="n"/>
      <c r="D348" s="37" t="n"/>
      <c r="E348" s="37" t="n"/>
      <c r="F348" s="37" t="n"/>
      <c r="G348" s="37" t="n"/>
      <c r="H348" s="37" t="n"/>
      <c r="I348" s="37" t="n"/>
      <c r="J348" s="29" t="n"/>
      <c r="K348" s="29">
        <f>IF(C348="Thu",J348,0)</f>
        <v/>
      </c>
      <c r="L348" s="29">
        <f>IF(C348="Chi",J348,0)</f>
        <v/>
      </c>
      <c r="M348" s="37" t="n"/>
    </row>
    <row r="349" ht="15.75" customHeight="1" s="56">
      <c r="A349" s="27" t="n"/>
      <c r="B349" s="37">
        <f>IF(A349="","",THIET_LAP!$B$4&amp;"-TC-"&amp;TEXT(COUNT($A$4:A349),"0000"))</f>
        <v/>
      </c>
      <c r="C349" s="37" t="n"/>
      <c r="D349" s="37" t="n"/>
      <c r="E349" s="37" t="n"/>
      <c r="F349" s="37" t="n"/>
      <c r="G349" s="37" t="n"/>
      <c r="H349" s="37" t="n"/>
      <c r="I349" s="37" t="n"/>
      <c r="J349" s="29" t="n"/>
      <c r="K349" s="29">
        <f>IF(C349="Thu",J349,0)</f>
        <v/>
      </c>
      <c r="L349" s="29">
        <f>IF(C349="Chi",J349,0)</f>
        <v/>
      </c>
      <c r="M349" s="37" t="n"/>
    </row>
    <row r="350" ht="15.75" customHeight="1" s="56">
      <c r="A350" s="27" t="n"/>
      <c r="B350" s="37">
        <f>IF(A350="","",THIET_LAP!$B$4&amp;"-TC-"&amp;TEXT(COUNT($A$4:A350),"0000"))</f>
        <v/>
      </c>
      <c r="C350" s="37" t="n"/>
      <c r="D350" s="37" t="n"/>
      <c r="E350" s="37" t="n"/>
      <c r="F350" s="37" t="n"/>
      <c r="G350" s="37" t="n"/>
      <c r="H350" s="37" t="n"/>
      <c r="I350" s="37" t="n"/>
      <c r="J350" s="29" t="n"/>
      <c r="K350" s="29">
        <f>IF(C350="Thu",J350,0)</f>
        <v/>
      </c>
      <c r="L350" s="29">
        <f>IF(C350="Chi",J350,0)</f>
        <v/>
      </c>
      <c r="M350" s="37" t="n"/>
    </row>
    <row r="351" ht="15.75" customHeight="1" s="56">
      <c r="A351" s="27" t="n"/>
      <c r="B351" s="37">
        <f>IF(A351="","",THIET_LAP!$B$4&amp;"-TC-"&amp;TEXT(COUNT($A$4:A351),"0000"))</f>
        <v/>
      </c>
      <c r="C351" s="37" t="n"/>
      <c r="D351" s="37" t="n"/>
      <c r="E351" s="37" t="n"/>
      <c r="F351" s="37" t="n"/>
      <c r="G351" s="37" t="n"/>
      <c r="H351" s="37" t="n"/>
      <c r="I351" s="37" t="n"/>
      <c r="J351" s="29" t="n"/>
      <c r="K351" s="29">
        <f>IF(C351="Thu",J351,0)</f>
        <v/>
      </c>
      <c r="L351" s="29">
        <f>IF(C351="Chi",J351,0)</f>
        <v/>
      </c>
      <c r="M351" s="37" t="n"/>
    </row>
    <row r="352" ht="15.75" customHeight="1" s="56">
      <c r="A352" s="27" t="n"/>
      <c r="B352" s="37">
        <f>IF(A352="","",THIET_LAP!$B$4&amp;"-TC-"&amp;TEXT(COUNT($A$4:A352),"0000"))</f>
        <v/>
      </c>
      <c r="C352" s="37" t="n"/>
      <c r="D352" s="37" t="n"/>
      <c r="E352" s="37" t="n"/>
      <c r="F352" s="37" t="n"/>
      <c r="G352" s="37" t="n"/>
      <c r="H352" s="37" t="n"/>
      <c r="I352" s="37" t="n"/>
      <c r="J352" s="29" t="n"/>
      <c r="K352" s="29">
        <f>IF(C352="Thu",J352,0)</f>
        <v/>
      </c>
      <c r="L352" s="29">
        <f>IF(C352="Chi",J352,0)</f>
        <v/>
      </c>
      <c r="M352" s="37" t="n"/>
    </row>
    <row r="353" ht="15.75" customHeight="1" s="56">
      <c r="A353" s="27" t="n"/>
      <c r="B353" s="37">
        <f>IF(A353="","",THIET_LAP!$B$4&amp;"-TC-"&amp;TEXT(COUNT($A$4:A353),"0000"))</f>
        <v/>
      </c>
      <c r="C353" s="37" t="n"/>
      <c r="D353" s="37" t="n"/>
      <c r="E353" s="37" t="n"/>
      <c r="F353" s="37" t="n"/>
      <c r="G353" s="37" t="n"/>
      <c r="H353" s="37" t="n"/>
      <c r="I353" s="37" t="n"/>
      <c r="J353" s="29" t="n"/>
      <c r="K353" s="29">
        <f>IF(C353="Thu",J353,0)</f>
        <v/>
      </c>
      <c r="L353" s="29">
        <f>IF(C353="Chi",J353,0)</f>
        <v/>
      </c>
      <c r="M353" s="37" t="n"/>
    </row>
    <row r="354" ht="15.75" customHeight="1" s="56">
      <c r="A354" s="27" t="n"/>
      <c r="B354" s="37">
        <f>IF(A354="","",THIET_LAP!$B$4&amp;"-TC-"&amp;TEXT(COUNT($A$4:A354),"0000"))</f>
        <v/>
      </c>
      <c r="C354" s="37" t="n"/>
      <c r="D354" s="37" t="n"/>
      <c r="E354" s="37" t="n"/>
      <c r="F354" s="37" t="n"/>
      <c r="G354" s="37" t="n"/>
      <c r="H354" s="37" t="n"/>
      <c r="I354" s="37" t="n"/>
      <c r="J354" s="29" t="n"/>
      <c r="K354" s="29">
        <f>IF(C354="Thu",J354,0)</f>
        <v/>
      </c>
      <c r="L354" s="29">
        <f>IF(C354="Chi",J354,0)</f>
        <v/>
      </c>
      <c r="M354" s="37" t="n"/>
    </row>
    <row r="355" ht="15.75" customHeight="1" s="56">
      <c r="A355" s="27" t="n"/>
      <c r="B355" s="37">
        <f>IF(A355="","",THIET_LAP!$B$4&amp;"-TC-"&amp;TEXT(COUNT($A$4:A355),"0000"))</f>
        <v/>
      </c>
      <c r="C355" s="37" t="n"/>
      <c r="D355" s="37" t="n"/>
      <c r="E355" s="37" t="n"/>
      <c r="F355" s="37" t="n"/>
      <c r="G355" s="37" t="n"/>
      <c r="H355" s="37" t="n"/>
      <c r="I355" s="37" t="n"/>
      <c r="J355" s="29" t="n"/>
      <c r="K355" s="29">
        <f>IF(C355="Thu",J355,0)</f>
        <v/>
      </c>
      <c r="L355" s="29">
        <f>IF(C355="Chi",J355,0)</f>
        <v/>
      </c>
      <c r="M355" s="37" t="n"/>
    </row>
    <row r="356" ht="15.75" customHeight="1" s="56">
      <c r="A356" s="27" t="n"/>
      <c r="B356" s="37">
        <f>IF(A356="","",THIET_LAP!$B$4&amp;"-TC-"&amp;TEXT(COUNT($A$4:A356),"0000"))</f>
        <v/>
      </c>
      <c r="C356" s="37" t="n"/>
      <c r="D356" s="37" t="n"/>
      <c r="E356" s="37" t="n"/>
      <c r="F356" s="37" t="n"/>
      <c r="G356" s="37" t="n"/>
      <c r="H356" s="37" t="n"/>
      <c r="I356" s="37" t="n"/>
      <c r="J356" s="29" t="n"/>
      <c r="K356" s="29">
        <f>IF(C356="Thu",J356,0)</f>
        <v/>
      </c>
      <c r="L356" s="29">
        <f>IF(C356="Chi",J356,0)</f>
        <v/>
      </c>
      <c r="M356" s="37" t="n"/>
    </row>
    <row r="357" ht="15.75" customHeight="1" s="56">
      <c r="A357" s="27" t="n"/>
      <c r="B357" s="37">
        <f>IF(A357="","",THIET_LAP!$B$4&amp;"-TC-"&amp;TEXT(COUNT($A$4:A357),"0000"))</f>
        <v/>
      </c>
      <c r="C357" s="37" t="n"/>
      <c r="D357" s="37" t="n"/>
      <c r="E357" s="37" t="n"/>
      <c r="F357" s="37" t="n"/>
      <c r="G357" s="37" t="n"/>
      <c r="H357" s="37" t="n"/>
      <c r="I357" s="37" t="n"/>
      <c r="J357" s="29" t="n"/>
      <c r="K357" s="29">
        <f>IF(C357="Thu",J357,0)</f>
        <v/>
      </c>
      <c r="L357" s="29">
        <f>IF(C357="Chi",J357,0)</f>
        <v/>
      </c>
      <c r="M357" s="37" t="n"/>
    </row>
    <row r="358" ht="15.75" customHeight="1" s="56">
      <c r="A358" s="27" t="n"/>
      <c r="B358" s="37">
        <f>IF(A358="","",THIET_LAP!$B$4&amp;"-TC-"&amp;TEXT(COUNT($A$4:A358),"0000"))</f>
        <v/>
      </c>
      <c r="C358" s="37" t="n"/>
      <c r="D358" s="37" t="n"/>
      <c r="E358" s="37" t="n"/>
      <c r="F358" s="37" t="n"/>
      <c r="G358" s="37" t="n"/>
      <c r="H358" s="37" t="n"/>
      <c r="I358" s="37" t="n"/>
      <c r="J358" s="29" t="n"/>
      <c r="K358" s="29">
        <f>IF(C358="Thu",J358,0)</f>
        <v/>
      </c>
      <c r="L358" s="29">
        <f>IF(C358="Chi",J358,0)</f>
        <v/>
      </c>
      <c r="M358" s="37" t="n"/>
    </row>
    <row r="359" ht="15.75" customHeight="1" s="56">
      <c r="A359" s="27" t="n"/>
      <c r="B359" s="37">
        <f>IF(A359="","",THIET_LAP!$B$4&amp;"-TC-"&amp;TEXT(COUNT($A$4:A359),"0000"))</f>
        <v/>
      </c>
      <c r="C359" s="37" t="n"/>
      <c r="D359" s="37" t="n"/>
      <c r="E359" s="37" t="n"/>
      <c r="F359" s="37" t="n"/>
      <c r="G359" s="37" t="n"/>
      <c r="H359" s="37" t="n"/>
      <c r="I359" s="37" t="n"/>
      <c r="J359" s="29" t="n"/>
      <c r="K359" s="29">
        <f>IF(C359="Thu",J359,0)</f>
        <v/>
      </c>
      <c r="L359" s="29">
        <f>IF(C359="Chi",J359,0)</f>
        <v/>
      </c>
      <c r="M359" s="37" t="n"/>
    </row>
    <row r="360" ht="15.75" customHeight="1" s="56">
      <c r="A360" s="27" t="n"/>
      <c r="B360" s="37">
        <f>IF(A360="","",THIET_LAP!$B$4&amp;"-TC-"&amp;TEXT(COUNT($A$4:A360),"0000"))</f>
        <v/>
      </c>
      <c r="C360" s="37" t="n"/>
      <c r="D360" s="37" t="n"/>
      <c r="E360" s="37" t="n"/>
      <c r="F360" s="37" t="n"/>
      <c r="G360" s="37" t="n"/>
      <c r="H360" s="37" t="n"/>
      <c r="I360" s="37" t="n"/>
      <c r="J360" s="29" t="n"/>
      <c r="K360" s="29">
        <f>IF(C360="Thu",J360,0)</f>
        <v/>
      </c>
      <c r="L360" s="29">
        <f>IF(C360="Chi",J360,0)</f>
        <v/>
      </c>
      <c r="M360" s="37" t="n"/>
    </row>
    <row r="361" ht="15.75" customHeight="1" s="56">
      <c r="A361" s="27" t="n"/>
      <c r="B361" s="37">
        <f>IF(A361="","",THIET_LAP!$B$4&amp;"-TC-"&amp;TEXT(COUNT($A$4:A361),"0000"))</f>
        <v/>
      </c>
      <c r="C361" s="37" t="n"/>
      <c r="D361" s="37" t="n"/>
      <c r="E361" s="37" t="n"/>
      <c r="F361" s="37" t="n"/>
      <c r="G361" s="37" t="n"/>
      <c r="H361" s="37" t="n"/>
      <c r="I361" s="37" t="n"/>
      <c r="J361" s="29" t="n"/>
      <c r="K361" s="29">
        <f>IF(C361="Thu",J361,0)</f>
        <v/>
      </c>
      <c r="L361" s="29">
        <f>IF(C361="Chi",J361,0)</f>
        <v/>
      </c>
      <c r="M361" s="37" t="n"/>
    </row>
    <row r="362" ht="15.75" customHeight="1" s="56">
      <c r="A362" s="27" t="n"/>
      <c r="B362" s="37">
        <f>IF(A362="","",THIET_LAP!$B$4&amp;"-TC-"&amp;TEXT(COUNT($A$4:A362),"0000"))</f>
        <v/>
      </c>
      <c r="C362" s="37" t="n"/>
      <c r="D362" s="37" t="n"/>
      <c r="E362" s="37" t="n"/>
      <c r="F362" s="37" t="n"/>
      <c r="G362" s="37" t="n"/>
      <c r="H362" s="37" t="n"/>
      <c r="I362" s="37" t="n"/>
      <c r="J362" s="29" t="n"/>
      <c r="K362" s="29">
        <f>IF(C362="Thu",J362,0)</f>
        <v/>
      </c>
      <c r="L362" s="29">
        <f>IF(C362="Chi",J362,0)</f>
        <v/>
      </c>
      <c r="M362" s="37" t="n"/>
    </row>
    <row r="363" ht="15.75" customHeight="1" s="56">
      <c r="A363" s="27" t="n"/>
      <c r="B363" s="37">
        <f>IF(A363="","",THIET_LAP!$B$4&amp;"-TC-"&amp;TEXT(COUNT($A$4:A363),"0000"))</f>
        <v/>
      </c>
      <c r="C363" s="37" t="n"/>
      <c r="D363" s="37" t="n"/>
      <c r="E363" s="37" t="n"/>
      <c r="F363" s="37" t="n"/>
      <c r="G363" s="37" t="n"/>
      <c r="H363" s="37" t="n"/>
      <c r="I363" s="37" t="n"/>
      <c r="J363" s="29" t="n"/>
      <c r="K363" s="29">
        <f>IF(C363="Thu",J363,0)</f>
        <v/>
      </c>
      <c r="L363" s="29">
        <f>IF(C363="Chi",J363,0)</f>
        <v/>
      </c>
      <c r="M363" s="37" t="n"/>
    </row>
    <row r="364" ht="15.75" customHeight="1" s="56">
      <c r="A364" s="27" t="n"/>
      <c r="B364" s="37">
        <f>IF(A364="","",THIET_LAP!$B$4&amp;"-TC-"&amp;TEXT(COUNT($A$4:A364),"0000"))</f>
        <v/>
      </c>
      <c r="C364" s="37" t="n"/>
      <c r="D364" s="37" t="n"/>
      <c r="E364" s="37" t="n"/>
      <c r="F364" s="37" t="n"/>
      <c r="G364" s="37" t="n"/>
      <c r="H364" s="37" t="n"/>
      <c r="I364" s="37" t="n"/>
      <c r="J364" s="29" t="n"/>
      <c r="K364" s="29">
        <f>IF(C364="Thu",J364,0)</f>
        <v/>
      </c>
      <c r="L364" s="29">
        <f>IF(C364="Chi",J364,0)</f>
        <v/>
      </c>
      <c r="M364" s="37" t="n"/>
    </row>
    <row r="365" ht="15.75" customHeight="1" s="56">
      <c r="A365" s="27" t="n"/>
      <c r="B365" s="37">
        <f>IF(A365="","",THIET_LAP!$B$4&amp;"-TC-"&amp;TEXT(COUNT($A$4:A365),"0000"))</f>
        <v/>
      </c>
      <c r="C365" s="37" t="n"/>
      <c r="D365" s="37" t="n"/>
      <c r="E365" s="37" t="n"/>
      <c r="F365" s="37" t="n"/>
      <c r="G365" s="37" t="n"/>
      <c r="H365" s="37" t="n"/>
      <c r="I365" s="37" t="n"/>
      <c r="J365" s="29" t="n"/>
      <c r="K365" s="29">
        <f>IF(C365="Thu",J365,0)</f>
        <v/>
      </c>
      <c r="L365" s="29">
        <f>IF(C365="Chi",J365,0)</f>
        <v/>
      </c>
      <c r="M365" s="37" t="n"/>
    </row>
    <row r="366" ht="15.75" customHeight="1" s="56">
      <c r="A366" s="27" t="n"/>
      <c r="B366" s="37">
        <f>IF(A366="","",THIET_LAP!$B$4&amp;"-TC-"&amp;TEXT(COUNT($A$4:A366),"0000"))</f>
        <v/>
      </c>
      <c r="C366" s="37" t="n"/>
      <c r="D366" s="37" t="n"/>
      <c r="E366" s="37" t="n"/>
      <c r="F366" s="37" t="n"/>
      <c r="G366" s="37" t="n"/>
      <c r="H366" s="37" t="n"/>
      <c r="I366" s="37" t="n"/>
      <c r="J366" s="29" t="n"/>
      <c r="K366" s="29">
        <f>IF(C366="Thu",J366,0)</f>
        <v/>
      </c>
      <c r="L366" s="29">
        <f>IF(C366="Chi",J366,0)</f>
        <v/>
      </c>
      <c r="M366" s="37" t="n"/>
    </row>
    <row r="367" ht="15.75" customHeight="1" s="56">
      <c r="A367" s="27" t="n"/>
      <c r="B367" s="37">
        <f>IF(A367="","",THIET_LAP!$B$4&amp;"-TC-"&amp;TEXT(COUNT($A$4:A367),"0000"))</f>
        <v/>
      </c>
      <c r="C367" s="37" t="n"/>
      <c r="D367" s="37" t="n"/>
      <c r="E367" s="37" t="n"/>
      <c r="F367" s="37" t="n"/>
      <c r="G367" s="37" t="n"/>
      <c r="H367" s="37" t="n"/>
      <c r="I367" s="37" t="n"/>
      <c r="J367" s="29" t="n"/>
      <c r="K367" s="29">
        <f>IF(C367="Thu",J367,0)</f>
        <v/>
      </c>
      <c r="L367" s="29">
        <f>IF(C367="Chi",J367,0)</f>
        <v/>
      </c>
      <c r="M367" s="37" t="n"/>
    </row>
    <row r="368" ht="15.75" customHeight="1" s="56">
      <c r="A368" s="27" t="n"/>
      <c r="B368" s="37">
        <f>IF(A368="","",THIET_LAP!$B$4&amp;"-TC-"&amp;TEXT(COUNT($A$4:A368),"0000"))</f>
        <v/>
      </c>
      <c r="C368" s="37" t="n"/>
      <c r="D368" s="37" t="n"/>
      <c r="E368" s="37" t="n"/>
      <c r="F368" s="37" t="n"/>
      <c r="G368" s="37" t="n"/>
      <c r="H368" s="37" t="n"/>
      <c r="I368" s="37" t="n"/>
      <c r="J368" s="29" t="n"/>
      <c r="K368" s="29">
        <f>IF(C368="Thu",J368,0)</f>
        <v/>
      </c>
      <c r="L368" s="29">
        <f>IF(C368="Chi",J368,0)</f>
        <v/>
      </c>
      <c r="M368" s="37" t="n"/>
    </row>
    <row r="369" ht="15.75" customHeight="1" s="56">
      <c r="A369" s="27" t="n"/>
      <c r="B369" s="37">
        <f>IF(A369="","",THIET_LAP!$B$4&amp;"-TC-"&amp;TEXT(COUNT($A$4:A369),"0000"))</f>
        <v/>
      </c>
      <c r="C369" s="37" t="n"/>
      <c r="D369" s="37" t="n"/>
      <c r="E369" s="37" t="n"/>
      <c r="F369" s="37" t="n"/>
      <c r="G369" s="37" t="n"/>
      <c r="H369" s="37" t="n"/>
      <c r="I369" s="37" t="n"/>
      <c r="J369" s="29" t="n"/>
      <c r="K369" s="29">
        <f>IF(C369="Thu",J369,0)</f>
        <v/>
      </c>
      <c r="L369" s="29">
        <f>IF(C369="Chi",J369,0)</f>
        <v/>
      </c>
      <c r="M369" s="37" t="n"/>
    </row>
    <row r="370" ht="15.75" customHeight="1" s="56">
      <c r="A370" s="27" t="n"/>
      <c r="B370" s="37">
        <f>IF(A370="","",THIET_LAP!$B$4&amp;"-TC-"&amp;TEXT(COUNT($A$4:A370),"0000"))</f>
        <v/>
      </c>
      <c r="C370" s="37" t="n"/>
      <c r="D370" s="37" t="n"/>
      <c r="E370" s="37" t="n"/>
      <c r="F370" s="37" t="n"/>
      <c r="G370" s="37" t="n"/>
      <c r="H370" s="37" t="n"/>
      <c r="I370" s="37" t="n"/>
      <c r="J370" s="29" t="n"/>
      <c r="K370" s="29">
        <f>IF(C370="Thu",J370,0)</f>
        <v/>
      </c>
      <c r="L370" s="29">
        <f>IF(C370="Chi",J370,0)</f>
        <v/>
      </c>
      <c r="M370" s="37" t="n"/>
    </row>
    <row r="371" ht="15.75" customHeight="1" s="56">
      <c r="A371" s="27" t="n"/>
      <c r="B371" s="37">
        <f>IF(A371="","",THIET_LAP!$B$4&amp;"-TC-"&amp;TEXT(COUNT($A$4:A371),"0000"))</f>
        <v/>
      </c>
      <c r="C371" s="37" t="n"/>
      <c r="D371" s="37" t="n"/>
      <c r="E371" s="37" t="n"/>
      <c r="F371" s="37" t="n"/>
      <c r="G371" s="37" t="n"/>
      <c r="H371" s="37" t="n"/>
      <c r="I371" s="37" t="n"/>
      <c r="J371" s="29" t="n"/>
      <c r="K371" s="29">
        <f>IF(C371="Thu",J371,0)</f>
        <v/>
      </c>
      <c r="L371" s="29">
        <f>IF(C371="Chi",J371,0)</f>
        <v/>
      </c>
      <c r="M371" s="37" t="n"/>
    </row>
    <row r="372" ht="15.75" customHeight="1" s="56">
      <c r="A372" s="27" t="n"/>
      <c r="B372" s="37">
        <f>IF(A372="","",THIET_LAP!$B$4&amp;"-TC-"&amp;TEXT(COUNT($A$4:A372),"0000"))</f>
        <v/>
      </c>
      <c r="C372" s="37" t="n"/>
      <c r="D372" s="37" t="n"/>
      <c r="E372" s="37" t="n"/>
      <c r="F372" s="37" t="n"/>
      <c r="G372" s="37" t="n"/>
      <c r="H372" s="37" t="n"/>
      <c r="I372" s="37" t="n"/>
      <c r="J372" s="29" t="n"/>
      <c r="K372" s="29">
        <f>IF(C372="Thu",J372,0)</f>
        <v/>
      </c>
      <c r="L372" s="29">
        <f>IF(C372="Chi",J372,0)</f>
        <v/>
      </c>
      <c r="M372" s="37" t="n"/>
    </row>
    <row r="373" ht="15.75" customHeight="1" s="56">
      <c r="A373" s="27" t="n"/>
      <c r="B373" s="37">
        <f>IF(A373="","",THIET_LAP!$B$4&amp;"-TC-"&amp;TEXT(COUNT($A$4:A373),"0000"))</f>
        <v/>
      </c>
      <c r="C373" s="37" t="n"/>
      <c r="D373" s="37" t="n"/>
      <c r="E373" s="37" t="n"/>
      <c r="F373" s="37" t="n"/>
      <c r="G373" s="37" t="n"/>
      <c r="H373" s="37" t="n"/>
      <c r="I373" s="37" t="n"/>
      <c r="J373" s="29" t="n"/>
      <c r="K373" s="29">
        <f>IF(C373="Thu",J373,0)</f>
        <v/>
      </c>
      <c r="L373" s="29">
        <f>IF(C373="Chi",J373,0)</f>
        <v/>
      </c>
      <c r="M373" s="37" t="n"/>
    </row>
    <row r="374" ht="15.75" customHeight="1" s="56">
      <c r="A374" s="27" t="n"/>
      <c r="B374" s="37">
        <f>IF(A374="","",THIET_LAP!$B$4&amp;"-TC-"&amp;TEXT(COUNT($A$4:A374),"0000"))</f>
        <v/>
      </c>
      <c r="C374" s="37" t="n"/>
      <c r="D374" s="37" t="n"/>
      <c r="E374" s="37" t="n"/>
      <c r="F374" s="37" t="n"/>
      <c r="G374" s="37" t="n"/>
      <c r="H374" s="37" t="n"/>
      <c r="I374" s="37" t="n"/>
      <c r="J374" s="29" t="n"/>
      <c r="K374" s="29">
        <f>IF(C374="Thu",J374,0)</f>
        <v/>
      </c>
      <c r="L374" s="29">
        <f>IF(C374="Chi",J374,0)</f>
        <v/>
      </c>
      <c r="M374" s="37" t="n"/>
    </row>
    <row r="375" ht="15.75" customHeight="1" s="56">
      <c r="A375" s="27" t="n"/>
      <c r="B375" s="37">
        <f>IF(A375="","",THIET_LAP!$B$4&amp;"-TC-"&amp;TEXT(COUNT($A$4:A375),"0000"))</f>
        <v/>
      </c>
      <c r="C375" s="37" t="n"/>
      <c r="D375" s="37" t="n"/>
      <c r="E375" s="37" t="n"/>
      <c r="F375" s="37" t="n"/>
      <c r="G375" s="37" t="n"/>
      <c r="H375" s="37" t="n"/>
      <c r="I375" s="37" t="n"/>
      <c r="J375" s="29" t="n"/>
      <c r="K375" s="29">
        <f>IF(C375="Thu",J375,0)</f>
        <v/>
      </c>
      <c r="L375" s="29">
        <f>IF(C375="Chi",J375,0)</f>
        <v/>
      </c>
      <c r="M375" s="37" t="n"/>
    </row>
    <row r="376" ht="15.75" customHeight="1" s="56">
      <c r="A376" s="27" t="n"/>
      <c r="B376" s="37">
        <f>IF(A376="","",THIET_LAP!$B$4&amp;"-TC-"&amp;TEXT(COUNT($A$4:A376),"0000"))</f>
        <v/>
      </c>
      <c r="C376" s="37" t="n"/>
      <c r="D376" s="37" t="n"/>
      <c r="E376" s="37" t="n"/>
      <c r="F376" s="37" t="n"/>
      <c r="G376" s="37" t="n"/>
      <c r="H376" s="37" t="n"/>
      <c r="I376" s="37" t="n"/>
      <c r="J376" s="29" t="n"/>
      <c r="K376" s="29">
        <f>IF(C376="Thu",J376,0)</f>
        <v/>
      </c>
      <c r="L376" s="29">
        <f>IF(C376="Chi",J376,0)</f>
        <v/>
      </c>
      <c r="M376" s="37" t="n"/>
    </row>
    <row r="377" ht="15.75" customHeight="1" s="56">
      <c r="A377" s="27" t="n"/>
      <c r="B377" s="37">
        <f>IF(A377="","",THIET_LAP!$B$4&amp;"-TC-"&amp;TEXT(COUNT($A$4:A377),"0000"))</f>
        <v/>
      </c>
      <c r="C377" s="37" t="n"/>
      <c r="D377" s="37" t="n"/>
      <c r="E377" s="37" t="n"/>
      <c r="F377" s="37" t="n"/>
      <c r="G377" s="37" t="n"/>
      <c r="H377" s="37" t="n"/>
      <c r="I377" s="37" t="n"/>
      <c r="J377" s="29" t="n"/>
      <c r="K377" s="29">
        <f>IF(C377="Thu",J377,0)</f>
        <v/>
      </c>
      <c r="L377" s="29">
        <f>IF(C377="Chi",J377,0)</f>
        <v/>
      </c>
      <c r="M377" s="37" t="n"/>
    </row>
    <row r="378" ht="15.75" customHeight="1" s="56">
      <c r="A378" s="27" t="n"/>
      <c r="B378" s="37">
        <f>IF(A378="","",THIET_LAP!$B$4&amp;"-TC-"&amp;TEXT(COUNT($A$4:A378),"0000"))</f>
        <v/>
      </c>
      <c r="C378" s="37" t="n"/>
      <c r="D378" s="37" t="n"/>
      <c r="E378" s="37" t="n"/>
      <c r="F378" s="37" t="n"/>
      <c r="G378" s="37" t="n"/>
      <c r="H378" s="37" t="n"/>
      <c r="I378" s="37" t="n"/>
      <c r="J378" s="29" t="n"/>
      <c r="K378" s="29">
        <f>IF(C378="Thu",J378,0)</f>
        <v/>
      </c>
      <c r="L378" s="29">
        <f>IF(C378="Chi",J378,0)</f>
        <v/>
      </c>
      <c r="M378" s="37" t="n"/>
    </row>
    <row r="379" ht="15.75" customHeight="1" s="56">
      <c r="A379" s="27" t="n"/>
      <c r="B379" s="37">
        <f>IF(A379="","",THIET_LAP!$B$4&amp;"-TC-"&amp;TEXT(COUNT($A$4:A379),"0000"))</f>
        <v/>
      </c>
      <c r="C379" s="37" t="n"/>
      <c r="D379" s="37" t="n"/>
      <c r="E379" s="37" t="n"/>
      <c r="F379" s="37" t="n"/>
      <c r="G379" s="37" t="n"/>
      <c r="H379" s="37" t="n"/>
      <c r="I379" s="37" t="n"/>
      <c r="J379" s="29" t="n"/>
      <c r="K379" s="29">
        <f>IF(C379="Thu",J379,0)</f>
        <v/>
      </c>
      <c r="L379" s="29">
        <f>IF(C379="Chi",J379,0)</f>
        <v/>
      </c>
      <c r="M379" s="37" t="n"/>
    </row>
    <row r="380" ht="15.75" customHeight="1" s="56">
      <c r="A380" s="27" t="n"/>
      <c r="B380" s="37">
        <f>IF(A380="","",THIET_LAP!$B$4&amp;"-TC-"&amp;TEXT(COUNT($A$4:A380),"0000"))</f>
        <v/>
      </c>
      <c r="C380" s="37" t="n"/>
      <c r="D380" s="37" t="n"/>
      <c r="E380" s="37" t="n"/>
      <c r="F380" s="37" t="n"/>
      <c r="G380" s="37" t="n"/>
      <c r="H380" s="37" t="n"/>
      <c r="I380" s="37" t="n"/>
      <c r="J380" s="29" t="n"/>
      <c r="K380" s="29">
        <f>IF(C380="Thu",J380,0)</f>
        <v/>
      </c>
      <c r="L380" s="29">
        <f>IF(C380="Chi",J380,0)</f>
        <v/>
      </c>
      <c r="M380" s="37" t="n"/>
    </row>
    <row r="381" ht="15.75" customHeight="1" s="56">
      <c r="A381" s="27" t="n"/>
      <c r="B381" s="37">
        <f>IF(A381="","",THIET_LAP!$B$4&amp;"-TC-"&amp;TEXT(COUNT($A$4:A381),"0000"))</f>
        <v/>
      </c>
      <c r="C381" s="37" t="n"/>
      <c r="D381" s="37" t="n"/>
      <c r="E381" s="37" t="n"/>
      <c r="F381" s="37" t="n"/>
      <c r="G381" s="37" t="n"/>
      <c r="H381" s="37" t="n"/>
      <c r="I381" s="37" t="n"/>
      <c r="J381" s="29" t="n"/>
      <c r="K381" s="29">
        <f>IF(C381="Thu",J381,0)</f>
        <v/>
      </c>
      <c r="L381" s="29">
        <f>IF(C381="Chi",J381,0)</f>
        <v/>
      </c>
      <c r="M381" s="37" t="n"/>
    </row>
    <row r="382" ht="15.75" customHeight="1" s="56">
      <c r="A382" s="27" t="n"/>
      <c r="B382" s="37">
        <f>IF(A382="","",THIET_LAP!$B$4&amp;"-TC-"&amp;TEXT(COUNT($A$4:A382),"0000"))</f>
        <v/>
      </c>
      <c r="C382" s="37" t="n"/>
      <c r="D382" s="37" t="n"/>
      <c r="E382" s="37" t="n"/>
      <c r="F382" s="37" t="n"/>
      <c r="G382" s="37" t="n"/>
      <c r="H382" s="37" t="n"/>
      <c r="I382" s="37" t="n"/>
      <c r="J382" s="29" t="n"/>
      <c r="K382" s="29">
        <f>IF(C382="Thu",J382,0)</f>
        <v/>
      </c>
      <c r="L382" s="29">
        <f>IF(C382="Chi",J382,0)</f>
        <v/>
      </c>
      <c r="M382" s="37" t="n"/>
    </row>
    <row r="383" ht="15.75" customHeight="1" s="56">
      <c r="A383" s="27" t="n"/>
      <c r="B383" s="37">
        <f>IF(A383="","",THIET_LAP!$B$4&amp;"-TC-"&amp;TEXT(COUNT($A$4:A383),"0000"))</f>
        <v/>
      </c>
      <c r="C383" s="37" t="n"/>
      <c r="D383" s="37" t="n"/>
      <c r="E383" s="37" t="n"/>
      <c r="F383" s="37" t="n"/>
      <c r="G383" s="37" t="n"/>
      <c r="H383" s="37" t="n"/>
      <c r="I383" s="37" t="n"/>
      <c r="J383" s="29" t="n"/>
      <c r="K383" s="29">
        <f>IF(C383="Thu",J383,0)</f>
        <v/>
      </c>
      <c r="L383" s="29">
        <f>IF(C383="Chi",J383,0)</f>
        <v/>
      </c>
      <c r="M383" s="37" t="n"/>
    </row>
    <row r="384" ht="15.75" customHeight="1" s="56">
      <c r="A384" s="27" t="n"/>
      <c r="B384" s="37">
        <f>IF(A384="","",THIET_LAP!$B$4&amp;"-TC-"&amp;TEXT(COUNT($A$4:A384),"0000"))</f>
        <v/>
      </c>
      <c r="C384" s="37" t="n"/>
      <c r="D384" s="37" t="n"/>
      <c r="E384" s="37" t="n"/>
      <c r="F384" s="37" t="n"/>
      <c r="G384" s="37" t="n"/>
      <c r="H384" s="37" t="n"/>
      <c r="I384" s="37" t="n"/>
      <c r="J384" s="29" t="n"/>
      <c r="K384" s="29">
        <f>IF(C384="Thu",J384,0)</f>
        <v/>
      </c>
      <c r="L384" s="29">
        <f>IF(C384="Chi",J384,0)</f>
        <v/>
      </c>
      <c r="M384" s="37" t="n"/>
    </row>
    <row r="385" ht="15.75" customHeight="1" s="56">
      <c r="A385" s="27" t="n"/>
      <c r="B385" s="37">
        <f>IF(A385="","",THIET_LAP!$B$4&amp;"-TC-"&amp;TEXT(COUNT($A$4:A385),"0000"))</f>
        <v/>
      </c>
      <c r="C385" s="37" t="n"/>
      <c r="D385" s="37" t="n"/>
      <c r="E385" s="37" t="n"/>
      <c r="F385" s="37" t="n"/>
      <c r="G385" s="37" t="n"/>
      <c r="H385" s="37" t="n"/>
      <c r="I385" s="37" t="n"/>
      <c r="J385" s="29" t="n"/>
      <c r="K385" s="29">
        <f>IF(C385="Thu",J385,0)</f>
        <v/>
      </c>
      <c r="L385" s="29">
        <f>IF(C385="Chi",J385,0)</f>
        <v/>
      </c>
      <c r="M385" s="37" t="n"/>
    </row>
    <row r="386" ht="15.75" customHeight="1" s="56">
      <c r="A386" s="27" t="n"/>
      <c r="B386" s="37">
        <f>IF(A386="","",THIET_LAP!$B$4&amp;"-TC-"&amp;TEXT(COUNT($A$4:A386),"0000"))</f>
        <v/>
      </c>
      <c r="C386" s="37" t="n"/>
      <c r="D386" s="37" t="n"/>
      <c r="E386" s="37" t="n"/>
      <c r="F386" s="37" t="n"/>
      <c r="G386" s="37" t="n"/>
      <c r="H386" s="37" t="n"/>
      <c r="I386" s="37" t="n"/>
      <c r="J386" s="29" t="n"/>
      <c r="K386" s="29">
        <f>IF(C386="Thu",J386,0)</f>
        <v/>
      </c>
      <c r="L386" s="29">
        <f>IF(C386="Chi",J386,0)</f>
        <v/>
      </c>
      <c r="M386" s="37" t="n"/>
    </row>
    <row r="387" ht="15.75" customHeight="1" s="56">
      <c r="A387" s="27" t="n"/>
      <c r="B387" s="37">
        <f>IF(A387="","",THIET_LAP!$B$4&amp;"-TC-"&amp;TEXT(COUNT($A$4:A387),"0000"))</f>
        <v/>
      </c>
      <c r="C387" s="37" t="n"/>
      <c r="D387" s="37" t="n"/>
      <c r="E387" s="37" t="n"/>
      <c r="F387" s="37" t="n"/>
      <c r="G387" s="37" t="n"/>
      <c r="H387" s="37" t="n"/>
      <c r="I387" s="37" t="n"/>
      <c r="J387" s="29" t="n"/>
      <c r="K387" s="29">
        <f>IF(C387="Thu",J387,0)</f>
        <v/>
      </c>
      <c r="L387" s="29">
        <f>IF(C387="Chi",J387,0)</f>
        <v/>
      </c>
      <c r="M387" s="37" t="n"/>
    </row>
    <row r="388" ht="15.75" customHeight="1" s="56">
      <c r="A388" s="27" t="n"/>
      <c r="B388" s="37">
        <f>IF(A388="","",THIET_LAP!$B$4&amp;"-TC-"&amp;TEXT(COUNT($A$4:A388),"0000"))</f>
        <v/>
      </c>
      <c r="C388" s="37" t="n"/>
      <c r="D388" s="37" t="n"/>
      <c r="E388" s="37" t="n"/>
      <c r="F388" s="37" t="n"/>
      <c r="G388" s="37" t="n"/>
      <c r="H388" s="37" t="n"/>
      <c r="I388" s="37" t="n"/>
      <c r="J388" s="29" t="n"/>
      <c r="K388" s="29">
        <f>IF(C388="Thu",J388,0)</f>
        <v/>
      </c>
      <c r="L388" s="29">
        <f>IF(C388="Chi",J388,0)</f>
        <v/>
      </c>
      <c r="M388" s="37" t="n"/>
    </row>
    <row r="389" ht="15.75" customHeight="1" s="56">
      <c r="A389" s="27" t="n"/>
      <c r="B389" s="37">
        <f>IF(A389="","",THIET_LAP!$B$4&amp;"-TC-"&amp;TEXT(COUNT($A$4:A389),"0000"))</f>
        <v/>
      </c>
      <c r="C389" s="37" t="n"/>
      <c r="D389" s="37" t="n"/>
      <c r="E389" s="37" t="n"/>
      <c r="F389" s="37" t="n"/>
      <c r="G389" s="37" t="n"/>
      <c r="H389" s="37" t="n"/>
      <c r="I389" s="37" t="n"/>
      <c r="J389" s="29" t="n"/>
      <c r="K389" s="29">
        <f>IF(C389="Thu",J389,0)</f>
        <v/>
      </c>
      <c r="L389" s="29">
        <f>IF(C389="Chi",J389,0)</f>
        <v/>
      </c>
      <c r="M389" s="37" t="n"/>
    </row>
    <row r="390" ht="15.75" customHeight="1" s="56">
      <c r="A390" s="27" t="n"/>
      <c r="B390" s="37">
        <f>IF(A390="","",THIET_LAP!$B$4&amp;"-TC-"&amp;TEXT(COUNT($A$4:A390),"0000"))</f>
        <v/>
      </c>
      <c r="C390" s="37" t="n"/>
      <c r="D390" s="37" t="n"/>
      <c r="E390" s="37" t="n"/>
      <c r="F390" s="37" t="n"/>
      <c r="G390" s="37" t="n"/>
      <c r="H390" s="37" t="n"/>
      <c r="I390" s="37" t="n"/>
      <c r="J390" s="29" t="n"/>
      <c r="K390" s="29">
        <f>IF(C390="Thu",J390,0)</f>
        <v/>
      </c>
      <c r="L390" s="29">
        <f>IF(C390="Chi",J390,0)</f>
        <v/>
      </c>
      <c r="M390" s="37" t="n"/>
    </row>
    <row r="391" ht="15.75" customHeight="1" s="56">
      <c r="A391" s="27" t="n"/>
      <c r="B391" s="37">
        <f>IF(A391="","",THIET_LAP!$B$4&amp;"-TC-"&amp;TEXT(COUNT($A$4:A391),"0000"))</f>
        <v/>
      </c>
      <c r="C391" s="37" t="n"/>
      <c r="D391" s="37" t="n"/>
      <c r="E391" s="37" t="n"/>
      <c r="F391" s="37" t="n"/>
      <c r="G391" s="37" t="n"/>
      <c r="H391" s="37" t="n"/>
      <c r="I391" s="37" t="n"/>
      <c r="J391" s="29" t="n"/>
      <c r="K391" s="29">
        <f>IF(C391="Thu",J391,0)</f>
        <v/>
      </c>
      <c r="L391" s="29">
        <f>IF(C391="Chi",J391,0)</f>
        <v/>
      </c>
      <c r="M391" s="37" t="n"/>
    </row>
    <row r="392" ht="15.75" customHeight="1" s="56">
      <c r="A392" s="27" t="n"/>
      <c r="B392" s="37">
        <f>IF(A392="","",THIET_LAP!$B$4&amp;"-TC-"&amp;TEXT(COUNT($A$4:A392),"0000"))</f>
        <v/>
      </c>
      <c r="C392" s="37" t="n"/>
      <c r="D392" s="37" t="n"/>
      <c r="E392" s="37" t="n"/>
      <c r="F392" s="37" t="n"/>
      <c r="G392" s="37" t="n"/>
      <c r="H392" s="37" t="n"/>
      <c r="I392" s="37" t="n"/>
      <c r="J392" s="29" t="n"/>
      <c r="K392" s="29">
        <f>IF(C392="Thu",J392,0)</f>
        <v/>
      </c>
      <c r="L392" s="29">
        <f>IF(C392="Chi",J392,0)</f>
        <v/>
      </c>
      <c r="M392" s="37" t="n"/>
    </row>
    <row r="393" ht="15.75" customHeight="1" s="56">
      <c r="A393" s="27" t="n"/>
      <c r="B393" s="37">
        <f>IF(A393="","",THIET_LAP!$B$4&amp;"-TC-"&amp;TEXT(COUNT($A$4:A393),"0000"))</f>
        <v/>
      </c>
      <c r="C393" s="37" t="n"/>
      <c r="D393" s="37" t="n"/>
      <c r="E393" s="37" t="n"/>
      <c r="F393" s="37" t="n"/>
      <c r="G393" s="37" t="n"/>
      <c r="H393" s="37" t="n"/>
      <c r="I393" s="37" t="n"/>
      <c r="J393" s="29" t="n"/>
      <c r="K393" s="29">
        <f>IF(C393="Thu",J393,0)</f>
        <v/>
      </c>
      <c r="L393" s="29">
        <f>IF(C393="Chi",J393,0)</f>
        <v/>
      </c>
      <c r="M393" s="37" t="n"/>
    </row>
    <row r="394" ht="15.75" customHeight="1" s="56">
      <c r="A394" s="27" t="n"/>
      <c r="B394" s="37">
        <f>IF(A394="","",THIET_LAP!$B$4&amp;"-TC-"&amp;TEXT(COUNT($A$4:A394),"0000"))</f>
        <v/>
      </c>
      <c r="C394" s="37" t="n"/>
      <c r="D394" s="37" t="n"/>
      <c r="E394" s="37" t="n"/>
      <c r="F394" s="37" t="n"/>
      <c r="G394" s="37" t="n"/>
      <c r="H394" s="37" t="n"/>
      <c r="I394" s="37" t="n"/>
      <c r="J394" s="29" t="n"/>
      <c r="K394" s="29">
        <f>IF(C394="Thu",J394,0)</f>
        <v/>
      </c>
      <c r="L394" s="29">
        <f>IF(C394="Chi",J394,0)</f>
        <v/>
      </c>
      <c r="M394" s="37" t="n"/>
    </row>
    <row r="395" ht="15.75" customHeight="1" s="56">
      <c r="A395" s="27" t="n"/>
      <c r="B395" s="37">
        <f>IF(A395="","",THIET_LAP!$B$4&amp;"-TC-"&amp;TEXT(COUNT($A$4:A395),"0000"))</f>
        <v/>
      </c>
      <c r="C395" s="37" t="n"/>
      <c r="D395" s="37" t="n"/>
      <c r="E395" s="37" t="n"/>
      <c r="F395" s="37" t="n"/>
      <c r="G395" s="37" t="n"/>
      <c r="H395" s="37" t="n"/>
      <c r="I395" s="37" t="n"/>
      <c r="J395" s="29" t="n"/>
      <c r="K395" s="29">
        <f>IF(C395="Thu",J395,0)</f>
        <v/>
      </c>
      <c r="L395" s="29">
        <f>IF(C395="Chi",J395,0)</f>
        <v/>
      </c>
      <c r="M395" s="37" t="n"/>
    </row>
    <row r="396" ht="15.75" customHeight="1" s="56">
      <c r="A396" s="27" t="n"/>
      <c r="B396" s="37">
        <f>IF(A396="","",THIET_LAP!$B$4&amp;"-TC-"&amp;TEXT(COUNT($A$4:A396),"0000"))</f>
        <v/>
      </c>
      <c r="C396" s="37" t="n"/>
      <c r="D396" s="37" t="n"/>
      <c r="E396" s="37" t="n"/>
      <c r="F396" s="37" t="n"/>
      <c r="G396" s="37" t="n"/>
      <c r="H396" s="37" t="n"/>
      <c r="I396" s="37" t="n"/>
      <c r="J396" s="29" t="n"/>
      <c r="K396" s="29">
        <f>IF(C396="Thu",J396,0)</f>
        <v/>
      </c>
      <c r="L396" s="29">
        <f>IF(C396="Chi",J396,0)</f>
        <v/>
      </c>
      <c r="M396" s="37" t="n"/>
    </row>
    <row r="397" ht="15.75" customHeight="1" s="56">
      <c r="A397" s="27" t="n"/>
      <c r="B397" s="37">
        <f>IF(A397="","",THIET_LAP!$B$4&amp;"-TC-"&amp;TEXT(COUNT($A$4:A397),"0000"))</f>
        <v/>
      </c>
      <c r="C397" s="37" t="n"/>
      <c r="D397" s="37" t="n"/>
      <c r="E397" s="37" t="n"/>
      <c r="F397" s="37" t="n"/>
      <c r="G397" s="37" t="n"/>
      <c r="H397" s="37" t="n"/>
      <c r="I397" s="37" t="n"/>
      <c r="J397" s="29" t="n"/>
      <c r="K397" s="29">
        <f>IF(C397="Thu",J397,0)</f>
        <v/>
      </c>
      <c r="L397" s="29">
        <f>IF(C397="Chi",J397,0)</f>
        <v/>
      </c>
      <c r="M397" s="37" t="n"/>
    </row>
    <row r="398" ht="15.75" customHeight="1" s="56">
      <c r="A398" s="27" t="n"/>
      <c r="B398" s="37">
        <f>IF(A398="","",THIET_LAP!$B$4&amp;"-TC-"&amp;TEXT(COUNT($A$4:A398),"0000"))</f>
        <v/>
      </c>
      <c r="C398" s="37" t="n"/>
      <c r="D398" s="37" t="n"/>
      <c r="E398" s="37" t="n"/>
      <c r="F398" s="37" t="n"/>
      <c r="G398" s="37" t="n"/>
      <c r="H398" s="37" t="n"/>
      <c r="I398" s="37" t="n"/>
      <c r="J398" s="29" t="n"/>
      <c r="K398" s="29">
        <f>IF(C398="Thu",J398,0)</f>
        <v/>
      </c>
      <c r="L398" s="29">
        <f>IF(C398="Chi",J398,0)</f>
        <v/>
      </c>
      <c r="M398" s="37" t="n"/>
    </row>
    <row r="399" ht="15.75" customHeight="1" s="56">
      <c r="A399" s="27" t="n"/>
      <c r="B399" s="37">
        <f>IF(A399="","",THIET_LAP!$B$4&amp;"-TC-"&amp;TEXT(COUNT($A$4:A399),"0000"))</f>
        <v/>
      </c>
      <c r="C399" s="37" t="n"/>
      <c r="D399" s="37" t="n"/>
      <c r="E399" s="37" t="n"/>
      <c r="F399" s="37" t="n"/>
      <c r="G399" s="37" t="n"/>
      <c r="H399" s="37" t="n"/>
      <c r="I399" s="37" t="n"/>
      <c r="J399" s="29" t="n"/>
      <c r="K399" s="29">
        <f>IF(C399="Thu",J399,0)</f>
        <v/>
      </c>
      <c r="L399" s="29">
        <f>IF(C399="Chi",J399,0)</f>
        <v/>
      </c>
      <c r="M399" s="37" t="n"/>
    </row>
    <row r="400" ht="15.75" customHeight="1" s="56">
      <c r="A400" s="27" t="n"/>
      <c r="B400" s="37">
        <f>IF(A400="","",THIET_LAP!$B$4&amp;"-TC-"&amp;TEXT(COUNT($A$4:A400),"0000"))</f>
        <v/>
      </c>
      <c r="C400" s="37" t="n"/>
      <c r="D400" s="37" t="n"/>
      <c r="E400" s="37" t="n"/>
      <c r="F400" s="37" t="n"/>
      <c r="G400" s="37" t="n"/>
      <c r="H400" s="37" t="n"/>
      <c r="I400" s="37" t="n"/>
      <c r="J400" s="29" t="n"/>
      <c r="K400" s="29">
        <f>IF(C400="Thu",J400,0)</f>
        <v/>
      </c>
      <c r="L400" s="29">
        <f>IF(C400="Chi",J400,0)</f>
        <v/>
      </c>
      <c r="M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M$400"/>
  <mergeCells count="2">
    <mergeCell ref="A2:M2"/>
    <mergeCell ref="A1:M1"/>
  </mergeCells>
  <dataValidations count="3">
    <dataValidation sqref="C4:C400" showDropDown="0" showInputMessage="0" showErrorMessage="0" allowBlank="1" type="list">
      <formula1>"Thu,Chi"</formula1>
    </dataValidation>
    <dataValidation sqref="G4:G400" showDropDown="0" showInputMessage="0" showErrorMessage="0" allowBlank="1" type="list">
      <formula1>DM_PHONGBAN</formula1>
    </dataValidation>
    <dataValidation sqref="I4:I400" showDropDown="0" showInputMessage="0" showErrorMessage="0" allowBlank="1" type="list">
      <formula1>"Tiền mặt,Chuyển khoản,ZaloPay,Khác"</formula1>
    </dataValidation>
  </dataValidation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L4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2"/>
    <col width="16" customWidth="1" style="56" min="3" max="4"/>
    <col width="18" customWidth="1" style="56" min="5" max="6"/>
    <col width="14" customWidth="1" style="56" min="7" max="7"/>
    <col width="12" customWidth="1" style="56" min="8" max="8"/>
    <col width="14" customWidth="1" style="56" min="9" max="10"/>
    <col width="13" customWidth="1" style="56" min="11" max="11"/>
    <col width="26" customWidth="1" style="56" min="12" max="12"/>
    <col width="8.710000000000001" customWidth="1" style="56" min="13" max="26"/>
  </cols>
  <sheetData>
    <row r="1">
      <c r="A1" s="60" t="inlineStr">
        <is>
          <t>DATABASE LƯƠNG KHOÁN</t>
        </is>
      </c>
      <c r="B1" s="58" t="n"/>
      <c r="C1" s="58" t="n"/>
      <c r="D1" s="58" t="n"/>
      <c r="E1" s="58" t="n"/>
      <c r="F1" s="58" t="n"/>
      <c r="G1" s="58" t="n"/>
      <c r="H1" s="58" t="n"/>
      <c r="I1" s="58" t="n"/>
      <c r="J1" s="58" t="n"/>
      <c r="K1" s="58" t="n"/>
      <c r="L1" s="59" t="n"/>
    </row>
    <row r="2">
      <c r="A2" s="23" t="inlineStr">
        <is>
          <t>Mỗi dòng là 1 khoản khoán / phụ cấp / thưởng phạt gắn với hồ sơ hoặc task.</t>
        </is>
      </c>
    </row>
    <row r="3">
      <c r="A3" s="11" t="inlineStr">
        <is>
          <t>Tháng</t>
        </is>
      </c>
      <c r="B3" s="11" t="inlineStr">
        <is>
          <t>Nhân sự</t>
        </is>
      </c>
      <c r="C3" s="11" t="inlineStr">
        <is>
          <t>Mã hồ sơ</t>
        </is>
      </c>
      <c r="D3" s="11" t="inlineStr">
        <is>
          <t>Mã task</t>
        </is>
      </c>
      <c r="E3" s="11" t="inlineStr">
        <is>
          <t>Công đoạn khoán</t>
        </is>
      </c>
      <c r="F3" s="11" t="inlineStr">
        <is>
          <t>Phòng ban</t>
        </is>
      </c>
      <c r="G3" s="11" t="inlineStr">
        <is>
          <t>Số tiền khoán</t>
        </is>
      </c>
      <c r="H3" s="11" t="inlineStr">
        <is>
          <t>Phụ cấp</t>
        </is>
      </c>
      <c r="I3" s="11" t="inlineStr">
        <is>
          <t>Thưởng/Phạt</t>
        </is>
      </c>
      <c r="J3" s="11" t="inlineStr">
        <is>
          <t>Tổng nhận</t>
        </is>
      </c>
      <c r="K3" s="11" t="inlineStr">
        <is>
          <t>Ngày chốt</t>
        </is>
      </c>
      <c r="L3" s="11" t="inlineStr">
        <is>
          <t>Ghi chú</t>
        </is>
      </c>
    </row>
    <row r="4">
      <c r="A4" s="36" t="n">
        <v>46082</v>
      </c>
      <c r="B4" s="37" t="inlineStr">
        <is>
          <t>Lê Văn Dựng</t>
        </is>
      </c>
      <c r="C4" s="37" t="inlineStr">
        <is>
          <t>BK-HS-0030</t>
        </is>
      </c>
      <c r="D4" s="37" t="n"/>
      <c r="E4" s="37" t="inlineStr">
        <is>
          <t>Cắm mốc</t>
        </is>
      </c>
      <c r="F4" s="37" t="inlineStr">
        <is>
          <t>Phòng Đo đạc</t>
        </is>
      </c>
      <c r="G4" s="29" t="n">
        <v>1200000</v>
      </c>
      <c r="H4" s="29" t="n">
        <v>0</v>
      </c>
      <c r="I4" s="29" t="n">
        <v>0</v>
      </c>
      <c r="J4" s="29">
        <f>IF(B4="","",SUM(G4:I4))</f>
        <v/>
      </c>
      <c r="K4" s="27" t="n">
        <v>46085</v>
      </c>
      <c r="L4" s="37" t="inlineStr">
        <is>
          <t>HĐ cũ: 098/BK-2026</t>
        </is>
      </c>
    </row>
    <row r="5">
      <c r="A5" s="36" t="n">
        <v>46082</v>
      </c>
      <c r="B5" s="37" t="inlineStr">
        <is>
          <t>Lê Văn Dựng</t>
        </is>
      </c>
      <c r="C5" s="37" t="inlineStr">
        <is>
          <t>BK-HS-0027</t>
        </is>
      </c>
      <c r="D5" s="37" t="n"/>
      <c r="E5" s="37" t="inlineStr">
        <is>
          <t>Xác định diện tích</t>
        </is>
      </c>
      <c r="F5" s="37" t="inlineStr">
        <is>
          <t>Phòng Đo đạc</t>
        </is>
      </c>
      <c r="G5" s="29" t="n">
        <v>700000</v>
      </c>
      <c r="H5" s="29" t="n">
        <v>0</v>
      </c>
      <c r="I5" s="29" t="n">
        <v>0</v>
      </c>
      <c r="J5" s="29">
        <f>IF(B5="","",SUM(G5:I5))</f>
        <v/>
      </c>
      <c r="K5" s="27" t="n">
        <v>46086</v>
      </c>
      <c r="L5" s="37" t="inlineStr">
        <is>
          <t>HĐ cũ: 101/BK-2026 | hồ sơ cấp đổi lấn thửa chủ nhà yêu cầu vẽ XDDT để đưa lên phường trình bày</t>
        </is>
      </c>
    </row>
    <row r="6">
      <c r="A6" s="36" t="n">
        <v>46082</v>
      </c>
      <c r="B6" s="37" t="inlineStr">
        <is>
          <t>Lê Văn Dựng</t>
        </is>
      </c>
      <c r="C6" s="37" t="inlineStr">
        <is>
          <t>BK-HS-0025</t>
        </is>
      </c>
      <c r="D6" s="37" t="n"/>
      <c r="E6" s="37" t="inlineStr">
        <is>
          <t>Cắm mốc</t>
        </is>
      </c>
      <c r="F6" s="37" t="inlineStr">
        <is>
          <t>Phòng Đo đạc</t>
        </is>
      </c>
      <c r="G6" s="29" t="n">
        <v>1200000</v>
      </c>
      <c r="H6" s="29" t="n">
        <v>0</v>
      </c>
      <c r="I6" s="29" t="n">
        <v>0</v>
      </c>
      <c r="J6" s="29">
        <f>IF(B6="","",SUM(G6:I6))</f>
        <v/>
      </c>
      <c r="K6" s="27" t="n">
        <v>46086</v>
      </c>
      <c r="L6" s="37" t="inlineStr">
        <is>
          <t>HĐ cũ: 103/BK-2026</t>
        </is>
      </c>
    </row>
    <row r="7">
      <c r="A7" s="36" t="n">
        <v>46082</v>
      </c>
      <c r="B7" s="37" t="inlineStr">
        <is>
          <t>Lê Văn Dựng</t>
        </is>
      </c>
      <c r="C7" s="37" t="inlineStr">
        <is>
          <t>BK-HS-0023</t>
        </is>
      </c>
      <c r="D7" s="37" t="n"/>
      <c r="E7" s="37" t="inlineStr">
        <is>
          <t>Cắm mốc</t>
        </is>
      </c>
      <c r="F7" s="37" t="inlineStr">
        <is>
          <t>Phòng Đo đạc</t>
        </is>
      </c>
      <c r="G7" s="29" t="n">
        <v>1200000</v>
      </c>
      <c r="H7" s="29" t="n">
        <v>300000</v>
      </c>
      <c r="I7" s="29" t="n">
        <v>0</v>
      </c>
      <c r="J7" s="29">
        <f>IF(B7="","",SUM(G7:I7))</f>
        <v/>
      </c>
      <c r="K7" s="27" t="n">
        <v>46086</v>
      </c>
      <c r="L7" s="37" t="inlineStr">
        <is>
          <t>HĐ cũ: 105/BK-2026</t>
        </is>
      </c>
    </row>
    <row r="8">
      <c r="A8" s="36" t="n">
        <v>46082</v>
      </c>
      <c r="B8" s="37" t="inlineStr">
        <is>
          <t>Lê Văn Dựng</t>
        </is>
      </c>
      <c r="C8" s="37" t="inlineStr">
        <is>
          <t>BK-HS-0019</t>
        </is>
      </c>
      <c r="D8" s="37" t="n"/>
      <c r="E8" s="37" t="inlineStr">
        <is>
          <t>Đo GPS</t>
        </is>
      </c>
      <c r="F8" s="37" t="inlineStr">
        <is>
          <t>Phòng Đo đạc</t>
        </is>
      </c>
      <c r="G8" s="29" t="n">
        <v>1200000</v>
      </c>
      <c r="H8" s="29" t="n">
        <v>0</v>
      </c>
      <c r="I8" s="29" t="n">
        <v>0</v>
      </c>
      <c r="J8" s="29">
        <f>IF(B8="","",SUM(G8:I8))</f>
        <v/>
      </c>
      <c r="K8" s="27" t="n">
        <v>46090</v>
      </c>
      <c r="L8" s="37" t="inlineStr">
        <is>
          <t>HĐ cũ: 109/BK-2026</t>
        </is>
      </c>
    </row>
    <row r="9">
      <c r="A9" s="36" t="n">
        <v>46082</v>
      </c>
      <c r="B9" s="37" t="inlineStr">
        <is>
          <t>Lê Văn Dựng</t>
        </is>
      </c>
      <c r="C9" s="37" t="inlineStr">
        <is>
          <t>BK-HS-0020</t>
        </is>
      </c>
      <c r="D9" s="37" t="n"/>
      <c r="E9" s="37" t="inlineStr">
        <is>
          <t>Cấp đổi</t>
        </is>
      </c>
      <c r="F9" s="37" t="inlineStr">
        <is>
          <t>Phòng Đo đạc</t>
        </is>
      </c>
      <c r="G9" s="29" t="n">
        <v>1100000</v>
      </c>
      <c r="H9" s="29" t="n">
        <v>0</v>
      </c>
      <c r="I9" s="29" t="n">
        <v>300000</v>
      </c>
      <c r="J9" s="29">
        <f>IF(B9="","",SUM(G9:I9))</f>
        <v/>
      </c>
      <c r="K9" s="27" t="n">
        <v>46091</v>
      </c>
      <c r="L9" s="37" t="inlineStr">
        <is>
          <t>HĐ cũ: 108/BK-2026</t>
        </is>
      </c>
    </row>
    <row r="10">
      <c r="A10" s="36" t="n">
        <v>46082</v>
      </c>
      <c r="B10" s="37" t="inlineStr">
        <is>
          <t>Lê Văn Dựng</t>
        </is>
      </c>
      <c r="C10" s="37" t="inlineStr">
        <is>
          <t>BK-HS-0017</t>
        </is>
      </c>
      <c r="D10" s="37" t="n"/>
      <c r="E10" s="37" t="inlineStr">
        <is>
          <t>Đo GPS</t>
        </is>
      </c>
      <c r="F10" s="37" t="inlineStr">
        <is>
          <t>Phòng Đo đạc</t>
        </is>
      </c>
      <c r="G10" s="29" t="n">
        <v>1200000</v>
      </c>
      <c r="H10" s="29" t="n">
        <v>0</v>
      </c>
      <c r="I10" s="29" t="n">
        <v>0</v>
      </c>
      <c r="J10" s="29">
        <f>IF(B10="","",SUM(G10:I10))</f>
        <v/>
      </c>
      <c r="K10" s="27" t="n">
        <v>46091</v>
      </c>
      <c r="L10" s="37" t="inlineStr">
        <is>
          <t>HĐ cũ: 111/BK-2026</t>
        </is>
      </c>
    </row>
    <row r="11">
      <c r="A11" s="36" t="n">
        <v>46082</v>
      </c>
      <c r="B11" s="37" t="inlineStr">
        <is>
          <t>Lê Văn Dựng</t>
        </is>
      </c>
      <c r="C11" s="37" t="inlineStr">
        <is>
          <t>BK-HS-0016</t>
        </is>
      </c>
      <c r="D11" s="37" t="n"/>
      <c r="E11" s="37" t="inlineStr">
        <is>
          <t>Xác định diện tích</t>
        </is>
      </c>
      <c r="F11" s="37" t="inlineStr">
        <is>
          <t>Phòng Đo đạc</t>
        </is>
      </c>
      <c r="G11" s="29" t="n">
        <v>700000</v>
      </c>
      <c r="H11" s="29" t="n">
        <v>0</v>
      </c>
      <c r="I11" s="29" t="n">
        <v>0</v>
      </c>
      <c r="J11" s="29">
        <f>IF(B11="","",SUM(G11:I11))</f>
        <v/>
      </c>
      <c r="K11" s="27" t="n">
        <v>46091</v>
      </c>
      <c r="L11" s="37" t="inlineStr">
        <is>
          <t>HĐ cũ: 112/BK-2026</t>
        </is>
      </c>
    </row>
    <row r="12">
      <c r="A12" s="36" t="n">
        <v>46082</v>
      </c>
      <c r="B12" s="37" t="inlineStr">
        <is>
          <t>Lê Văn Dựng</t>
        </is>
      </c>
      <c r="C12" s="37" t="inlineStr">
        <is>
          <t>BK-HS-0015</t>
        </is>
      </c>
      <c r="D12" s="37" t="n"/>
      <c r="E12" s="37" t="inlineStr">
        <is>
          <t>Xác định diện tích</t>
        </is>
      </c>
      <c r="F12" s="37" t="inlineStr">
        <is>
          <t>Phòng Đo đạc</t>
        </is>
      </c>
      <c r="G12" s="29" t="n">
        <v>700000</v>
      </c>
      <c r="H12" s="29" t="n">
        <v>0</v>
      </c>
      <c r="I12" s="29" t="n">
        <v>0</v>
      </c>
      <c r="J12" s="29">
        <f>IF(B12="","",SUM(G12:I12))</f>
        <v/>
      </c>
      <c r="K12" s="27" t="n">
        <v>46091</v>
      </c>
      <c r="L12" s="37" t="inlineStr">
        <is>
          <t>HĐ cũ: 113/BK-2026</t>
        </is>
      </c>
    </row>
    <row r="13">
      <c r="A13" s="36" t="n">
        <v>46082</v>
      </c>
      <c r="B13" s="37" t="inlineStr">
        <is>
          <t>Lê Văn Dựng</t>
        </is>
      </c>
      <c r="C13" s="37" t="inlineStr">
        <is>
          <t>BK-HS-0167</t>
        </is>
      </c>
      <c r="D13" s="37" t="n"/>
      <c r="E13" s="37" t="inlineStr">
        <is>
          <t>Hoàn công</t>
        </is>
      </c>
      <c r="F13" s="37" t="inlineStr">
        <is>
          <t>Phòng Đo đạc</t>
        </is>
      </c>
      <c r="G13" s="29" t="n">
        <v>1100000</v>
      </c>
      <c r="H13" s="29" t="n">
        <v>0</v>
      </c>
      <c r="I13" s="29" t="n">
        <v>0</v>
      </c>
      <c r="J13" s="29">
        <f>IF(B13="","",SUM(G13:I13))</f>
        <v/>
      </c>
      <c r="K13" s="27" t="n">
        <v>46092</v>
      </c>
      <c r="L13" s="37" t="inlineStr">
        <is>
          <t>HĐ cũ: 653/BK-2025</t>
        </is>
      </c>
    </row>
    <row r="14">
      <c r="A14" s="36" t="n">
        <v>46054</v>
      </c>
      <c r="B14" s="37" t="inlineStr">
        <is>
          <t>Lê Văn Dựng</t>
        </is>
      </c>
      <c r="C14" s="37" t="inlineStr">
        <is>
          <t>BK-HS-0076</t>
        </is>
      </c>
      <c r="D14" s="37" t="n"/>
      <c r="E14" s="37" t="inlineStr">
        <is>
          <t>Cấp đổi</t>
        </is>
      </c>
      <c r="F14" s="37" t="inlineStr">
        <is>
          <t>Phòng Đo đạc</t>
        </is>
      </c>
      <c r="G14" s="29" t="n">
        <v>1100000</v>
      </c>
      <c r="H14" s="29" t="n">
        <v>0</v>
      </c>
      <c r="I14" s="29" t="n">
        <v>0</v>
      </c>
      <c r="J14" s="29">
        <f>IF(B14="","",SUM(G14:I14))</f>
        <v/>
      </c>
      <c r="K14" s="27" t="n">
        <v>46056</v>
      </c>
      <c r="L14" s="37" t="inlineStr">
        <is>
          <t>HĐ cũ: 053/BK-2026 | hồ sơ chưa xử lý được do khu đất có ao sâu không thể chôn trụ xi măng được,chờ khách hàng san lấp</t>
        </is>
      </c>
    </row>
    <row r="15">
      <c r="A15" s="36" t="n">
        <v>46054</v>
      </c>
      <c r="B15" s="37" t="inlineStr">
        <is>
          <t>Lê Văn Dựng</t>
        </is>
      </c>
      <c r="C15" s="37" t="inlineStr">
        <is>
          <t>BK-HS-0052</t>
        </is>
      </c>
      <c r="D15" s="37" t="n"/>
      <c r="E15" s="37" t="inlineStr">
        <is>
          <t>Xác định diện tích</t>
        </is>
      </c>
      <c r="F15" s="37" t="inlineStr">
        <is>
          <t>Phòng Đo đạc</t>
        </is>
      </c>
      <c r="G15" s="29" t="n">
        <v>700000</v>
      </c>
      <c r="H15" s="29" t="n">
        <v>0</v>
      </c>
      <c r="I15" s="29" t="n">
        <v>0</v>
      </c>
      <c r="J15" s="29">
        <f>IF(B15="","",SUM(G15:I15))</f>
        <v/>
      </c>
      <c r="K15" s="27" t="n">
        <v>46056</v>
      </c>
      <c r="L15" s="37" t="inlineStr">
        <is>
          <t>HĐ cũ: 076/BK-2026</t>
        </is>
      </c>
    </row>
    <row r="16">
      <c r="A16" s="36" t="n">
        <v>46054</v>
      </c>
      <c r="B16" s="37" t="inlineStr">
        <is>
          <t>Lê Văn Dựng</t>
        </is>
      </c>
      <c r="C16" s="37" t="inlineStr">
        <is>
          <t>BK-HS-0051</t>
        </is>
      </c>
      <c r="D16" s="37" t="n"/>
      <c r="E16" s="37" t="inlineStr">
        <is>
          <t>Xác định diện tích</t>
        </is>
      </c>
      <c r="F16" s="37" t="inlineStr">
        <is>
          <t>Phòng Đo đạc</t>
        </is>
      </c>
      <c r="G16" s="29" t="n">
        <v>700000</v>
      </c>
      <c r="H16" s="29" t="n">
        <v>0</v>
      </c>
      <c r="I16" s="29" t="n">
        <v>0</v>
      </c>
      <c r="J16" s="29">
        <f>IF(B16="","",SUM(G16:I16))</f>
        <v/>
      </c>
      <c r="K16" s="27" t="n">
        <v>46056</v>
      </c>
      <c r="L16" s="37" t="inlineStr">
        <is>
          <t>HĐ cũ: 077/BK-2026</t>
        </is>
      </c>
    </row>
    <row r="17">
      <c r="A17" s="36" t="n">
        <v>46054</v>
      </c>
      <c r="B17" s="37" t="inlineStr">
        <is>
          <t>Lê Văn Dựng</t>
        </is>
      </c>
      <c r="C17" s="37" t="inlineStr">
        <is>
          <t>BK-HS-0035</t>
        </is>
      </c>
      <c r="D17" s="37" t="n"/>
      <c r="E17" s="37" t="inlineStr">
        <is>
          <t>Cắm mốc</t>
        </is>
      </c>
      <c r="F17" s="37" t="inlineStr">
        <is>
          <t>Phòng Đo đạc</t>
        </is>
      </c>
      <c r="G17" s="29" t="n">
        <v>1200000</v>
      </c>
      <c r="H17" s="29" t="n">
        <v>0</v>
      </c>
      <c r="I17" s="29" t="n">
        <v>0</v>
      </c>
      <c r="J17" s="29">
        <f>IF(B17="","",SUM(G17:I17))</f>
        <v/>
      </c>
      <c r="K17" s="27" t="n">
        <v>46081</v>
      </c>
      <c r="L17" s="37" t="inlineStr">
        <is>
          <t>HĐ cũ: 093/BK-2026</t>
        </is>
      </c>
    </row>
    <row r="18">
      <c r="A18" s="36" t="n">
        <v>46023</v>
      </c>
      <c r="B18" s="37" t="inlineStr">
        <is>
          <t>Lê Văn Dựng</t>
        </is>
      </c>
      <c r="C18" s="37" t="inlineStr">
        <is>
          <t>BK-HS-0132</t>
        </is>
      </c>
      <c r="D18" s="37" t="n"/>
      <c r="E18" s="37" t="inlineStr">
        <is>
          <t>Cấp đổi</t>
        </is>
      </c>
      <c r="F18" s="37" t="inlineStr">
        <is>
          <t>Phòng Đo đạc</t>
        </is>
      </c>
      <c r="G18" s="29" t="n">
        <v>1100000</v>
      </c>
      <c r="H18" s="29" t="n">
        <v>0</v>
      </c>
      <c r="I18" s="29" t="n">
        <v>0</v>
      </c>
      <c r="J18" s="29">
        <f>IF(B18="","",SUM(G18:I18))</f>
        <v/>
      </c>
      <c r="K18" s="27" t="n">
        <v>46029</v>
      </c>
      <c r="L18" s="37" t="inlineStr">
        <is>
          <t>HĐ cũ: 676/BK-2025</t>
        </is>
      </c>
    </row>
    <row r="19">
      <c r="A19" s="36" t="n">
        <v>46023</v>
      </c>
      <c r="B19" s="37" t="inlineStr">
        <is>
          <t>Lê Văn Dựng</t>
        </is>
      </c>
      <c r="C19" s="37" t="inlineStr">
        <is>
          <t>BK-HS-0127</t>
        </is>
      </c>
      <c r="D19" s="37" t="n"/>
      <c r="E19" s="37" t="inlineStr">
        <is>
          <t>Cắm mốc</t>
        </is>
      </c>
      <c r="F19" s="37" t="inlineStr">
        <is>
          <t>Phòng Đo đạc</t>
        </is>
      </c>
      <c r="G19" s="29" t="n">
        <v>1200000</v>
      </c>
      <c r="H19" s="29" t="n">
        <v>350000</v>
      </c>
      <c r="I19" s="29" t="n">
        <v>0</v>
      </c>
      <c r="J19" s="29">
        <f>IF(B19="","",SUM(G19:I19))</f>
        <v/>
      </c>
      <c r="K19" s="27" t="n">
        <v>46028</v>
      </c>
      <c r="L19" s="37" t="inlineStr">
        <is>
          <t>HĐ cũ: 002/BK-2026</t>
        </is>
      </c>
    </row>
    <row r="20">
      <c r="A20" s="36" t="n">
        <v>46023</v>
      </c>
      <c r="B20" s="37" t="inlineStr">
        <is>
          <t>Lê Văn Dựng</t>
        </is>
      </c>
      <c r="C20" s="37" t="inlineStr">
        <is>
          <t>BK-HS-0126</t>
        </is>
      </c>
      <c r="D20" s="37" t="n"/>
      <c r="E20" s="37" t="inlineStr">
        <is>
          <t>Đo GPS</t>
        </is>
      </c>
      <c r="F20" s="37" t="inlineStr">
        <is>
          <t>Phòng Đo đạc</t>
        </is>
      </c>
      <c r="G20" s="29" t="n">
        <v>1200000</v>
      </c>
      <c r="H20" s="29" t="n">
        <v>0</v>
      </c>
      <c r="I20" s="29" t="n">
        <v>0</v>
      </c>
      <c r="J20" s="29">
        <f>IF(B20="","",SUM(G20:I20))</f>
        <v/>
      </c>
      <c r="K20" s="27" t="n">
        <v>46029</v>
      </c>
      <c r="L20" s="37" t="inlineStr">
        <is>
          <t>HĐ cũ: 003/BK-2026</t>
        </is>
      </c>
    </row>
    <row r="21" ht="15.75" customHeight="1" s="56">
      <c r="A21" s="36" t="n">
        <v>46023</v>
      </c>
      <c r="B21" s="37" t="inlineStr">
        <is>
          <t>Lê Văn Dựng</t>
        </is>
      </c>
      <c r="C21" s="37" t="inlineStr">
        <is>
          <t>BK-HS-0120</t>
        </is>
      </c>
      <c r="D21" s="37" t="n"/>
      <c r="E21" s="37" t="inlineStr">
        <is>
          <t>Cắm mốc</t>
        </is>
      </c>
      <c r="F21" s="37" t="inlineStr">
        <is>
          <t>Phòng Đo đạc</t>
        </is>
      </c>
      <c r="G21" s="29" t="n">
        <v>1200000</v>
      </c>
      <c r="H21" s="29" t="n">
        <v>350000</v>
      </c>
      <c r="I21" s="29" t="n">
        <v>0</v>
      </c>
      <c r="J21" s="29">
        <f>IF(B21="","",SUM(G21:I21))</f>
        <v/>
      </c>
      <c r="K21" s="27" t="n">
        <v>46029</v>
      </c>
      <c r="L21" s="37" t="inlineStr">
        <is>
          <t>HĐ cũ: 008/BK-2026</t>
        </is>
      </c>
    </row>
    <row r="22" ht="15.75" customHeight="1" s="56">
      <c r="A22" s="36" t="n">
        <v>46023</v>
      </c>
      <c r="B22" s="37" t="inlineStr">
        <is>
          <t>Lê Văn Dựng</t>
        </is>
      </c>
      <c r="C22" s="37" t="inlineStr">
        <is>
          <t>BK-HS-0117</t>
        </is>
      </c>
      <c r="D22" s="37" t="n"/>
      <c r="E22" s="37" t="inlineStr">
        <is>
          <t>Đo GPS</t>
        </is>
      </c>
      <c r="F22" s="37" t="inlineStr">
        <is>
          <t>Phòng Đo đạc</t>
        </is>
      </c>
      <c r="G22" s="29" t="n">
        <v>1200000</v>
      </c>
      <c r="H22" s="29" t="n">
        <v>0</v>
      </c>
      <c r="I22" s="29" t="n">
        <v>0</v>
      </c>
      <c r="J22" s="29">
        <f>IF(B22="","",SUM(G22:I22))</f>
        <v/>
      </c>
      <c r="K22" s="27" t="n">
        <v>46030</v>
      </c>
      <c r="L22" s="37" t="inlineStr">
        <is>
          <t>HĐ cũ: 014/BK-2026</t>
        </is>
      </c>
    </row>
    <row r="23" ht="15.75" customHeight="1" s="56">
      <c r="A23" s="36" t="n">
        <v>46023</v>
      </c>
      <c r="B23" s="37" t="inlineStr">
        <is>
          <t>Lê Văn Dựng</t>
        </is>
      </c>
      <c r="C23" s="37" t="inlineStr">
        <is>
          <t>BK-HS-0128</t>
        </is>
      </c>
      <c r="D23" s="37" t="n"/>
      <c r="E23" s="37" t="inlineStr">
        <is>
          <t>Cấp đổi</t>
        </is>
      </c>
      <c r="F23" s="37" t="inlineStr">
        <is>
          <t>Phòng Đo đạc</t>
        </is>
      </c>
      <c r="G23" s="29" t="n">
        <v>1100000</v>
      </c>
      <c r="H23" s="29" t="n">
        <v>0</v>
      </c>
      <c r="I23" s="29" t="n">
        <v>0</v>
      </c>
      <c r="J23" s="29">
        <f>IF(B23="","",SUM(G23:I23))</f>
        <v/>
      </c>
      <c r="K23" s="27" t="n">
        <v>46030</v>
      </c>
      <c r="L23" s="37" t="inlineStr">
        <is>
          <t>HĐ cũ: 001/BK-2026</t>
        </is>
      </c>
    </row>
    <row r="24" ht="15.75" customHeight="1" s="56">
      <c r="A24" s="36" t="n">
        <v>46023</v>
      </c>
      <c r="B24" s="37" t="inlineStr">
        <is>
          <t>Lê Văn Dựng</t>
        </is>
      </c>
      <c r="C24" s="37" t="inlineStr">
        <is>
          <t>BK-HS-0116</t>
        </is>
      </c>
      <c r="D24" s="37" t="n"/>
      <c r="E24" s="37" t="inlineStr">
        <is>
          <t>Kiểm tra hiện trạng</t>
        </is>
      </c>
      <c r="F24" s="37" t="inlineStr">
        <is>
          <t>Phòng Đo đạc</t>
        </is>
      </c>
      <c r="G24" s="29" t="n">
        <v>300000</v>
      </c>
      <c r="H24" s="29" t="n">
        <v>0</v>
      </c>
      <c r="I24" s="29" t="n">
        <v>0</v>
      </c>
      <c r="J24" s="29">
        <f>IF(B24="","",SUM(G24:I24))</f>
        <v/>
      </c>
      <c r="K24" s="27" t="n">
        <v>46031</v>
      </c>
      <c r="L24" s="37" t="inlineStr">
        <is>
          <t>HĐ cũ: 015/BK-2026</t>
        </is>
      </c>
    </row>
    <row r="25" ht="15.75" customHeight="1" s="56">
      <c r="A25" s="36" t="n">
        <v>46023</v>
      </c>
      <c r="B25" s="37" t="inlineStr">
        <is>
          <t>Lê Văn Dựng</t>
        </is>
      </c>
      <c r="C25" s="37" t="inlineStr">
        <is>
          <t>BK-HS-0111</t>
        </is>
      </c>
      <c r="D25" s="37" t="n"/>
      <c r="E25" s="37" t="inlineStr">
        <is>
          <t>Cắm mốc</t>
        </is>
      </c>
      <c r="F25" s="37" t="inlineStr">
        <is>
          <t>Phòng Đo đạc</t>
        </is>
      </c>
      <c r="G25" s="29" t="n">
        <v>1200000</v>
      </c>
      <c r="H25" s="29" t="n">
        <v>300000</v>
      </c>
      <c r="I25" s="29" t="n">
        <v>0</v>
      </c>
      <c r="J25" s="29">
        <f>IF(B25="","",SUM(G25:I25))</f>
        <v/>
      </c>
      <c r="K25" s="27" t="n">
        <v>46031</v>
      </c>
      <c r="L25" s="37" t="inlineStr">
        <is>
          <t>HĐ cũ: 018/BK-2026</t>
        </is>
      </c>
    </row>
    <row r="26" ht="15.75" customHeight="1" s="56">
      <c r="A26" s="36" t="n">
        <v>46023</v>
      </c>
      <c r="B26" s="37" t="inlineStr">
        <is>
          <t>Lê Văn Dựng</t>
        </is>
      </c>
      <c r="C26" s="37" t="inlineStr">
        <is>
          <t>BK-HS-0110</t>
        </is>
      </c>
      <c r="D26" s="37" t="n"/>
      <c r="E26" s="37" t="inlineStr">
        <is>
          <t>Cắm mốc</t>
        </is>
      </c>
      <c r="F26" s="37" t="inlineStr">
        <is>
          <t>Phòng Đo đạc</t>
        </is>
      </c>
      <c r="G26" s="29" t="n">
        <v>1200000</v>
      </c>
      <c r="H26" s="29" t="n">
        <v>100000</v>
      </c>
      <c r="I26" s="29" t="n">
        <v>0</v>
      </c>
      <c r="J26" s="29">
        <f>IF(B26="","",SUM(G26:I26))</f>
        <v/>
      </c>
      <c r="K26" s="27" t="n">
        <v>46031</v>
      </c>
      <c r="L26" s="37" t="inlineStr">
        <is>
          <t>HĐ cũ: 019/BK-2026 | khách hàng yêu cầu chôn 4 trụ xi măng (hiện trạng thực tế chỉ chôn được 2 trụ sau)</t>
        </is>
      </c>
    </row>
    <row r="27" ht="15.75" customHeight="1" s="56">
      <c r="A27" s="36" t="n">
        <v>46023</v>
      </c>
      <c r="B27" s="37" t="inlineStr">
        <is>
          <t>Lê Văn Dựng</t>
        </is>
      </c>
      <c r="C27" s="37" t="inlineStr">
        <is>
          <t>BK-HS-0107</t>
        </is>
      </c>
      <c r="D27" s="37" t="n"/>
      <c r="E27" s="37" t="inlineStr">
        <is>
          <t>Cắm mốc</t>
        </is>
      </c>
      <c r="F27" s="37" t="inlineStr">
        <is>
          <t>Phòng Đo đạc</t>
        </is>
      </c>
      <c r="G27" s="29" t="n">
        <v>1200000</v>
      </c>
      <c r="H27" s="29" t="n">
        <v>400000</v>
      </c>
      <c r="I27" s="29" t="n">
        <v>0</v>
      </c>
      <c r="J27" s="29">
        <f>IF(B27="","",SUM(G27:I27))</f>
        <v/>
      </c>
      <c r="K27" s="27" t="n">
        <v>46032</v>
      </c>
      <c r="L27" s="37" t="inlineStr">
        <is>
          <t>HĐ cũ: 022/BK-2026</t>
        </is>
      </c>
    </row>
    <row r="28" ht="15.75" customHeight="1" s="56">
      <c r="A28" s="36" t="n">
        <v>46023</v>
      </c>
      <c r="B28" s="37" t="inlineStr">
        <is>
          <t>Lê Văn Dựng</t>
        </is>
      </c>
      <c r="C28" s="37" t="inlineStr">
        <is>
          <t>BK-HS-0118</t>
        </is>
      </c>
      <c r="D28" s="37" t="n"/>
      <c r="E28" s="37" t="inlineStr">
        <is>
          <t>Cấp đổi</t>
        </is>
      </c>
      <c r="F28" s="37" t="inlineStr">
        <is>
          <t>Phòng Đo đạc</t>
        </is>
      </c>
      <c r="G28" s="29" t="n">
        <v>1100000</v>
      </c>
      <c r="H28" s="29" t="n">
        <v>0</v>
      </c>
      <c r="I28" s="29" t="n">
        <v>0</v>
      </c>
      <c r="J28" s="29">
        <f>IF(B28="","",SUM(G28:I28))</f>
        <v/>
      </c>
      <c r="K28" s="27" t="n">
        <v>46034</v>
      </c>
      <c r="L28" s="37" t="inlineStr">
        <is>
          <t>HĐ cũ: 013/BK-2026</t>
        </is>
      </c>
    </row>
    <row r="29" ht="15.75" customHeight="1" s="56">
      <c r="A29" s="36" t="n">
        <v>46023</v>
      </c>
      <c r="B29" s="37" t="inlineStr">
        <is>
          <t>Lê Văn Dựng</t>
        </is>
      </c>
      <c r="C29" s="37" t="inlineStr">
        <is>
          <t>BK-HS-0105</t>
        </is>
      </c>
      <c r="D29" s="37" t="n"/>
      <c r="E29" s="37" t="inlineStr">
        <is>
          <t>Đo GPS</t>
        </is>
      </c>
      <c r="F29" s="37" t="inlineStr">
        <is>
          <t>Phòng Đo đạc</t>
        </is>
      </c>
      <c r="G29" s="29" t="n">
        <v>1200000</v>
      </c>
      <c r="H29" s="29" t="n">
        <v>0</v>
      </c>
      <c r="I29" s="29" t="n">
        <v>0</v>
      </c>
      <c r="J29" s="29">
        <f>IF(B29="","",SUM(G29:I29))</f>
        <v/>
      </c>
      <c r="K29" s="27" t="n">
        <v>46035</v>
      </c>
      <c r="L29" s="37" t="inlineStr">
        <is>
          <t>HĐ cũ: 024/BK-2026</t>
        </is>
      </c>
    </row>
    <row r="30" ht="15.75" customHeight="1" s="56">
      <c r="A30" s="36" t="n">
        <v>46023</v>
      </c>
      <c r="B30" s="37" t="inlineStr">
        <is>
          <t>Lê Văn Dựng</t>
        </is>
      </c>
      <c r="C30" s="37" t="inlineStr">
        <is>
          <t>BK-HS-0104</t>
        </is>
      </c>
      <c r="D30" s="37" t="n"/>
      <c r="E30" s="37" t="inlineStr">
        <is>
          <t>Xác định diện tích</t>
        </is>
      </c>
      <c r="F30" s="37" t="inlineStr">
        <is>
          <t>Phòng Đo đạc</t>
        </is>
      </c>
      <c r="G30" s="29" t="n">
        <v>700000</v>
      </c>
      <c r="H30" s="29" t="n">
        <v>0</v>
      </c>
      <c r="I30" s="29" t="n">
        <v>0</v>
      </c>
      <c r="J30" s="29">
        <f>IF(B30="","",SUM(G30:I30))</f>
        <v/>
      </c>
      <c r="K30" s="27" t="n">
        <v>46035</v>
      </c>
      <c r="L30" s="37" t="inlineStr">
        <is>
          <t>HĐ cũ: 025/BK-2026</t>
        </is>
      </c>
    </row>
    <row r="31" ht="15.75" customHeight="1" s="56">
      <c r="A31" s="36" t="n">
        <v>46023</v>
      </c>
      <c r="B31" s="37" t="inlineStr">
        <is>
          <t>Lê Văn Dựng</t>
        </is>
      </c>
      <c r="C31" s="37" t="inlineStr">
        <is>
          <t>BK-HS-0099</t>
        </is>
      </c>
      <c r="D31" s="37" t="n"/>
      <c r="E31" s="37" t="inlineStr">
        <is>
          <t>Cắm mốc</t>
        </is>
      </c>
      <c r="F31" s="37" t="inlineStr">
        <is>
          <t>Phòng Đo đạc</t>
        </is>
      </c>
      <c r="G31" s="29" t="n">
        <v>1200000</v>
      </c>
      <c r="H31" s="29" t="n">
        <v>300000</v>
      </c>
      <c r="I31" s="29" t="n">
        <v>0</v>
      </c>
      <c r="J31" s="29">
        <f>IF(B31="","",SUM(G31:I31))</f>
        <v/>
      </c>
      <c r="K31" s="27" t="n">
        <v>46036</v>
      </c>
      <c r="L31" s="37" t="inlineStr">
        <is>
          <t>HĐ cũ: 030/BK-2026</t>
        </is>
      </c>
    </row>
    <row r="32" ht="15.75" customHeight="1" s="56">
      <c r="A32" s="36" t="n">
        <v>46023</v>
      </c>
      <c r="B32" s="37" t="inlineStr">
        <is>
          <t>Lê Văn Dựng</t>
        </is>
      </c>
      <c r="C32" s="37" t="inlineStr">
        <is>
          <t>BK-HS-0109</t>
        </is>
      </c>
      <c r="D32" s="37" t="n"/>
      <c r="E32" s="37" t="inlineStr">
        <is>
          <t>Cấp đổi</t>
        </is>
      </c>
      <c r="F32" s="37" t="inlineStr">
        <is>
          <t>Phòng Đo đạc</t>
        </is>
      </c>
      <c r="G32" s="29" t="n">
        <v>0</v>
      </c>
      <c r="H32" s="29" t="n">
        <v>0</v>
      </c>
      <c r="I32" s="29" t="n">
        <v>0</v>
      </c>
      <c r="J32" s="29">
        <f>IF(B32="","",SUM(G32:I32))</f>
        <v/>
      </c>
      <c r="K32" s="27" t="n">
        <v>46038</v>
      </c>
      <c r="L32" s="37" t="inlineStr">
        <is>
          <t>HĐ cũ: 020/BK-2026</t>
        </is>
      </c>
    </row>
    <row r="33" ht="15.75" customHeight="1" s="56">
      <c r="A33" s="36" t="n">
        <v>46023</v>
      </c>
      <c r="B33" s="37" t="inlineStr">
        <is>
          <t>Lê Văn Dựng</t>
        </is>
      </c>
      <c r="C33" s="37" t="n"/>
      <c r="D33" s="37" t="n"/>
      <c r="E33" s="37" t="inlineStr">
        <is>
          <t>Cấp đổi</t>
        </is>
      </c>
      <c r="F33" s="37" t="inlineStr">
        <is>
          <t>Phòng Đo đạc</t>
        </is>
      </c>
      <c r="G33" s="29" t="n">
        <v>0</v>
      </c>
      <c r="H33" s="29" t="n">
        <v>0</v>
      </c>
      <c r="I33" s="29" t="n">
        <v>0</v>
      </c>
      <c r="J33" s="29">
        <f>IF(B33="","",SUM(G33:I33))</f>
        <v/>
      </c>
      <c r="K33" s="27" t="n">
        <v>46038</v>
      </c>
      <c r="L33" s="37" t="inlineStr">
        <is>
          <t>HĐ cũ: 482/BK-2025 | Thửa 28</t>
        </is>
      </c>
    </row>
    <row r="34" ht="15.75" customHeight="1" s="56">
      <c r="A34" s="36" t="n">
        <v>46023</v>
      </c>
      <c r="B34" s="37" t="inlineStr">
        <is>
          <t>Lê Văn Dựng</t>
        </is>
      </c>
      <c r="C34" s="37" t="n"/>
      <c r="D34" s="37" t="n"/>
      <c r="E34" s="37" t="inlineStr">
        <is>
          <t>Cấp đổi</t>
        </is>
      </c>
      <c r="F34" s="37" t="inlineStr">
        <is>
          <t>Phòng Đo đạc</t>
        </is>
      </c>
      <c r="G34" s="29" t="n">
        <v>0</v>
      </c>
      <c r="H34" s="29" t="n">
        <v>0</v>
      </c>
      <c r="I34" s="29" t="n">
        <v>0</v>
      </c>
      <c r="J34" s="29">
        <f>IF(B34="","",SUM(G34:I34))</f>
        <v/>
      </c>
      <c r="K34" s="27" t="n">
        <v>46038</v>
      </c>
      <c r="L34" s="37" t="inlineStr">
        <is>
          <t>HĐ cũ: 483/BK-2025 | Thửa 60</t>
        </is>
      </c>
    </row>
    <row r="35" ht="15.75" customHeight="1" s="56">
      <c r="A35" s="36" t="n">
        <v>46023</v>
      </c>
      <c r="B35" s="37" t="inlineStr">
        <is>
          <t>Lê Văn Dựng</t>
        </is>
      </c>
      <c r="C35" s="37" t="n"/>
      <c r="D35" s="37" t="n"/>
      <c r="E35" s="37" t="inlineStr">
        <is>
          <t>Cấp đổi</t>
        </is>
      </c>
      <c r="F35" s="37" t="inlineStr">
        <is>
          <t>Phòng Đo đạc</t>
        </is>
      </c>
      <c r="G35" s="29" t="n">
        <v>0</v>
      </c>
      <c r="H35" s="29" t="n">
        <v>0</v>
      </c>
      <c r="I35" s="29" t="n">
        <v>0</v>
      </c>
      <c r="J35" s="29">
        <f>IF(B35="","",SUM(G35:I35))</f>
        <v/>
      </c>
      <c r="K35" s="27" t="n">
        <v>46038</v>
      </c>
      <c r="L35" s="37" t="inlineStr">
        <is>
          <t>HĐ cũ: 484/BK-2025 | Thửa 61</t>
        </is>
      </c>
    </row>
    <row r="36" ht="15.75" customHeight="1" s="56">
      <c r="A36" s="36" t="n">
        <v>46023</v>
      </c>
      <c r="B36" s="37" t="inlineStr">
        <is>
          <t>Lê Văn Dựng</t>
        </is>
      </c>
      <c r="C36" s="37" t="n"/>
      <c r="D36" s="37" t="n"/>
      <c r="E36" s="37" t="inlineStr">
        <is>
          <t>Cấp đổi</t>
        </is>
      </c>
      <c r="F36" s="37" t="inlineStr">
        <is>
          <t>Phòng Đo đạc</t>
        </is>
      </c>
      <c r="G36" s="29" t="n">
        <v>0</v>
      </c>
      <c r="H36" s="29" t="n">
        <v>0</v>
      </c>
      <c r="I36" s="29" t="n">
        <v>0</v>
      </c>
      <c r="J36" s="29">
        <f>IF(B36="","",SUM(G36:I36))</f>
        <v/>
      </c>
      <c r="K36" s="27" t="n">
        <v>46038</v>
      </c>
      <c r="L36" s="37" t="inlineStr">
        <is>
          <t>HĐ cũ: 489/BK-2025 | Thửa 508</t>
        </is>
      </c>
    </row>
    <row r="37" ht="15.75" customHeight="1" s="56">
      <c r="A37" s="36" t="n">
        <v>46023</v>
      </c>
      <c r="B37" s="37" t="inlineStr">
        <is>
          <t>Lê Văn Dựng</t>
        </is>
      </c>
      <c r="C37" s="37" t="n"/>
      <c r="D37" s="37" t="n"/>
      <c r="E37" s="37" t="inlineStr">
        <is>
          <t>Cấp đổi</t>
        </is>
      </c>
      <c r="F37" s="37" t="inlineStr">
        <is>
          <t>Phòng Đo đạc</t>
        </is>
      </c>
      <c r="G37" s="29" t="n">
        <v>0</v>
      </c>
      <c r="H37" s="29" t="n">
        <v>0</v>
      </c>
      <c r="I37" s="29" t="n">
        <v>0</v>
      </c>
      <c r="J37" s="29">
        <f>IF(B37="","",SUM(G37:I37))</f>
        <v/>
      </c>
      <c r="K37" s="27" t="n">
        <v>46038</v>
      </c>
      <c r="L37" s="37" t="inlineStr">
        <is>
          <t>HĐ cũ: 490/BK-2025 | Thửa 526, 527</t>
        </is>
      </c>
    </row>
    <row r="38" ht="15.75" customHeight="1" s="56">
      <c r="A38" s="36" t="n">
        <v>46023</v>
      </c>
      <c r="B38" s="37" t="inlineStr">
        <is>
          <t>Lê Văn Dựng</t>
        </is>
      </c>
      <c r="C38" s="37" t="inlineStr">
        <is>
          <t>BK-HS-0093</t>
        </is>
      </c>
      <c r="D38" s="37" t="n"/>
      <c r="E38" s="37" t="inlineStr">
        <is>
          <t>Đo GPS</t>
        </is>
      </c>
      <c r="F38" s="37" t="inlineStr">
        <is>
          <t>Phòng Đo đạc</t>
        </is>
      </c>
      <c r="G38" s="29" t="n">
        <v>1200000</v>
      </c>
      <c r="H38" s="29" t="n">
        <v>0</v>
      </c>
      <c r="I38" s="29" t="n">
        <v>0</v>
      </c>
      <c r="J38" s="29">
        <f>IF(B38="","",SUM(G38:I38))</f>
        <v/>
      </c>
      <c r="K38" s="27" t="n">
        <v>46038</v>
      </c>
      <c r="L38" s="37" t="inlineStr">
        <is>
          <t>HĐ cũ: 036/BK-2026</t>
        </is>
      </c>
    </row>
    <row r="39" ht="15.75" customHeight="1" s="56">
      <c r="A39" s="36" t="n">
        <v>46023</v>
      </c>
      <c r="B39" s="37" t="inlineStr">
        <is>
          <t>Lê Văn Dựng</t>
        </is>
      </c>
      <c r="C39" s="37" t="inlineStr">
        <is>
          <t>BK-HS-0149</t>
        </is>
      </c>
      <c r="D39" s="37" t="n"/>
      <c r="E39" s="37" t="inlineStr">
        <is>
          <t>Cấp đổi</t>
        </is>
      </c>
      <c r="F39" s="37" t="inlineStr">
        <is>
          <t>Phòng Đo đạc</t>
        </is>
      </c>
      <c r="G39" s="29" t="n">
        <v>0</v>
      </c>
      <c r="H39" s="29" t="n">
        <v>0</v>
      </c>
      <c r="I39" s="29" t="n">
        <v>0</v>
      </c>
      <c r="J39" s="29">
        <f>IF(B39="","",SUM(G39:I39))</f>
        <v/>
      </c>
      <c r="K39" s="27" t="n">
        <v>46039</v>
      </c>
      <c r="L39" s="37" t="inlineStr">
        <is>
          <t>HĐ cũ: 665/BK-2025</t>
        </is>
      </c>
    </row>
    <row r="40" ht="15.75" customHeight="1" s="56">
      <c r="A40" s="36" t="n">
        <v>46023</v>
      </c>
      <c r="B40" s="37" t="inlineStr">
        <is>
          <t>Lê Văn Dựng</t>
        </is>
      </c>
      <c r="C40" s="37" t="inlineStr">
        <is>
          <t>BK-HS-0152</t>
        </is>
      </c>
      <c r="D40" s="37" t="n"/>
      <c r="E40" s="37" t="inlineStr">
        <is>
          <t>Cấp đổi</t>
        </is>
      </c>
      <c r="F40" s="37" t="inlineStr">
        <is>
          <t>Phòng Đo đạc</t>
        </is>
      </c>
      <c r="G40" s="29" t="n">
        <v>0</v>
      </c>
      <c r="H40" s="29" t="n">
        <v>0</v>
      </c>
      <c r="I40" s="29" t="n">
        <v>0</v>
      </c>
      <c r="J40" s="29">
        <f>IF(B40="","",SUM(G40:I40))</f>
        <v/>
      </c>
      <c r="K40" s="27" t="n">
        <v>46039</v>
      </c>
      <c r="L40" s="37" t="inlineStr">
        <is>
          <t>HĐ cũ: 664/BK-2025</t>
        </is>
      </c>
    </row>
    <row r="41" ht="15.75" customHeight="1" s="56">
      <c r="A41" s="36" t="n">
        <v>46023</v>
      </c>
      <c r="B41" s="37" t="inlineStr">
        <is>
          <t>Lê Văn Dựng</t>
        </is>
      </c>
      <c r="C41" s="37" t="n"/>
      <c r="D41" s="37" t="n"/>
      <c r="E41" s="37" t="inlineStr">
        <is>
          <t>Cấp đổi</t>
        </is>
      </c>
      <c r="F41" s="37" t="inlineStr">
        <is>
          <t>Phòng Đo đạc</t>
        </is>
      </c>
      <c r="G41" s="29" t="n">
        <v>0</v>
      </c>
      <c r="H41" s="29" t="n">
        <v>0</v>
      </c>
      <c r="I41" s="29" t="n">
        <v>0</v>
      </c>
      <c r="J41" s="29">
        <f>IF(B41="","",SUM(G41:I41))</f>
        <v/>
      </c>
      <c r="K41" s="27" t="n">
        <v>46039</v>
      </c>
      <c r="L41" s="37" t="inlineStr">
        <is>
          <t>HĐ cũ: 465/BK-2025</t>
        </is>
      </c>
    </row>
    <row r="42" ht="15.75" customHeight="1" s="56">
      <c r="A42" s="36" t="n">
        <v>46023</v>
      </c>
      <c r="B42" s="37" t="inlineStr">
        <is>
          <t>Lê Văn Dựng</t>
        </is>
      </c>
      <c r="C42" s="37" t="n"/>
      <c r="D42" s="37" t="n"/>
      <c r="E42" s="37" t="inlineStr">
        <is>
          <t>Cấp sổ lần đầu</t>
        </is>
      </c>
      <c r="F42" s="37" t="inlineStr">
        <is>
          <t>Phòng Đo đạc</t>
        </is>
      </c>
      <c r="G42" s="29" t="n">
        <v>0</v>
      </c>
      <c r="H42" s="29" t="n">
        <v>0</v>
      </c>
      <c r="I42" s="29" t="n">
        <v>0</v>
      </c>
      <c r="J42" s="29">
        <f>IF(B42="","",SUM(G42:I42))</f>
        <v/>
      </c>
      <c r="K42" s="27" t="n">
        <v>46039</v>
      </c>
      <c r="L42" s="37" t="inlineStr">
        <is>
          <t>HĐ cũ: 112/BK-2025 | Lấy 1 bộ hso</t>
        </is>
      </c>
    </row>
    <row r="43" ht="15.75" customHeight="1" s="56">
      <c r="A43" s="36" t="n">
        <v>46023</v>
      </c>
      <c r="B43" s="37" t="inlineStr">
        <is>
          <t>Lê Văn Dựng</t>
        </is>
      </c>
      <c r="C43" s="37" t="n"/>
      <c r="D43" s="37" t="n"/>
      <c r="E43" s="37" t="inlineStr">
        <is>
          <t>Cấp sổ lần đầu</t>
        </is>
      </c>
      <c r="F43" s="37" t="inlineStr">
        <is>
          <t>Phòng Đo đạc</t>
        </is>
      </c>
      <c r="G43" s="29" t="n">
        <v>0</v>
      </c>
      <c r="H43" s="29" t="n">
        <v>0</v>
      </c>
      <c r="I43" s="29" t="n">
        <v>0</v>
      </c>
      <c r="J43" s="29">
        <f>IF(B43="","",SUM(G43:I43))</f>
        <v/>
      </c>
      <c r="K43" s="27" t="n">
        <v>46039</v>
      </c>
      <c r="L43" s="37" t="inlineStr">
        <is>
          <t>HĐ cũ: 114/BK-2025</t>
        </is>
      </c>
    </row>
    <row r="44" ht="15.75" customHeight="1" s="56">
      <c r="A44" s="36" t="n">
        <v>46023</v>
      </c>
      <c r="B44" s="37" t="inlineStr">
        <is>
          <t>Lê Văn Dựng</t>
        </is>
      </c>
      <c r="C44" s="37" t="inlineStr">
        <is>
          <t>BK-HS-0089</t>
        </is>
      </c>
      <c r="D44" s="37" t="n"/>
      <c r="E44" s="37" t="inlineStr">
        <is>
          <t>Cắm mốc</t>
        </is>
      </c>
      <c r="F44" s="37" t="inlineStr">
        <is>
          <t>Phòng Đo đạc</t>
        </is>
      </c>
      <c r="G44" s="29" t="n">
        <v>1200000</v>
      </c>
      <c r="H44" s="29" t="n">
        <v>50000</v>
      </c>
      <c r="I44" s="29" t="n">
        <v>0</v>
      </c>
      <c r="J44" s="29">
        <f>IF(B44="","",SUM(G44:I44))</f>
        <v/>
      </c>
      <c r="K44" s="27" t="n">
        <v>46040</v>
      </c>
      <c r="L44" s="37" t="inlineStr">
        <is>
          <t>HĐ cũ: 040/BK-2026 | Cắm mốc,Chôn trụ xi măng đã chốt khách hàng 4 triệu (chưa thanh toán)</t>
        </is>
      </c>
    </row>
    <row r="45" ht="15.75" customHeight="1" s="56">
      <c r="A45" s="36" t="n">
        <v>46023</v>
      </c>
      <c r="B45" s="37" t="inlineStr">
        <is>
          <t>Lê Văn Dựng</t>
        </is>
      </c>
      <c r="C45" s="37" t="inlineStr">
        <is>
          <t>BK-HS-0092</t>
        </is>
      </c>
      <c r="D45" s="37" t="n"/>
      <c r="E45" s="37" t="inlineStr">
        <is>
          <t>Hoàn công</t>
        </is>
      </c>
      <c r="F45" s="37" t="inlineStr">
        <is>
          <t>Phòng Đo đạc</t>
        </is>
      </c>
      <c r="G45" s="29" t="n">
        <v>1100000</v>
      </c>
      <c r="H45" s="29" t="n">
        <v>0</v>
      </c>
      <c r="I45" s="29" t="n">
        <v>0</v>
      </c>
      <c r="J45" s="29">
        <f>IF(B45="","",SUM(G45:I45))</f>
        <v/>
      </c>
      <c r="K45" s="27" t="n">
        <v>46041</v>
      </c>
      <c r="L45" s="37" t="inlineStr">
        <is>
          <t>HĐ cũ: 037/BK-2026</t>
        </is>
      </c>
    </row>
    <row r="46" ht="15.75" customHeight="1" s="56">
      <c r="A46" s="36" t="n">
        <v>46023</v>
      </c>
      <c r="B46" s="37" t="inlineStr">
        <is>
          <t>Lê Văn Dựng</t>
        </is>
      </c>
      <c r="C46" s="37" t="inlineStr">
        <is>
          <t>BK-HS-0061</t>
        </is>
      </c>
      <c r="D46" s="37" t="n"/>
      <c r="E46" s="37" t="inlineStr">
        <is>
          <t>Đo GPS</t>
        </is>
      </c>
      <c r="F46" s="37" t="inlineStr">
        <is>
          <t>Phòng Đo đạc</t>
        </is>
      </c>
      <c r="G46" s="29" t="n">
        <v>1200000</v>
      </c>
      <c r="H46" s="29" t="n">
        <v>0</v>
      </c>
      <c r="I46" s="29" t="n">
        <v>0</v>
      </c>
      <c r="J46" s="29">
        <f>IF(B46="","",SUM(G46:I46))</f>
        <v/>
      </c>
      <c r="K46" s="27" t="n">
        <v>46052</v>
      </c>
      <c r="L46" s="37" t="inlineStr">
        <is>
          <t>HĐ cũ: 067/BK-2026</t>
        </is>
      </c>
    </row>
    <row r="47" ht="15.75" customHeight="1" s="56">
      <c r="A47" s="36" t="n">
        <v>46023</v>
      </c>
      <c r="B47" s="37" t="inlineStr">
        <is>
          <t>Lê Văn Dựng</t>
        </is>
      </c>
      <c r="C47" s="37" t="inlineStr">
        <is>
          <t>BK-HS-0059</t>
        </is>
      </c>
      <c r="D47" s="37" t="n"/>
      <c r="E47" s="37" t="inlineStr">
        <is>
          <t>Đo GPS</t>
        </is>
      </c>
      <c r="F47" s="37" t="inlineStr">
        <is>
          <t>Phòng Đo đạc</t>
        </is>
      </c>
      <c r="G47" s="29" t="n">
        <v>1200000</v>
      </c>
      <c r="H47" s="29" t="n">
        <v>0</v>
      </c>
      <c r="I47" s="29" t="n">
        <v>0</v>
      </c>
      <c r="J47" s="29">
        <f>IF(B47="","",SUM(G47:I47))</f>
        <v/>
      </c>
      <c r="K47" s="27" t="n">
        <v>46052</v>
      </c>
      <c r="L47" s="37" t="inlineStr">
        <is>
          <t>HĐ cũ: 069/BK-2026</t>
        </is>
      </c>
    </row>
    <row r="48" ht="15.75" customHeight="1" s="56">
      <c r="A48" s="36" t="n">
        <v>45992</v>
      </c>
      <c r="B48" s="37" t="inlineStr">
        <is>
          <t>Lê Văn Dựng</t>
        </is>
      </c>
      <c r="C48" s="37" t="inlineStr">
        <is>
          <t>BK-HS-0226</t>
        </is>
      </c>
      <c r="D48" s="37" t="n"/>
      <c r="E48" s="37" t="inlineStr">
        <is>
          <t>Cắm mốc</t>
        </is>
      </c>
      <c r="F48" s="37" t="inlineStr">
        <is>
          <t>Phòng Đo đạc</t>
        </is>
      </c>
      <c r="G48" s="29" t="n">
        <v>1200000</v>
      </c>
      <c r="H48" s="29" t="n">
        <v>375000</v>
      </c>
      <c r="I48" s="29" t="n">
        <v>0</v>
      </c>
      <c r="J48" s="29">
        <f>IF(B48="","",SUM(G48:I48))</f>
        <v/>
      </c>
      <c r="K48" s="27" t="n">
        <v>45992</v>
      </c>
      <c r="L48" s="37" t="inlineStr">
        <is>
          <t>HĐ cũ: 608-1/BK-2025</t>
        </is>
      </c>
    </row>
    <row r="49" ht="15.75" customHeight="1" s="56">
      <c r="A49" s="36" t="n">
        <v>45992</v>
      </c>
      <c r="B49" s="37" t="inlineStr">
        <is>
          <t>Lê Văn Dựng</t>
        </is>
      </c>
      <c r="C49" s="37" t="inlineStr">
        <is>
          <t>BK-HS-0225</t>
        </is>
      </c>
      <c r="D49" s="37" t="n"/>
      <c r="E49" s="37" t="inlineStr">
        <is>
          <t>Đo GPS</t>
        </is>
      </c>
      <c r="F49" s="37" t="inlineStr">
        <is>
          <t>Phòng Đo đạc</t>
        </is>
      </c>
      <c r="G49" s="29" t="n">
        <v>1200000</v>
      </c>
      <c r="H49" s="29" t="n">
        <v>0</v>
      </c>
      <c r="I49" s="29" t="n">
        <v>0</v>
      </c>
      <c r="J49" s="29">
        <f>IF(B49="","",SUM(G49:I49))</f>
        <v/>
      </c>
      <c r="K49" s="27" t="n">
        <v>45992</v>
      </c>
      <c r="L49" s="37" t="inlineStr">
        <is>
          <t>HĐ cũ: 608-2/BK-2025</t>
        </is>
      </c>
    </row>
    <row r="50" ht="15.75" customHeight="1" s="56">
      <c r="A50" s="36" t="n">
        <v>45992</v>
      </c>
      <c r="B50" s="37" t="inlineStr">
        <is>
          <t>Lê Văn Dựng</t>
        </is>
      </c>
      <c r="C50" s="37" t="inlineStr">
        <is>
          <t>BK-HS-0223</t>
        </is>
      </c>
      <c r="D50" s="37" t="n"/>
      <c r="E50" s="37" t="inlineStr">
        <is>
          <t>Cắm mốc</t>
        </is>
      </c>
      <c r="F50" s="37" t="inlineStr">
        <is>
          <t>Phòng Đo đạc</t>
        </is>
      </c>
      <c r="G50" s="29" t="n">
        <v>1200000</v>
      </c>
      <c r="H50" s="29" t="n">
        <v>100000</v>
      </c>
      <c r="I50" s="29" t="n">
        <v>0</v>
      </c>
      <c r="J50" s="29">
        <f>IF(B50="","",SUM(G50:I50))</f>
        <v/>
      </c>
      <c r="K50" s="27" t="n">
        <v>45992</v>
      </c>
      <c r="L50" s="37" t="inlineStr">
        <is>
          <t>HĐ cũ: 609-1/BK-2025</t>
        </is>
      </c>
    </row>
    <row r="51" ht="15.75" customHeight="1" s="56">
      <c r="A51" s="36" t="n">
        <v>45992</v>
      </c>
      <c r="B51" s="37" t="inlineStr">
        <is>
          <t>Lê Văn Dựng</t>
        </is>
      </c>
      <c r="C51" s="37" t="inlineStr">
        <is>
          <t>BK-HS-0222</t>
        </is>
      </c>
      <c r="D51" s="37" t="n"/>
      <c r="E51" s="37" t="inlineStr">
        <is>
          <t>Đo GPS</t>
        </is>
      </c>
      <c r="F51" s="37" t="inlineStr">
        <is>
          <t>Phòng Đo đạc</t>
        </is>
      </c>
      <c r="G51" s="29" t="n">
        <v>1200000</v>
      </c>
      <c r="H51" s="29" t="n">
        <v>0</v>
      </c>
      <c r="I51" s="29" t="n">
        <v>0</v>
      </c>
      <c r="J51" s="29">
        <f>IF(B51="","",SUM(G51:I51))</f>
        <v/>
      </c>
      <c r="K51" s="27" t="n">
        <v>45992</v>
      </c>
      <c r="L51" s="37" t="inlineStr">
        <is>
          <t>HĐ cũ: 609-2/BK-2025</t>
        </is>
      </c>
    </row>
    <row r="52" ht="15.75" customHeight="1" s="56">
      <c r="A52" s="36" t="n">
        <v>45992</v>
      </c>
      <c r="B52" s="37" t="inlineStr">
        <is>
          <t>Lê Văn Dựng</t>
        </is>
      </c>
      <c r="C52" s="37" t="inlineStr">
        <is>
          <t>BK-HS-0220</t>
        </is>
      </c>
      <c r="D52" s="37" t="n"/>
      <c r="E52" s="37" t="inlineStr">
        <is>
          <t>Cắm mốc</t>
        </is>
      </c>
      <c r="F52" s="37" t="inlineStr">
        <is>
          <t>Phòng Đo đạc</t>
        </is>
      </c>
      <c r="G52" s="29" t="n">
        <v>1200000</v>
      </c>
      <c r="H52" s="29" t="n">
        <v>1000000</v>
      </c>
      <c r="I52" s="29" t="n">
        <v>0</v>
      </c>
      <c r="J52" s="29">
        <f>IF(B52="","",SUM(G52:I52))</f>
        <v/>
      </c>
      <c r="K52" s="27" t="n">
        <v>45992</v>
      </c>
      <c r="L52" s="37" t="inlineStr">
        <is>
          <t>HĐ cũ: 610-1/BK-2025</t>
        </is>
      </c>
    </row>
    <row r="53" ht="15.75" customHeight="1" s="56">
      <c r="A53" s="36" t="n">
        <v>45992</v>
      </c>
      <c r="B53" s="37" t="inlineStr">
        <is>
          <t>Lê Văn Dựng</t>
        </is>
      </c>
      <c r="C53" s="37" t="inlineStr">
        <is>
          <t>BK-HS-0219</t>
        </is>
      </c>
      <c r="D53" s="37" t="n"/>
      <c r="E53" s="37" t="inlineStr">
        <is>
          <t>Đo GPS</t>
        </is>
      </c>
      <c r="F53" s="37" t="inlineStr">
        <is>
          <t>Phòng Đo đạc</t>
        </is>
      </c>
      <c r="G53" s="29" t="n">
        <v>1200000</v>
      </c>
      <c r="H53" s="29" t="n">
        <v>0</v>
      </c>
      <c r="I53" s="29" t="n">
        <v>0</v>
      </c>
      <c r="J53" s="29">
        <f>IF(B53="","",SUM(G53:I53))</f>
        <v/>
      </c>
      <c r="K53" s="27" t="n">
        <v>45992</v>
      </c>
      <c r="L53" s="37" t="inlineStr">
        <is>
          <t>HĐ cũ: 610-2/BK-2025</t>
        </is>
      </c>
    </row>
    <row r="54" ht="15.75" customHeight="1" s="56">
      <c r="A54" s="36" t="n">
        <v>45992</v>
      </c>
      <c r="B54" s="37" t="inlineStr">
        <is>
          <t>Lê Văn Dựng</t>
        </is>
      </c>
      <c r="C54" s="37" t="inlineStr">
        <is>
          <t>BK-HS-0218</t>
        </is>
      </c>
      <c r="D54" s="37" t="n"/>
      <c r="E54" s="37" t="inlineStr">
        <is>
          <t>Cắm mốc</t>
        </is>
      </c>
      <c r="F54" s="37" t="inlineStr">
        <is>
          <t>Phòng Đo đạc</t>
        </is>
      </c>
      <c r="G54" s="29" t="n">
        <v>1200000</v>
      </c>
      <c r="H54" s="29" t="n">
        <v>225000</v>
      </c>
      <c r="I54" s="29" t="n">
        <v>0</v>
      </c>
      <c r="J54" s="29">
        <f>IF(B54="","",SUM(G54:I54))</f>
        <v/>
      </c>
      <c r="K54" s="27" t="n">
        <v>45992</v>
      </c>
      <c r="L54" s="37" t="inlineStr">
        <is>
          <t>HĐ cũ: 611/BK-2025 | shd cũ 136/BK-2025</t>
        </is>
      </c>
    </row>
    <row r="55" ht="15.75" customHeight="1" s="56">
      <c r="A55" s="36" t="n">
        <v>45992</v>
      </c>
      <c r="B55" s="37" t="inlineStr">
        <is>
          <t>Lê Văn Dựng</t>
        </is>
      </c>
      <c r="C55" s="37" t="inlineStr">
        <is>
          <t>BK-HS-0217</t>
        </is>
      </c>
      <c r="D55" s="37" t="n"/>
      <c r="E55" s="37" t="inlineStr">
        <is>
          <t>Đo GPS</t>
        </is>
      </c>
      <c r="F55" s="37" t="inlineStr">
        <is>
          <t>Phòng Đo đạc</t>
        </is>
      </c>
      <c r="G55" s="29" t="n">
        <v>1200000</v>
      </c>
      <c r="H55" s="29" t="n">
        <v>0</v>
      </c>
      <c r="I55" s="29" t="n">
        <v>0</v>
      </c>
      <c r="J55" s="29">
        <f>IF(B55="","",SUM(G55:I55))</f>
        <v/>
      </c>
      <c r="K55" s="27" t="n">
        <v>45992</v>
      </c>
      <c r="L55" s="37" t="inlineStr">
        <is>
          <t>HĐ cũ: 612/BK-2025</t>
        </is>
      </c>
    </row>
    <row r="56" ht="15.75" customHeight="1" s="56">
      <c r="A56" s="36" t="n">
        <v>45992</v>
      </c>
      <c r="B56" s="37" t="inlineStr">
        <is>
          <t>Lê Văn Dựng</t>
        </is>
      </c>
      <c r="C56" s="37" t="inlineStr">
        <is>
          <t>BK-HS-0235</t>
        </is>
      </c>
      <c r="D56" s="37" t="n"/>
      <c r="E56" s="37" t="inlineStr">
        <is>
          <t>Cấp đổi</t>
        </is>
      </c>
      <c r="F56" s="37" t="inlineStr">
        <is>
          <t>Phòng Đo đạc</t>
        </is>
      </c>
      <c r="G56" s="29" t="n">
        <v>1100000</v>
      </c>
      <c r="H56" s="29" t="n">
        <v>0</v>
      </c>
      <c r="I56" s="29" t="n">
        <v>0</v>
      </c>
      <c r="J56" s="29">
        <f>IF(B56="","",SUM(G56:I56))</f>
        <v/>
      </c>
      <c r="K56" s="27" t="n">
        <v>45992</v>
      </c>
      <c r="L56" s="37" t="inlineStr">
        <is>
          <t>HĐ cũ: 603/BK-2025</t>
        </is>
      </c>
    </row>
    <row r="57" ht="15.75" customHeight="1" s="56">
      <c r="A57" s="36" t="n">
        <v>45992</v>
      </c>
      <c r="B57" s="37" t="inlineStr">
        <is>
          <t>Lê Văn Dựng</t>
        </is>
      </c>
      <c r="C57" s="37" t="inlineStr">
        <is>
          <t>BK-HS-0227</t>
        </is>
      </c>
      <c r="D57" s="37" t="n"/>
      <c r="E57" s="37" t="inlineStr">
        <is>
          <t>Cấp đổi</t>
        </is>
      </c>
      <c r="F57" s="37" t="inlineStr">
        <is>
          <t>Phòng Đo đạc</t>
        </is>
      </c>
      <c r="G57" s="29" t="n">
        <v>1100000</v>
      </c>
      <c r="H57" s="29" t="n">
        <v>0</v>
      </c>
      <c r="I57" s="29" t="n">
        <v>0</v>
      </c>
      <c r="J57" s="29">
        <f>IF(B57="","",SUM(G57:I57))</f>
        <v/>
      </c>
      <c r="K57" s="27" t="n">
        <v>45992</v>
      </c>
      <c r="L57" s="37" t="inlineStr">
        <is>
          <t>HĐ cũ: 608/BK-2025</t>
        </is>
      </c>
    </row>
    <row r="58" ht="15.75" customHeight="1" s="56">
      <c r="A58" s="36" t="n">
        <v>45992</v>
      </c>
      <c r="B58" s="37" t="inlineStr">
        <is>
          <t>Lê Văn Dựng</t>
        </is>
      </c>
      <c r="C58" s="37" t="inlineStr">
        <is>
          <t>BK-HS-0224</t>
        </is>
      </c>
      <c r="D58" s="37" t="n"/>
      <c r="E58" s="37" t="inlineStr">
        <is>
          <t>Cấp đổi</t>
        </is>
      </c>
      <c r="F58" s="37" t="inlineStr">
        <is>
          <t>Phòng Đo đạc</t>
        </is>
      </c>
      <c r="G58" s="29" t="n">
        <v>1100000</v>
      </c>
      <c r="H58" s="29" t="n">
        <v>0</v>
      </c>
      <c r="I58" s="29" t="n">
        <v>0</v>
      </c>
      <c r="J58" s="29">
        <f>IF(B58="","",SUM(G58:I58))</f>
        <v/>
      </c>
      <c r="K58" s="27" t="n">
        <v>45993</v>
      </c>
      <c r="L58" s="37" t="inlineStr">
        <is>
          <t>HĐ cũ: 609/BK-2025</t>
        </is>
      </c>
    </row>
    <row r="59" ht="15.75" customHeight="1" s="56">
      <c r="A59" s="36" t="n">
        <v>45992</v>
      </c>
      <c r="B59" s="37" t="inlineStr">
        <is>
          <t>Lê Văn Dựng</t>
        </is>
      </c>
      <c r="C59" s="37" t="inlineStr">
        <is>
          <t>BK-HS-0221</t>
        </is>
      </c>
      <c r="D59" s="37" t="n"/>
      <c r="E59" s="37" t="inlineStr">
        <is>
          <t>Cấp đổi</t>
        </is>
      </c>
      <c r="F59" s="37" t="inlineStr">
        <is>
          <t>Phòng Đo đạc</t>
        </is>
      </c>
      <c r="G59" s="29" t="n">
        <v>1100000</v>
      </c>
      <c r="H59" s="29" t="n">
        <v>0</v>
      </c>
      <c r="I59" s="29" t="n">
        <v>0</v>
      </c>
      <c r="J59" s="29">
        <f>IF(B59="","",SUM(G59:I59))</f>
        <v/>
      </c>
      <c r="K59" s="27" t="n">
        <v>45993</v>
      </c>
      <c r="L59" s="37" t="inlineStr">
        <is>
          <t>HĐ cũ: 610/BK-2025</t>
        </is>
      </c>
    </row>
    <row r="60" ht="15.75" customHeight="1" s="56">
      <c r="A60" s="36" t="n">
        <v>45992</v>
      </c>
      <c r="B60" s="37" t="inlineStr">
        <is>
          <t>Lê Văn Dựng</t>
        </is>
      </c>
      <c r="C60" s="37" t="inlineStr">
        <is>
          <t>BK-HS-0208</t>
        </is>
      </c>
      <c r="D60" s="37" t="n"/>
      <c r="E60" s="37" t="inlineStr">
        <is>
          <t>Điều chỉnh bản vẽ</t>
        </is>
      </c>
      <c r="F60" s="37" t="inlineStr">
        <is>
          <t>Phòng Đo đạc</t>
        </is>
      </c>
      <c r="G60" s="29" t="n">
        <v>500000</v>
      </c>
      <c r="H60" s="29" t="n">
        <v>0</v>
      </c>
      <c r="I60" s="29" t="n">
        <v>0</v>
      </c>
      <c r="J60" s="29">
        <f>IF(B60="","",SUM(G60:I60))</f>
        <v/>
      </c>
      <c r="K60" s="27" t="n">
        <v>45994</v>
      </c>
      <c r="L60" s="37" t="inlineStr">
        <is>
          <t>HĐ cũ: ĐC 116/BK-2025</t>
        </is>
      </c>
    </row>
    <row r="61" ht="15.75" customHeight="1" s="56">
      <c r="A61" s="36" t="n">
        <v>45992</v>
      </c>
      <c r="B61" s="37" t="inlineStr">
        <is>
          <t>Lê Văn Dựng</t>
        </is>
      </c>
      <c r="C61" s="37" t="inlineStr">
        <is>
          <t>BK-HS-0203</t>
        </is>
      </c>
      <c r="D61" s="37" t="n"/>
      <c r="E61" s="37" t="inlineStr">
        <is>
          <t>Cấp đổi</t>
        </is>
      </c>
      <c r="F61" s="37" t="inlineStr">
        <is>
          <t>Phòng Đo đạc</t>
        </is>
      </c>
      <c r="G61" s="29" t="n">
        <v>1100000</v>
      </c>
      <c r="H61" s="29" t="n">
        <v>0</v>
      </c>
      <c r="I61" s="29" t="n">
        <v>0</v>
      </c>
      <c r="J61" s="29">
        <f>IF(B61="","",SUM(G61:I61))</f>
        <v/>
      </c>
      <c r="K61" s="27" t="n">
        <v>45995</v>
      </c>
      <c r="L61" s="37" t="inlineStr">
        <is>
          <t>HĐ cũ: 353-1/BK-2025</t>
        </is>
      </c>
    </row>
    <row r="62" ht="15.75" customHeight="1" s="56">
      <c r="A62" s="36" t="n">
        <v>45992</v>
      </c>
      <c r="B62" s="37" t="inlineStr">
        <is>
          <t>Lê Văn Dựng</t>
        </is>
      </c>
      <c r="C62" s="37" t="inlineStr">
        <is>
          <t>BK-HS-0200</t>
        </is>
      </c>
      <c r="D62" s="37" t="n"/>
      <c r="E62" s="37" t="inlineStr">
        <is>
          <t>Chuyển mục đích</t>
        </is>
      </c>
      <c r="F62" s="37" t="inlineStr">
        <is>
          <t>Phòng Đo đạc</t>
        </is>
      </c>
      <c r="G62" s="29" t="n">
        <v>1100000</v>
      </c>
      <c r="H62" s="29" t="n">
        <v>0</v>
      </c>
      <c r="I62" s="29" t="n">
        <v>0</v>
      </c>
      <c r="J62" s="29">
        <f>IF(B62="","",SUM(G62:I62))</f>
        <v/>
      </c>
      <c r="K62" s="27" t="n">
        <v>45996</v>
      </c>
      <c r="L62" s="37" t="inlineStr">
        <is>
          <t>HĐ cũ: 628/BK-2025</t>
        </is>
      </c>
    </row>
    <row r="63" ht="15.75" customHeight="1" s="56">
      <c r="A63" s="36" t="n">
        <v>45992</v>
      </c>
      <c r="B63" s="37" t="inlineStr">
        <is>
          <t>Lê Văn Dựng</t>
        </is>
      </c>
      <c r="C63" s="37" t="inlineStr">
        <is>
          <t>BK-HS-0199</t>
        </is>
      </c>
      <c r="D63" s="37" t="n"/>
      <c r="E63" s="37" t="inlineStr">
        <is>
          <t>Chuyển mục đích</t>
        </is>
      </c>
      <c r="F63" s="37" t="inlineStr">
        <is>
          <t>Phòng Đo đạc</t>
        </is>
      </c>
      <c r="G63" s="29" t="n">
        <v>1100000</v>
      </c>
      <c r="H63" s="29" t="n">
        <v>0</v>
      </c>
      <c r="I63" s="29" t="n">
        <v>0</v>
      </c>
      <c r="J63" s="29">
        <f>IF(B63="","",SUM(G63:I63))</f>
        <v/>
      </c>
      <c r="K63" s="27" t="n">
        <v>45996</v>
      </c>
      <c r="L63" s="37" t="inlineStr">
        <is>
          <t>HĐ cũ: 629/BK-2025</t>
        </is>
      </c>
    </row>
    <row r="64" ht="15.75" customHeight="1" s="56">
      <c r="A64" s="36" t="n">
        <v>45992</v>
      </c>
      <c r="B64" s="37" t="inlineStr">
        <is>
          <t>Lê Văn Dựng</t>
        </is>
      </c>
      <c r="C64" s="37" t="inlineStr">
        <is>
          <t>BK-HS-0194</t>
        </is>
      </c>
      <c r="D64" s="37" t="n"/>
      <c r="E64" s="37" t="inlineStr">
        <is>
          <t>Cắm mốc</t>
        </is>
      </c>
      <c r="F64" s="37" t="inlineStr">
        <is>
          <t>Phòng Đo đạc</t>
        </is>
      </c>
      <c r="G64" s="29" t="n">
        <v>1200000</v>
      </c>
      <c r="H64" s="29" t="n">
        <v>250000</v>
      </c>
      <c r="I64" s="29" t="n">
        <v>0</v>
      </c>
      <c r="J64" s="29">
        <f>IF(B64="","",SUM(G64:I64))</f>
        <v/>
      </c>
      <c r="K64" s="27" t="n">
        <v>46000</v>
      </c>
      <c r="L64" s="37" t="inlineStr">
        <is>
          <t>HĐ cũ: 633-1/BK-2025</t>
        </is>
      </c>
    </row>
    <row r="65" ht="15.75" customHeight="1" s="56">
      <c r="A65" s="36" t="n">
        <v>45992</v>
      </c>
      <c r="B65" s="37" t="inlineStr">
        <is>
          <t>Lê Văn Dựng</t>
        </is>
      </c>
      <c r="C65" s="37" t="inlineStr">
        <is>
          <t>BK-HS-0193</t>
        </is>
      </c>
      <c r="D65" s="37" t="n"/>
      <c r="E65" s="37" t="inlineStr">
        <is>
          <t>Đo GPS</t>
        </is>
      </c>
      <c r="F65" s="37" t="inlineStr">
        <is>
          <t>Phòng Đo đạc</t>
        </is>
      </c>
      <c r="G65" s="29" t="n">
        <v>1200000</v>
      </c>
      <c r="H65" s="29" t="n">
        <v>0</v>
      </c>
      <c r="I65" s="29" t="n">
        <v>0</v>
      </c>
      <c r="J65" s="29">
        <f>IF(B65="","",SUM(G65:I65))</f>
        <v/>
      </c>
      <c r="K65" s="27" t="n">
        <v>46000</v>
      </c>
      <c r="L65" s="37" t="inlineStr">
        <is>
          <t>HĐ cũ: 633-2/BK-2025</t>
        </is>
      </c>
    </row>
    <row r="66" ht="15.75" customHeight="1" s="56">
      <c r="A66" s="36" t="n">
        <v>45992</v>
      </c>
      <c r="B66" s="37" t="inlineStr">
        <is>
          <t>Lê Văn Dựng</t>
        </is>
      </c>
      <c r="C66" s="37" t="inlineStr">
        <is>
          <t>BK-HS-0192</t>
        </is>
      </c>
      <c r="D66" s="37" t="n"/>
      <c r="E66" s="37" t="inlineStr">
        <is>
          <t>Cắm mốc</t>
        </is>
      </c>
      <c r="F66" s="37" t="inlineStr">
        <is>
          <t>Phòng Đo đạc</t>
        </is>
      </c>
      <c r="G66" s="29" t="n">
        <v>1200000</v>
      </c>
      <c r="H66" s="29" t="n">
        <v>250000</v>
      </c>
      <c r="I66" s="29" t="n">
        <v>0</v>
      </c>
      <c r="J66" s="29">
        <f>IF(B66="","",SUM(G66:I66))</f>
        <v/>
      </c>
      <c r="K66" s="27" t="n">
        <v>46000</v>
      </c>
      <c r="L66" s="37" t="inlineStr">
        <is>
          <t>HĐ cũ: 16-1/BK-2025</t>
        </is>
      </c>
    </row>
    <row r="67" ht="15.75" customHeight="1" s="56">
      <c r="A67" s="36" t="n">
        <v>45992</v>
      </c>
      <c r="B67" s="37" t="inlineStr">
        <is>
          <t>Lê Văn Dựng</t>
        </is>
      </c>
      <c r="C67" s="37" t="inlineStr">
        <is>
          <t>BK-HS-0195</t>
        </is>
      </c>
      <c r="D67" s="37" t="n"/>
      <c r="E67" s="37" t="inlineStr">
        <is>
          <t>Cấp đổi</t>
        </is>
      </c>
      <c r="F67" s="37" t="inlineStr">
        <is>
          <t>Phòng Đo đạc</t>
        </is>
      </c>
      <c r="G67" s="29" t="n">
        <v>1100000</v>
      </c>
      <c r="H67" s="29" t="n">
        <v>0</v>
      </c>
      <c r="I67" s="29" t="n">
        <v>0</v>
      </c>
      <c r="J67" s="29">
        <f>IF(B67="","",SUM(G67:I67))</f>
        <v/>
      </c>
      <c r="K67" s="27" t="n">
        <v>46001</v>
      </c>
      <c r="L67" s="37" t="inlineStr">
        <is>
          <t>HĐ cũ: 633/BK-2025</t>
        </is>
      </c>
    </row>
    <row r="68" ht="15.75" customHeight="1" s="56">
      <c r="A68" s="36" t="n">
        <v>45992</v>
      </c>
      <c r="B68" s="37" t="inlineStr">
        <is>
          <t>Lê Văn Dựng</t>
        </is>
      </c>
      <c r="C68" s="37" t="inlineStr">
        <is>
          <t>BK-HS-0176</t>
        </is>
      </c>
      <c r="D68" s="37" t="n"/>
      <c r="E68" s="37" t="inlineStr">
        <is>
          <t>Cắm mốc</t>
        </is>
      </c>
      <c r="F68" s="37" t="inlineStr">
        <is>
          <t>Phòng Đo đạc</t>
        </is>
      </c>
      <c r="G68" s="29" t="n">
        <v>1200000</v>
      </c>
      <c r="H68" s="29" t="n">
        <v>100000</v>
      </c>
      <c r="I68" s="29" t="n">
        <v>0</v>
      </c>
      <c r="J68" s="29">
        <f>IF(B68="","",SUM(G68:I68))</f>
        <v/>
      </c>
      <c r="K68" s="27" t="n">
        <v>46002</v>
      </c>
      <c r="L68" s="37" t="inlineStr">
        <is>
          <t>HĐ cũ: 647/BK-2025</t>
        </is>
      </c>
    </row>
    <row r="69" ht="15.75" customHeight="1" s="56">
      <c r="A69" s="36" t="n">
        <v>45992</v>
      </c>
      <c r="B69" s="37" t="inlineStr">
        <is>
          <t>Lê Văn Dựng</t>
        </is>
      </c>
      <c r="C69" s="37" t="inlineStr">
        <is>
          <t>BK-HS-0175</t>
        </is>
      </c>
      <c r="D69" s="37" t="n"/>
      <c r="E69" s="37" t="inlineStr">
        <is>
          <t>Cấp đổi</t>
        </is>
      </c>
      <c r="F69" s="37" t="inlineStr">
        <is>
          <t>Phòng Đo đạc</t>
        </is>
      </c>
      <c r="G69" s="29" t="n">
        <v>1100000</v>
      </c>
      <c r="H69" s="29" t="n">
        <v>0</v>
      </c>
      <c r="I69" s="29" t="n">
        <v>0</v>
      </c>
      <c r="J69" s="29">
        <f>IF(B69="","",SUM(G69:I69))</f>
        <v/>
      </c>
      <c r="K69" s="27" t="n">
        <v>46003</v>
      </c>
      <c r="L69" s="37" t="inlineStr">
        <is>
          <t>HĐ cũ: 648/BK-2025</t>
        </is>
      </c>
    </row>
    <row r="70" ht="15.75" customHeight="1" s="56">
      <c r="A70" s="36" t="n">
        <v>45992</v>
      </c>
      <c r="B70" s="37" t="inlineStr">
        <is>
          <t>Lê Văn Dựng</t>
        </is>
      </c>
      <c r="C70" s="37" t="inlineStr">
        <is>
          <t>BK-HS-0174</t>
        </is>
      </c>
      <c r="D70" s="37" t="n"/>
      <c r="E70" s="37" t="inlineStr">
        <is>
          <t>Chuyển mục đích</t>
        </is>
      </c>
      <c r="F70" s="37" t="inlineStr">
        <is>
          <t>Phòng Đo đạc</t>
        </is>
      </c>
      <c r="G70" s="29" t="n">
        <v>1100000</v>
      </c>
      <c r="H70" s="29" t="n">
        <v>0</v>
      </c>
      <c r="I70" s="29" t="n">
        <v>0</v>
      </c>
      <c r="J70" s="29">
        <f>IF(B70="","",SUM(G70:I70))</f>
        <v/>
      </c>
      <c r="K70" s="27" t="n">
        <v>46004</v>
      </c>
      <c r="L70" s="37" t="inlineStr">
        <is>
          <t>HĐ cũ: 649/BK-2025</t>
        </is>
      </c>
    </row>
    <row r="71" ht="15.75" customHeight="1" s="56">
      <c r="A71" s="36" t="n">
        <v>45992</v>
      </c>
      <c r="B71" s="37" t="inlineStr">
        <is>
          <t>Lê Văn Dựng</t>
        </is>
      </c>
      <c r="C71" s="37" t="inlineStr">
        <is>
          <t>BK-HS-0207</t>
        </is>
      </c>
      <c r="D71" s="37" t="n"/>
      <c r="E71" s="37" t="inlineStr">
        <is>
          <t>Hoàn công</t>
        </is>
      </c>
      <c r="F71" s="37" t="inlineStr">
        <is>
          <t>Phòng Đo đạc</t>
        </is>
      </c>
      <c r="G71" s="29" t="n">
        <v>1100000</v>
      </c>
      <c r="H71" s="29" t="n">
        <v>0</v>
      </c>
      <c r="I71" s="29" t="n">
        <v>0</v>
      </c>
      <c r="J71" s="29">
        <f>IF(B71="","",SUM(G71:I71))</f>
        <v/>
      </c>
      <c r="K71" s="27" t="n">
        <v>46009</v>
      </c>
      <c r="L71" s="37" t="inlineStr">
        <is>
          <t>HĐ cũ: 622/BK-2025</t>
        </is>
      </c>
    </row>
    <row r="72" ht="15.75" customHeight="1" s="56">
      <c r="A72" s="36" t="n">
        <v>45992</v>
      </c>
      <c r="B72" s="37" t="inlineStr">
        <is>
          <t>Lê Văn Dựng</t>
        </is>
      </c>
      <c r="C72" s="37" t="inlineStr">
        <is>
          <t>BK-HS-0166</t>
        </is>
      </c>
      <c r="D72" s="37" t="n"/>
      <c r="E72" s="37" t="inlineStr">
        <is>
          <t>Hoàn công</t>
        </is>
      </c>
      <c r="F72" s="37" t="inlineStr">
        <is>
          <t>Phòng Đo đạc</t>
        </is>
      </c>
      <c r="G72" s="29" t="n">
        <v>1100000</v>
      </c>
      <c r="H72" s="29" t="n">
        <v>0</v>
      </c>
      <c r="I72" s="29" t="n">
        <v>0</v>
      </c>
      <c r="J72" s="29">
        <f>IF(B72="","",SUM(G72:I72))</f>
        <v/>
      </c>
      <c r="K72" s="27" t="n">
        <v>46011</v>
      </c>
      <c r="L72" s="37" t="inlineStr">
        <is>
          <t>HĐ cũ: 655/BK-2025</t>
        </is>
      </c>
    </row>
    <row r="73" ht="15.75" customHeight="1" s="56">
      <c r="A73" s="36" t="n">
        <v>45992</v>
      </c>
      <c r="B73" s="37" t="inlineStr">
        <is>
          <t>Lê Văn Dựng</t>
        </is>
      </c>
      <c r="C73" s="37" t="inlineStr">
        <is>
          <t>BK-HS-0159</t>
        </is>
      </c>
      <c r="D73" s="37" t="n"/>
      <c r="E73" s="37" t="inlineStr">
        <is>
          <t>Cắm mốc</t>
        </is>
      </c>
      <c r="F73" s="37" t="inlineStr">
        <is>
          <t>Phòng Đo đạc</t>
        </is>
      </c>
      <c r="G73" s="29" t="n">
        <v>1200000</v>
      </c>
      <c r="H73" s="29" t="n">
        <v>100000</v>
      </c>
      <c r="I73" s="29" t="n">
        <v>0</v>
      </c>
      <c r="J73" s="29">
        <f>IF(B73="","",SUM(G73:I73))</f>
        <v/>
      </c>
      <c r="K73" s="27" t="n">
        <v>46009</v>
      </c>
      <c r="L73" s="37" t="inlineStr">
        <is>
          <t>HĐ cũ: 651-1/BK-2025</t>
        </is>
      </c>
    </row>
    <row r="74" ht="15.75" customHeight="1" s="56">
      <c r="A74" s="36" t="n">
        <v>45992</v>
      </c>
      <c r="B74" s="37" t="inlineStr">
        <is>
          <t>Lê Văn Dựng</t>
        </is>
      </c>
      <c r="C74" s="37" t="inlineStr">
        <is>
          <t>BK-HS-0172</t>
        </is>
      </c>
      <c r="D74" s="37" t="n"/>
      <c r="E74" s="37" t="inlineStr">
        <is>
          <t>Cấp đổi</t>
        </is>
      </c>
      <c r="F74" s="37" t="inlineStr">
        <is>
          <t>Phòng Đo đạc</t>
        </is>
      </c>
      <c r="G74" s="29" t="n">
        <v>1100000</v>
      </c>
      <c r="H74" s="29" t="n">
        <v>0</v>
      </c>
      <c r="I74" s="29" t="n">
        <v>0</v>
      </c>
      <c r="J74" s="29">
        <f>IF(B74="","",SUM(G74:I74))</f>
        <v/>
      </c>
      <c r="K74" s="27" t="n">
        <v>46013</v>
      </c>
      <c r="L74" s="37" t="inlineStr">
        <is>
          <t>HĐ cũ: 651/BK-2025</t>
        </is>
      </c>
    </row>
    <row r="75" ht="15.75" customHeight="1" s="56">
      <c r="A75" s="36" t="n">
        <v>45992</v>
      </c>
      <c r="B75" s="37" t="inlineStr">
        <is>
          <t>Lê Văn Dựng</t>
        </is>
      </c>
      <c r="C75" s="37" t="inlineStr">
        <is>
          <t>BK-HS-0154</t>
        </is>
      </c>
      <c r="D75" s="37" t="n"/>
      <c r="E75" s="37" t="inlineStr">
        <is>
          <t>Cắm mốc</t>
        </is>
      </c>
      <c r="F75" s="37" t="inlineStr">
        <is>
          <t>Phòng Đo đạc</t>
        </is>
      </c>
      <c r="G75" s="29" t="n">
        <v>1200000</v>
      </c>
      <c r="H75" s="29" t="n">
        <v>175000</v>
      </c>
      <c r="I75" s="29" t="n">
        <v>300000</v>
      </c>
      <c r="J75" s="29">
        <f>IF(B75="","",SUM(G75:I75))</f>
        <v/>
      </c>
      <c r="K75" s="27" t="n">
        <v>46014</v>
      </c>
      <c r="L75" s="37" t="inlineStr">
        <is>
          <t>HĐ cũ: 662/BK-2025 | Quận 7</t>
        </is>
      </c>
    </row>
    <row r="76" ht="15.75" customHeight="1" s="56">
      <c r="A76" s="36" t="n">
        <v>45992</v>
      </c>
      <c r="B76" s="37" t="inlineStr">
        <is>
          <t>Lê Văn Dựng</t>
        </is>
      </c>
      <c r="C76" s="37" t="inlineStr">
        <is>
          <t>BK-HS-0150</t>
        </is>
      </c>
      <c r="D76" s="37" t="n"/>
      <c r="E76" s="37" t="inlineStr">
        <is>
          <t>Đo GPS</t>
        </is>
      </c>
      <c r="F76" s="37" t="inlineStr">
        <is>
          <t>Phòng Đo đạc</t>
        </is>
      </c>
      <c r="G76" s="29" t="n">
        <v>1200000</v>
      </c>
      <c r="H76" s="29" t="n">
        <v>0</v>
      </c>
      <c r="I76" s="29" t="n">
        <v>0</v>
      </c>
      <c r="J76" s="29">
        <f>IF(B76="","",SUM(G76:I76))</f>
        <v/>
      </c>
      <c r="K76" s="27" t="n">
        <v>46011</v>
      </c>
      <c r="L76" s="37" t="inlineStr">
        <is>
          <t>HĐ cũ: 658-1/BK-2025</t>
        </is>
      </c>
    </row>
    <row r="77" ht="15.75" customHeight="1" s="56">
      <c r="A77" s="36" t="n">
        <v>45992</v>
      </c>
      <c r="B77" s="37" t="inlineStr">
        <is>
          <t>Lê Văn Dựng</t>
        </is>
      </c>
      <c r="C77" s="37" t="inlineStr">
        <is>
          <t>BK-HS-0153</t>
        </is>
      </c>
      <c r="D77" s="37" t="n"/>
      <c r="E77" s="37" t="inlineStr">
        <is>
          <t>Xác định diện tích</t>
        </is>
      </c>
      <c r="F77" s="37" t="inlineStr">
        <is>
          <t>Phòng Đo đạc</t>
        </is>
      </c>
      <c r="G77" s="29" t="n">
        <v>700000</v>
      </c>
      <c r="H77" s="29" t="n">
        <v>0</v>
      </c>
      <c r="I77" s="29" t="n">
        <v>0</v>
      </c>
      <c r="J77" s="29">
        <f>IF(B77="","",SUM(G77:I77))</f>
        <v/>
      </c>
      <c r="K77" s="27" t="n">
        <v>46016</v>
      </c>
      <c r="L77" s="37" t="inlineStr">
        <is>
          <t>HĐ cũ: 663/BK-2025</t>
        </is>
      </c>
    </row>
    <row r="78" ht="15.75" customHeight="1" s="56">
      <c r="A78" s="36" t="n">
        <v>45992</v>
      </c>
      <c r="B78" s="37" t="inlineStr">
        <is>
          <t>Lê Văn Dựng</t>
        </is>
      </c>
      <c r="C78" s="37" t="inlineStr">
        <is>
          <t>BK-HS-0206</t>
        </is>
      </c>
      <c r="D78" s="37" t="n"/>
      <c r="E78" s="37" t="inlineStr">
        <is>
          <t>Hoàn công</t>
        </is>
      </c>
      <c r="F78" s="37" t="inlineStr">
        <is>
          <t>Phòng Đo đạc</t>
        </is>
      </c>
      <c r="G78" s="29" t="n">
        <v>1100000</v>
      </c>
      <c r="H78" s="29" t="n">
        <v>0</v>
      </c>
      <c r="I78" s="29" t="n">
        <v>0</v>
      </c>
      <c r="J78" s="29">
        <f>IF(B78="","",SUM(G78:I78))</f>
        <v/>
      </c>
      <c r="K78" s="27" t="n">
        <v>46016</v>
      </c>
      <c r="L78" s="37" t="inlineStr">
        <is>
          <t>HĐ cũ: 623/BK-2025</t>
        </is>
      </c>
    </row>
    <row r="79" ht="15.75" customHeight="1" s="56">
      <c r="A79" s="36" t="n">
        <v>45992</v>
      </c>
      <c r="B79" s="37" t="inlineStr">
        <is>
          <t>Lê Văn Dựng</t>
        </is>
      </c>
      <c r="C79" s="37" t="inlineStr">
        <is>
          <t>BK-HS-0148</t>
        </is>
      </c>
      <c r="D79" s="37" t="n"/>
      <c r="E79" s="37" t="inlineStr">
        <is>
          <t>Đo GPS</t>
        </is>
      </c>
      <c r="F79" s="37" t="inlineStr">
        <is>
          <t>Phòng Đo đạc</t>
        </is>
      </c>
      <c r="G79" s="29" t="n">
        <v>1200000</v>
      </c>
      <c r="H79" s="29" t="n">
        <v>0</v>
      </c>
      <c r="I79" s="29" t="n">
        <v>0</v>
      </c>
      <c r="J79" s="29">
        <f>IF(B79="","",SUM(G79:I79))</f>
        <v/>
      </c>
      <c r="K79" s="27" t="n">
        <v>46016</v>
      </c>
      <c r="L79" s="37" t="inlineStr">
        <is>
          <t>HĐ cũ: 665-1/BK-2025</t>
        </is>
      </c>
    </row>
    <row r="80" ht="15.75" customHeight="1" s="56">
      <c r="A80" s="36" t="n">
        <v>45992</v>
      </c>
      <c r="B80" s="37" t="inlineStr">
        <is>
          <t>Lê Văn Dựng</t>
        </is>
      </c>
      <c r="C80" s="37" t="inlineStr">
        <is>
          <t>BK-HS-0147</t>
        </is>
      </c>
      <c r="D80" s="37" t="n"/>
      <c r="E80" s="37" t="inlineStr">
        <is>
          <t>Cắm mốc</t>
        </is>
      </c>
      <c r="F80" s="37" t="inlineStr">
        <is>
          <t>Phòng Đo đạc</t>
        </is>
      </c>
      <c r="G80" s="29" t="n">
        <v>1200000</v>
      </c>
      <c r="H80" s="29" t="n">
        <v>200000</v>
      </c>
      <c r="I80" s="29" t="n">
        <v>300000</v>
      </c>
      <c r="J80" s="29">
        <f>IF(B80="","",SUM(G80:I80))</f>
        <v/>
      </c>
      <c r="K80" s="27" t="n">
        <v>46016</v>
      </c>
      <c r="L80" s="37" t="inlineStr">
        <is>
          <t>HĐ cũ: 665-2/BK-2025</t>
        </is>
      </c>
    </row>
    <row r="81" ht="15.75" customHeight="1" s="56">
      <c r="A81" s="36" t="n">
        <v>45992</v>
      </c>
      <c r="B81" s="37" t="inlineStr">
        <is>
          <t>Lê Văn Dựng</t>
        </is>
      </c>
      <c r="C81" s="37" t="inlineStr">
        <is>
          <t>BK-HS-0137</t>
        </is>
      </c>
      <c r="D81" s="37" t="n"/>
      <c r="E81" s="37" t="inlineStr">
        <is>
          <t>Hoàn công</t>
        </is>
      </c>
      <c r="F81" s="37" t="inlineStr">
        <is>
          <t>Phòng Đo đạc</t>
        </is>
      </c>
      <c r="G81" s="29" t="n">
        <v>1100000</v>
      </c>
      <c r="H81" s="29" t="n">
        <v>0</v>
      </c>
      <c r="I81" s="29" t="n">
        <v>0</v>
      </c>
      <c r="J81" s="29">
        <f>IF(B81="","",SUM(G81:I81))</f>
        <v/>
      </c>
      <c r="K81" s="27" t="n">
        <v>46021</v>
      </c>
      <c r="L81" s="37" t="inlineStr">
        <is>
          <t>HĐ cũ: 673/BK-2025</t>
        </is>
      </c>
    </row>
    <row r="82" ht="15.75" customHeight="1" s="56">
      <c r="A82" s="36" t="n">
        <v>45992</v>
      </c>
      <c r="B82" s="37" t="inlineStr">
        <is>
          <t>Lê Văn Dựng</t>
        </is>
      </c>
      <c r="C82" s="37" t="inlineStr">
        <is>
          <t>BK-HS-0136</t>
        </is>
      </c>
      <c r="D82" s="37" t="n"/>
      <c r="E82" s="37" t="inlineStr">
        <is>
          <t>Đo GPS</t>
        </is>
      </c>
      <c r="F82" s="37" t="inlineStr">
        <is>
          <t>Phòng Đo đạc</t>
        </is>
      </c>
      <c r="G82" s="29" t="n">
        <v>1200000</v>
      </c>
      <c r="H82" s="29" t="n">
        <v>0</v>
      </c>
      <c r="I82" s="29" t="n">
        <v>0</v>
      </c>
      <c r="J82" s="29">
        <f>IF(B82="","",SUM(G82:I82))</f>
        <v/>
      </c>
      <c r="K82" s="27" t="n">
        <v>46020</v>
      </c>
      <c r="L82" s="37" t="inlineStr">
        <is>
          <t>HĐ cũ: 659-1/BK-2025</t>
        </is>
      </c>
    </row>
    <row r="83" ht="15.75" customHeight="1" s="56">
      <c r="A83" s="36" t="n">
        <v>45992</v>
      </c>
      <c r="B83" s="37" t="inlineStr">
        <is>
          <t>Lê Văn Dựng</t>
        </is>
      </c>
      <c r="C83" s="37" t="inlineStr">
        <is>
          <t>BK-HS-0133</t>
        </is>
      </c>
      <c r="D83" s="37" t="n"/>
      <c r="E83" s="37" t="inlineStr">
        <is>
          <t>Cắm mốc</t>
        </is>
      </c>
      <c r="F83" s="37" t="inlineStr">
        <is>
          <t>Phòng Đo đạc</t>
        </is>
      </c>
      <c r="G83" s="29" t="n">
        <v>1200000</v>
      </c>
      <c r="H83" s="29" t="n">
        <v>100000</v>
      </c>
      <c r="I83" s="29" t="n">
        <v>0</v>
      </c>
      <c r="J83" s="29">
        <f>IF(B83="","",SUM(G83:I83))</f>
        <v/>
      </c>
      <c r="K83" s="27" t="n">
        <v>46021</v>
      </c>
      <c r="L83" s="37" t="inlineStr">
        <is>
          <t>HĐ cũ: 675/BK-2025</t>
        </is>
      </c>
    </row>
    <row r="84" ht="15.75" customHeight="1" s="56">
      <c r="A84" s="36" t="n">
        <v>45992</v>
      </c>
      <c r="B84" s="37" t="inlineStr">
        <is>
          <t>Lê Văn Dựng</t>
        </is>
      </c>
      <c r="C84" s="37" t="inlineStr">
        <is>
          <t>BK-HS-0145</t>
        </is>
      </c>
      <c r="D84" s="37" t="n"/>
      <c r="E84" s="37" t="inlineStr">
        <is>
          <t>Cắm mốc</t>
        </is>
      </c>
      <c r="F84" s="37" t="inlineStr">
        <is>
          <t>Phòng Đo đạc</t>
        </is>
      </c>
      <c r="G84" s="29" t="n">
        <v>300000</v>
      </c>
      <c r="H84" s="29" t="n">
        <v>200000</v>
      </c>
      <c r="I84" s="29" t="n">
        <v>0</v>
      </c>
      <c r="J84" s="29">
        <f>IF(B84="","",SUM(G84:I84))</f>
        <v/>
      </c>
      <c r="K84" s="27" t="n">
        <v>46017</v>
      </c>
      <c r="L84" s="37" t="inlineStr">
        <is>
          <t>HĐ cũ: 652-5/BK-2025</t>
        </is>
      </c>
    </row>
    <row r="85" ht="15.75" customHeight="1" s="56">
      <c r="A85" s="36" t="n">
        <v>45962</v>
      </c>
      <c r="B85" s="37" t="inlineStr">
        <is>
          <t>Lê Văn Dựng</t>
        </is>
      </c>
      <c r="C85" s="37" t="inlineStr">
        <is>
          <t>BK-HS-0288</t>
        </is>
      </c>
      <c r="D85" s="37" t="n"/>
      <c r="E85" s="37" t="inlineStr">
        <is>
          <t>Cắm mốc</t>
        </is>
      </c>
      <c r="F85" s="37" t="inlineStr">
        <is>
          <t>Phòng Đo đạc</t>
        </is>
      </c>
      <c r="G85" s="29" t="n">
        <v>1200000</v>
      </c>
      <c r="H85" s="29" t="n">
        <v>150000</v>
      </c>
      <c r="I85" s="29" t="n">
        <v>0</v>
      </c>
      <c r="J85" s="29">
        <f>IF(B85="","",SUM(G85:I85))</f>
        <v/>
      </c>
      <c r="K85" s="27" t="n">
        <v>45965</v>
      </c>
      <c r="L85" s="37" t="inlineStr">
        <is>
          <t>HĐ cũ: 561/BK-2025 | Địa chỉ: Quận Q7</t>
        </is>
      </c>
    </row>
    <row r="86" ht="15.75" customHeight="1" s="56">
      <c r="A86" s="36" t="n">
        <v>45962</v>
      </c>
      <c r="B86" s="37" t="inlineStr">
        <is>
          <t>Lê Văn Dựng</t>
        </is>
      </c>
      <c r="C86" s="37" t="n"/>
      <c r="D86" s="37" t="n"/>
      <c r="E86" s="37" t="inlineStr">
        <is>
          <t>Cấp đổi</t>
        </is>
      </c>
      <c r="F86" s="37" t="inlineStr">
        <is>
          <t>Phòng Đo đạc</t>
        </is>
      </c>
      <c r="G86" s="29" t="n">
        <v>1100000</v>
      </c>
      <c r="H86" s="29" t="n">
        <v>0</v>
      </c>
      <c r="I86" s="29" t="n">
        <v>0</v>
      </c>
      <c r="J86" s="29">
        <f>IF(B86="","",SUM(G86:I86))</f>
        <v/>
      </c>
      <c r="K86" s="27" t="n">
        <v>45971</v>
      </c>
      <c r="L86" s="37" t="inlineStr">
        <is>
          <t>HĐ cũ: 285/BK-2025</t>
        </is>
      </c>
    </row>
    <row r="87" ht="15.75" customHeight="1" s="56">
      <c r="A87" s="36" t="n">
        <v>45962</v>
      </c>
      <c r="B87" s="37" t="inlineStr">
        <is>
          <t>Lê Văn Dựng</t>
        </is>
      </c>
      <c r="C87" s="37" t="inlineStr">
        <is>
          <t>BK-HS-0279</t>
        </is>
      </c>
      <c r="D87" s="37" t="n"/>
      <c r="E87" s="37" t="inlineStr">
        <is>
          <t>Đo GPS</t>
        </is>
      </c>
      <c r="F87" s="37" t="inlineStr">
        <is>
          <t>Phòng Đo đạc</t>
        </is>
      </c>
      <c r="G87" s="29" t="n">
        <v>1200000</v>
      </c>
      <c r="H87" s="29" t="n">
        <v>0</v>
      </c>
      <c r="I87" s="29" t="n">
        <v>0</v>
      </c>
      <c r="J87" s="29">
        <f>IF(B87="","",SUM(G87:I87))</f>
        <v/>
      </c>
      <c r="K87" s="27" t="n">
        <v>45969</v>
      </c>
      <c r="L87" s="37" t="inlineStr">
        <is>
          <t>HĐ cũ: 285-1/BK-2025</t>
        </is>
      </c>
    </row>
    <row r="88" ht="15.75" customHeight="1" s="56">
      <c r="A88" s="36" t="n">
        <v>45962</v>
      </c>
      <c r="B88" s="37" t="inlineStr">
        <is>
          <t>Lê Văn Dựng</t>
        </is>
      </c>
      <c r="C88" s="37" t="inlineStr">
        <is>
          <t>BK-HS-0278</t>
        </is>
      </c>
      <c r="D88" s="37" t="n"/>
      <c r="E88" s="37" t="inlineStr">
        <is>
          <t>Cắm mốc</t>
        </is>
      </c>
      <c r="F88" s="37" t="inlineStr">
        <is>
          <t>Phòng Đo đạc</t>
        </is>
      </c>
      <c r="G88" s="29" t="n">
        <v>1200000</v>
      </c>
      <c r="H88" s="29" t="n">
        <v>200000</v>
      </c>
      <c r="I88" s="29" t="n">
        <v>0</v>
      </c>
      <c r="J88" s="29">
        <f>IF(B88="","",SUM(G88:I88))</f>
        <v/>
      </c>
      <c r="K88" s="27" t="n">
        <v>45969</v>
      </c>
      <c r="L88" s="37" t="inlineStr">
        <is>
          <t>HĐ cũ: 285-2/BK-2025</t>
        </is>
      </c>
    </row>
    <row r="89" ht="15.75" customHeight="1" s="56">
      <c r="A89" s="36" t="n">
        <v>45962</v>
      </c>
      <c r="B89" s="37" t="inlineStr">
        <is>
          <t>Lê Văn Dựng</t>
        </is>
      </c>
      <c r="C89" s="37" t="inlineStr">
        <is>
          <t>BK-HS-0275</t>
        </is>
      </c>
      <c r="D89" s="37" t="n"/>
      <c r="E89" s="37" t="inlineStr">
        <is>
          <t>Cắm mốc</t>
        </is>
      </c>
      <c r="F89" s="37" t="inlineStr">
        <is>
          <t>Phòng Đo đạc</t>
        </is>
      </c>
      <c r="G89" s="29" t="n">
        <v>1200000</v>
      </c>
      <c r="H89" s="29" t="n">
        <v>100000</v>
      </c>
      <c r="I89" s="29" t="n">
        <v>0</v>
      </c>
      <c r="J89" s="29">
        <f>IF(B89="","",SUM(G89:I89))</f>
        <v/>
      </c>
      <c r="K89" s="27" t="n">
        <v>45971</v>
      </c>
      <c r="L89" s="37" t="inlineStr">
        <is>
          <t>HĐ cũ: 570/BK-2025</t>
        </is>
      </c>
    </row>
    <row r="90" ht="15.75" customHeight="1" s="56">
      <c r="A90" s="36" t="n">
        <v>45962</v>
      </c>
      <c r="B90" s="37" t="inlineStr">
        <is>
          <t>Lê Văn Dựng</t>
        </is>
      </c>
      <c r="C90" s="37" t="inlineStr">
        <is>
          <t>BK-HS-0274</t>
        </is>
      </c>
      <c r="D90" s="37" t="n"/>
      <c r="E90" s="37" t="inlineStr">
        <is>
          <t>Xác định diện tích</t>
        </is>
      </c>
      <c r="F90" s="37" t="inlineStr">
        <is>
          <t>Phòng Đo đạc</t>
        </is>
      </c>
      <c r="G90" s="29" t="n">
        <v>700000</v>
      </c>
      <c r="H90" s="29" t="n">
        <v>0</v>
      </c>
      <c r="I90" s="29" t="n">
        <v>0</v>
      </c>
      <c r="J90" s="29">
        <f>IF(B90="","",SUM(G90:I90))</f>
        <v/>
      </c>
      <c r="K90" s="27" t="n">
        <v>45971</v>
      </c>
      <c r="L90" s="37" t="inlineStr">
        <is>
          <t>HĐ cũ: 571/BK-2025</t>
        </is>
      </c>
    </row>
    <row r="91" ht="15.75" customHeight="1" s="56">
      <c r="A91" s="36" t="n">
        <v>45962</v>
      </c>
      <c r="B91" s="37" t="inlineStr">
        <is>
          <t>Lê Văn Dựng</t>
        </is>
      </c>
      <c r="C91" s="37" t="inlineStr">
        <is>
          <t>BK-HS-0273</t>
        </is>
      </c>
      <c r="D91" s="37" t="n"/>
      <c r="E91" s="37" t="inlineStr">
        <is>
          <t>Xác định diện tích</t>
        </is>
      </c>
      <c r="F91" s="37" t="inlineStr">
        <is>
          <t>Phòng Đo đạc</t>
        </is>
      </c>
      <c r="G91" s="29" t="n">
        <v>700000</v>
      </c>
      <c r="H91" s="29" t="n">
        <v>0</v>
      </c>
      <c r="I91" s="29" t="n">
        <v>0</v>
      </c>
      <c r="J91" s="29">
        <f>IF(B91="","",SUM(G91:I91))</f>
        <v/>
      </c>
      <c r="K91" s="27" t="n">
        <v>45971</v>
      </c>
      <c r="L91" s="37" t="inlineStr">
        <is>
          <t>HĐ cũ: 572/BK-2025 | 3 sổ</t>
        </is>
      </c>
    </row>
    <row r="92" ht="15.75" customHeight="1" s="56">
      <c r="A92" s="36" t="n">
        <v>45962</v>
      </c>
      <c r="B92" s="37" t="inlineStr">
        <is>
          <t>Lê Văn Dựng</t>
        </is>
      </c>
      <c r="C92" s="37" t="inlineStr">
        <is>
          <t>BK-HS-0272</t>
        </is>
      </c>
      <c r="D92" s="37" t="n"/>
      <c r="E92" s="37" t="inlineStr">
        <is>
          <t>Xác định diện tích</t>
        </is>
      </c>
      <c r="F92" s="37" t="inlineStr">
        <is>
          <t>Phòng Đo đạc</t>
        </is>
      </c>
      <c r="G92" s="29" t="n">
        <v>700000</v>
      </c>
      <c r="H92" s="29" t="n">
        <v>0</v>
      </c>
      <c r="I92" s="29" t="n">
        <v>0</v>
      </c>
      <c r="J92" s="29">
        <f>IF(B92="","",SUM(G92:I92))</f>
        <v/>
      </c>
      <c r="K92" s="27" t="n">
        <v>45971</v>
      </c>
      <c r="L92" s="37" t="inlineStr">
        <is>
          <t>HĐ cũ: 573/BK-2025 | 4 sổ</t>
        </is>
      </c>
    </row>
    <row r="93" ht="15.75" customHeight="1" s="56">
      <c r="A93" s="36" t="n">
        <v>45962</v>
      </c>
      <c r="B93" s="37" t="inlineStr">
        <is>
          <t>Lê Văn Dựng</t>
        </is>
      </c>
      <c r="C93" s="37" t="inlineStr">
        <is>
          <t>BK-HS-0269</t>
        </is>
      </c>
      <c r="D93" s="37" t="n"/>
      <c r="E93" s="37" t="inlineStr">
        <is>
          <t>Cấp đổi</t>
        </is>
      </c>
      <c r="F93" s="37" t="inlineStr">
        <is>
          <t>Phòng Đo đạc</t>
        </is>
      </c>
      <c r="G93" s="29" t="n">
        <v>1100000</v>
      </c>
      <c r="H93" s="29" t="n">
        <v>0</v>
      </c>
      <c r="I93" s="29" t="n">
        <v>0</v>
      </c>
      <c r="J93" s="29">
        <f>IF(B93="","",SUM(G93:I93))</f>
        <v/>
      </c>
      <c r="K93" s="27" t="n">
        <v>45973</v>
      </c>
      <c r="L93" s="37" t="inlineStr">
        <is>
          <t>HĐ cũ: 576/BK-2025</t>
        </is>
      </c>
    </row>
    <row r="94" ht="15.75" customHeight="1" s="56">
      <c r="A94" s="36" t="n">
        <v>45962</v>
      </c>
      <c r="B94" s="37" t="inlineStr">
        <is>
          <t>Lê Văn Dựng</t>
        </is>
      </c>
      <c r="C94" s="37" t="n"/>
      <c r="D94" s="37" t="n"/>
      <c r="E94" s="37" t="inlineStr">
        <is>
          <t>Hoàn công</t>
        </is>
      </c>
      <c r="F94" s="37" t="inlineStr">
        <is>
          <t>Phòng Đo đạc</t>
        </is>
      </c>
      <c r="G94" s="29" t="n">
        <v>1100000</v>
      </c>
      <c r="H94" s="29" t="n">
        <v>0</v>
      </c>
      <c r="I94" s="29" t="n">
        <v>0</v>
      </c>
      <c r="J94" s="29">
        <f>IF(B94="","",SUM(G94:I94))</f>
        <v/>
      </c>
      <c r="K94" s="27" t="n">
        <v>45982</v>
      </c>
      <c r="L94" s="37" t="inlineStr">
        <is>
          <t>HĐ cũ: 524/BK-2025</t>
        </is>
      </c>
    </row>
    <row r="95" ht="15.75" customHeight="1" s="56">
      <c r="A95" s="36" t="n">
        <v>45962</v>
      </c>
      <c r="B95" s="37" t="inlineStr">
        <is>
          <t>Lê Văn Dựng</t>
        </is>
      </c>
      <c r="C95" s="37" t="inlineStr">
        <is>
          <t>BK-HS-0242</t>
        </is>
      </c>
      <c r="D95" s="37" t="n"/>
      <c r="E95" s="37" t="inlineStr">
        <is>
          <t>Xác định diện tích</t>
        </is>
      </c>
      <c r="F95" s="37" t="inlineStr">
        <is>
          <t>Phòng Đo đạc</t>
        </is>
      </c>
      <c r="G95" s="29" t="n">
        <v>700000</v>
      </c>
      <c r="H95" s="29" t="n">
        <v>0</v>
      </c>
      <c r="I95" s="29" t="n">
        <v>0</v>
      </c>
      <c r="J95" s="29">
        <f>IF(B95="","",SUM(G95:I95))</f>
        <v/>
      </c>
      <c r="K95" s="27" t="n">
        <v>45989</v>
      </c>
      <c r="L95" s="37" t="inlineStr">
        <is>
          <t>HĐ cũ: 600/BK-2025</t>
        </is>
      </c>
    </row>
    <row r="96" ht="15.75" customHeight="1" s="56">
      <c r="A96" s="36" t="n">
        <v>45962</v>
      </c>
      <c r="B96" s="37" t="inlineStr">
        <is>
          <t>Lê Văn Dựng</t>
        </is>
      </c>
      <c r="C96" s="37" t="inlineStr">
        <is>
          <t>BK-HS-0243</t>
        </is>
      </c>
      <c r="D96" s="37" t="n"/>
      <c r="E96" s="37" t="inlineStr">
        <is>
          <t>Xác định diện tích</t>
        </is>
      </c>
      <c r="F96" s="37" t="inlineStr">
        <is>
          <t>Phòng Đo đạc</t>
        </is>
      </c>
      <c r="G96" s="29" t="n">
        <v>700000</v>
      </c>
      <c r="H96" s="29" t="n">
        <v>0</v>
      </c>
      <c r="I96" s="29" t="n">
        <v>0</v>
      </c>
      <c r="J96" s="29">
        <f>IF(B96="","",SUM(G96:I96))</f>
        <v/>
      </c>
      <c r="K96" s="27" t="n">
        <v>45989</v>
      </c>
      <c r="L96" s="37" t="inlineStr">
        <is>
          <t>HĐ cũ: 599/BK-2025</t>
        </is>
      </c>
    </row>
    <row r="97" ht="15.75" customHeight="1" s="56">
      <c r="A97" s="36" t="n">
        <v>45962</v>
      </c>
      <c r="B97" s="37" t="inlineStr">
        <is>
          <t>Lê Văn Dựng</t>
        </is>
      </c>
      <c r="C97" s="37" t="n"/>
      <c r="D97" s="37" t="n"/>
      <c r="E97" s="37" t="inlineStr">
        <is>
          <t>Cấp đổi</t>
        </is>
      </c>
      <c r="F97" s="37" t="inlineStr">
        <is>
          <t>Phòng Đo đạc</t>
        </is>
      </c>
      <c r="G97" s="29" t="n">
        <v>1100000</v>
      </c>
      <c r="H97" s="29" t="n">
        <v>0</v>
      </c>
      <c r="I97" s="29" t="n">
        <v>0</v>
      </c>
      <c r="J97" s="29">
        <f>IF(B97="","",SUM(G97:I97))</f>
        <v/>
      </c>
      <c r="K97" s="27" t="n">
        <v>45989</v>
      </c>
      <c r="L97" s="37" t="inlineStr">
        <is>
          <t>HĐ cũ: 458/BK-2025</t>
        </is>
      </c>
    </row>
    <row r="98" ht="15.75" customHeight="1" s="56">
      <c r="A98" s="36" t="n">
        <v>45962</v>
      </c>
      <c r="B98" s="37" t="inlineStr">
        <is>
          <t>Lê Văn Dựng</t>
        </is>
      </c>
      <c r="C98" s="37" t="inlineStr">
        <is>
          <t>BK-HS-0236</t>
        </is>
      </c>
      <c r="D98" s="37" t="n"/>
      <c r="E98" s="37" t="inlineStr">
        <is>
          <t>Cắm mốc</t>
        </is>
      </c>
      <c r="F98" s="37" t="inlineStr">
        <is>
          <t>Phòng Đo đạc</t>
        </is>
      </c>
      <c r="G98" s="29" t="n">
        <v>1200000</v>
      </c>
      <c r="H98" s="29" t="n">
        <v>250000</v>
      </c>
      <c r="I98" s="29" t="n">
        <v>0</v>
      </c>
      <c r="J98" s="29">
        <f>IF(B98="","",SUM(G98:I98))</f>
        <v/>
      </c>
      <c r="K98" s="27" t="n">
        <v>45990</v>
      </c>
      <c r="L98" s="37" t="inlineStr">
        <is>
          <t>HĐ cũ: 458-1/BK-2025</t>
        </is>
      </c>
    </row>
    <row r="99" ht="15.75" customHeight="1" s="56">
      <c r="A99" s="36" t="n">
        <v>45962</v>
      </c>
      <c r="B99" s="37" t="inlineStr">
        <is>
          <t>Lê Văn Dựng</t>
        </is>
      </c>
      <c r="C99" s="37" t="inlineStr">
        <is>
          <t>BK-HS-0234</t>
        </is>
      </c>
      <c r="D99" s="37" t="n"/>
      <c r="E99" s="37" t="inlineStr">
        <is>
          <t>Cắm mốc</t>
        </is>
      </c>
      <c r="F99" s="37" t="inlineStr">
        <is>
          <t>Phòng Đo đạc</t>
        </is>
      </c>
      <c r="G99" s="29" t="n">
        <v>1200000</v>
      </c>
      <c r="H99" s="29" t="n">
        <v>200000</v>
      </c>
      <c r="I99" s="29" t="n">
        <v>0</v>
      </c>
      <c r="J99" s="29">
        <f>IF(B99="","",SUM(G99:I99))</f>
        <v/>
      </c>
      <c r="K99" s="27" t="n">
        <v>45990</v>
      </c>
      <c r="L99" s="37" t="inlineStr">
        <is>
          <t>HĐ cũ: 603-1/BK-2025</t>
        </is>
      </c>
    </row>
    <row r="100" ht="15.75" customHeight="1" s="56">
      <c r="A100" s="36" t="n">
        <v>45962</v>
      </c>
      <c r="B100" s="37" t="inlineStr">
        <is>
          <t>Lê Văn Dựng</t>
        </is>
      </c>
      <c r="C100" s="37" t="inlineStr">
        <is>
          <t>BK-HS-0233</t>
        </is>
      </c>
      <c r="D100" s="37" t="n"/>
      <c r="E100" s="37" t="inlineStr">
        <is>
          <t>Đo GPS</t>
        </is>
      </c>
      <c r="F100" s="37" t="inlineStr">
        <is>
          <t>Phòng Đo đạc</t>
        </is>
      </c>
      <c r="G100" s="29" t="n">
        <v>1200000</v>
      </c>
      <c r="H100" s="29" t="n">
        <v>0</v>
      </c>
      <c r="I100" s="29" t="n">
        <v>0</v>
      </c>
      <c r="J100" s="29">
        <f>IF(B100="","",SUM(G100:I100))</f>
        <v/>
      </c>
      <c r="K100" s="27" t="n">
        <v>45990</v>
      </c>
      <c r="L100" s="37" t="inlineStr">
        <is>
          <t>HĐ cũ: 603-2/BK-2025</t>
        </is>
      </c>
    </row>
    <row r="101" ht="15.75" customHeight="1" s="56">
      <c r="A101" s="36" t="n">
        <v>45962</v>
      </c>
      <c r="B101" s="37" t="inlineStr">
        <is>
          <t>Lê Văn Dựng</t>
        </is>
      </c>
      <c r="C101" s="37" t="inlineStr">
        <is>
          <t>BK-HS-0230</t>
        </is>
      </c>
      <c r="D101" s="37" t="n"/>
      <c r="E101" s="37" t="inlineStr">
        <is>
          <t>Cắm mốc</t>
        </is>
      </c>
      <c r="F101" s="37" t="inlineStr">
        <is>
          <t>Phòng Đo đạc</t>
        </is>
      </c>
      <c r="G101" s="29" t="n">
        <v>1200000</v>
      </c>
      <c r="H101" s="29" t="n">
        <v>100000</v>
      </c>
      <c r="I101" s="29" t="n">
        <v>0</v>
      </c>
      <c r="J101" s="29">
        <f>IF(B101="","",SUM(G101:I101))</f>
        <v/>
      </c>
      <c r="K101" s="27" t="n">
        <v>45990</v>
      </c>
      <c r="L101" s="37" t="inlineStr">
        <is>
          <t>HĐ cũ: 526-1/BK-2025</t>
        </is>
      </c>
    </row>
    <row r="102" ht="15.75" customHeight="1" s="56">
      <c r="A102" s="36" t="n">
        <v>45931</v>
      </c>
      <c r="B102" s="37" t="inlineStr">
        <is>
          <t>Lê Văn Dựng</t>
        </is>
      </c>
      <c r="C102" s="37" t="n"/>
      <c r="D102" s="37" t="n"/>
      <c r="E102" s="37" t="inlineStr">
        <is>
          <t>Cấp đổi</t>
        </is>
      </c>
      <c r="F102" s="37" t="inlineStr">
        <is>
          <t>Phòng Đo đạc</t>
        </is>
      </c>
      <c r="G102" s="29" t="n">
        <v>1100000</v>
      </c>
      <c r="H102" s="29" t="n">
        <v>0</v>
      </c>
      <c r="I102" s="29" t="n">
        <v>0</v>
      </c>
      <c r="J102" s="29">
        <f>IF(B102="","",SUM(G102:I102))</f>
        <v/>
      </c>
      <c r="K102" s="27" t="n">
        <v>45931</v>
      </c>
      <c r="L102" s="37" t="inlineStr">
        <is>
          <t>HĐ cũ: 461/BK-2025</t>
        </is>
      </c>
    </row>
    <row r="103" ht="15.75" customHeight="1" s="56">
      <c r="A103" s="36" t="n">
        <v>45931</v>
      </c>
      <c r="B103" s="37" t="inlineStr">
        <is>
          <t>Lê Văn Dựng</t>
        </is>
      </c>
      <c r="C103" s="37" t="n"/>
      <c r="D103" s="37" t="n"/>
      <c r="E103" s="37" t="inlineStr">
        <is>
          <t>Đo GPS</t>
        </is>
      </c>
      <c r="F103" s="37" t="inlineStr">
        <is>
          <t>Phòng Đo đạc</t>
        </is>
      </c>
      <c r="G103" s="29" t="n">
        <v>1200000</v>
      </c>
      <c r="H103" s="29" t="n">
        <v>0</v>
      </c>
      <c r="I103" s="29" t="n">
        <v>0</v>
      </c>
      <c r="J103" s="29">
        <f>IF(B103="","",SUM(G103:I103))</f>
        <v/>
      </c>
      <c r="K103" s="27" t="n">
        <v>45932</v>
      </c>
      <c r="L103" s="37" t="inlineStr">
        <is>
          <t>HĐ cũ: 479-2/BK-2025</t>
        </is>
      </c>
    </row>
    <row r="104" ht="15.75" customHeight="1" s="56">
      <c r="A104" s="36" t="n">
        <v>45931</v>
      </c>
      <c r="B104" s="37" t="inlineStr">
        <is>
          <t>Lê Văn Dựng</t>
        </is>
      </c>
      <c r="C104" s="37" t="n"/>
      <c r="D104" s="37" t="n"/>
      <c r="E104" s="37" t="inlineStr">
        <is>
          <t>Cấp đổi</t>
        </is>
      </c>
      <c r="F104" s="37" t="inlineStr">
        <is>
          <t>Phòng Đo đạc</t>
        </is>
      </c>
      <c r="G104" s="29" t="n">
        <v>1100000</v>
      </c>
      <c r="H104" s="29" t="n">
        <v>0</v>
      </c>
      <c r="I104" s="29" t="n">
        <v>0</v>
      </c>
      <c r="J104" s="29">
        <f>IF(B104="","",SUM(G104:I104))</f>
        <v/>
      </c>
      <c r="K104" s="27" t="n">
        <v>45933</v>
      </c>
      <c r="L104" s="37" t="inlineStr">
        <is>
          <t>HĐ cũ: 445/BK-2025</t>
        </is>
      </c>
    </row>
    <row r="105" ht="15.75" customHeight="1" s="56">
      <c r="A105" s="36" t="n">
        <v>45931</v>
      </c>
      <c r="B105" s="37" t="inlineStr">
        <is>
          <t>Lê Văn Dựng</t>
        </is>
      </c>
      <c r="C105" s="37" t="n"/>
      <c r="D105" s="37" t="n"/>
      <c r="E105" s="37" t="inlineStr">
        <is>
          <t>Cắm mốc</t>
        </is>
      </c>
      <c r="F105" s="37" t="inlineStr">
        <is>
          <t>Phòng Đo đạc</t>
        </is>
      </c>
      <c r="G105" s="29" t="n">
        <v>1200000</v>
      </c>
      <c r="H105" s="29" t="n">
        <v>0</v>
      </c>
      <c r="I105" s="29" t="n">
        <v>0</v>
      </c>
      <c r="J105" s="29">
        <f>IF(B105="","",SUM(G105:I105))</f>
        <v/>
      </c>
      <c r="K105" s="27" t="n">
        <v>45932</v>
      </c>
      <c r="L105" s="37" t="inlineStr">
        <is>
          <t>HĐ cũ: 493/BK-2025</t>
        </is>
      </c>
    </row>
    <row r="106" ht="15.75" customHeight="1" s="56">
      <c r="A106" s="36" t="n">
        <v>45931</v>
      </c>
      <c r="B106" s="37" t="inlineStr">
        <is>
          <t>Lê Văn Dựng</t>
        </is>
      </c>
      <c r="C106" s="37" t="n"/>
      <c r="D106" s="37" t="n"/>
      <c r="E106" s="37" t="inlineStr">
        <is>
          <t>Đo GPS</t>
        </is>
      </c>
      <c r="F106" s="37" t="inlineStr">
        <is>
          <t>Phòng Đo đạc</t>
        </is>
      </c>
      <c r="G106" s="29" t="n">
        <v>1200000</v>
      </c>
      <c r="H106" s="29" t="n">
        <v>0</v>
      </c>
      <c r="I106" s="29" t="n">
        <v>0</v>
      </c>
      <c r="J106" s="29">
        <f>IF(B106="","",SUM(G106:I106))</f>
        <v/>
      </c>
      <c r="K106" s="27" t="n">
        <v>45940</v>
      </c>
      <c r="L106" s="37" t="inlineStr">
        <is>
          <t>HĐ cũ: 515/BK-2025</t>
        </is>
      </c>
    </row>
    <row r="107" ht="15.75" customHeight="1" s="56">
      <c r="A107" s="36" t="n">
        <v>45931</v>
      </c>
      <c r="B107" s="37" t="inlineStr">
        <is>
          <t>Lê Văn Dựng</t>
        </is>
      </c>
      <c r="C107" s="37" t="n"/>
      <c r="D107" s="37" t="n"/>
      <c r="E107" s="37" t="inlineStr">
        <is>
          <t>Đo GPS</t>
        </is>
      </c>
      <c r="F107" s="37" t="inlineStr">
        <is>
          <t>Phòng Đo đạc</t>
        </is>
      </c>
      <c r="G107" s="29" t="n">
        <v>1200000</v>
      </c>
      <c r="H107" s="29" t="n">
        <v>0</v>
      </c>
      <c r="I107" s="29" t="n">
        <v>0</v>
      </c>
      <c r="J107" s="29">
        <f>IF(B107="","",SUM(G107:I107))</f>
        <v/>
      </c>
      <c r="K107" s="27" t="n">
        <v>45940</v>
      </c>
      <c r="L107" s="37" t="inlineStr">
        <is>
          <t>HĐ cũ: 516/BK-2025</t>
        </is>
      </c>
    </row>
    <row r="108" ht="15.75" customHeight="1" s="56">
      <c r="A108" s="36" t="n">
        <v>45931</v>
      </c>
      <c r="B108" s="37" t="inlineStr">
        <is>
          <t>Lê Văn Dựng</t>
        </is>
      </c>
      <c r="C108" s="37" t="n"/>
      <c r="D108" s="37" t="n"/>
      <c r="E108" s="37" t="inlineStr">
        <is>
          <t>Đo GPS</t>
        </is>
      </c>
      <c r="F108" s="37" t="inlineStr">
        <is>
          <t>Phòng Đo đạc</t>
        </is>
      </c>
      <c r="G108" s="29" t="n">
        <v>1200000</v>
      </c>
      <c r="H108" s="29" t="n">
        <v>0</v>
      </c>
      <c r="I108" s="29" t="n">
        <v>0</v>
      </c>
      <c r="J108" s="29">
        <f>IF(B108="","",SUM(G108:I108))</f>
        <v/>
      </c>
      <c r="K108" s="27" t="n">
        <v>45940</v>
      </c>
      <c r="L108" s="37" t="inlineStr">
        <is>
          <t>HĐ cũ: 517/BK-2025</t>
        </is>
      </c>
    </row>
    <row r="109" ht="15.75" customHeight="1" s="56">
      <c r="A109" s="36" t="n">
        <v>45931</v>
      </c>
      <c r="B109" s="37" t="inlineStr">
        <is>
          <t>Lê Văn Dựng</t>
        </is>
      </c>
      <c r="C109" s="37" t="n"/>
      <c r="D109" s="37" t="n"/>
      <c r="E109" s="37" t="inlineStr">
        <is>
          <t>Cắm mốc</t>
        </is>
      </c>
      <c r="F109" s="37" t="inlineStr">
        <is>
          <t>Phòng Đo đạc</t>
        </is>
      </c>
      <c r="G109" s="29" t="n">
        <v>1200000</v>
      </c>
      <c r="H109" s="29" t="n">
        <v>100000</v>
      </c>
      <c r="I109" s="29" t="n">
        <v>0</v>
      </c>
      <c r="J109" s="29">
        <f>IF(B109="","",SUM(G109:I109))</f>
        <v/>
      </c>
      <c r="K109" s="27" t="n">
        <v>45943</v>
      </c>
      <c r="L109" s="37" t="inlineStr">
        <is>
          <t>HĐ cũ: 520/BK-2025</t>
        </is>
      </c>
    </row>
    <row r="110" ht="15.75" customHeight="1" s="56">
      <c r="A110" s="36" t="n">
        <v>45931</v>
      </c>
      <c r="B110" s="37" t="inlineStr">
        <is>
          <t>Lê Văn Dựng</t>
        </is>
      </c>
      <c r="C110" s="37" t="n"/>
      <c r="D110" s="37" t="n"/>
      <c r="E110" s="37" t="inlineStr">
        <is>
          <t>Xác định diện tích</t>
        </is>
      </c>
      <c r="F110" s="37" t="inlineStr">
        <is>
          <t>Phòng Đo đạc</t>
        </is>
      </c>
      <c r="G110" s="29" t="n">
        <v>700000</v>
      </c>
      <c r="H110" s="29" t="n">
        <v>0</v>
      </c>
      <c r="I110" s="29" t="n">
        <v>0</v>
      </c>
      <c r="J110" s="29">
        <f>IF(B110="","",SUM(G110:I110))</f>
        <v/>
      </c>
      <c r="K110" s="27" t="n">
        <v>45945</v>
      </c>
      <c r="L110" s="37" t="inlineStr">
        <is>
          <t>HĐ cũ: 525/BK-2025</t>
        </is>
      </c>
    </row>
    <row r="111" ht="15.75" customHeight="1" s="56">
      <c r="A111" s="36" t="n">
        <v>45931</v>
      </c>
      <c r="B111" s="37" t="inlineStr">
        <is>
          <t>Lê Văn Dựng</t>
        </is>
      </c>
      <c r="C111" s="37" t="n"/>
      <c r="D111" s="37" t="n"/>
      <c r="E111" s="37" t="inlineStr">
        <is>
          <t>Đo GPS</t>
        </is>
      </c>
      <c r="F111" s="37" t="inlineStr">
        <is>
          <t>Phòng Đo đạc</t>
        </is>
      </c>
      <c r="G111" s="29" t="n">
        <v>1200000</v>
      </c>
      <c r="H111" s="29" t="n">
        <v>0</v>
      </c>
      <c r="I111" s="29" t="n">
        <v>0</v>
      </c>
      <c r="J111" s="29">
        <f>IF(B111="","",SUM(G111:I111))</f>
        <v/>
      </c>
      <c r="K111" s="27" t="n">
        <v>45947</v>
      </c>
      <c r="L111" s="37" t="inlineStr">
        <is>
          <t>HĐ cũ: 530/BK-2025</t>
        </is>
      </c>
    </row>
    <row r="112" ht="15.75" customHeight="1" s="56">
      <c r="A112" s="36" t="n">
        <v>45931</v>
      </c>
      <c r="B112" s="37" t="inlineStr">
        <is>
          <t>Lê Văn Dựng</t>
        </is>
      </c>
      <c r="C112" s="37" t="n"/>
      <c r="D112" s="37" t="n"/>
      <c r="E112" s="37" t="inlineStr">
        <is>
          <t>Cắm mốc</t>
        </is>
      </c>
      <c r="F112" s="37" t="inlineStr">
        <is>
          <t>Phòng Đo đạc</t>
        </is>
      </c>
      <c r="G112" s="29" t="n">
        <v>1200000</v>
      </c>
      <c r="H112" s="29" t="n">
        <v>375000</v>
      </c>
      <c r="I112" s="29" t="n">
        <v>0</v>
      </c>
      <c r="J112" s="29">
        <f>IF(B112="","",SUM(G112:I112))</f>
        <v/>
      </c>
      <c r="K112" s="27" t="n">
        <v>45948</v>
      </c>
      <c r="L112" s="37" t="inlineStr">
        <is>
          <t>HĐ cũ: 460-3/BK-2025</t>
        </is>
      </c>
    </row>
    <row r="113" ht="15.75" customHeight="1" s="56">
      <c r="A113" s="36" t="n">
        <v>45931</v>
      </c>
      <c r="B113" s="37" t="inlineStr">
        <is>
          <t>Lê Văn Dựng</t>
        </is>
      </c>
      <c r="C113" s="37" t="n"/>
      <c r="D113" s="37" t="n"/>
      <c r="E113" s="37" t="inlineStr">
        <is>
          <t>Cắm mốc</t>
        </is>
      </c>
      <c r="F113" s="37" t="inlineStr">
        <is>
          <t>Phòng Đo đạc</t>
        </is>
      </c>
      <c r="G113" s="29" t="n">
        <v>1200000</v>
      </c>
      <c r="H113" s="29" t="n">
        <v>275000</v>
      </c>
      <c r="I113" s="29" t="n">
        <v>0</v>
      </c>
      <c r="J113" s="29">
        <f>IF(B113="","",SUM(G113:I113))</f>
        <v/>
      </c>
      <c r="K113" s="27" t="n">
        <v>45948</v>
      </c>
      <c r="L113" s="37" t="inlineStr">
        <is>
          <t>HĐ cũ: 455-3/BK-2025</t>
        </is>
      </c>
    </row>
    <row r="114" ht="15.75" customHeight="1" s="56">
      <c r="A114" s="36" t="n">
        <v>45931</v>
      </c>
      <c r="B114" s="37" t="inlineStr">
        <is>
          <t>Lê Văn Dựng</t>
        </is>
      </c>
      <c r="C114" s="37" t="n"/>
      <c r="D114" s="37" t="n"/>
      <c r="E114" s="37" t="inlineStr">
        <is>
          <t>Cắm mốc</t>
        </is>
      </c>
      <c r="F114" s="37" t="inlineStr">
        <is>
          <t>Phòng Đo đạc</t>
        </is>
      </c>
      <c r="G114" s="29" t="n">
        <v>1200000</v>
      </c>
      <c r="H114" s="29" t="n">
        <v>250000</v>
      </c>
      <c r="I114" s="29" t="n">
        <v>0</v>
      </c>
      <c r="J114" s="29">
        <f>IF(B114="","",SUM(G114:I114))</f>
        <v/>
      </c>
      <c r="K114" s="27" t="n">
        <v>45948</v>
      </c>
      <c r="L114" s="37" t="inlineStr">
        <is>
          <t>HĐ cũ: 456-3/BK-2025</t>
        </is>
      </c>
    </row>
    <row r="115" ht="15.75" customHeight="1" s="56">
      <c r="A115" s="36" t="n">
        <v>45931</v>
      </c>
      <c r="B115" s="37" t="inlineStr">
        <is>
          <t>Lê Văn Dựng</t>
        </is>
      </c>
      <c r="C115" s="37" t="n"/>
      <c r="D115" s="37" t="n"/>
      <c r="E115" s="37" t="inlineStr">
        <is>
          <t>Cắm mốc</t>
        </is>
      </c>
      <c r="F115" s="37" t="inlineStr">
        <is>
          <t>Phòng Đo đạc</t>
        </is>
      </c>
      <c r="G115" s="29" t="n">
        <v>1200000</v>
      </c>
      <c r="H115" s="29" t="n">
        <v>400000</v>
      </c>
      <c r="I115" s="29" t="n">
        <v>0</v>
      </c>
      <c r="J115" s="29">
        <f>IF(B115="","",SUM(G115:I115))</f>
        <v/>
      </c>
      <c r="K115" s="27" t="n">
        <v>45948</v>
      </c>
      <c r="L115" s="37" t="inlineStr">
        <is>
          <t>HĐ cũ: 457-3/BK-2025</t>
        </is>
      </c>
    </row>
    <row r="116" ht="15.75" customHeight="1" s="56">
      <c r="A116" s="36" t="n">
        <v>45931</v>
      </c>
      <c r="B116" s="37" t="inlineStr">
        <is>
          <t>Lê Văn Dựng</t>
        </is>
      </c>
      <c r="C116" s="37" t="n"/>
      <c r="D116" s="37" t="n"/>
      <c r="E116" s="37" t="inlineStr">
        <is>
          <t>Cắm mốc</t>
        </is>
      </c>
      <c r="F116" s="37" t="inlineStr">
        <is>
          <t>Phòng Đo đạc</t>
        </is>
      </c>
      <c r="G116" s="29" t="n">
        <v>1200000</v>
      </c>
      <c r="H116" s="29" t="n">
        <v>350000</v>
      </c>
      <c r="I116" s="29" t="n">
        <v>0</v>
      </c>
      <c r="J116" s="29">
        <f>IF(B116="","",SUM(G116:I116))</f>
        <v/>
      </c>
      <c r="K116" s="27" t="n">
        <v>45948</v>
      </c>
      <c r="L116" s="37" t="inlineStr">
        <is>
          <t>HĐ cũ: 461-3/BK-2025</t>
        </is>
      </c>
    </row>
    <row r="117" ht="15.75" customHeight="1" s="56">
      <c r="A117" s="36" t="n">
        <v>45931</v>
      </c>
      <c r="B117" s="37" t="inlineStr">
        <is>
          <t>Lê Văn Dựng</t>
        </is>
      </c>
      <c r="C117" s="37" t="n"/>
      <c r="D117" s="37" t="n"/>
      <c r="E117" s="37" t="inlineStr">
        <is>
          <t>Cắm mốc</t>
        </is>
      </c>
      <c r="F117" s="37" t="inlineStr">
        <is>
          <t>Phòng Đo đạc</t>
        </is>
      </c>
      <c r="G117" s="29" t="n">
        <v>1200000</v>
      </c>
      <c r="H117" s="29" t="n">
        <v>150000</v>
      </c>
      <c r="I117" s="29" t="n">
        <v>0</v>
      </c>
      <c r="J117" s="29">
        <f>IF(B117="","",SUM(G117:I117))</f>
        <v/>
      </c>
      <c r="K117" s="27" t="n">
        <v>45948</v>
      </c>
      <c r="L117" s="37" t="inlineStr">
        <is>
          <t>HĐ cũ: 459-3/BK-2025</t>
        </is>
      </c>
    </row>
    <row r="118" ht="15.75" customHeight="1" s="56">
      <c r="A118" s="36" t="n">
        <v>45931</v>
      </c>
      <c r="B118" s="37" t="inlineStr">
        <is>
          <t>Lê Văn Dựng</t>
        </is>
      </c>
      <c r="C118" s="37" t="n"/>
      <c r="D118" s="37" t="n"/>
      <c r="E118" s="37" t="inlineStr">
        <is>
          <t>Cắm mốc</t>
        </is>
      </c>
      <c r="F118" s="37" t="inlineStr">
        <is>
          <t>Phòng Đo đạc</t>
        </is>
      </c>
      <c r="G118" s="29" t="n">
        <v>1200000</v>
      </c>
      <c r="H118" s="29" t="n">
        <v>150000</v>
      </c>
      <c r="I118" s="29" t="n">
        <v>0</v>
      </c>
      <c r="J118" s="29">
        <f>IF(B118="","",SUM(G118:I118))</f>
        <v/>
      </c>
      <c r="K118" s="27" t="n">
        <v>45948</v>
      </c>
      <c r="L118" s="37" t="inlineStr">
        <is>
          <t>HĐ cũ: 484-2/BK-2025</t>
        </is>
      </c>
    </row>
    <row r="119" ht="15.75" customHeight="1" s="56">
      <c r="A119" s="36" t="n">
        <v>45931</v>
      </c>
      <c r="B119" s="37" t="inlineStr">
        <is>
          <t>Lê Văn Dựng</t>
        </is>
      </c>
      <c r="C119" s="37" t="n"/>
      <c r="D119" s="37" t="n"/>
      <c r="E119" s="37" t="inlineStr">
        <is>
          <t>Cấp đổi</t>
        </is>
      </c>
      <c r="F119" s="37" t="inlineStr">
        <is>
          <t>Phòng Đo đạc</t>
        </is>
      </c>
      <c r="G119" s="29" t="n">
        <v>1100000</v>
      </c>
      <c r="H119" s="29" t="n">
        <v>0</v>
      </c>
      <c r="I119" s="29" t="n">
        <v>0</v>
      </c>
      <c r="J119" s="29">
        <f>IF(B119="","",SUM(G119:I119))</f>
        <v/>
      </c>
      <c r="K119" s="27" t="n">
        <v>45950</v>
      </c>
      <c r="L119" s="37" t="inlineStr">
        <is>
          <t>HĐ cũ: 485/BK-2025 | Thửa 62</t>
        </is>
      </c>
    </row>
    <row r="120" ht="15.75" customHeight="1" s="56">
      <c r="A120" s="36" t="n">
        <v>45931</v>
      </c>
      <c r="B120" s="37" t="inlineStr">
        <is>
          <t>Lê Văn Dựng</t>
        </is>
      </c>
      <c r="C120" s="37" t="n"/>
      <c r="D120" s="37" t="n"/>
      <c r="E120" s="37" t="inlineStr">
        <is>
          <t>Cấp đổi</t>
        </is>
      </c>
      <c r="F120" s="37" t="inlineStr">
        <is>
          <t>Phòng Đo đạc</t>
        </is>
      </c>
      <c r="G120" s="29" t="n">
        <v>1100000</v>
      </c>
      <c r="H120" s="29" t="n">
        <v>0</v>
      </c>
      <c r="I120" s="29" t="n">
        <v>0</v>
      </c>
      <c r="J120" s="29">
        <f>IF(B120="","",SUM(G120:I120))</f>
        <v/>
      </c>
      <c r="K120" s="27" t="n">
        <v>45950</v>
      </c>
      <c r="L120" s="37" t="inlineStr">
        <is>
          <t>HĐ cũ: 486/BK-2025 | Thửa 63</t>
        </is>
      </c>
    </row>
    <row r="121" ht="15.75" customHeight="1" s="56">
      <c r="A121" s="36" t="n">
        <v>45931</v>
      </c>
      <c r="B121" s="37" t="inlineStr">
        <is>
          <t>Lê Văn Dựng</t>
        </is>
      </c>
      <c r="C121" s="37" t="n"/>
      <c r="D121" s="37" t="n"/>
      <c r="E121" s="37" t="inlineStr">
        <is>
          <t>Cấp đổi</t>
        </is>
      </c>
      <c r="F121" s="37" t="inlineStr">
        <is>
          <t>Phòng Đo đạc</t>
        </is>
      </c>
      <c r="G121" s="29" t="n">
        <v>1100000</v>
      </c>
      <c r="H121" s="29" t="n">
        <v>0</v>
      </c>
      <c r="I121" s="29" t="n">
        <v>0</v>
      </c>
      <c r="J121" s="29">
        <f>IF(B121="","",SUM(G121:I121))</f>
        <v/>
      </c>
      <c r="K121" s="27" t="n">
        <v>45950</v>
      </c>
      <c r="L121" s="37" t="inlineStr">
        <is>
          <t>HĐ cũ: 519/BK-2025</t>
        </is>
      </c>
    </row>
    <row r="122" ht="15.75" customHeight="1" s="56">
      <c r="A122" s="36" t="n">
        <v>45931</v>
      </c>
      <c r="B122" s="37" t="inlineStr">
        <is>
          <t>Lê Văn Dựng</t>
        </is>
      </c>
      <c r="C122" s="37" t="n"/>
      <c r="D122" s="37" t="n"/>
      <c r="E122" s="37" t="inlineStr">
        <is>
          <t>Đo GPS</t>
        </is>
      </c>
      <c r="F122" s="37" t="inlineStr">
        <is>
          <t>Phòng Đo đạc</t>
        </is>
      </c>
      <c r="G122" s="29" t="n">
        <v>1200000</v>
      </c>
      <c r="H122" s="29" t="n">
        <v>0</v>
      </c>
      <c r="I122" s="29" t="n">
        <v>0</v>
      </c>
      <c r="J122" s="29">
        <f>IF(B122="","",SUM(G122:I122))</f>
        <v/>
      </c>
      <c r="K122" s="27" t="n">
        <v>45951</v>
      </c>
      <c r="L122" s="37" t="inlineStr">
        <is>
          <t>HĐ cũ: 519-2/BK-2025</t>
        </is>
      </c>
    </row>
    <row r="123" ht="15.75" customHeight="1" s="56">
      <c r="A123" s="36" t="n">
        <v>45931</v>
      </c>
      <c r="B123" s="37" t="inlineStr">
        <is>
          <t>Lê Văn Dựng</t>
        </is>
      </c>
      <c r="C123" s="37" t="n"/>
      <c r="D123" s="37" t="n"/>
      <c r="E123" s="37" t="inlineStr">
        <is>
          <t>Cắm mốc</t>
        </is>
      </c>
      <c r="F123" s="37" t="inlineStr">
        <is>
          <t>Phòng Đo đạc</t>
        </is>
      </c>
      <c r="G123" s="29" t="n">
        <v>1200000</v>
      </c>
      <c r="H123" s="29" t="n">
        <v>325000</v>
      </c>
      <c r="I123" s="29" t="n">
        <v>0</v>
      </c>
      <c r="J123" s="29">
        <f>IF(B123="","",SUM(G123:I123))</f>
        <v/>
      </c>
      <c r="K123" s="27" t="n">
        <v>45951</v>
      </c>
      <c r="L123" s="37" t="inlineStr">
        <is>
          <t>HĐ cũ: 485-1/BK-2025</t>
        </is>
      </c>
    </row>
    <row r="124" ht="15.75" customHeight="1" s="56">
      <c r="A124" s="36" t="n">
        <v>45931</v>
      </c>
      <c r="B124" s="37" t="inlineStr">
        <is>
          <t>Lê Văn Dựng</t>
        </is>
      </c>
      <c r="C124" s="37" t="n"/>
      <c r="D124" s="37" t="n"/>
      <c r="E124" s="37" t="inlineStr">
        <is>
          <t>Đo GPS</t>
        </is>
      </c>
      <c r="F124" s="37" t="inlineStr">
        <is>
          <t>Phòng Đo đạc</t>
        </is>
      </c>
      <c r="G124" s="29" t="n">
        <v>1200000</v>
      </c>
      <c r="H124" s="29" t="n">
        <v>0</v>
      </c>
      <c r="I124" s="29" t="n">
        <v>0</v>
      </c>
      <c r="J124" s="29">
        <f>IF(B124="","",SUM(G124:I124))</f>
        <v/>
      </c>
      <c r="K124" s="27" t="n">
        <v>45951</v>
      </c>
      <c r="L124" s="37" t="inlineStr">
        <is>
          <t>HĐ cũ: 485-2/BK-2025</t>
        </is>
      </c>
    </row>
    <row r="125" ht="15.75" customHeight="1" s="56">
      <c r="A125" s="36" t="n">
        <v>45931</v>
      </c>
      <c r="B125" s="37" t="inlineStr">
        <is>
          <t>Lê Văn Dựng</t>
        </is>
      </c>
      <c r="C125" s="37" t="n"/>
      <c r="D125" s="37" t="n"/>
      <c r="E125" s="37" t="inlineStr">
        <is>
          <t>Cắm mốc</t>
        </is>
      </c>
      <c r="F125" s="37" t="inlineStr">
        <is>
          <t>Phòng Đo đạc</t>
        </is>
      </c>
      <c r="G125" s="29" t="n">
        <v>1200000</v>
      </c>
      <c r="H125" s="29" t="n">
        <v>175000</v>
      </c>
      <c r="I125" s="29" t="n">
        <v>0</v>
      </c>
      <c r="J125" s="29">
        <f>IF(B125="","",SUM(G125:I125))</f>
        <v/>
      </c>
      <c r="K125" s="27" t="n">
        <v>45951</v>
      </c>
      <c r="L125" s="37" t="inlineStr">
        <is>
          <t>HĐ cũ: 486-1/BK-2025</t>
        </is>
      </c>
    </row>
    <row r="126" ht="15.75" customHeight="1" s="56">
      <c r="A126" s="36" t="n">
        <v>45931</v>
      </c>
      <c r="B126" s="37" t="inlineStr">
        <is>
          <t>Lê Văn Dựng</t>
        </is>
      </c>
      <c r="C126" s="37" t="n"/>
      <c r="D126" s="37" t="n"/>
      <c r="E126" s="37" t="inlineStr">
        <is>
          <t>Đo GPS</t>
        </is>
      </c>
      <c r="F126" s="37" t="inlineStr">
        <is>
          <t>Phòng Đo đạc</t>
        </is>
      </c>
      <c r="G126" s="29" t="n">
        <v>1200000</v>
      </c>
      <c r="H126" s="29" t="n">
        <v>0</v>
      </c>
      <c r="I126" s="29" t="n">
        <v>0</v>
      </c>
      <c r="J126" s="29">
        <f>IF(B126="","",SUM(G126:I126))</f>
        <v/>
      </c>
      <c r="K126" s="27" t="n">
        <v>45951</v>
      </c>
      <c r="L126" s="37" t="inlineStr">
        <is>
          <t>HĐ cũ: 486-2/BK-2025</t>
        </is>
      </c>
    </row>
    <row r="127" ht="15.75" customHeight="1" s="56">
      <c r="A127" s="36" t="n">
        <v>45931</v>
      </c>
      <c r="B127" s="37" t="inlineStr">
        <is>
          <t>Lê Văn Dựng</t>
        </is>
      </c>
      <c r="C127" s="37" t="n"/>
      <c r="D127" s="37" t="n"/>
      <c r="E127" s="37" t="inlineStr">
        <is>
          <t>Đo GPS</t>
        </is>
      </c>
      <c r="F127" s="37" t="inlineStr">
        <is>
          <t>Phòng Đo đạc</t>
        </is>
      </c>
      <c r="G127" s="29" t="n">
        <v>1200000</v>
      </c>
      <c r="H127" s="29" t="n">
        <v>0</v>
      </c>
      <c r="I127" s="29" t="n">
        <v>0</v>
      </c>
      <c r="J127" s="29">
        <f>IF(B127="","",SUM(G127:I127))</f>
        <v/>
      </c>
      <c r="K127" s="27" t="n">
        <v>45951</v>
      </c>
      <c r="L127" s="37" t="inlineStr">
        <is>
          <t>HĐ cũ: 535-1/BK-2025</t>
        </is>
      </c>
    </row>
    <row r="128" ht="15.75" customHeight="1" s="56">
      <c r="A128" s="36" t="n">
        <v>45931</v>
      </c>
      <c r="B128" s="37" t="inlineStr">
        <is>
          <t>Lê Văn Dựng</t>
        </is>
      </c>
      <c r="C128" s="37" t="n"/>
      <c r="D128" s="37" t="n"/>
      <c r="E128" s="37" t="inlineStr">
        <is>
          <t>Cắm mốc</t>
        </is>
      </c>
      <c r="F128" s="37" t="inlineStr">
        <is>
          <t>Phòng Đo đạc</t>
        </is>
      </c>
      <c r="G128" s="29" t="n">
        <v>1200000</v>
      </c>
      <c r="H128" s="29" t="n">
        <v>150000</v>
      </c>
      <c r="I128" s="29" t="n">
        <v>0</v>
      </c>
      <c r="J128" s="29">
        <f>IF(B128="","",SUM(G128:I128))</f>
        <v/>
      </c>
      <c r="K128" s="27" t="n">
        <v>45951</v>
      </c>
      <c r="L128" s="37" t="inlineStr">
        <is>
          <t>HĐ cũ: 487-1/BK-2025</t>
        </is>
      </c>
    </row>
    <row r="129" ht="15.75" customHeight="1" s="56">
      <c r="A129" s="36" t="n">
        <v>45931</v>
      </c>
      <c r="B129" s="37" t="inlineStr">
        <is>
          <t>Lê Văn Dựng</t>
        </is>
      </c>
      <c r="C129" s="37" t="n"/>
      <c r="D129" s="37" t="n"/>
      <c r="E129" s="37" t="inlineStr">
        <is>
          <t>Đo GPS</t>
        </is>
      </c>
      <c r="F129" s="37" t="inlineStr">
        <is>
          <t>Phòng Đo đạc</t>
        </is>
      </c>
      <c r="G129" s="29" t="n">
        <v>1200000</v>
      </c>
      <c r="H129" s="29" t="n">
        <v>0</v>
      </c>
      <c r="I129" s="29" t="n">
        <v>0</v>
      </c>
      <c r="J129" s="29">
        <f>IF(B129="","",SUM(G129:I129))</f>
        <v/>
      </c>
      <c r="K129" s="27" t="n">
        <v>45951</v>
      </c>
      <c r="L129" s="37" t="inlineStr">
        <is>
          <t>HĐ cũ: 487-2/BK-2025</t>
        </is>
      </c>
    </row>
    <row r="130" ht="15.75" customHeight="1" s="56">
      <c r="A130" s="36" t="n">
        <v>45931</v>
      </c>
      <c r="B130" s="37" t="inlineStr">
        <is>
          <t>Lê Văn Dựng</t>
        </is>
      </c>
      <c r="C130" s="37" t="n"/>
      <c r="D130" s="37" t="n"/>
      <c r="E130" s="37" t="inlineStr">
        <is>
          <t>Cắm mốc</t>
        </is>
      </c>
      <c r="F130" s="37" t="inlineStr">
        <is>
          <t>Phòng Đo đạc</t>
        </is>
      </c>
      <c r="G130" s="29" t="n">
        <v>1200000</v>
      </c>
      <c r="H130" s="29" t="n">
        <v>150000</v>
      </c>
      <c r="I130" s="29" t="n">
        <v>0</v>
      </c>
      <c r="J130" s="29">
        <f>IF(B130="","",SUM(G130:I130))</f>
        <v/>
      </c>
      <c r="K130" s="27" t="n">
        <v>45951</v>
      </c>
      <c r="L130" s="37" t="inlineStr">
        <is>
          <t>HĐ cũ: 488-1/BK-2025</t>
        </is>
      </c>
    </row>
    <row r="131" ht="15.75" customHeight="1" s="56">
      <c r="A131" s="36" t="n">
        <v>45931</v>
      </c>
      <c r="B131" s="37" t="inlineStr">
        <is>
          <t>Lê Văn Dựng</t>
        </is>
      </c>
      <c r="C131" s="37" t="inlineStr">
        <is>
          <t>BK-HS-0320</t>
        </is>
      </c>
      <c r="D131" s="37" t="n"/>
      <c r="E131" s="37" t="inlineStr">
        <is>
          <t>Đo GPS</t>
        </is>
      </c>
      <c r="F131" s="37" t="inlineStr">
        <is>
          <t>Phòng Đo đạc</t>
        </is>
      </c>
      <c r="G131" s="29" t="n">
        <v>1200000</v>
      </c>
      <c r="H131" s="29" t="n">
        <v>0</v>
      </c>
      <c r="I131" s="29" t="n">
        <v>0</v>
      </c>
      <c r="J131" s="29">
        <f>IF(B131="","",SUM(G131:I131))</f>
        <v/>
      </c>
      <c r="K131" s="27" t="n">
        <v>45951</v>
      </c>
      <c r="L131" s="37" t="inlineStr">
        <is>
          <t>HĐ cũ: 488-2/BK-2025</t>
        </is>
      </c>
    </row>
    <row r="132" ht="15.75" customHeight="1" s="56">
      <c r="A132" s="36" t="n">
        <v>45931</v>
      </c>
      <c r="B132" s="37" t="inlineStr">
        <is>
          <t>Lê Văn Dựng</t>
        </is>
      </c>
      <c r="C132" s="37" t="n"/>
      <c r="D132" s="37" t="n"/>
      <c r="E132" s="37" t="inlineStr">
        <is>
          <t>Cấp đổi</t>
        </is>
      </c>
      <c r="F132" s="37" t="inlineStr">
        <is>
          <t>Phòng Đo đạc</t>
        </is>
      </c>
      <c r="G132" s="29" t="n">
        <v>1100000</v>
      </c>
      <c r="H132" s="29" t="n">
        <v>0</v>
      </c>
      <c r="I132" s="29" t="n">
        <v>0</v>
      </c>
      <c r="J132" s="29">
        <f>IF(B132="","",SUM(G132:I132))</f>
        <v/>
      </c>
      <c r="K132" s="27" t="n">
        <v>45951</v>
      </c>
      <c r="L132" s="37" t="inlineStr">
        <is>
          <t>HĐ cũ: 460/BK-2025</t>
        </is>
      </c>
    </row>
    <row r="133" ht="15.75" customHeight="1" s="56">
      <c r="A133" s="36" t="n">
        <v>45931</v>
      </c>
      <c r="B133" s="37" t="inlineStr">
        <is>
          <t>Lê Văn Dựng</t>
        </is>
      </c>
      <c r="C133" s="37" t="n"/>
      <c r="D133" s="37" t="n"/>
      <c r="E133" s="37" t="inlineStr">
        <is>
          <t>Cấp đổi</t>
        </is>
      </c>
      <c r="F133" s="37" t="inlineStr">
        <is>
          <t>Phòng Đo đạc</t>
        </is>
      </c>
      <c r="G133" s="29" t="n">
        <v>1100000</v>
      </c>
      <c r="H133" s="29" t="n">
        <v>0</v>
      </c>
      <c r="I133" s="29" t="n">
        <v>0</v>
      </c>
      <c r="J133" s="29">
        <f>IF(B133="","",SUM(G133:I133))</f>
        <v/>
      </c>
      <c r="K133" s="27" t="n">
        <v>45951</v>
      </c>
      <c r="L133" s="37" t="inlineStr">
        <is>
          <t>HĐ cũ: 488/BK-2025 | Thửa 1115</t>
        </is>
      </c>
    </row>
    <row r="134" ht="15.75" customHeight="1" s="56">
      <c r="A134" s="36" t="n">
        <v>45931</v>
      </c>
      <c r="B134" s="37" t="inlineStr">
        <is>
          <t>Lê Văn Dựng</t>
        </is>
      </c>
      <c r="C134" s="37" t="n"/>
      <c r="D134" s="37" t="n"/>
      <c r="E134" s="37" t="inlineStr">
        <is>
          <t>Cấp đổi</t>
        </is>
      </c>
      <c r="F134" s="37" t="inlineStr">
        <is>
          <t>Phòng Đo đạc</t>
        </is>
      </c>
      <c r="G134" s="29" t="n">
        <v>1100000</v>
      </c>
      <c r="H134" s="29" t="n">
        <v>0</v>
      </c>
      <c r="I134" s="29" t="n">
        <v>0</v>
      </c>
      <c r="J134" s="29">
        <f>IF(B134="","",SUM(G134:I134))</f>
        <v/>
      </c>
      <c r="K134" s="27" t="n">
        <v>45951</v>
      </c>
      <c r="L134" s="37" t="inlineStr">
        <is>
          <t>HĐ cũ: 487/BK-2025 | Thửa 26</t>
        </is>
      </c>
    </row>
    <row r="135" ht="15.75" customHeight="1" s="56">
      <c r="A135" s="36" t="n">
        <v>45931</v>
      </c>
      <c r="B135" s="37" t="inlineStr">
        <is>
          <t>Lê Văn Dựng</t>
        </is>
      </c>
      <c r="C135" s="37" t="inlineStr">
        <is>
          <t>BK-HS-0319</t>
        </is>
      </c>
      <c r="D135" s="37" t="n"/>
      <c r="E135" s="37" t="inlineStr">
        <is>
          <t>Cấp đổi</t>
        </is>
      </c>
      <c r="F135" s="37" t="inlineStr">
        <is>
          <t>Phòng Đo đạc</t>
        </is>
      </c>
      <c r="G135" s="29" t="n">
        <v>1100000</v>
      </c>
      <c r="H135" s="29" t="n">
        <v>0</v>
      </c>
      <c r="I135" s="29" t="n">
        <v>0</v>
      </c>
      <c r="J135" s="29">
        <f>IF(B135="","",SUM(G135:I135))</f>
        <v/>
      </c>
      <c r="K135" s="27" t="n">
        <v>45953</v>
      </c>
      <c r="L135" s="37" t="inlineStr">
        <is>
          <t>HĐ cũ: 537/BK-2025</t>
        </is>
      </c>
    </row>
    <row r="136" ht="15.75" customHeight="1" s="56">
      <c r="A136" s="36" t="n">
        <v>45931</v>
      </c>
      <c r="B136" s="37" t="inlineStr">
        <is>
          <t>Lê Văn Dựng</t>
        </is>
      </c>
      <c r="C136" s="37" t="inlineStr">
        <is>
          <t>BK-HS-0312</t>
        </is>
      </c>
      <c r="D136" s="37" t="n"/>
      <c r="E136" s="37" t="inlineStr">
        <is>
          <t>Cắm mốc</t>
        </is>
      </c>
      <c r="F136" s="37" t="inlineStr">
        <is>
          <t>Phòng Đo đạc</t>
        </is>
      </c>
      <c r="G136" s="29" t="n">
        <v>1200000</v>
      </c>
      <c r="H136" s="29" t="n">
        <v>300000</v>
      </c>
      <c r="I136" s="29" t="n">
        <v>0</v>
      </c>
      <c r="J136" s="29">
        <f>IF(B136="","",SUM(G136:I136))</f>
        <v/>
      </c>
      <c r="K136" s="27" t="n">
        <v>45955</v>
      </c>
      <c r="L136" s="37" t="inlineStr">
        <is>
          <t>HĐ cũ: 543-1/BK-2025</t>
        </is>
      </c>
    </row>
    <row r="137" ht="15.75" customHeight="1" s="56">
      <c r="A137" s="36" t="n">
        <v>45931</v>
      </c>
      <c r="B137" s="37" t="inlineStr">
        <is>
          <t>Lê Văn Dựng</t>
        </is>
      </c>
      <c r="C137" s="37" t="inlineStr">
        <is>
          <t>BK-HS-0311</t>
        </is>
      </c>
      <c r="D137" s="37" t="n"/>
      <c r="E137" s="37" t="inlineStr">
        <is>
          <t>Đo GPS</t>
        </is>
      </c>
      <c r="F137" s="37" t="inlineStr">
        <is>
          <t>Phòng Đo đạc</t>
        </is>
      </c>
      <c r="G137" s="29" t="n">
        <v>1200000</v>
      </c>
      <c r="H137" s="29" t="n">
        <v>0</v>
      </c>
      <c r="I137" s="29" t="n">
        <v>0</v>
      </c>
      <c r="J137" s="29">
        <f>IF(B137="","",SUM(G137:I137))</f>
        <v/>
      </c>
      <c r="K137" s="27" t="n">
        <v>45955</v>
      </c>
      <c r="L137" s="37" t="inlineStr">
        <is>
          <t>HĐ cũ: 543-2/BK-2025</t>
        </is>
      </c>
    </row>
    <row r="138" ht="15.75" customHeight="1" s="56">
      <c r="A138" s="36" t="n">
        <v>45931</v>
      </c>
      <c r="B138" s="37" t="inlineStr">
        <is>
          <t>Lê Văn Dựng</t>
        </is>
      </c>
      <c r="C138" s="37" t="inlineStr">
        <is>
          <t>BK-HS-0309</t>
        </is>
      </c>
      <c r="D138" s="37" t="n"/>
      <c r="E138" s="37" t="inlineStr">
        <is>
          <t>Cắm mốc</t>
        </is>
      </c>
      <c r="F138" s="37" t="inlineStr">
        <is>
          <t>Phòng Đo đạc</t>
        </is>
      </c>
      <c r="G138" s="29" t="n">
        <v>1200000</v>
      </c>
      <c r="H138" s="29" t="n">
        <v>325000</v>
      </c>
      <c r="I138" s="29" t="n">
        <v>0</v>
      </c>
      <c r="J138" s="29">
        <f>IF(B138="","",SUM(G138:I138))</f>
        <v/>
      </c>
      <c r="K138" s="27" t="n">
        <v>45955</v>
      </c>
      <c r="L138" s="37" t="inlineStr">
        <is>
          <t>HĐ cũ: 544-1/BK-2025</t>
        </is>
      </c>
    </row>
    <row r="139" ht="15.75" customHeight="1" s="56">
      <c r="A139" s="36" t="n">
        <v>45931</v>
      </c>
      <c r="B139" s="37" t="inlineStr">
        <is>
          <t>Lê Văn Dựng</t>
        </is>
      </c>
      <c r="C139" s="37" t="inlineStr">
        <is>
          <t>BK-HS-0308</t>
        </is>
      </c>
      <c r="D139" s="37" t="n"/>
      <c r="E139" s="37" t="inlineStr">
        <is>
          <t>Đo GPS</t>
        </is>
      </c>
      <c r="F139" s="37" t="inlineStr">
        <is>
          <t>Phòng Đo đạc</t>
        </is>
      </c>
      <c r="G139" s="29" t="n">
        <v>1200000</v>
      </c>
      <c r="H139" s="29" t="n">
        <v>0</v>
      </c>
      <c r="I139" s="29" t="n">
        <v>0</v>
      </c>
      <c r="J139" s="29">
        <f>IF(B139="","",SUM(G139:I139))</f>
        <v/>
      </c>
      <c r="K139" s="27" t="n">
        <v>45955</v>
      </c>
      <c r="L139" s="37" t="inlineStr">
        <is>
          <t>HĐ cũ: 544-2/BK-2025</t>
        </is>
      </c>
    </row>
    <row r="140" ht="15.75" customHeight="1" s="56">
      <c r="A140" s="36" t="n">
        <v>45931</v>
      </c>
      <c r="B140" s="37" t="inlineStr">
        <is>
          <t>Lê Văn Dựng</t>
        </is>
      </c>
      <c r="C140" s="37" t="inlineStr">
        <is>
          <t>BK-HS-0307</t>
        </is>
      </c>
      <c r="D140" s="37" t="n"/>
      <c r="E140" s="37" t="inlineStr">
        <is>
          <t>Cắm mốc</t>
        </is>
      </c>
      <c r="F140" s="37" t="inlineStr">
        <is>
          <t>Phòng Đo đạc</t>
        </is>
      </c>
      <c r="G140" s="29" t="n">
        <v>1200000</v>
      </c>
      <c r="H140" s="29" t="n">
        <v>100000</v>
      </c>
      <c r="I140" s="29" t="n">
        <v>0</v>
      </c>
      <c r="J140" s="29">
        <f>IF(B140="","",SUM(G140:I140))</f>
        <v/>
      </c>
      <c r="K140" s="27" t="n">
        <v>45955</v>
      </c>
      <c r="L140" s="37" t="inlineStr">
        <is>
          <t>HĐ cũ: 545/BK-2025</t>
        </is>
      </c>
    </row>
    <row r="141" ht="15.75" customHeight="1" s="56">
      <c r="A141" s="36" t="n">
        <v>45931</v>
      </c>
      <c r="B141" s="37" t="inlineStr">
        <is>
          <t>Lê Văn Dựng</t>
        </is>
      </c>
      <c r="C141" s="37" t="inlineStr">
        <is>
          <t>BK-HS-0306</t>
        </is>
      </c>
      <c r="D141" s="37" t="n"/>
      <c r="E141" s="37" t="inlineStr">
        <is>
          <t>Cắm mốc</t>
        </is>
      </c>
      <c r="F141" s="37" t="inlineStr">
        <is>
          <t>Phòng Đo đạc</t>
        </is>
      </c>
      <c r="G141" s="29" t="n">
        <v>1200000</v>
      </c>
      <c r="H141" s="29" t="n">
        <v>100000</v>
      </c>
      <c r="I141" s="29" t="n">
        <v>0</v>
      </c>
      <c r="J141" s="29">
        <f>IF(B141="","",SUM(G141:I141))</f>
        <v/>
      </c>
      <c r="K141" s="27" t="n">
        <v>45955</v>
      </c>
      <c r="L141" s="37" t="inlineStr">
        <is>
          <t>HĐ cũ: 546/BK-2025</t>
        </is>
      </c>
    </row>
    <row r="142" ht="15.75" customHeight="1" s="56">
      <c r="A142" s="36" t="n">
        <v>45931</v>
      </c>
      <c r="B142" s="37" t="inlineStr">
        <is>
          <t>Lê Văn Dựng</t>
        </is>
      </c>
      <c r="C142" s="37" t="inlineStr">
        <is>
          <t>BK-HS-0305</t>
        </is>
      </c>
      <c r="D142" s="37" t="n"/>
      <c r="E142" s="37" t="inlineStr">
        <is>
          <t>Cắm mốc</t>
        </is>
      </c>
      <c r="F142" s="37" t="inlineStr">
        <is>
          <t>Phòng Đo đạc</t>
        </is>
      </c>
      <c r="G142" s="29" t="n">
        <v>1200000</v>
      </c>
      <c r="H142" s="29" t="n">
        <v>100000</v>
      </c>
      <c r="I142" s="29" t="n">
        <v>0</v>
      </c>
      <c r="J142" s="29">
        <f>IF(B142="","",SUM(G142:I142))</f>
        <v/>
      </c>
      <c r="K142" s="27" t="n">
        <v>45955</v>
      </c>
      <c r="L142" s="37" t="inlineStr">
        <is>
          <t>HĐ cũ: 547/BK-2025</t>
        </is>
      </c>
    </row>
    <row r="143" ht="15.75" customHeight="1" s="56">
      <c r="A143" s="36" t="n">
        <v>45931</v>
      </c>
      <c r="B143" s="37" t="inlineStr">
        <is>
          <t>Lê Văn Dựng</t>
        </is>
      </c>
      <c r="C143" s="37" t="n"/>
      <c r="D143" s="37" t="n"/>
      <c r="E143" s="37" t="inlineStr">
        <is>
          <t>Cấp đổi</t>
        </is>
      </c>
      <c r="F143" s="37" t="inlineStr">
        <is>
          <t>Phòng Đo đạc</t>
        </is>
      </c>
      <c r="G143" s="29" t="n">
        <v>1100000</v>
      </c>
      <c r="H143" s="29" t="n">
        <v>0</v>
      </c>
      <c r="I143" s="29" t="n">
        <v>0</v>
      </c>
      <c r="J143" s="29">
        <f>IF(B143="","",SUM(G143:I143))</f>
        <v/>
      </c>
      <c r="K143" s="27" t="n">
        <v>45957</v>
      </c>
      <c r="L143" s="37" t="inlineStr">
        <is>
          <t>HĐ cũ: 535/BK-2025</t>
        </is>
      </c>
    </row>
    <row r="144" ht="15.75" customHeight="1" s="56">
      <c r="A144" s="36" t="n">
        <v>45931</v>
      </c>
      <c r="B144" s="37" t="inlineStr">
        <is>
          <t>Lê Văn Dựng</t>
        </is>
      </c>
      <c r="C144" s="37" t="inlineStr">
        <is>
          <t>BK-HS-0313</t>
        </is>
      </c>
      <c r="D144" s="37" t="n"/>
      <c r="E144" s="37" t="inlineStr">
        <is>
          <t>Cấp đổi</t>
        </is>
      </c>
      <c r="F144" s="37" t="inlineStr">
        <is>
          <t>Phòng Đo đạc</t>
        </is>
      </c>
      <c r="G144" s="29" t="n">
        <v>1100000</v>
      </c>
      <c r="H144" s="29" t="n">
        <v>0</v>
      </c>
      <c r="I144" s="29" t="n">
        <v>0</v>
      </c>
      <c r="J144" s="29">
        <f>IF(B144="","",SUM(G144:I144))</f>
        <v/>
      </c>
      <c r="K144" s="27" t="n">
        <v>45957</v>
      </c>
      <c r="L144" s="37" t="inlineStr">
        <is>
          <t>HĐ cũ: 543/BK-2025</t>
        </is>
      </c>
    </row>
    <row r="145" ht="15.75" customHeight="1" s="56">
      <c r="A145" s="36" t="n">
        <v>45931</v>
      </c>
      <c r="B145" s="37" t="inlineStr">
        <is>
          <t>Lê Văn Dựng</t>
        </is>
      </c>
      <c r="C145" s="37" t="inlineStr">
        <is>
          <t>BK-HS-0303</t>
        </is>
      </c>
      <c r="D145" s="37" t="n"/>
      <c r="E145" s="37" t="inlineStr">
        <is>
          <t>Cắm mốc</t>
        </is>
      </c>
      <c r="F145" s="37" t="inlineStr">
        <is>
          <t>Phòng Đo đạc</t>
        </is>
      </c>
      <c r="G145" s="29" t="n">
        <v>1200000</v>
      </c>
      <c r="H145" s="29" t="n">
        <v>50000</v>
      </c>
      <c r="I145" s="29" t="n">
        <v>0</v>
      </c>
      <c r="J145" s="29">
        <f>IF(B145="","",SUM(G145:I145))</f>
        <v/>
      </c>
      <c r="K145" s="27" t="n">
        <v>45957</v>
      </c>
      <c r="L145" s="37" t="inlineStr">
        <is>
          <t>HĐ cũ: 548-1/BK-2025</t>
        </is>
      </c>
    </row>
    <row r="146" ht="15.75" customHeight="1" s="56">
      <c r="A146" s="36" t="n">
        <v>45931</v>
      </c>
      <c r="B146" s="37" t="inlineStr">
        <is>
          <t>Lê Văn Dựng</t>
        </is>
      </c>
      <c r="C146" s="37" t="inlineStr">
        <is>
          <t>BK-HS-0302</t>
        </is>
      </c>
      <c r="D146" s="37" t="n"/>
      <c r="E146" s="37" t="inlineStr">
        <is>
          <t>Cắm mốc</t>
        </is>
      </c>
      <c r="F146" s="37" t="inlineStr">
        <is>
          <t>Phòng Đo đạc</t>
        </is>
      </c>
      <c r="G146" s="29" t="n">
        <v>1200000</v>
      </c>
      <c r="H146" s="29" t="n">
        <v>50000</v>
      </c>
      <c r="I146" s="29" t="n">
        <v>0</v>
      </c>
      <c r="J146" s="29">
        <f>IF(B146="","",SUM(G146:I146))</f>
        <v/>
      </c>
      <c r="K146" s="27" t="n">
        <v>45957</v>
      </c>
      <c r="L146" s="37" t="inlineStr">
        <is>
          <t>HĐ cũ: 535-2/BK-2025</t>
        </is>
      </c>
    </row>
    <row r="147" ht="15.75" customHeight="1" s="56">
      <c r="A147" s="36" t="n">
        <v>45931</v>
      </c>
      <c r="B147" s="37" t="inlineStr">
        <is>
          <t>Lê Văn Dựng</t>
        </is>
      </c>
      <c r="C147" s="37" t="inlineStr">
        <is>
          <t>BK-HS-0310</t>
        </is>
      </c>
      <c r="D147" s="37" t="n"/>
      <c r="E147" s="37" t="inlineStr">
        <is>
          <t>Cấp đổi</t>
        </is>
      </c>
      <c r="F147" s="37" t="inlineStr">
        <is>
          <t>Phòng Đo đạc</t>
        </is>
      </c>
      <c r="G147" s="29" t="n">
        <v>1100000</v>
      </c>
      <c r="H147" s="29" t="n">
        <v>0</v>
      </c>
      <c r="I147" s="29" t="n">
        <v>0</v>
      </c>
      <c r="J147" s="29">
        <f>IF(B147="","",SUM(G147:I147))</f>
        <v/>
      </c>
      <c r="K147" s="27" t="n">
        <v>45958</v>
      </c>
      <c r="L147" s="37" t="inlineStr">
        <is>
          <t>HĐ cũ: 544/BK-2025</t>
        </is>
      </c>
    </row>
    <row r="148" ht="15.75" customHeight="1" s="56">
      <c r="A148" s="36" t="n">
        <v>45931</v>
      </c>
      <c r="B148" s="37" t="inlineStr">
        <is>
          <t>Lê Văn Dựng</t>
        </is>
      </c>
      <c r="C148" s="37" t="inlineStr">
        <is>
          <t>BK-HS-0293</t>
        </is>
      </c>
      <c r="D148" s="37" t="n"/>
      <c r="E148" s="37" t="inlineStr">
        <is>
          <t>Cắm mốc</t>
        </is>
      </c>
      <c r="F148" s="37" t="inlineStr">
        <is>
          <t>Phòng Đo đạc</t>
        </is>
      </c>
      <c r="G148" s="29" t="n">
        <v>1200000</v>
      </c>
      <c r="H148" s="29" t="n">
        <v>300000</v>
      </c>
      <c r="I148" s="29" t="n">
        <v>300000</v>
      </c>
      <c r="J148" s="29">
        <f>IF(B148="","",SUM(G148:I148))</f>
        <v/>
      </c>
      <c r="K148" s="27" t="n">
        <v>45961</v>
      </c>
      <c r="L148" s="37" t="inlineStr">
        <is>
          <t>HĐ cũ: 553/BK-2025</t>
        </is>
      </c>
    </row>
    <row r="149" ht="15.75" customHeight="1" s="56">
      <c r="A149" s="36" t="n">
        <v>45901</v>
      </c>
      <c r="B149" s="37" t="inlineStr">
        <is>
          <t>Lê Văn Dựng</t>
        </is>
      </c>
      <c r="C149" s="37" t="n"/>
      <c r="D149" s="37" t="n"/>
      <c r="E149" s="37" t="inlineStr">
        <is>
          <t>Cấp đổi</t>
        </is>
      </c>
      <c r="F149" s="37" t="inlineStr">
        <is>
          <t>Phòng Đo đạc</t>
        </is>
      </c>
      <c r="G149" s="29" t="n">
        <v>1100000</v>
      </c>
      <c r="H149" s="29" t="n">
        <v>0</v>
      </c>
      <c r="I149" s="29" t="n">
        <v>0</v>
      </c>
      <c r="J149" s="29">
        <f>IF(B149="","",SUM(G149:I149))</f>
        <v/>
      </c>
      <c r="K149" s="27" t="n">
        <v>45903</v>
      </c>
      <c r="L149" s="37" t="inlineStr">
        <is>
          <t>HĐ cũ: 389/BK-2025</t>
        </is>
      </c>
    </row>
    <row r="150" ht="15.75" customHeight="1" s="56">
      <c r="A150" s="36" t="n">
        <v>45901</v>
      </c>
      <c r="B150" s="37" t="inlineStr">
        <is>
          <t>Lê Văn Dựng</t>
        </is>
      </c>
      <c r="C150" s="37" t="n"/>
      <c r="D150" s="37" t="n"/>
      <c r="E150" s="37" t="inlineStr">
        <is>
          <t>Cấp đổi</t>
        </is>
      </c>
      <c r="F150" s="37" t="inlineStr">
        <is>
          <t>Phòng Đo đạc</t>
        </is>
      </c>
      <c r="G150" s="29" t="n">
        <v>1100000</v>
      </c>
      <c r="H150" s="29" t="n">
        <v>0</v>
      </c>
      <c r="I150" s="29" t="n">
        <v>300000</v>
      </c>
      <c r="J150" s="29">
        <f>IF(B150="","",SUM(G150:I150))</f>
        <v/>
      </c>
      <c r="K150" s="27" t="n">
        <v>45903</v>
      </c>
      <c r="L150" s="37" t="inlineStr">
        <is>
          <t>HĐ cũ: 403/BK-2025</t>
        </is>
      </c>
    </row>
    <row r="151" ht="15.75" customHeight="1" s="56">
      <c r="A151" s="36" t="n">
        <v>45901</v>
      </c>
      <c r="B151" s="37" t="inlineStr">
        <is>
          <t>Lê Văn Dựng</t>
        </is>
      </c>
      <c r="C151" s="37" t="n"/>
      <c r="D151" s="37" t="n"/>
      <c r="E151" s="37" t="inlineStr">
        <is>
          <t>Cấp đổi</t>
        </is>
      </c>
      <c r="F151" s="37" t="inlineStr">
        <is>
          <t>Phòng Đo đạc</t>
        </is>
      </c>
      <c r="G151" s="29" t="n">
        <v>1100000</v>
      </c>
      <c r="H151" s="29" t="n">
        <v>0</v>
      </c>
      <c r="I151" s="29" t="n">
        <v>300000</v>
      </c>
      <c r="J151" s="29">
        <f>IF(B151="","",SUM(G151:I151))</f>
        <v/>
      </c>
      <c r="K151" s="27" t="n">
        <v>45905</v>
      </c>
      <c r="L151" s="37" t="inlineStr">
        <is>
          <t>HĐ cũ: 396/BK-2025</t>
        </is>
      </c>
    </row>
    <row r="152" ht="15.75" customHeight="1" s="56">
      <c r="A152" s="36" t="n">
        <v>45901</v>
      </c>
      <c r="B152" s="37" t="inlineStr">
        <is>
          <t>Lê Văn Dựng</t>
        </is>
      </c>
      <c r="C152" s="37" t="n"/>
      <c r="D152" s="37" t="n"/>
      <c r="E152" s="37" t="inlineStr">
        <is>
          <t>Cấp đổi</t>
        </is>
      </c>
      <c r="F152" s="37" t="inlineStr">
        <is>
          <t>Phòng Đo đạc</t>
        </is>
      </c>
      <c r="G152" s="29" t="n">
        <v>1100000</v>
      </c>
      <c r="H152" s="29" t="n">
        <v>0</v>
      </c>
      <c r="I152" s="29" t="n">
        <v>300000</v>
      </c>
      <c r="J152" s="29">
        <f>IF(B152="","",SUM(G152:I152))</f>
        <v/>
      </c>
      <c r="K152" s="27" t="n">
        <v>45905</v>
      </c>
      <c r="L152" s="37" t="inlineStr">
        <is>
          <t>HĐ cũ: 397/BK-2025</t>
        </is>
      </c>
    </row>
    <row r="153" ht="15.75" customHeight="1" s="56">
      <c r="A153" s="36" t="n">
        <v>45901</v>
      </c>
      <c r="B153" s="37" t="inlineStr">
        <is>
          <t>Lê Văn Dựng</t>
        </is>
      </c>
      <c r="C153" s="37" t="n"/>
      <c r="D153" s="37" t="n"/>
      <c r="E153" s="37" t="inlineStr">
        <is>
          <t>Cấp đổi</t>
        </is>
      </c>
      <c r="F153" s="37" t="inlineStr">
        <is>
          <t>Phòng Đo đạc</t>
        </is>
      </c>
      <c r="G153" s="29" t="n">
        <v>1100000</v>
      </c>
      <c r="H153" s="29" t="n">
        <v>0</v>
      </c>
      <c r="I153" s="29" t="n">
        <v>300000</v>
      </c>
      <c r="J153" s="29">
        <f>IF(B153="","",SUM(G153:I153))</f>
        <v/>
      </c>
      <c r="K153" s="27" t="n">
        <v>45904</v>
      </c>
      <c r="L153" s="37" t="inlineStr">
        <is>
          <t>HĐ cũ: 404/BK-2025</t>
        </is>
      </c>
    </row>
    <row r="154" ht="15.75" customHeight="1" s="56">
      <c r="A154" s="36" t="n">
        <v>45901</v>
      </c>
      <c r="B154" s="37" t="inlineStr">
        <is>
          <t>Lê Văn Dựng</t>
        </is>
      </c>
      <c r="C154" s="37" t="n"/>
      <c r="D154" s="37" t="n"/>
      <c r="E154" s="37" t="inlineStr">
        <is>
          <t>Cấp đổi</t>
        </is>
      </c>
      <c r="F154" s="37" t="inlineStr">
        <is>
          <t>Phòng Đo đạc</t>
        </is>
      </c>
      <c r="G154" s="29" t="n">
        <v>1100000</v>
      </c>
      <c r="H154" s="29" t="n">
        <v>0</v>
      </c>
      <c r="I154" s="29" t="n">
        <v>0</v>
      </c>
      <c r="J154" s="29">
        <f>IF(B154="","",SUM(G154:I154))</f>
        <v/>
      </c>
      <c r="K154" s="27" t="n">
        <v>45908</v>
      </c>
      <c r="L154" s="37" t="inlineStr">
        <is>
          <t>HĐ cũ: 409/BK-2025 | hồ sơ có đo gps</t>
        </is>
      </c>
    </row>
    <row r="155" ht="15.75" customHeight="1" s="56">
      <c r="A155" s="36" t="n">
        <v>45901</v>
      </c>
      <c r="B155" s="37" t="inlineStr">
        <is>
          <t>Lê Văn Dựng</t>
        </is>
      </c>
      <c r="C155" s="37" t="n"/>
      <c r="D155" s="37" t="n"/>
      <c r="E155" s="37" t="inlineStr">
        <is>
          <t>Đo GPS</t>
        </is>
      </c>
      <c r="F155" s="37" t="inlineStr">
        <is>
          <t>Phòng Đo đạc</t>
        </is>
      </c>
      <c r="G155" s="29" t="n">
        <v>1200000</v>
      </c>
      <c r="H155" s="29" t="n">
        <v>0</v>
      </c>
      <c r="I155" s="29" t="n">
        <v>0</v>
      </c>
      <c r="J155" s="29">
        <f>IF(B155="","",SUM(G155:I155))</f>
        <v/>
      </c>
      <c r="K155" s="27" t="n">
        <v>45906</v>
      </c>
      <c r="L155" s="37" t="inlineStr">
        <is>
          <t>HĐ cũ: 413/BK-2025</t>
        </is>
      </c>
    </row>
    <row r="156" ht="15.75" customHeight="1" s="56">
      <c r="A156" s="36" t="n">
        <v>45901</v>
      </c>
      <c r="B156" s="37" t="inlineStr">
        <is>
          <t>Lê Văn Dựng</t>
        </is>
      </c>
      <c r="C156" s="37" t="n"/>
      <c r="D156" s="37" t="n"/>
      <c r="E156" s="37" t="inlineStr">
        <is>
          <t>Đo GPS</t>
        </is>
      </c>
      <c r="F156" s="37" t="inlineStr">
        <is>
          <t>Phòng Đo đạc</t>
        </is>
      </c>
      <c r="G156" s="29" t="n">
        <v>1200000</v>
      </c>
      <c r="H156" s="29" t="n">
        <v>0</v>
      </c>
      <c r="I156" s="29" t="n">
        <v>0</v>
      </c>
      <c r="J156" s="29">
        <f>IF(B156="","",SUM(G156:I156))</f>
        <v/>
      </c>
      <c r="K156" s="27" t="n">
        <v>45908</v>
      </c>
      <c r="L156" s="37" t="inlineStr">
        <is>
          <t>HĐ cũ: 401-2/BK-2025 | hồ sơ a Thông xử lý</t>
        </is>
      </c>
    </row>
    <row r="157" ht="15.75" customHeight="1" s="56">
      <c r="A157" s="36" t="n">
        <v>45901</v>
      </c>
      <c r="B157" s="37" t="inlineStr">
        <is>
          <t>Lê Văn Dựng</t>
        </is>
      </c>
      <c r="C157" s="37" t="n"/>
      <c r="D157" s="37" t="n"/>
      <c r="E157" s="37" t="inlineStr">
        <is>
          <t>Điều chỉnh bản vẽ</t>
        </is>
      </c>
      <c r="F157" s="37" t="inlineStr">
        <is>
          <t>Phòng Đo đạc</t>
        </is>
      </c>
      <c r="G157" s="29" t="n">
        <v>0</v>
      </c>
      <c r="H157" s="29" t="n">
        <v>0</v>
      </c>
      <c r="I157" s="29" t="n">
        <v>0</v>
      </c>
      <c r="J157" s="29">
        <f>IF(B157="","",SUM(G157:I157))</f>
        <v/>
      </c>
      <c r="K157" s="27" t="n">
        <v>45908</v>
      </c>
      <c r="L157" s="37" t="inlineStr">
        <is>
          <t>HĐ cũ: 293-ĐC-2/BK-2025 | Lỗi nhân sự</t>
        </is>
      </c>
    </row>
    <row r="158" ht="15.75" customHeight="1" s="56">
      <c r="A158" s="36" t="n">
        <v>45901</v>
      </c>
      <c r="B158" s="37" t="inlineStr">
        <is>
          <t>Lê Văn Dựng</t>
        </is>
      </c>
      <c r="C158" s="37" t="n"/>
      <c r="D158" s="37" t="n"/>
      <c r="E158" s="37" t="inlineStr">
        <is>
          <t>Hoàn công</t>
        </is>
      </c>
      <c r="F158" s="37" t="inlineStr">
        <is>
          <t>Phòng Đo đạc</t>
        </is>
      </c>
      <c r="G158" s="29" t="n">
        <v>1100000</v>
      </c>
      <c r="H158" s="29" t="n">
        <v>0</v>
      </c>
      <c r="I158" s="29" t="n">
        <v>0</v>
      </c>
      <c r="J158" s="29">
        <f>IF(B158="","",SUM(G158:I158))</f>
        <v/>
      </c>
      <c r="K158" s="27" t="n">
        <v>45910</v>
      </c>
      <c r="L158" s="37" t="inlineStr">
        <is>
          <t>HĐ cũ: 418/BK-2025</t>
        </is>
      </c>
    </row>
    <row r="159" ht="15.75" customHeight="1" s="56">
      <c r="A159" s="36" t="n">
        <v>45901</v>
      </c>
      <c r="B159" s="37" t="inlineStr">
        <is>
          <t>Lê Văn Dựng</t>
        </is>
      </c>
      <c r="C159" s="37" t="n"/>
      <c r="D159" s="37" t="n"/>
      <c r="E159" s="37" t="inlineStr">
        <is>
          <t>Cấp đổi</t>
        </is>
      </c>
      <c r="F159" s="37" t="inlineStr">
        <is>
          <t>Phòng Đo đạc</t>
        </is>
      </c>
      <c r="G159" s="29" t="n">
        <v>1100000</v>
      </c>
      <c r="H159" s="29" t="n">
        <v>0</v>
      </c>
      <c r="I159" s="29" t="n">
        <v>0</v>
      </c>
      <c r="J159" s="29">
        <f>IF(B159="","",SUM(G159:I159))</f>
        <v/>
      </c>
      <c r="K159" s="27" t="n">
        <v>45911</v>
      </c>
      <c r="L159" s="37" t="inlineStr">
        <is>
          <t>HĐ cũ: 241/BK-2025</t>
        </is>
      </c>
    </row>
    <row r="160" ht="15.75" customHeight="1" s="56">
      <c r="A160" s="36" t="n">
        <v>45901</v>
      </c>
      <c r="B160" s="37" t="inlineStr">
        <is>
          <t>Lê Văn Dựng</t>
        </is>
      </c>
      <c r="C160" s="37" t="n"/>
      <c r="D160" s="37" t="n"/>
      <c r="E160" s="37" t="inlineStr">
        <is>
          <t>Đo GPS</t>
        </is>
      </c>
      <c r="F160" s="37" t="inlineStr">
        <is>
          <t>Phòng Đo đạc</t>
        </is>
      </c>
      <c r="G160" s="29" t="n">
        <v>1200000</v>
      </c>
      <c r="H160" s="29" t="n">
        <v>0</v>
      </c>
      <c r="I160" s="29" t="n">
        <v>0</v>
      </c>
      <c r="J160" s="29">
        <f>IF(B160="","",SUM(G160:I160))</f>
        <v/>
      </c>
      <c r="K160" s="27" t="n">
        <v>45911</v>
      </c>
      <c r="L160" s="37" t="inlineStr">
        <is>
          <t>HĐ cũ: 414-2/BK-2025</t>
        </is>
      </c>
    </row>
    <row r="161" ht="15.75" customHeight="1" s="56">
      <c r="A161" s="36" t="n">
        <v>45901</v>
      </c>
      <c r="B161" s="37" t="inlineStr">
        <is>
          <t>Lê Văn Dựng</t>
        </is>
      </c>
      <c r="C161" s="37" t="n"/>
      <c r="D161" s="37" t="n"/>
      <c r="E161" s="37" t="inlineStr">
        <is>
          <t>Đo GPS</t>
        </is>
      </c>
      <c r="F161" s="37" t="inlineStr">
        <is>
          <t>Phòng Đo đạc</t>
        </is>
      </c>
      <c r="G161" s="29" t="n">
        <v>1200000</v>
      </c>
      <c r="H161" s="29" t="n">
        <v>0</v>
      </c>
      <c r="I161" s="29" t="n">
        <v>0</v>
      </c>
      <c r="J161" s="29">
        <f>IF(B161="","",SUM(G161:I161))</f>
        <v/>
      </c>
      <c r="K161" s="27" t="n">
        <v>45912</v>
      </c>
      <c r="L161" s="37" t="inlineStr">
        <is>
          <t>HĐ cũ: 431/BK-2025</t>
        </is>
      </c>
    </row>
    <row r="162" ht="15.75" customHeight="1" s="56">
      <c r="A162" s="36" t="n">
        <v>45901</v>
      </c>
      <c r="B162" s="37" t="inlineStr">
        <is>
          <t>Lê Văn Dựng</t>
        </is>
      </c>
      <c r="C162" s="37" t="n"/>
      <c r="D162" s="37" t="n"/>
      <c r="E162" s="37" t="inlineStr">
        <is>
          <t>Đo GPS</t>
        </is>
      </c>
      <c r="F162" s="37" t="inlineStr">
        <is>
          <t>Phòng Đo đạc</t>
        </is>
      </c>
      <c r="G162" s="29" t="n">
        <v>1200000</v>
      </c>
      <c r="H162" s="29" t="n">
        <v>0</v>
      </c>
      <c r="I162" s="29" t="n">
        <v>0</v>
      </c>
      <c r="J162" s="29">
        <f>IF(B162="","",SUM(G162:I162))</f>
        <v/>
      </c>
      <c r="K162" s="27" t="n">
        <v>45912</v>
      </c>
      <c r="L162" s="37" t="inlineStr">
        <is>
          <t>HĐ cũ: 428-2/BK-2025</t>
        </is>
      </c>
    </row>
    <row r="163" ht="15.75" customHeight="1" s="56">
      <c r="A163" s="36" t="n">
        <v>45901</v>
      </c>
      <c r="B163" s="37" t="inlineStr">
        <is>
          <t>Lê Văn Dựng</t>
        </is>
      </c>
      <c r="C163" s="37" t="n"/>
      <c r="D163" s="37" t="n"/>
      <c r="E163" s="37" t="inlineStr">
        <is>
          <t>Đo GPS</t>
        </is>
      </c>
      <c r="F163" s="37" t="inlineStr">
        <is>
          <t>Phòng Đo đạc</t>
        </is>
      </c>
      <c r="G163" s="29" t="n">
        <v>1200000</v>
      </c>
      <c r="H163" s="29" t="n">
        <v>0</v>
      </c>
      <c r="I163" s="29" t="n">
        <v>0</v>
      </c>
      <c r="J163" s="29">
        <f>IF(B163="","",SUM(G163:I163))</f>
        <v/>
      </c>
      <c r="K163" s="27" t="n">
        <v>45912</v>
      </c>
      <c r="L163" s="37" t="inlineStr">
        <is>
          <t>HĐ cũ: 429-2/BK-2025</t>
        </is>
      </c>
    </row>
    <row r="164" ht="15.75" customHeight="1" s="56">
      <c r="A164" s="36" t="n">
        <v>45901</v>
      </c>
      <c r="B164" s="37" t="inlineStr">
        <is>
          <t>Lê Văn Dựng</t>
        </is>
      </c>
      <c r="C164" s="37" t="n"/>
      <c r="D164" s="37" t="n"/>
      <c r="E164" s="37" t="inlineStr">
        <is>
          <t>Cắm mốc</t>
        </is>
      </c>
      <c r="F164" s="37" t="inlineStr">
        <is>
          <t>Phòng Đo đạc</t>
        </is>
      </c>
      <c r="G164" s="29" t="n">
        <v>1200000</v>
      </c>
      <c r="H164" s="29" t="n">
        <v>0</v>
      </c>
      <c r="I164" s="29" t="n">
        <v>0</v>
      </c>
      <c r="J164" s="29">
        <f>IF(B164="","",SUM(G164:I164))</f>
        <v/>
      </c>
      <c r="K164" s="27" t="n">
        <v>45913</v>
      </c>
      <c r="L164" s="37" t="inlineStr">
        <is>
          <t>HĐ cũ: 433/BK-2025</t>
        </is>
      </c>
    </row>
    <row r="165" ht="15.75" customHeight="1" s="56">
      <c r="A165" s="36" t="n">
        <v>45901</v>
      </c>
      <c r="B165" s="37" t="inlineStr">
        <is>
          <t>Lê Văn Dựng</t>
        </is>
      </c>
      <c r="C165" s="37" t="n"/>
      <c r="D165" s="37" t="n"/>
      <c r="E165" s="37" t="inlineStr">
        <is>
          <t>Cấp đổi</t>
        </is>
      </c>
      <c r="F165" s="37" t="inlineStr">
        <is>
          <t>Phòng Đo đạc</t>
        </is>
      </c>
      <c r="G165" s="29" t="n">
        <v>1100000</v>
      </c>
      <c r="H165" s="29" t="n">
        <v>0</v>
      </c>
      <c r="I165" s="29" t="n">
        <v>0</v>
      </c>
      <c r="J165" s="29">
        <f>IF(B165="","",SUM(G165:I165))</f>
        <v/>
      </c>
      <c r="K165" s="27" t="n">
        <v>45916</v>
      </c>
      <c r="L165" s="37" t="inlineStr">
        <is>
          <t>HĐ cũ: 428/BK-2025</t>
        </is>
      </c>
    </row>
    <row r="166" ht="15.75" customHeight="1" s="56">
      <c r="A166" s="36" t="n">
        <v>45901</v>
      </c>
      <c r="B166" s="37" t="inlineStr">
        <is>
          <t>Lê Văn Dựng</t>
        </is>
      </c>
      <c r="C166" s="37" t="n"/>
      <c r="D166" s="37" t="n"/>
      <c r="E166" s="37" t="inlineStr">
        <is>
          <t>Cấp đổi</t>
        </is>
      </c>
      <c r="F166" s="37" t="inlineStr">
        <is>
          <t>Phòng Đo đạc</t>
        </is>
      </c>
      <c r="G166" s="29" t="n">
        <v>1100000</v>
      </c>
      <c r="H166" s="29" t="n">
        <v>0</v>
      </c>
      <c r="I166" s="29" t="n">
        <v>0</v>
      </c>
      <c r="J166" s="29">
        <f>IF(B166="","",SUM(G166:I166))</f>
        <v/>
      </c>
      <c r="K166" s="27" t="n">
        <v>45916</v>
      </c>
      <c r="L166" s="37" t="inlineStr">
        <is>
          <t>HĐ cũ: 429/BK-2025</t>
        </is>
      </c>
    </row>
    <row r="167" ht="15.75" customHeight="1" s="56">
      <c r="A167" s="36" t="n">
        <v>45901</v>
      </c>
      <c r="B167" s="37" t="inlineStr">
        <is>
          <t>Lê Văn Dựng</t>
        </is>
      </c>
      <c r="C167" s="37" t="n"/>
      <c r="D167" s="37" t="n"/>
      <c r="E167" s="37" t="inlineStr">
        <is>
          <t>Đo GPS</t>
        </is>
      </c>
      <c r="F167" s="37" t="inlineStr">
        <is>
          <t>Phòng Đo đạc</t>
        </is>
      </c>
      <c r="G167" s="29" t="n">
        <v>1200000</v>
      </c>
      <c r="H167" s="29" t="n">
        <v>0</v>
      </c>
      <c r="I167" s="29" t="n">
        <v>0</v>
      </c>
      <c r="J167" s="29">
        <f>IF(B167="","",SUM(G167:I167))</f>
        <v/>
      </c>
      <c r="K167" s="27" t="n">
        <v>45916</v>
      </c>
      <c r="L167" s="37" t="inlineStr">
        <is>
          <t>HĐ cũ: 353-2/BK-2025</t>
        </is>
      </c>
    </row>
    <row r="168" ht="15.75" customHeight="1" s="56">
      <c r="A168" s="36" t="n">
        <v>45901</v>
      </c>
      <c r="B168" s="37" t="inlineStr">
        <is>
          <t>Lê Văn Dựng</t>
        </is>
      </c>
      <c r="C168" s="37" t="n"/>
      <c r="D168" s="37" t="n"/>
      <c r="E168" s="37" t="inlineStr">
        <is>
          <t>Đo GPS</t>
        </is>
      </c>
      <c r="F168" s="37" t="inlineStr">
        <is>
          <t>Phòng Đo đạc</t>
        </is>
      </c>
      <c r="G168" s="29" t="n">
        <v>1200000</v>
      </c>
      <c r="H168" s="29" t="n">
        <v>0</v>
      </c>
      <c r="I168" s="29" t="n">
        <v>0</v>
      </c>
      <c r="J168" s="29">
        <f>IF(B168="","",SUM(G168:I168))</f>
        <v/>
      </c>
      <c r="K168" s="27" t="n">
        <v>45917</v>
      </c>
      <c r="L168" s="37" t="inlineStr">
        <is>
          <t>HĐ cũ: 437-2/BK-2025</t>
        </is>
      </c>
    </row>
    <row r="169" ht="15.75" customHeight="1" s="56">
      <c r="A169" s="36" t="n">
        <v>45901</v>
      </c>
      <c r="B169" s="37" t="inlineStr">
        <is>
          <t>Lê Văn Dựng</t>
        </is>
      </c>
      <c r="C169" s="37" t="n"/>
      <c r="D169" s="37" t="n"/>
      <c r="E169" s="37" t="inlineStr">
        <is>
          <t>Cắm mốc</t>
        </is>
      </c>
      <c r="F169" s="37" t="inlineStr">
        <is>
          <t>Phòng Đo đạc</t>
        </is>
      </c>
      <c r="G169" s="29" t="n">
        <v>1200000</v>
      </c>
      <c r="H169" s="29" t="n">
        <v>0</v>
      </c>
      <c r="I169" s="29" t="n">
        <v>0</v>
      </c>
      <c r="J169" s="29">
        <f>IF(B169="","",SUM(G169:I169))</f>
        <v/>
      </c>
      <c r="K169" s="27" t="n">
        <v>45918</v>
      </c>
      <c r="L169" s="37" t="inlineStr">
        <is>
          <t>HĐ cũ: 439/BK-2025</t>
        </is>
      </c>
    </row>
    <row r="170" ht="15.75" customHeight="1" s="56">
      <c r="A170" s="36" t="n">
        <v>45901</v>
      </c>
      <c r="B170" s="37" t="inlineStr">
        <is>
          <t>Lê Văn Dựng</t>
        </is>
      </c>
      <c r="C170" s="37" t="n"/>
      <c r="D170" s="37" t="n"/>
      <c r="E170" s="37" t="inlineStr">
        <is>
          <t>Cấp đổi</t>
        </is>
      </c>
      <c r="F170" s="37" t="inlineStr">
        <is>
          <t>Phòng Đo đạc</t>
        </is>
      </c>
      <c r="G170" s="29" t="n">
        <v>1100000</v>
      </c>
      <c r="H170" s="29" t="n">
        <v>0</v>
      </c>
      <c r="I170" s="29" t="n">
        <v>0</v>
      </c>
      <c r="J170" s="29">
        <f>IF(B170="","",SUM(G170:I170))</f>
        <v/>
      </c>
      <c r="K170" s="27" t="n">
        <v>45918</v>
      </c>
      <c r="L170" s="37" t="inlineStr">
        <is>
          <t>HĐ cũ: 437/BK-2025</t>
        </is>
      </c>
    </row>
    <row r="171" ht="15.75" customHeight="1" s="56">
      <c r="A171" s="36" t="n">
        <v>45901</v>
      </c>
      <c r="B171" s="37" t="inlineStr">
        <is>
          <t>Lê Văn Dựng</t>
        </is>
      </c>
      <c r="C171" s="37" t="n"/>
      <c r="D171" s="37" t="n"/>
      <c r="E171" s="37" t="inlineStr">
        <is>
          <t>Cấp đổi</t>
        </is>
      </c>
      <c r="F171" s="37" t="inlineStr">
        <is>
          <t>Phòng Đo đạc</t>
        </is>
      </c>
      <c r="G171" s="29" t="n">
        <v>1100000</v>
      </c>
      <c r="H171" s="29" t="n">
        <v>0</v>
      </c>
      <c r="I171" s="29" t="n">
        <v>0</v>
      </c>
      <c r="J171" s="29">
        <f>IF(B171="","",SUM(G171:I171))</f>
        <v/>
      </c>
      <c r="K171" s="27" t="n">
        <v>45922</v>
      </c>
      <c r="L171" s="37" t="inlineStr">
        <is>
          <t>HĐ cũ: 446/BK-2025</t>
        </is>
      </c>
    </row>
    <row r="172" ht="15.75" customHeight="1" s="56">
      <c r="A172" s="36" t="n">
        <v>45901</v>
      </c>
      <c r="B172" s="37" t="inlineStr">
        <is>
          <t>Lê Văn Dựng</t>
        </is>
      </c>
      <c r="C172" s="37" t="n"/>
      <c r="D172" s="37" t="n"/>
      <c r="E172" s="37" t="inlineStr">
        <is>
          <t>Đo GPS</t>
        </is>
      </c>
      <c r="F172" s="37" t="inlineStr">
        <is>
          <t>Phòng Đo đạc</t>
        </is>
      </c>
      <c r="G172" s="29" t="n">
        <v>1200000</v>
      </c>
      <c r="H172" s="29" t="n">
        <v>0</v>
      </c>
      <c r="I172" s="29" t="n">
        <v>0</v>
      </c>
      <c r="J172" s="29">
        <f>IF(B172="","",SUM(G172:I172))</f>
        <v/>
      </c>
      <c r="K172" s="27" t="n">
        <v>45922</v>
      </c>
      <c r="L172" s="37" t="inlineStr">
        <is>
          <t>HĐ cũ: 446-2/BK-2025</t>
        </is>
      </c>
    </row>
    <row r="173" ht="15.75" customHeight="1" s="56">
      <c r="A173" s="36" t="n">
        <v>45901</v>
      </c>
      <c r="B173" s="37" t="inlineStr">
        <is>
          <t>Lê Văn Dựng</t>
        </is>
      </c>
      <c r="C173" s="37" t="n"/>
      <c r="D173" s="37" t="n"/>
      <c r="E173" s="37" t="inlineStr">
        <is>
          <t>Cấp đổi</t>
        </is>
      </c>
      <c r="F173" s="37" t="inlineStr">
        <is>
          <t>Phòng Đo đạc</t>
        </is>
      </c>
      <c r="G173" s="29" t="n">
        <v>1100000</v>
      </c>
      <c r="H173" s="29" t="n">
        <v>0</v>
      </c>
      <c r="I173" s="29" t="n">
        <v>0</v>
      </c>
      <c r="J173" s="29">
        <f>IF(B173="","",SUM(G173:I173))</f>
        <v/>
      </c>
      <c r="K173" s="27" t="n">
        <v>45922</v>
      </c>
      <c r="L173" s="37" t="inlineStr">
        <is>
          <t>HĐ cũ: 442/BK-2025</t>
        </is>
      </c>
    </row>
    <row r="174" ht="15.75" customHeight="1" s="56">
      <c r="A174" s="36" t="n">
        <v>45901</v>
      </c>
      <c r="B174" s="37" t="inlineStr">
        <is>
          <t>Lê Văn Dựng</t>
        </is>
      </c>
      <c r="C174" s="37" t="n"/>
      <c r="D174" s="37" t="n"/>
      <c r="E174" s="37" t="inlineStr">
        <is>
          <t>Đo GPS</t>
        </is>
      </c>
      <c r="F174" s="37" t="inlineStr">
        <is>
          <t>Phòng Đo đạc</t>
        </is>
      </c>
      <c r="G174" s="29" t="n">
        <v>1200000</v>
      </c>
      <c r="H174" s="29" t="n">
        <v>0</v>
      </c>
      <c r="I174" s="29" t="n">
        <v>0</v>
      </c>
      <c r="J174" s="29">
        <f>IF(B174="","",SUM(G174:I174))</f>
        <v/>
      </c>
      <c r="K174" s="27" t="n">
        <v>45923</v>
      </c>
      <c r="L174" s="37" t="inlineStr">
        <is>
          <t>HĐ cũ: 441-2/BK-2025</t>
        </is>
      </c>
    </row>
    <row r="175" ht="15.75" customHeight="1" s="56">
      <c r="A175" s="36" t="n">
        <v>45901</v>
      </c>
      <c r="B175" s="37" t="inlineStr">
        <is>
          <t>Lê Văn Dựng</t>
        </is>
      </c>
      <c r="C175" s="37" t="n"/>
      <c r="D175" s="37" t="n"/>
      <c r="E175" s="37" t="inlineStr">
        <is>
          <t>Điều chỉnh bản vẽ</t>
        </is>
      </c>
      <c r="F175" s="37" t="inlineStr">
        <is>
          <t>Phòng Đo đạc</t>
        </is>
      </c>
      <c r="G175" s="29" t="n">
        <v>500000</v>
      </c>
      <c r="H175" s="29" t="n">
        <v>0</v>
      </c>
      <c r="I175" s="29" t="n">
        <v>0</v>
      </c>
      <c r="J175" s="29">
        <f>IF(B175="","",SUM(G175:I175))</f>
        <v/>
      </c>
      <c r="K175" s="27" t="n">
        <v>45923</v>
      </c>
      <c r="L175" s="37" t="inlineStr">
        <is>
          <t>HĐ cũ: 369-DC/BK-2025</t>
        </is>
      </c>
    </row>
    <row r="176" ht="15.75" customHeight="1" s="56">
      <c r="A176" s="36" t="n">
        <v>45901</v>
      </c>
      <c r="B176" s="37" t="inlineStr">
        <is>
          <t>Lê Văn Dựng</t>
        </is>
      </c>
      <c r="C176" s="37" t="n"/>
      <c r="D176" s="37" t="n"/>
      <c r="E176" s="37" t="inlineStr">
        <is>
          <t>Điều chỉnh bản vẽ</t>
        </is>
      </c>
      <c r="F176" s="37" t="inlineStr">
        <is>
          <t>Phòng Đo đạc</t>
        </is>
      </c>
      <c r="G176" s="29" t="n">
        <v>500000</v>
      </c>
      <c r="H176" s="29" t="n">
        <v>0</v>
      </c>
      <c r="I176" s="29" t="n">
        <v>0</v>
      </c>
      <c r="J176" s="29">
        <f>IF(B176="","",SUM(G176:I176))</f>
        <v/>
      </c>
      <c r="K176" s="27" t="n">
        <v>45923</v>
      </c>
      <c r="L176" s="37" t="inlineStr">
        <is>
          <t>HĐ cũ: 233-DC/BK-2025</t>
        </is>
      </c>
    </row>
    <row r="177" ht="15.75" customHeight="1" s="56">
      <c r="A177" s="36" t="n">
        <v>45901</v>
      </c>
      <c r="B177" s="37" t="inlineStr">
        <is>
          <t>Lê Văn Dựng</t>
        </is>
      </c>
      <c r="C177" s="37" t="n"/>
      <c r="D177" s="37" t="n"/>
      <c r="E177" s="37" t="inlineStr">
        <is>
          <t>Đo GPS</t>
        </is>
      </c>
      <c r="F177" s="37" t="inlineStr">
        <is>
          <t>Phòng Đo đạc</t>
        </is>
      </c>
      <c r="G177" s="29" t="n">
        <v>1200000</v>
      </c>
      <c r="H177" s="29" t="n">
        <v>0</v>
      </c>
      <c r="I177" s="29" t="n">
        <v>0</v>
      </c>
      <c r="J177" s="29">
        <f>IF(B177="","",SUM(G177:I177))</f>
        <v/>
      </c>
      <c r="K177" s="27" t="n">
        <v>45924</v>
      </c>
      <c r="L177" s="37" t="inlineStr">
        <is>
          <t>HĐ cũ: 454-2/BK-2025</t>
        </is>
      </c>
    </row>
    <row r="178" ht="15.75" customHeight="1" s="56">
      <c r="A178" s="36" t="n">
        <v>45901</v>
      </c>
      <c r="B178" s="37" t="inlineStr">
        <is>
          <t>Lê Văn Dựng</t>
        </is>
      </c>
      <c r="C178" s="37" t="n"/>
      <c r="D178" s="37" t="n"/>
      <c r="E178" s="37" t="inlineStr">
        <is>
          <t>Đo GPS</t>
        </is>
      </c>
      <c r="F178" s="37" t="inlineStr">
        <is>
          <t>Phòng Đo đạc</t>
        </is>
      </c>
      <c r="G178" s="29" t="n">
        <v>1200000</v>
      </c>
      <c r="H178" s="29" t="n">
        <v>0</v>
      </c>
      <c r="I178" s="29" t="n">
        <v>0</v>
      </c>
      <c r="J178" s="29">
        <f>IF(B178="","",SUM(G178:I178))</f>
        <v/>
      </c>
      <c r="K178" s="27" t="n">
        <v>45924</v>
      </c>
      <c r="L178" s="37" t="inlineStr">
        <is>
          <t>HĐ cũ: 455-2/BK-2025</t>
        </is>
      </c>
    </row>
    <row r="179" ht="15.75" customHeight="1" s="56">
      <c r="A179" s="36" t="n">
        <v>45901</v>
      </c>
      <c r="B179" s="37" t="inlineStr">
        <is>
          <t>Lê Văn Dựng</t>
        </is>
      </c>
      <c r="C179" s="37" t="n"/>
      <c r="D179" s="37" t="n"/>
      <c r="E179" s="37" t="inlineStr">
        <is>
          <t>Đo GPS</t>
        </is>
      </c>
      <c r="F179" s="37" t="inlineStr">
        <is>
          <t>Phòng Đo đạc</t>
        </is>
      </c>
      <c r="G179" s="29" t="n">
        <v>1200000</v>
      </c>
      <c r="H179" s="29" t="n">
        <v>0</v>
      </c>
      <c r="I179" s="29" t="n">
        <v>0</v>
      </c>
      <c r="J179" s="29">
        <f>IF(B179="","",SUM(G179:I179))</f>
        <v/>
      </c>
      <c r="K179" s="27" t="n">
        <v>45924</v>
      </c>
      <c r="L179" s="37" t="inlineStr">
        <is>
          <t>HĐ cũ: 456-2/BK-2025</t>
        </is>
      </c>
    </row>
    <row r="180" ht="15.75" customHeight="1" s="56">
      <c r="A180" s="36" t="n">
        <v>45901</v>
      </c>
      <c r="B180" s="37" t="inlineStr">
        <is>
          <t>Lê Văn Dựng</t>
        </is>
      </c>
      <c r="C180" s="37" t="n"/>
      <c r="D180" s="37" t="n"/>
      <c r="E180" s="37" t="inlineStr">
        <is>
          <t>Đo GPS</t>
        </is>
      </c>
      <c r="F180" s="37" t="inlineStr">
        <is>
          <t>Phòng Đo đạc</t>
        </is>
      </c>
      <c r="G180" s="29" t="n">
        <v>1200000</v>
      </c>
      <c r="H180" s="29" t="n">
        <v>0</v>
      </c>
      <c r="I180" s="29" t="n">
        <v>0</v>
      </c>
      <c r="J180" s="29">
        <f>IF(B180="","",SUM(G180:I180))</f>
        <v/>
      </c>
      <c r="K180" s="27" t="n">
        <v>45924</v>
      </c>
      <c r="L180" s="37" t="inlineStr">
        <is>
          <t>HĐ cũ: 457-2/BK-2025</t>
        </is>
      </c>
    </row>
    <row r="181" ht="15.75" customHeight="1" s="56">
      <c r="A181" s="36" t="n">
        <v>45901</v>
      </c>
      <c r="B181" s="37" t="inlineStr">
        <is>
          <t>Lê Văn Dựng</t>
        </is>
      </c>
      <c r="C181" s="37" t="n"/>
      <c r="D181" s="37" t="n"/>
      <c r="E181" s="37" t="inlineStr">
        <is>
          <t>Đo GPS</t>
        </is>
      </c>
      <c r="F181" s="37" t="inlineStr">
        <is>
          <t>Phòng Đo đạc</t>
        </is>
      </c>
      <c r="G181" s="29" t="n">
        <v>1200000</v>
      </c>
      <c r="H181" s="29" t="n">
        <v>0</v>
      </c>
      <c r="I181" s="29" t="n">
        <v>0</v>
      </c>
      <c r="J181" s="29">
        <f>IF(B181="","",SUM(G181:I181))</f>
        <v/>
      </c>
      <c r="K181" s="27" t="n">
        <v>45924</v>
      </c>
      <c r="L181" s="37" t="inlineStr">
        <is>
          <t>HĐ cũ: 458-2/BK-2025</t>
        </is>
      </c>
    </row>
    <row r="182" ht="15.75" customHeight="1" s="56">
      <c r="A182" s="36" t="n">
        <v>45901</v>
      </c>
      <c r="B182" s="37" t="inlineStr">
        <is>
          <t>Lê Văn Dựng</t>
        </is>
      </c>
      <c r="C182" s="37" t="n"/>
      <c r="D182" s="37" t="n"/>
      <c r="E182" s="37" t="inlineStr">
        <is>
          <t>Đo GPS</t>
        </is>
      </c>
      <c r="F182" s="37" t="inlineStr">
        <is>
          <t>Phòng Đo đạc</t>
        </is>
      </c>
      <c r="G182" s="29" t="n">
        <v>1200000</v>
      </c>
      <c r="H182" s="29" t="n">
        <v>0</v>
      </c>
      <c r="I182" s="29" t="n">
        <v>0</v>
      </c>
      <c r="J182" s="29">
        <f>IF(B182="","",SUM(G182:I182))</f>
        <v/>
      </c>
      <c r="K182" s="27" t="n">
        <v>45924</v>
      </c>
      <c r="L182" s="37" t="inlineStr">
        <is>
          <t>HĐ cũ: 459-2/BK-2025</t>
        </is>
      </c>
    </row>
    <row r="183" ht="15.75" customHeight="1" s="56">
      <c r="A183" s="36" t="n">
        <v>45901</v>
      </c>
      <c r="B183" s="37" t="inlineStr">
        <is>
          <t>Lê Văn Dựng</t>
        </is>
      </c>
      <c r="C183" s="37" t="n"/>
      <c r="D183" s="37" t="n"/>
      <c r="E183" s="37" t="inlineStr">
        <is>
          <t>Đo GPS</t>
        </is>
      </c>
      <c r="F183" s="37" t="inlineStr">
        <is>
          <t>Phòng Đo đạc</t>
        </is>
      </c>
      <c r="G183" s="29" t="n">
        <v>1200000</v>
      </c>
      <c r="H183" s="29" t="n">
        <v>0</v>
      </c>
      <c r="I183" s="29" t="n">
        <v>0</v>
      </c>
      <c r="J183" s="29">
        <f>IF(B183="","",SUM(G183:I183))</f>
        <v/>
      </c>
      <c r="K183" s="27" t="n">
        <v>45924</v>
      </c>
      <c r="L183" s="37" t="inlineStr">
        <is>
          <t>HĐ cũ: 460-2/BK-2025</t>
        </is>
      </c>
    </row>
    <row r="184" ht="15.75" customHeight="1" s="56">
      <c r="A184" s="36" t="n">
        <v>45901</v>
      </c>
      <c r="B184" s="37" t="inlineStr">
        <is>
          <t>Lê Văn Dựng</t>
        </is>
      </c>
      <c r="C184" s="37" t="n"/>
      <c r="D184" s="37" t="n"/>
      <c r="E184" s="37" t="inlineStr">
        <is>
          <t>Đo GPS</t>
        </is>
      </c>
      <c r="F184" s="37" t="inlineStr">
        <is>
          <t>Phòng Đo đạc</t>
        </is>
      </c>
      <c r="G184" s="29" t="n">
        <v>1200000</v>
      </c>
      <c r="H184" s="29" t="n">
        <v>0</v>
      </c>
      <c r="I184" s="29" t="n">
        <v>0</v>
      </c>
      <c r="J184" s="29">
        <f>IF(B184="","",SUM(G184:I184))</f>
        <v/>
      </c>
      <c r="K184" s="27" t="n">
        <v>45924</v>
      </c>
      <c r="L184" s="37" t="inlineStr">
        <is>
          <t>HĐ cũ: 461-2/BK-2025</t>
        </is>
      </c>
    </row>
    <row r="185" ht="15.75" customHeight="1" s="56">
      <c r="A185" s="36" t="n">
        <v>45901</v>
      </c>
      <c r="B185" s="37" t="inlineStr">
        <is>
          <t>Lê Văn Dựng</t>
        </is>
      </c>
      <c r="C185" s="37" t="n"/>
      <c r="D185" s="37" t="n"/>
      <c r="E185" s="37" t="inlineStr">
        <is>
          <t>Điều chỉnh bản vẽ</t>
        </is>
      </c>
      <c r="F185" s="37" t="inlineStr">
        <is>
          <t>Phòng Đo đạc</t>
        </is>
      </c>
      <c r="G185" s="29" t="n">
        <v>500000</v>
      </c>
      <c r="H185" s="29" t="n">
        <v>0</v>
      </c>
      <c r="I185" s="29" t="n">
        <v>0</v>
      </c>
      <c r="J185" s="29">
        <f>IF(B185="","",SUM(G185:I185))</f>
        <v/>
      </c>
      <c r="K185" s="27" t="n">
        <v>45925</v>
      </c>
      <c r="L185" s="37" t="inlineStr">
        <is>
          <t>HĐ cũ: 389-DC/BK-2025</t>
        </is>
      </c>
    </row>
    <row r="186" ht="15.75" customHeight="1" s="56">
      <c r="A186" s="36" t="n">
        <v>45901</v>
      </c>
      <c r="B186" s="37" t="inlineStr">
        <is>
          <t>Lê Văn Dựng</t>
        </is>
      </c>
      <c r="C186" s="37" t="n"/>
      <c r="D186" s="37" t="n"/>
      <c r="E186" s="37" t="inlineStr">
        <is>
          <t>Điều chỉnh bản vẽ</t>
        </is>
      </c>
      <c r="F186" s="37" t="inlineStr">
        <is>
          <t>Phòng Đo đạc</t>
        </is>
      </c>
      <c r="G186" s="29" t="n">
        <v>500000</v>
      </c>
      <c r="H186" s="29" t="n">
        <v>0</v>
      </c>
      <c r="I186" s="29" t="n">
        <v>0</v>
      </c>
      <c r="J186" s="29">
        <f>IF(B186="","",SUM(G186:I186))</f>
        <v/>
      </c>
      <c r="K186" s="27" t="n">
        <v>45926</v>
      </c>
      <c r="L186" s="37" t="inlineStr">
        <is>
          <t>HĐ cũ: 324-DC/BK-2025</t>
        </is>
      </c>
    </row>
    <row r="187" ht="15.75" customHeight="1" s="56">
      <c r="A187" s="36" t="n">
        <v>45901</v>
      </c>
      <c r="B187" s="37" t="inlineStr">
        <is>
          <t>Lê Văn Dựng</t>
        </is>
      </c>
      <c r="C187" s="37" t="n"/>
      <c r="D187" s="37" t="n"/>
      <c r="E187" s="37" t="inlineStr">
        <is>
          <t>Cắm mốc</t>
        </is>
      </c>
      <c r="F187" s="37" t="inlineStr">
        <is>
          <t>Phòng Đo đạc</t>
        </is>
      </c>
      <c r="G187" s="29" t="n">
        <v>1200000</v>
      </c>
      <c r="H187" s="29" t="n">
        <v>0</v>
      </c>
      <c r="I187" s="29" t="n">
        <v>0</v>
      </c>
      <c r="J187" s="29">
        <f>IF(B187="","",SUM(G187:I187))</f>
        <v/>
      </c>
      <c r="K187" s="27" t="n">
        <v>45926</v>
      </c>
      <c r="L187" s="37" t="inlineStr">
        <is>
          <t>HĐ cũ: 466/BK-2025</t>
        </is>
      </c>
    </row>
    <row r="188" ht="15.75" customHeight="1" s="56">
      <c r="A188" s="36" t="n">
        <v>45901</v>
      </c>
      <c r="B188" s="37" t="inlineStr">
        <is>
          <t>Lê Văn Dựng</t>
        </is>
      </c>
      <c r="C188" s="37" t="n"/>
      <c r="D188" s="37" t="n"/>
      <c r="E188" s="37" t="inlineStr">
        <is>
          <t>Cấp đổi</t>
        </is>
      </c>
      <c r="F188" s="37" t="inlineStr">
        <is>
          <t>Phòng Đo đạc</t>
        </is>
      </c>
      <c r="G188" s="29" t="n">
        <v>1100000</v>
      </c>
      <c r="H188" s="29" t="n">
        <v>0</v>
      </c>
      <c r="I188" s="29" t="n">
        <v>0</v>
      </c>
      <c r="J188" s="29">
        <f>IF(B188="","",SUM(G188:I188))</f>
        <v/>
      </c>
      <c r="K188" s="27" t="n">
        <v>45930</v>
      </c>
      <c r="L188" s="37" t="inlineStr">
        <is>
          <t>HĐ cũ: 454/BK-2025</t>
        </is>
      </c>
    </row>
    <row r="189" ht="15.75" customHeight="1" s="56">
      <c r="A189" s="36" t="n">
        <v>45901</v>
      </c>
      <c r="B189" s="37" t="inlineStr">
        <is>
          <t>Lê Văn Dựng</t>
        </is>
      </c>
      <c r="C189" s="37" t="n"/>
      <c r="D189" s="37" t="n"/>
      <c r="E189" s="37" t="inlineStr">
        <is>
          <t>Cấp đổi</t>
        </is>
      </c>
      <c r="F189" s="37" t="inlineStr">
        <is>
          <t>Phòng Đo đạc</t>
        </is>
      </c>
      <c r="G189" s="29" t="n">
        <v>1100000</v>
      </c>
      <c r="H189" s="29" t="n">
        <v>0</v>
      </c>
      <c r="I189" s="29" t="n">
        <v>0</v>
      </c>
      <c r="J189" s="29">
        <f>IF(B189="","",SUM(G189:I189))</f>
        <v/>
      </c>
      <c r="K189" s="27" t="n">
        <v>45930</v>
      </c>
      <c r="L189" s="37" t="inlineStr">
        <is>
          <t>HĐ cũ: 455/BK-2025</t>
        </is>
      </c>
    </row>
    <row r="190" ht="15.75" customHeight="1" s="56">
      <c r="A190" s="36" t="n">
        <v>45901</v>
      </c>
      <c r="B190" s="37" t="inlineStr">
        <is>
          <t>Lê Văn Dựng</t>
        </is>
      </c>
      <c r="C190" s="37" t="n"/>
      <c r="D190" s="37" t="n"/>
      <c r="E190" s="37" t="inlineStr">
        <is>
          <t>Cấp đổi</t>
        </is>
      </c>
      <c r="F190" s="37" t="inlineStr">
        <is>
          <t>Phòng Đo đạc</t>
        </is>
      </c>
      <c r="G190" s="29" t="n">
        <v>1100000</v>
      </c>
      <c r="H190" s="29" t="n">
        <v>0</v>
      </c>
      <c r="I190" s="29" t="n">
        <v>0</v>
      </c>
      <c r="J190" s="29">
        <f>IF(B190="","",SUM(G190:I190))</f>
        <v/>
      </c>
      <c r="K190" s="27" t="n">
        <v>45930</v>
      </c>
      <c r="L190" s="37" t="inlineStr">
        <is>
          <t>HĐ cũ: 456/BK-2025</t>
        </is>
      </c>
    </row>
    <row r="191" ht="15.75" customHeight="1" s="56">
      <c r="A191" s="36" t="n">
        <v>45901</v>
      </c>
      <c r="B191" s="37" t="inlineStr">
        <is>
          <t>Lê Văn Dựng</t>
        </is>
      </c>
      <c r="C191" s="37" t="n"/>
      <c r="D191" s="37" t="n"/>
      <c r="E191" s="37" t="inlineStr">
        <is>
          <t>Cấp đổi</t>
        </is>
      </c>
      <c r="F191" s="37" t="inlineStr">
        <is>
          <t>Phòng Đo đạc</t>
        </is>
      </c>
      <c r="G191" s="29" t="n">
        <v>1100000</v>
      </c>
      <c r="H191" s="29" t="n">
        <v>0</v>
      </c>
      <c r="I191" s="29" t="n">
        <v>0</v>
      </c>
      <c r="J191" s="29">
        <f>IF(B191="","",SUM(G191:I191))</f>
        <v/>
      </c>
      <c r="K191" s="27" t="n">
        <v>45930</v>
      </c>
      <c r="L191" s="37" t="inlineStr">
        <is>
          <t>HĐ cũ: 457/BK-2025</t>
        </is>
      </c>
    </row>
    <row r="192" ht="15.75" customHeight="1" s="56">
      <c r="A192" s="36" t="n">
        <v>45901</v>
      </c>
      <c r="B192" s="37" t="inlineStr">
        <is>
          <t>Lê Văn Dựng</t>
        </is>
      </c>
      <c r="C192" s="37" t="n"/>
      <c r="D192" s="37" t="n"/>
      <c r="E192" s="37" t="inlineStr">
        <is>
          <t>Cấp đổi</t>
        </is>
      </c>
      <c r="F192" s="37" t="inlineStr">
        <is>
          <t>Phòng Đo đạc</t>
        </is>
      </c>
      <c r="G192" s="29" t="n">
        <v>1100000</v>
      </c>
      <c r="H192" s="29" t="n">
        <v>0</v>
      </c>
      <c r="I192" s="29" t="n">
        <v>0</v>
      </c>
      <c r="J192" s="29">
        <f>IF(B192="","",SUM(G192:I192))</f>
        <v/>
      </c>
      <c r="K192" s="27" t="n">
        <v>45930</v>
      </c>
      <c r="L192" s="37" t="inlineStr">
        <is>
          <t>HĐ cũ: 459/BK-2025</t>
        </is>
      </c>
    </row>
    <row r="193" ht="15.75" customHeight="1" s="56">
      <c r="A193" s="36" t="n">
        <v>45901</v>
      </c>
      <c r="B193" s="37" t="inlineStr">
        <is>
          <t>Lê Văn Dựng</t>
        </is>
      </c>
      <c r="C193" s="37" t="n"/>
      <c r="D193" s="37" t="n"/>
      <c r="E193" s="37" t="inlineStr">
        <is>
          <t>Cấp đổi</t>
        </is>
      </c>
      <c r="F193" s="37" t="inlineStr">
        <is>
          <t>Phòng Đo đạc</t>
        </is>
      </c>
      <c r="G193" s="29" t="n">
        <v>200000</v>
      </c>
      <c r="H193" s="29" t="n">
        <v>0</v>
      </c>
      <c r="I193" s="29" t="n">
        <v>100000</v>
      </c>
      <c r="J193" s="29">
        <f>IF(B193="","",SUM(G193:I193))</f>
        <v/>
      </c>
      <c r="K193" s="27" t="n">
        <v>45905</v>
      </c>
      <c r="L193" s="37" t="inlineStr">
        <is>
          <t>HĐ cũ: 395/BK-2025</t>
        </is>
      </c>
    </row>
    <row r="194" ht="15.75" customHeight="1" s="56">
      <c r="A194" s="36" t="n">
        <v>45901</v>
      </c>
      <c r="B194" s="37" t="inlineStr">
        <is>
          <t>Lê Văn Dựng</t>
        </is>
      </c>
      <c r="C194" s="37" t="n"/>
      <c r="D194" s="37" t="n"/>
      <c r="E194" s="37" t="inlineStr">
        <is>
          <t>Cấp đổi</t>
        </is>
      </c>
      <c r="F194" s="37" t="inlineStr">
        <is>
          <t>Phòng Đo đạc</t>
        </is>
      </c>
      <c r="G194" s="29" t="n">
        <v>200000</v>
      </c>
      <c r="H194" s="29" t="n">
        <v>0</v>
      </c>
      <c r="I194" s="29" t="n">
        <v>0</v>
      </c>
      <c r="J194" s="29">
        <f>IF(B194="","",SUM(G194:I194))</f>
        <v/>
      </c>
      <c r="K194" s="27" t="n">
        <v>45922</v>
      </c>
      <c r="L194" s="37" t="inlineStr">
        <is>
          <t>HĐ cũ: 443/BK-2025</t>
        </is>
      </c>
    </row>
    <row r="195" ht="15.75" customHeight="1" s="56">
      <c r="A195" s="36" t="n">
        <v>45870</v>
      </c>
      <c r="B195" s="37" t="inlineStr">
        <is>
          <t>Lê Văn Dựng</t>
        </is>
      </c>
      <c r="C195" s="37" t="n"/>
      <c r="D195" s="37" t="n"/>
      <c r="E195" s="37" t="inlineStr">
        <is>
          <t>Cấp sổ lần đầu</t>
        </is>
      </c>
      <c r="F195" s="37" t="inlineStr">
        <is>
          <t>Phòng Đo đạc</t>
        </is>
      </c>
      <c r="G195" s="29" t="n">
        <v>1100000</v>
      </c>
      <c r="H195" s="29" t="n">
        <v>0</v>
      </c>
      <c r="I195" s="29" t="n">
        <v>0</v>
      </c>
      <c r="J195" s="29">
        <f>IF(B195="","",SUM(G195:I195))</f>
        <v/>
      </c>
      <c r="K195" s="27" t="n">
        <v>45880</v>
      </c>
      <c r="L195" s="37" t="inlineStr">
        <is>
          <t>HĐ cũ: 272/BK-2025</t>
        </is>
      </c>
    </row>
    <row r="196" ht="15.75" customHeight="1" s="56">
      <c r="A196" s="36" t="n">
        <v>45870</v>
      </c>
      <c r="B196" s="37" t="inlineStr">
        <is>
          <t>Lê Văn Dựng</t>
        </is>
      </c>
      <c r="C196" s="37" t="n"/>
      <c r="D196" s="37" t="n"/>
      <c r="E196" s="37" t="inlineStr">
        <is>
          <t>Cấp sổ lần đầu</t>
        </is>
      </c>
      <c r="F196" s="37" t="inlineStr">
        <is>
          <t>Phòng Đo đạc</t>
        </is>
      </c>
      <c r="G196" s="29" t="n">
        <v>1100000</v>
      </c>
      <c r="H196" s="29" t="n">
        <v>0</v>
      </c>
      <c r="I196" s="29" t="n">
        <v>0</v>
      </c>
      <c r="J196" s="29">
        <f>IF(B196="","",SUM(G196:I196))</f>
        <v/>
      </c>
      <c r="K196" s="27" t="n">
        <v>45880</v>
      </c>
      <c r="L196" s="37" t="inlineStr">
        <is>
          <t>HĐ cũ: 273/BK-2025</t>
        </is>
      </c>
    </row>
    <row r="197" ht="15.75" customHeight="1" s="56">
      <c r="A197" s="36" t="n">
        <v>45870</v>
      </c>
      <c r="B197" s="37" t="inlineStr">
        <is>
          <t>Lê Văn Dựng</t>
        </is>
      </c>
      <c r="C197" s="37" t="n"/>
      <c r="D197" s="37" t="n"/>
      <c r="E197" s="37" t="inlineStr">
        <is>
          <t>Cấp sổ lần đầu</t>
        </is>
      </c>
      <c r="F197" s="37" t="inlineStr">
        <is>
          <t>Phòng Đo đạc</t>
        </is>
      </c>
      <c r="G197" s="29" t="n">
        <v>1100000</v>
      </c>
      <c r="H197" s="29" t="n">
        <v>0</v>
      </c>
      <c r="I197" s="29" t="n">
        <v>0</v>
      </c>
      <c r="J197" s="29">
        <f>IF(B197="","",SUM(G197:I197))</f>
        <v/>
      </c>
      <c r="K197" s="27" t="n">
        <v>45883</v>
      </c>
      <c r="L197" s="37" t="inlineStr">
        <is>
          <t>HĐ cũ: 274/BK-2025</t>
        </is>
      </c>
    </row>
    <row r="198" ht="15.75" customHeight="1" s="56">
      <c r="A198" s="36" t="n">
        <v>45870</v>
      </c>
      <c r="B198" s="37" t="inlineStr">
        <is>
          <t>Lê Văn Dựng</t>
        </is>
      </c>
      <c r="C198" s="37" t="n"/>
      <c r="D198" s="37" t="n"/>
      <c r="E198" s="37" t="inlineStr">
        <is>
          <t>Cắm mốc</t>
        </is>
      </c>
      <c r="F198" s="37" t="inlineStr">
        <is>
          <t>Phòng Đo đạc</t>
        </is>
      </c>
      <c r="G198" s="29" t="n">
        <v>1200000</v>
      </c>
      <c r="H198" s="29" t="n">
        <v>0</v>
      </c>
      <c r="I198" s="29" t="n">
        <v>0</v>
      </c>
      <c r="J198" s="29">
        <f>IF(B198="","",SUM(G198:I198))</f>
        <v/>
      </c>
      <c r="K198" s="27" t="n">
        <v>45879</v>
      </c>
      <c r="L198" s="37" t="inlineStr">
        <is>
          <t>HĐ cũ: 334/BK-2025</t>
        </is>
      </c>
    </row>
    <row r="199" ht="15.75" customHeight="1" s="56">
      <c r="A199" s="36" t="n">
        <v>45870</v>
      </c>
      <c r="B199" s="37" t="inlineStr">
        <is>
          <t>Lê Văn Dựng</t>
        </is>
      </c>
      <c r="C199" s="37" t="n"/>
      <c r="D199" s="37" t="n"/>
      <c r="E199" s="37" t="inlineStr">
        <is>
          <t>Cắm mốc</t>
        </is>
      </c>
      <c r="F199" s="37" t="inlineStr">
        <is>
          <t>Phòng Đo đạc</t>
        </is>
      </c>
      <c r="G199" s="29" t="n">
        <v>1200000</v>
      </c>
      <c r="H199" s="29" t="n">
        <v>0</v>
      </c>
      <c r="I199" s="29" t="n">
        <v>0</v>
      </c>
      <c r="J199" s="29">
        <f>IF(B199="","",SUM(G199:I199))</f>
        <v/>
      </c>
      <c r="K199" s="27" t="n">
        <v>45878</v>
      </c>
      <c r="L199" s="37" t="inlineStr">
        <is>
          <t>HĐ cũ: 336/BK-2025 | Hồ sơ xa</t>
        </is>
      </c>
    </row>
    <row r="200" ht="15.75" customHeight="1" s="56">
      <c r="A200" s="36" t="n">
        <v>45870</v>
      </c>
      <c r="B200" s="37" t="inlineStr">
        <is>
          <t>Lê Văn Dựng</t>
        </is>
      </c>
      <c r="C200" s="37" t="n"/>
      <c r="D200" s="37" t="n"/>
      <c r="E200" s="37" t="inlineStr">
        <is>
          <t>Cắm mốc</t>
        </is>
      </c>
      <c r="F200" s="37" t="inlineStr">
        <is>
          <t>Phòng Đo đạc</t>
        </is>
      </c>
      <c r="G200" s="29" t="n">
        <v>1200000</v>
      </c>
      <c r="H200" s="29" t="n">
        <v>0</v>
      </c>
      <c r="I200" s="29" t="n">
        <v>0</v>
      </c>
      <c r="J200" s="29">
        <f>IF(B200="","",SUM(G200:I200))</f>
        <v/>
      </c>
      <c r="K200" s="27" t="n">
        <v>45881</v>
      </c>
      <c r="L200" s="37" t="inlineStr">
        <is>
          <t>HĐ cũ: 342/BK-2025</t>
        </is>
      </c>
    </row>
    <row r="201" ht="15.75" customHeight="1" s="56">
      <c r="A201" s="36" t="n">
        <v>45870</v>
      </c>
      <c r="B201" s="37" t="inlineStr">
        <is>
          <t>Lê Văn Dựng</t>
        </is>
      </c>
      <c r="C201" s="37" t="n"/>
      <c r="D201" s="37" t="n"/>
      <c r="E201" s="37" t="inlineStr">
        <is>
          <t>Đo GPS</t>
        </is>
      </c>
      <c r="F201" s="37" t="inlineStr">
        <is>
          <t>Phòng Đo đạc</t>
        </is>
      </c>
      <c r="G201" s="29" t="n">
        <v>1200000</v>
      </c>
      <c r="H201" s="29" t="n">
        <v>0</v>
      </c>
      <c r="I201" s="29" t="n">
        <v>0</v>
      </c>
      <c r="J201" s="29">
        <f>IF(B201="","",SUM(G201:I201))</f>
        <v/>
      </c>
      <c r="K201" s="27" t="n">
        <v>45881</v>
      </c>
      <c r="L201" s="37" t="inlineStr">
        <is>
          <t>HĐ cũ: 343/BK-2025 | Hồ sơ anh Tập xử lý</t>
        </is>
      </c>
    </row>
    <row r="202" ht="15.75" customHeight="1" s="56">
      <c r="A202" s="36" t="n">
        <v>45870</v>
      </c>
      <c r="B202" s="37" t="inlineStr">
        <is>
          <t>Lê Văn Dựng</t>
        </is>
      </c>
      <c r="C202" s="37" t="n"/>
      <c r="D202" s="37" t="n"/>
      <c r="E202" s="37" t="inlineStr">
        <is>
          <t>Cắm mốc</t>
        </is>
      </c>
      <c r="F202" s="37" t="inlineStr">
        <is>
          <t>Phòng Đo đạc</t>
        </is>
      </c>
      <c r="G202" s="29" t="n">
        <v>1200000</v>
      </c>
      <c r="H202" s="29" t="n">
        <v>0</v>
      </c>
      <c r="I202" s="29" t="n">
        <v>0</v>
      </c>
      <c r="J202" s="29">
        <f>IF(B202="","",SUM(G202:I202))</f>
        <v/>
      </c>
      <c r="K202" s="27" t="n">
        <v>45874</v>
      </c>
      <c r="L202" s="37" t="inlineStr">
        <is>
          <t>HĐ cũ: 344/BK-2025</t>
        </is>
      </c>
    </row>
    <row r="203" ht="15.75" customHeight="1" s="56">
      <c r="A203" s="36" t="n">
        <v>45870</v>
      </c>
      <c r="B203" s="37" t="inlineStr">
        <is>
          <t>Lê Văn Dựng</t>
        </is>
      </c>
      <c r="C203" s="37" t="n"/>
      <c r="D203" s="37" t="n"/>
      <c r="E203" s="37" t="inlineStr">
        <is>
          <t>Cắm mốc</t>
        </is>
      </c>
      <c r="F203" s="37" t="inlineStr">
        <is>
          <t>Phòng Đo đạc</t>
        </is>
      </c>
      <c r="G203" s="29" t="n">
        <v>1200000</v>
      </c>
      <c r="H203" s="29" t="n">
        <v>0</v>
      </c>
      <c r="I203" s="29" t="n">
        <v>0</v>
      </c>
      <c r="J203" s="29">
        <f>IF(B203="","",SUM(G203:I203))</f>
        <v/>
      </c>
      <c r="K203" s="27" t="n">
        <v>45882</v>
      </c>
      <c r="L203" s="37" t="inlineStr">
        <is>
          <t>HĐ cũ: 351/BK-2025 | đo vẽ xác định diện tích</t>
        </is>
      </c>
    </row>
    <row r="204" ht="15.75" customHeight="1" s="56">
      <c r="A204" s="36" t="n">
        <v>45870</v>
      </c>
      <c r="B204" s="37" t="inlineStr">
        <is>
          <t>Lê Văn Dựng</t>
        </is>
      </c>
      <c r="C204" s="37" t="n"/>
      <c r="D204" s="37" t="n"/>
      <c r="E204" s="37" t="inlineStr">
        <is>
          <t>Đo GPS</t>
        </is>
      </c>
      <c r="F204" s="37" t="inlineStr">
        <is>
          <t>Phòng Đo đạc</t>
        </is>
      </c>
      <c r="G204" s="29" t="n">
        <v>1200000</v>
      </c>
      <c r="H204" s="29" t="n">
        <v>0</v>
      </c>
      <c r="I204" s="29" t="n">
        <v>0</v>
      </c>
      <c r="J204" s="29">
        <f>IF(B204="","",SUM(G204:I204))</f>
        <v/>
      </c>
      <c r="K204" s="27" t="n">
        <v>45882</v>
      </c>
      <c r="L204" s="37" t="inlineStr">
        <is>
          <t>HĐ cũ: 354/BK-2025 | hồ sơ cấp đổi anh Tập xử lý</t>
        </is>
      </c>
    </row>
    <row r="205" ht="15.75" customHeight="1" s="56">
      <c r="A205" s="36" t="n">
        <v>45870</v>
      </c>
      <c r="B205" s="37" t="inlineStr">
        <is>
          <t>Lê Văn Dựng</t>
        </is>
      </c>
      <c r="C205" s="37" t="n"/>
      <c r="D205" s="37" t="n"/>
      <c r="E205" s="37" t="inlineStr">
        <is>
          <t>Xác định diện tích</t>
        </is>
      </c>
      <c r="F205" s="37" t="inlineStr">
        <is>
          <t>Phòng Đo đạc</t>
        </is>
      </c>
      <c r="G205" s="29" t="n">
        <v>700000</v>
      </c>
      <c r="H205" s="29" t="n">
        <v>0</v>
      </c>
      <c r="I205" s="29" t="n">
        <v>0</v>
      </c>
      <c r="J205" s="29">
        <f>IF(B205="","",SUM(G205:I205))</f>
        <v/>
      </c>
      <c r="K205" s="27" t="n">
        <v>45883</v>
      </c>
      <c r="L205" s="37" t="inlineStr">
        <is>
          <t>HĐ cũ: 359/BK-2025 | đã hoàn thành</t>
        </is>
      </c>
    </row>
    <row r="206" ht="15.75" customHeight="1" s="56">
      <c r="A206" s="36" t="n">
        <v>45870</v>
      </c>
      <c r="B206" s="37" t="inlineStr">
        <is>
          <t>Lê Văn Dựng</t>
        </is>
      </c>
      <c r="C206" s="37" t="n"/>
      <c r="D206" s="37" t="n"/>
      <c r="E206" s="37" t="inlineStr">
        <is>
          <t>Điều chỉnh bản vẽ</t>
        </is>
      </c>
      <c r="F206" s="37" t="inlineStr">
        <is>
          <t>Phòng Đo đạc</t>
        </is>
      </c>
      <c r="G206" s="29" t="n">
        <v>500000</v>
      </c>
      <c r="H206" s="29" t="n">
        <v>0</v>
      </c>
      <c r="I206" s="29" t="n">
        <v>0</v>
      </c>
      <c r="J206" s="29">
        <f>IF(B206="","",SUM(G206:I206))</f>
        <v/>
      </c>
      <c r="K206" s="27" t="n">
        <v>45880</v>
      </c>
      <c r="L206" s="37" t="inlineStr">
        <is>
          <t>HĐ cũ: 552-1/BK-2025</t>
        </is>
      </c>
    </row>
    <row r="207" ht="15.75" customHeight="1" s="56">
      <c r="A207" s="36" t="n">
        <v>45870</v>
      </c>
      <c r="B207" s="37" t="inlineStr">
        <is>
          <t>Lê Văn Dựng</t>
        </is>
      </c>
      <c r="C207" s="37" t="n"/>
      <c r="D207" s="37" t="n"/>
      <c r="E207" s="37" t="inlineStr">
        <is>
          <t>Điều chỉnh bản vẽ</t>
        </is>
      </c>
      <c r="F207" s="37" t="inlineStr">
        <is>
          <t>Phòng Đo đạc</t>
        </is>
      </c>
      <c r="G207" s="29" t="n">
        <v>500000</v>
      </c>
      <c r="H207" s="29" t="n">
        <v>0</v>
      </c>
      <c r="I207" s="29" t="n">
        <v>0</v>
      </c>
      <c r="J207" s="29">
        <f>IF(B207="","",SUM(G207:I207))</f>
        <v/>
      </c>
      <c r="K207" s="27" t="n">
        <v>45880</v>
      </c>
      <c r="L207" s="37" t="inlineStr">
        <is>
          <t>HĐ cũ: 552-2/BK-2025</t>
        </is>
      </c>
    </row>
    <row r="208" ht="15.75" customHeight="1" s="56">
      <c r="A208" s="36" t="n">
        <v>45870</v>
      </c>
      <c r="B208" s="37" t="inlineStr">
        <is>
          <t>Lê Văn Dựng</t>
        </is>
      </c>
      <c r="C208" s="37" t="n"/>
      <c r="D208" s="37" t="n"/>
      <c r="E208" s="37" t="inlineStr">
        <is>
          <t>Cắm mốc</t>
        </is>
      </c>
      <c r="F208" s="37" t="inlineStr">
        <is>
          <t>Phòng Đo đạc</t>
        </is>
      </c>
      <c r="G208" s="29" t="n">
        <v>1200000</v>
      </c>
      <c r="H208" s="29" t="n">
        <v>0</v>
      </c>
      <c r="I208" s="29" t="n">
        <v>0</v>
      </c>
      <c r="J208" s="29">
        <f>IF(B208="","",SUM(G208:I208))</f>
        <v/>
      </c>
      <c r="K208" s="27" t="n">
        <v>45888</v>
      </c>
      <c r="L208" s="37" t="inlineStr">
        <is>
          <t>HĐ cũ: 367/BK-2025 | cắm mốc chôn trụ bê tông</t>
        </is>
      </c>
    </row>
    <row r="209" ht="15.75" customHeight="1" s="56">
      <c r="A209" s="36" t="n">
        <v>45870</v>
      </c>
      <c r="B209" s="37" t="inlineStr">
        <is>
          <t>Lê Văn Dựng</t>
        </is>
      </c>
      <c r="C209" s="37" t="n"/>
      <c r="D209" s="37" t="n"/>
      <c r="E209" s="37" t="inlineStr">
        <is>
          <t>Cắm mốc</t>
        </is>
      </c>
      <c r="F209" s="37" t="inlineStr">
        <is>
          <t>Phòng Đo đạc</t>
        </is>
      </c>
      <c r="G209" s="29" t="n">
        <v>1200000</v>
      </c>
      <c r="H209" s="29" t="n">
        <v>0</v>
      </c>
      <c r="I209" s="29" t="n">
        <v>0</v>
      </c>
      <c r="J209" s="29">
        <f>IF(B209="","",SUM(G209:I209))</f>
        <v/>
      </c>
      <c r="K209" s="27" t="n">
        <v>45888</v>
      </c>
      <c r="L209" s="37" t="inlineStr">
        <is>
          <t>HĐ cũ: 368/BK-2025 | cắm mốc chôn trụ bê tông</t>
        </is>
      </c>
    </row>
    <row r="210" ht="15.75" customHeight="1" s="56">
      <c r="A210" s="36" t="n">
        <v>45870</v>
      </c>
      <c r="B210" s="37" t="inlineStr">
        <is>
          <t>Lê Văn Dựng</t>
        </is>
      </c>
      <c r="C210" s="37" t="n"/>
      <c r="D210" s="37" t="n"/>
      <c r="E210" s="37" t="inlineStr">
        <is>
          <t>Cắm mốc</t>
        </is>
      </c>
      <c r="F210" s="37" t="inlineStr">
        <is>
          <t>Phòng Đo đạc</t>
        </is>
      </c>
      <c r="G210" s="29" t="n">
        <v>1200000</v>
      </c>
      <c r="H210" s="29" t="n">
        <v>0</v>
      </c>
      <c r="I210" s="29" t="n">
        <v>0</v>
      </c>
      <c r="J210" s="29">
        <f>IF(B210="","",SUM(G210:I210))</f>
        <v/>
      </c>
      <c r="K210" s="27" t="n">
        <v>45888</v>
      </c>
      <c r="L210" s="37" t="inlineStr">
        <is>
          <t>HĐ cũ: 369/BK-2025 | cắm mốc chôn trụ bê tông</t>
        </is>
      </c>
    </row>
    <row r="211" ht="15.75" customHeight="1" s="56">
      <c r="A211" s="36" t="n">
        <v>45870</v>
      </c>
      <c r="B211" s="37" t="inlineStr">
        <is>
          <t>Lê Văn Dựng</t>
        </is>
      </c>
      <c r="C211" s="37" t="n"/>
      <c r="D211" s="37" t="n"/>
      <c r="E211" s="37" t="inlineStr">
        <is>
          <t>Cắm mốc</t>
        </is>
      </c>
      <c r="F211" s="37" t="inlineStr">
        <is>
          <t>Phòng Đo đạc</t>
        </is>
      </c>
      <c r="G211" s="29" t="n">
        <v>1200000</v>
      </c>
      <c r="H211" s="29" t="n">
        <v>0</v>
      </c>
      <c r="I211" s="29" t="n">
        <v>0</v>
      </c>
      <c r="J211" s="29">
        <f>IF(B211="","",SUM(G211:I211))</f>
        <v/>
      </c>
      <c r="K211" s="27" t="n">
        <v>45888</v>
      </c>
      <c r="L211" s="37" t="inlineStr">
        <is>
          <t>HĐ cũ: 370/BK-2025 | cắm mốc chôn trụ bê tông</t>
        </is>
      </c>
    </row>
    <row r="212" ht="15.75" customHeight="1" s="56">
      <c r="A212" s="36" t="n">
        <v>45870</v>
      </c>
      <c r="B212" s="37" t="inlineStr">
        <is>
          <t>Lê Văn Dựng</t>
        </is>
      </c>
      <c r="C212" s="37" t="n"/>
      <c r="D212" s="37" t="n"/>
      <c r="E212" s="37" t="inlineStr">
        <is>
          <t>Đo GPS</t>
        </is>
      </c>
      <c r="F212" s="37" t="inlineStr">
        <is>
          <t>Phòng Đo đạc</t>
        </is>
      </c>
      <c r="G212" s="29" t="n">
        <v>1200000</v>
      </c>
      <c r="H212" s="29" t="n">
        <v>0</v>
      </c>
      <c r="I212" s="29" t="n">
        <v>0</v>
      </c>
      <c r="J212" s="29">
        <f>IF(B212="","",SUM(G212:I212))</f>
        <v/>
      </c>
      <c r="K212" s="27" t="n">
        <v>45890</v>
      </c>
      <c r="L212" s="37" t="inlineStr">
        <is>
          <t>HĐ cũ: 375/BK-2025</t>
        </is>
      </c>
    </row>
    <row r="213" ht="15.75" customHeight="1" s="56">
      <c r="A213" s="36" t="n">
        <v>45870</v>
      </c>
      <c r="B213" s="37" t="inlineStr">
        <is>
          <t>Lê Văn Dựng</t>
        </is>
      </c>
      <c r="C213" s="37" t="n"/>
      <c r="D213" s="37" t="n"/>
      <c r="E213" s="37" t="inlineStr">
        <is>
          <t>Cấp đổi</t>
        </is>
      </c>
      <c r="F213" s="37" t="inlineStr">
        <is>
          <t>Phòng Đo đạc</t>
        </is>
      </c>
      <c r="G213" s="29" t="n">
        <v>1100000</v>
      </c>
      <c r="H213" s="29" t="n">
        <v>0</v>
      </c>
      <c r="I213" s="29" t="n">
        <v>0</v>
      </c>
      <c r="J213" s="29">
        <f>IF(B213="","",SUM(G213:I213))</f>
        <v/>
      </c>
      <c r="K213" s="27" t="n">
        <v>45890</v>
      </c>
      <c r="L213" s="37" t="inlineStr">
        <is>
          <t>HĐ cũ: 374/BK-2025 | đang xử lý</t>
        </is>
      </c>
    </row>
    <row r="214" ht="15.75" customHeight="1" s="56">
      <c r="A214" s="36" t="n">
        <v>45870</v>
      </c>
      <c r="B214" s="37" t="inlineStr">
        <is>
          <t>Lê Văn Dựng</t>
        </is>
      </c>
      <c r="C214" s="37" t="n"/>
      <c r="D214" s="37" t="n"/>
      <c r="E214" s="37" t="inlineStr">
        <is>
          <t>Cấp đổi</t>
        </is>
      </c>
      <c r="F214" s="37" t="inlineStr">
        <is>
          <t>Phòng Đo đạc</t>
        </is>
      </c>
      <c r="G214" s="29" t="n">
        <v>1100000</v>
      </c>
      <c r="H214" s="29" t="n">
        <v>0</v>
      </c>
      <c r="I214" s="29" t="n">
        <v>0</v>
      </c>
      <c r="J214" s="29">
        <f>IF(B214="","",SUM(G214:I214))</f>
        <v/>
      </c>
      <c r="K214" s="27" t="n">
        <v>45889</v>
      </c>
      <c r="L214" s="37" t="inlineStr">
        <is>
          <t>HĐ cũ: 324/BK-2025 | chủ động đo đất trống</t>
        </is>
      </c>
    </row>
    <row r="215" ht="15.75" customHeight="1" s="56">
      <c r="A215" s="36" t="n">
        <v>45870</v>
      </c>
      <c r="B215" s="37" t="inlineStr">
        <is>
          <t>Lê Văn Dựng</t>
        </is>
      </c>
      <c r="C215" s="37" t="n"/>
      <c r="D215" s="37" t="n"/>
      <c r="E215" s="37" t="inlineStr">
        <is>
          <t>Cấp sổ lần đầu</t>
        </is>
      </c>
      <c r="F215" s="37" t="inlineStr">
        <is>
          <t>Phòng Đo đạc</t>
        </is>
      </c>
      <c r="G215" s="29" t="n">
        <v>1100000</v>
      </c>
      <c r="H215" s="29" t="n">
        <v>0</v>
      </c>
      <c r="I215" s="29" t="n">
        <v>0</v>
      </c>
      <c r="J215" s="29">
        <f>IF(B215="","",SUM(G215:I215))</f>
        <v/>
      </c>
      <c r="K215" s="27" t="n">
        <v>45891</v>
      </c>
      <c r="L215" s="37" t="inlineStr">
        <is>
          <t>HĐ cũ: 377/BK-2025</t>
        </is>
      </c>
    </row>
    <row r="216" ht="15.75" customHeight="1" s="56">
      <c r="A216" s="36" t="n">
        <v>45870</v>
      </c>
      <c r="B216" s="37" t="inlineStr">
        <is>
          <t>Lê Văn Dựng</t>
        </is>
      </c>
      <c r="C216" s="37" t="n"/>
      <c r="D216" s="37" t="n"/>
      <c r="E216" s="37" t="inlineStr">
        <is>
          <t>Cấp đổi</t>
        </is>
      </c>
      <c r="F216" s="37" t="inlineStr">
        <is>
          <t>Phòng Đo đạc</t>
        </is>
      </c>
      <c r="G216" s="29" t="n">
        <v>1100000</v>
      </c>
      <c r="H216" s="29" t="n">
        <v>0</v>
      </c>
      <c r="I216" s="29" t="n">
        <v>0</v>
      </c>
      <c r="J216" s="29">
        <f>IF(B216="","",SUM(G216:I216))</f>
        <v/>
      </c>
      <c r="K216" s="27" t="n">
        <v>45875</v>
      </c>
      <c r="L216" s="37" t="inlineStr">
        <is>
          <t>HĐ cũ: 313/BK-2025 | mai 3h bên anh có mặt ở địa chỉ 36 1D Melosa Khang Điền, chủ nhà sẽ dẫn anh xuống lô đất nông nghiệp đó nha + lấy bộ hso + có thể đo thêm GPS</t>
        </is>
      </c>
    </row>
    <row r="217" ht="15.75" customHeight="1" s="56">
      <c r="A217" s="36" t="n">
        <v>45870</v>
      </c>
      <c r="B217" s="37" t="inlineStr">
        <is>
          <t>Lê Văn Dựng</t>
        </is>
      </c>
      <c r="C217" s="37" t="n"/>
      <c r="D217" s="37" t="n"/>
      <c r="E217" s="37" t="inlineStr">
        <is>
          <t>Điều chỉnh bản vẽ</t>
        </is>
      </c>
      <c r="F217" s="37" t="inlineStr">
        <is>
          <t>Phòng Đo đạc</t>
        </is>
      </c>
      <c r="G217" s="29" t="n">
        <v>0</v>
      </c>
      <c r="H217" s="29" t="n">
        <v>0</v>
      </c>
      <c r="I217" s="29" t="n">
        <v>0</v>
      </c>
      <c r="J217" s="29">
        <f>IF(B217="","",SUM(G217:I217))</f>
        <v/>
      </c>
      <c r="K217" s="27" t="n">
        <v>45877</v>
      </c>
      <c r="L217" s="37" t="inlineStr">
        <is>
          <t>HĐ cũ: 293-DC/BK-2025 | Lỗi nhân sự</t>
        </is>
      </c>
    </row>
    <row r="218" ht="15.75" customHeight="1" s="56">
      <c r="A218" s="36" t="n">
        <v>45870</v>
      </c>
      <c r="B218" s="37" t="inlineStr">
        <is>
          <t>Lê Văn Dựng</t>
        </is>
      </c>
      <c r="C218" s="37" t="n"/>
      <c r="D218" s="37" t="n"/>
      <c r="E218" s="37" t="inlineStr">
        <is>
          <t>Cấp đổi</t>
        </is>
      </c>
      <c r="F218" s="37" t="inlineStr">
        <is>
          <t>Phòng Đo đạc</t>
        </is>
      </c>
      <c r="G218" s="29" t="n">
        <v>1100000</v>
      </c>
      <c r="H218" s="29" t="n">
        <v>0</v>
      </c>
      <c r="I218" s="29" t="n">
        <v>0</v>
      </c>
      <c r="J218" s="29">
        <f>IF(B218="","",SUM(G218:I218))</f>
        <v/>
      </c>
      <c r="K218" s="27" t="n">
        <v>45882</v>
      </c>
      <c r="L218" s="37" t="inlineStr">
        <is>
          <t>HĐ cũ: 312/BK-2025 | mai 3h bên anh có mặt ở địa chỉ 36 1D Melosa Khang Điền, chủ nhà sẽ dẫn anh xuống lô đất nông nghiệp đó nha, sau đó 4h hơn anh quay về Mega Village 103 N2 để đo nhà đó nha anh + lấy bộ hso</t>
        </is>
      </c>
    </row>
    <row r="219" ht="15.75" customHeight="1" s="56">
      <c r="A219" s="36" t="n">
        <v>45870</v>
      </c>
      <c r="B219" s="37" t="inlineStr">
        <is>
          <t>Lê Văn Dựng</t>
        </is>
      </c>
      <c r="C219" s="37" t="n"/>
      <c r="D219" s="37" t="n"/>
      <c r="E219" s="37" t="inlineStr">
        <is>
          <t>Cấp đổi</t>
        </is>
      </c>
      <c r="F219" s="37" t="inlineStr">
        <is>
          <t>Phòng Đo đạc</t>
        </is>
      </c>
      <c r="G219" s="29" t="n">
        <v>1100000</v>
      </c>
      <c r="H219" s="29" t="n">
        <v>0</v>
      </c>
      <c r="I219" s="29" t="n">
        <v>0</v>
      </c>
      <c r="J219" s="29">
        <f>IF(B219="","",SUM(G219:I219))</f>
        <v/>
      </c>
      <c r="K219" s="27" t="n">
        <v>45877</v>
      </c>
      <c r="L219" s="37" t="inlineStr">
        <is>
          <t>HĐ cũ: 309/BK-2025 | chạy toạ độ hết sát đất, gạch sọc phần chưa được công nhận</t>
        </is>
      </c>
    </row>
    <row r="220" ht="15.75" customHeight="1" s="56">
      <c r="A220" s="36" t="n">
        <v>45870</v>
      </c>
      <c r="B220" s="37" t="inlineStr">
        <is>
          <t>Lê Văn Dựng</t>
        </is>
      </c>
      <c r="C220" s="37" t="n"/>
      <c r="D220" s="37" t="n"/>
      <c r="E220" s="37" t="inlineStr">
        <is>
          <t>Xác định diện tích</t>
        </is>
      </c>
      <c r="F220" s="37" t="inlineStr">
        <is>
          <t>Phòng Đo đạc</t>
        </is>
      </c>
      <c r="G220" s="29" t="n">
        <v>700000</v>
      </c>
      <c r="H220" s="29" t="n">
        <v>0</v>
      </c>
      <c r="I220" s="29" t="n">
        <v>0</v>
      </c>
      <c r="J220" s="29">
        <f>IF(B220="","",SUM(G220:I220))</f>
        <v/>
      </c>
      <c r="K220" s="27" t="n">
        <v>45892</v>
      </c>
      <c r="L220" s="37" t="inlineStr">
        <is>
          <t>HĐ cũ: 391/BK-2025</t>
        </is>
      </c>
    </row>
    <row r="221" ht="15.75" customHeight="1" s="56">
      <c r="A221" s="36" t="n">
        <v>45870</v>
      </c>
      <c r="B221" s="37" t="inlineStr">
        <is>
          <t>Lê Văn Dựng</t>
        </is>
      </c>
      <c r="C221" s="37" t="n"/>
      <c r="D221" s="37" t="n"/>
      <c r="E221" s="37" t="inlineStr">
        <is>
          <t>Đo GPS</t>
        </is>
      </c>
      <c r="F221" s="37" t="inlineStr">
        <is>
          <t>Phòng Đo đạc</t>
        </is>
      </c>
      <c r="G221" s="29" t="n">
        <v>1200000</v>
      </c>
      <c r="H221" s="29" t="n">
        <v>0</v>
      </c>
      <c r="I221" s="29" t="n">
        <v>0</v>
      </c>
      <c r="J221" s="29">
        <f>IF(B221="","",SUM(G221:I221))</f>
        <v/>
      </c>
      <c r="K221" s="27" t="n">
        <v>45890</v>
      </c>
      <c r="L221" s="37" t="inlineStr">
        <is>
          <t>HĐ cũ: 393/BK-2025</t>
        </is>
      </c>
    </row>
    <row r="222" ht="15.75" customHeight="1" s="56">
      <c r="A222" s="36" t="n">
        <v>45870</v>
      </c>
      <c r="B222" s="37" t="inlineStr">
        <is>
          <t>Lê Văn Dựng</t>
        </is>
      </c>
      <c r="C222" s="37" t="n"/>
      <c r="D222" s="37" t="n"/>
      <c r="E222" s="37" t="inlineStr">
        <is>
          <t>Đo GPS</t>
        </is>
      </c>
      <c r="F222" s="37" t="inlineStr">
        <is>
          <t>Phòng Đo đạc</t>
        </is>
      </c>
      <c r="G222" s="29" t="n">
        <v>1200000</v>
      </c>
      <c r="H222" s="29" t="n">
        <v>0</v>
      </c>
      <c r="I222" s="29" t="n">
        <v>0</v>
      </c>
      <c r="J222" s="29">
        <f>IF(B222="","",SUM(G222:I222))</f>
        <v/>
      </c>
      <c r="K222" s="27" t="n">
        <v>45897</v>
      </c>
      <c r="L222" s="37" t="inlineStr">
        <is>
          <t>HĐ cũ: 398/BK-2025</t>
        </is>
      </c>
    </row>
    <row r="223" ht="15.75" customHeight="1" s="56">
      <c r="A223" s="36" t="n">
        <v>45870</v>
      </c>
      <c r="B223" s="37" t="inlineStr">
        <is>
          <t>Lê Văn Dựng</t>
        </is>
      </c>
      <c r="C223" s="37" t="n"/>
      <c r="D223" s="37" t="n"/>
      <c r="E223" s="37" t="inlineStr">
        <is>
          <t>Đo GPS</t>
        </is>
      </c>
      <c r="F223" s="37" t="inlineStr">
        <is>
          <t>Phòng Đo đạc</t>
        </is>
      </c>
      <c r="G223" s="29" t="n">
        <v>1200000</v>
      </c>
      <c r="H223" s="29" t="n">
        <v>0</v>
      </c>
      <c r="I223" s="29" t="n">
        <v>0</v>
      </c>
      <c r="J223" s="29">
        <f>IF(B223="","",SUM(G223:I223))</f>
        <v/>
      </c>
      <c r="K223" s="27" t="n">
        <v>45882</v>
      </c>
      <c r="L223" s="37" t="inlineStr">
        <is>
          <t>HĐ cũ: 331-1/BK-2025</t>
        </is>
      </c>
    </row>
    <row r="224" ht="15.75" customHeight="1" s="56">
      <c r="A224" s="36" t="n">
        <v>45870</v>
      </c>
      <c r="B224" s="37" t="inlineStr">
        <is>
          <t>Lê Văn Dựng</t>
        </is>
      </c>
      <c r="C224" s="37" t="n"/>
      <c r="D224" s="37" t="n"/>
      <c r="E224" s="37" t="inlineStr">
        <is>
          <t>Cấp sổ lần đầu</t>
        </is>
      </c>
      <c r="F224" s="37" t="inlineStr">
        <is>
          <t>Phòng Đo đạc</t>
        </is>
      </c>
      <c r="G224" s="29" t="n">
        <v>1100000</v>
      </c>
      <c r="H224" s="29" t="n">
        <v>0</v>
      </c>
      <c r="I224" s="29" t="n">
        <v>0</v>
      </c>
      <c r="J224" s="29">
        <f>IF(B224="","",SUM(G224:I224))</f>
        <v/>
      </c>
      <c r="K224" s="27" t="n">
        <v>45897</v>
      </c>
      <c r="L224" s="37" t="inlineStr">
        <is>
          <t>HĐ cũ: 387/BK-2025</t>
        </is>
      </c>
    </row>
    <row r="225" ht="15.75" customHeight="1" s="56">
      <c r="A225" s="36" t="n">
        <v>45870</v>
      </c>
      <c r="B225" s="37" t="inlineStr">
        <is>
          <t>Lê Văn Dựng</t>
        </is>
      </c>
      <c r="C225" s="37" t="n"/>
      <c r="D225" s="37" t="n"/>
      <c r="E225" s="37" t="inlineStr">
        <is>
          <t>Đo GPS</t>
        </is>
      </c>
      <c r="F225" s="37" t="inlineStr">
        <is>
          <t>Phòng Đo đạc</t>
        </is>
      </c>
      <c r="G225" s="29" t="n">
        <v>1200000</v>
      </c>
      <c r="H225" s="29" t="n">
        <v>0</v>
      </c>
      <c r="I225" s="29" t="n">
        <v>0</v>
      </c>
      <c r="J225" s="29">
        <f>IF(B225="","",SUM(G225:I225))</f>
        <v/>
      </c>
      <c r="K225" s="27" t="n">
        <v>45897</v>
      </c>
      <c r="L225" s="37" t="inlineStr">
        <is>
          <t>HĐ cũ: 395-2/BK-2025</t>
        </is>
      </c>
    </row>
    <row r="226" ht="15.75" customHeight="1" s="56">
      <c r="A226" s="36" t="n">
        <v>45870</v>
      </c>
      <c r="B226" s="37" t="inlineStr">
        <is>
          <t>Lê Văn Dựng</t>
        </is>
      </c>
      <c r="C226" s="37" t="n"/>
      <c r="D226" s="37" t="n"/>
      <c r="E226" s="37" t="inlineStr">
        <is>
          <t>Hoàn công</t>
        </is>
      </c>
      <c r="F226" s="37" t="inlineStr">
        <is>
          <t>Phòng Đo đạc</t>
        </is>
      </c>
      <c r="G226" s="29" t="n">
        <v>0</v>
      </c>
      <c r="H226" s="29" t="n">
        <v>0</v>
      </c>
      <c r="I226" s="29" t="n">
        <v>0</v>
      </c>
      <c r="J226" s="29">
        <f>IF(B226="","",SUM(G226:I226))</f>
        <v/>
      </c>
      <c r="K226" s="27" t="n">
        <v>45899</v>
      </c>
      <c r="L226" s="37" t="inlineStr">
        <is>
          <t>HĐ cũ: 270/BK-2025</t>
        </is>
      </c>
    </row>
    <row r="227" ht="15.75" customHeight="1" s="56">
      <c r="A227" s="36" t="n">
        <v>45870</v>
      </c>
      <c r="B227" s="37" t="inlineStr">
        <is>
          <t>Lê Văn Dựng</t>
        </is>
      </c>
      <c r="C227" s="37" t="n"/>
      <c r="D227" s="37" t="n"/>
      <c r="E227" s="37" t="inlineStr">
        <is>
          <t>Đo GPS</t>
        </is>
      </c>
      <c r="F227" s="37" t="inlineStr">
        <is>
          <t>Phòng Đo đạc</t>
        </is>
      </c>
      <c r="G227" s="29" t="n">
        <v>1200000</v>
      </c>
      <c r="H227" s="29" t="n">
        <v>0</v>
      </c>
      <c r="I227" s="29" t="n">
        <v>0</v>
      </c>
      <c r="J227" s="29">
        <f>IF(B227="","",SUM(G227:I227))</f>
        <v/>
      </c>
      <c r="K227" s="27" t="n">
        <v>45899</v>
      </c>
      <c r="L227" s="37" t="inlineStr">
        <is>
          <t>HĐ cũ: 402-2/BK-2025</t>
        </is>
      </c>
    </row>
    <row r="228" ht="15.75" customHeight="1" s="56">
      <c r="A228" s="36" t="n">
        <v>45870</v>
      </c>
      <c r="B228" s="37" t="inlineStr">
        <is>
          <t>Lê Văn Dựng</t>
        </is>
      </c>
      <c r="C228" s="37" t="n"/>
      <c r="D228" s="37" t="n"/>
      <c r="E228" s="37" t="inlineStr">
        <is>
          <t>Cấp sổ lần đầu</t>
        </is>
      </c>
      <c r="F228" s="37" t="inlineStr">
        <is>
          <t>Phòng Đo đạc</t>
        </is>
      </c>
      <c r="G228" s="29" t="n">
        <v>200000</v>
      </c>
      <c r="H228" s="29" t="n">
        <v>0</v>
      </c>
      <c r="I228" s="29" t="n">
        <v>0</v>
      </c>
      <c r="J228" s="29">
        <f>IF(B228="","",SUM(G228:I228))</f>
        <v/>
      </c>
      <c r="K228" s="27" t="n">
        <v>45888</v>
      </c>
      <c r="L228" s="37" t="inlineStr">
        <is>
          <t>HĐ cũ: 363/BK-2025 | + anh Tập phụ đo</t>
        </is>
      </c>
    </row>
    <row r="229" ht="15.75" customHeight="1" s="56">
      <c r="A229" s="36" t="n">
        <v>45839</v>
      </c>
      <c r="B229" s="37" t="inlineStr">
        <is>
          <t>Lê Văn Dựng</t>
        </is>
      </c>
      <c r="C229" s="37" t="n"/>
      <c r="D229" s="37" t="n"/>
      <c r="E229" s="37" t="inlineStr">
        <is>
          <t>Cấp sổ lần đầu</t>
        </is>
      </c>
      <c r="F229" s="37" t="inlineStr">
        <is>
          <t>Phòng Đo đạc</t>
        </is>
      </c>
      <c r="G229" s="29" t="n">
        <v>1100000</v>
      </c>
      <c r="H229" s="29" t="n">
        <v>0</v>
      </c>
      <c r="I229" s="29" t="n">
        <v>0</v>
      </c>
      <c r="J229" s="29">
        <f>IF(B229="","",SUM(G229:I229))</f>
        <v/>
      </c>
      <c r="K229" s="27" t="n">
        <v>45867</v>
      </c>
      <c r="L229" s="37" t="inlineStr">
        <is>
          <t>HĐ cũ: 310/BK-2025 | có thể đo GPS</t>
        </is>
      </c>
    </row>
    <row r="230" ht="15.75" customHeight="1" s="56">
      <c r="A230" s="36" t="n">
        <v>45839</v>
      </c>
      <c r="B230" s="37" t="inlineStr">
        <is>
          <t>Lê Văn Dựng</t>
        </is>
      </c>
      <c r="C230" s="37" t="n"/>
      <c r="D230" s="37" t="n"/>
      <c r="E230" s="37" t="inlineStr">
        <is>
          <t>Cấp sổ lần đầu</t>
        </is>
      </c>
      <c r="F230" s="37" t="inlineStr">
        <is>
          <t>Phòng Đo đạc</t>
        </is>
      </c>
      <c r="G230" s="29" t="n">
        <v>1100000</v>
      </c>
      <c r="H230" s="29" t="n">
        <v>0</v>
      </c>
      <c r="I230" s="29" t="n">
        <v>0</v>
      </c>
      <c r="J230" s="29">
        <f>IF(B230="","",SUM(G230:I230))</f>
        <v/>
      </c>
      <c r="K230" s="27" t="n">
        <v>45867</v>
      </c>
      <c r="L230" s="37" t="inlineStr">
        <is>
          <t>HĐ cũ: 311/BK-2025 | HỢP THỨC HOÁ BỔ SUNG</t>
        </is>
      </c>
    </row>
    <row r="231" ht="15.75" customHeight="1" s="56">
      <c r="A231" s="36" t="n">
        <v>45839</v>
      </c>
      <c r="B231" s="37" t="inlineStr">
        <is>
          <t>Lê Văn Dựng</t>
        </is>
      </c>
      <c r="C231" s="37" t="n"/>
      <c r="D231" s="37" t="n"/>
      <c r="E231" s="37" t="inlineStr">
        <is>
          <t>Đo GPS</t>
        </is>
      </c>
      <c r="F231" s="37" t="inlineStr">
        <is>
          <t>Phòng Đo đạc</t>
        </is>
      </c>
      <c r="G231" s="29" t="n">
        <v>1200000</v>
      </c>
      <c r="H231" s="29" t="n">
        <v>0</v>
      </c>
      <c r="I231" s="29" t="n">
        <v>0</v>
      </c>
      <c r="J231" s="29">
        <f>IF(B231="","",SUM(G231:I231))</f>
        <v/>
      </c>
      <c r="K231" s="27" t="n">
        <v>45849</v>
      </c>
      <c r="L231" s="37" t="inlineStr">
        <is>
          <t>HĐ cũ: 32-GPS/BK-2025</t>
        </is>
      </c>
    </row>
    <row r="232" ht="15.75" customHeight="1" s="56">
      <c r="A232" s="36" t="n">
        <v>45839</v>
      </c>
      <c r="B232" s="37" t="inlineStr">
        <is>
          <t>Lê Văn Dựng</t>
        </is>
      </c>
      <c r="C232" s="37" t="n"/>
      <c r="D232" s="37" t="n"/>
      <c r="E232" s="37" t="inlineStr">
        <is>
          <t>Đo GPS</t>
        </is>
      </c>
      <c r="F232" s="37" t="inlineStr">
        <is>
          <t>Phòng Đo đạc</t>
        </is>
      </c>
      <c r="G232" s="29" t="n">
        <v>1200000</v>
      </c>
      <c r="H232" s="29" t="n">
        <v>0</v>
      </c>
      <c r="I232" s="29" t="n">
        <v>0</v>
      </c>
      <c r="J232" s="29">
        <f>IF(B232="","",SUM(G232:I232))</f>
        <v/>
      </c>
      <c r="K232" s="27" t="n">
        <v>45867</v>
      </c>
      <c r="L232" s="37" t="inlineStr">
        <is>
          <t>HĐ cũ: 311-2/BK-2025</t>
        </is>
      </c>
    </row>
    <row r="233" ht="15.75" customHeight="1" s="56">
      <c r="A233" s="36" t="n">
        <v>45839</v>
      </c>
      <c r="B233" s="37" t="inlineStr">
        <is>
          <t>Lê Văn Dựng</t>
        </is>
      </c>
      <c r="C233" s="37" t="n"/>
      <c r="D233" s="37" t="n"/>
      <c r="E233" s="37" t="inlineStr">
        <is>
          <t>Đo GPS</t>
        </is>
      </c>
      <c r="F233" s="37" t="inlineStr">
        <is>
          <t>Phòng Đo đạc</t>
        </is>
      </c>
      <c r="G233" s="29" t="n">
        <v>1200000</v>
      </c>
      <c r="H233" s="29" t="n">
        <v>0</v>
      </c>
      <c r="I233" s="29" t="n">
        <v>0</v>
      </c>
      <c r="J233" s="29">
        <f>IF(B233="","",SUM(G233:I233))</f>
        <v/>
      </c>
      <c r="K233" s="27" t="n">
        <v>45869</v>
      </c>
      <c r="L233" s="37" t="inlineStr">
        <is>
          <t>HĐ cũ: 313-2/BK-2025</t>
        </is>
      </c>
    </row>
    <row r="234" ht="15.75" customHeight="1" s="56">
      <c r="A234" s="36" t="n">
        <v>45839</v>
      </c>
      <c r="B234" s="37" t="inlineStr">
        <is>
          <t>Lê Văn Dựng</t>
        </is>
      </c>
      <c r="C234" s="37" t="n"/>
      <c r="D234" s="37" t="n"/>
      <c r="E234" s="37" t="inlineStr">
        <is>
          <t>Xác định diện tích</t>
        </is>
      </c>
      <c r="F234" s="37" t="inlineStr">
        <is>
          <t>Phòng Đo đạc</t>
        </is>
      </c>
      <c r="G234" s="29" t="n">
        <v>700000</v>
      </c>
      <c r="H234" s="29" t="n">
        <v>0</v>
      </c>
      <c r="I234" s="29" t="n">
        <v>0</v>
      </c>
      <c r="J234" s="29">
        <f>IF(B234="","",SUM(G234:I234))</f>
        <v/>
      </c>
      <c r="K234" s="27" t="n">
        <v>45863</v>
      </c>
      <c r="L234" s="37" t="inlineStr">
        <is>
          <t>HĐ cũ: 280/BK-2025</t>
        </is>
      </c>
    </row>
    <row r="235" ht="15.75" customHeight="1" s="56">
      <c r="A235" s="36" t="n"/>
      <c r="B235" s="37" t="n"/>
      <c r="C235" s="37" t="n"/>
      <c r="D235" s="37" t="n"/>
      <c r="E235" s="37" t="n"/>
      <c r="F235" s="37" t="n"/>
      <c r="G235" s="29" t="n"/>
      <c r="H235" s="29" t="n"/>
      <c r="I235" s="29" t="n"/>
      <c r="J235" s="29">
        <f>IF(B235="","",SUM(G235:I235))</f>
        <v/>
      </c>
      <c r="K235" s="27" t="n"/>
      <c r="L235" s="37" t="n"/>
    </row>
    <row r="236" ht="15.75" customHeight="1" s="56">
      <c r="A236" s="36" t="n"/>
      <c r="B236" s="37" t="n"/>
      <c r="C236" s="37" t="n"/>
      <c r="D236" s="37" t="n"/>
      <c r="E236" s="37" t="n"/>
      <c r="F236" s="37" t="n"/>
      <c r="G236" s="29" t="n"/>
      <c r="H236" s="29" t="n"/>
      <c r="I236" s="29" t="n"/>
      <c r="J236" s="29">
        <f>IF(B236="","",SUM(G236:I236))</f>
        <v/>
      </c>
      <c r="K236" s="27" t="n"/>
      <c r="L236" s="37" t="n"/>
    </row>
    <row r="237" ht="15.75" customHeight="1" s="56">
      <c r="A237" s="36" t="n"/>
      <c r="B237" s="37" t="n"/>
      <c r="C237" s="37" t="n"/>
      <c r="D237" s="37" t="n"/>
      <c r="E237" s="37" t="n"/>
      <c r="F237" s="37" t="n"/>
      <c r="G237" s="29" t="n"/>
      <c r="H237" s="29" t="n"/>
      <c r="I237" s="29" t="n"/>
      <c r="J237" s="29">
        <f>IF(B237="","",SUM(G237:I237))</f>
        <v/>
      </c>
      <c r="K237" s="27" t="n"/>
      <c r="L237" s="37" t="n"/>
    </row>
    <row r="238" ht="15.75" customHeight="1" s="56">
      <c r="A238" s="36" t="n"/>
      <c r="B238" s="37" t="n"/>
      <c r="C238" s="37" t="n"/>
      <c r="D238" s="37" t="n"/>
      <c r="E238" s="37" t="n"/>
      <c r="F238" s="37" t="n"/>
      <c r="G238" s="29" t="n"/>
      <c r="H238" s="29" t="n"/>
      <c r="I238" s="29" t="n"/>
      <c r="J238" s="29">
        <f>IF(B238="","",SUM(G238:I238))</f>
        <v/>
      </c>
      <c r="K238" s="27" t="n"/>
      <c r="L238" s="37" t="n"/>
    </row>
    <row r="239" ht="15.75" customHeight="1" s="56">
      <c r="A239" s="36" t="n"/>
      <c r="B239" s="37" t="n"/>
      <c r="C239" s="37" t="n"/>
      <c r="D239" s="37" t="n"/>
      <c r="E239" s="37" t="n"/>
      <c r="F239" s="37" t="n"/>
      <c r="G239" s="29" t="n"/>
      <c r="H239" s="29" t="n"/>
      <c r="I239" s="29" t="n"/>
      <c r="J239" s="29">
        <f>IF(B239="","",SUM(G239:I239))</f>
        <v/>
      </c>
      <c r="K239" s="27" t="n"/>
      <c r="L239" s="37" t="n"/>
    </row>
    <row r="240" ht="15.75" customHeight="1" s="56">
      <c r="A240" s="36" t="n"/>
      <c r="B240" s="37" t="n"/>
      <c r="C240" s="37" t="n"/>
      <c r="D240" s="37" t="n"/>
      <c r="E240" s="37" t="n"/>
      <c r="F240" s="37" t="n"/>
      <c r="G240" s="29" t="n"/>
      <c r="H240" s="29" t="n"/>
      <c r="I240" s="29" t="n"/>
      <c r="J240" s="29">
        <f>IF(B240="","",SUM(G240:I240))</f>
        <v/>
      </c>
      <c r="K240" s="27" t="n"/>
      <c r="L240" s="37" t="n"/>
    </row>
    <row r="241" ht="15.75" customHeight="1" s="56">
      <c r="A241" s="36" t="n"/>
      <c r="B241" s="37" t="n"/>
      <c r="C241" s="37" t="n"/>
      <c r="D241" s="37" t="n"/>
      <c r="E241" s="37" t="n"/>
      <c r="F241" s="37" t="n"/>
      <c r="G241" s="29" t="n"/>
      <c r="H241" s="29" t="n"/>
      <c r="I241" s="29" t="n"/>
      <c r="J241" s="29">
        <f>IF(B241="","",SUM(G241:I241))</f>
        <v/>
      </c>
      <c r="K241" s="27" t="n"/>
      <c r="L241" s="37" t="n"/>
    </row>
    <row r="242" ht="15.75" customHeight="1" s="56">
      <c r="A242" s="36" t="n"/>
      <c r="B242" s="37" t="n"/>
      <c r="C242" s="37" t="n"/>
      <c r="D242" s="37" t="n"/>
      <c r="E242" s="37" t="n"/>
      <c r="F242" s="37" t="n"/>
      <c r="G242" s="29" t="n"/>
      <c r="H242" s="29" t="n"/>
      <c r="I242" s="29" t="n"/>
      <c r="J242" s="29">
        <f>IF(B242="","",SUM(G242:I242))</f>
        <v/>
      </c>
      <c r="K242" s="27" t="n"/>
      <c r="L242" s="37" t="n"/>
    </row>
    <row r="243" ht="15.75" customHeight="1" s="56">
      <c r="A243" s="36" t="n"/>
      <c r="B243" s="37" t="n"/>
      <c r="C243" s="37" t="n"/>
      <c r="D243" s="37" t="n"/>
      <c r="E243" s="37" t="n"/>
      <c r="F243" s="37" t="n"/>
      <c r="G243" s="29" t="n"/>
      <c r="H243" s="29" t="n"/>
      <c r="I243" s="29" t="n"/>
      <c r="J243" s="29">
        <f>IF(B243="","",SUM(G243:I243))</f>
        <v/>
      </c>
      <c r="K243" s="27" t="n"/>
      <c r="L243" s="37" t="n"/>
    </row>
    <row r="244" ht="15.75" customHeight="1" s="56">
      <c r="A244" s="36" t="n"/>
      <c r="B244" s="37" t="n"/>
      <c r="C244" s="37" t="n"/>
      <c r="D244" s="37" t="n"/>
      <c r="E244" s="37" t="n"/>
      <c r="F244" s="37" t="n"/>
      <c r="G244" s="29" t="n"/>
      <c r="H244" s="29" t="n"/>
      <c r="I244" s="29" t="n"/>
      <c r="J244" s="29">
        <f>IF(B244="","",SUM(G244:I244))</f>
        <v/>
      </c>
      <c r="K244" s="27" t="n"/>
      <c r="L244" s="37" t="n"/>
    </row>
    <row r="245" ht="15.75" customHeight="1" s="56">
      <c r="A245" s="36" t="n"/>
      <c r="B245" s="37" t="n"/>
      <c r="C245" s="37" t="n"/>
      <c r="D245" s="37" t="n"/>
      <c r="E245" s="37" t="n"/>
      <c r="F245" s="37" t="n"/>
      <c r="G245" s="29" t="n"/>
      <c r="H245" s="29" t="n"/>
      <c r="I245" s="29" t="n"/>
      <c r="J245" s="29">
        <f>IF(B245="","",SUM(G245:I245))</f>
        <v/>
      </c>
      <c r="K245" s="27" t="n"/>
      <c r="L245" s="37" t="n"/>
    </row>
    <row r="246" ht="15.75" customHeight="1" s="56">
      <c r="A246" s="36" t="n"/>
      <c r="B246" s="37" t="n"/>
      <c r="C246" s="37" t="n"/>
      <c r="D246" s="37" t="n"/>
      <c r="E246" s="37" t="n"/>
      <c r="F246" s="37" t="n"/>
      <c r="G246" s="29" t="n"/>
      <c r="H246" s="29" t="n"/>
      <c r="I246" s="29" t="n"/>
      <c r="J246" s="29">
        <f>IF(B246="","",SUM(G246:I246))</f>
        <v/>
      </c>
      <c r="K246" s="27" t="n"/>
      <c r="L246" s="37" t="n"/>
    </row>
    <row r="247" ht="15.75" customHeight="1" s="56">
      <c r="A247" s="36" t="n"/>
      <c r="B247" s="37" t="n"/>
      <c r="C247" s="37" t="n"/>
      <c r="D247" s="37" t="n"/>
      <c r="E247" s="37" t="n"/>
      <c r="F247" s="37" t="n"/>
      <c r="G247" s="29" t="n"/>
      <c r="H247" s="29" t="n"/>
      <c r="I247" s="29" t="n"/>
      <c r="J247" s="29">
        <f>IF(B247="","",SUM(G247:I247))</f>
        <v/>
      </c>
      <c r="K247" s="27" t="n"/>
      <c r="L247" s="37" t="n"/>
    </row>
    <row r="248" ht="15.75" customHeight="1" s="56">
      <c r="A248" s="36" t="n"/>
      <c r="B248" s="37" t="n"/>
      <c r="C248" s="37" t="n"/>
      <c r="D248" s="37" t="n"/>
      <c r="E248" s="37" t="n"/>
      <c r="F248" s="37" t="n"/>
      <c r="G248" s="29" t="n"/>
      <c r="H248" s="29" t="n"/>
      <c r="I248" s="29" t="n"/>
      <c r="J248" s="29">
        <f>IF(B248="","",SUM(G248:I248))</f>
        <v/>
      </c>
      <c r="K248" s="27" t="n"/>
      <c r="L248" s="37" t="n"/>
    </row>
    <row r="249" ht="15.75" customHeight="1" s="56">
      <c r="A249" s="36" t="n"/>
      <c r="B249" s="37" t="n"/>
      <c r="C249" s="37" t="n"/>
      <c r="D249" s="37" t="n"/>
      <c r="E249" s="37" t="n"/>
      <c r="F249" s="37" t="n"/>
      <c r="G249" s="29" t="n"/>
      <c r="H249" s="29" t="n"/>
      <c r="I249" s="29" t="n"/>
      <c r="J249" s="29">
        <f>IF(B249="","",SUM(G249:I249))</f>
        <v/>
      </c>
      <c r="K249" s="27" t="n"/>
      <c r="L249" s="37" t="n"/>
    </row>
    <row r="250" ht="15.75" customHeight="1" s="56">
      <c r="A250" s="36" t="n"/>
      <c r="B250" s="37" t="n"/>
      <c r="C250" s="37" t="n"/>
      <c r="D250" s="37" t="n"/>
      <c r="E250" s="37" t="n"/>
      <c r="F250" s="37" t="n"/>
      <c r="G250" s="29" t="n"/>
      <c r="H250" s="29" t="n"/>
      <c r="I250" s="29" t="n"/>
      <c r="J250" s="29">
        <f>IF(B250="","",SUM(G250:I250))</f>
        <v/>
      </c>
      <c r="K250" s="27" t="n"/>
      <c r="L250" s="37" t="n"/>
    </row>
    <row r="251" ht="15.75" customHeight="1" s="56">
      <c r="A251" s="36" t="n"/>
      <c r="B251" s="37" t="n"/>
      <c r="C251" s="37" t="n"/>
      <c r="D251" s="37" t="n"/>
      <c r="E251" s="37" t="n"/>
      <c r="F251" s="37" t="n"/>
      <c r="G251" s="29" t="n"/>
      <c r="H251" s="29" t="n"/>
      <c r="I251" s="29" t="n"/>
      <c r="J251" s="29">
        <f>IF(B251="","",SUM(G251:I251))</f>
        <v/>
      </c>
      <c r="K251" s="27" t="n"/>
      <c r="L251" s="37" t="n"/>
    </row>
    <row r="252" ht="15.75" customHeight="1" s="56">
      <c r="A252" s="36" t="n"/>
      <c r="B252" s="37" t="n"/>
      <c r="C252" s="37" t="n"/>
      <c r="D252" s="37" t="n"/>
      <c r="E252" s="37" t="n"/>
      <c r="F252" s="37" t="n"/>
      <c r="G252" s="29" t="n"/>
      <c r="H252" s="29" t="n"/>
      <c r="I252" s="29" t="n"/>
      <c r="J252" s="29">
        <f>IF(B252="","",SUM(G252:I252))</f>
        <v/>
      </c>
      <c r="K252" s="27" t="n"/>
      <c r="L252" s="37" t="n"/>
    </row>
    <row r="253" ht="15.75" customHeight="1" s="56">
      <c r="A253" s="36" t="n"/>
      <c r="B253" s="37" t="n"/>
      <c r="C253" s="37" t="n"/>
      <c r="D253" s="37" t="n"/>
      <c r="E253" s="37" t="n"/>
      <c r="F253" s="37" t="n"/>
      <c r="G253" s="29" t="n"/>
      <c r="H253" s="29" t="n"/>
      <c r="I253" s="29" t="n"/>
      <c r="J253" s="29">
        <f>IF(B253="","",SUM(G253:I253))</f>
        <v/>
      </c>
      <c r="K253" s="27" t="n"/>
      <c r="L253" s="37" t="n"/>
    </row>
    <row r="254" ht="15.75" customHeight="1" s="56">
      <c r="A254" s="36" t="n"/>
      <c r="B254" s="37" t="n"/>
      <c r="C254" s="37" t="n"/>
      <c r="D254" s="37" t="n"/>
      <c r="E254" s="37" t="n"/>
      <c r="F254" s="37" t="n"/>
      <c r="G254" s="29" t="n"/>
      <c r="H254" s="29" t="n"/>
      <c r="I254" s="29" t="n"/>
      <c r="J254" s="29">
        <f>IF(B254="","",SUM(G254:I254))</f>
        <v/>
      </c>
      <c r="K254" s="27" t="n"/>
      <c r="L254" s="37" t="n"/>
    </row>
    <row r="255" ht="15.75" customHeight="1" s="56">
      <c r="A255" s="36" t="n"/>
      <c r="B255" s="37" t="n"/>
      <c r="C255" s="37" t="n"/>
      <c r="D255" s="37" t="n"/>
      <c r="E255" s="37" t="n"/>
      <c r="F255" s="37" t="n"/>
      <c r="G255" s="29" t="n"/>
      <c r="H255" s="29" t="n"/>
      <c r="I255" s="29" t="n"/>
      <c r="J255" s="29">
        <f>IF(B255="","",SUM(G255:I255))</f>
        <v/>
      </c>
      <c r="K255" s="27" t="n"/>
      <c r="L255" s="37" t="n"/>
    </row>
    <row r="256" ht="15.75" customHeight="1" s="56">
      <c r="A256" s="36" t="n"/>
      <c r="B256" s="37" t="n"/>
      <c r="C256" s="37" t="n"/>
      <c r="D256" s="37" t="n"/>
      <c r="E256" s="37" t="n"/>
      <c r="F256" s="37" t="n"/>
      <c r="G256" s="29" t="n"/>
      <c r="H256" s="29" t="n"/>
      <c r="I256" s="29" t="n"/>
      <c r="J256" s="29">
        <f>IF(B256="","",SUM(G256:I256))</f>
        <v/>
      </c>
      <c r="K256" s="27" t="n"/>
      <c r="L256" s="37" t="n"/>
    </row>
    <row r="257" ht="15.75" customHeight="1" s="56">
      <c r="A257" s="36" t="n"/>
      <c r="B257" s="37" t="n"/>
      <c r="C257" s="37" t="n"/>
      <c r="D257" s="37" t="n"/>
      <c r="E257" s="37" t="n"/>
      <c r="F257" s="37" t="n"/>
      <c r="G257" s="29" t="n"/>
      <c r="H257" s="29" t="n"/>
      <c r="I257" s="29" t="n"/>
      <c r="J257" s="29">
        <f>IF(B257="","",SUM(G257:I257))</f>
        <v/>
      </c>
      <c r="K257" s="27" t="n"/>
      <c r="L257" s="37" t="n"/>
    </row>
    <row r="258" ht="15.75" customHeight="1" s="56">
      <c r="A258" s="36" t="n"/>
      <c r="B258" s="37" t="n"/>
      <c r="C258" s="37" t="n"/>
      <c r="D258" s="37" t="n"/>
      <c r="E258" s="37" t="n"/>
      <c r="F258" s="37" t="n"/>
      <c r="G258" s="29" t="n"/>
      <c r="H258" s="29" t="n"/>
      <c r="I258" s="29" t="n"/>
      <c r="J258" s="29">
        <f>IF(B258="","",SUM(G258:I258))</f>
        <v/>
      </c>
      <c r="K258" s="27" t="n"/>
      <c r="L258" s="37" t="n"/>
    </row>
    <row r="259" ht="15.75" customHeight="1" s="56">
      <c r="A259" s="36" t="n"/>
      <c r="B259" s="37" t="n"/>
      <c r="C259" s="37" t="n"/>
      <c r="D259" s="37" t="n"/>
      <c r="E259" s="37" t="n"/>
      <c r="F259" s="37" t="n"/>
      <c r="G259" s="29" t="n"/>
      <c r="H259" s="29" t="n"/>
      <c r="I259" s="29" t="n"/>
      <c r="J259" s="29">
        <f>IF(B259="","",SUM(G259:I259))</f>
        <v/>
      </c>
      <c r="K259" s="27" t="n"/>
      <c r="L259" s="37" t="n"/>
    </row>
    <row r="260" ht="15.75" customHeight="1" s="56">
      <c r="A260" s="36" t="n"/>
      <c r="B260" s="37" t="n"/>
      <c r="C260" s="37" t="n"/>
      <c r="D260" s="37" t="n"/>
      <c r="E260" s="37" t="n"/>
      <c r="F260" s="37" t="n"/>
      <c r="G260" s="29" t="n"/>
      <c r="H260" s="29" t="n"/>
      <c r="I260" s="29" t="n"/>
      <c r="J260" s="29">
        <f>IF(B260="","",SUM(G260:I260))</f>
        <v/>
      </c>
      <c r="K260" s="27" t="n"/>
      <c r="L260" s="37" t="n"/>
    </row>
    <row r="261" ht="15.75" customHeight="1" s="56">
      <c r="A261" s="36" t="n"/>
      <c r="B261" s="37" t="n"/>
      <c r="C261" s="37" t="n"/>
      <c r="D261" s="37" t="n"/>
      <c r="E261" s="37" t="n"/>
      <c r="F261" s="37" t="n"/>
      <c r="G261" s="29" t="n"/>
      <c r="H261" s="29" t="n"/>
      <c r="I261" s="29" t="n"/>
      <c r="J261" s="29">
        <f>IF(B261="","",SUM(G261:I261))</f>
        <v/>
      </c>
      <c r="K261" s="27" t="n"/>
      <c r="L261" s="37" t="n"/>
    </row>
    <row r="262" ht="15.75" customHeight="1" s="56">
      <c r="A262" s="36" t="n"/>
      <c r="B262" s="37" t="n"/>
      <c r="C262" s="37" t="n"/>
      <c r="D262" s="37" t="n"/>
      <c r="E262" s="37" t="n"/>
      <c r="F262" s="37" t="n"/>
      <c r="G262" s="29" t="n"/>
      <c r="H262" s="29" t="n"/>
      <c r="I262" s="29" t="n"/>
      <c r="J262" s="29">
        <f>IF(B262="","",SUM(G262:I262))</f>
        <v/>
      </c>
      <c r="K262" s="27" t="n"/>
      <c r="L262" s="37" t="n"/>
    </row>
    <row r="263" ht="15.75" customHeight="1" s="56">
      <c r="A263" s="36" t="n"/>
      <c r="B263" s="37" t="n"/>
      <c r="C263" s="37" t="n"/>
      <c r="D263" s="37" t="n"/>
      <c r="E263" s="37" t="n"/>
      <c r="F263" s="37" t="n"/>
      <c r="G263" s="29" t="n"/>
      <c r="H263" s="29" t="n"/>
      <c r="I263" s="29" t="n"/>
      <c r="J263" s="29">
        <f>IF(B263="","",SUM(G263:I263))</f>
        <v/>
      </c>
      <c r="K263" s="27" t="n"/>
      <c r="L263" s="37" t="n"/>
    </row>
    <row r="264" ht="15.75" customHeight="1" s="56">
      <c r="A264" s="36" t="n"/>
      <c r="B264" s="37" t="n"/>
      <c r="C264" s="37" t="n"/>
      <c r="D264" s="37" t="n"/>
      <c r="E264" s="37" t="n"/>
      <c r="F264" s="37" t="n"/>
      <c r="G264" s="29" t="n"/>
      <c r="H264" s="29" t="n"/>
      <c r="I264" s="29" t="n"/>
      <c r="J264" s="29">
        <f>IF(B264="","",SUM(G264:I264))</f>
        <v/>
      </c>
      <c r="K264" s="27" t="n"/>
      <c r="L264" s="37" t="n"/>
    </row>
    <row r="265" ht="15.75" customHeight="1" s="56">
      <c r="A265" s="36" t="n"/>
      <c r="B265" s="37" t="n"/>
      <c r="C265" s="37" t="n"/>
      <c r="D265" s="37" t="n"/>
      <c r="E265" s="37" t="n"/>
      <c r="F265" s="37" t="n"/>
      <c r="G265" s="29" t="n"/>
      <c r="H265" s="29" t="n"/>
      <c r="I265" s="29" t="n"/>
      <c r="J265" s="29">
        <f>IF(B265="","",SUM(G265:I265))</f>
        <v/>
      </c>
      <c r="K265" s="27" t="n"/>
      <c r="L265" s="37" t="n"/>
    </row>
    <row r="266" ht="15.75" customHeight="1" s="56">
      <c r="A266" s="36" t="n"/>
      <c r="B266" s="37" t="n"/>
      <c r="C266" s="37" t="n"/>
      <c r="D266" s="37" t="n"/>
      <c r="E266" s="37" t="n"/>
      <c r="F266" s="37" t="n"/>
      <c r="G266" s="29" t="n"/>
      <c r="H266" s="29" t="n"/>
      <c r="I266" s="29" t="n"/>
      <c r="J266" s="29">
        <f>IF(B266="","",SUM(G266:I266))</f>
        <v/>
      </c>
      <c r="K266" s="27" t="n"/>
      <c r="L266" s="37" t="n"/>
    </row>
    <row r="267" ht="15.75" customHeight="1" s="56">
      <c r="A267" s="36" t="n"/>
      <c r="B267" s="37" t="n"/>
      <c r="C267" s="37" t="n"/>
      <c r="D267" s="37" t="n"/>
      <c r="E267" s="37" t="n"/>
      <c r="F267" s="37" t="n"/>
      <c r="G267" s="29" t="n"/>
      <c r="H267" s="29" t="n"/>
      <c r="I267" s="29" t="n"/>
      <c r="J267" s="29">
        <f>IF(B267="","",SUM(G267:I267))</f>
        <v/>
      </c>
      <c r="K267" s="27" t="n"/>
      <c r="L267" s="37" t="n"/>
    </row>
    <row r="268" ht="15.75" customHeight="1" s="56">
      <c r="A268" s="36" t="n"/>
      <c r="B268" s="37" t="n"/>
      <c r="C268" s="37" t="n"/>
      <c r="D268" s="37" t="n"/>
      <c r="E268" s="37" t="n"/>
      <c r="F268" s="37" t="n"/>
      <c r="G268" s="29" t="n"/>
      <c r="H268" s="29" t="n"/>
      <c r="I268" s="29" t="n"/>
      <c r="J268" s="29">
        <f>IF(B268="","",SUM(G268:I268))</f>
        <v/>
      </c>
      <c r="K268" s="27" t="n"/>
      <c r="L268" s="37" t="n"/>
    </row>
    <row r="269" ht="15.75" customHeight="1" s="56">
      <c r="A269" s="36" t="n"/>
      <c r="B269" s="37" t="n"/>
      <c r="C269" s="37" t="n"/>
      <c r="D269" s="37" t="n"/>
      <c r="E269" s="37" t="n"/>
      <c r="F269" s="37" t="n"/>
      <c r="G269" s="29" t="n"/>
      <c r="H269" s="29" t="n"/>
      <c r="I269" s="29" t="n"/>
      <c r="J269" s="29">
        <f>IF(B269="","",SUM(G269:I269))</f>
        <v/>
      </c>
      <c r="K269" s="27" t="n"/>
      <c r="L269" s="37" t="n"/>
    </row>
    <row r="270" ht="15.75" customHeight="1" s="56">
      <c r="A270" s="36" t="n"/>
      <c r="B270" s="37" t="n"/>
      <c r="C270" s="37" t="n"/>
      <c r="D270" s="37" t="n"/>
      <c r="E270" s="37" t="n"/>
      <c r="F270" s="37" t="n"/>
      <c r="G270" s="29" t="n"/>
      <c r="H270" s="29" t="n"/>
      <c r="I270" s="29" t="n"/>
      <c r="J270" s="29">
        <f>IF(B270="","",SUM(G270:I270))</f>
        <v/>
      </c>
      <c r="K270" s="27" t="n"/>
      <c r="L270" s="37" t="n"/>
    </row>
    <row r="271" ht="15.75" customHeight="1" s="56">
      <c r="A271" s="36" t="n"/>
      <c r="B271" s="37" t="n"/>
      <c r="C271" s="37" t="n"/>
      <c r="D271" s="37" t="n"/>
      <c r="E271" s="37" t="n"/>
      <c r="F271" s="37" t="n"/>
      <c r="G271" s="29" t="n"/>
      <c r="H271" s="29" t="n"/>
      <c r="I271" s="29" t="n"/>
      <c r="J271" s="29">
        <f>IF(B271="","",SUM(G271:I271))</f>
        <v/>
      </c>
      <c r="K271" s="27" t="n"/>
      <c r="L271" s="37" t="n"/>
    </row>
    <row r="272" ht="15.75" customHeight="1" s="56">
      <c r="A272" s="36" t="n"/>
      <c r="B272" s="37" t="n"/>
      <c r="C272" s="37" t="n"/>
      <c r="D272" s="37" t="n"/>
      <c r="E272" s="37" t="n"/>
      <c r="F272" s="37" t="n"/>
      <c r="G272" s="29" t="n"/>
      <c r="H272" s="29" t="n"/>
      <c r="I272" s="29" t="n"/>
      <c r="J272" s="29">
        <f>IF(B272="","",SUM(G272:I272))</f>
        <v/>
      </c>
      <c r="K272" s="27" t="n"/>
      <c r="L272" s="37" t="n"/>
    </row>
    <row r="273" ht="15.75" customHeight="1" s="56">
      <c r="A273" s="36" t="n"/>
      <c r="B273" s="37" t="n"/>
      <c r="C273" s="37" t="n"/>
      <c r="D273" s="37" t="n"/>
      <c r="E273" s="37" t="n"/>
      <c r="F273" s="37" t="n"/>
      <c r="G273" s="29" t="n"/>
      <c r="H273" s="29" t="n"/>
      <c r="I273" s="29" t="n"/>
      <c r="J273" s="29">
        <f>IF(B273="","",SUM(G273:I273))</f>
        <v/>
      </c>
      <c r="K273" s="27" t="n"/>
      <c r="L273" s="37" t="n"/>
    </row>
    <row r="274" ht="15.75" customHeight="1" s="56">
      <c r="A274" s="36" t="n"/>
      <c r="B274" s="37" t="n"/>
      <c r="C274" s="37" t="n"/>
      <c r="D274" s="37" t="n"/>
      <c r="E274" s="37" t="n"/>
      <c r="F274" s="37" t="n"/>
      <c r="G274" s="29" t="n"/>
      <c r="H274" s="29" t="n"/>
      <c r="I274" s="29" t="n"/>
      <c r="J274" s="29">
        <f>IF(B274="","",SUM(G274:I274))</f>
        <v/>
      </c>
      <c r="K274" s="27" t="n"/>
      <c r="L274" s="37" t="n"/>
    </row>
    <row r="275" ht="15.75" customHeight="1" s="56">
      <c r="A275" s="36" t="n"/>
      <c r="B275" s="37" t="n"/>
      <c r="C275" s="37" t="n"/>
      <c r="D275" s="37" t="n"/>
      <c r="E275" s="37" t="n"/>
      <c r="F275" s="37" t="n"/>
      <c r="G275" s="29" t="n"/>
      <c r="H275" s="29" t="n"/>
      <c r="I275" s="29" t="n"/>
      <c r="J275" s="29">
        <f>IF(B275="","",SUM(G275:I275))</f>
        <v/>
      </c>
      <c r="K275" s="27" t="n"/>
      <c r="L275" s="37" t="n"/>
    </row>
    <row r="276" ht="15.75" customHeight="1" s="56">
      <c r="A276" s="36" t="n"/>
      <c r="B276" s="37" t="n"/>
      <c r="C276" s="37" t="n"/>
      <c r="D276" s="37" t="n"/>
      <c r="E276" s="37" t="n"/>
      <c r="F276" s="37" t="n"/>
      <c r="G276" s="29" t="n"/>
      <c r="H276" s="29" t="n"/>
      <c r="I276" s="29" t="n"/>
      <c r="J276" s="29">
        <f>IF(B276="","",SUM(G276:I276))</f>
        <v/>
      </c>
      <c r="K276" s="27" t="n"/>
      <c r="L276" s="37" t="n"/>
    </row>
    <row r="277" ht="15.75" customHeight="1" s="56">
      <c r="A277" s="36" t="n"/>
      <c r="B277" s="37" t="n"/>
      <c r="C277" s="37" t="n"/>
      <c r="D277" s="37" t="n"/>
      <c r="E277" s="37" t="n"/>
      <c r="F277" s="37" t="n"/>
      <c r="G277" s="29" t="n"/>
      <c r="H277" s="29" t="n"/>
      <c r="I277" s="29" t="n"/>
      <c r="J277" s="29">
        <f>IF(B277="","",SUM(G277:I277))</f>
        <v/>
      </c>
      <c r="K277" s="27" t="n"/>
      <c r="L277" s="37" t="n"/>
    </row>
    <row r="278" ht="15.75" customHeight="1" s="56">
      <c r="A278" s="36" t="n"/>
      <c r="B278" s="37" t="n"/>
      <c r="C278" s="37" t="n"/>
      <c r="D278" s="37" t="n"/>
      <c r="E278" s="37" t="n"/>
      <c r="F278" s="37" t="n"/>
      <c r="G278" s="29" t="n"/>
      <c r="H278" s="29" t="n"/>
      <c r="I278" s="29" t="n"/>
      <c r="J278" s="29">
        <f>IF(B278="","",SUM(G278:I278))</f>
        <v/>
      </c>
      <c r="K278" s="27" t="n"/>
      <c r="L278" s="37" t="n"/>
    </row>
    <row r="279" ht="15.75" customHeight="1" s="56">
      <c r="A279" s="36" t="n"/>
      <c r="B279" s="37" t="n"/>
      <c r="C279" s="37" t="n"/>
      <c r="D279" s="37" t="n"/>
      <c r="E279" s="37" t="n"/>
      <c r="F279" s="37" t="n"/>
      <c r="G279" s="29" t="n"/>
      <c r="H279" s="29" t="n"/>
      <c r="I279" s="29" t="n"/>
      <c r="J279" s="29">
        <f>IF(B279="","",SUM(G279:I279))</f>
        <v/>
      </c>
      <c r="K279" s="27" t="n"/>
      <c r="L279" s="37" t="n"/>
    </row>
    <row r="280" ht="15.75" customHeight="1" s="56">
      <c r="A280" s="36" t="n"/>
      <c r="B280" s="37" t="n"/>
      <c r="C280" s="37" t="n"/>
      <c r="D280" s="37" t="n"/>
      <c r="E280" s="37" t="n"/>
      <c r="F280" s="37" t="n"/>
      <c r="G280" s="29" t="n"/>
      <c r="H280" s="29" t="n"/>
      <c r="I280" s="29" t="n"/>
      <c r="J280" s="29">
        <f>IF(B280="","",SUM(G280:I280))</f>
        <v/>
      </c>
      <c r="K280" s="27" t="n"/>
      <c r="L280" s="37" t="n"/>
    </row>
    <row r="281" ht="15.75" customHeight="1" s="56">
      <c r="A281" s="36" t="n"/>
      <c r="B281" s="37" t="n"/>
      <c r="C281" s="37" t="n"/>
      <c r="D281" s="37" t="n"/>
      <c r="E281" s="37" t="n"/>
      <c r="F281" s="37" t="n"/>
      <c r="G281" s="29" t="n"/>
      <c r="H281" s="29" t="n"/>
      <c r="I281" s="29" t="n"/>
      <c r="J281" s="29">
        <f>IF(B281="","",SUM(G281:I281))</f>
        <v/>
      </c>
      <c r="K281" s="27" t="n"/>
      <c r="L281" s="37" t="n"/>
    </row>
    <row r="282" ht="15.75" customHeight="1" s="56">
      <c r="A282" s="36" t="n"/>
      <c r="B282" s="37" t="n"/>
      <c r="C282" s="37" t="n"/>
      <c r="D282" s="37" t="n"/>
      <c r="E282" s="37" t="n"/>
      <c r="F282" s="37" t="n"/>
      <c r="G282" s="29" t="n"/>
      <c r="H282" s="29" t="n"/>
      <c r="I282" s="29" t="n"/>
      <c r="J282" s="29">
        <f>IF(B282="","",SUM(G282:I282))</f>
        <v/>
      </c>
      <c r="K282" s="27" t="n"/>
      <c r="L282" s="37" t="n"/>
    </row>
    <row r="283" ht="15.75" customHeight="1" s="56">
      <c r="A283" s="36" t="n"/>
      <c r="B283" s="37" t="n"/>
      <c r="C283" s="37" t="n"/>
      <c r="D283" s="37" t="n"/>
      <c r="E283" s="37" t="n"/>
      <c r="F283" s="37" t="n"/>
      <c r="G283" s="29" t="n"/>
      <c r="H283" s="29" t="n"/>
      <c r="I283" s="29" t="n"/>
      <c r="J283" s="29">
        <f>IF(B283="","",SUM(G283:I283))</f>
        <v/>
      </c>
      <c r="K283" s="27" t="n"/>
      <c r="L283" s="37" t="n"/>
    </row>
    <row r="284" ht="15.75" customHeight="1" s="56">
      <c r="A284" s="36" t="n"/>
      <c r="B284" s="37" t="n"/>
      <c r="C284" s="37" t="n"/>
      <c r="D284" s="37" t="n"/>
      <c r="E284" s="37" t="n"/>
      <c r="F284" s="37" t="n"/>
      <c r="G284" s="29" t="n"/>
      <c r="H284" s="29" t="n"/>
      <c r="I284" s="29" t="n"/>
      <c r="J284" s="29">
        <f>IF(B284="","",SUM(G284:I284))</f>
        <v/>
      </c>
      <c r="K284" s="27" t="n"/>
      <c r="L284" s="37" t="n"/>
    </row>
    <row r="285" ht="15.75" customHeight="1" s="56">
      <c r="A285" s="36" t="n"/>
      <c r="B285" s="37" t="n"/>
      <c r="C285" s="37" t="n"/>
      <c r="D285" s="37" t="n"/>
      <c r="E285" s="37" t="n"/>
      <c r="F285" s="37" t="n"/>
      <c r="G285" s="29" t="n"/>
      <c r="H285" s="29" t="n"/>
      <c r="I285" s="29" t="n"/>
      <c r="J285" s="29">
        <f>IF(B285="","",SUM(G285:I285))</f>
        <v/>
      </c>
      <c r="K285" s="27" t="n"/>
      <c r="L285" s="37" t="n"/>
    </row>
    <row r="286" ht="15.75" customHeight="1" s="56">
      <c r="A286" s="36" t="n"/>
      <c r="B286" s="37" t="n"/>
      <c r="C286" s="37" t="n"/>
      <c r="D286" s="37" t="n"/>
      <c r="E286" s="37" t="n"/>
      <c r="F286" s="37" t="n"/>
      <c r="G286" s="29" t="n"/>
      <c r="H286" s="29" t="n"/>
      <c r="I286" s="29" t="n"/>
      <c r="J286" s="29">
        <f>IF(B286="","",SUM(G286:I286))</f>
        <v/>
      </c>
      <c r="K286" s="27" t="n"/>
      <c r="L286" s="37" t="n"/>
    </row>
    <row r="287" ht="15.75" customHeight="1" s="56">
      <c r="A287" s="36" t="n"/>
      <c r="B287" s="37" t="n"/>
      <c r="C287" s="37" t="n"/>
      <c r="D287" s="37" t="n"/>
      <c r="E287" s="37" t="n"/>
      <c r="F287" s="37" t="n"/>
      <c r="G287" s="29" t="n"/>
      <c r="H287" s="29" t="n"/>
      <c r="I287" s="29" t="n"/>
      <c r="J287" s="29">
        <f>IF(B287="","",SUM(G287:I287))</f>
        <v/>
      </c>
      <c r="K287" s="27" t="n"/>
      <c r="L287" s="37" t="n"/>
    </row>
    <row r="288" ht="15.75" customHeight="1" s="56">
      <c r="A288" s="36" t="n"/>
      <c r="B288" s="37" t="n"/>
      <c r="C288" s="37" t="n"/>
      <c r="D288" s="37" t="n"/>
      <c r="E288" s="37" t="n"/>
      <c r="F288" s="37" t="n"/>
      <c r="G288" s="29" t="n"/>
      <c r="H288" s="29" t="n"/>
      <c r="I288" s="29" t="n"/>
      <c r="J288" s="29">
        <f>IF(B288="","",SUM(G288:I288))</f>
        <v/>
      </c>
      <c r="K288" s="27" t="n"/>
      <c r="L288" s="37" t="n"/>
    </row>
    <row r="289" ht="15.75" customHeight="1" s="56">
      <c r="A289" s="36" t="n"/>
      <c r="B289" s="37" t="n"/>
      <c r="C289" s="37" t="n"/>
      <c r="D289" s="37" t="n"/>
      <c r="E289" s="37" t="n"/>
      <c r="F289" s="37" t="n"/>
      <c r="G289" s="29" t="n"/>
      <c r="H289" s="29" t="n"/>
      <c r="I289" s="29" t="n"/>
      <c r="J289" s="29">
        <f>IF(B289="","",SUM(G289:I289))</f>
        <v/>
      </c>
      <c r="K289" s="27" t="n"/>
      <c r="L289" s="37" t="n"/>
    </row>
    <row r="290" ht="15.75" customHeight="1" s="56">
      <c r="A290" s="36" t="n"/>
      <c r="B290" s="37" t="n"/>
      <c r="C290" s="37" t="n"/>
      <c r="D290" s="37" t="n"/>
      <c r="E290" s="37" t="n"/>
      <c r="F290" s="37" t="n"/>
      <c r="G290" s="29" t="n"/>
      <c r="H290" s="29" t="n"/>
      <c r="I290" s="29" t="n"/>
      <c r="J290" s="29">
        <f>IF(B290="","",SUM(G290:I290))</f>
        <v/>
      </c>
      <c r="K290" s="27" t="n"/>
      <c r="L290" s="37" t="n"/>
    </row>
    <row r="291" ht="15.75" customHeight="1" s="56">
      <c r="A291" s="36" t="n"/>
      <c r="B291" s="37" t="n"/>
      <c r="C291" s="37" t="n"/>
      <c r="D291" s="37" t="n"/>
      <c r="E291" s="37" t="n"/>
      <c r="F291" s="37" t="n"/>
      <c r="G291" s="29" t="n"/>
      <c r="H291" s="29" t="n"/>
      <c r="I291" s="29" t="n"/>
      <c r="J291" s="29">
        <f>IF(B291="","",SUM(G291:I291))</f>
        <v/>
      </c>
      <c r="K291" s="27" t="n"/>
      <c r="L291" s="37" t="n"/>
    </row>
    <row r="292" ht="15.75" customHeight="1" s="56">
      <c r="A292" s="36" t="n"/>
      <c r="B292" s="37" t="n"/>
      <c r="C292" s="37" t="n"/>
      <c r="D292" s="37" t="n"/>
      <c r="E292" s="37" t="n"/>
      <c r="F292" s="37" t="n"/>
      <c r="G292" s="29" t="n"/>
      <c r="H292" s="29" t="n"/>
      <c r="I292" s="29" t="n"/>
      <c r="J292" s="29">
        <f>IF(B292="","",SUM(G292:I292))</f>
        <v/>
      </c>
      <c r="K292" s="27" t="n"/>
      <c r="L292" s="37" t="n"/>
    </row>
    <row r="293" ht="15.75" customHeight="1" s="56">
      <c r="A293" s="36" t="n"/>
      <c r="B293" s="37" t="n"/>
      <c r="C293" s="37" t="n"/>
      <c r="D293" s="37" t="n"/>
      <c r="E293" s="37" t="n"/>
      <c r="F293" s="37" t="n"/>
      <c r="G293" s="29" t="n"/>
      <c r="H293" s="29" t="n"/>
      <c r="I293" s="29" t="n"/>
      <c r="J293" s="29">
        <f>IF(B293="","",SUM(G293:I293))</f>
        <v/>
      </c>
      <c r="K293" s="27" t="n"/>
      <c r="L293" s="37" t="n"/>
    </row>
    <row r="294" ht="15.75" customHeight="1" s="56">
      <c r="A294" s="36" t="n"/>
      <c r="B294" s="37" t="n"/>
      <c r="C294" s="37" t="n"/>
      <c r="D294" s="37" t="n"/>
      <c r="E294" s="37" t="n"/>
      <c r="F294" s="37" t="n"/>
      <c r="G294" s="29" t="n"/>
      <c r="H294" s="29" t="n"/>
      <c r="I294" s="29" t="n"/>
      <c r="J294" s="29">
        <f>IF(B294="","",SUM(G294:I294))</f>
        <v/>
      </c>
      <c r="K294" s="27" t="n"/>
      <c r="L294" s="37" t="n"/>
    </row>
    <row r="295" ht="15.75" customHeight="1" s="56">
      <c r="A295" s="36" t="n"/>
      <c r="B295" s="37" t="n"/>
      <c r="C295" s="37" t="n"/>
      <c r="D295" s="37" t="n"/>
      <c r="E295" s="37" t="n"/>
      <c r="F295" s="37" t="n"/>
      <c r="G295" s="29" t="n"/>
      <c r="H295" s="29" t="n"/>
      <c r="I295" s="29" t="n"/>
      <c r="J295" s="29">
        <f>IF(B295="","",SUM(G295:I295))</f>
        <v/>
      </c>
      <c r="K295" s="27" t="n"/>
      <c r="L295" s="37" t="n"/>
    </row>
    <row r="296" ht="15.75" customHeight="1" s="56">
      <c r="A296" s="36" t="n"/>
      <c r="B296" s="37" t="n"/>
      <c r="C296" s="37" t="n"/>
      <c r="D296" s="37" t="n"/>
      <c r="E296" s="37" t="n"/>
      <c r="F296" s="37" t="n"/>
      <c r="G296" s="29" t="n"/>
      <c r="H296" s="29" t="n"/>
      <c r="I296" s="29" t="n"/>
      <c r="J296" s="29">
        <f>IF(B296="","",SUM(G296:I296))</f>
        <v/>
      </c>
      <c r="K296" s="27" t="n"/>
      <c r="L296" s="37" t="n"/>
    </row>
    <row r="297" ht="15.75" customHeight="1" s="56">
      <c r="A297" s="36" t="n"/>
      <c r="B297" s="37" t="n"/>
      <c r="C297" s="37" t="n"/>
      <c r="D297" s="37" t="n"/>
      <c r="E297" s="37" t="n"/>
      <c r="F297" s="37" t="n"/>
      <c r="G297" s="29" t="n"/>
      <c r="H297" s="29" t="n"/>
      <c r="I297" s="29" t="n"/>
      <c r="J297" s="29">
        <f>IF(B297="","",SUM(G297:I297))</f>
        <v/>
      </c>
      <c r="K297" s="27" t="n"/>
      <c r="L297" s="37" t="n"/>
    </row>
    <row r="298" ht="15.75" customHeight="1" s="56">
      <c r="A298" s="36" t="n"/>
      <c r="B298" s="37" t="n"/>
      <c r="C298" s="37" t="n"/>
      <c r="D298" s="37" t="n"/>
      <c r="E298" s="37" t="n"/>
      <c r="F298" s="37" t="n"/>
      <c r="G298" s="29" t="n"/>
      <c r="H298" s="29" t="n"/>
      <c r="I298" s="29" t="n"/>
      <c r="J298" s="29">
        <f>IF(B298="","",SUM(G298:I298))</f>
        <v/>
      </c>
      <c r="K298" s="27" t="n"/>
      <c r="L298" s="37" t="n"/>
    </row>
    <row r="299" ht="15.75" customHeight="1" s="56">
      <c r="A299" s="36" t="n"/>
      <c r="B299" s="37" t="n"/>
      <c r="C299" s="37" t="n"/>
      <c r="D299" s="37" t="n"/>
      <c r="E299" s="37" t="n"/>
      <c r="F299" s="37" t="n"/>
      <c r="G299" s="29" t="n"/>
      <c r="H299" s="29" t="n"/>
      <c r="I299" s="29" t="n"/>
      <c r="J299" s="29">
        <f>IF(B299="","",SUM(G299:I299))</f>
        <v/>
      </c>
      <c r="K299" s="27" t="n"/>
      <c r="L299" s="37" t="n"/>
    </row>
    <row r="300" ht="15.75" customHeight="1" s="56">
      <c r="A300" s="36" t="n"/>
      <c r="B300" s="37" t="n"/>
      <c r="C300" s="37" t="n"/>
      <c r="D300" s="37" t="n"/>
      <c r="E300" s="37" t="n"/>
      <c r="F300" s="37" t="n"/>
      <c r="G300" s="29" t="n"/>
      <c r="H300" s="29" t="n"/>
      <c r="I300" s="29" t="n"/>
      <c r="J300" s="29">
        <f>IF(B300="","",SUM(G300:I300))</f>
        <v/>
      </c>
      <c r="K300" s="27" t="n"/>
      <c r="L300" s="37" t="n"/>
    </row>
    <row r="301" ht="15.75" customHeight="1" s="56">
      <c r="A301" s="36" t="n"/>
      <c r="B301" s="37" t="n"/>
      <c r="C301" s="37" t="n"/>
      <c r="D301" s="37" t="n"/>
      <c r="E301" s="37" t="n"/>
      <c r="F301" s="37" t="n"/>
      <c r="G301" s="29" t="n"/>
      <c r="H301" s="29" t="n"/>
      <c r="I301" s="29" t="n"/>
      <c r="J301" s="29">
        <f>IF(B301="","",SUM(G301:I301))</f>
        <v/>
      </c>
      <c r="K301" s="27" t="n"/>
      <c r="L301" s="37" t="n"/>
    </row>
    <row r="302" ht="15.75" customHeight="1" s="56">
      <c r="A302" s="36" t="n"/>
      <c r="B302" s="37" t="n"/>
      <c r="C302" s="37" t="n"/>
      <c r="D302" s="37" t="n"/>
      <c r="E302" s="37" t="n"/>
      <c r="F302" s="37" t="n"/>
      <c r="G302" s="29" t="n"/>
      <c r="H302" s="29" t="n"/>
      <c r="I302" s="29" t="n"/>
      <c r="J302" s="29">
        <f>IF(B302="","",SUM(G302:I302))</f>
        <v/>
      </c>
      <c r="K302" s="27" t="n"/>
      <c r="L302" s="37" t="n"/>
    </row>
    <row r="303" ht="15.75" customHeight="1" s="56">
      <c r="A303" s="36" t="n"/>
      <c r="B303" s="37" t="n"/>
      <c r="C303" s="37" t="n"/>
      <c r="D303" s="37" t="n"/>
      <c r="E303" s="37" t="n"/>
      <c r="F303" s="37" t="n"/>
      <c r="G303" s="29" t="n"/>
      <c r="H303" s="29" t="n"/>
      <c r="I303" s="29" t="n"/>
      <c r="J303" s="29">
        <f>IF(B303="","",SUM(G303:I303))</f>
        <v/>
      </c>
      <c r="K303" s="27" t="n"/>
      <c r="L303" s="37" t="n"/>
    </row>
    <row r="304" ht="15.75" customHeight="1" s="56">
      <c r="A304" s="36" t="n"/>
      <c r="B304" s="37" t="n"/>
      <c r="C304" s="37" t="n"/>
      <c r="D304" s="37" t="n"/>
      <c r="E304" s="37" t="n"/>
      <c r="F304" s="37" t="n"/>
      <c r="G304" s="29" t="n"/>
      <c r="H304" s="29" t="n"/>
      <c r="I304" s="29" t="n"/>
      <c r="J304" s="29">
        <f>IF(B304="","",SUM(G304:I304))</f>
        <v/>
      </c>
      <c r="K304" s="27" t="n"/>
      <c r="L304" s="37" t="n"/>
    </row>
    <row r="305" ht="15.75" customHeight="1" s="56">
      <c r="A305" s="36" t="n"/>
      <c r="B305" s="37" t="n"/>
      <c r="C305" s="37" t="n"/>
      <c r="D305" s="37" t="n"/>
      <c r="E305" s="37" t="n"/>
      <c r="F305" s="37" t="n"/>
      <c r="G305" s="29" t="n"/>
      <c r="H305" s="29" t="n"/>
      <c r="I305" s="29" t="n"/>
      <c r="J305" s="29">
        <f>IF(B305="","",SUM(G305:I305))</f>
        <v/>
      </c>
      <c r="K305" s="27" t="n"/>
      <c r="L305" s="37" t="n"/>
    </row>
    <row r="306" ht="15.75" customHeight="1" s="56">
      <c r="A306" s="36" t="n"/>
      <c r="B306" s="37" t="n"/>
      <c r="C306" s="37" t="n"/>
      <c r="D306" s="37" t="n"/>
      <c r="E306" s="37" t="n"/>
      <c r="F306" s="37" t="n"/>
      <c r="G306" s="29" t="n"/>
      <c r="H306" s="29" t="n"/>
      <c r="I306" s="29" t="n"/>
      <c r="J306" s="29">
        <f>IF(B306="","",SUM(G306:I306))</f>
        <v/>
      </c>
      <c r="K306" s="27" t="n"/>
      <c r="L306" s="37" t="n"/>
    </row>
    <row r="307" ht="15.75" customHeight="1" s="56">
      <c r="A307" s="36" t="n"/>
      <c r="B307" s="37" t="n"/>
      <c r="C307" s="37" t="n"/>
      <c r="D307" s="37" t="n"/>
      <c r="E307" s="37" t="n"/>
      <c r="F307" s="37" t="n"/>
      <c r="G307" s="29" t="n"/>
      <c r="H307" s="29" t="n"/>
      <c r="I307" s="29" t="n"/>
      <c r="J307" s="29">
        <f>IF(B307="","",SUM(G307:I307))</f>
        <v/>
      </c>
      <c r="K307" s="27" t="n"/>
      <c r="L307" s="37" t="n"/>
    </row>
    <row r="308" ht="15.75" customHeight="1" s="56">
      <c r="A308" s="36" t="n"/>
      <c r="B308" s="37" t="n"/>
      <c r="C308" s="37" t="n"/>
      <c r="D308" s="37" t="n"/>
      <c r="E308" s="37" t="n"/>
      <c r="F308" s="37" t="n"/>
      <c r="G308" s="29" t="n"/>
      <c r="H308" s="29" t="n"/>
      <c r="I308" s="29" t="n"/>
      <c r="J308" s="29">
        <f>IF(B308="","",SUM(G308:I308))</f>
        <v/>
      </c>
      <c r="K308" s="27" t="n"/>
      <c r="L308" s="37" t="n"/>
    </row>
    <row r="309" ht="15.75" customHeight="1" s="56">
      <c r="A309" s="36" t="n"/>
      <c r="B309" s="37" t="n"/>
      <c r="C309" s="37" t="n"/>
      <c r="D309" s="37" t="n"/>
      <c r="E309" s="37" t="n"/>
      <c r="F309" s="37" t="n"/>
      <c r="G309" s="29" t="n"/>
      <c r="H309" s="29" t="n"/>
      <c r="I309" s="29" t="n"/>
      <c r="J309" s="29">
        <f>IF(B309="","",SUM(G309:I309))</f>
        <v/>
      </c>
      <c r="K309" s="27" t="n"/>
      <c r="L309" s="37" t="n"/>
    </row>
    <row r="310" ht="15.75" customHeight="1" s="56">
      <c r="A310" s="36" t="n"/>
      <c r="B310" s="37" t="n"/>
      <c r="C310" s="37" t="n"/>
      <c r="D310" s="37" t="n"/>
      <c r="E310" s="37" t="n"/>
      <c r="F310" s="37" t="n"/>
      <c r="G310" s="29" t="n"/>
      <c r="H310" s="29" t="n"/>
      <c r="I310" s="29" t="n"/>
      <c r="J310" s="29">
        <f>IF(B310="","",SUM(G310:I310))</f>
        <v/>
      </c>
      <c r="K310" s="27" t="n"/>
      <c r="L310" s="37" t="n"/>
    </row>
    <row r="311" ht="15.75" customHeight="1" s="56">
      <c r="A311" s="36" t="n"/>
      <c r="B311" s="37" t="n"/>
      <c r="C311" s="37" t="n"/>
      <c r="D311" s="37" t="n"/>
      <c r="E311" s="37" t="n"/>
      <c r="F311" s="37" t="n"/>
      <c r="G311" s="29" t="n"/>
      <c r="H311" s="29" t="n"/>
      <c r="I311" s="29" t="n"/>
      <c r="J311" s="29">
        <f>IF(B311="","",SUM(G311:I311))</f>
        <v/>
      </c>
      <c r="K311" s="27" t="n"/>
      <c r="L311" s="37" t="n"/>
    </row>
    <row r="312" ht="15.75" customHeight="1" s="56">
      <c r="A312" s="36" t="n"/>
      <c r="B312" s="37" t="n"/>
      <c r="C312" s="37" t="n"/>
      <c r="D312" s="37" t="n"/>
      <c r="E312" s="37" t="n"/>
      <c r="F312" s="37" t="n"/>
      <c r="G312" s="29" t="n"/>
      <c r="H312" s="29" t="n"/>
      <c r="I312" s="29" t="n"/>
      <c r="J312" s="29">
        <f>IF(B312="","",SUM(G312:I312))</f>
        <v/>
      </c>
      <c r="K312" s="27" t="n"/>
      <c r="L312" s="37" t="n"/>
    </row>
    <row r="313" ht="15.75" customHeight="1" s="56">
      <c r="A313" s="36" t="n"/>
      <c r="B313" s="37" t="n"/>
      <c r="C313" s="37" t="n"/>
      <c r="D313" s="37" t="n"/>
      <c r="E313" s="37" t="n"/>
      <c r="F313" s="37" t="n"/>
      <c r="G313" s="29" t="n"/>
      <c r="H313" s="29" t="n"/>
      <c r="I313" s="29" t="n"/>
      <c r="J313" s="29">
        <f>IF(B313="","",SUM(G313:I313))</f>
        <v/>
      </c>
      <c r="K313" s="27" t="n"/>
      <c r="L313" s="37" t="n"/>
    </row>
    <row r="314" ht="15.75" customHeight="1" s="56">
      <c r="A314" s="36" t="n"/>
      <c r="B314" s="37" t="n"/>
      <c r="C314" s="37" t="n"/>
      <c r="D314" s="37" t="n"/>
      <c r="E314" s="37" t="n"/>
      <c r="F314" s="37" t="n"/>
      <c r="G314" s="29" t="n"/>
      <c r="H314" s="29" t="n"/>
      <c r="I314" s="29" t="n"/>
      <c r="J314" s="29">
        <f>IF(B314="","",SUM(G314:I314))</f>
        <v/>
      </c>
      <c r="K314" s="27" t="n"/>
      <c r="L314" s="37" t="n"/>
    </row>
    <row r="315" ht="15.75" customHeight="1" s="56">
      <c r="A315" s="36" t="n"/>
      <c r="B315" s="37" t="n"/>
      <c r="C315" s="37" t="n"/>
      <c r="D315" s="37" t="n"/>
      <c r="E315" s="37" t="n"/>
      <c r="F315" s="37" t="n"/>
      <c r="G315" s="29" t="n"/>
      <c r="H315" s="29" t="n"/>
      <c r="I315" s="29" t="n"/>
      <c r="J315" s="29">
        <f>IF(B315="","",SUM(G315:I315))</f>
        <v/>
      </c>
      <c r="K315" s="27" t="n"/>
      <c r="L315" s="37" t="n"/>
    </row>
    <row r="316" ht="15.75" customHeight="1" s="56">
      <c r="A316" s="36" t="n"/>
      <c r="B316" s="37" t="n"/>
      <c r="C316" s="37" t="n"/>
      <c r="D316" s="37" t="n"/>
      <c r="E316" s="37" t="n"/>
      <c r="F316" s="37" t="n"/>
      <c r="G316" s="29" t="n"/>
      <c r="H316" s="29" t="n"/>
      <c r="I316" s="29" t="n"/>
      <c r="J316" s="29">
        <f>IF(B316="","",SUM(G316:I316))</f>
        <v/>
      </c>
      <c r="K316" s="27" t="n"/>
      <c r="L316" s="37" t="n"/>
    </row>
    <row r="317" ht="15.75" customHeight="1" s="56">
      <c r="A317" s="36" t="n"/>
      <c r="B317" s="37" t="n"/>
      <c r="C317" s="37" t="n"/>
      <c r="D317" s="37" t="n"/>
      <c r="E317" s="37" t="n"/>
      <c r="F317" s="37" t="n"/>
      <c r="G317" s="29" t="n"/>
      <c r="H317" s="29" t="n"/>
      <c r="I317" s="29" t="n"/>
      <c r="J317" s="29">
        <f>IF(B317="","",SUM(G317:I317))</f>
        <v/>
      </c>
      <c r="K317" s="27" t="n"/>
      <c r="L317" s="37" t="n"/>
    </row>
    <row r="318" ht="15.75" customHeight="1" s="56">
      <c r="A318" s="36" t="n"/>
      <c r="B318" s="37" t="n"/>
      <c r="C318" s="37" t="n"/>
      <c r="D318" s="37" t="n"/>
      <c r="E318" s="37" t="n"/>
      <c r="F318" s="37" t="n"/>
      <c r="G318" s="29" t="n"/>
      <c r="H318" s="29" t="n"/>
      <c r="I318" s="29" t="n"/>
      <c r="J318" s="29">
        <f>IF(B318="","",SUM(G318:I318))</f>
        <v/>
      </c>
      <c r="K318" s="27" t="n"/>
      <c r="L318" s="37" t="n"/>
    </row>
    <row r="319" ht="15.75" customHeight="1" s="56">
      <c r="A319" s="36" t="n"/>
      <c r="B319" s="37" t="n"/>
      <c r="C319" s="37" t="n"/>
      <c r="D319" s="37" t="n"/>
      <c r="E319" s="37" t="n"/>
      <c r="F319" s="37" t="n"/>
      <c r="G319" s="29" t="n"/>
      <c r="H319" s="29" t="n"/>
      <c r="I319" s="29" t="n"/>
      <c r="J319" s="29">
        <f>IF(B319="","",SUM(G319:I319))</f>
        <v/>
      </c>
      <c r="K319" s="27" t="n"/>
      <c r="L319" s="37" t="n"/>
    </row>
    <row r="320" ht="15.75" customHeight="1" s="56">
      <c r="A320" s="36" t="n"/>
      <c r="B320" s="37" t="n"/>
      <c r="C320" s="37" t="n"/>
      <c r="D320" s="37" t="n"/>
      <c r="E320" s="37" t="n"/>
      <c r="F320" s="37" t="n"/>
      <c r="G320" s="29" t="n"/>
      <c r="H320" s="29" t="n"/>
      <c r="I320" s="29" t="n"/>
      <c r="J320" s="29">
        <f>IF(B320="","",SUM(G320:I320))</f>
        <v/>
      </c>
      <c r="K320" s="27" t="n"/>
      <c r="L320" s="37" t="n"/>
    </row>
    <row r="321" ht="15.75" customHeight="1" s="56">
      <c r="A321" s="36" t="n"/>
      <c r="B321" s="37" t="n"/>
      <c r="C321" s="37" t="n"/>
      <c r="D321" s="37" t="n"/>
      <c r="E321" s="37" t="n"/>
      <c r="F321" s="37" t="n"/>
      <c r="G321" s="29" t="n"/>
      <c r="H321" s="29" t="n"/>
      <c r="I321" s="29" t="n"/>
      <c r="J321" s="29">
        <f>IF(B321="","",SUM(G321:I321))</f>
        <v/>
      </c>
      <c r="K321" s="27" t="n"/>
      <c r="L321" s="37" t="n"/>
    </row>
    <row r="322" ht="15.75" customHeight="1" s="56">
      <c r="A322" s="36" t="n"/>
      <c r="B322" s="37" t="n"/>
      <c r="C322" s="37" t="n"/>
      <c r="D322" s="37" t="n"/>
      <c r="E322" s="37" t="n"/>
      <c r="F322" s="37" t="n"/>
      <c r="G322" s="29" t="n"/>
      <c r="H322" s="29" t="n"/>
      <c r="I322" s="29" t="n"/>
      <c r="J322" s="29">
        <f>IF(B322="","",SUM(G322:I322))</f>
        <v/>
      </c>
      <c r="K322" s="27" t="n"/>
      <c r="L322" s="37" t="n"/>
    </row>
    <row r="323" ht="15.75" customHeight="1" s="56">
      <c r="A323" s="36" t="n"/>
      <c r="B323" s="37" t="n"/>
      <c r="C323" s="37" t="n"/>
      <c r="D323" s="37" t="n"/>
      <c r="E323" s="37" t="n"/>
      <c r="F323" s="37" t="n"/>
      <c r="G323" s="29" t="n"/>
      <c r="H323" s="29" t="n"/>
      <c r="I323" s="29" t="n"/>
      <c r="J323" s="29">
        <f>IF(B323="","",SUM(G323:I323))</f>
        <v/>
      </c>
      <c r="K323" s="27" t="n"/>
      <c r="L323" s="37" t="n"/>
    </row>
    <row r="324" ht="15.75" customHeight="1" s="56">
      <c r="A324" s="36" t="n"/>
      <c r="B324" s="37" t="n"/>
      <c r="C324" s="37" t="n"/>
      <c r="D324" s="37" t="n"/>
      <c r="E324" s="37" t="n"/>
      <c r="F324" s="37" t="n"/>
      <c r="G324" s="29" t="n"/>
      <c r="H324" s="29" t="n"/>
      <c r="I324" s="29" t="n"/>
      <c r="J324" s="29">
        <f>IF(B324="","",SUM(G324:I324))</f>
        <v/>
      </c>
      <c r="K324" s="27" t="n"/>
      <c r="L324" s="37" t="n"/>
    </row>
    <row r="325" ht="15.75" customHeight="1" s="56">
      <c r="A325" s="36" t="n"/>
      <c r="B325" s="37" t="n"/>
      <c r="C325" s="37" t="n"/>
      <c r="D325" s="37" t="n"/>
      <c r="E325" s="37" t="n"/>
      <c r="F325" s="37" t="n"/>
      <c r="G325" s="29" t="n"/>
      <c r="H325" s="29" t="n"/>
      <c r="I325" s="29" t="n"/>
      <c r="J325" s="29">
        <f>IF(B325="","",SUM(G325:I325))</f>
        <v/>
      </c>
      <c r="K325" s="27" t="n"/>
      <c r="L325" s="37" t="n"/>
    </row>
    <row r="326" ht="15.75" customHeight="1" s="56">
      <c r="A326" s="36" t="n"/>
      <c r="B326" s="37" t="n"/>
      <c r="C326" s="37" t="n"/>
      <c r="D326" s="37" t="n"/>
      <c r="E326" s="37" t="n"/>
      <c r="F326" s="37" t="n"/>
      <c r="G326" s="29" t="n"/>
      <c r="H326" s="29" t="n"/>
      <c r="I326" s="29" t="n"/>
      <c r="J326" s="29">
        <f>IF(B326="","",SUM(G326:I326))</f>
        <v/>
      </c>
      <c r="K326" s="27" t="n"/>
      <c r="L326" s="37" t="n"/>
    </row>
    <row r="327" ht="15.75" customHeight="1" s="56">
      <c r="A327" s="36" t="n"/>
      <c r="B327" s="37" t="n"/>
      <c r="C327" s="37" t="n"/>
      <c r="D327" s="37" t="n"/>
      <c r="E327" s="37" t="n"/>
      <c r="F327" s="37" t="n"/>
      <c r="G327" s="29" t="n"/>
      <c r="H327" s="29" t="n"/>
      <c r="I327" s="29" t="n"/>
      <c r="J327" s="29">
        <f>IF(B327="","",SUM(G327:I327))</f>
        <v/>
      </c>
      <c r="K327" s="27" t="n"/>
      <c r="L327" s="37" t="n"/>
    </row>
    <row r="328" ht="15.75" customHeight="1" s="56">
      <c r="A328" s="36" t="n"/>
      <c r="B328" s="37" t="n"/>
      <c r="C328" s="37" t="n"/>
      <c r="D328" s="37" t="n"/>
      <c r="E328" s="37" t="n"/>
      <c r="F328" s="37" t="n"/>
      <c r="G328" s="29" t="n"/>
      <c r="H328" s="29" t="n"/>
      <c r="I328" s="29" t="n"/>
      <c r="J328" s="29">
        <f>IF(B328="","",SUM(G328:I328))</f>
        <v/>
      </c>
      <c r="K328" s="27" t="n"/>
      <c r="L328" s="37" t="n"/>
    </row>
    <row r="329" ht="15.75" customHeight="1" s="56">
      <c r="A329" s="36" t="n"/>
      <c r="B329" s="37" t="n"/>
      <c r="C329" s="37" t="n"/>
      <c r="D329" s="37" t="n"/>
      <c r="E329" s="37" t="n"/>
      <c r="F329" s="37" t="n"/>
      <c r="G329" s="29" t="n"/>
      <c r="H329" s="29" t="n"/>
      <c r="I329" s="29" t="n"/>
      <c r="J329" s="29">
        <f>IF(B329="","",SUM(G329:I329))</f>
        <v/>
      </c>
      <c r="K329" s="27" t="n"/>
      <c r="L329" s="37" t="n"/>
    </row>
    <row r="330" ht="15.75" customHeight="1" s="56">
      <c r="A330" s="36" t="n"/>
      <c r="B330" s="37" t="n"/>
      <c r="C330" s="37" t="n"/>
      <c r="D330" s="37" t="n"/>
      <c r="E330" s="37" t="n"/>
      <c r="F330" s="37" t="n"/>
      <c r="G330" s="29" t="n"/>
      <c r="H330" s="29" t="n"/>
      <c r="I330" s="29" t="n"/>
      <c r="J330" s="29">
        <f>IF(B330="","",SUM(G330:I330))</f>
        <v/>
      </c>
      <c r="K330" s="27" t="n"/>
      <c r="L330" s="37" t="n"/>
    </row>
    <row r="331" ht="15.75" customHeight="1" s="56">
      <c r="A331" s="36" t="n"/>
      <c r="B331" s="37" t="n"/>
      <c r="C331" s="37" t="n"/>
      <c r="D331" s="37" t="n"/>
      <c r="E331" s="37" t="n"/>
      <c r="F331" s="37" t="n"/>
      <c r="G331" s="29" t="n"/>
      <c r="H331" s="29" t="n"/>
      <c r="I331" s="29" t="n"/>
      <c r="J331" s="29">
        <f>IF(B331="","",SUM(G331:I331))</f>
        <v/>
      </c>
      <c r="K331" s="27" t="n"/>
      <c r="L331" s="37" t="n"/>
    </row>
    <row r="332" ht="15.75" customHeight="1" s="56">
      <c r="A332" s="36" t="n"/>
      <c r="B332" s="37" t="n"/>
      <c r="C332" s="37" t="n"/>
      <c r="D332" s="37" t="n"/>
      <c r="E332" s="37" t="n"/>
      <c r="F332" s="37" t="n"/>
      <c r="G332" s="29" t="n"/>
      <c r="H332" s="29" t="n"/>
      <c r="I332" s="29" t="n"/>
      <c r="J332" s="29">
        <f>IF(B332="","",SUM(G332:I332))</f>
        <v/>
      </c>
      <c r="K332" s="27" t="n"/>
      <c r="L332" s="37" t="n"/>
    </row>
    <row r="333" ht="15.75" customHeight="1" s="56">
      <c r="A333" s="36" t="n"/>
      <c r="B333" s="37" t="n"/>
      <c r="C333" s="37" t="n"/>
      <c r="D333" s="37" t="n"/>
      <c r="E333" s="37" t="n"/>
      <c r="F333" s="37" t="n"/>
      <c r="G333" s="29" t="n"/>
      <c r="H333" s="29" t="n"/>
      <c r="I333" s="29" t="n"/>
      <c r="J333" s="29">
        <f>IF(B333="","",SUM(G333:I333))</f>
        <v/>
      </c>
      <c r="K333" s="27" t="n"/>
      <c r="L333" s="37" t="n"/>
    </row>
    <row r="334" ht="15.75" customHeight="1" s="56">
      <c r="A334" s="36" t="n"/>
      <c r="B334" s="37" t="n"/>
      <c r="C334" s="37" t="n"/>
      <c r="D334" s="37" t="n"/>
      <c r="E334" s="37" t="n"/>
      <c r="F334" s="37" t="n"/>
      <c r="G334" s="29" t="n"/>
      <c r="H334" s="29" t="n"/>
      <c r="I334" s="29" t="n"/>
      <c r="J334" s="29">
        <f>IF(B334="","",SUM(G334:I334))</f>
        <v/>
      </c>
      <c r="K334" s="27" t="n"/>
      <c r="L334" s="37" t="n"/>
    </row>
    <row r="335" ht="15.75" customHeight="1" s="56">
      <c r="A335" s="36" t="n"/>
      <c r="B335" s="37" t="n"/>
      <c r="C335" s="37" t="n"/>
      <c r="D335" s="37" t="n"/>
      <c r="E335" s="37" t="n"/>
      <c r="F335" s="37" t="n"/>
      <c r="G335" s="29" t="n"/>
      <c r="H335" s="29" t="n"/>
      <c r="I335" s="29" t="n"/>
      <c r="J335" s="29">
        <f>IF(B335="","",SUM(G335:I335))</f>
        <v/>
      </c>
      <c r="K335" s="27" t="n"/>
      <c r="L335" s="37" t="n"/>
    </row>
    <row r="336" ht="15.75" customHeight="1" s="56">
      <c r="A336" s="36" t="n"/>
      <c r="B336" s="37" t="n"/>
      <c r="C336" s="37" t="n"/>
      <c r="D336" s="37" t="n"/>
      <c r="E336" s="37" t="n"/>
      <c r="F336" s="37" t="n"/>
      <c r="G336" s="29" t="n"/>
      <c r="H336" s="29" t="n"/>
      <c r="I336" s="29" t="n"/>
      <c r="J336" s="29">
        <f>IF(B336="","",SUM(G336:I336))</f>
        <v/>
      </c>
      <c r="K336" s="27" t="n"/>
      <c r="L336" s="37" t="n"/>
    </row>
    <row r="337" ht="15.75" customHeight="1" s="56">
      <c r="A337" s="36" t="n"/>
      <c r="B337" s="37" t="n"/>
      <c r="C337" s="37" t="n"/>
      <c r="D337" s="37" t="n"/>
      <c r="E337" s="37" t="n"/>
      <c r="F337" s="37" t="n"/>
      <c r="G337" s="29" t="n"/>
      <c r="H337" s="29" t="n"/>
      <c r="I337" s="29" t="n"/>
      <c r="J337" s="29">
        <f>IF(B337="","",SUM(G337:I337))</f>
        <v/>
      </c>
      <c r="K337" s="27" t="n"/>
      <c r="L337" s="37" t="n"/>
    </row>
    <row r="338" ht="15.75" customHeight="1" s="56">
      <c r="A338" s="36" t="n"/>
      <c r="B338" s="37" t="n"/>
      <c r="C338" s="37" t="n"/>
      <c r="D338" s="37" t="n"/>
      <c r="E338" s="37" t="n"/>
      <c r="F338" s="37" t="n"/>
      <c r="G338" s="29" t="n"/>
      <c r="H338" s="29" t="n"/>
      <c r="I338" s="29" t="n"/>
      <c r="J338" s="29">
        <f>IF(B338="","",SUM(G338:I338))</f>
        <v/>
      </c>
      <c r="K338" s="27" t="n"/>
      <c r="L338" s="37" t="n"/>
    </row>
    <row r="339" ht="15.75" customHeight="1" s="56">
      <c r="A339" s="36" t="n"/>
      <c r="B339" s="37" t="n"/>
      <c r="C339" s="37" t="n"/>
      <c r="D339" s="37" t="n"/>
      <c r="E339" s="37" t="n"/>
      <c r="F339" s="37" t="n"/>
      <c r="G339" s="29" t="n"/>
      <c r="H339" s="29" t="n"/>
      <c r="I339" s="29" t="n"/>
      <c r="J339" s="29">
        <f>IF(B339="","",SUM(G339:I339))</f>
        <v/>
      </c>
      <c r="K339" s="27" t="n"/>
      <c r="L339" s="37" t="n"/>
    </row>
    <row r="340" ht="15.75" customHeight="1" s="56">
      <c r="A340" s="36" t="n"/>
      <c r="B340" s="37" t="n"/>
      <c r="C340" s="37" t="n"/>
      <c r="D340" s="37" t="n"/>
      <c r="E340" s="37" t="n"/>
      <c r="F340" s="37" t="n"/>
      <c r="G340" s="29" t="n"/>
      <c r="H340" s="29" t="n"/>
      <c r="I340" s="29" t="n"/>
      <c r="J340" s="29">
        <f>IF(B340="","",SUM(G340:I340))</f>
        <v/>
      </c>
      <c r="K340" s="27" t="n"/>
      <c r="L340" s="37" t="n"/>
    </row>
    <row r="341" ht="15.75" customHeight="1" s="56">
      <c r="A341" s="36" t="n"/>
      <c r="B341" s="37" t="n"/>
      <c r="C341" s="37" t="n"/>
      <c r="D341" s="37" t="n"/>
      <c r="E341" s="37" t="n"/>
      <c r="F341" s="37" t="n"/>
      <c r="G341" s="29" t="n"/>
      <c r="H341" s="29" t="n"/>
      <c r="I341" s="29" t="n"/>
      <c r="J341" s="29">
        <f>IF(B341="","",SUM(G341:I341))</f>
        <v/>
      </c>
      <c r="K341" s="27" t="n"/>
      <c r="L341" s="37" t="n"/>
    </row>
    <row r="342" ht="15.75" customHeight="1" s="56">
      <c r="A342" s="36" t="n"/>
      <c r="B342" s="37" t="n"/>
      <c r="C342" s="37" t="n"/>
      <c r="D342" s="37" t="n"/>
      <c r="E342" s="37" t="n"/>
      <c r="F342" s="37" t="n"/>
      <c r="G342" s="29" t="n"/>
      <c r="H342" s="29" t="n"/>
      <c r="I342" s="29" t="n"/>
      <c r="J342" s="29">
        <f>IF(B342="","",SUM(G342:I342))</f>
        <v/>
      </c>
      <c r="K342" s="27" t="n"/>
      <c r="L342" s="37" t="n"/>
    </row>
    <row r="343" ht="15.75" customHeight="1" s="56">
      <c r="A343" s="36" t="n"/>
      <c r="B343" s="37" t="n"/>
      <c r="C343" s="37" t="n"/>
      <c r="D343" s="37" t="n"/>
      <c r="E343" s="37" t="n"/>
      <c r="F343" s="37" t="n"/>
      <c r="G343" s="29" t="n"/>
      <c r="H343" s="29" t="n"/>
      <c r="I343" s="29" t="n"/>
      <c r="J343" s="29">
        <f>IF(B343="","",SUM(G343:I343))</f>
        <v/>
      </c>
      <c r="K343" s="27" t="n"/>
      <c r="L343" s="37" t="n"/>
    </row>
    <row r="344" ht="15.75" customHeight="1" s="56">
      <c r="A344" s="36" t="n"/>
      <c r="B344" s="37" t="n"/>
      <c r="C344" s="37" t="n"/>
      <c r="D344" s="37" t="n"/>
      <c r="E344" s="37" t="n"/>
      <c r="F344" s="37" t="n"/>
      <c r="G344" s="29" t="n"/>
      <c r="H344" s="29" t="n"/>
      <c r="I344" s="29" t="n"/>
      <c r="J344" s="29">
        <f>IF(B344="","",SUM(G344:I344))</f>
        <v/>
      </c>
      <c r="K344" s="27" t="n"/>
      <c r="L344" s="37" t="n"/>
    </row>
    <row r="345" ht="15.75" customHeight="1" s="56">
      <c r="A345" s="36" t="n"/>
      <c r="B345" s="37" t="n"/>
      <c r="C345" s="37" t="n"/>
      <c r="D345" s="37" t="n"/>
      <c r="E345" s="37" t="n"/>
      <c r="F345" s="37" t="n"/>
      <c r="G345" s="29" t="n"/>
      <c r="H345" s="29" t="n"/>
      <c r="I345" s="29" t="n"/>
      <c r="J345" s="29">
        <f>IF(B345="","",SUM(G345:I345))</f>
        <v/>
      </c>
      <c r="K345" s="27" t="n"/>
      <c r="L345" s="37" t="n"/>
    </row>
    <row r="346" ht="15.75" customHeight="1" s="56">
      <c r="A346" s="36" t="n"/>
      <c r="B346" s="37" t="n"/>
      <c r="C346" s="37" t="n"/>
      <c r="D346" s="37" t="n"/>
      <c r="E346" s="37" t="n"/>
      <c r="F346" s="37" t="n"/>
      <c r="G346" s="29" t="n"/>
      <c r="H346" s="29" t="n"/>
      <c r="I346" s="29" t="n"/>
      <c r="J346" s="29">
        <f>IF(B346="","",SUM(G346:I346))</f>
        <v/>
      </c>
      <c r="K346" s="27" t="n"/>
      <c r="L346" s="37" t="n"/>
    </row>
    <row r="347" ht="15.75" customHeight="1" s="56">
      <c r="A347" s="36" t="n"/>
      <c r="B347" s="37" t="n"/>
      <c r="C347" s="37" t="n"/>
      <c r="D347" s="37" t="n"/>
      <c r="E347" s="37" t="n"/>
      <c r="F347" s="37" t="n"/>
      <c r="G347" s="29" t="n"/>
      <c r="H347" s="29" t="n"/>
      <c r="I347" s="29" t="n"/>
      <c r="J347" s="29">
        <f>IF(B347="","",SUM(G347:I347))</f>
        <v/>
      </c>
      <c r="K347" s="27" t="n"/>
      <c r="L347" s="37" t="n"/>
    </row>
    <row r="348" ht="15.75" customHeight="1" s="56">
      <c r="A348" s="36" t="n"/>
      <c r="B348" s="37" t="n"/>
      <c r="C348" s="37" t="n"/>
      <c r="D348" s="37" t="n"/>
      <c r="E348" s="37" t="n"/>
      <c r="F348" s="37" t="n"/>
      <c r="G348" s="29" t="n"/>
      <c r="H348" s="29" t="n"/>
      <c r="I348" s="29" t="n"/>
      <c r="J348" s="29">
        <f>IF(B348="","",SUM(G348:I348))</f>
        <v/>
      </c>
      <c r="K348" s="27" t="n"/>
      <c r="L348" s="37" t="n"/>
    </row>
    <row r="349" ht="15.75" customHeight="1" s="56">
      <c r="A349" s="36" t="n"/>
      <c r="B349" s="37" t="n"/>
      <c r="C349" s="37" t="n"/>
      <c r="D349" s="37" t="n"/>
      <c r="E349" s="37" t="n"/>
      <c r="F349" s="37" t="n"/>
      <c r="G349" s="29" t="n"/>
      <c r="H349" s="29" t="n"/>
      <c r="I349" s="29" t="n"/>
      <c r="J349" s="29">
        <f>IF(B349="","",SUM(G349:I349))</f>
        <v/>
      </c>
      <c r="K349" s="27" t="n"/>
      <c r="L349" s="37" t="n"/>
    </row>
    <row r="350" ht="15.75" customHeight="1" s="56">
      <c r="A350" s="36" t="n"/>
      <c r="B350" s="37" t="n"/>
      <c r="C350" s="37" t="n"/>
      <c r="D350" s="37" t="n"/>
      <c r="E350" s="37" t="n"/>
      <c r="F350" s="37" t="n"/>
      <c r="G350" s="29" t="n"/>
      <c r="H350" s="29" t="n"/>
      <c r="I350" s="29" t="n"/>
      <c r="J350" s="29">
        <f>IF(B350="","",SUM(G350:I350))</f>
        <v/>
      </c>
      <c r="K350" s="27" t="n"/>
      <c r="L350" s="37" t="n"/>
    </row>
    <row r="351" ht="15.75" customHeight="1" s="56">
      <c r="A351" s="36" t="n"/>
      <c r="B351" s="37" t="n"/>
      <c r="C351" s="37" t="n"/>
      <c r="D351" s="37" t="n"/>
      <c r="E351" s="37" t="n"/>
      <c r="F351" s="37" t="n"/>
      <c r="G351" s="29" t="n"/>
      <c r="H351" s="29" t="n"/>
      <c r="I351" s="29" t="n"/>
      <c r="J351" s="29">
        <f>IF(B351="","",SUM(G351:I351))</f>
        <v/>
      </c>
      <c r="K351" s="27" t="n"/>
      <c r="L351" s="37" t="n"/>
    </row>
    <row r="352" ht="15.75" customHeight="1" s="56">
      <c r="A352" s="36" t="n"/>
      <c r="B352" s="37" t="n"/>
      <c r="C352" s="37" t="n"/>
      <c r="D352" s="37" t="n"/>
      <c r="E352" s="37" t="n"/>
      <c r="F352" s="37" t="n"/>
      <c r="G352" s="29" t="n"/>
      <c r="H352" s="29" t="n"/>
      <c r="I352" s="29" t="n"/>
      <c r="J352" s="29">
        <f>IF(B352="","",SUM(G352:I352))</f>
        <v/>
      </c>
      <c r="K352" s="27" t="n"/>
      <c r="L352" s="37" t="n"/>
    </row>
    <row r="353" ht="15.75" customHeight="1" s="56">
      <c r="A353" s="36" t="n"/>
      <c r="B353" s="37" t="n"/>
      <c r="C353" s="37" t="n"/>
      <c r="D353" s="37" t="n"/>
      <c r="E353" s="37" t="n"/>
      <c r="F353" s="37" t="n"/>
      <c r="G353" s="29" t="n"/>
      <c r="H353" s="29" t="n"/>
      <c r="I353" s="29" t="n"/>
      <c r="J353" s="29">
        <f>IF(B353="","",SUM(G353:I353))</f>
        <v/>
      </c>
      <c r="K353" s="27" t="n"/>
      <c r="L353" s="37" t="n"/>
    </row>
    <row r="354" ht="15.75" customHeight="1" s="56">
      <c r="A354" s="36" t="n"/>
      <c r="B354" s="37" t="n"/>
      <c r="C354" s="37" t="n"/>
      <c r="D354" s="37" t="n"/>
      <c r="E354" s="37" t="n"/>
      <c r="F354" s="37" t="n"/>
      <c r="G354" s="29" t="n"/>
      <c r="H354" s="29" t="n"/>
      <c r="I354" s="29" t="n"/>
      <c r="J354" s="29">
        <f>IF(B354="","",SUM(G354:I354))</f>
        <v/>
      </c>
      <c r="K354" s="27" t="n"/>
      <c r="L354" s="37" t="n"/>
    </row>
    <row r="355" ht="15.75" customHeight="1" s="56">
      <c r="A355" s="36" t="n"/>
      <c r="B355" s="37" t="n"/>
      <c r="C355" s="37" t="n"/>
      <c r="D355" s="37" t="n"/>
      <c r="E355" s="37" t="n"/>
      <c r="F355" s="37" t="n"/>
      <c r="G355" s="29" t="n"/>
      <c r="H355" s="29" t="n"/>
      <c r="I355" s="29" t="n"/>
      <c r="J355" s="29">
        <f>IF(B355="","",SUM(G355:I355))</f>
        <v/>
      </c>
      <c r="K355" s="27" t="n"/>
      <c r="L355" s="37" t="n"/>
    </row>
    <row r="356" ht="15.75" customHeight="1" s="56">
      <c r="A356" s="36" t="n"/>
      <c r="B356" s="37" t="n"/>
      <c r="C356" s="37" t="n"/>
      <c r="D356" s="37" t="n"/>
      <c r="E356" s="37" t="n"/>
      <c r="F356" s="37" t="n"/>
      <c r="G356" s="29" t="n"/>
      <c r="H356" s="29" t="n"/>
      <c r="I356" s="29" t="n"/>
      <c r="J356" s="29">
        <f>IF(B356="","",SUM(G356:I356))</f>
        <v/>
      </c>
      <c r="K356" s="27" t="n"/>
      <c r="L356" s="37" t="n"/>
    </row>
    <row r="357" ht="15.75" customHeight="1" s="56">
      <c r="A357" s="36" t="n"/>
      <c r="B357" s="37" t="n"/>
      <c r="C357" s="37" t="n"/>
      <c r="D357" s="37" t="n"/>
      <c r="E357" s="37" t="n"/>
      <c r="F357" s="37" t="n"/>
      <c r="G357" s="29" t="n"/>
      <c r="H357" s="29" t="n"/>
      <c r="I357" s="29" t="n"/>
      <c r="J357" s="29">
        <f>IF(B357="","",SUM(G357:I357))</f>
        <v/>
      </c>
      <c r="K357" s="27" t="n"/>
      <c r="L357" s="37" t="n"/>
    </row>
    <row r="358" ht="15.75" customHeight="1" s="56">
      <c r="A358" s="36" t="n"/>
      <c r="B358" s="37" t="n"/>
      <c r="C358" s="37" t="n"/>
      <c r="D358" s="37" t="n"/>
      <c r="E358" s="37" t="n"/>
      <c r="F358" s="37" t="n"/>
      <c r="G358" s="29" t="n"/>
      <c r="H358" s="29" t="n"/>
      <c r="I358" s="29" t="n"/>
      <c r="J358" s="29">
        <f>IF(B358="","",SUM(G358:I358))</f>
        <v/>
      </c>
      <c r="K358" s="27" t="n"/>
      <c r="L358" s="37" t="n"/>
    </row>
    <row r="359" ht="15.75" customHeight="1" s="56">
      <c r="A359" s="36" t="n"/>
      <c r="B359" s="37" t="n"/>
      <c r="C359" s="37" t="n"/>
      <c r="D359" s="37" t="n"/>
      <c r="E359" s="37" t="n"/>
      <c r="F359" s="37" t="n"/>
      <c r="G359" s="29" t="n"/>
      <c r="H359" s="29" t="n"/>
      <c r="I359" s="29" t="n"/>
      <c r="J359" s="29">
        <f>IF(B359="","",SUM(G359:I359))</f>
        <v/>
      </c>
      <c r="K359" s="27" t="n"/>
      <c r="L359" s="37" t="n"/>
    </row>
    <row r="360" ht="15.75" customHeight="1" s="56">
      <c r="A360" s="36" t="n"/>
      <c r="B360" s="37" t="n"/>
      <c r="C360" s="37" t="n"/>
      <c r="D360" s="37" t="n"/>
      <c r="E360" s="37" t="n"/>
      <c r="F360" s="37" t="n"/>
      <c r="G360" s="29" t="n"/>
      <c r="H360" s="29" t="n"/>
      <c r="I360" s="29" t="n"/>
      <c r="J360" s="29">
        <f>IF(B360="","",SUM(G360:I360))</f>
        <v/>
      </c>
      <c r="K360" s="27" t="n"/>
      <c r="L360" s="37" t="n"/>
    </row>
    <row r="361" ht="15.75" customHeight="1" s="56">
      <c r="A361" s="36" t="n"/>
      <c r="B361" s="37" t="n"/>
      <c r="C361" s="37" t="n"/>
      <c r="D361" s="37" t="n"/>
      <c r="E361" s="37" t="n"/>
      <c r="F361" s="37" t="n"/>
      <c r="G361" s="29" t="n"/>
      <c r="H361" s="29" t="n"/>
      <c r="I361" s="29" t="n"/>
      <c r="J361" s="29">
        <f>IF(B361="","",SUM(G361:I361))</f>
        <v/>
      </c>
      <c r="K361" s="27" t="n"/>
      <c r="L361" s="37" t="n"/>
    </row>
    <row r="362" ht="15.75" customHeight="1" s="56">
      <c r="A362" s="36" t="n"/>
      <c r="B362" s="37" t="n"/>
      <c r="C362" s="37" t="n"/>
      <c r="D362" s="37" t="n"/>
      <c r="E362" s="37" t="n"/>
      <c r="F362" s="37" t="n"/>
      <c r="G362" s="29" t="n"/>
      <c r="H362" s="29" t="n"/>
      <c r="I362" s="29" t="n"/>
      <c r="J362" s="29">
        <f>IF(B362="","",SUM(G362:I362))</f>
        <v/>
      </c>
      <c r="K362" s="27" t="n"/>
      <c r="L362" s="37" t="n"/>
    </row>
    <row r="363" ht="15.75" customHeight="1" s="56">
      <c r="A363" s="36" t="n"/>
      <c r="B363" s="37" t="n"/>
      <c r="C363" s="37" t="n"/>
      <c r="D363" s="37" t="n"/>
      <c r="E363" s="37" t="n"/>
      <c r="F363" s="37" t="n"/>
      <c r="G363" s="29" t="n"/>
      <c r="H363" s="29" t="n"/>
      <c r="I363" s="29" t="n"/>
      <c r="J363" s="29">
        <f>IF(B363="","",SUM(G363:I363))</f>
        <v/>
      </c>
      <c r="K363" s="27" t="n"/>
      <c r="L363" s="37" t="n"/>
    </row>
    <row r="364" ht="15.75" customHeight="1" s="56">
      <c r="A364" s="36" t="n"/>
      <c r="B364" s="37" t="n"/>
      <c r="C364" s="37" t="n"/>
      <c r="D364" s="37" t="n"/>
      <c r="E364" s="37" t="n"/>
      <c r="F364" s="37" t="n"/>
      <c r="G364" s="29" t="n"/>
      <c r="H364" s="29" t="n"/>
      <c r="I364" s="29" t="n"/>
      <c r="J364" s="29">
        <f>IF(B364="","",SUM(G364:I364))</f>
        <v/>
      </c>
      <c r="K364" s="27" t="n"/>
      <c r="L364" s="37" t="n"/>
    </row>
    <row r="365" ht="15.75" customHeight="1" s="56">
      <c r="A365" s="36" t="n"/>
      <c r="B365" s="37" t="n"/>
      <c r="C365" s="37" t="n"/>
      <c r="D365" s="37" t="n"/>
      <c r="E365" s="37" t="n"/>
      <c r="F365" s="37" t="n"/>
      <c r="G365" s="29" t="n"/>
      <c r="H365" s="29" t="n"/>
      <c r="I365" s="29" t="n"/>
      <c r="J365" s="29">
        <f>IF(B365="","",SUM(G365:I365))</f>
        <v/>
      </c>
      <c r="K365" s="27" t="n"/>
      <c r="L365" s="37" t="n"/>
    </row>
    <row r="366" ht="15.75" customHeight="1" s="56">
      <c r="A366" s="36" t="n"/>
      <c r="B366" s="37" t="n"/>
      <c r="C366" s="37" t="n"/>
      <c r="D366" s="37" t="n"/>
      <c r="E366" s="37" t="n"/>
      <c r="F366" s="37" t="n"/>
      <c r="G366" s="29" t="n"/>
      <c r="H366" s="29" t="n"/>
      <c r="I366" s="29" t="n"/>
      <c r="J366" s="29">
        <f>IF(B366="","",SUM(G366:I366))</f>
        <v/>
      </c>
      <c r="K366" s="27" t="n"/>
      <c r="L366" s="37" t="n"/>
    </row>
    <row r="367" ht="15.75" customHeight="1" s="56">
      <c r="A367" s="36" t="n"/>
      <c r="B367" s="37" t="n"/>
      <c r="C367" s="37" t="n"/>
      <c r="D367" s="37" t="n"/>
      <c r="E367" s="37" t="n"/>
      <c r="F367" s="37" t="n"/>
      <c r="G367" s="29" t="n"/>
      <c r="H367" s="29" t="n"/>
      <c r="I367" s="29" t="n"/>
      <c r="J367" s="29">
        <f>IF(B367="","",SUM(G367:I367))</f>
        <v/>
      </c>
      <c r="K367" s="27" t="n"/>
      <c r="L367" s="37" t="n"/>
    </row>
    <row r="368" ht="15.75" customHeight="1" s="56">
      <c r="A368" s="36" t="n"/>
      <c r="B368" s="37" t="n"/>
      <c r="C368" s="37" t="n"/>
      <c r="D368" s="37" t="n"/>
      <c r="E368" s="37" t="n"/>
      <c r="F368" s="37" t="n"/>
      <c r="G368" s="29" t="n"/>
      <c r="H368" s="29" t="n"/>
      <c r="I368" s="29" t="n"/>
      <c r="J368" s="29">
        <f>IF(B368="","",SUM(G368:I368))</f>
        <v/>
      </c>
      <c r="K368" s="27" t="n"/>
      <c r="L368" s="37" t="n"/>
    </row>
    <row r="369" ht="15.75" customHeight="1" s="56">
      <c r="A369" s="36" t="n"/>
      <c r="B369" s="37" t="n"/>
      <c r="C369" s="37" t="n"/>
      <c r="D369" s="37" t="n"/>
      <c r="E369" s="37" t="n"/>
      <c r="F369" s="37" t="n"/>
      <c r="G369" s="29" t="n"/>
      <c r="H369" s="29" t="n"/>
      <c r="I369" s="29" t="n"/>
      <c r="J369" s="29">
        <f>IF(B369="","",SUM(G369:I369))</f>
        <v/>
      </c>
      <c r="K369" s="27" t="n"/>
      <c r="L369" s="37" t="n"/>
    </row>
    <row r="370" ht="15.75" customHeight="1" s="56">
      <c r="A370" s="36" t="n"/>
      <c r="B370" s="37" t="n"/>
      <c r="C370" s="37" t="n"/>
      <c r="D370" s="37" t="n"/>
      <c r="E370" s="37" t="n"/>
      <c r="F370" s="37" t="n"/>
      <c r="G370" s="29" t="n"/>
      <c r="H370" s="29" t="n"/>
      <c r="I370" s="29" t="n"/>
      <c r="J370" s="29">
        <f>IF(B370="","",SUM(G370:I370))</f>
        <v/>
      </c>
      <c r="K370" s="27" t="n"/>
      <c r="L370" s="37" t="n"/>
    </row>
    <row r="371" ht="15.75" customHeight="1" s="56">
      <c r="A371" s="36" t="n"/>
      <c r="B371" s="37" t="n"/>
      <c r="C371" s="37" t="n"/>
      <c r="D371" s="37" t="n"/>
      <c r="E371" s="37" t="n"/>
      <c r="F371" s="37" t="n"/>
      <c r="G371" s="29" t="n"/>
      <c r="H371" s="29" t="n"/>
      <c r="I371" s="29" t="n"/>
      <c r="J371" s="29">
        <f>IF(B371="","",SUM(G371:I371))</f>
        <v/>
      </c>
      <c r="K371" s="27" t="n"/>
      <c r="L371" s="37" t="n"/>
    </row>
    <row r="372" ht="15.75" customHeight="1" s="56">
      <c r="A372" s="36" t="n"/>
      <c r="B372" s="37" t="n"/>
      <c r="C372" s="37" t="n"/>
      <c r="D372" s="37" t="n"/>
      <c r="E372" s="37" t="n"/>
      <c r="F372" s="37" t="n"/>
      <c r="G372" s="29" t="n"/>
      <c r="H372" s="29" t="n"/>
      <c r="I372" s="29" t="n"/>
      <c r="J372" s="29">
        <f>IF(B372="","",SUM(G372:I372))</f>
        <v/>
      </c>
      <c r="K372" s="27" t="n"/>
      <c r="L372" s="37" t="n"/>
    </row>
    <row r="373" ht="15.75" customHeight="1" s="56">
      <c r="A373" s="36" t="n"/>
      <c r="B373" s="37" t="n"/>
      <c r="C373" s="37" t="n"/>
      <c r="D373" s="37" t="n"/>
      <c r="E373" s="37" t="n"/>
      <c r="F373" s="37" t="n"/>
      <c r="G373" s="29" t="n"/>
      <c r="H373" s="29" t="n"/>
      <c r="I373" s="29" t="n"/>
      <c r="J373" s="29">
        <f>IF(B373="","",SUM(G373:I373))</f>
        <v/>
      </c>
      <c r="K373" s="27" t="n"/>
      <c r="L373" s="37" t="n"/>
    </row>
    <row r="374" ht="15.75" customHeight="1" s="56">
      <c r="A374" s="36" t="n"/>
      <c r="B374" s="37" t="n"/>
      <c r="C374" s="37" t="n"/>
      <c r="D374" s="37" t="n"/>
      <c r="E374" s="37" t="n"/>
      <c r="F374" s="37" t="n"/>
      <c r="G374" s="29" t="n"/>
      <c r="H374" s="29" t="n"/>
      <c r="I374" s="29" t="n"/>
      <c r="J374" s="29">
        <f>IF(B374="","",SUM(G374:I374))</f>
        <v/>
      </c>
      <c r="K374" s="27" t="n"/>
      <c r="L374" s="37" t="n"/>
    </row>
    <row r="375" ht="15.75" customHeight="1" s="56">
      <c r="A375" s="36" t="n"/>
      <c r="B375" s="37" t="n"/>
      <c r="C375" s="37" t="n"/>
      <c r="D375" s="37" t="n"/>
      <c r="E375" s="37" t="n"/>
      <c r="F375" s="37" t="n"/>
      <c r="G375" s="29" t="n"/>
      <c r="H375" s="29" t="n"/>
      <c r="I375" s="29" t="n"/>
      <c r="J375" s="29">
        <f>IF(B375="","",SUM(G375:I375))</f>
        <v/>
      </c>
      <c r="K375" s="27" t="n"/>
      <c r="L375" s="37" t="n"/>
    </row>
    <row r="376" ht="15.75" customHeight="1" s="56">
      <c r="A376" s="36" t="n"/>
      <c r="B376" s="37" t="n"/>
      <c r="C376" s="37" t="n"/>
      <c r="D376" s="37" t="n"/>
      <c r="E376" s="37" t="n"/>
      <c r="F376" s="37" t="n"/>
      <c r="G376" s="29" t="n"/>
      <c r="H376" s="29" t="n"/>
      <c r="I376" s="29" t="n"/>
      <c r="J376" s="29">
        <f>IF(B376="","",SUM(G376:I376))</f>
        <v/>
      </c>
      <c r="K376" s="27" t="n"/>
      <c r="L376" s="37" t="n"/>
    </row>
    <row r="377" ht="15.75" customHeight="1" s="56">
      <c r="A377" s="36" t="n"/>
      <c r="B377" s="37" t="n"/>
      <c r="C377" s="37" t="n"/>
      <c r="D377" s="37" t="n"/>
      <c r="E377" s="37" t="n"/>
      <c r="F377" s="37" t="n"/>
      <c r="G377" s="29" t="n"/>
      <c r="H377" s="29" t="n"/>
      <c r="I377" s="29" t="n"/>
      <c r="J377" s="29">
        <f>IF(B377="","",SUM(G377:I377))</f>
        <v/>
      </c>
      <c r="K377" s="27" t="n"/>
      <c r="L377" s="37" t="n"/>
    </row>
    <row r="378" ht="15.75" customHeight="1" s="56">
      <c r="A378" s="36" t="n"/>
      <c r="B378" s="37" t="n"/>
      <c r="C378" s="37" t="n"/>
      <c r="D378" s="37" t="n"/>
      <c r="E378" s="37" t="n"/>
      <c r="F378" s="37" t="n"/>
      <c r="G378" s="29" t="n"/>
      <c r="H378" s="29" t="n"/>
      <c r="I378" s="29" t="n"/>
      <c r="J378" s="29">
        <f>IF(B378="","",SUM(G378:I378))</f>
        <v/>
      </c>
      <c r="K378" s="27" t="n"/>
      <c r="L378" s="37" t="n"/>
    </row>
    <row r="379" ht="15.75" customHeight="1" s="56">
      <c r="A379" s="36" t="n"/>
      <c r="B379" s="37" t="n"/>
      <c r="C379" s="37" t="n"/>
      <c r="D379" s="37" t="n"/>
      <c r="E379" s="37" t="n"/>
      <c r="F379" s="37" t="n"/>
      <c r="G379" s="29" t="n"/>
      <c r="H379" s="29" t="n"/>
      <c r="I379" s="29" t="n"/>
      <c r="J379" s="29">
        <f>IF(B379="","",SUM(G379:I379))</f>
        <v/>
      </c>
      <c r="K379" s="27" t="n"/>
      <c r="L379" s="37" t="n"/>
    </row>
    <row r="380" ht="15.75" customHeight="1" s="56">
      <c r="A380" s="36" t="n"/>
      <c r="B380" s="37" t="n"/>
      <c r="C380" s="37" t="n"/>
      <c r="D380" s="37" t="n"/>
      <c r="E380" s="37" t="n"/>
      <c r="F380" s="37" t="n"/>
      <c r="G380" s="29" t="n"/>
      <c r="H380" s="29" t="n"/>
      <c r="I380" s="29" t="n"/>
      <c r="J380" s="29">
        <f>IF(B380="","",SUM(G380:I380))</f>
        <v/>
      </c>
      <c r="K380" s="27" t="n"/>
      <c r="L380" s="37" t="n"/>
    </row>
    <row r="381" ht="15.75" customHeight="1" s="56">
      <c r="A381" s="36" t="n"/>
      <c r="B381" s="37" t="n"/>
      <c r="C381" s="37" t="n"/>
      <c r="D381" s="37" t="n"/>
      <c r="E381" s="37" t="n"/>
      <c r="F381" s="37" t="n"/>
      <c r="G381" s="29" t="n"/>
      <c r="H381" s="29" t="n"/>
      <c r="I381" s="29" t="n"/>
      <c r="J381" s="29">
        <f>IF(B381="","",SUM(G381:I381))</f>
        <v/>
      </c>
      <c r="K381" s="27" t="n"/>
      <c r="L381" s="37" t="n"/>
    </row>
    <row r="382" ht="15.75" customHeight="1" s="56">
      <c r="A382" s="36" t="n"/>
      <c r="B382" s="37" t="n"/>
      <c r="C382" s="37" t="n"/>
      <c r="D382" s="37" t="n"/>
      <c r="E382" s="37" t="n"/>
      <c r="F382" s="37" t="n"/>
      <c r="G382" s="29" t="n"/>
      <c r="H382" s="29" t="n"/>
      <c r="I382" s="29" t="n"/>
      <c r="J382" s="29">
        <f>IF(B382="","",SUM(G382:I382))</f>
        <v/>
      </c>
      <c r="K382" s="27" t="n"/>
      <c r="L382" s="37" t="n"/>
    </row>
    <row r="383" ht="15.75" customHeight="1" s="56">
      <c r="A383" s="36" t="n"/>
      <c r="B383" s="37" t="n"/>
      <c r="C383" s="37" t="n"/>
      <c r="D383" s="37" t="n"/>
      <c r="E383" s="37" t="n"/>
      <c r="F383" s="37" t="n"/>
      <c r="G383" s="29" t="n"/>
      <c r="H383" s="29" t="n"/>
      <c r="I383" s="29" t="n"/>
      <c r="J383" s="29">
        <f>IF(B383="","",SUM(G383:I383))</f>
        <v/>
      </c>
      <c r="K383" s="27" t="n"/>
      <c r="L383" s="37" t="n"/>
    </row>
    <row r="384" ht="15.75" customHeight="1" s="56">
      <c r="A384" s="36" t="n"/>
      <c r="B384" s="37" t="n"/>
      <c r="C384" s="37" t="n"/>
      <c r="D384" s="37" t="n"/>
      <c r="E384" s="37" t="n"/>
      <c r="F384" s="37" t="n"/>
      <c r="G384" s="29" t="n"/>
      <c r="H384" s="29" t="n"/>
      <c r="I384" s="29" t="n"/>
      <c r="J384" s="29">
        <f>IF(B384="","",SUM(G384:I384))</f>
        <v/>
      </c>
      <c r="K384" s="27" t="n"/>
      <c r="L384" s="37" t="n"/>
    </row>
    <row r="385" ht="15.75" customHeight="1" s="56">
      <c r="A385" s="36" t="n"/>
      <c r="B385" s="37" t="n"/>
      <c r="C385" s="37" t="n"/>
      <c r="D385" s="37" t="n"/>
      <c r="E385" s="37" t="n"/>
      <c r="F385" s="37" t="n"/>
      <c r="G385" s="29" t="n"/>
      <c r="H385" s="29" t="n"/>
      <c r="I385" s="29" t="n"/>
      <c r="J385" s="29">
        <f>IF(B385="","",SUM(G385:I385))</f>
        <v/>
      </c>
      <c r="K385" s="27" t="n"/>
      <c r="L385" s="37" t="n"/>
    </row>
    <row r="386" ht="15.75" customHeight="1" s="56">
      <c r="A386" s="36" t="n"/>
      <c r="B386" s="37" t="n"/>
      <c r="C386" s="37" t="n"/>
      <c r="D386" s="37" t="n"/>
      <c r="E386" s="37" t="n"/>
      <c r="F386" s="37" t="n"/>
      <c r="G386" s="29" t="n"/>
      <c r="H386" s="29" t="n"/>
      <c r="I386" s="29" t="n"/>
      <c r="J386" s="29">
        <f>IF(B386="","",SUM(G386:I386))</f>
        <v/>
      </c>
      <c r="K386" s="27" t="n"/>
      <c r="L386" s="37" t="n"/>
    </row>
    <row r="387" ht="15.75" customHeight="1" s="56">
      <c r="A387" s="36" t="n"/>
      <c r="B387" s="37" t="n"/>
      <c r="C387" s="37" t="n"/>
      <c r="D387" s="37" t="n"/>
      <c r="E387" s="37" t="n"/>
      <c r="F387" s="37" t="n"/>
      <c r="G387" s="29" t="n"/>
      <c r="H387" s="29" t="n"/>
      <c r="I387" s="29" t="n"/>
      <c r="J387" s="29">
        <f>IF(B387="","",SUM(G387:I387))</f>
        <v/>
      </c>
      <c r="K387" s="27" t="n"/>
      <c r="L387" s="37" t="n"/>
    </row>
    <row r="388" ht="15.75" customHeight="1" s="56">
      <c r="A388" s="36" t="n"/>
      <c r="B388" s="37" t="n"/>
      <c r="C388" s="37" t="n"/>
      <c r="D388" s="37" t="n"/>
      <c r="E388" s="37" t="n"/>
      <c r="F388" s="37" t="n"/>
      <c r="G388" s="29" t="n"/>
      <c r="H388" s="29" t="n"/>
      <c r="I388" s="29" t="n"/>
      <c r="J388" s="29">
        <f>IF(B388="","",SUM(G388:I388))</f>
        <v/>
      </c>
      <c r="K388" s="27" t="n"/>
      <c r="L388" s="37" t="n"/>
    </row>
    <row r="389" ht="15.75" customHeight="1" s="56">
      <c r="A389" s="36" t="n"/>
      <c r="B389" s="37" t="n"/>
      <c r="C389" s="37" t="n"/>
      <c r="D389" s="37" t="n"/>
      <c r="E389" s="37" t="n"/>
      <c r="F389" s="37" t="n"/>
      <c r="G389" s="29" t="n"/>
      <c r="H389" s="29" t="n"/>
      <c r="I389" s="29" t="n"/>
      <c r="J389" s="29">
        <f>IF(B389="","",SUM(G389:I389))</f>
        <v/>
      </c>
      <c r="K389" s="27" t="n"/>
      <c r="L389" s="37" t="n"/>
    </row>
    <row r="390" ht="15.75" customHeight="1" s="56">
      <c r="A390" s="36" t="n"/>
      <c r="B390" s="37" t="n"/>
      <c r="C390" s="37" t="n"/>
      <c r="D390" s="37" t="n"/>
      <c r="E390" s="37" t="n"/>
      <c r="F390" s="37" t="n"/>
      <c r="G390" s="29" t="n"/>
      <c r="H390" s="29" t="n"/>
      <c r="I390" s="29" t="n"/>
      <c r="J390" s="29">
        <f>IF(B390="","",SUM(G390:I390))</f>
        <v/>
      </c>
      <c r="K390" s="27" t="n"/>
      <c r="L390" s="37" t="n"/>
    </row>
    <row r="391" ht="15.75" customHeight="1" s="56">
      <c r="A391" s="36" t="n"/>
      <c r="B391" s="37" t="n"/>
      <c r="C391" s="37" t="n"/>
      <c r="D391" s="37" t="n"/>
      <c r="E391" s="37" t="n"/>
      <c r="F391" s="37" t="n"/>
      <c r="G391" s="29" t="n"/>
      <c r="H391" s="29" t="n"/>
      <c r="I391" s="29" t="n"/>
      <c r="J391" s="29">
        <f>IF(B391="","",SUM(G391:I391))</f>
        <v/>
      </c>
      <c r="K391" s="27" t="n"/>
      <c r="L391" s="37" t="n"/>
    </row>
    <row r="392" ht="15.75" customHeight="1" s="56">
      <c r="A392" s="36" t="n"/>
      <c r="B392" s="37" t="n"/>
      <c r="C392" s="37" t="n"/>
      <c r="D392" s="37" t="n"/>
      <c r="E392" s="37" t="n"/>
      <c r="F392" s="37" t="n"/>
      <c r="G392" s="29" t="n"/>
      <c r="H392" s="29" t="n"/>
      <c r="I392" s="29" t="n"/>
      <c r="J392" s="29">
        <f>IF(B392="","",SUM(G392:I392))</f>
        <v/>
      </c>
      <c r="K392" s="27" t="n"/>
      <c r="L392" s="37" t="n"/>
    </row>
    <row r="393" ht="15.75" customHeight="1" s="56">
      <c r="A393" s="36" t="n"/>
      <c r="B393" s="37" t="n"/>
      <c r="C393" s="37" t="n"/>
      <c r="D393" s="37" t="n"/>
      <c r="E393" s="37" t="n"/>
      <c r="F393" s="37" t="n"/>
      <c r="G393" s="29" t="n"/>
      <c r="H393" s="29" t="n"/>
      <c r="I393" s="29" t="n"/>
      <c r="J393" s="29">
        <f>IF(B393="","",SUM(G393:I393))</f>
        <v/>
      </c>
      <c r="K393" s="27" t="n"/>
      <c r="L393" s="37" t="n"/>
    </row>
    <row r="394" ht="15.75" customHeight="1" s="56">
      <c r="A394" s="36" t="n"/>
      <c r="B394" s="37" t="n"/>
      <c r="C394" s="37" t="n"/>
      <c r="D394" s="37" t="n"/>
      <c r="E394" s="37" t="n"/>
      <c r="F394" s="37" t="n"/>
      <c r="G394" s="29" t="n"/>
      <c r="H394" s="29" t="n"/>
      <c r="I394" s="29" t="n"/>
      <c r="J394" s="29">
        <f>IF(B394="","",SUM(G394:I394))</f>
        <v/>
      </c>
      <c r="K394" s="27" t="n"/>
      <c r="L394" s="37" t="n"/>
    </row>
    <row r="395" ht="15.75" customHeight="1" s="56">
      <c r="A395" s="36" t="n"/>
      <c r="B395" s="37" t="n"/>
      <c r="C395" s="37" t="n"/>
      <c r="D395" s="37" t="n"/>
      <c r="E395" s="37" t="n"/>
      <c r="F395" s="37" t="n"/>
      <c r="G395" s="29" t="n"/>
      <c r="H395" s="29" t="n"/>
      <c r="I395" s="29" t="n"/>
      <c r="J395" s="29">
        <f>IF(B395="","",SUM(G395:I395))</f>
        <v/>
      </c>
      <c r="K395" s="27" t="n"/>
      <c r="L395" s="37" t="n"/>
    </row>
    <row r="396" ht="15.75" customHeight="1" s="56">
      <c r="A396" s="36" t="n"/>
      <c r="B396" s="37" t="n"/>
      <c r="C396" s="37" t="n"/>
      <c r="D396" s="37" t="n"/>
      <c r="E396" s="37" t="n"/>
      <c r="F396" s="37" t="n"/>
      <c r="G396" s="29" t="n"/>
      <c r="H396" s="29" t="n"/>
      <c r="I396" s="29" t="n"/>
      <c r="J396" s="29">
        <f>IF(B396="","",SUM(G396:I396))</f>
        <v/>
      </c>
      <c r="K396" s="27" t="n"/>
      <c r="L396" s="37" t="n"/>
    </row>
    <row r="397" ht="15.75" customHeight="1" s="56">
      <c r="A397" s="36" t="n"/>
      <c r="B397" s="37" t="n"/>
      <c r="C397" s="37" t="n"/>
      <c r="D397" s="37" t="n"/>
      <c r="E397" s="37" t="n"/>
      <c r="F397" s="37" t="n"/>
      <c r="G397" s="29" t="n"/>
      <c r="H397" s="29" t="n"/>
      <c r="I397" s="29" t="n"/>
      <c r="J397" s="29">
        <f>IF(B397="","",SUM(G397:I397))</f>
        <v/>
      </c>
      <c r="K397" s="27" t="n"/>
      <c r="L397" s="37" t="n"/>
    </row>
    <row r="398" ht="15.75" customHeight="1" s="56">
      <c r="A398" s="36" t="n"/>
      <c r="B398" s="37" t="n"/>
      <c r="C398" s="37" t="n"/>
      <c r="D398" s="37" t="n"/>
      <c r="E398" s="37" t="n"/>
      <c r="F398" s="37" t="n"/>
      <c r="G398" s="29" t="n"/>
      <c r="H398" s="29" t="n"/>
      <c r="I398" s="29" t="n"/>
      <c r="J398" s="29">
        <f>IF(B398="","",SUM(G398:I398))</f>
        <v/>
      </c>
      <c r="K398" s="27" t="n"/>
      <c r="L398" s="37" t="n"/>
    </row>
    <row r="399" ht="15.75" customHeight="1" s="56">
      <c r="A399" s="36" t="n"/>
      <c r="B399" s="37" t="n"/>
      <c r="C399" s="37" t="n"/>
      <c r="D399" s="37" t="n"/>
      <c r="E399" s="37" t="n"/>
      <c r="F399" s="37" t="n"/>
      <c r="G399" s="29" t="n"/>
      <c r="H399" s="29" t="n"/>
      <c r="I399" s="29" t="n"/>
      <c r="J399" s="29">
        <f>IF(B399="","",SUM(G399:I399))</f>
        <v/>
      </c>
      <c r="K399" s="27" t="n"/>
      <c r="L399" s="37" t="n"/>
    </row>
    <row r="400" ht="15.75" customHeight="1" s="56">
      <c r="A400" s="36" t="n"/>
      <c r="B400" s="37" t="n"/>
      <c r="C400" s="37" t="n"/>
      <c r="D400" s="37" t="n"/>
      <c r="E400" s="37" t="n"/>
      <c r="F400" s="37" t="n"/>
      <c r="G400" s="29" t="n"/>
      <c r="H400" s="29" t="n"/>
      <c r="I400" s="29" t="n"/>
      <c r="J400" s="29">
        <f>IF(B400="","",SUM(G400:I400))</f>
        <v/>
      </c>
      <c r="K400" s="27" t="n"/>
      <c r="L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L$400"/>
  <mergeCells count="2">
    <mergeCell ref="A2:L2"/>
    <mergeCell ref="A1:L1"/>
  </mergeCells>
  <dataValidations count="2">
    <dataValidation sqref="B4:B400" showDropDown="0" showInputMessage="0" showErrorMessage="0" allowBlank="1" type="list">
      <formula1>DM_NHANSU</formula1>
    </dataValidation>
    <dataValidation sqref="F4:F400" showDropDown="0" showInputMessage="0" showErrorMessage="0" allowBlank="1" type="list">
      <formula1>DM_PHONGBAN</formula1>
    </dataValidation>
  </dataValidation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J200"/>
  <sheetViews>
    <sheetView showGridLines="0" workbookViewId="0">
      <pane ySplit="3" topLeftCell="A4" activePane="bottomLeft" state="frozen"/>
      <selection pane="bottomLeft" activeCell="B5" sqref="B5"/>
    </sheetView>
  </sheetViews>
  <sheetFormatPr baseColWidth="8" defaultColWidth="14.43" defaultRowHeight="15" customHeight="1"/>
  <cols>
    <col width="14" customWidth="1" style="56" min="1" max="1"/>
    <col width="13" customWidth="1" style="56" min="2" max="2"/>
    <col width="22" customWidth="1" style="56" min="3" max="3"/>
    <col width="14" customWidth="1" style="56" min="4" max="4"/>
    <col width="16" customWidth="1" style="56" min="5" max="5"/>
    <col width="22" customWidth="1" style="56" min="6" max="6"/>
    <col width="18" customWidth="1" style="56" min="7" max="7"/>
    <col width="14" customWidth="1" style="56" min="8" max="8"/>
    <col width="18" customWidth="1" style="56" min="9" max="9"/>
    <col width="26" customWidth="1" style="56" min="10" max="10"/>
    <col width="8.710000000000001" customWidth="1" style="56" min="11" max="26"/>
  </cols>
  <sheetData>
    <row r="1">
      <c r="A1" s="66" t="inlineStr">
        <is>
          <t>KINH DOANH - LEAD</t>
        </is>
      </c>
      <c r="B1" s="58" t="n"/>
      <c r="C1" s="58" t="n"/>
      <c r="D1" s="58" t="n"/>
      <c r="E1" s="58" t="n"/>
      <c r="F1" s="58" t="n"/>
      <c r="G1" s="58" t="n"/>
      <c r="H1" s="58" t="n"/>
      <c r="I1" s="58" t="n"/>
      <c r="J1" s="59" t="n"/>
    </row>
    <row r="2">
      <c r="A2" s="23" t="inlineStr">
        <is>
          <t>Lead đầu vào. Khi chốt thì gắn Mã hồ sơ để nối sang hệ thống chung.</t>
        </is>
      </c>
    </row>
    <row r="3">
      <c r="A3" s="39" t="inlineStr">
        <is>
          <t>Mã lead</t>
        </is>
      </c>
      <c r="B3" s="39" t="inlineStr">
        <is>
          <t>Ngày tạo</t>
        </is>
      </c>
      <c r="C3" s="39" t="inlineStr">
        <is>
          <t>Tên khách</t>
        </is>
      </c>
      <c r="D3" s="39" t="inlineStr">
        <is>
          <t>SĐT</t>
        </is>
      </c>
      <c r="E3" s="39" t="inlineStr">
        <is>
          <t>Nguồn</t>
        </is>
      </c>
      <c r="F3" s="39" t="inlineStr">
        <is>
          <t>Nhu cầu</t>
        </is>
      </c>
      <c r="G3" s="39" t="inlineStr">
        <is>
          <t>Nhân viên sale</t>
        </is>
      </c>
      <c r="H3" s="39" t="inlineStr">
        <is>
          <t>Trạng thái</t>
        </is>
      </c>
      <c r="I3" s="39" t="inlineStr">
        <is>
          <t>Chuyển thành mã hồ sơ</t>
        </is>
      </c>
      <c r="J3" s="39" t="inlineStr">
        <is>
          <t>Ghi chú</t>
        </is>
      </c>
    </row>
    <row r="4">
      <c r="A4" s="37">
        <f>IF(B4="","",THIET_LAP!$B$4&amp;"-LD-"&amp;TEXT(COUNT($B$4:B4),"0000"))</f>
        <v/>
      </c>
      <c r="B4" s="27" t="inlineStr">
        <is>
          <t>2026-03-17</t>
        </is>
      </c>
      <c r="C4" s="37" t="inlineStr">
        <is>
          <t>Anh Minh</t>
        </is>
      </c>
      <c r="D4" s="37" t="inlineStr">
        <is>
          <t>0909000003</t>
        </is>
      </c>
      <c r="E4" s="37" t="inlineStr">
        <is>
          <t>Zalo cá nhân</t>
        </is>
      </c>
      <c r="F4" s="37" t="inlineStr">
        <is>
          <t>Hoàn công nhà ở</t>
        </is>
      </c>
      <c r="G4" s="37" t="inlineStr">
        <is>
          <t>Giám đốc</t>
        </is>
      </c>
      <c r="H4" s="37" t="inlineStr">
        <is>
          <t>Đang tư vấn</t>
        </is>
      </c>
      <c r="I4" s="37" t="inlineStr">
        <is>
          <t>BK-HS-0004</t>
        </is>
      </c>
      <c r="J4" s="37" t="n"/>
    </row>
    <row r="5">
      <c r="A5" s="37">
        <f>IF(B5="","",THIET_LAP!$B$4&amp;"-LD-"&amp;TEXT(COUNT($B$4:B5),"0000"))</f>
        <v/>
      </c>
      <c r="B5" s="27" t="n"/>
      <c r="C5" s="37" t="n"/>
      <c r="D5" s="37" t="n"/>
      <c r="E5" s="37" t="n"/>
      <c r="F5" s="37" t="n"/>
      <c r="G5" s="37" t="n"/>
      <c r="H5" s="37" t="n"/>
      <c r="I5" s="37" t="n"/>
      <c r="J5" s="37" t="n"/>
    </row>
    <row r="6">
      <c r="A6" s="37">
        <f>IF(B6="","",THIET_LAP!$B$4&amp;"-LD-"&amp;TEXT(COUNT($B$4:B6),"0000"))</f>
        <v/>
      </c>
      <c r="B6" s="27" t="n"/>
      <c r="C6" s="37" t="n"/>
      <c r="D6" s="37" t="n"/>
      <c r="E6" s="37" t="n"/>
      <c r="F6" s="37" t="n"/>
      <c r="G6" s="37" t="n"/>
      <c r="H6" s="37" t="n"/>
      <c r="I6" s="37" t="n"/>
      <c r="J6" s="37" t="n"/>
    </row>
    <row r="7">
      <c r="A7" s="37">
        <f>IF(B7="","",THIET_LAP!$B$4&amp;"-LD-"&amp;TEXT(COUNT($B$4:B7),"0000"))</f>
        <v/>
      </c>
      <c r="B7" s="27" t="n"/>
      <c r="C7" s="37" t="n"/>
      <c r="D7" s="37" t="n"/>
      <c r="E7" s="37" t="n"/>
      <c r="F7" s="37" t="n"/>
      <c r="G7" s="37" t="n"/>
      <c r="H7" s="37" t="n"/>
      <c r="I7" s="37" t="n"/>
      <c r="J7" s="37" t="n"/>
    </row>
    <row r="8">
      <c r="A8" s="37">
        <f>IF(B8="","",THIET_LAP!$B$4&amp;"-LD-"&amp;TEXT(COUNT($B$4:B8),"0000"))</f>
        <v/>
      </c>
      <c r="B8" s="27" t="n"/>
      <c r="C8" s="37" t="n"/>
      <c r="D8" s="37" t="n"/>
      <c r="E8" s="37" t="n"/>
      <c r="F8" s="37" t="n"/>
      <c r="G8" s="37" t="n"/>
      <c r="H8" s="37" t="n"/>
      <c r="I8" s="37" t="n"/>
      <c r="J8" s="37" t="n"/>
    </row>
    <row r="9">
      <c r="A9" s="37">
        <f>IF(B9="","",THIET_LAP!$B$4&amp;"-LD-"&amp;TEXT(COUNT($B$4:B9),"0000"))</f>
        <v/>
      </c>
      <c r="B9" s="27" t="n"/>
      <c r="C9" s="37" t="n"/>
      <c r="D9" s="37" t="n"/>
      <c r="E9" s="37" t="n"/>
      <c r="F9" s="37" t="n"/>
      <c r="G9" s="37" t="n"/>
      <c r="H9" s="37" t="n"/>
      <c r="I9" s="37" t="n"/>
      <c r="J9" s="37" t="n"/>
    </row>
    <row r="10">
      <c r="A10" s="37">
        <f>IF(B10="","",THIET_LAP!$B$4&amp;"-LD-"&amp;TEXT(COUNT($B$4:B10),"0000"))</f>
        <v/>
      </c>
      <c r="B10" s="27" t="n"/>
      <c r="C10" s="37" t="n"/>
      <c r="D10" s="37" t="n"/>
      <c r="E10" s="37" t="n"/>
      <c r="F10" s="37" t="n"/>
      <c r="G10" s="37" t="n"/>
      <c r="H10" s="37" t="n"/>
      <c r="I10" s="37" t="n"/>
      <c r="J10" s="37" t="n"/>
    </row>
    <row r="11">
      <c r="A11" s="37">
        <f>IF(B11="","",THIET_LAP!$B$4&amp;"-LD-"&amp;TEXT(COUNT($B$4:B11),"0000"))</f>
        <v/>
      </c>
      <c r="B11" s="27" t="n"/>
      <c r="C11" s="37" t="n"/>
      <c r="D11" s="37" t="n"/>
      <c r="E11" s="37" t="n"/>
      <c r="F11" s="37" t="n"/>
      <c r="G11" s="37" t="n"/>
      <c r="H11" s="37" t="n"/>
      <c r="I11" s="37" t="n"/>
      <c r="J11" s="37" t="n"/>
    </row>
    <row r="12">
      <c r="A12" s="37">
        <f>IF(B12="","",THIET_LAP!$B$4&amp;"-LD-"&amp;TEXT(COUNT($B$4:B12),"0000"))</f>
        <v/>
      </c>
      <c r="B12" s="27" t="n"/>
      <c r="C12" s="37" t="n"/>
      <c r="D12" s="37" t="n"/>
      <c r="E12" s="37" t="n"/>
      <c r="F12" s="37" t="n"/>
      <c r="G12" s="37" t="n"/>
      <c r="H12" s="37" t="n"/>
      <c r="I12" s="37" t="n"/>
      <c r="J12" s="37" t="n"/>
    </row>
    <row r="13">
      <c r="A13" s="37">
        <f>IF(B13="","",THIET_LAP!$B$4&amp;"-LD-"&amp;TEXT(COUNT($B$4:B13),"0000"))</f>
        <v/>
      </c>
      <c r="B13" s="27" t="n"/>
      <c r="C13" s="37" t="n"/>
      <c r="D13" s="37" t="n"/>
      <c r="E13" s="37" t="n"/>
      <c r="F13" s="37" t="n"/>
      <c r="G13" s="37" t="n"/>
      <c r="H13" s="37" t="n"/>
      <c r="I13" s="37" t="n"/>
      <c r="J13" s="37" t="n"/>
    </row>
    <row r="14">
      <c r="A14" s="37">
        <f>IF(B14="","",THIET_LAP!$B$4&amp;"-LD-"&amp;TEXT(COUNT($B$4:B14),"0000"))</f>
        <v/>
      </c>
      <c r="B14" s="27" t="n"/>
      <c r="C14" s="37" t="n"/>
      <c r="D14" s="37" t="n"/>
      <c r="E14" s="37" t="n"/>
      <c r="F14" s="37" t="n"/>
      <c r="G14" s="37" t="n"/>
      <c r="H14" s="37" t="n"/>
      <c r="I14" s="37" t="n"/>
      <c r="J14" s="37" t="n"/>
    </row>
    <row r="15">
      <c r="A15" s="37">
        <f>IF(B15="","",THIET_LAP!$B$4&amp;"-LD-"&amp;TEXT(COUNT($B$4:B15),"0000"))</f>
        <v/>
      </c>
      <c r="B15" s="27" t="n"/>
      <c r="C15" s="37" t="n"/>
      <c r="D15" s="37" t="n"/>
      <c r="E15" s="37" t="n"/>
      <c r="F15" s="37" t="n"/>
      <c r="G15" s="37" t="n"/>
      <c r="H15" s="37" t="n"/>
      <c r="I15" s="37" t="n"/>
      <c r="J15" s="37" t="n"/>
    </row>
    <row r="16">
      <c r="A16" s="37">
        <f>IF(B16="","",THIET_LAP!$B$4&amp;"-LD-"&amp;TEXT(COUNT($B$4:B16),"0000"))</f>
        <v/>
      </c>
      <c r="B16" s="27" t="n"/>
      <c r="C16" s="37" t="n"/>
      <c r="D16" s="37" t="n"/>
      <c r="E16" s="37" t="n"/>
      <c r="F16" s="37" t="n"/>
      <c r="G16" s="37" t="n"/>
      <c r="H16" s="37" t="n"/>
      <c r="I16" s="37" t="n"/>
      <c r="J16" s="37" t="n"/>
    </row>
    <row r="17">
      <c r="A17" s="37">
        <f>IF(B17="","",THIET_LAP!$B$4&amp;"-LD-"&amp;TEXT(COUNT($B$4:B17),"0000"))</f>
        <v/>
      </c>
      <c r="B17" s="27" t="n"/>
      <c r="C17" s="37" t="n"/>
      <c r="D17" s="37" t="n"/>
      <c r="E17" s="37" t="n"/>
      <c r="F17" s="37" t="n"/>
      <c r="G17" s="37" t="n"/>
      <c r="H17" s="37" t="n"/>
      <c r="I17" s="37" t="n"/>
      <c r="J17" s="37" t="n"/>
    </row>
    <row r="18">
      <c r="A18" s="37">
        <f>IF(B18="","",THIET_LAP!$B$4&amp;"-LD-"&amp;TEXT(COUNT($B$4:B18),"0000"))</f>
        <v/>
      </c>
      <c r="B18" s="27" t="n"/>
      <c r="C18" s="37" t="n"/>
      <c r="D18" s="37" t="n"/>
      <c r="E18" s="37" t="n"/>
      <c r="F18" s="37" t="n"/>
      <c r="G18" s="37" t="n"/>
      <c r="H18" s="37" t="n"/>
      <c r="I18" s="37" t="n"/>
      <c r="J18" s="37" t="n"/>
    </row>
    <row r="19">
      <c r="A19" s="37">
        <f>IF(B19="","",THIET_LAP!$B$4&amp;"-LD-"&amp;TEXT(COUNT($B$4:B19),"0000"))</f>
        <v/>
      </c>
      <c r="B19" s="27" t="n"/>
      <c r="C19" s="37" t="n"/>
      <c r="D19" s="37" t="n"/>
      <c r="E19" s="37" t="n"/>
      <c r="F19" s="37" t="n"/>
      <c r="G19" s="37" t="n"/>
      <c r="H19" s="37" t="n"/>
      <c r="I19" s="37" t="n"/>
      <c r="J19" s="37" t="n"/>
    </row>
    <row r="20">
      <c r="A20" s="37">
        <f>IF(B20="","",THIET_LAP!$B$4&amp;"-LD-"&amp;TEXT(COUNT($B$4:B20),"0000"))</f>
        <v/>
      </c>
      <c r="B20" s="27" t="n"/>
      <c r="C20" s="37" t="n"/>
      <c r="D20" s="37" t="n"/>
      <c r="E20" s="37" t="n"/>
      <c r="F20" s="37" t="n"/>
      <c r="G20" s="37" t="n"/>
      <c r="H20" s="37" t="n"/>
      <c r="I20" s="37" t="n"/>
      <c r="J20" s="37" t="n"/>
    </row>
    <row r="21" ht="15.75" customHeight="1" s="56">
      <c r="A21" s="37">
        <f>IF(B21="","",THIET_LAP!$B$4&amp;"-LD-"&amp;TEXT(COUNT($B$4:B21),"0000"))</f>
        <v/>
      </c>
      <c r="B21" s="27" t="n"/>
      <c r="C21" s="37" t="n"/>
      <c r="D21" s="37" t="n"/>
      <c r="E21" s="37" t="n"/>
      <c r="F21" s="37" t="n"/>
      <c r="G21" s="37" t="n"/>
      <c r="H21" s="37" t="n"/>
      <c r="I21" s="37" t="n"/>
      <c r="J21" s="37" t="n"/>
    </row>
    <row r="22" ht="15.75" customHeight="1" s="56">
      <c r="A22" s="37">
        <f>IF(B22="","",THIET_LAP!$B$4&amp;"-LD-"&amp;TEXT(COUNT($B$4:B22),"0000"))</f>
        <v/>
      </c>
      <c r="B22" s="27" t="n"/>
      <c r="C22" s="37" t="n"/>
      <c r="D22" s="37" t="n"/>
      <c r="E22" s="37" t="n"/>
      <c r="F22" s="37" t="n"/>
      <c r="G22" s="37" t="n"/>
      <c r="H22" s="37" t="n"/>
      <c r="I22" s="37" t="n"/>
      <c r="J22" s="37" t="n"/>
    </row>
    <row r="23" ht="15.75" customHeight="1" s="56">
      <c r="A23" s="37">
        <f>IF(B23="","",THIET_LAP!$B$4&amp;"-LD-"&amp;TEXT(COUNT($B$4:B23),"0000"))</f>
        <v/>
      </c>
      <c r="B23" s="27" t="n"/>
      <c r="C23" s="37" t="n"/>
      <c r="D23" s="37" t="n"/>
      <c r="E23" s="37" t="n"/>
      <c r="F23" s="37" t="n"/>
      <c r="G23" s="37" t="n"/>
      <c r="H23" s="37" t="n"/>
      <c r="I23" s="37" t="n"/>
      <c r="J23" s="37" t="n"/>
    </row>
    <row r="24" ht="15.75" customHeight="1" s="56">
      <c r="A24" s="37">
        <f>IF(B24="","",THIET_LAP!$B$4&amp;"-LD-"&amp;TEXT(COUNT($B$4:B24),"0000"))</f>
        <v/>
      </c>
      <c r="B24" s="27" t="n"/>
      <c r="C24" s="37" t="n"/>
      <c r="D24" s="37" t="n"/>
      <c r="E24" s="37" t="n"/>
      <c r="F24" s="37" t="n"/>
      <c r="G24" s="37" t="n"/>
      <c r="H24" s="37" t="n"/>
      <c r="I24" s="37" t="n"/>
      <c r="J24" s="37" t="n"/>
    </row>
    <row r="25" ht="15.75" customHeight="1" s="56">
      <c r="A25" s="37">
        <f>IF(B25="","",THIET_LAP!$B$4&amp;"-LD-"&amp;TEXT(COUNT($B$4:B25),"0000"))</f>
        <v/>
      </c>
      <c r="B25" s="27" t="n"/>
      <c r="C25" s="37" t="n"/>
      <c r="D25" s="37" t="n"/>
      <c r="E25" s="37" t="n"/>
      <c r="F25" s="37" t="n"/>
      <c r="G25" s="37" t="n"/>
      <c r="H25" s="37" t="n"/>
      <c r="I25" s="37" t="n"/>
      <c r="J25" s="37" t="n"/>
    </row>
    <row r="26" ht="15.75" customHeight="1" s="56">
      <c r="A26" s="37">
        <f>IF(B26="","",THIET_LAP!$B$4&amp;"-LD-"&amp;TEXT(COUNT($B$4:B26),"0000"))</f>
        <v/>
      </c>
      <c r="B26" s="27" t="n"/>
      <c r="C26" s="37" t="n"/>
      <c r="D26" s="37" t="n"/>
      <c r="E26" s="37" t="n"/>
      <c r="F26" s="37" t="n"/>
      <c r="G26" s="37" t="n"/>
      <c r="H26" s="37" t="n"/>
      <c r="I26" s="37" t="n"/>
      <c r="J26" s="37" t="n"/>
    </row>
    <row r="27" ht="15.75" customHeight="1" s="56">
      <c r="A27" s="37">
        <f>IF(B27="","",THIET_LAP!$B$4&amp;"-LD-"&amp;TEXT(COUNT($B$4:B27),"0000"))</f>
        <v/>
      </c>
      <c r="B27" s="27" t="n"/>
      <c r="C27" s="37" t="n"/>
      <c r="D27" s="37" t="n"/>
      <c r="E27" s="37" t="n"/>
      <c r="F27" s="37" t="n"/>
      <c r="G27" s="37" t="n"/>
      <c r="H27" s="37" t="n"/>
      <c r="I27" s="37" t="n"/>
      <c r="J27" s="37" t="n"/>
    </row>
    <row r="28" ht="15.75" customHeight="1" s="56">
      <c r="A28" s="37">
        <f>IF(B28="","",THIET_LAP!$B$4&amp;"-LD-"&amp;TEXT(COUNT($B$4:B28),"0000"))</f>
        <v/>
      </c>
      <c r="B28" s="27" t="n"/>
      <c r="C28" s="37" t="n"/>
      <c r="D28" s="37" t="n"/>
      <c r="E28" s="37" t="n"/>
      <c r="F28" s="37" t="n"/>
      <c r="G28" s="37" t="n"/>
      <c r="H28" s="37" t="n"/>
      <c r="I28" s="37" t="n"/>
      <c r="J28" s="37" t="n"/>
    </row>
    <row r="29" ht="15.75" customHeight="1" s="56">
      <c r="A29" s="37">
        <f>IF(B29="","",THIET_LAP!$B$4&amp;"-LD-"&amp;TEXT(COUNT($B$4:B29),"0000"))</f>
        <v/>
      </c>
      <c r="B29" s="27" t="n"/>
      <c r="C29" s="37" t="n"/>
      <c r="D29" s="37" t="n"/>
      <c r="E29" s="37" t="n"/>
      <c r="F29" s="37" t="n"/>
      <c r="G29" s="37" t="n"/>
      <c r="H29" s="37" t="n"/>
      <c r="I29" s="37" t="n"/>
      <c r="J29" s="37" t="n"/>
    </row>
    <row r="30" ht="15.75" customHeight="1" s="56">
      <c r="A30" s="37">
        <f>IF(B30="","",THIET_LAP!$B$4&amp;"-LD-"&amp;TEXT(COUNT($B$4:B30),"0000"))</f>
        <v/>
      </c>
      <c r="B30" s="27" t="n"/>
      <c r="C30" s="37" t="n"/>
      <c r="D30" s="37" t="n"/>
      <c r="E30" s="37" t="n"/>
      <c r="F30" s="37" t="n"/>
      <c r="G30" s="37" t="n"/>
      <c r="H30" s="37" t="n"/>
      <c r="I30" s="37" t="n"/>
      <c r="J30" s="37" t="n"/>
    </row>
    <row r="31" ht="15.75" customHeight="1" s="56">
      <c r="A31" s="37">
        <f>IF(B31="","",THIET_LAP!$B$4&amp;"-LD-"&amp;TEXT(COUNT($B$4:B31),"0000"))</f>
        <v/>
      </c>
      <c r="B31" s="27" t="n"/>
      <c r="C31" s="37" t="n"/>
      <c r="D31" s="37" t="n"/>
      <c r="E31" s="37" t="n"/>
      <c r="F31" s="37" t="n"/>
      <c r="G31" s="37" t="n"/>
      <c r="H31" s="37" t="n"/>
      <c r="I31" s="37" t="n"/>
      <c r="J31" s="37" t="n"/>
    </row>
    <row r="32" ht="15.75" customHeight="1" s="56">
      <c r="A32" s="37">
        <f>IF(B32="","",THIET_LAP!$B$4&amp;"-LD-"&amp;TEXT(COUNT($B$4:B32),"0000"))</f>
        <v/>
      </c>
      <c r="B32" s="27" t="n"/>
      <c r="C32" s="37" t="n"/>
      <c r="D32" s="37" t="n"/>
      <c r="E32" s="37" t="n"/>
      <c r="F32" s="37" t="n"/>
      <c r="G32" s="37" t="n"/>
      <c r="H32" s="37" t="n"/>
      <c r="I32" s="37" t="n"/>
      <c r="J32" s="37" t="n"/>
    </row>
    <row r="33" ht="15.75" customHeight="1" s="56">
      <c r="A33" s="37">
        <f>IF(B33="","",THIET_LAP!$B$4&amp;"-LD-"&amp;TEXT(COUNT($B$4:B33),"0000"))</f>
        <v/>
      </c>
      <c r="B33" s="27" t="n"/>
      <c r="C33" s="37" t="n"/>
      <c r="D33" s="37" t="n"/>
      <c r="E33" s="37" t="n"/>
      <c r="F33" s="37" t="n"/>
      <c r="G33" s="37" t="n"/>
      <c r="H33" s="37" t="n"/>
      <c r="I33" s="37" t="n"/>
      <c r="J33" s="37" t="n"/>
    </row>
    <row r="34" ht="15.75" customHeight="1" s="56">
      <c r="A34" s="37">
        <f>IF(B34="","",THIET_LAP!$B$4&amp;"-LD-"&amp;TEXT(COUNT($B$4:B34),"0000"))</f>
        <v/>
      </c>
      <c r="B34" s="27" t="n"/>
      <c r="C34" s="37" t="n"/>
      <c r="D34" s="37" t="n"/>
      <c r="E34" s="37" t="n"/>
      <c r="F34" s="37" t="n"/>
      <c r="G34" s="37" t="n"/>
      <c r="H34" s="37" t="n"/>
      <c r="I34" s="37" t="n"/>
      <c r="J34" s="37" t="n"/>
    </row>
    <row r="35" ht="15.75" customHeight="1" s="56">
      <c r="A35" s="37">
        <f>IF(B35="","",THIET_LAP!$B$4&amp;"-LD-"&amp;TEXT(COUNT($B$4:B35),"0000"))</f>
        <v/>
      </c>
      <c r="B35" s="27" t="n"/>
      <c r="C35" s="37" t="n"/>
      <c r="D35" s="37" t="n"/>
      <c r="E35" s="37" t="n"/>
      <c r="F35" s="37" t="n"/>
      <c r="G35" s="37" t="n"/>
      <c r="H35" s="37" t="n"/>
      <c r="I35" s="37" t="n"/>
      <c r="J35" s="37" t="n"/>
    </row>
    <row r="36" ht="15.75" customHeight="1" s="56">
      <c r="A36" s="37">
        <f>IF(B36="","",THIET_LAP!$B$4&amp;"-LD-"&amp;TEXT(COUNT($B$4:B36),"0000"))</f>
        <v/>
      </c>
      <c r="B36" s="27" t="n"/>
      <c r="C36" s="37" t="n"/>
      <c r="D36" s="37" t="n"/>
      <c r="E36" s="37" t="n"/>
      <c r="F36" s="37" t="n"/>
      <c r="G36" s="37" t="n"/>
      <c r="H36" s="37" t="n"/>
      <c r="I36" s="37" t="n"/>
      <c r="J36" s="37" t="n"/>
    </row>
    <row r="37" ht="15.75" customHeight="1" s="56">
      <c r="A37" s="37">
        <f>IF(B37="","",THIET_LAP!$B$4&amp;"-LD-"&amp;TEXT(COUNT($B$4:B37),"0000"))</f>
        <v/>
      </c>
      <c r="B37" s="27" t="n"/>
      <c r="C37" s="37" t="n"/>
      <c r="D37" s="37" t="n"/>
      <c r="E37" s="37" t="n"/>
      <c r="F37" s="37" t="n"/>
      <c r="G37" s="37" t="n"/>
      <c r="H37" s="37" t="n"/>
      <c r="I37" s="37" t="n"/>
      <c r="J37" s="37" t="n"/>
    </row>
    <row r="38" ht="15.75" customHeight="1" s="56">
      <c r="A38" s="37">
        <f>IF(B38="","",THIET_LAP!$B$4&amp;"-LD-"&amp;TEXT(COUNT($B$4:B38),"0000"))</f>
        <v/>
      </c>
      <c r="B38" s="27" t="n"/>
      <c r="C38" s="37" t="n"/>
      <c r="D38" s="37" t="n"/>
      <c r="E38" s="37" t="n"/>
      <c r="F38" s="37" t="n"/>
      <c r="G38" s="37" t="n"/>
      <c r="H38" s="37" t="n"/>
      <c r="I38" s="37" t="n"/>
      <c r="J38" s="37" t="n"/>
    </row>
    <row r="39" ht="15.75" customHeight="1" s="56">
      <c r="A39" s="37">
        <f>IF(B39="","",THIET_LAP!$B$4&amp;"-LD-"&amp;TEXT(COUNT($B$4:B39),"0000"))</f>
        <v/>
      </c>
      <c r="B39" s="27" t="n"/>
      <c r="C39" s="37" t="n"/>
      <c r="D39" s="37" t="n"/>
      <c r="E39" s="37" t="n"/>
      <c r="F39" s="37" t="n"/>
      <c r="G39" s="37" t="n"/>
      <c r="H39" s="37" t="n"/>
      <c r="I39" s="37" t="n"/>
      <c r="J39" s="37" t="n"/>
    </row>
    <row r="40" ht="15.75" customHeight="1" s="56">
      <c r="A40" s="37">
        <f>IF(B40="","",THIET_LAP!$B$4&amp;"-LD-"&amp;TEXT(COUNT($B$4:B40),"0000"))</f>
        <v/>
      </c>
      <c r="B40" s="27" t="n"/>
      <c r="C40" s="37" t="n"/>
      <c r="D40" s="37" t="n"/>
      <c r="E40" s="37" t="n"/>
      <c r="F40" s="37" t="n"/>
      <c r="G40" s="37" t="n"/>
      <c r="H40" s="37" t="n"/>
      <c r="I40" s="37" t="n"/>
      <c r="J40" s="37" t="n"/>
    </row>
    <row r="41" ht="15.75" customHeight="1" s="56">
      <c r="A41" s="37">
        <f>IF(B41="","",THIET_LAP!$B$4&amp;"-LD-"&amp;TEXT(COUNT($B$4:B41),"0000"))</f>
        <v/>
      </c>
      <c r="B41" s="27" t="n"/>
      <c r="C41" s="37" t="n"/>
      <c r="D41" s="37" t="n"/>
      <c r="E41" s="37" t="n"/>
      <c r="F41" s="37" t="n"/>
      <c r="G41" s="37" t="n"/>
      <c r="H41" s="37" t="n"/>
      <c r="I41" s="37" t="n"/>
      <c r="J41" s="37" t="n"/>
    </row>
    <row r="42" ht="15.75" customHeight="1" s="56">
      <c r="A42" s="37">
        <f>IF(B42="","",THIET_LAP!$B$4&amp;"-LD-"&amp;TEXT(COUNT($B$4:B42),"0000"))</f>
        <v/>
      </c>
      <c r="B42" s="27" t="n"/>
      <c r="C42" s="37" t="n"/>
      <c r="D42" s="37" t="n"/>
      <c r="E42" s="37" t="n"/>
      <c r="F42" s="37" t="n"/>
      <c r="G42" s="37" t="n"/>
      <c r="H42" s="37" t="n"/>
      <c r="I42" s="37" t="n"/>
      <c r="J42" s="37" t="n"/>
    </row>
    <row r="43" ht="15.75" customHeight="1" s="56">
      <c r="A43" s="37">
        <f>IF(B43="","",THIET_LAP!$B$4&amp;"-LD-"&amp;TEXT(COUNT($B$4:B43),"0000"))</f>
        <v/>
      </c>
      <c r="B43" s="27" t="n"/>
      <c r="C43" s="37" t="n"/>
      <c r="D43" s="37" t="n"/>
      <c r="E43" s="37" t="n"/>
      <c r="F43" s="37" t="n"/>
      <c r="G43" s="37" t="n"/>
      <c r="H43" s="37" t="n"/>
      <c r="I43" s="37" t="n"/>
      <c r="J43" s="37" t="n"/>
    </row>
    <row r="44" ht="15.75" customHeight="1" s="56">
      <c r="A44" s="37">
        <f>IF(B44="","",THIET_LAP!$B$4&amp;"-LD-"&amp;TEXT(COUNT($B$4:B44),"0000"))</f>
        <v/>
      </c>
      <c r="B44" s="27" t="n"/>
      <c r="C44" s="37" t="n"/>
      <c r="D44" s="37" t="n"/>
      <c r="E44" s="37" t="n"/>
      <c r="F44" s="37" t="n"/>
      <c r="G44" s="37" t="n"/>
      <c r="H44" s="37" t="n"/>
      <c r="I44" s="37" t="n"/>
      <c r="J44" s="37" t="n"/>
    </row>
    <row r="45" ht="15.75" customHeight="1" s="56">
      <c r="A45" s="37">
        <f>IF(B45="","",THIET_LAP!$B$4&amp;"-LD-"&amp;TEXT(COUNT($B$4:B45),"0000"))</f>
        <v/>
      </c>
      <c r="B45" s="27" t="n"/>
      <c r="C45" s="37" t="n"/>
      <c r="D45" s="37" t="n"/>
      <c r="E45" s="37" t="n"/>
      <c r="F45" s="37" t="n"/>
      <c r="G45" s="37" t="n"/>
      <c r="H45" s="37" t="n"/>
      <c r="I45" s="37" t="n"/>
      <c r="J45" s="37" t="n"/>
    </row>
    <row r="46" ht="15.75" customHeight="1" s="56">
      <c r="A46" s="37">
        <f>IF(B46="","",THIET_LAP!$B$4&amp;"-LD-"&amp;TEXT(COUNT($B$4:B46),"0000"))</f>
        <v/>
      </c>
      <c r="B46" s="27" t="n"/>
      <c r="C46" s="37" t="n"/>
      <c r="D46" s="37" t="n"/>
      <c r="E46" s="37" t="n"/>
      <c r="F46" s="37" t="n"/>
      <c r="G46" s="37" t="n"/>
      <c r="H46" s="37" t="n"/>
      <c r="I46" s="37" t="n"/>
      <c r="J46" s="37" t="n"/>
    </row>
    <row r="47" ht="15.75" customHeight="1" s="56">
      <c r="A47" s="37">
        <f>IF(B47="","",THIET_LAP!$B$4&amp;"-LD-"&amp;TEXT(COUNT($B$4:B47),"0000"))</f>
        <v/>
      </c>
      <c r="B47" s="27" t="n"/>
      <c r="C47" s="37" t="n"/>
      <c r="D47" s="37" t="n"/>
      <c r="E47" s="37" t="n"/>
      <c r="F47" s="37" t="n"/>
      <c r="G47" s="37" t="n"/>
      <c r="H47" s="37" t="n"/>
      <c r="I47" s="37" t="n"/>
      <c r="J47" s="37" t="n"/>
    </row>
    <row r="48" ht="15.75" customHeight="1" s="56">
      <c r="A48" s="37">
        <f>IF(B48="","",THIET_LAP!$B$4&amp;"-LD-"&amp;TEXT(COUNT($B$4:B48),"0000"))</f>
        <v/>
      </c>
      <c r="B48" s="27" t="n"/>
      <c r="C48" s="37" t="n"/>
      <c r="D48" s="37" t="n"/>
      <c r="E48" s="37" t="n"/>
      <c r="F48" s="37" t="n"/>
      <c r="G48" s="37" t="n"/>
      <c r="H48" s="37" t="n"/>
      <c r="I48" s="37" t="n"/>
      <c r="J48" s="37" t="n"/>
    </row>
    <row r="49" ht="15.75" customHeight="1" s="56">
      <c r="A49" s="37">
        <f>IF(B49="","",THIET_LAP!$B$4&amp;"-LD-"&amp;TEXT(COUNT($B$4:B49),"0000"))</f>
        <v/>
      </c>
      <c r="B49" s="27" t="n"/>
      <c r="C49" s="37" t="n"/>
      <c r="D49" s="37" t="n"/>
      <c r="E49" s="37" t="n"/>
      <c r="F49" s="37" t="n"/>
      <c r="G49" s="37" t="n"/>
      <c r="H49" s="37" t="n"/>
      <c r="I49" s="37" t="n"/>
      <c r="J49" s="37" t="n"/>
    </row>
    <row r="50" ht="15.75" customHeight="1" s="56">
      <c r="A50" s="37">
        <f>IF(B50="","",THIET_LAP!$B$4&amp;"-LD-"&amp;TEXT(COUNT($B$4:B50),"0000"))</f>
        <v/>
      </c>
      <c r="B50" s="27" t="n"/>
      <c r="C50" s="37" t="n"/>
      <c r="D50" s="37" t="n"/>
      <c r="E50" s="37" t="n"/>
      <c r="F50" s="37" t="n"/>
      <c r="G50" s="37" t="n"/>
      <c r="H50" s="37" t="n"/>
      <c r="I50" s="37" t="n"/>
      <c r="J50" s="37" t="n"/>
    </row>
    <row r="51" ht="15.75" customHeight="1" s="56">
      <c r="A51" s="37">
        <f>IF(B51="","",THIET_LAP!$B$4&amp;"-LD-"&amp;TEXT(COUNT($B$4:B51),"0000"))</f>
        <v/>
      </c>
      <c r="B51" s="27" t="n"/>
      <c r="C51" s="37" t="n"/>
      <c r="D51" s="37" t="n"/>
      <c r="E51" s="37" t="n"/>
      <c r="F51" s="37" t="n"/>
      <c r="G51" s="37" t="n"/>
      <c r="H51" s="37" t="n"/>
      <c r="I51" s="37" t="n"/>
      <c r="J51" s="37" t="n"/>
    </row>
    <row r="52" ht="15.75" customHeight="1" s="56">
      <c r="A52" s="37">
        <f>IF(B52="","",THIET_LAP!$B$4&amp;"-LD-"&amp;TEXT(COUNT($B$4:B52),"0000"))</f>
        <v/>
      </c>
      <c r="B52" s="27" t="n"/>
      <c r="C52" s="37" t="n"/>
      <c r="D52" s="37" t="n"/>
      <c r="E52" s="37" t="n"/>
      <c r="F52" s="37" t="n"/>
      <c r="G52" s="37" t="n"/>
      <c r="H52" s="37" t="n"/>
      <c r="I52" s="37" t="n"/>
      <c r="J52" s="37" t="n"/>
    </row>
    <row r="53" ht="15.75" customHeight="1" s="56">
      <c r="A53" s="37">
        <f>IF(B53="","",THIET_LAP!$B$4&amp;"-LD-"&amp;TEXT(COUNT($B$4:B53),"0000"))</f>
        <v/>
      </c>
      <c r="B53" s="27" t="n"/>
      <c r="C53" s="37" t="n"/>
      <c r="D53" s="37" t="n"/>
      <c r="E53" s="37" t="n"/>
      <c r="F53" s="37" t="n"/>
      <c r="G53" s="37" t="n"/>
      <c r="H53" s="37" t="n"/>
      <c r="I53" s="37" t="n"/>
      <c r="J53" s="37" t="n"/>
    </row>
    <row r="54" ht="15.75" customHeight="1" s="56">
      <c r="A54" s="37">
        <f>IF(B54="","",THIET_LAP!$B$4&amp;"-LD-"&amp;TEXT(COUNT($B$4:B54),"0000"))</f>
        <v/>
      </c>
      <c r="B54" s="27" t="n"/>
      <c r="C54" s="37" t="n"/>
      <c r="D54" s="37" t="n"/>
      <c r="E54" s="37" t="n"/>
      <c r="F54" s="37" t="n"/>
      <c r="G54" s="37" t="n"/>
      <c r="H54" s="37" t="n"/>
      <c r="I54" s="37" t="n"/>
      <c r="J54" s="37" t="n"/>
    </row>
    <row r="55" ht="15.75" customHeight="1" s="56">
      <c r="A55" s="37">
        <f>IF(B55="","",THIET_LAP!$B$4&amp;"-LD-"&amp;TEXT(COUNT($B$4:B55),"0000"))</f>
        <v/>
      </c>
      <c r="B55" s="27" t="n"/>
      <c r="C55" s="37" t="n"/>
      <c r="D55" s="37" t="n"/>
      <c r="E55" s="37" t="n"/>
      <c r="F55" s="37" t="n"/>
      <c r="G55" s="37" t="n"/>
      <c r="H55" s="37" t="n"/>
      <c r="I55" s="37" t="n"/>
      <c r="J55" s="37" t="n"/>
    </row>
    <row r="56" ht="15.75" customHeight="1" s="56">
      <c r="A56" s="37">
        <f>IF(B56="","",THIET_LAP!$B$4&amp;"-LD-"&amp;TEXT(COUNT($B$4:B56),"0000"))</f>
        <v/>
      </c>
      <c r="B56" s="27" t="n"/>
      <c r="C56" s="37" t="n"/>
      <c r="D56" s="37" t="n"/>
      <c r="E56" s="37" t="n"/>
      <c r="F56" s="37" t="n"/>
      <c r="G56" s="37" t="n"/>
      <c r="H56" s="37" t="n"/>
      <c r="I56" s="37" t="n"/>
      <c r="J56" s="37" t="n"/>
    </row>
    <row r="57" ht="15.75" customHeight="1" s="56">
      <c r="A57" s="37">
        <f>IF(B57="","",THIET_LAP!$B$4&amp;"-LD-"&amp;TEXT(COUNT($B$4:B57),"0000"))</f>
        <v/>
      </c>
      <c r="B57" s="27" t="n"/>
      <c r="C57" s="37" t="n"/>
      <c r="D57" s="37" t="n"/>
      <c r="E57" s="37" t="n"/>
      <c r="F57" s="37" t="n"/>
      <c r="G57" s="37" t="n"/>
      <c r="H57" s="37" t="n"/>
      <c r="I57" s="37" t="n"/>
      <c r="J57" s="37" t="n"/>
    </row>
    <row r="58" ht="15.75" customHeight="1" s="56">
      <c r="A58" s="37">
        <f>IF(B58="","",THIET_LAP!$B$4&amp;"-LD-"&amp;TEXT(COUNT($B$4:B58),"0000"))</f>
        <v/>
      </c>
      <c r="B58" s="27" t="n"/>
      <c r="C58" s="37" t="n"/>
      <c r="D58" s="37" t="n"/>
      <c r="E58" s="37" t="n"/>
      <c r="F58" s="37" t="n"/>
      <c r="G58" s="37" t="n"/>
      <c r="H58" s="37" t="n"/>
      <c r="I58" s="37" t="n"/>
      <c r="J58" s="37" t="n"/>
    </row>
    <row r="59" ht="15.75" customHeight="1" s="56">
      <c r="A59" s="37">
        <f>IF(B59="","",THIET_LAP!$B$4&amp;"-LD-"&amp;TEXT(COUNT($B$4:B59),"0000"))</f>
        <v/>
      </c>
      <c r="B59" s="27" t="n"/>
      <c r="C59" s="37" t="n"/>
      <c r="D59" s="37" t="n"/>
      <c r="E59" s="37" t="n"/>
      <c r="F59" s="37" t="n"/>
      <c r="G59" s="37" t="n"/>
      <c r="H59" s="37" t="n"/>
      <c r="I59" s="37" t="n"/>
      <c r="J59" s="37" t="n"/>
    </row>
    <row r="60" ht="15.75" customHeight="1" s="56">
      <c r="A60" s="37">
        <f>IF(B60="","",THIET_LAP!$B$4&amp;"-LD-"&amp;TEXT(COUNT($B$4:B60),"0000"))</f>
        <v/>
      </c>
      <c r="B60" s="27" t="n"/>
      <c r="C60" s="37" t="n"/>
      <c r="D60" s="37" t="n"/>
      <c r="E60" s="37" t="n"/>
      <c r="F60" s="37" t="n"/>
      <c r="G60" s="37" t="n"/>
      <c r="H60" s="37" t="n"/>
      <c r="I60" s="37" t="n"/>
      <c r="J60" s="37" t="n"/>
    </row>
    <row r="61" ht="15.75" customHeight="1" s="56">
      <c r="A61" s="37">
        <f>IF(B61="","",THIET_LAP!$B$4&amp;"-LD-"&amp;TEXT(COUNT($B$4:B61),"0000"))</f>
        <v/>
      </c>
      <c r="B61" s="27" t="n"/>
      <c r="C61" s="37" t="n"/>
      <c r="D61" s="37" t="n"/>
      <c r="E61" s="37" t="n"/>
      <c r="F61" s="37" t="n"/>
      <c r="G61" s="37" t="n"/>
      <c r="H61" s="37" t="n"/>
      <c r="I61" s="37" t="n"/>
      <c r="J61" s="37" t="n"/>
    </row>
    <row r="62" ht="15.75" customHeight="1" s="56">
      <c r="A62" s="37">
        <f>IF(B62="","",THIET_LAP!$B$4&amp;"-LD-"&amp;TEXT(COUNT($B$4:B62),"0000"))</f>
        <v/>
      </c>
      <c r="B62" s="27" t="n"/>
      <c r="C62" s="37" t="n"/>
      <c r="D62" s="37" t="n"/>
      <c r="E62" s="37" t="n"/>
      <c r="F62" s="37" t="n"/>
      <c r="G62" s="37" t="n"/>
      <c r="H62" s="37" t="n"/>
      <c r="I62" s="37" t="n"/>
      <c r="J62" s="37" t="n"/>
    </row>
    <row r="63" ht="15.75" customHeight="1" s="56">
      <c r="A63" s="37">
        <f>IF(B63="","",THIET_LAP!$B$4&amp;"-LD-"&amp;TEXT(COUNT($B$4:B63),"0000"))</f>
        <v/>
      </c>
      <c r="B63" s="27" t="n"/>
      <c r="C63" s="37" t="n"/>
      <c r="D63" s="37" t="n"/>
      <c r="E63" s="37" t="n"/>
      <c r="F63" s="37" t="n"/>
      <c r="G63" s="37" t="n"/>
      <c r="H63" s="37" t="n"/>
      <c r="I63" s="37" t="n"/>
      <c r="J63" s="37" t="n"/>
    </row>
    <row r="64" ht="15.75" customHeight="1" s="56">
      <c r="A64" s="37">
        <f>IF(B64="","",THIET_LAP!$B$4&amp;"-LD-"&amp;TEXT(COUNT($B$4:B64),"0000"))</f>
        <v/>
      </c>
      <c r="B64" s="27" t="n"/>
      <c r="C64" s="37" t="n"/>
      <c r="D64" s="37" t="n"/>
      <c r="E64" s="37" t="n"/>
      <c r="F64" s="37" t="n"/>
      <c r="G64" s="37" t="n"/>
      <c r="H64" s="37" t="n"/>
      <c r="I64" s="37" t="n"/>
      <c r="J64" s="37" t="n"/>
    </row>
    <row r="65" ht="15.75" customHeight="1" s="56">
      <c r="A65" s="37">
        <f>IF(B65="","",THIET_LAP!$B$4&amp;"-LD-"&amp;TEXT(COUNT($B$4:B65),"0000"))</f>
        <v/>
      </c>
      <c r="B65" s="27" t="n"/>
      <c r="C65" s="37" t="n"/>
      <c r="D65" s="37" t="n"/>
      <c r="E65" s="37" t="n"/>
      <c r="F65" s="37" t="n"/>
      <c r="G65" s="37" t="n"/>
      <c r="H65" s="37" t="n"/>
      <c r="I65" s="37" t="n"/>
      <c r="J65" s="37" t="n"/>
    </row>
    <row r="66" ht="15.75" customHeight="1" s="56">
      <c r="A66" s="37">
        <f>IF(B66="","",THIET_LAP!$B$4&amp;"-LD-"&amp;TEXT(COUNT($B$4:B66),"0000"))</f>
        <v/>
      </c>
      <c r="B66" s="27" t="n"/>
      <c r="C66" s="37" t="n"/>
      <c r="D66" s="37" t="n"/>
      <c r="E66" s="37" t="n"/>
      <c r="F66" s="37" t="n"/>
      <c r="G66" s="37" t="n"/>
      <c r="H66" s="37" t="n"/>
      <c r="I66" s="37" t="n"/>
      <c r="J66" s="37" t="n"/>
    </row>
    <row r="67" ht="15.75" customHeight="1" s="56">
      <c r="A67" s="37">
        <f>IF(B67="","",THIET_LAP!$B$4&amp;"-LD-"&amp;TEXT(COUNT($B$4:B67),"0000"))</f>
        <v/>
      </c>
      <c r="B67" s="27" t="n"/>
      <c r="C67" s="37" t="n"/>
      <c r="D67" s="37" t="n"/>
      <c r="E67" s="37" t="n"/>
      <c r="F67" s="37" t="n"/>
      <c r="G67" s="37" t="n"/>
      <c r="H67" s="37" t="n"/>
      <c r="I67" s="37" t="n"/>
      <c r="J67" s="37" t="n"/>
    </row>
    <row r="68" ht="15.75" customHeight="1" s="56">
      <c r="A68" s="37">
        <f>IF(B68="","",THIET_LAP!$B$4&amp;"-LD-"&amp;TEXT(COUNT($B$4:B68),"0000"))</f>
        <v/>
      </c>
      <c r="B68" s="27" t="n"/>
      <c r="C68" s="37" t="n"/>
      <c r="D68" s="37" t="n"/>
      <c r="E68" s="37" t="n"/>
      <c r="F68" s="37" t="n"/>
      <c r="G68" s="37" t="n"/>
      <c r="H68" s="37" t="n"/>
      <c r="I68" s="37" t="n"/>
      <c r="J68" s="37" t="n"/>
    </row>
    <row r="69" ht="15.75" customHeight="1" s="56">
      <c r="A69" s="37">
        <f>IF(B69="","",THIET_LAP!$B$4&amp;"-LD-"&amp;TEXT(COUNT($B$4:B69),"0000"))</f>
        <v/>
      </c>
      <c r="B69" s="27" t="n"/>
      <c r="C69" s="37" t="n"/>
      <c r="D69" s="37" t="n"/>
      <c r="E69" s="37" t="n"/>
      <c r="F69" s="37" t="n"/>
      <c r="G69" s="37" t="n"/>
      <c r="H69" s="37" t="n"/>
      <c r="I69" s="37" t="n"/>
      <c r="J69" s="37" t="n"/>
    </row>
    <row r="70" ht="15.75" customHeight="1" s="56">
      <c r="A70" s="37">
        <f>IF(B70="","",THIET_LAP!$B$4&amp;"-LD-"&amp;TEXT(COUNT($B$4:B70),"0000"))</f>
        <v/>
      </c>
      <c r="B70" s="27" t="n"/>
      <c r="C70" s="37" t="n"/>
      <c r="D70" s="37" t="n"/>
      <c r="E70" s="37" t="n"/>
      <c r="F70" s="37" t="n"/>
      <c r="G70" s="37" t="n"/>
      <c r="H70" s="37" t="n"/>
      <c r="I70" s="37" t="n"/>
      <c r="J70" s="37" t="n"/>
    </row>
    <row r="71" ht="15.75" customHeight="1" s="56">
      <c r="A71" s="37">
        <f>IF(B71="","",THIET_LAP!$B$4&amp;"-LD-"&amp;TEXT(COUNT($B$4:B71),"0000"))</f>
        <v/>
      </c>
      <c r="B71" s="27" t="n"/>
      <c r="C71" s="37" t="n"/>
      <c r="D71" s="37" t="n"/>
      <c r="E71" s="37" t="n"/>
      <c r="F71" s="37" t="n"/>
      <c r="G71" s="37" t="n"/>
      <c r="H71" s="37" t="n"/>
      <c r="I71" s="37" t="n"/>
      <c r="J71" s="37" t="n"/>
    </row>
    <row r="72" ht="15.75" customHeight="1" s="56">
      <c r="A72" s="37">
        <f>IF(B72="","",THIET_LAP!$B$4&amp;"-LD-"&amp;TEXT(COUNT($B$4:B72),"0000"))</f>
        <v/>
      </c>
      <c r="B72" s="27" t="n"/>
      <c r="C72" s="37" t="n"/>
      <c r="D72" s="37" t="n"/>
      <c r="E72" s="37" t="n"/>
      <c r="F72" s="37" t="n"/>
      <c r="G72" s="37" t="n"/>
      <c r="H72" s="37" t="n"/>
      <c r="I72" s="37" t="n"/>
      <c r="J72" s="37" t="n"/>
    </row>
    <row r="73" ht="15.75" customHeight="1" s="56">
      <c r="A73" s="37">
        <f>IF(B73="","",THIET_LAP!$B$4&amp;"-LD-"&amp;TEXT(COUNT($B$4:B73),"0000"))</f>
        <v/>
      </c>
      <c r="B73" s="27" t="n"/>
      <c r="C73" s="37" t="n"/>
      <c r="D73" s="37" t="n"/>
      <c r="E73" s="37" t="n"/>
      <c r="F73" s="37" t="n"/>
      <c r="G73" s="37" t="n"/>
      <c r="H73" s="37" t="n"/>
      <c r="I73" s="37" t="n"/>
      <c r="J73" s="37" t="n"/>
    </row>
    <row r="74" ht="15.75" customHeight="1" s="56">
      <c r="A74" s="37">
        <f>IF(B74="","",THIET_LAP!$B$4&amp;"-LD-"&amp;TEXT(COUNT($B$4:B74),"0000"))</f>
        <v/>
      </c>
      <c r="B74" s="27" t="n"/>
      <c r="C74" s="37" t="n"/>
      <c r="D74" s="37" t="n"/>
      <c r="E74" s="37" t="n"/>
      <c r="F74" s="37" t="n"/>
      <c r="G74" s="37" t="n"/>
      <c r="H74" s="37" t="n"/>
      <c r="I74" s="37" t="n"/>
      <c r="J74" s="37" t="n"/>
    </row>
    <row r="75" ht="15.75" customHeight="1" s="56">
      <c r="A75" s="37">
        <f>IF(B75="","",THIET_LAP!$B$4&amp;"-LD-"&amp;TEXT(COUNT($B$4:B75),"0000"))</f>
        <v/>
      </c>
      <c r="B75" s="27" t="n"/>
      <c r="C75" s="37" t="n"/>
      <c r="D75" s="37" t="n"/>
      <c r="E75" s="37" t="n"/>
      <c r="F75" s="37" t="n"/>
      <c r="G75" s="37" t="n"/>
      <c r="H75" s="37" t="n"/>
      <c r="I75" s="37" t="n"/>
      <c r="J75" s="37" t="n"/>
    </row>
    <row r="76" ht="15.75" customHeight="1" s="56">
      <c r="A76" s="37">
        <f>IF(B76="","",THIET_LAP!$B$4&amp;"-LD-"&amp;TEXT(COUNT($B$4:B76),"0000"))</f>
        <v/>
      </c>
      <c r="B76" s="27" t="n"/>
      <c r="C76" s="37" t="n"/>
      <c r="D76" s="37" t="n"/>
      <c r="E76" s="37" t="n"/>
      <c r="F76" s="37" t="n"/>
      <c r="G76" s="37" t="n"/>
      <c r="H76" s="37" t="n"/>
      <c r="I76" s="37" t="n"/>
      <c r="J76" s="37" t="n"/>
    </row>
    <row r="77" ht="15.75" customHeight="1" s="56">
      <c r="A77" s="37">
        <f>IF(B77="","",THIET_LAP!$B$4&amp;"-LD-"&amp;TEXT(COUNT($B$4:B77),"0000"))</f>
        <v/>
      </c>
      <c r="B77" s="27" t="n"/>
      <c r="C77" s="37" t="n"/>
      <c r="D77" s="37" t="n"/>
      <c r="E77" s="37" t="n"/>
      <c r="F77" s="37" t="n"/>
      <c r="G77" s="37" t="n"/>
      <c r="H77" s="37" t="n"/>
      <c r="I77" s="37" t="n"/>
      <c r="J77" s="37" t="n"/>
    </row>
    <row r="78" ht="15.75" customHeight="1" s="56">
      <c r="A78" s="37">
        <f>IF(B78="","",THIET_LAP!$B$4&amp;"-LD-"&amp;TEXT(COUNT($B$4:B78),"0000"))</f>
        <v/>
      </c>
      <c r="B78" s="27" t="n"/>
      <c r="C78" s="37" t="n"/>
      <c r="D78" s="37" t="n"/>
      <c r="E78" s="37" t="n"/>
      <c r="F78" s="37" t="n"/>
      <c r="G78" s="37" t="n"/>
      <c r="H78" s="37" t="n"/>
      <c r="I78" s="37" t="n"/>
      <c r="J78" s="37" t="n"/>
    </row>
    <row r="79" ht="15.75" customHeight="1" s="56">
      <c r="A79" s="37">
        <f>IF(B79="","",THIET_LAP!$B$4&amp;"-LD-"&amp;TEXT(COUNT($B$4:B79),"0000"))</f>
        <v/>
      </c>
      <c r="B79" s="27" t="n"/>
      <c r="C79" s="37" t="n"/>
      <c r="D79" s="37" t="n"/>
      <c r="E79" s="37" t="n"/>
      <c r="F79" s="37" t="n"/>
      <c r="G79" s="37" t="n"/>
      <c r="H79" s="37" t="n"/>
      <c r="I79" s="37" t="n"/>
      <c r="J79" s="37" t="n"/>
    </row>
    <row r="80" ht="15.75" customHeight="1" s="56">
      <c r="A80" s="37">
        <f>IF(B80="","",THIET_LAP!$B$4&amp;"-LD-"&amp;TEXT(COUNT($B$4:B80),"0000"))</f>
        <v/>
      </c>
      <c r="B80" s="27" t="n"/>
      <c r="C80" s="37" t="n"/>
      <c r="D80" s="37" t="n"/>
      <c r="E80" s="37" t="n"/>
      <c r="F80" s="37" t="n"/>
      <c r="G80" s="37" t="n"/>
      <c r="H80" s="37" t="n"/>
      <c r="I80" s="37" t="n"/>
      <c r="J80" s="37" t="n"/>
    </row>
    <row r="81" ht="15.75" customHeight="1" s="56">
      <c r="A81" s="37">
        <f>IF(B81="","",THIET_LAP!$B$4&amp;"-LD-"&amp;TEXT(COUNT($B$4:B81),"0000"))</f>
        <v/>
      </c>
      <c r="B81" s="27" t="n"/>
      <c r="C81" s="37" t="n"/>
      <c r="D81" s="37" t="n"/>
      <c r="E81" s="37" t="n"/>
      <c r="F81" s="37" t="n"/>
      <c r="G81" s="37" t="n"/>
      <c r="H81" s="37" t="n"/>
      <c r="I81" s="37" t="n"/>
      <c r="J81" s="37" t="n"/>
    </row>
    <row r="82" ht="15.75" customHeight="1" s="56">
      <c r="A82" s="37">
        <f>IF(B82="","",THIET_LAP!$B$4&amp;"-LD-"&amp;TEXT(COUNT($B$4:B82),"0000"))</f>
        <v/>
      </c>
      <c r="B82" s="27" t="n"/>
      <c r="C82" s="37" t="n"/>
      <c r="D82" s="37" t="n"/>
      <c r="E82" s="37" t="n"/>
      <c r="F82" s="37" t="n"/>
      <c r="G82" s="37" t="n"/>
      <c r="H82" s="37" t="n"/>
      <c r="I82" s="37" t="n"/>
      <c r="J82" s="37" t="n"/>
    </row>
    <row r="83" ht="15.75" customHeight="1" s="56">
      <c r="A83" s="37">
        <f>IF(B83="","",THIET_LAP!$B$4&amp;"-LD-"&amp;TEXT(COUNT($B$4:B83),"0000"))</f>
        <v/>
      </c>
      <c r="B83" s="27" t="n"/>
      <c r="C83" s="37" t="n"/>
      <c r="D83" s="37" t="n"/>
      <c r="E83" s="37" t="n"/>
      <c r="F83" s="37" t="n"/>
      <c r="G83" s="37" t="n"/>
      <c r="H83" s="37" t="n"/>
      <c r="I83" s="37" t="n"/>
      <c r="J83" s="37" t="n"/>
    </row>
    <row r="84" ht="15.75" customHeight="1" s="56">
      <c r="A84" s="37">
        <f>IF(B84="","",THIET_LAP!$B$4&amp;"-LD-"&amp;TEXT(COUNT($B$4:B84),"0000"))</f>
        <v/>
      </c>
      <c r="B84" s="27" t="n"/>
      <c r="C84" s="37" t="n"/>
      <c r="D84" s="37" t="n"/>
      <c r="E84" s="37" t="n"/>
      <c r="F84" s="37" t="n"/>
      <c r="G84" s="37" t="n"/>
      <c r="H84" s="37" t="n"/>
      <c r="I84" s="37" t="n"/>
      <c r="J84" s="37" t="n"/>
    </row>
    <row r="85" ht="15.75" customHeight="1" s="56">
      <c r="A85" s="37">
        <f>IF(B85="","",THIET_LAP!$B$4&amp;"-LD-"&amp;TEXT(COUNT($B$4:B85),"0000"))</f>
        <v/>
      </c>
      <c r="B85" s="27" t="n"/>
      <c r="C85" s="37" t="n"/>
      <c r="D85" s="37" t="n"/>
      <c r="E85" s="37" t="n"/>
      <c r="F85" s="37" t="n"/>
      <c r="G85" s="37" t="n"/>
      <c r="H85" s="37" t="n"/>
      <c r="I85" s="37" t="n"/>
      <c r="J85" s="37" t="n"/>
    </row>
    <row r="86" ht="15.75" customHeight="1" s="56">
      <c r="A86" s="37">
        <f>IF(B86="","",THIET_LAP!$B$4&amp;"-LD-"&amp;TEXT(COUNT($B$4:B86),"0000"))</f>
        <v/>
      </c>
      <c r="B86" s="27" t="n"/>
      <c r="C86" s="37" t="n"/>
      <c r="D86" s="37" t="n"/>
      <c r="E86" s="37" t="n"/>
      <c r="F86" s="37" t="n"/>
      <c r="G86" s="37" t="n"/>
      <c r="H86" s="37" t="n"/>
      <c r="I86" s="37" t="n"/>
      <c r="J86" s="37" t="n"/>
    </row>
    <row r="87" ht="15.75" customHeight="1" s="56">
      <c r="A87" s="37">
        <f>IF(B87="","",THIET_LAP!$B$4&amp;"-LD-"&amp;TEXT(COUNT($B$4:B87),"0000"))</f>
        <v/>
      </c>
      <c r="B87" s="27" t="n"/>
      <c r="C87" s="37" t="n"/>
      <c r="D87" s="37" t="n"/>
      <c r="E87" s="37" t="n"/>
      <c r="F87" s="37" t="n"/>
      <c r="G87" s="37" t="n"/>
      <c r="H87" s="37" t="n"/>
      <c r="I87" s="37" t="n"/>
      <c r="J87" s="37" t="n"/>
    </row>
    <row r="88" ht="15.75" customHeight="1" s="56">
      <c r="A88" s="37">
        <f>IF(B88="","",THIET_LAP!$B$4&amp;"-LD-"&amp;TEXT(COUNT($B$4:B88),"0000"))</f>
        <v/>
      </c>
      <c r="B88" s="27" t="n"/>
      <c r="C88" s="37" t="n"/>
      <c r="D88" s="37" t="n"/>
      <c r="E88" s="37" t="n"/>
      <c r="F88" s="37" t="n"/>
      <c r="G88" s="37" t="n"/>
      <c r="H88" s="37" t="n"/>
      <c r="I88" s="37" t="n"/>
      <c r="J88" s="37" t="n"/>
    </row>
    <row r="89" ht="15.75" customHeight="1" s="56">
      <c r="A89" s="37">
        <f>IF(B89="","",THIET_LAP!$B$4&amp;"-LD-"&amp;TEXT(COUNT($B$4:B89),"0000"))</f>
        <v/>
      </c>
      <c r="B89" s="27" t="n"/>
      <c r="C89" s="37" t="n"/>
      <c r="D89" s="37" t="n"/>
      <c r="E89" s="37" t="n"/>
      <c r="F89" s="37" t="n"/>
      <c r="G89" s="37" t="n"/>
      <c r="H89" s="37" t="n"/>
      <c r="I89" s="37" t="n"/>
      <c r="J89" s="37" t="n"/>
    </row>
    <row r="90" ht="15.75" customHeight="1" s="56">
      <c r="A90" s="37">
        <f>IF(B90="","",THIET_LAP!$B$4&amp;"-LD-"&amp;TEXT(COUNT($B$4:B90),"0000"))</f>
        <v/>
      </c>
      <c r="B90" s="27" t="n"/>
      <c r="C90" s="37" t="n"/>
      <c r="D90" s="37" t="n"/>
      <c r="E90" s="37" t="n"/>
      <c r="F90" s="37" t="n"/>
      <c r="G90" s="37" t="n"/>
      <c r="H90" s="37" t="n"/>
      <c r="I90" s="37" t="n"/>
      <c r="J90" s="37" t="n"/>
    </row>
    <row r="91" ht="15.75" customHeight="1" s="56">
      <c r="A91" s="37">
        <f>IF(B91="","",THIET_LAP!$B$4&amp;"-LD-"&amp;TEXT(COUNT($B$4:B91),"0000"))</f>
        <v/>
      </c>
      <c r="B91" s="27" t="n"/>
      <c r="C91" s="37" t="n"/>
      <c r="D91" s="37" t="n"/>
      <c r="E91" s="37" t="n"/>
      <c r="F91" s="37" t="n"/>
      <c r="G91" s="37" t="n"/>
      <c r="H91" s="37" t="n"/>
      <c r="I91" s="37" t="n"/>
      <c r="J91" s="37" t="n"/>
    </row>
    <row r="92" ht="15.75" customHeight="1" s="56">
      <c r="A92" s="37">
        <f>IF(B92="","",THIET_LAP!$B$4&amp;"-LD-"&amp;TEXT(COUNT($B$4:B92),"0000"))</f>
        <v/>
      </c>
      <c r="B92" s="27" t="n"/>
      <c r="C92" s="37" t="n"/>
      <c r="D92" s="37" t="n"/>
      <c r="E92" s="37" t="n"/>
      <c r="F92" s="37" t="n"/>
      <c r="G92" s="37" t="n"/>
      <c r="H92" s="37" t="n"/>
      <c r="I92" s="37" t="n"/>
      <c r="J92" s="37" t="n"/>
    </row>
    <row r="93" ht="15.75" customHeight="1" s="56">
      <c r="A93" s="37">
        <f>IF(B93="","",THIET_LAP!$B$4&amp;"-LD-"&amp;TEXT(COUNT($B$4:B93),"0000"))</f>
        <v/>
      </c>
      <c r="B93" s="27" t="n"/>
      <c r="C93" s="37" t="n"/>
      <c r="D93" s="37" t="n"/>
      <c r="E93" s="37" t="n"/>
      <c r="F93" s="37" t="n"/>
      <c r="G93" s="37" t="n"/>
      <c r="H93" s="37" t="n"/>
      <c r="I93" s="37" t="n"/>
      <c r="J93" s="37" t="n"/>
    </row>
    <row r="94" ht="15.75" customHeight="1" s="56">
      <c r="A94" s="37">
        <f>IF(B94="","",THIET_LAP!$B$4&amp;"-LD-"&amp;TEXT(COUNT($B$4:B94),"0000"))</f>
        <v/>
      </c>
      <c r="B94" s="27" t="n"/>
      <c r="C94" s="37" t="n"/>
      <c r="D94" s="37" t="n"/>
      <c r="E94" s="37" t="n"/>
      <c r="F94" s="37" t="n"/>
      <c r="G94" s="37" t="n"/>
      <c r="H94" s="37" t="n"/>
      <c r="I94" s="37" t="n"/>
      <c r="J94" s="37" t="n"/>
    </row>
    <row r="95" ht="15.75" customHeight="1" s="56">
      <c r="A95" s="37">
        <f>IF(B95="","",THIET_LAP!$B$4&amp;"-LD-"&amp;TEXT(COUNT($B$4:B95),"0000"))</f>
        <v/>
      </c>
      <c r="B95" s="27" t="n"/>
      <c r="C95" s="37" t="n"/>
      <c r="D95" s="37" t="n"/>
      <c r="E95" s="37" t="n"/>
      <c r="F95" s="37" t="n"/>
      <c r="G95" s="37" t="n"/>
      <c r="H95" s="37" t="n"/>
      <c r="I95" s="37" t="n"/>
      <c r="J95" s="37" t="n"/>
    </row>
    <row r="96" ht="15.75" customHeight="1" s="56">
      <c r="A96" s="37">
        <f>IF(B96="","",THIET_LAP!$B$4&amp;"-LD-"&amp;TEXT(COUNT($B$4:B96),"0000"))</f>
        <v/>
      </c>
      <c r="B96" s="27" t="n"/>
      <c r="C96" s="37" t="n"/>
      <c r="D96" s="37" t="n"/>
      <c r="E96" s="37" t="n"/>
      <c r="F96" s="37" t="n"/>
      <c r="G96" s="37" t="n"/>
      <c r="H96" s="37" t="n"/>
      <c r="I96" s="37" t="n"/>
      <c r="J96" s="37" t="n"/>
    </row>
    <row r="97" ht="15.75" customHeight="1" s="56">
      <c r="A97" s="37">
        <f>IF(B97="","",THIET_LAP!$B$4&amp;"-LD-"&amp;TEXT(COUNT($B$4:B97),"0000"))</f>
        <v/>
      </c>
      <c r="B97" s="27" t="n"/>
      <c r="C97" s="37" t="n"/>
      <c r="D97" s="37" t="n"/>
      <c r="E97" s="37" t="n"/>
      <c r="F97" s="37" t="n"/>
      <c r="G97" s="37" t="n"/>
      <c r="H97" s="37" t="n"/>
      <c r="I97" s="37" t="n"/>
      <c r="J97" s="37" t="n"/>
    </row>
    <row r="98" ht="15.75" customHeight="1" s="56">
      <c r="A98" s="37">
        <f>IF(B98="","",THIET_LAP!$B$4&amp;"-LD-"&amp;TEXT(COUNT($B$4:B98),"0000"))</f>
        <v/>
      </c>
      <c r="B98" s="27" t="n"/>
      <c r="C98" s="37" t="n"/>
      <c r="D98" s="37" t="n"/>
      <c r="E98" s="37" t="n"/>
      <c r="F98" s="37" t="n"/>
      <c r="G98" s="37" t="n"/>
      <c r="H98" s="37" t="n"/>
      <c r="I98" s="37" t="n"/>
      <c r="J98" s="37" t="n"/>
    </row>
    <row r="99" ht="15.75" customHeight="1" s="56">
      <c r="A99" s="37">
        <f>IF(B99="","",THIET_LAP!$B$4&amp;"-LD-"&amp;TEXT(COUNT($B$4:B99),"0000"))</f>
        <v/>
      </c>
      <c r="B99" s="27" t="n"/>
      <c r="C99" s="37" t="n"/>
      <c r="D99" s="37" t="n"/>
      <c r="E99" s="37" t="n"/>
      <c r="F99" s="37" t="n"/>
      <c r="G99" s="37" t="n"/>
      <c r="H99" s="37" t="n"/>
      <c r="I99" s="37" t="n"/>
      <c r="J99" s="37" t="n"/>
    </row>
    <row r="100" ht="15.75" customHeight="1" s="56">
      <c r="A100" s="37">
        <f>IF(B100="","",THIET_LAP!$B$4&amp;"-LD-"&amp;TEXT(COUNT($B$4:B100),"0000"))</f>
        <v/>
      </c>
      <c r="B100" s="27" t="n"/>
      <c r="C100" s="37" t="n"/>
      <c r="D100" s="37" t="n"/>
      <c r="E100" s="37" t="n"/>
      <c r="F100" s="37" t="n"/>
      <c r="G100" s="37" t="n"/>
      <c r="H100" s="37" t="n"/>
      <c r="I100" s="37" t="n"/>
      <c r="J100" s="37" t="n"/>
    </row>
    <row r="101" ht="15.75" customHeight="1" s="56">
      <c r="A101" s="37">
        <f>IF(B101="","",THIET_LAP!$B$4&amp;"-LD-"&amp;TEXT(COUNT($B$4:B101),"0000"))</f>
        <v/>
      </c>
      <c r="B101" s="27" t="n"/>
      <c r="C101" s="37" t="n"/>
      <c r="D101" s="37" t="n"/>
      <c r="E101" s="37" t="n"/>
      <c r="F101" s="37" t="n"/>
      <c r="G101" s="37" t="n"/>
      <c r="H101" s="37" t="n"/>
      <c r="I101" s="37" t="n"/>
      <c r="J101" s="37" t="n"/>
    </row>
    <row r="102" ht="15.75" customHeight="1" s="56">
      <c r="A102" s="37">
        <f>IF(B102="","",THIET_LAP!$B$4&amp;"-LD-"&amp;TEXT(COUNT($B$4:B102),"0000"))</f>
        <v/>
      </c>
      <c r="B102" s="27" t="n"/>
      <c r="C102" s="37" t="n"/>
      <c r="D102" s="37" t="n"/>
      <c r="E102" s="37" t="n"/>
      <c r="F102" s="37" t="n"/>
      <c r="G102" s="37" t="n"/>
      <c r="H102" s="37" t="n"/>
      <c r="I102" s="37" t="n"/>
      <c r="J102" s="37" t="n"/>
    </row>
    <row r="103" ht="15.75" customHeight="1" s="56">
      <c r="A103" s="37">
        <f>IF(B103="","",THIET_LAP!$B$4&amp;"-LD-"&amp;TEXT(COUNT($B$4:B103),"0000"))</f>
        <v/>
      </c>
      <c r="B103" s="27" t="n"/>
      <c r="C103" s="37" t="n"/>
      <c r="D103" s="37" t="n"/>
      <c r="E103" s="37" t="n"/>
      <c r="F103" s="37" t="n"/>
      <c r="G103" s="37" t="n"/>
      <c r="H103" s="37" t="n"/>
      <c r="I103" s="37" t="n"/>
      <c r="J103" s="37" t="n"/>
    </row>
    <row r="104" ht="15.75" customHeight="1" s="56">
      <c r="A104" s="37">
        <f>IF(B104="","",THIET_LAP!$B$4&amp;"-LD-"&amp;TEXT(COUNT($B$4:B104),"0000"))</f>
        <v/>
      </c>
      <c r="B104" s="27" t="n"/>
      <c r="C104" s="37" t="n"/>
      <c r="D104" s="37" t="n"/>
      <c r="E104" s="37" t="n"/>
      <c r="F104" s="37" t="n"/>
      <c r="G104" s="37" t="n"/>
      <c r="H104" s="37" t="n"/>
      <c r="I104" s="37" t="n"/>
      <c r="J104" s="37" t="n"/>
    </row>
    <row r="105" ht="15.75" customHeight="1" s="56">
      <c r="A105" s="37">
        <f>IF(B105="","",THIET_LAP!$B$4&amp;"-LD-"&amp;TEXT(COUNT($B$4:B105),"0000"))</f>
        <v/>
      </c>
      <c r="B105" s="27" t="n"/>
      <c r="C105" s="37" t="n"/>
      <c r="D105" s="37" t="n"/>
      <c r="E105" s="37" t="n"/>
      <c r="F105" s="37" t="n"/>
      <c r="G105" s="37" t="n"/>
      <c r="H105" s="37" t="n"/>
      <c r="I105" s="37" t="n"/>
      <c r="J105" s="37" t="n"/>
    </row>
    <row r="106" ht="15.75" customHeight="1" s="56">
      <c r="A106" s="37">
        <f>IF(B106="","",THIET_LAP!$B$4&amp;"-LD-"&amp;TEXT(COUNT($B$4:B106),"0000"))</f>
        <v/>
      </c>
      <c r="B106" s="27" t="n"/>
      <c r="C106" s="37" t="n"/>
      <c r="D106" s="37" t="n"/>
      <c r="E106" s="37" t="n"/>
      <c r="F106" s="37" t="n"/>
      <c r="G106" s="37" t="n"/>
      <c r="H106" s="37" t="n"/>
      <c r="I106" s="37" t="n"/>
      <c r="J106" s="37" t="n"/>
    </row>
    <row r="107" ht="15.75" customHeight="1" s="56">
      <c r="A107" s="37">
        <f>IF(B107="","",THIET_LAP!$B$4&amp;"-LD-"&amp;TEXT(COUNT($B$4:B107),"0000"))</f>
        <v/>
      </c>
      <c r="B107" s="27" t="n"/>
      <c r="C107" s="37" t="n"/>
      <c r="D107" s="37" t="n"/>
      <c r="E107" s="37" t="n"/>
      <c r="F107" s="37" t="n"/>
      <c r="G107" s="37" t="n"/>
      <c r="H107" s="37" t="n"/>
      <c r="I107" s="37" t="n"/>
      <c r="J107" s="37" t="n"/>
    </row>
    <row r="108" ht="15.75" customHeight="1" s="56">
      <c r="A108" s="37">
        <f>IF(B108="","",THIET_LAP!$B$4&amp;"-LD-"&amp;TEXT(COUNT($B$4:B108),"0000"))</f>
        <v/>
      </c>
      <c r="B108" s="27" t="n"/>
      <c r="C108" s="37" t="n"/>
      <c r="D108" s="37" t="n"/>
      <c r="E108" s="37" t="n"/>
      <c r="F108" s="37" t="n"/>
      <c r="G108" s="37" t="n"/>
      <c r="H108" s="37" t="n"/>
      <c r="I108" s="37" t="n"/>
      <c r="J108" s="37" t="n"/>
    </row>
    <row r="109" ht="15.75" customHeight="1" s="56">
      <c r="A109" s="37">
        <f>IF(B109="","",THIET_LAP!$B$4&amp;"-LD-"&amp;TEXT(COUNT($B$4:B109),"0000"))</f>
        <v/>
      </c>
      <c r="B109" s="27" t="n"/>
      <c r="C109" s="37" t="n"/>
      <c r="D109" s="37" t="n"/>
      <c r="E109" s="37" t="n"/>
      <c r="F109" s="37" t="n"/>
      <c r="G109" s="37" t="n"/>
      <c r="H109" s="37" t="n"/>
      <c r="I109" s="37" t="n"/>
      <c r="J109" s="37" t="n"/>
    </row>
    <row r="110" ht="15.75" customHeight="1" s="56">
      <c r="A110" s="37">
        <f>IF(B110="","",THIET_LAP!$B$4&amp;"-LD-"&amp;TEXT(COUNT($B$4:B110),"0000"))</f>
        <v/>
      </c>
      <c r="B110" s="27" t="n"/>
      <c r="C110" s="37" t="n"/>
      <c r="D110" s="37" t="n"/>
      <c r="E110" s="37" t="n"/>
      <c r="F110" s="37" t="n"/>
      <c r="G110" s="37" t="n"/>
      <c r="H110" s="37" t="n"/>
      <c r="I110" s="37" t="n"/>
      <c r="J110" s="37" t="n"/>
    </row>
    <row r="111" ht="15.75" customHeight="1" s="56">
      <c r="A111" s="37">
        <f>IF(B111="","",THIET_LAP!$B$4&amp;"-LD-"&amp;TEXT(COUNT($B$4:B111),"0000"))</f>
        <v/>
      </c>
      <c r="B111" s="27" t="n"/>
      <c r="C111" s="37" t="n"/>
      <c r="D111" s="37" t="n"/>
      <c r="E111" s="37" t="n"/>
      <c r="F111" s="37" t="n"/>
      <c r="G111" s="37" t="n"/>
      <c r="H111" s="37" t="n"/>
      <c r="I111" s="37" t="n"/>
      <c r="J111" s="37" t="n"/>
    </row>
    <row r="112" ht="15.75" customHeight="1" s="56">
      <c r="A112" s="37">
        <f>IF(B112="","",THIET_LAP!$B$4&amp;"-LD-"&amp;TEXT(COUNT($B$4:B112),"0000"))</f>
        <v/>
      </c>
      <c r="B112" s="27" t="n"/>
      <c r="C112" s="37" t="n"/>
      <c r="D112" s="37" t="n"/>
      <c r="E112" s="37" t="n"/>
      <c r="F112" s="37" t="n"/>
      <c r="G112" s="37" t="n"/>
      <c r="H112" s="37" t="n"/>
      <c r="I112" s="37" t="n"/>
      <c r="J112" s="37" t="n"/>
    </row>
    <row r="113" ht="15.75" customHeight="1" s="56">
      <c r="A113" s="37">
        <f>IF(B113="","",THIET_LAP!$B$4&amp;"-LD-"&amp;TEXT(COUNT($B$4:B113),"0000"))</f>
        <v/>
      </c>
      <c r="B113" s="27" t="n"/>
      <c r="C113" s="37" t="n"/>
      <c r="D113" s="37" t="n"/>
      <c r="E113" s="37" t="n"/>
      <c r="F113" s="37" t="n"/>
      <c r="G113" s="37" t="n"/>
      <c r="H113" s="37" t="n"/>
      <c r="I113" s="37" t="n"/>
      <c r="J113" s="37" t="n"/>
    </row>
    <row r="114" ht="15.75" customHeight="1" s="56">
      <c r="A114" s="37">
        <f>IF(B114="","",THIET_LAP!$B$4&amp;"-LD-"&amp;TEXT(COUNT($B$4:B114),"0000"))</f>
        <v/>
      </c>
      <c r="B114" s="27" t="n"/>
      <c r="C114" s="37" t="n"/>
      <c r="D114" s="37" t="n"/>
      <c r="E114" s="37" t="n"/>
      <c r="F114" s="37" t="n"/>
      <c r="G114" s="37" t="n"/>
      <c r="H114" s="37" t="n"/>
      <c r="I114" s="37" t="n"/>
      <c r="J114" s="37" t="n"/>
    </row>
    <row r="115" ht="15.75" customHeight="1" s="56">
      <c r="A115" s="37">
        <f>IF(B115="","",THIET_LAP!$B$4&amp;"-LD-"&amp;TEXT(COUNT($B$4:B115),"0000"))</f>
        <v/>
      </c>
      <c r="B115" s="27" t="n"/>
      <c r="C115" s="37" t="n"/>
      <c r="D115" s="37" t="n"/>
      <c r="E115" s="37" t="n"/>
      <c r="F115" s="37" t="n"/>
      <c r="G115" s="37" t="n"/>
      <c r="H115" s="37" t="n"/>
      <c r="I115" s="37" t="n"/>
      <c r="J115" s="37" t="n"/>
    </row>
    <row r="116" ht="15.75" customHeight="1" s="56">
      <c r="A116" s="37">
        <f>IF(B116="","",THIET_LAP!$B$4&amp;"-LD-"&amp;TEXT(COUNT($B$4:B116),"0000"))</f>
        <v/>
      </c>
      <c r="B116" s="27" t="n"/>
      <c r="C116" s="37" t="n"/>
      <c r="D116" s="37" t="n"/>
      <c r="E116" s="37" t="n"/>
      <c r="F116" s="37" t="n"/>
      <c r="G116" s="37" t="n"/>
      <c r="H116" s="37" t="n"/>
      <c r="I116" s="37" t="n"/>
      <c r="J116" s="37" t="n"/>
    </row>
    <row r="117" ht="15.75" customHeight="1" s="56">
      <c r="A117" s="37">
        <f>IF(B117="","",THIET_LAP!$B$4&amp;"-LD-"&amp;TEXT(COUNT($B$4:B117),"0000"))</f>
        <v/>
      </c>
      <c r="B117" s="27" t="n"/>
      <c r="C117" s="37" t="n"/>
      <c r="D117" s="37" t="n"/>
      <c r="E117" s="37" t="n"/>
      <c r="F117" s="37" t="n"/>
      <c r="G117" s="37" t="n"/>
      <c r="H117" s="37" t="n"/>
      <c r="I117" s="37" t="n"/>
      <c r="J117" s="37" t="n"/>
    </row>
    <row r="118" ht="15.75" customHeight="1" s="56">
      <c r="A118" s="37">
        <f>IF(B118="","",THIET_LAP!$B$4&amp;"-LD-"&amp;TEXT(COUNT($B$4:B118),"0000"))</f>
        <v/>
      </c>
      <c r="B118" s="27" t="n"/>
      <c r="C118" s="37" t="n"/>
      <c r="D118" s="37" t="n"/>
      <c r="E118" s="37" t="n"/>
      <c r="F118" s="37" t="n"/>
      <c r="G118" s="37" t="n"/>
      <c r="H118" s="37" t="n"/>
      <c r="I118" s="37" t="n"/>
      <c r="J118" s="37" t="n"/>
    </row>
    <row r="119" ht="15.75" customHeight="1" s="56">
      <c r="A119" s="37">
        <f>IF(B119="","",THIET_LAP!$B$4&amp;"-LD-"&amp;TEXT(COUNT($B$4:B119),"0000"))</f>
        <v/>
      </c>
      <c r="B119" s="27" t="n"/>
      <c r="C119" s="37" t="n"/>
      <c r="D119" s="37" t="n"/>
      <c r="E119" s="37" t="n"/>
      <c r="F119" s="37" t="n"/>
      <c r="G119" s="37" t="n"/>
      <c r="H119" s="37" t="n"/>
      <c r="I119" s="37" t="n"/>
      <c r="J119" s="37" t="n"/>
    </row>
    <row r="120" ht="15.75" customHeight="1" s="56">
      <c r="A120" s="37">
        <f>IF(B120="","",THIET_LAP!$B$4&amp;"-LD-"&amp;TEXT(COUNT($B$4:B120),"0000"))</f>
        <v/>
      </c>
      <c r="B120" s="27" t="n"/>
      <c r="C120" s="37" t="n"/>
      <c r="D120" s="37" t="n"/>
      <c r="E120" s="37" t="n"/>
      <c r="F120" s="37" t="n"/>
      <c r="G120" s="37" t="n"/>
      <c r="H120" s="37" t="n"/>
      <c r="I120" s="37" t="n"/>
      <c r="J120" s="37" t="n"/>
    </row>
    <row r="121" ht="15.75" customHeight="1" s="56">
      <c r="A121" s="37">
        <f>IF(B121="","",THIET_LAP!$B$4&amp;"-LD-"&amp;TEXT(COUNT($B$4:B121),"0000"))</f>
        <v/>
      </c>
      <c r="B121" s="27" t="n"/>
      <c r="C121" s="37" t="n"/>
      <c r="D121" s="37" t="n"/>
      <c r="E121" s="37" t="n"/>
      <c r="F121" s="37" t="n"/>
      <c r="G121" s="37" t="n"/>
      <c r="H121" s="37" t="n"/>
      <c r="I121" s="37" t="n"/>
      <c r="J121" s="37" t="n"/>
    </row>
    <row r="122" ht="15.75" customHeight="1" s="56">
      <c r="A122" s="37">
        <f>IF(B122="","",THIET_LAP!$B$4&amp;"-LD-"&amp;TEXT(COUNT($B$4:B122),"0000"))</f>
        <v/>
      </c>
      <c r="B122" s="27" t="n"/>
      <c r="C122" s="37" t="n"/>
      <c r="D122" s="37" t="n"/>
      <c r="E122" s="37" t="n"/>
      <c r="F122" s="37" t="n"/>
      <c r="G122" s="37" t="n"/>
      <c r="H122" s="37" t="n"/>
      <c r="I122" s="37" t="n"/>
      <c r="J122" s="37" t="n"/>
    </row>
    <row r="123" ht="15.75" customHeight="1" s="56">
      <c r="A123" s="37">
        <f>IF(B123="","",THIET_LAP!$B$4&amp;"-LD-"&amp;TEXT(COUNT($B$4:B123),"0000"))</f>
        <v/>
      </c>
      <c r="B123" s="27" t="n"/>
      <c r="C123" s="37" t="n"/>
      <c r="D123" s="37" t="n"/>
      <c r="E123" s="37" t="n"/>
      <c r="F123" s="37" t="n"/>
      <c r="G123" s="37" t="n"/>
      <c r="H123" s="37" t="n"/>
      <c r="I123" s="37" t="n"/>
      <c r="J123" s="37" t="n"/>
    </row>
    <row r="124" ht="15.75" customHeight="1" s="56">
      <c r="A124" s="37">
        <f>IF(B124="","",THIET_LAP!$B$4&amp;"-LD-"&amp;TEXT(COUNT($B$4:B124),"0000"))</f>
        <v/>
      </c>
      <c r="B124" s="27" t="n"/>
      <c r="C124" s="37" t="n"/>
      <c r="D124" s="37" t="n"/>
      <c r="E124" s="37" t="n"/>
      <c r="F124" s="37" t="n"/>
      <c r="G124" s="37" t="n"/>
      <c r="H124" s="37" t="n"/>
      <c r="I124" s="37" t="n"/>
      <c r="J124" s="37" t="n"/>
    </row>
    <row r="125" ht="15.75" customHeight="1" s="56">
      <c r="A125" s="37">
        <f>IF(B125="","",THIET_LAP!$B$4&amp;"-LD-"&amp;TEXT(COUNT($B$4:B125),"0000"))</f>
        <v/>
      </c>
      <c r="B125" s="27" t="n"/>
      <c r="C125" s="37" t="n"/>
      <c r="D125" s="37" t="n"/>
      <c r="E125" s="37" t="n"/>
      <c r="F125" s="37" t="n"/>
      <c r="G125" s="37" t="n"/>
      <c r="H125" s="37" t="n"/>
      <c r="I125" s="37" t="n"/>
      <c r="J125" s="37" t="n"/>
    </row>
    <row r="126" ht="15.75" customHeight="1" s="56">
      <c r="A126" s="37">
        <f>IF(B126="","",THIET_LAP!$B$4&amp;"-LD-"&amp;TEXT(COUNT($B$4:B126),"0000"))</f>
        <v/>
      </c>
      <c r="B126" s="27" t="n"/>
      <c r="C126" s="37" t="n"/>
      <c r="D126" s="37" t="n"/>
      <c r="E126" s="37" t="n"/>
      <c r="F126" s="37" t="n"/>
      <c r="G126" s="37" t="n"/>
      <c r="H126" s="37" t="n"/>
      <c r="I126" s="37" t="n"/>
      <c r="J126" s="37" t="n"/>
    </row>
    <row r="127" ht="15.75" customHeight="1" s="56">
      <c r="A127" s="37">
        <f>IF(B127="","",THIET_LAP!$B$4&amp;"-LD-"&amp;TEXT(COUNT($B$4:B127),"0000"))</f>
        <v/>
      </c>
      <c r="B127" s="27" t="n"/>
      <c r="C127" s="37" t="n"/>
      <c r="D127" s="37" t="n"/>
      <c r="E127" s="37" t="n"/>
      <c r="F127" s="37" t="n"/>
      <c r="G127" s="37" t="n"/>
      <c r="H127" s="37" t="n"/>
      <c r="I127" s="37" t="n"/>
      <c r="J127" s="37" t="n"/>
    </row>
    <row r="128" ht="15.75" customHeight="1" s="56">
      <c r="A128" s="37">
        <f>IF(B128="","",THIET_LAP!$B$4&amp;"-LD-"&amp;TEXT(COUNT($B$4:B128),"0000"))</f>
        <v/>
      </c>
      <c r="B128" s="27" t="n"/>
      <c r="C128" s="37" t="n"/>
      <c r="D128" s="37" t="n"/>
      <c r="E128" s="37" t="n"/>
      <c r="F128" s="37" t="n"/>
      <c r="G128" s="37" t="n"/>
      <c r="H128" s="37" t="n"/>
      <c r="I128" s="37" t="n"/>
      <c r="J128" s="37" t="n"/>
    </row>
    <row r="129" ht="15.75" customHeight="1" s="56">
      <c r="A129" s="37">
        <f>IF(B129="","",THIET_LAP!$B$4&amp;"-LD-"&amp;TEXT(COUNT($B$4:B129),"0000"))</f>
        <v/>
      </c>
      <c r="B129" s="27" t="n"/>
      <c r="C129" s="37" t="n"/>
      <c r="D129" s="37" t="n"/>
      <c r="E129" s="37" t="n"/>
      <c r="F129" s="37" t="n"/>
      <c r="G129" s="37" t="n"/>
      <c r="H129" s="37" t="n"/>
      <c r="I129" s="37" t="n"/>
      <c r="J129" s="37" t="n"/>
    </row>
    <row r="130" ht="15.75" customHeight="1" s="56">
      <c r="A130" s="37">
        <f>IF(B130="","",THIET_LAP!$B$4&amp;"-LD-"&amp;TEXT(COUNT($B$4:B130),"0000"))</f>
        <v/>
      </c>
      <c r="B130" s="27" t="n"/>
      <c r="C130" s="37" t="n"/>
      <c r="D130" s="37" t="n"/>
      <c r="E130" s="37" t="n"/>
      <c r="F130" s="37" t="n"/>
      <c r="G130" s="37" t="n"/>
      <c r="H130" s="37" t="n"/>
      <c r="I130" s="37" t="n"/>
      <c r="J130" s="37" t="n"/>
    </row>
    <row r="131" ht="15.75" customHeight="1" s="56">
      <c r="A131" s="37">
        <f>IF(B131="","",THIET_LAP!$B$4&amp;"-LD-"&amp;TEXT(COUNT($B$4:B131),"0000"))</f>
        <v/>
      </c>
      <c r="B131" s="27" t="n"/>
      <c r="C131" s="37" t="n"/>
      <c r="D131" s="37" t="n"/>
      <c r="E131" s="37" t="n"/>
      <c r="F131" s="37" t="n"/>
      <c r="G131" s="37" t="n"/>
      <c r="H131" s="37" t="n"/>
      <c r="I131" s="37" t="n"/>
      <c r="J131" s="37" t="n"/>
    </row>
    <row r="132" ht="15.75" customHeight="1" s="56">
      <c r="A132" s="37">
        <f>IF(B132="","",THIET_LAP!$B$4&amp;"-LD-"&amp;TEXT(COUNT($B$4:B132),"0000"))</f>
        <v/>
      </c>
      <c r="B132" s="27" t="n"/>
      <c r="C132" s="37" t="n"/>
      <c r="D132" s="37" t="n"/>
      <c r="E132" s="37" t="n"/>
      <c r="F132" s="37" t="n"/>
      <c r="G132" s="37" t="n"/>
      <c r="H132" s="37" t="n"/>
      <c r="I132" s="37" t="n"/>
      <c r="J132" s="37" t="n"/>
    </row>
    <row r="133" ht="15.75" customHeight="1" s="56">
      <c r="A133" s="37">
        <f>IF(B133="","",THIET_LAP!$B$4&amp;"-LD-"&amp;TEXT(COUNT($B$4:B133),"0000"))</f>
        <v/>
      </c>
      <c r="B133" s="27" t="n"/>
      <c r="C133" s="37" t="n"/>
      <c r="D133" s="37" t="n"/>
      <c r="E133" s="37" t="n"/>
      <c r="F133" s="37" t="n"/>
      <c r="G133" s="37" t="n"/>
      <c r="H133" s="37" t="n"/>
      <c r="I133" s="37" t="n"/>
      <c r="J133" s="37" t="n"/>
    </row>
    <row r="134" ht="15.75" customHeight="1" s="56">
      <c r="A134" s="37">
        <f>IF(B134="","",THIET_LAP!$B$4&amp;"-LD-"&amp;TEXT(COUNT($B$4:B134),"0000"))</f>
        <v/>
      </c>
      <c r="B134" s="27" t="n"/>
      <c r="C134" s="37" t="n"/>
      <c r="D134" s="37" t="n"/>
      <c r="E134" s="37" t="n"/>
      <c r="F134" s="37" t="n"/>
      <c r="G134" s="37" t="n"/>
      <c r="H134" s="37" t="n"/>
      <c r="I134" s="37" t="n"/>
      <c r="J134" s="37" t="n"/>
    </row>
    <row r="135" ht="15.75" customHeight="1" s="56">
      <c r="A135" s="37">
        <f>IF(B135="","",THIET_LAP!$B$4&amp;"-LD-"&amp;TEXT(COUNT($B$4:B135),"0000"))</f>
        <v/>
      </c>
      <c r="B135" s="27" t="n"/>
      <c r="C135" s="37" t="n"/>
      <c r="D135" s="37" t="n"/>
      <c r="E135" s="37" t="n"/>
      <c r="F135" s="37" t="n"/>
      <c r="G135" s="37" t="n"/>
      <c r="H135" s="37" t="n"/>
      <c r="I135" s="37" t="n"/>
      <c r="J135" s="37" t="n"/>
    </row>
    <row r="136" ht="15.75" customHeight="1" s="56">
      <c r="A136" s="37">
        <f>IF(B136="","",THIET_LAP!$B$4&amp;"-LD-"&amp;TEXT(COUNT($B$4:B136),"0000"))</f>
        <v/>
      </c>
      <c r="B136" s="27" t="n"/>
      <c r="C136" s="37" t="n"/>
      <c r="D136" s="37" t="n"/>
      <c r="E136" s="37" t="n"/>
      <c r="F136" s="37" t="n"/>
      <c r="G136" s="37" t="n"/>
      <c r="H136" s="37" t="n"/>
      <c r="I136" s="37" t="n"/>
      <c r="J136" s="37" t="n"/>
    </row>
    <row r="137" ht="15.75" customHeight="1" s="56">
      <c r="A137" s="37">
        <f>IF(B137="","",THIET_LAP!$B$4&amp;"-LD-"&amp;TEXT(COUNT($B$4:B137),"0000"))</f>
        <v/>
      </c>
      <c r="B137" s="27" t="n"/>
      <c r="C137" s="37" t="n"/>
      <c r="D137" s="37" t="n"/>
      <c r="E137" s="37" t="n"/>
      <c r="F137" s="37" t="n"/>
      <c r="G137" s="37" t="n"/>
      <c r="H137" s="37" t="n"/>
      <c r="I137" s="37" t="n"/>
      <c r="J137" s="37" t="n"/>
    </row>
    <row r="138" ht="15.75" customHeight="1" s="56">
      <c r="A138" s="37">
        <f>IF(B138="","",THIET_LAP!$B$4&amp;"-LD-"&amp;TEXT(COUNT($B$4:B138),"0000"))</f>
        <v/>
      </c>
      <c r="B138" s="27" t="n"/>
      <c r="C138" s="37" t="n"/>
      <c r="D138" s="37" t="n"/>
      <c r="E138" s="37" t="n"/>
      <c r="F138" s="37" t="n"/>
      <c r="G138" s="37" t="n"/>
      <c r="H138" s="37" t="n"/>
      <c r="I138" s="37" t="n"/>
      <c r="J138" s="37" t="n"/>
    </row>
    <row r="139" ht="15.75" customHeight="1" s="56">
      <c r="A139" s="37">
        <f>IF(B139="","",THIET_LAP!$B$4&amp;"-LD-"&amp;TEXT(COUNT($B$4:B139),"0000"))</f>
        <v/>
      </c>
      <c r="B139" s="27" t="n"/>
      <c r="C139" s="37" t="n"/>
      <c r="D139" s="37" t="n"/>
      <c r="E139" s="37" t="n"/>
      <c r="F139" s="37" t="n"/>
      <c r="G139" s="37" t="n"/>
      <c r="H139" s="37" t="n"/>
      <c r="I139" s="37" t="n"/>
      <c r="J139" s="37" t="n"/>
    </row>
    <row r="140" ht="15.75" customHeight="1" s="56">
      <c r="A140" s="37">
        <f>IF(B140="","",THIET_LAP!$B$4&amp;"-LD-"&amp;TEXT(COUNT($B$4:B140),"0000"))</f>
        <v/>
      </c>
      <c r="B140" s="27" t="n"/>
      <c r="C140" s="37" t="n"/>
      <c r="D140" s="37" t="n"/>
      <c r="E140" s="37" t="n"/>
      <c r="F140" s="37" t="n"/>
      <c r="G140" s="37" t="n"/>
      <c r="H140" s="37" t="n"/>
      <c r="I140" s="37" t="n"/>
      <c r="J140" s="37" t="n"/>
    </row>
    <row r="141" ht="15.75" customHeight="1" s="56">
      <c r="A141" s="37">
        <f>IF(B141="","",THIET_LAP!$B$4&amp;"-LD-"&amp;TEXT(COUNT($B$4:B141),"0000"))</f>
        <v/>
      </c>
      <c r="B141" s="27" t="n"/>
      <c r="C141" s="37" t="n"/>
      <c r="D141" s="37" t="n"/>
      <c r="E141" s="37" t="n"/>
      <c r="F141" s="37" t="n"/>
      <c r="G141" s="37" t="n"/>
      <c r="H141" s="37" t="n"/>
      <c r="I141" s="37" t="n"/>
      <c r="J141" s="37" t="n"/>
    </row>
    <row r="142" ht="15.75" customHeight="1" s="56">
      <c r="A142" s="37">
        <f>IF(B142="","",THIET_LAP!$B$4&amp;"-LD-"&amp;TEXT(COUNT($B$4:B142),"0000"))</f>
        <v/>
      </c>
      <c r="B142" s="27" t="n"/>
      <c r="C142" s="37" t="n"/>
      <c r="D142" s="37" t="n"/>
      <c r="E142" s="37" t="n"/>
      <c r="F142" s="37" t="n"/>
      <c r="G142" s="37" t="n"/>
      <c r="H142" s="37" t="n"/>
      <c r="I142" s="37" t="n"/>
      <c r="J142" s="37" t="n"/>
    </row>
    <row r="143" ht="15.75" customHeight="1" s="56">
      <c r="A143" s="37">
        <f>IF(B143="","",THIET_LAP!$B$4&amp;"-LD-"&amp;TEXT(COUNT($B$4:B143),"0000"))</f>
        <v/>
      </c>
      <c r="B143" s="27" t="n"/>
      <c r="C143" s="37" t="n"/>
      <c r="D143" s="37" t="n"/>
      <c r="E143" s="37" t="n"/>
      <c r="F143" s="37" t="n"/>
      <c r="G143" s="37" t="n"/>
      <c r="H143" s="37" t="n"/>
      <c r="I143" s="37" t="n"/>
      <c r="J143" s="37" t="n"/>
    </row>
    <row r="144" ht="15.75" customHeight="1" s="56">
      <c r="A144" s="37">
        <f>IF(B144="","",THIET_LAP!$B$4&amp;"-LD-"&amp;TEXT(COUNT($B$4:B144),"0000"))</f>
        <v/>
      </c>
      <c r="B144" s="27" t="n"/>
      <c r="C144" s="37" t="n"/>
      <c r="D144" s="37" t="n"/>
      <c r="E144" s="37" t="n"/>
      <c r="F144" s="37" t="n"/>
      <c r="G144" s="37" t="n"/>
      <c r="H144" s="37" t="n"/>
      <c r="I144" s="37" t="n"/>
      <c r="J144" s="37" t="n"/>
    </row>
    <row r="145" ht="15.75" customHeight="1" s="56">
      <c r="A145" s="37">
        <f>IF(B145="","",THIET_LAP!$B$4&amp;"-LD-"&amp;TEXT(COUNT($B$4:B145),"0000"))</f>
        <v/>
      </c>
      <c r="B145" s="27" t="n"/>
      <c r="C145" s="37" t="n"/>
      <c r="D145" s="37" t="n"/>
      <c r="E145" s="37" t="n"/>
      <c r="F145" s="37" t="n"/>
      <c r="G145" s="37" t="n"/>
      <c r="H145" s="37" t="n"/>
      <c r="I145" s="37" t="n"/>
      <c r="J145" s="37" t="n"/>
    </row>
    <row r="146" ht="15.75" customHeight="1" s="56">
      <c r="A146" s="37">
        <f>IF(B146="","",THIET_LAP!$B$4&amp;"-LD-"&amp;TEXT(COUNT($B$4:B146),"0000"))</f>
        <v/>
      </c>
      <c r="B146" s="27" t="n"/>
      <c r="C146" s="37" t="n"/>
      <c r="D146" s="37" t="n"/>
      <c r="E146" s="37" t="n"/>
      <c r="F146" s="37" t="n"/>
      <c r="G146" s="37" t="n"/>
      <c r="H146" s="37" t="n"/>
      <c r="I146" s="37" t="n"/>
      <c r="J146" s="37" t="n"/>
    </row>
    <row r="147" ht="15.75" customHeight="1" s="56">
      <c r="A147" s="37">
        <f>IF(B147="","",THIET_LAP!$B$4&amp;"-LD-"&amp;TEXT(COUNT($B$4:B147),"0000"))</f>
        <v/>
      </c>
      <c r="B147" s="27" t="n"/>
      <c r="C147" s="37" t="n"/>
      <c r="D147" s="37" t="n"/>
      <c r="E147" s="37" t="n"/>
      <c r="F147" s="37" t="n"/>
      <c r="G147" s="37" t="n"/>
      <c r="H147" s="37" t="n"/>
      <c r="I147" s="37" t="n"/>
      <c r="J147" s="37" t="n"/>
    </row>
    <row r="148" ht="15.75" customHeight="1" s="56">
      <c r="A148" s="37">
        <f>IF(B148="","",THIET_LAP!$B$4&amp;"-LD-"&amp;TEXT(COUNT($B$4:B148),"0000"))</f>
        <v/>
      </c>
      <c r="B148" s="27" t="n"/>
      <c r="C148" s="37" t="n"/>
      <c r="D148" s="37" t="n"/>
      <c r="E148" s="37" t="n"/>
      <c r="F148" s="37" t="n"/>
      <c r="G148" s="37" t="n"/>
      <c r="H148" s="37" t="n"/>
      <c r="I148" s="37" t="n"/>
      <c r="J148" s="37" t="n"/>
    </row>
    <row r="149" ht="15.75" customHeight="1" s="56">
      <c r="A149" s="37">
        <f>IF(B149="","",THIET_LAP!$B$4&amp;"-LD-"&amp;TEXT(COUNT($B$4:B149),"0000"))</f>
        <v/>
      </c>
      <c r="B149" s="27" t="n"/>
      <c r="C149" s="37" t="n"/>
      <c r="D149" s="37" t="n"/>
      <c r="E149" s="37" t="n"/>
      <c r="F149" s="37" t="n"/>
      <c r="G149" s="37" t="n"/>
      <c r="H149" s="37" t="n"/>
      <c r="I149" s="37" t="n"/>
      <c r="J149" s="37" t="n"/>
    </row>
    <row r="150" ht="15.75" customHeight="1" s="56">
      <c r="A150" s="37">
        <f>IF(B150="","",THIET_LAP!$B$4&amp;"-LD-"&amp;TEXT(COUNT($B$4:B150),"0000"))</f>
        <v/>
      </c>
      <c r="B150" s="27" t="n"/>
      <c r="C150" s="37" t="n"/>
      <c r="D150" s="37" t="n"/>
      <c r="E150" s="37" t="n"/>
      <c r="F150" s="37" t="n"/>
      <c r="G150" s="37" t="n"/>
      <c r="H150" s="37" t="n"/>
      <c r="I150" s="37" t="n"/>
      <c r="J150" s="37" t="n"/>
    </row>
    <row r="151" ht="15.75" customHeight="1" s="56">
      <c r="A151" s="37">
        <f>IF(B151="","",THIET_LAP!$B$4&amp;"-LD-"&amp;TEXT(COUNT($B$4:B151),"0000"))</f>
        <v/>
      </c>
      <c r="B151" s="27" t="n"/>
      <c r="C151" s="37" t="n"/>
      <c r="D151" s="37" t="n"/>
      <c r="E151" s="37" t="n"/>
      <c r="F151" s="37" t="n"/>
      <c r="G151" s="37" t="n"/>
      <c r="H151" s="37" t="n"/>
      <c r="I151" s="37" t="n"/>
      <c r="J151" s="37" t="n"/>
    </row>
    <row r="152" ht="15.75" customHeight="1" s="56">
      <c r="A152" s="37">
        <f>IF(B152="","",THIET_LAP!$B$4&amp;"-LD-"&amp;TEXT(COUNT($B$4:B152),"0000"))</f>
        <v/>
      </c>
      <c r="B152" s="27" t="n"/>
      <c r="C152" s="37" t="n"/>
      <c r="D152" s="37" t="n"/>
      <c r="E152" s="37" t="n"/>
      <c r="F152" s="37" t="n"/>
      <c r="G152" s="37" t="n"/>
      <c r="H152" s="37" t="n"/>
      <c r="I152" s="37" t="n"/>
      <c r="J152" s="37" t="n"/>
    </row>
    <row r="153" ht="15.75" customHeight="1" s="56">
      <c r="A153" s="37">
        <f>IF(B153="","",THIET_LAP!$B$4&amp;"-LD-"&amp;TEXT(COUNT($B$4:B153),"0000"))</f>
        <v/>
      </c>
      <c r="B153" s="27" t="n"/>
      <c r="C153" s="37" t="n"/>
      <c r="D153" s="37" t="n"/>
      <c r="E153" s="37" t="n"/>
      <c r="F153" s="37" t="n"/>
      <c r="G153" s="37" t="n"/>
      <c r="H153" s="37" t="n"/>
      <c r="I153" s="37" t="n"/>
      <c r="J153" s="37" t="n"/>
    </row>
    <row r="154" ht="15.75" customHeight="1" s="56">
      <c r="A154" s="37">
        <f>IF(B154="","",THIET_LAP!$B$4&amp;"-LD-"&amp;TEXT(COUNT($B$4:B154),"0000"))</f>
        <v/>
      </c>
      <c r="B154" s="27" t="n"/>
      <c r="C154" s="37" t="n"/>
      <c r="D154" s="37" t="n"/>
      <c r="E154" s="37" t="n"/>
      <c r="F154" s="37" t="n"/>
      <c r="G154" s="37" t="n"/>
      <c r="H154" s="37" t="n"/>
      <c r="I154" s="37" t="n"/>
      <c r="J154" s="37" t="n"/>
    </row>
    <row r="155" ht="15.75" customHeight="1" s="56">
      <c r="A155" s="37">
        <f>IF(B155="","",THIET_LAP!$B$4&amp;"-LD-"&amp;TEXT(COUNT($B$4:B155),"0000"))</f>
        <v/>
      </c>
      <c r="B155" s="27" t="n"/>
      <c r="C155" s="37" t="n"/>
      <c r="D155" s="37" t="n"/>
      <c r="E155" s="37" t="n"/>
      <c r="F155" s="37" t="n"/>
      <c r="G155" s="37" t="n"/>
      <c r="H155" s="37" t="n"/>
      <c r="I155" s="37" t="n"/>
      <c r="J155" s="37" t="n"/>
    </row>
    <row r="156" ht="15.75" customHeight="1" s="56">
      <c r="A156" s="37">
        <f>IF(B156="","",THIET_LAP!$B$4&amp;"-LD-"&amp;TEXT(COUNT($B$4:B156),"0000"))</f>
        <v/>
      </c>
      <c r="B156" s="27" t="n"/>
      <c r="C156" s="37" t="n"/>
      <c r="D156" s="37" t="n"/>
      <c r="E156" s="37" t="n"/>
      <c r="F156" s="37" t="n"/>
      <c r="G156" s="37" t="n"/>
      <c r="H156" s="37" t="n"/>
      <c r="I156" s="37" t="n"/>
      <c r="J156" s="37" t="n"/>
    </row>
    <row r="157" ht="15.75" customHeight="1" s="56">
      <c r="A157" s="37">
        <f>IF(B157="","",THIET_LAP!$B$4&amp;"-LD-"&amp;TEXT(COUNT($B$4:B157),"0000"))</f>
        <v/>
      </c>
      <c r="B157" s="27" t="n"/>
      <c r="C157" s="37" t="n"/>
      <c r="D157" s="37" t="n"/>
      <c r="E157" s="37" t="n"/>
      <c r="F157" s="37" t="n"/>
      <c r="G157" s="37" t="n"/>
      <c r="H157" s="37" t="n"/>
      <c r="I157" s="37" t="n"/>
      <c r="J157" s="37" t="n"/>
    </row>
    <row r="158" ht="15.75" customHeight="1" s="56">
      <c r="A158" s="37">
        <f>IF(B158="","",THIET_LAP!$B$4&amp;"-LD-"&amp;TEXT(COUNT($B$4:B158),"0000"))</f>
        <v/>
      </c>
      <c r="B158" s="27" t="n"/>
      <c r="C158" s="37" t="n"/>
      <c r="D158" s="37" t="n"/>
      <c r="E158" s="37" t="n"/>
      <c r="F158" s="37" t="n"/>
      <c r="G158" s="37" t="n"/>
      <c r="H158" s="37" t="n"/>
      <c r="I158" s="37" t="n"/>
      <c r="J158" s="37" t="n"/>
    </row>
    <row r="159" ht="15.75" customHeight="1" s="56">
      <c r="A159" s="37">
        <f>IF(B159="","",THIET_LAP!$B$4&amp;"-LD-"&amp;TEXT(COUNT($B$4:B159),"0000"))</f>
        <v/>
      </c>
      <c r="B159" s="27" t="n"/>
      <c r="C159" s="37" t="n"/>
      <c r="D159" s="37" t="n"/>
      <c r="E159" s="37" t="n"/>
      <c r="F159" s="37" t="n"/>
      <c r="G159" s="37" t="n"/>
      <c r="H159" s="37" t="n"/>
      <c r="I159" s="37" t="n"/>
      <c r="J159" s="37" t="n"/>
    </row>
    <row r="160" ht="15.75" customHeight="1" s="56">
      <c r="A160" s="37">
        <f>IF(B160="","",THIET_LAP!$B$4&amp;"-LD-"&amp;TEXT(COUNT($B$4:B160),"0000"))</f>
        <v/>
      </c>
      <c r="B160" s="27" t="n"/>
      <c r="C160" s="37" t="n"/>
      <c r="D160" s="37" t="n"/>
      <c r="E160" s="37" t="n"/>
      <c r="F160" s="37" t="n"/>
      <c r="G160" s="37" t="n"/>
      <c r="H160" s="37" t="n"/>
      <c r="I160" s="37" t="n"/>
      <c r="J160" s="37" t="n"/>
    </row>
    <row r="161" ht="15.75" customHeight="1" s="56">
      <c r="A161" s="37">
        <f>IF(B161="","",THIET_LAP!$B$4&amp;"-LD-"&amp;TEXT(COUNT($B$4:B161),"0000"))</f>
        <v/>
      </c>
      <c r="B161" s="27" t="n"/>
      <c r="C161" s="37" t="n"/>
      <c r="D161" s="37" t="n"/>
      <c r="E161" s="37" t="n"/>
      <c r="F161" s="37" t="n"/>
      <c r="G161" s="37" t="n"/>
      <c r="H161" s="37" t="n"/>
      <c r="I161" s="37" t="n"/>
      <c r="J161" s="37" t="n"/>
    </row>
    <row r="162" ht="15.75" customHeight="1" s="56">
      <c r="A162" s="37">
        <f>IF(B162="","",THIET_LAP!$B$4&amp;"-LD-"&amp;TEXT(COUNT($B$4:B162),"0000"))</f>
        <v/>
      </c>
      <c r="B162" s="27" t="n"/>
      <c r="C162" s="37" t="n"/>
      <c r="D162" s="37" t="n"/>
      <c r="E162" s="37" t="n"/>
      <c r="F162" s="37" t="n"/>
      <c r="G162" s="37" t="n"/>
      <c r="H162" s="37" t="n"/>
      <c r="I162" s="37" t="n"/>
      <c r="J162" s="37" t="n"/>
    </row>
    <row r="163" ht="15.75" customHeight="1" s="56">
      <c r="A163" s="37">
        <f>IF(B163="","",THIET_LAP!$B$4&amp;"-LD-"&amp;TEXT(COUNT($B$4:B163),"0000"))</f>
        <v/>
      </c>
      <c r="B163" s="27" t="n"/>
      <c r="C163" s="37" t="n"/>
      <c r="D163" s="37" t="n"/>
      <c r="E163" s="37" t="n"/>
      <c r="F163" s="37" t="n"/>
      <c r="G163" s="37" t="n"/>
      <c r="H163" s="37" t="n"/>
      <c r="I163" s="37" t="n"/>
      <c r="J163" s="37" t="n"/>
    </row>
    <row r="164" ht="15.75" customHeight="1" s="56">
      <c r="A164" s="37">
        <f>IF(B164="","",THIET_LAP!$B$4&amp;"-LD-"&amp;TEXT(COUNT($B$4:B164),"0000"))</f>
        <v/>
      </c>
      <c r="B164" s="27" t="n"/>
      <c r="C164" s="37" t="n"/>
      <c r="D164" s="37" t="n"/>
      <c r="E164" s="37" t="n"/>
      <c r="F164" s="37" t="n"/>
      <c r="G164" s="37" t="n"/>
      <c r="H164" s="37" t="n"/>
      <c r="I164" s="37" t="n"/>
      <c r="J164" s="37" t="n"/>
    </row>
    <row r="165" ht="15.75" customHeight="1" s="56">
      <c r="A165" s="37">
        <f>IF(B165="","",THIET_LAP!$B$4&amp;"-LD-"&amp;TEXT(COUNT($B$4:B165),"0000"))</f>
        <v/>
      </c>
      <c r="B165" s="27" t="n"/>
      <c r="C165" s="37" t="n"/>
      <c r="D165" s="37" t="n"/>
      <c r="E165" s="37" t="n"/>
      <c r="F165" s="37" t="n"/>
      <c r="G165" s="37" t="n"/>
      <c r="H165" s="37" t="n"/>
      <c r="I165" s="37" t="n"/>
      <c r="J165" s="37" t="n"/>
    </row>
    <row r="166" ht="15.75" customHeight="1" s="56">
      <c r="A166" s="37">
        <f>IF(B166="","",THIET_LAP!$B$4&amp;"-LD-"&amp;TEXT(COUNT($B$4:B166),"0000"))</f>
        <v/>
      </c>
      <c r="B166" s="27" t="n"/>
      <c r="C166" s="37" t="n"/>
      <c r="D166" s="37" t="n"/>
      <c r="E166" s="37" t="n"/>
      <c r="F166" s="37" t="n"/>
      <c r="G166" s="37" t="n"/>
      <c r="H166" s="37" t="n"/>
      <c r="I166" s="37" t="n"/>
      <c r="J166" s="37" t="n"/>
    </row>
    <row r="167" ht="15.75" customHeight="1" s="56">
      <c r="A167" s="37">
        <f>IF(B167="","",THIET_LAP!$B$4&amp;"-LD-"&amp;TEXT(COUNT($B$4:B167),"0000"))</f>
        <v/>
      </c>
      <c r="B167" s="27" t="n"/>
      <c r="C167" s="37" t="n"/>
      <c r="D167" s="37" t="n"/>
      <c r="E167" s="37" t="n"/>
      <c r="F167" s="37" t="n"/>
      <c r="G167" s="37" t="n"/>
      <c r="H167" s="37" t="n"/>
      <c r="I167" s="37" t="n"/>
      <c r="J167" s="37" t="n"/>
    </row>
    <row r="168" ht="15.75" customHeight="1" s="56">
      <c r="A168" s="37">
        <f>IF(B168="","",THIET_LAP!$B$4&amp;"-LD-"&amp;TEXT(COUNT($B$4:B168),"0000"))</f>
        <v/>
      </c>
      <c r="B168" s="27" t="n"/>
      <c r="C168" s="37" t="n"/>
      <c r="D168" s="37" t="n"/>
      <c r="E168" s="37" t="n"/>
      <c r="F168" s="37" t="n"/>
      <c r="G168" s="37" t="n"/>
      <c r="H168" s="37" t="n"/>
      <c r="I168" s="37" t="n"/>
      <c r="J168" s="37" t="n"/>
    </row>
    <row r="169" ht="15.75" customHeight="1" s="56">
      <c r="A169" s="37">
        <f>IF(B169="","",THIET_LAP!$B$4&amp;"-LD-"&amp;TEXT(COUNT($B$4:B169),"0000"))</f>
        <v/>
      </c>
      <c r="B169" s="27" t="n"/>
      <c r="C169" s="37" t="n"/>
      <c r="D169" s="37" t="n"/>
      <c r="E169" s="37" t="n"/>
      <c r="F169" s="37" t="n"/>
      <c r="G169" s="37" t="n"/>
      <c r="H169" s="37" t="n"/>
      <c r="I169" s="37" t="n"/>
      <c r="J169" s="37" t="n"/>
    </row>
    <row r="170" ht="15.75" customHeight="1" s="56">
      <c r="A170" s="37">
        <f>IF(B170="","",THIET_LAP!$B$4&amp;"-LD-"&amp;TEXT(COUNT($B$4:B170),"0000"))</f>
        <v/>
      </c>
      <c r="B170" s="27" t="n"/>
      <c r="C170" s="37" t="n"/>
      <c r="D170" s="37" t="n"/>
      <c r="E170" s="37" t="n"/>
      <c r="F170" s="37" t="n"/>
      <c r="G170" s="37" t="n"/>
      <c r="H170" s="37" t="n"/>
      <c r="I170" s="37" t="n"/>
      <c r="J170" s="37" t="n"/>
    </row>
    <row r="171" ht="15.75" customHeight="1" s="56">
      <c r="A171" s="37">
        <f>IF(B171="","",THIET_LAP!$B$4&amp;"-LD-"&amp;TEXT(COUNT($B$4:B171),"0000"))</f>
        <v/>
      </c>
      <c r="B171" s="27" t="n"/>
      <c r="C171" s="37" t="n"/>
      <c r="D171" s="37" t="n"/>
      <c r="E171" s="37" t="n"/>
      <c r="F171" s="37" t="n"/>
      <c r="G171" s="37" t="n"/>
      <c r="H171" s="37" t="n"/>
      <c r="I171" s="37" t="n"/>
      <c r="J171" s="37" t="n"/>
    </row>
    <row r="172" ht="15.75" customHeight="1" s="56">
      <c r="A172" s="37">
        <f>IF(B172="","",THIET_LAP!$B$4&amp;"-LD-"&amp;TEXT(COUNT($B$4:B172),"0000"))</f>
        <v/>
      </c>
      <c r="B172" s="27" t="n"/>
      <c r="C172" s="37" t="n"/>
      <c r="D172" s="37" t="n"/>
      <c r="E172" s="37" t="n"/>
      <c r="F172" s="37" t="n"/>
      <c r="G172" s="37" t="n"/>
      <c r="H172" s="37" t="n"/>
      <c r="I172" s="37" t="n"/>
      <c r="J172" s="37" t="n"/>
    </row>
    <row r="173" ht="15.75" customHeight="1" s="56">
      <c r="A173" s="37">
        <f>IF(B173="","",THIET_LAP!$B$4&amp;"-LD-"&amp;TEXT(COUNT($B$4:B173),"0000"))</f>
        <v/>
      </c>
      <c r="B173" s="27" t="n"/>
      <c r="C173" s="37" t="n"/>
      <c r="D173" s="37" t="n"/>
      <c r="E173" s="37" t="n"/>
      <c r="F173" s="37" t="n"/>
      <c r="G173" s="37" t="n"/>
      <c r="H173" s="37" t="n"/>
      <c r="I173" s="37" t="n"/>
      <c r="J173" s="37" t="n"/>
    </row>
    <row r="174" ht="15.75" customHeight="1" s="56">
      <c r="A174" s="37">
        <f>IF(B174="","",THIET_LAP!$B$4&amp;"-LD-"&amp;TEXT(COUNT($B$4:B174),"0000"))</f>
        <v/>
      </c>
      <c r="B174" s="27" t="n"/>
      <c r="C174" s="37" t="n"/>
      <c r="D174" s="37" t="n"/>
      <c r="E174" s="37" t="n"/>
      <c r="F174" s="37" t="n"/>
      <c r="G174" s="37" t="n"/>
      <c r="H174" s="37" t="n"/>
      <c r="I174" s="37" t="n"/>
      <c r="J174" s="37" t="n"/>
    </row>
    <row r="175" ht="15.75" customHeight="1" s="56">
      <c r="A175" s="37">
        <f>IF(B175="","",THIET_LAP!$B$4&amp;"-LD-"&amp;TEXT(COUNT($B$4:B175),"0000"))</f>
        <v/>
      </c>
      <c r="B175" s="27" t="n"/>
      <c r="C175" s="37" t="n"/>
      <c r="D175" s="37" t="n"/>
      <c r="E175" s="37" t="n"/>
      <c r="F175" s="37" t="n"/>
      <c r="G175" s="37" t="n"/>
      <c r="H175" s="37" t="n"/>
      <c r="I175" s="37" t="n"/>
      <c r="J175" s="37" t="n"/>
    </row>
    <row r="176" ht="15.75" customHeight="1" s="56">
      <c r="A176" s="37">
        <f>IF(B176="","",THIET_LAP!$B$4&amp;"-LD-"&amp;TEXT(COUNT($B$4:B176),"0000"))</f>
        <v/>
      </c>
      <c r="B176" s="27" t="n"/>
      <c r="C176" s="37" t="n"/>
      <c r="D176" s="37" t="n"/>
      <c r="E176" s="37" t="n"/>
      <c r="F176" s="37" t="n"/>
      <c r="G176" s="37" t="n"/>
      <c r="H176" s="37" t="n"/>
      <c r="I176" s="37" t="n"/>
      <c r="J176" s="37" t="n"/>
    </row>
    <row r="177" ht="15.75" customHeight="1" s="56">
      <c r="A177" s="37">
        <f>IF(B177="","",THIET_LAP!$B$4&amp;"-LD-"&amp;TEXT(COUNT($B$4:B177),"0000"))</f>
        <v/>
      </c>
      <c r="B177" s="27" t="n"/>
      <c r="C177" s="37" t="n"/>
      <c r="D177" s="37" t="n"/>
      <c r="E177" s="37" t="n"/>
      <c r="F177" s="37" t="n"/>
      <c r="G177" s="37" t="n"/>
      <c r="H177" s="37" t="n"/>
      <c r="I177" s="37" t="n"/>
      <c r="J177" s="37" t="n"/>
    </row>
    <row r="178" ht="15.75" customHeight="1" s="56">
      <c r="A178" s="37">
        <f>IF(B178="","",THIET_LAP!$B$4&amp;"-LD-"&amp;TEXT(COUNT($B$4:B178),"0000"))</f>
        <v/>
      </c>
      <c r="B178" s="27" t="n"/>
      <c r="C178" s="37" t="n"/>
      <c r="D178" s="37" t="n"/>
      <c r="E178" s="37" t="n"/>
      <c r="F178" s="37" t="n"/>
      <c r="G178" s="37" t="n"/>
      <c r="H178" s="37" t="n"/>
      <c r="I178" s="37" t="n"/>
      <c r="J178" s="37" t="n"/>
    </row>
    <row r="179" ht="15.75" customHeight="1" s="56">
      <c r="A179" s="37">
        <f>IF(B179="","",THIET_LAP!$B$4&amp;"-LD-"&amp;TEXT(COUNT($B$4:B179),"0000"))</f>
        <v/>
      </c>
      <c r="B179" s="27" t="n"/>
      <c r="C179" s="37" t="n"/>
      <c r="D179" s="37" t="n"/>
      <c r="E179" s="37" t="n"/>
      <c r="F179" s="37" t="n"/>
      <c r="G179" s="37" t="n"/>
      <c r="H179" s="37" t="n"/>
      <c r="I179" s="37" t="n"/>
      <c r="J179" s="37" t="n"/>
    </row>
    <row r="180" ht="15.75" customHeight="1" s="56">
      <c r="A180" s="37">
        <f>IF(B180="","",THIET_LAP!$B$4&amp;"-LD-"&amp;TEXT(COUNT($B$4:B180),"0000"))</f>
        <v/>
      </c>
      <c r="B180" s="27" t="n"/>
      <c r="C180" s="37" t="n"/>
      <c r="D180" s="37" t="n"/>
      <c r="E180" s="37" t="n"/>
      <c r="F180" s="37" t="n"/>
      <c r="G180" s="37" t="n"/>
      <c r="H180" s="37" t="n"/>
      <c r="I180" s="37" t="n"/>
      <c r="J180" s="37" t="n"/>
    </row>
    <row r="181" ht="15.75" customHeight="1" s="56">
      <c r="A181" s="37">
        <f>IF(B181="","",THIET_LAP!$B$4&amp;"-LD-"&amp;TEXT(COUNT($B$4:B181),"0000"))</f>
        <v/>
      </c>
      <c r="B181" s="27" t="n"/>
      <c r="C181" s="37" t="n"/>
      <c r="D181" s="37" t="n"/>
      <c r="E181" s="37" t="n"/>
      <c r="F181" s="37" t="n"/>
      <c r="G181" s="37" t="n"/>
      <c r="H181" s="37" t="n"/>
      <c r="I181" s="37" t="n"/>
      <c r="J181" s="37" t="n"/>
    </row>
    <row r="182" ht="15.75" customHeight="1" s="56">
      <c r="A182" s="37">
        <f>IF(B182="","",THIET_LAP!$B$4&amp;"-LD-"&amp;TEXT(COUNT($B$4:B182),"0000"))</f>
        <v/>
      </c>
      <c r="B182" s="27" t="n"/>
      <c r="C182" s="37" t="n"/>
      <c r="D182" s="37" t="n"/>
      <c r="E182" s="37" t="n"/>
      <c r="F182" s="37" t="n"/>
      <c r="G182" s="37" t="n"/>
      <c r="H182" s="37" t="n"/>
      <c r="I182" s="37" t="n"/>
      <c r="J182" s="37" t="n"/>
    </row>
    <row r="183" ht="15.75" customHeight="1" s="56">
      <c r="A183" s="37">
        <f>IF(B183="","",THIET_LAP!$B$4&amp;"-LD-"&amp;TEXT(COUNT($B$4:B183),"0000"))</f>
        <v/>
      </c>
      <c r="B183" s="27" t="n"/>
      <c r="C183" s="37" t="n"/>
      <c r="D183" s="37" t="n"/>
      <c r="E183" s="37" t="n"/>
      <c r="F183" s="37" t="n"/>
      <c r="G183" s="37" t="n"/>
      <c r="H183" s="37" t="n"/>
      <c r="I183" s="37" t="n"/>
      <c r="J183" s="37" t="n"/>
    </row>
    <row r="184" ht="15.75" customHeight="1" s="56">
      <c r="A184" s="37">
        <f>IF(B184="","",THIET_LAP!$B$4&amp;"-LD-"&amp;TEXT(COUNT($B$4:B184),"0000"))</f>
        <v/>
      </c>
      <c r="B184" s="27" t="n"/>
      <c r="C184" s="37" t="n"/>
      <c r="D184" s="37" t="n"/>
      <c r="E184" s="37" t="n"/>
      <c r="F184" s="37" t="n"/>
      <c r="G184" s="37" t="n"/>
      <c r="H184" s="37" t="n"/>
      <c r="I184" s="37" t="n"/>
      <c r="J184" s="37" t="n"/>
    </row>
    <row r="185" ht="15.75" customHeight="1" s="56">
      <c r="A185" s="37">
        <f>IF(B185="","",THIET_LAP!$B$4&amp;"-LD-"&amp;TEXT(COUNT($B$4:B185),"0000"))</f>
        <v/>
      </c>
      <c r="B185" s="27" t="n"/>
      <c r="C185" s="37" t="n"/>
      <c r="D185" s="37" t="n"/>
      <c r="E185" s="37" t="n"/>
      <c r="F185" s="37" t="n"/>
      <c r="G185" s="37" t="n"/>
      <c r="H185" s="37" t="n"/>
      <c r="I185" s="37" t="n"/>
      <c r="J185" s="37" t="n"/>
    </row>
    <row r="186" ht="15.75" customHeight="1" s="56">
      <c r="A186" s="37">
        <f>IF(B186="","",THIET_LAP!$B$4&amp;"-LD-"&amp;TEXT(COUNT($B$4:B186),"0000"))</f>
        <v/>
      </c>
      <c r="B186" s="27" t="n"/>
      <c r="C186" s="37" t="n"/>
      <c r="D186" s="37" t="n"/>
      <c r="E186" s="37" t="n"/>
      <c r="F186" s="37" t="n"/>
      <c r="G186" s="37" t="n"/>
      <c r="H186" s="37" t="n"/>
      <c r="I186" s="37" t="n"/>
      <c r="J186" s="37" t="n"/>
    </row>
    <row r="187" ht="15.75" customHeight="1" s="56">
      <c r="A187" s="37">
        <f>IF(B187="","",THIET_LAP!$B$4&amp;"-LD-"&amp;TEXT(COUNT($B$4:B187),"0000"))</f>
        <v/>
      </c>
      <c r="B187" s="27" t="n"/>
      <c r="C187" s="37" t="n"/>
      <c r="D187" s="37" t="n"/>
      <c r="E187" s="37" t="n"/>
      <c r="F187" s="37" t="n"/>
      <c r="G187" s="37" t="n"/>
      <c r="H187" s="37" t="n"/>
      <c r="I187" s="37" t="n"/>
      <c r="J187" s="37" t="n"/>
    </row>
    <row r="188" ht="15.75" customHeight="1" s="56">
      <c r="A188" s="37">
        <f>IF(B188="","",THIET_LAP!$B$4&amp;"-LD-"&amp;TEXT(COUNT($B$4:B188),"0000"))</f>
        <v/>
      </c>
      <c r="B188" s="27" t="n"/>
      <c r="C188" s="37" t="n"/>
      <c r="D188" s="37" t="n"/>
      <c r="E188" s="37" t="n"/>
      <c r="F188" s="37" t="n"/>
      <c r="G188" s="37" t="n"/>
      <c r="H188" s="37" t="n"/>
      <c r="I188" s="37" t="n"/>
      <c r="J188" s="37" t="n"/>
    </row>
    <row r="189" ht="15.75" customHeight="1" s="56">
      <c r="A189" s="37">
        <f>IF(B189="","",THIET_LAP!$B$4&amp;"-LD-"&amp;TEXT(COUNT($B$4:B189),"0000"))</f>
        <v/>
      </c>
      <c r="B189" s="27" t="n"/>
      <c r="C189" s="37" t="n"/>
      <c r="D189" s="37" t="n"/>
      <c r="E189" s="37" t="n"/>
      <c r="F189" s="37" t="n"/>
      <c r="G189" s="37" t="n"/>
      <c r="H189" s="37" t="n"/>
      <c r="I189" s="37" t="n"/>
      <c r="J189" s="37" t="n"/>
    </row>
    <row r="190" ht="15.75" customHeight="1" s="56">
      <c r="A190" s="37">
        <f>IF(B190="","",THIET_LAP!$B$4&amp;"-LD-"&amp;TEXT(COUNT($B$4:B190),"0000"))</f>
        <v/>
      </c>
      <c r="B190" s="27" t="n"/>
      <c r="C190" s="37" t="n"/>
      <c r="D190" s="37" t="n"/>
      <c r="E190" s="37" t="n"/>
      <c r="F190" s="37" t="n"/>
      <c r="G190" s="37" t="n"/>
      <c r="H190" s="37" t="n"/>
      <c r="I190" s="37" t="n"/>
      <c r="J190" s="37" t="n"/>
    </row>
    <row r="191" ht="15.75" customHeight="1" s="56">
      <c r="A191" s="37">
        <f>IF(B191="","",THIET_LAP!$B$4&amp;"-LD-"&amp;TEXT(COUNT($B$4:B191),"0000"))</f>
        <v/>
      </c>
      <c r="B191" s="27" t="n"/>
      <c r="C191" s="37" t="n"/>
      <c r="D191" s="37" t="n"/>
      <c r="E191" s="37" t="n"/>
      <c r="F191" s="37" t="n"/>
      <c r="G191" s="37" t="n"/>
      <c r="H191" s="37" t="n"/>
      <c r="I191" s="37" t="n"/>
      <c r="J191" s="37" t="n"/>
    </row>
    <row r="192" ht="15.75" customHeight="1" s="56">
      <c r="A192" s="37">
        <f>IF(B192="","",THIET_LAP!$B$4&amp;"-LD-"&amp;TEXT(COUNT($B$4:B192),"0000"))</f>
        <v/>
      </c>
      <c r="B192" s="27" t="n"/>
      <c r="C192" s="37" t="n"/>
      <c r="D192" s="37" t="n"/>
      <c r="E192" s="37" t="n"/>
      <c r="F192" s="37" t="n"/>
      <c r="G192" s="37" t="n"/>
      <c r="H192" s="37" t="n"/>
      <c r="I192" s="37" t="n"/>
      <c r="J192" s="37" t="n"/>
    </row>
    <row r="193" ht="15.75" customHeight="1" s="56">
      <c r="A193" s="37">
        <f>IF(B193="","",THIET_LAP!$B$4&amp;"-LD-"&amp;TEXT(COUNT($B$4:B193),"0000"))</f>
        <v/>
      </c>
      <c r="B193" s="27" t="n"/>
      <c r="C193" s="37" t="n"/>
      <c r="D193" s="37" t="n"/>
      <c r="E193" s="37" t="n"/>
      <c r="F193" s="37" t="n"/>
      <c r="G193" s="37" t="n"/>
      <c r="H193" s="37" t="n"/>
      <c r="I193" s="37" t="n"/>
      <c r="J193" s="37" t="n"/>
    </row>
    <row r="194" ht="15.75" customHeight="1" s="56">
      <c r="A194" s="37">
        <f>IF(B194="","",THIET_LAP!$B$4&amp;"-LD-"&amp;TEXT(COUNT($B$4:B194),"0000"))</f>
        <v/>
      </c>
      <c r="B194" s="27" t="n"/>
      <c r="C194" s="37" t="n"/>
      <c r="D194" s="37" t="n"/>
      <c r="E194" s="37" t="n"/>
      <c r="F194" s="37" t="n"/>
      <c r="G194" s="37" t="n"/>
      <c r="H194" s="37" t="n"/>
      <c r="I194" s="37" t="n"/>
      <c r="J194" s="37" t="n"/>
    </row>
    <row r="195" ht="15.75" customHeight="1" s="56">
      <c r="A195" s="37">
        <f>IF(B195="","",THIET_LAP!$B$4&amp;"-LD-"&amp;TEXT(COUNT($B$4:B195),"0000"))</f>
        <v/>
      </c>
      <c r="B195" s="27" t="n"/>
      <c r="C195" s="37" t="n"/>
      <c r="D195" s="37" t="n"/>
      <c r="E195" s="37" t="n"/>
      <c r="F195" s="37" t="n"/>
      <c r="G195" s="37" t="n"/>
      <c r="H195" s="37" t="n"/>
      <c r="I195" s="37" t="n"/>
      <c r="J195" s="37" t="n"/>
    </row>
    <row r="196" ht="15.75" customHeight="1" s="56">
      <c r="A196" s="37">
        <f>IF(B196="","",THIET_LAP!$B$4&amp;"-LD-"&amp;TEXT(COUNT($B$4:B196),"0000"))</f>
        <v/>
      </c>
      <c r="B196" s="27" t="n"/>
      <c r="C196" s="37" t="n"/>
      <c r="D196" s="37" t="n"/>
      <c r="E196" s="37" t="n"/>
      <c r="F196" s="37" t="n"/>
      <c r="G196" s="37" t="n"/>
      <c r="H196" s="37" t="n"/>
      <c r="I196" s="37" t="n"/>
      <c r="J196" s="37" t="n"/>
    </row>
    <row r="197" ht="15.75" customHeight="1" s="56">
      <c r="A197" s="37">
        <f>IF(B197="","",THIET_LAP!$B$4&amp;"-LD-"&amp;TEXT(COUNT($B$4:B197),"0000"))</f>
        <v/>
      </c>
      <c r="B197" s="27" t="n"/>
      <c r="C197" s="37" t="n"/>
      <c r="D197" s="37" t="n"/>
      <c r="E197" s="37" t="n"/>
      <c r="F197" s="37" t="n"/>
      <c r="G197" s="37" t="n"/>
      <c r="H197" s="37" t="n"/>
      <c r="I197" s="37" t="n"/>
      <c r="J197" s="37" t="n"/>
    </row>
    <row r="198" ht="15.75" customHeight="1" s="56">
      <c r="A198" s="37">
        <f>IF(B198="","",THIET_LAP!$B$4&amp;"-LD-"&amp;TEXT(COUNT($B$4:B198),"0000"))</f>
        <v/>
      </c>
      <c r="B198" s="27" t="n"/>
      <c r="C198" s="37" t="n"/>
      <c r="D198" s="37" t="n"/>
      <c r="E198" s="37" t="n"/>
      <c r="F198" s="37" t="n"/>
      <c r="G198" s="37" t="n"/>
      <c r="H198" s="37" t="n"/>
      <c r="I198" s="37" t="n"/>
      <c r="J198" s="37" t="n"/>
    </row>
    <row r="199" ht="15.75" customHeight="1" s="56">
      <c r="A199" s="37">
        <f>IF(B199="","",THIET_LAP!$B$4&amp;"-LD-"&amp;TEXT(COUNT($B$4:B199),"0000"))</f>
        <v/>
      </c>
      <c r="B199" s="27" t="n"/>
      <c r="C199" s="37" t="n"/>
      <c r="D199" s="37" t="n"/>
      <c r="E199" s="37" t="n"/>
      <c r="F199" s="37" t="n"/>
      <c r="G199" s="37" t="n"/>
      <c r="H199" s="37" t="n"/>
      <c r="I199" s="37" t="n"/>
      <c r="J199" s="37" t="n"/>
    </row>
    <row r="200" ht="15.75" customHeight="1" s="56">
      <c r="A200" s="37">
        <f>IF(B200="","",THIET_LAP!$B$4&amp;"-LD-"&amp;TEXT(COUNT($B$4:B200),"0000"))</f>
        <v/>
      </c>
      <c r="B200" s="27" t="n"/>
      <c r="C200" s="37" t="n"/>
      <c r="D200" s="37" t="n"/>
      <c r="E200" s="37" t="n"/>
      <c r="F200" s="37" t="n"/>
      <c r="G200" s="37" t="n"/>
      <c r="H200" s="37" t="n"/>
      <c r="I200" s="37" t="n"/>
      <c r="J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J$200"/>
  <mergeCells count="2">
    <mergeCell ref="A1:J1"/>
    <mergeCell ref="A2:J2"/>
  </mergeCells>
  <dataValidations count="2">
    <dataValidation sqref="G4:G200" showDropDown="0" showInputMessage="0" showErrorMessage="0" allowBlank="1" type="list">
      <formula1>DM_NHANSU</formula1>
    </dataValidation>
    <dataValidation sqref="H4:H200" showDropDown="0" showInputMessage="0" showErrorMessage="0" allowBlank="1" type="list">
      <formula1>"Mới,Đang tư vấn,Đã báo giá,Đã chốt,Không phù hợp"</formula1>
    </dataValidation>
  </dataValidation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K333"/>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20" customWidth="1" style="56" min="2" max="2"/>
    <col width="24" customWidth="1" style="56" min="3" max="3"/>
    <col width="16" customWidth="1" style="56" min="4" max="4"/>
    <col width="18" customWidth="1" style="56" min="5" max="6"/>
    <col width="13" customWidth="1" style="56" min="7" max="7"/>
    <col width="24" customWidth="1" style="56" min="8" max="8"/>
    <col width="16" customWidth="1" style="56" min="9" max="9"/>
    <col width="12" customWidth="1" style="56" min="10" max="10"/>
    <col width="24" customWidth="1" style="56" min="11" max="11"/>
    <col width="8.710000000000001" customWidth="1" style="56" min="12" max="26"/>
  </cols>
  <sheetData>
    <row r="1">
      <c r="A1" s="67" t="inlineStr">
        <is>
          <t>PHÒNG ĐO ĐẠC - TÁC NGHIỆP</t>
        </is>
      </c>
      <c r="B1" s="58" t="n"/>
      <c r="C1" s="58" t="n"/>
      <c r="D1" s="58" t="n"/>
      <c r="E1" s="58" t="n"/>
      <c r="F1" s="58" t="n"/>
      <c r="G1" s="58" t="n"/>
      <c r="H1" s="58" t="n"/>
      <c r="I1" s="58" t="n"/>
      <c r="J1" s="58" t="n"/>
      <c r="K1" s="59" t="n"/>
    </row>
    <row r="2">
      <c r="A2" s="23" t="inlineStr">
        <is>
          <t>Bảng tác nghiệp phòng đo đạc. Chỉ dùng cho vận hành nội bộ; mã hồ sơ vẫn là chìa khóa chính.</t>
        </is>
      </c>
    </row>
    <row r="3">
      <c r="A3" s="41" t="inlineStr">
        <is>
          <t>Mã hồ sơ</t>
        </is>
      </c>
      <c r="B3" s="41" t="inlineStr">
        <is>
          <t>Khách</t>
        </is>
      </c>
      <c r="C3" s="41" t="inlineStr">
        <is>
          <t>Địa chỉ/Phường</t>
        </is>
      </c>
      <c r="D3" s="41" t="inlineStr">
        <is>
          <t>Loại đo</t>
        </is>
      </c>
      <c r="E3" s="41" t="inlineStr">
        <is>
          <t>Nhân viên đo</t>
        </is>
      </c>
      <c r="F3" s="41" t="inlineStr">
        <is>
          <t>Phụ đo</t>
        </is>
      </c>
      <c r="G3" s="41" t="inlineStr">
        <is>
          <t>Ngày đo</t>
        </is>
      </c>
      <c r="H3" s="41" t="inlineStr">
        <is>
          <t>Kết quả hiện trường</t>
        </is>
      </c>
      <c r="I3" s="41" t="inlineStr">
        <is>
          <t>Trạng thái đo</t>
        </is>
      </c>
      <c r="J3" s="41" t="inlineStr">
        <is>
          <t>Phụ cấp</t>
        </is>
      </c>
      <c r="K3" s="41" t="inlineStr">
        <is>
          <t>Ghi chú</t>
        </is>
      </c>
    </row>
    <row r="4">
      <c r="A4" s="37" t="inlineStr">
        <is>
          <t>BK-HS-0001</t>
        </is>
      </c>
      <c r="B4" s="37" t="inlineStr">
        <is>
          <t>Công Ty</t>
        </is>
      </c>
      <c r="C4" s="37" t="inlineStr">
        <is>
          <t>An Khánh</t>
        </is>
      </c>
      <c r="D4" s="37" t="inlineStr">
        <is>
          <t>Xin phép xây dựng</t>
        </is>
      </c>
      <c r="E4" s="37" t="inlineStr">
        <is>
          <t>Võ Thành Minh</t>
        </is>
      </c>
      <c r="F4" s="37" t="inlineStr">
        <is>
          <t>Không cần</t>
        </is>
      </c>
      <c r="G4" s="27" t="n">
        <v>46097</v>
      </c>
      <c r="H4" s="37" t="inlineStr">
        <is>
          <t>Trong hạn</t>
        </is>
      </c>
      <c r="I4" s="37" t="inlineStr">
        <is>
          <t>Trong hạn</t>
        </is>
      </c>
      <c r="J4" s="29" t="n">
        <v>0</v>
      </c>
      <c r="K4" s="37" t="inlineStr">
        <is>
          <t>Số cọc:  | Loại cọc:</t>
        </is>
      </c>
    </row>
    <row r="5">
      <c r="A5" s="37" t="inlineStr">
        <is>
          <t>BK-HS-0002</t>
        </is>
      </c>
      <c r="B5" s="37" t="inlineStr">
        <is>
          <t>Cô Hoa</t>
        </is>
      </c>
      <c r="C5" s="37" t="inlineStr">
        <is>
          <t>Tam Bình</t>
        </is>
      </c>
      <c r="D5" s="37" t="inlineStr">
        <is>
          <t>Cấp đổi</t>
        </is>
      </c>
      <c r="E5" s="37" t="inlineStr">
        <is>
          <t>Trương Tấn Quốc</t>
        </is>
      </c>
      <c r="F5" s="37" t="inlineStr">
        <is>
          <t>Võ Tứ Hợp</t>
        </is>
      </c>
      <c r="G5" s="27" t="n">
        <v>46094</v>
      </c>
      <c r="H5" s="37" t="inlineStr">
        <is>
          <t>Trong hạn | Đợi trao đổi với dịch vụ</t>
        </is>
      </c>
      <c r="I5" s="37" t="inlineStr">
        <is>
          <t>Trong hạn</t>
        </is>
      </c>
      <c r="J5" s="29" t="n">
        <v>0</v>
      </c>
      <c r="K5" s="37" t="inlineStr">
        <is>
          <t>Số cọc:  | Loại cọc:</t>
        </is>
      </c>
    </row>
    <row r="6">
      <c r="A6" s="37" t="inlineStr">
        <is>
          <t>BK-HS-0003</t>
        </is>
      </c>
      <c r="B6" s="37" t="inlineStr">
        <is>
          <t>Tuấn Lộc</t>
        </is>
      </c>
      <c r="C6" s="37" t="inlineStr">
        <is>
          <t>Linh Xuân</t>
        </is>
      </c>
      <c r="D6" s="37" t="inlineStr">
        <is>
          <t>Hoàn công</t>
        </is>
      </c>
      <c r="E6" s="37" t="inlineStr">
        <is>
          <t>Lê Văn Xây</t>
        </is>
      </c>
      <c r="F6" s="37" t="inlineStr">
        <is>
          <t>Võ Tứ Hợp</t>
        </is>
      </c>
      <c r="G6" s="27" t="n">
        <v>46094</v>
      </c>
      <c r="H6" s="37" t="inlineStr">
        <is>
          <t>Đã nộp</t>
        </is>
      </c>
      <c r="I6" s="37" t="inlineStr">
        <is>
          <t>Nộp thành công - Chờ kết quả</t>
        </is>
      </c>
      <c r="J6" s="29" t="n">
        <v>0</v>
      </c>
      <c r="K6" s="37" t="inlineStr">
        <is>
          <t>Số cọc:  | Loại cọc:</t>
        </is>
      </c>
    </row>
    <row r="7">
      <c r="A7" s="37" t="inlineStr">
        <is>
          <t>BK-HS-0004</t>
        </is>
      </c>
      <c r="B7" s="37" t="inlineStr">
        <is>
          <t>Công Ty</t>
        </is>
      </c>
      <c r="C7" s="37" t="inlineStr">
        <is>
          <t>Tăng Nhơn Phú</t>
        </is>
      </c>
      <c r="D7" s="37" t="inlineStr">
        <is>
          <t>Cấp đổi</t>
        </is>
      </c>
      <c r="E7" s="37" t="inlineStr">
        <is>
          <t>Tạ Khắc Tập</t>
        </is>
      </c>
      <c r="F7" s="37" t="inlineStr">
        <is>
          <t>Võ Tứ Hợp</t>
        </is>
      </c>
      <c r="G7" s="27" t="n">
        <v>46094</v>
      </c>
      <c r="H7" s="37" t="inlineStr">
        <is>
          <t>Đã nộp</t>
        </is>
      </c>
      <c r="I7" s="37" t="inlineStr">
        <is>
          <t>Nộp thành công - Chờ kết quả</t>
        </is>
      </c>
      <c r="J7" s="29" t="n">
        <v>0</v>
      </c>
      <c r="K7" s="37" t="inlineStr">
        <is>
          <t>Số cọc:  | Loại cọc:</t>
        </is>
      </c>
    </row>
    <row r="8">
      <c r="A8" s="37" t="inlineStr">
        <is>
          <t>BK-HS-0005</t>
        </is>
      </c>
      <c r="B8" s="37" t="inlineStr">
        <is>
          <t>Tuấn Lộc</t>
        </is>
      </c>
      <c r="C8" s="37" t="inlineStr">
        <is>
          <t>Hiệp Bình</t>
        </is>
      </c>
      <c r="D8" s="37" t="inlineStr">
        <is>
          <t>Cấp đổi</t>
        </is>
      </c>
      <c r="E8" s="37" t="inlineStr">
        <is>
          <t>Tạ Khắc Tập</t>
        </is>
      </c>
      <c r="F8" s="37" t="inlineStr">
        <is>
          <t>Võ Tứ Hợp</t>
        </is>
      </c>
      <c r="G8" s="27" t="n">
        <v>46094</v>
      </c>
      <c r="H8" s="37" t="inlineStr">
        <is>
          <t>Đã nộp</t>
        </is>
      </c>
      <c r="I8" s="37" t="inlineStr">
        <is>
          <t>Nộp thành công - Chờ kết quả</t>
        </is>
      </c>
      <c r="J8" s="29" t="n">
        <v>0</v>
      </c>
      <c r="K8" s="37" t="inlineStr">
        <is>
          <t>Số cọc:  | Loại cọc:</t>
        </is>
      </c>
    </row>
    <row r="9">
      <c r="A9" s="37" t="inlineStr">
        <is>
          <t>BK-HS-0006</t>
        </is>
      </c>
      <c r="B9" s="37" t="inlineStr">
        <is>
          <t>Công Ty</t>
        </is>
      </c>
      <c r="C9" s="37" t="inlineStr">
        <is>
          <t>Linh Xuân</t>
        </is>
      </c>
      <c r="D9" s="37" t="inlineStr">
        <is>
          <t>Cắm mốc</t>
        </is>
      </c>
      <c r="E9" s="37" t="inlineStr">
        <is>
          <t>Tạ Khắc Tập</t>
        </is>
      </c>
      <c r="F9" s="37" t="inlineStr">
        <is>
          <t>Võ Tứ Hợp</t>
        </is>
      </c>
      <c r="G9" s="27" t="n">
        <v>46094</v>
      </c>
      <c r="H9" s="37" t="inlineStr">
        <is>
          <t>Hoàn thành</t>
        </is>
      </c>
      <c r="I9" s="37" t="inlineStr">
        <is>
          <t>Hoàn thành</t>
        </is>
      </c>
      <c r="J9" s="29" t="n">
        <v>50000</v>
      </c>
      <c r="K9" s="37" t="inlineStr">
        <is>
          <t>Số cọc: 2.0 | Loại cọc: Trụ xi măng</t>
        </is>
      </c>
    </row>
    <row r="10">
      <c r="A10" s="37" t="inlineStr">
        <is>
          <t>BK-HS-0007</t>
        </is>
      </c>
      <c r="B10" s="37" t="inlineStr">
        <is>
          <t>Công Ty</t>
        </is>
      </c>
      <c r="C10" s="37" t="inlineStr">
        <is>
          <t>Linh Xuân</t>
        </is>
      </c>
      <c r="D10" s="37" t="inlineStr">
        <is>
          <t>Cấp đổi</t>
        </is>
      </c>
      <c r="E10" s="37" t="inlineStr">
        <is>
          <t>Lê Văn Dựng</t>
        </is>
      </c>
      <c r="F10" s="37" t="inlineStr">
        <is>
          <t>Võ Tứ Hợp</t>
        </is>
      </c>
      <c r="G10" s="27" t="n">
        <v>46093</v>
      </c>
      <c r="H10" s="37" t="inlineStr">
        <is>
          <t>QUÁ HẠN | hồ sơ lệch ranh chờ pa</t>
        </is>
      </c>
      <c r="I10" s="37" t="inlineStr">
        <is>
          <t>QUÁ HẠN</t>
        </is>
      </c>
      <c r="J10" s="29" t="n">
        <v>0</v>
      </c>
      <c r="K10" s="37" t="inlineStr">
        <is>
          <t>Số cọc:  | Loại cọc:</t>
        </is>
      </c>
    </row>
    <row r="11">
      <c r="A11" s="37" t="inlineStr">
        <is>
          <t>BK-HS-0008</t>
        </is>
      </c>
      <c r="B11" s="37" t="inlineStr">
        <is>
          <t>Anh Chiến KTS</t>
        </is>
      </c>
      <c r="C11" s="37" t="inlineStr">
        <is>
          <t>Tăng Nhơn Phú</t>
        </is>
      </c>
      <c r="D11" s="37" t="inlineStr">
        <is>
          <t>Hoàn công</t>
        </is>
      </c>
      <c r="E11" s="37" t="inlineStr">
        <is>
          <t>Lê Văn Dựng</t>
        </is>
      </c>
      <c r="F11" s="37" t="inlineStr">
        <is>
          <t>Võ Tứ Hợp</t>
        </is>
      </c>
      <c r="G11" s="27" t="n">
        <v>46093</v>
      </c>
      <c r="H11" s="37" t="inlineStr">
        <is>
          <t>QUÁ HẠN</t>
        </is>
      </c>
      <c r="I11" s="37" t="inlineStr">
        <is>
          <t>QUÁ HẠN</t>
        </is>
      </c>
      <c r="J11" s="29" t="n">
        <v>0</v>
      </c>
      <c r="K11" s="37" t="inlineStr">
        <is>
          <t>Số cọc:  | Loại cọc:</t>
        </is>
      </c>
    </row>
    <row r="12">
      <c r="A12" s="37" t="inlineStr">
        <is>
          <t>BK-HS-0009</t>
        </is>
      </c>
      <c r="B12" s="37" t="inlineStr">
        <is>
          <t>Công Ty</t>
        </is>
      </c>
      <c r="C12" s="37" t="inlineStr">
        <is>
          <t>An Khánh</t>
        </is>
      </c>
      <c r="D12" s="37" t="inlineStr">
        <is>
          <t>Xác định diện tích</t>
        </is>
      </c>
      <c r="E12" s="37" t="inlineStr">
        <is>
          <t>Lê Văn Xây</t>
        </is>
      </c>
      <c r="F12" s="37" t="inlineStr">
        <is>
          <t>Võ Tứ Hợp</t>
        </is>
      </c>
      <c r="G12" s="27" t="n">
        <v>46092</v>
      </c>
      <c r="H12" s="37" t="inlineStr">
        <is>
          <t>QUÁ HẠN</t>
        </is>
      </c>
      <c r="I12" s="37" t="inlineStr">
        <is>
          <t>QUÁ HẠN</t>
        </is>
      </c>
      <c r="J12" s="29" t="n">
        <v>0</v>
      </c>
      <c r="K12" s="37" t="inlineStr">
        <is>
          <t>Số cọc:  | Loại cọc:</t>
        </is>
      </c>
    </row>
    <row r="13">
      <c r="A13" s="37" t="inlineStr">
        <is>
          <t>BK-HS-0010</t>
        </is>
      </c>
      <c r="B13" s="37" t="inlineStr">
        <is>
          <t>Cô Hoa</t>
        </is>
      </c>
      <c r="C13" s="37" t="inlineStr">
        <is>
          <t>Linh Xuân</t>
        </is>
      </c>
      <c r="D13" s="37" t="inlineStr">
        <is>
          <t>Hoàn công</t>
        </is>
      </c>
      <c r="E13" s="37" t="inlineStr">
        <is>
          <t>Lê Văn Xây</t>
        </is>
      </c>
      <c r="F13" s="37" t="inlineStr">
        <is>
          <t>Võ Tứ Hợp</t>
        </is>
      </c>
      <c r="G13" s="27" t="n">
        <v>46092</v>
      </c>
      <c r="H13" s="37" t="inlineStr">
        <is>
          <t>QUÁ HẠN</t>
        </is>
      </c>
      <c r="I13" s="37" t="inlineStr">
        <is>
          <t>QUÁ HẠN</t>
        </is>
      </c>
      <c r="J13" s="29" t="n">
        <v>0</v>
      </c>
      <c r="K13" s="37" t="inlineStr">
        <is>
          <t>Số cọc:  | Loại cọc:</t>
        </is>
      </c>
    </row>
    <row r="14">
      <c r="A14" s="37" t="inlineStr">
        <is>
          <t>BK-HS-0011</t>
        </is>
      </c>
      <c r="B14" s="37" t="inlineStr">
        <is>
          <t>Công Ty</t>
        </is>
      </c>
      <c r="C14" s="37" t="inlineStr">
        <is>
          <t>Linh Xuân</t>
        </is>
      </c>
      <c r="D14" s="37" t="inlineStr">
        <is>
          <t>Cấp đổi</t>
        </is>
      </c>
      <c r="E14" s="37" t="inlineStr">
        <is>
          <t>Trương Tấn Quốc</t>
        </is>
      </c>
      <c r="F14" s="37" t="inlineStr">
        <is>
          <t>Võ Tứ Hợp</t>
        </is>
      </c>
      <c r="G14" s="27" t="n">
        <v>46092</v>
      </c>
      <c r="H14" s="37" t="inlineStr">
        <is>
          <t>Đã nộp | Cần cắm mốc | Đợi trích lục</t>
        </is>
      </c>
      <c r="I14" s="37" t="inlineStr">
        <is>
          <t>Nộp thành công - Chờ kết quả</t>
        </is>
      </c>
      <c r="J14" s="29" t="n">
        <v>0</v>
      </c>
      <c r="K14" s="37" t="inlineStr">
        <is>
          <t>Số cọc:  | Loại cọc:</t>
        </is>
      </c>
    </row>
    <row r="15">
      <c r="A15" s="37" t="inlineStr">
        <is>
          <t>BK-HS-0012</t>
        </is>
      </c>
      <c r="B15" s="37" t="inlineStr">
        <is>
          <t>Chinh Đen</t>
        </is>
      </c>
      <c r="C15" s="37" t="inlineStr">
        <is>
          <t>Cát Lái</t>
        </is>
      </c>
      <c r="D15" s="37" t="inlineStr">
        <is>
          <t>Cắm mốc</t>
        </is>
      </c>
      <c r="E15" s="37" t="inlineStr">
        <is>
          <t>Tạ Khắc Tập</t>
        </is>
      </c>
      <c r="F15" s="37" t="inlineStr">
        <is>
          <t>Không cần</t>
        </is>
      </c>
      <c r="G15" s="27" t="n">
        <v>46091</v>
      </c>
      <c r="H15" s="37" t="inlineStr">
        <is>
          <t>Hoàn thành</t>
        </is>
      </c>
      <c r="I15" s="37" t="inlineStr">
        <is>
          <t>Hoàn thành</t>
        </is>
      </c>
      <c r="J15" s="29" t="n">
        <v>0</v>
      </c>
      <c r="K15" s="37" t="inlineStr">
        <is>
          <t>Số cọc: 5.0 | Loại cọc: Cọc sắt</t>
        </is>
      </c>
    </row>
    <row r="16">
      <c r="A16" s="37" t="inlineStr">
        <is>
          <t>BK-HS-0013</t>
        </is>
      </c>
      <c r="B16" s="37" t="inlineStr">
        <is>
          <t>Công Ty</t>
        </is>
      </c>
      <c r="C16" s="37" t="inlineStr">
        <is>
          <t>Hiệp Bình</t>
        </is>
      </c>
      <c r="D16" s="37" t="inlineStr">
        <is>
          <t>Chuyển mục đích</t>
        </is>
      </c>
      <c r="E16" s="37" t="inlineStr">
        <is>
          <t>Lê Văn Xây</t>
        </is>
      </c>
      <c r="F16" s="37" t="inlineStr">
        <is>
          <t>Không cần</t>
        </is>
      </c>
      <c r="G16" s="27" t="n">
        <v>46091</v>
      </c>
      <c r="H16" s="37" t="inlineStr">
        <is>
          <t>QUÁ HẠN</t>
        </is>
      </c>
      <c r="I16" s="37" t="inlineStr">
        <is>
          <t>QUÁ HẠN</t>
        </is>
      </c>
      <c r="J16" s="29" t="n">
        <v>0</v>
      </c>
      <c r="K16" s="37" t="inlineStr">
        <is>
          <t>Số cọc:  | Loại cọc:</t>
        </is>
      </c>
    </row>
    <row r="17">
      <c r="A17" s="37" t="inlineStr">
        <is>
          <t>BK-HS-0014</t>
        </is>
      </c>
      <c r="B17" s="37" t="inlineStr">
        <is>
          <t>Đạt Việt Phát Land</t>
        </is>
      </c>
      <c r="C17" s="37" t="inlineStr">
        <is>
          <t>Thủ Đức</t>
        </is>
      </c>
      <c r="D17" s="37" t="inlineStr">
        <is>
          <t>Cắm mốc</t>
        </is>
      </c>
      <c r="E17" s="37" t="inlineStr">
        <is>
          <t>Tạ Khắc Tập</t>
        </is>
      </c>
      <c r="F17" s="37" t="inlineStr">
        <is>
          <t>Võ Tứ Hợp</t>
        </is>
      </c>
      <c r="G17" s="27" t="n">
        <v>46091</v>
      </c>
      <c r="H17" s="37" t="inlineStr">
        <is>
          <t>Hoàn thành</t>
        </is>
      </c>
      <c r="I17" s="37" t="inlineStr">
        <is>
          <t>Hoàn thành</t>
        </is>
      </c>
      <c r="J17" s="29" t="n">
        <v>0</v>
      </c>
      <c r="K17" s="37" t="inlineStr">
        <is>
          <t>Số cọc: 7.0 | Loại cọc: Cọc sắt</t>
        </is>
      </c>
    </row>
    <row r="18">
      <c r="A18" s="37" t="inlineStr">
        <is>
          <t>BK-HS-0015</t>
        </is>
      </c>
      <c r="B18" s="37" t="inlineStr">
        <is>
          <t>Công Ty</t>
        </is>
      </c>
      <c r="C18" s="37" t="inlineStr">
        <is>
          <t>Tam Bình</t>
        </is>
      </c>
      <c r="D18" s="37" t="inlineStr">
        <is>
          <t>Xác định diện tích</t>
        </is>
      </c>
      <c r="E18" s="37" t="inlineStr">
        <is>
          <t>Lê Văn Dựng</t>
        </is>
      </c>
      <c r="F18" s="37" t="inlineStr">
        <is>
          <t>Võ Tứ Hợp</t>
        </is>
      </c>
      <c r="G18" s="27" t="n">
        <v>46091</v>
      </c>
      <c r="H18" s="37" t="inlineStr">
        <is>
          <t>Hoàn thành</t>
        </is>
      </c>
      <c r="I18" s="37" t="inlineStr">
        <is>
          <t>Hoàn thành</t>
        </is>
      </c>
      <c r="J18" s="29" t="n">
        <v>0</v>
      </c>
      <c r="K18" s="37" t="inlineStr">
        <is>
          <t>Số cọc:  | Loại cọc:</t>
        </is>
      </c>
    </row>
    <row r="19">
      <c r="A19" s="37" t="inlineStr">
        <is>
          <t>BK-HS-0016</t>
        </is>
      </c>
      <c r="B19" s="37" t="inlineStr">
        <is>
          <t>Công Ty</t>
        </is>
      </c>
      <c r="C19" s="37" t="inlineStr">
        <is>
          <t>Tam Bình</t>
        </is>
      </c>
      <c r="D19" s="37" t="inlineStr">
        <is>
          <t>Xác định diện tích</t>
        </is>
      </c>
      <c r="E19" s="37" t="inlineStr">
        <is>
          <t>Lê Văn Dựng</t>
        </is>
      </c>
      <c r="F19" s="37" t="inlineStr">
        <is>
          <t>Không cần</t>
        </is>
      </c>
      <c r="G19" s="27" t="n">
        <v>46091</v>
      </c>
      <c r="H19" s="37" t="inlineStr">
        <is>
          <t>Hoàn thành</t>
        </is>
      </c>
      <c r="I19" s="37" t="inlineStr">
        <is>
          <t>Hoàn thành</t>
        </is>
      </c>
      <c r="J19" s="29" t="n">
        <v>0</v>
      </c>
      <c r="K19" s="37" t="inlineStr">
        <is>
          <t>Số cọc:  | Loại cọc:</t>
        </is>
      </c>
    </row>
    <row r="20">
      <c r="A20" s="37" t="inlineStr">
        <is>
          <t>BK-HS-0017</t>
        </is>
      </c>
      <c r="B20" s="37" t="inlineStr">
        <is>
          <t>Công Ty</t>
        </is>
      </c>
      <c r="C20" s="37" t="inlineStr">
        <is>
          <t>Long Phước</t>
        </is>
      </c>
      <c r="D20" s="37" t="inlineStr">
        <is>
          <t>Đo GPS</t>
        </is>
      </c>
      <c r="E20" s="37" t="inlineStr">
        <is>
          <t>Lê Văn Dựng</t>
        </is>
      </c>
      <c r="F20" s="37" t="inlineStr">
        <is>
          <t>Không cần</t>
        </is>
      </c>
      <c r="G20" s="27" t="n">
        <v>46090</v>
      </c>
      <c r="H20" s="37" t="inlineStr">
        <is>
          <t>Hoàn thành</t>
        </is>
      </c>
      <c r="I20" s="37" t="inlineStr">
        <is>
          <t>Hoàn thành</t>
        </is>
      </c>
      <c r="J20" s="29" t="n">
        <v>0</v>
      </c>
      <c r="K20" s="37" t="inlineStr">
        <is>
          <t>Số cọc:  | Loại cọc:</t>
        </is>
      </c>
    </row>
    <row r="21" ht="15.75" customHeight="1" s="56">
      <c r="A21" s="37" t="inlineStr">
        <is>
          <t>BK-HS-0018</t>
        </is>
      </c>
      <c r="B21" s="37" t="inlineStr">
        <is>
          <t>Công Ty</t>
        </is>
      </c>
      <c r="C21" s="37" t="inlineStr">
        <is>
          <t>Long Phước</t>
        </is>
      </c>
      <c r="D21" s="37" t="inlineStr">
        <is>
          <t>Cấp sổ lần đầu</t>
        </is>
      </c>
      <c r="E21" s="37" t="inlineStr">
        <is>
          <t>Tạ Khắc Tập</t>
        </is>
      </c>
      <c r="F21" s="37" t="inlineStr">
        <is>
          <t>Võ Tứ Hợp</t>
        </is>
      </c>
      <c r="G21" s="27" t="n">
        <v>46090</v>
      </c>
      <c r="H21" s="37" t="inlineStr">
        <is>
          <t>Hoàn thành | BAO CAO GPS</t>
        </is>
      </c>
      <c r="I21" s="37" t="inlineStr">
        <is>
          <t>Hoàn thành</t>
        </is>
      </c>
      <c r="J21" s="29" t="n">
        <v>0</v>
      </c>
      <c r="K21" s="37" t="inlineStr">
        <is>
          <t>Số cọc:  | Loại cọc:</t>
        </is>
      </c>
    </row>
    <row r="22" ht="15.75" customHeight="1" s="56">
      <c r="A22" s="37" t="inlineStr">
        <is>
          <t>BK-HS-0019</t>
        </is>
      </c>
      <c r="B22" s="37" t="inlineStr">
        <is>
          <t>Anh Hoàng nhà đầu tư</t>
        </is>
      </c>
      <c r="C22" s="37" t="inlineStr">
        <is>
          <t>Long Trường</t>
        </is>
      </c>
      <c r="D22" s="37" t="inlineStr">
        <is>
          <t>Đo GPS</t>
        </is>
      </c>
      <c r="E22" s="37" t="inlineStr">
        <is>
          <t>Lê Văn Dựng</t>
        </is>
      </c>
      <c r="F22" s="37" t="inlineStr">
        <is>
          <t>Không cần</t>
        </is>
      </c>
      <c r="G22" s="27" t="n">
        <v>46090</v>
      </c>
      <c r="H22" s="37" t="inlineStr">
        <is>
          <t>Hoàn thành</t>
        </is>
      </c>
      <c r="I22" s="37" t="inlineStr">
        <is>
          <t>Hoàn thành</t>
        </is>
      </c>
      <c r="J22" s="29" t="n">
        <v>0</v>
      </c>
      <c r="K22" s="37" t="inlineStr">
        <is>
          <t>Số cọc:  | Loại cọc:</t>
        </is>
      </c>
    </row>
    <row r="23" ht="15.75" customHeight="1" s="56">
      <c r="A23" s="37" t="inlineStr">
        <is>
          <t>BK-HS-0020</t>
        </is>
      </c>
      <c r="B23" s="37" t="inlineStr">
        <is>
          <t>Anh Hoàng Nhà Đầu Tư</t>
        </is>
      </c>
      <c r="C23" s="37" t="inlineStr">
        <is>
          <t>Long Trường</t>
        </is>
      </c>
      <c r="D23" s="37" t="inlineStr">
        <is>
          <t>Cấp đổi</t>
        </is>
      </c>
      <c r="E23" s="37" t="inlineStr">
        <is>
          <t>Lê Văn Dựng</t>
        </is>
      </c>
      <c r="F23" s="37" t="inlineStr">
        <is>
          <t>Không cần</t>
        </is>
      </c>
      <c r="G23" s="27" t="n">
        <v>46090</v>
      </c>
      <c r="H23" s="37" t="inlineStr">
        <is>
          <t>Đã nộp</t>
        </is>
      </c>
      <c r="I23" s="37" t="inlineStr">
        <is>
          <t>Nộp thành công - Chờ kết quả</t>
        </is>
      </c>
      <c r="J23" s="29" t="n">
        <v>0</v>
      </c>
      <c r="K23" s="37" t="inlineStr">
        <is>
          <t>Số cọc:  | Loại cọc:</t>
        </is>
      </c>
    </row>
    <row r="24" ht="15.75" customHeight="1" s="56">
      <c r="A24" s="37" t="inlineStr">
        <is>
          <t>BK-HS-0021</t>
        </is>
      </c>
      <c r="B24" s="37" t="inlineStr">
        <is>
          <t>Công Ty</t>
        </is>
      </c>
      <c r="C24" s="37" t="inlineStr">
        <is>
          <t>Tăng Nhơn Phú</t>
        </is>
      </c>
      <c r="D24" s="37" t="inlineStr">
        <is>
          <t>Xin phép xây dựng</t>
        </is>
      </c>
      <c r="E24" s="37" t="inlineStr">
        <is>
          <t>Võ Tứ Hợp</t>
        </is>
      </c>
      <c r="F24" s="37" t="inlineStr">
        <is>
          <t>Không cần</t>
        </is>
      </c>
      <c r="G24" s="27" t="n">
        <v>46088</v>
      </c>
      <c r="H24" s="37" t="inlineStr">
        <is>
          <t>ĐÃ HỦY</t>
        </is>
      </c>
      <c r="I24" s="37" t="inlineStr">
        <is>
          <t>Hủy</t>
        </is>
      </c>
      <c r="J24" s="29" t="n">
        <v>0</v>
      </c>
      <c r="K24" s="37" t="inlineStr">
        <is>
          <t>Số cọc:  | Loại cọc:</t>
        </is>
      </c>
    </row>
    <row r="25" ht="15.75" customHeight="1" s="56">
      <c r="A25" s="37" t="inlineStr">
        <is>
          <t>BK-HS-0022</t>
        </is>
      </c>
      <c r="B25" s="37" t="inlineStr">
        <is>
          <t>Công Ty</t>
        </is>
      </c>
      <c r="C25" s="37" t="inlineStr">
        <is>
          <t>Tam Bình</t>
        </is>
      </c>
      <c r="D25" s="37" t="inlineStr">
        <is>
          <t>Hoàn công</t>
        </is>
      </c>
      <c r="E25" s="37" t="inlineStr">
        <is>
          <t>Lê Văn Xây</t>
        </is>
      </c>
      <c r="F25" s="37" t="inlineStr">
        <is>
          <t>Võ Tứ Hợp</t>
        </is>
      </c>
      <c r="G25" s="27" t="n">
        <v>46087</v>
      </c>
      <c r="H25" s="37" t="inlineStr">
        <is>
          <t>Đã nộp</t>
        </is>
      </c>
      <c r="I25" s="37" t="inlineStr">
        <is>
          <t>Nộp thành công - Chờ kết quả</t>
        </is>
      </c>
      <c r="J25" s="29" t="n">
        <v>0</v>
      </c>
      <c r="K25" s="37" t="inlineStr">
        <is>
          <t>Số cọc:  | Loại cọc:</t>
        </is>
      </c>
    </row>
    <row r="26" ht="15.75" customHeight="1" s="56">
      <c r="A26" s="37" t="inlineStr">
        <is>
          <t>BK-HS-0023</t>
        </is>
      </c>
      <c r="B26" s="37" t="inlineStr">
        <is>
          <t>Tùng Huế DV</t>
        </is>
      </c>
      <c r="C26" s="37" t="inlineStr">
        <is>
          <t>Bình Trưng</t>
        </is>
      </c>
      <c r="D26" s="37" t="inlineStr">
        <is>
          <t>Cắm mốc</t>
        </is>
      </c>
      <c r="E26" s="37" t="inlineStr">
        <is>
          <t>Lê Văn Dựng</t>
        </is>
      </c>
      <c r="F26" s="37" t="inlineStr">
        <is>
          <t>Võ Tứ Hợp</t>
        </is>
      </c>
      <c r="G26" s="27" t="n">
        <v>46086</v>
      </c>
      <c r="H26" s="37" t="inlineStr">
        <is>
          <t>Hoàn thành</t>
        </is>
      </c>
      <c r="I26" s="37" t="inlineStr">
        <is>
          <t>Hoàn thành</t>
        </is>
      </c>
      <c r="J26" s="29" t="n">
        <v>50000</v>
      </c>
      <c r="K26" s="37" t="inlineStr">
        <is>
          <t>Số cọc: 6.0 | Loại cọc: Trụ xi măng</t>
        </is>
      </c>
    </row>
    <row r="27" ht="15.75" customHeight="1" s="56">
      <c r="A27" s="37" t="inlineStr">
        <is>
          <t>BK-HS-0024</t>
        </is>
      </c>
      <c r="B27" s="37" t="inlineStr">
        <is>
          <t>Công Ty</t>
        </is>
      </c>
      <c r="C27" s="37" t="inlineStr">
        <is>
          <t>Hiệp Bình</t>
        </is>
      </c>
      <c r="D27" s="37" t="inlineStr">
        <is>
          <t>Cấp sổ lần đầu</t>
        </is>
      </c>
      <c r="E27" s="37" t="inlineStr">
        <is>
          <t>Trương Tấn Quốc</t>
        </is>
      </c>
      <c r="F27" s="37" t="inlineStr">
        <is>
          <t>Võ Tứ Hợp</t>
        </is>
      </c>
      <c r="G27" s="27" t="n">
        <v>46085</v>
      </c>
      <c r="H27" s="37" t="inlineStr">
        <is>
          <t>Hoàn thành | Lúc trước đã hủy, giờ vẽ nộp phường</t>
        </is>
      </c>
      <c r="I27" s="37" t="inlineStr">
        <is>
          <t>Hoàn thành</t>
        </is>
      </c>
      <c r="J27" s="29" t="n">
        <v>0</v>
      </c>
      <c r="K27" s="37" t="inlineStr">
        <is>
          <t>Số cọc:  | Loại cọc:</t>
        </is>
      </c>
    </row>
    <row r="28" ht="15.75" customHeight="1" s="56">
      <c r="A28" s="37" t="inlineStr">
        <is>
          <t>BK-HS-0025</t>
        </is>
      </c>
      <c r="B28" s="37" t="inlineStr">
        <is>
          <t>Công Ty</t>
        </is>
      </c>
      <c r="C28" s="37" t="inlineStr">
        <is>
          <t>Tam Bình</t>
        </is>
      </c>
      <c r="D28" s="37" t="inlineStr">
        <is>
          <t>Cắm mốc</t>
        </is>
      </c>
      <c r="E28" s="37" t="inlineStr">
        <is>
          <t>Lê Văn Dựng</t>
        </is>
      </c>
      <c r="F28" s="37" t="inlineStr">
        <is>
          <t>Võ Tứ Hợp</t>
        </is>
      </c>
      <c r="G28" s="27" t="n">
        <v>46085</v>
      </c>
      <c r="H28" s="37" t="inlineStr">
        <is>
          <t>Hoàn thành</t>
        </is>
      </c>
      <c r="I28" s="37" t="inlineStr">
        <is>
          <t>Hoàn thành</t>
        </is>
      </c>
      <c r="J28" s="29" t="n">
        <v>0</v>
      </c>
      <c r="K28" s="37" t="inlineStr">
        <is>
          <t>Số cọc:  | Loại cọc:</t>
        </is>
      </c>
    </row>
    <row r="29" ht="15.75" customHeight="1" s="56">
      <c r="A29" s="37" t="inlineStr">
        <is>
          <t>BK-HS-0026</t>
        </is>
      </c>
      <c r="B29" s="37" t="inlineStr">
        <is>
          <t>Công Ty</t>
        </is>
      </c>
      <c r="C29" s="37" t="inlineStr">
        <is>
          <t>Tăng Nhơn Phú</t>
        </is>
      </c>
      <c r="D29" s="37" t="inlineStr">
        <is>
          <t>Xác định diện tích</t>
        </is>
      </c>
      <c r="E29" s="37" t="inlineStr">
        <is>
          <t>Trương Tấn Quốc</t>
        </is>
      </c>
      <c r="F29" s="37" t="inlineStr">
        <is>
          <t>Không cần</t>
        </is>
      </c>
      <c r="G29" s="27" t="n">
        <v>46085</v>
      </c>
      <c r="H29" s="37" t="inlineStr">
        <is>
          <t>Hoàn thành</t>
        </is>
      </c>
      <c r="I29" s="37" t="inlineStr">
        <is>
          <t>Hoàn thành</t>
        </is>
      </c>
      <c r="J29" s="29" t="n">
        <v>0</v>
      </c>
      <c r="K29" s="37" t="inlineStr">
        <is>
          <t>Số cọc:  | Loại cọc:</t>
        </is>
      </c>
    </row>
    <row r="30" ht="15.75" customHeight="1" s="56">
      <c r="A30" s="37" t="inlineStr">
        <is>
          <t>BK-HS-0027</t>
        </is>
      </c>
      <c r="B30" s="37" t="inlineStr">
        <is>
          <t>Công Ty</t>
        </is>
      </c>
      <c r="C30" s="37" t="inlineStr">
        <is>
          <t>Bình Trưng</t>
        </is>
      </c>
      <c r="D30" s="37" t="inlineStr">
        <is>
          <t>Xác định diện tích</t>
        </is>
      </c>
      <c r="E30" s="37" t="inlineStr">
        <is>
          <t>Lê Văn Dựng</t>
        </is>
      </c>
      <c r="F30" s="37" t="inlineStr">
        <is>
          <t>Không cần</t>
        </is>
      </c>
      <c r="G30" s="27" t="n">
        <v>46085</v>
      </c>
      <c r="H30" s="37" t="inlineStr">
        <is>
          <t>Hoàn thành | hồ sơ cấp đổi lấn thửa chủ nhà yêu cầu vẽ XDDT để đưa lên phường trình bày</t>
        </is>
      </c>
      <c r="I30" s="37" t="inlineStr">
        <is>
          <t>Hoàn thành</t>
        </is>
      </c>
      <c r="J30" s="29" t="n">
        <v>0</v>
      </c>
      <c r="K30" s="37" t="inlineStr">
        <is>
          <t>Số cọc:  | Loại cọc:</t>
        </is>
      </c>
    </row>
    <row r="31" ht="15.75" customHeight="1" s="56">
      <c r="A31" s="37" t="inlineStr">
        <is>
          <t>BK-HS-0028</t>
        </is>
      </c>
      <c r="B31" s="37" t="inlineStr">
        <is>
          <t>Tuấn Lộc</t>
        </is>
      </c>
      <c r="C31" s="37" t="inlineStr">
        <is>
          <t>Cát Lái</t>
        </is>
      </c>
      <c r="D31" s="37" t="inlineStr">
        <is>
          <t>Hoàn công</t>
        </is>
      </c>
      <c r="E31" s="37" t="inlineStr">
        <is>
          <t>Tạ Khắc Tập</t>
        </is>
      </c>
      <c r="F31" s="37" t="inlineStr">
        <is>
          <t>Võ Tứ Hợp</t>
        </is>
      </c>
      <c r="G31" s="27" t="n">
        <v>46085</v>
      </c>
      <c r="H31" s="37" t="inlineStr">
        <is>
          <t>Đã nộp | GIAM DT+ VE THEO GPXD</t>
        </is>
      </c>
      <c r="I31" s="37" t="inlineStr">
        <is>
          <t>Nộp thành công - Chờ kết quả</t>
        </is>
      </c>
      <c r="J31" s="29" t="n">
        <v>0</v>
      </c>
      <c r="K31" s="37" t="inlineStr">
        <is>
          <t>Số cọc:  | Loại cọc:</t>
        </is>
      </c>
    </row>
    <row r="32" ht="15.75" customHeight="1" s="56">
      <c r="A32" s="37" t="inlineStr">
        <is>
          <t>BK-HS-0029</t>
        </is>
      </c>
      <c r="B32" s="37" t="inlineStr">
        <is>
          <t>Công Ty</t>
        </is>
      </c>
      <c r="C32" s="37" t="inlineStr">
        <is>
          <t>Long Phước</t>
        </is>
      </c>
      <c r="D32" s="37" t="inlineStr">
        <is>
          <t>Hoàn công</t>
        </is>
      </c>
      <c r="E32" s="37" t="inlineStr">
        <is>
          <t>Tạ Khắc Tập</t>
        </is>
      </c>
      <c r="F32" s="37" t="inlineStr">
        <is>
          <t>Võ Tứ Hợp</t>
        </is>
      </c>
      <c r="G32" s="27" t="n">
        <v>46085</v>
      </c>
      <c r="H32" s="37" t="inlineStr">
        <is>
          <t>QUÁ HẠN | SAI HIEN TRANG+ GIAY PHEP XD KO ĐÚNG BVXP CHỜ CHU NHÀ  RA PHUONG DDIEU CHINH GPXD</t>
        </is>
      </c>
      <c r="I32" s="37" t="inlineStr">
        <is>
          <t>QUÁ HẠN</t>
        </is>
      </c>
      <c r="J32" s="29" t="n">
        <v>0</v>
      </c>
      <c r="K32" s="37" t="inlineStr">
        <is>
          <t>Số cọc:  | Loại cọc:</t>
        </is>
      </c>
    </row>
    <row r="33" ht="15.75" customHeight="1" s="56">
      <c r="A33" s="37" t="inlineStr">
        <is>
          <t>BK-HS-0030</t>
        </is>
      </c>
      <c r="B33" s="37" t="inlineStr">
        <is>
          <t>Công Ty</t>
        </is>
      </c>
      <c r="C33" s="37" t="inlineStr">
        <is>
          <t>Long Phước</t>
        </is>
      </c>
      <c r="D33" s="37" t="inlineStr">
        <is>
          <t>Cắm mốc</t>
        </is>
      </c>
      <c r="E33" s="37" t="inlineStr">
        <is>
          <t>Lê Văn Dựng</t>
        </is>
      </c>
      <c r="F33" s="37" t="inlineStr">
        <is>
          <t>Không cần</t>
        </is>
      </c>
      <c r="G33" s="27" t="n">
        <v>46085</v>
      </c>
      <c r="H33" s="37" t="inlineStr">
        <is>
          <t>Hoàn thành</t>
        </is>
      </c>
      <c r="I33" s="37" t="inlineStr">
        <is>
          <t>Hoàn thành</t>
        </is>
      </c>
      <c r="J33" s="29" t="n">
        <v>0</v>
      </c>
      <c r="K33" s="37" t="inlineStr">
        <is>
          <t>Số cọc:  | Loại cọc:</t>
        </is>
      </c>
    </row>
    <row r="34" ht="15.75" customHeight="1" s="56">
      <c r="A34" s="37" t="inlineStr">
        <is>
          <t>BK-HS-0031</t>
        </is>
      </c>
      <c r="B34" s="37" t="inlineStr">
        <is>
          <t>Tuấn Lộc</t>
        </is>
      </c>
      <c r="C34" s="37" t="inlineStr">
        <is>
          <t>Long Trường</t>
        </is>
      </c>
      <c r="D34" s="37" t="inlineStr">
        <is>
          <t>Hoàn công</t>
        </is>
      </c>
      <c r="E34" s="37" t="inlineStr">
        <is>
          <t>Lê Văn Xây</t>
        </is>
      </c>
      <c r="F34" s="37" t="inlineStr">
        <is>
          <t>Võ Tứ Hợp</t>
        </is>
      </c>
      <c r="G34" s="27" t="n">
        <v>46084</v>
      </c>
      <c r="H34" s="37" t="inlineStr">
        <is>
          <t>QUÁ HẠN</t>
        </is>
      </c>
      <c r="I34" s="37" t="inlineStr">
        <is>
          <t>QUÁ HẠN</t>
        </is>
      </c>
      <c r="J34" s="29" t="n">
        <v>0</v>
      </c>
      <c r="K34" s="37" t="inlineStr">
        <is>
          <t>Số cọc:  | Loại cọc:</t>
        </is>
      </c>
    </row>
    <row r="35" ht="15.75" customHeight="1" s="56">
      <c r="A35" s="37" t="inlineStr">
        <is>
          <t>BK-HS-0032</t>
        </is>
      </c>
      <c r="B35" s="37" t="inlineStr">
        <is>
          <t>Công Ty</t>
        </is>
      </c>
      <c r="C35" s="37" t="inlineStr">
        <is>
          <t>An Khánh</t>
        </is>
      </c>
      <c r="D35" s="37" t="inlineStr">
        <is>
          <t>Cấp đổi</t>
        </is>
      </c>
      <c r="E35" s="37" t="inlineStr">
        <is>
          <t>Trương Tấn Quốc</t>
        </is>
      </c>
      <c r="F35" s="37" t="inlineStr">
        <is>
          <t>Võ Tứ Hợp</t>
        </is>
      </c>
      <c r="G35" s="27" t="n">
        <v>46084</v>
      </c>
      <c r="H35" s="37" t="inlineStr">
        <is>
          <t>Đã nộp</t>
        </is>
      </c>
      <c r="I35" s="37" t="inlineStr">
        <is>
          <t>Nộp thành công - Chờ kết quả</t>
        </is>
      </c>
      <c r="J35" s="29" t="n">
        <v>0</v>
      </c>
      <c r="K35" s="37" t="inlineStr">
        <is>
          <t>Số cọc:  | Loại cọc:</t>
        </is>
      </c>
    </row>
    <row r="36" ht="15.75" customHeight="1" s="56">
      <c r="A36" s="37" t="inlineStr">
        <is>
          <t>BK-HS-0033</t>
        </is>
      </c>
      <c r="B36" s="37" t="inlineStr">
        <is>
          <t>Nguyễn Tâm DV</t>
        </is>
      </c>
      <c r="C36" s="37" t="inlineStr">
        <is>
          <t>Hiệp Bình</t>
        </is>
      </c>
      <c r="D36" s="37" t="inlineStr">
        <is>
          <t>Cấp sổ lần đầu</t>
        </is>
      </c>
      <c r="E36" s="37" t="inlineStr">
        <is>
          <t>Tạ Khắc Tập</t>
        </is>
      </c>
      <c r="F36" s="37" t="inlineStr">
        <is>
          <t>Lê Tấn Đạt</t>
        </is>
      </c>
      <c r="G36" s="27" t="n">
        <v>46083</v>
      </c>
      <c r="H36" s="37" t="inlineStr">
        <is>
          <t>Hoàn thành</t>
        </is>
      </c>
      <c r="I36" s="37" t="inlineStr">
        <is>
          <t>Hoàn thành</t>
        </is>
      </c>
      <c r="J36" s="29" t="n">
        <v>0</v>
      </c>
      <c r="K36" s="37" t="inlineStr">
        <is>
          <t>Số cọc:  | Loại cọc:</t>
        </is>
      </c>
    </row>
    <row r="37" ht="15.75" customHeight="1" s="56">
      <c r="A37" s="37" t="inlineStr">
        <is>
          <t>BK-HS-0034</t>
        </is>
      </c>
      <c r="B37" s="37" t="inlineStr">
        <is>
          <t>Công Ty</t>
        </is>
      </c>
      <c r="C37" s="37" t="inlineStr">
        <is>
          <t>Bình Trưng</t>
        </is>
      </c>
      <c r="D37" s="37" t="inlineStr">
        <is>
          <t>Cấp đổi</t>
        </is>
      </c>
      <c r="E37" s="37" t="inlineStr">
        <is>
          <t>Lê Văn Dựng</t>
        </is>
      </c>
      <c r="F37" s="37" t="inlineStr">
        <is>
          <t>Võ Tứ Hợp</t>
        </is>
      </c>
      <c r="G37" s="27" t="n">
        <v>46080</v>
      </c>
      <c r="H37" s="37" t="inlineStr">
        <is>
          <t>QUÁ HẠN | Đợi chủ nhà đập hàng rào</t>
        </is>
      </c>
      <c r="I37" s="37" t="inlineStr">
        <is>
          <t>QUÁ HẠN</t>
        </is>
      </c>
      <c r="J37" s="29" t="n">
        <v>0</v>
      </c>
      <c r="K37" s="37" t="inlineStr">
        <is>
          <t>Số cọc:  | Loại cọc:</t>
        </is>
      </c>
    </row>
    <row r="38" ht="15.75" customHeight="1" s="56">
      <c r="A38" s="37" t="inlineStr">
        <is>
          <t>BK-HS-0035</t>
        </is>
      </c>
      <c r="B38" s="37" t="inlineStr">
        <is>
          <t>Anh Duẩn DV</t>
        </is>
      </c>
      <c r="C38" s="37" t="inlineStr">
        <is>
          <t>Hiệp Bình</t>
        </is>
      </c>
      <c r="D38" s="37" t="inlineStr">
        <is>
          <t>Cắm mốc</t>
        </is>
      </c>
      <c r="E38" s="37" t="inlineStr">
        <is>
          <t>Lê Văn Dựng</t>
        </is>
      </c>
      <c r="F38" s="37" t="inlineStr">
        <is>
          <t>Võ Tứ Hợp</t>
        </is>
      </c>
      <c r="G38" s="27" t="n">
        <v>46080</v>
      </c>
      <c r="H38" s="37" t="inlineStr">
        <is>
          <t>Hoàn thành</t>
        </is>
      </c>
      <c r="I38" s="37" t="inlineStr">
        <is>
          <t>Hoàn thành</t>
        </is>
      </c>
      <c r="J38" s="29" t="n">
        <v>0</v>
      </c>
      <c r="K38" s="37" t="inlineStr">
        <is>
          <t>Số cọc:  | Loại cọc: Cọc sắt</t>
        </is>
      </c>
    </row>
    <row r="39" ht="15.75" customHeight="1" s="56">
      <c r="A39" s="37" t="inlineStr">
        <is>
          <t>BK-HS-0036</t>
        </is>
      </c>
      <c r="B39" s="37" t="inlineStr">
        <is>
          <t>Tùng Huế DV</t>
        </is>
      </c>
      <c r="C39" s="37" t="inlineStr">
        <is>
          <t>Bình Trưng</t>
        </is>
      </c>
      <c r="D39" s="37" t="inlineStr">
        <is>
          <t>Điều chỉnh bản vẽ</t>
        </is>
      </c>
      <c r="E39" s="37" t="inlineStr">
        <is>
          <t>Trương Tấn Quốc</t>
        </is>
      </c>
      <c r="F39" s="37" t="inlineStr">
        <is>
          <t>Không cần</t>
        </is>
      </c>
      <c r="G39" s="27" t="n">
        <v>46080</v>
      </c>
      <c r="H39" s="37" t="inlineStr">
        <is>
          <t>Đã nộp | Cần cắm lại trụ</t>
        </is>
      </c>
      <c r="I39" s="37" t="inlineStr">
        <is>
          <t>Nộp thành công - Chờ kết quả</t>
        </is>
      </c>
      <c r="J39" s="29" t="n">
        <v>0</v>
      </c>
      <c r="K39" s="37" t="inlineStr">
        <is>
          <t>Số cọc:  | Loại cọc:</t>
        </is>
      </c>
    </row>
    <row r="40" ht="15.75" customHeight="1" s="56">
      <c r="A40" s="37" t="inlineStr">
        <is>
          <t>BK-HS-0037</t>
        </is>
      </c>
      <c r="B40" s="37" t="inlineStr">
        <is>
          <t>Công Ty</t>
        </is>
      </c>
      <c r="C40" s="37" t="inlineStr">
        <is>
          <t>Long Phước</t>
        </is>
      </c>
      <c r="D40" s="37" t="inlineStr">
        <is>
          <t>Điều chỉnh bản vẽ</t>
        </is>
      </c>
      <c r="E40" s="37" t="inlineStr">
        <is>
          <t>Trương Tấn Quốc</t>
        </is>
      </c>
      <c r="F40" s="37" t="inlineStr">
        <is>
          <t>Không cần</t>
        </is>
      </c>
      <c r="G40" s="27" t="n">
        <v>46080</v>
      </c>
      <c r="H40" s="37" t="inlineStr">
        <is>
          <t>QUÁ HẠN | Cần cắm lại trụ | Đợi làm việc với phường</t>
        </is>
      </c>
      <c r="I40" s="37" t="inlineStr">
        <is>
          <t>QUÁ HẠN</t>
        </is>
      </c>
      <c r="J40" s="29" t="n">
        <v>0</v>
      </c>
      <c r="K40" s="37" t="inlineStr">
        <is>
          <t>Số cọc:  | Loại cọc:</t>
        </is>
      </c>
    </row>
    <row r="41" ht="15.75" customHeight="1" s="56">
      <c r="A41" s="37" t="inlineStr">
        <is>
          <t>BK-HS-0038</t>
        </is>
      </c>
      <c r="B41" s="37" t="inlineStr">
        <is>
          <t>Công Ty</t>
        </is>
      </c>
      <c r="C41" s="37" t="inlineStr">
        <is>
          <t>Cát Lái</t>
        </is>
      </c>
      <c r="D41" s="37" t="inlineStr">
        <is>
          <t>Xin phép xây dựng</t>
        </is>
      </c>
      <c r="E41" s="37" t="inlineStr">
        <is>
          <t>Võ Thành Minh</t>
        </is>
      </c>
      <c r="F41" s="37" t="inlineStr">
        <is>
          <t>Không cần</t>
        </is>
      </c>
      <c r="G41" s="27" t="n">
        <v>46062</v>
      </c>
      <c r="H41" s="37" t="inlineStr">
        <is>
          <t>Đã nộp | Đợi chủ nhà trích lục bản vẽ sơ đồ vị trí</t>
        </is>
      </c>
      <c r="I41" s="37" t="inlineStr">
        <is>
          <t>Nộp thành công - Chờ kết quả</t>
        </is>
      </c>
      <c r="J41" s="29" t="n">
        <v>0</v>
      </c>
      <c r="K41" s="37" t="inlineStr">
        <is>
          <t>Số cọc:  | Loại cọc:</t>
        </is>
      </c>
    </row>
    <row r="42" ht="15.75" customHeight="1" s="56">
      <c r="A42" s="37" t="inlineStr">
        <is>
          <t>BK-HS-0039</t>
        </is>
      </c>
      <c r="B42" s="37" t="inlineStr">
        <is>
          <t>Công Ty</t>
        </is>
      </c>
      <c r="C42" s="37" t="inlineStr">
        <is>
          <t>Thủ Đức</t>
        </is>
      </c>
      <c r="D42" s="37" t="inlineStr">
        <is>
          <t>Hoàn công</t>
        </is>
      </c>
      <c r="E42" s="37" t="inlineStr">
        <is>
          <t>Trương Tấn Quốc</t>
        </is>
      </c>
      <c r="F42" s="37" t="inlineStr">
        <is>
          <t>Võ Tứ Hợp</t>
        </is>
      </c>
      <c r="G42" s="27" t="n">
        <v>46060</v>
      </c>
      <c r="H42" s="37" t="inlineStr">
        <is>
          <t>Hoàn thành</t>
        </is>
      </c>
      <c r="I42" s="37" t="inlineStr">
        <is>
          <t>Hoàn thành</t>
        </is>
      </c>
      <c r="J42" s="29" t="n">
        <v>0</v>
      </c>
      <c r="K42" s="37" t="inlineStr">
        <is>
          <t>Số cọc:  | Loại cọc:</t>
        </is>
      </c>
    </row>
    <row r="43" ht="15.75" customHeight="1" s="56">
      <c r="A43" s="37" t="inlineStr">
        <is>
          <t>BK-HS-0040</t>
        </is>
      </c>
      <c r="B43" s="37" t="inlineStr">
        <is>
          <t>Công Ty</t>
        </is>
      </c>
      <c r="C43" s="37" t="inlineStr">
        <is>
          <t>Cát Lái</t>
        </is>
      </c>
      <c r="D43" s="37" t="inlineStr">
        <is>
          <t>Cắm mốc</t>
        </is>
      </c>
      <c r="E43" s="37" t="inlineStr">
        <is>
          <t>Tạ Khắc Tập</t>
        </is>
      </c>
      <c r="F43" s="37" t="inlineStr">
        <is>
          <t>Võ Tứ Hợp</t>
        </is>
      </c>
      <c r="G43" s="27" t="n">
        <v>46059</v>
      </c>
      <c r="H43" s="37" t="inlineStr">
        <is>
          <t>Hoàn thành | ( Xây+Tâp)-Hơp</t>
        </is>
      </c>
      <c r="I43" s="37" t="inlineStr">
        <is>
          <t>Hoàn thành</t>
        </is>
      </c>
      <c r="J43" s="29" t="n">
        <v>50000</v>
      </c>
      <c r="K43" s="37" t="inlineStr">
        <is>
          <t>Số cọc: 5.0 | Loại cọc: Trụ xi măng</t>
        </is>
      </c>
    </row>
    <row r="44" ht="15.75" customHeight="1" s="56">
      <c r="A44" s="37" t="inlineStr">
        <is>
          <t>BK-HS-0041</t>
        </is>
      </c>
      <c r="B44" s="37" t="inlineStr">
        <is>
          <t>Công Ty</t>
        </is>
      </c>
      <c r="C44" s="37" t="inlineStr">
        <is>
          <t>Tam Bình</t>
        </is>
      </c>
      <c r="D44" s="37" t="inlineStr">
        <is>
          <t>Cắm mốc</t>
        </is>
      </c>
      <c r="E44" s="37" t="inlineStr">
        <is>
          <t>Tạ Khắc Tập</t>
        </is>
      </c>
      <c r="F44" s="37" t="inlineStr">
        <is>
          <t>Võ Tứ Hợp</t>
        </is>
      </c>
      <c r="G44" s="27" t="n">
        <v>46059</v>
      </c>
      <c r="H44" s="37" t="inlineStr">
        <is>
          <t>Hoàn thành</t>
        </is>
      </c>
      <c r="I44" s="37" t="inlineStr">
        <is>
          <t>Hoàn thành</t>
        </is>
      </c>
      <c r="J44" s="29" t="n">
        <v>50000</v>
      </c>
      <c r="K44" s="37" t="inlineStr">
        <is>
          <t>Số cọc: 4.0 | Loại cọc: Trụ xi măng</t>
        </is>
      </c>
    </row>
    <row r="45" ht="15.75" customHeight="1" s="56">
      <c r="A45" s="37" t="inlineStr">
        <is>
          <t>BK-HS-0042</t>
        </is>
      </c>
      <c r="B45" s="37" t="inlineStr">
        <is>
          <t>Công Ty</t>
        </is>
      </c>
      <c r="C45" s="37" t="inlineStr">
        <is>
          <t>Tam Bình</t>
        </is>
      </c>
      <c r="D45" s="37" t="inlineStr">
        <is>
          <t>Cắm mốc</t>
        </is>
      </c>
      <c r="E45" s="37" t="inlineStr">
        <is>
          <t>Tạ Khắc Tập</t>
        </is>
      </c>
      <c r="F45" s="37" t="inlineStr">
        <is>
          <t>Võ Tứ Hợp</t>
        </is>
      </c>
      <c r="G45" s="27" t="n">
        <v>46059</v>
      </c>
      <c r="H45" s="37" t="inlineStr">
        <is>
          <t>Hoàn thành</t>
        </is>
      </c>
      <c r="I45" s="37" t="inlineStr">
        <is>
          <t>Hoàn thành</t>
        </is>
      </c>
      <c r="J45" s="29" t="n">
        <v>50000</v>
      </c>
      <c r="K45" s="37" t="inlineStr">
        <is>
          <t>Số cọc: 5.0 | Loại cọc: Trụ xi măng</t>
        </is>
      </c>
    </row>
    <row r="46" ht="15.75" customHeight="1" s="56">
      <c r="A46" s="37" t="inlineStr">
        <is>
          <t>BK-HS-0043</t>
        </is>
      </c>
      <c r="B46" s="37" t="inlineStr">
        <is>
          <t>Công Ty</t>
        </is>
      </c>
      <c r="C46" s="37" t="inlineStr">
        <is>
          <t>Hiệp Bình</t>
        </is>
      </c>
      <c r="D46" s="37" t="inlineStr">
        <is>
          <t>Xác định diện tích</t>
        </is>
      </c>
      <c r="E46" s="37" t="inlineStr">
        <is>
          <t>Trương Tấn Quốc</t>
        </is>
      </c>
      <c r="F46" s="37" t="inlineStr">
        <is>
          <t>Không cần</t>
        </is>
      </c>
      <c r="G46" s="27" t="n">
        <v>46058</v>
      </c>
      <c r="H46" s="37" t="inlineStr">
        <is>
          <t>Hoàn thành | Đã hoàn thành</t>
        </is>
      </c>
      <c r="I46" s="37" t="inlineStr">
        <is>
          <t>Hoàn thành</t>
        </is>
      </c>
      <c r="J46" s="29" t="n">
        <v>0</v>
      </c>
      <c r="K46" s="37" t="inlineStr">
        <is>
          <t>Số cọc:  | Loại cọc:</t>
        </is>
      </c>
    </row>
    <row r="47" ht="15.75" customHeight="1" s="56">
      <c r="A47" s="37" t="inlineStr">
        <is>
          <t>BK-HS-0044</t>
        </is>
      </c>
      <c r="B47" s="37" t="inlineStr">
        <is>
          <t>Anh Tùng Bất Động Sản</t>
        </is>
      </c>
      <c r="C47" s="37" t="inlineStr">
        <is>
          <t>Cát Lái</t>
        </is>
      </c>
      <c r="D47" s="37" t="inlineStr">
        <is>
          <t>Xin phép xây dựng</t>
        </is>
      </c>
      <c r="E47" s="37" t="inlineStr">
        <is>
          <t>Võ Thành Minh</t>
        </is>
      </c>
      <c r="F47" s="37" t="inlineStr">
        <is>
          <t>Không cần</t>
        </is>
      </c>
      <c r="G47" s="27" t="n">
        <v>46057</v>
      </c>
      <c r="H47" s="37" t="inlineStr">
        <is>
          <t>ĐÃ HỦY</t>
        </is>
      </c>
      <c r="I47" s="37" t="inlineStr">
        <is>
          <t>Hủy</t>
        </is>
      </c>
      <c r="J47" s="29" t="n">
        <v>0</v>
      </c>
      <c r="K47" s="37" t="inlineStr">
        <is>
          <t>Số cọc:  | Loại cọc:</t>
        </is>
      </c>
    </row>
    <row r="48" ht="15.75" customHeight="1" s="56">
      <c r="A48" s="37" t="inlineStr">
        <is>
          <t>BK-HS-0045</t>
        </is>
      </c>
      <c r="B48" s="37" t="inlineStr">
        <is>
          <t>Công Ty</t>
        </is>
      </c>
      <c r="C48" s="37" t="inlineStr">
        <is>
          <t>Hiệp Bình</t>
        </is>
      </c>
      <c r="D48" s="37" t="inlineStr">
        <is>
          <t>Cấp đổi</t>
        </is>
      </c>
      <c r="E48" s="37" t="inlineStr">
        <is>
          <t>Tạ Khắc Tập</t>
        </is>
      </c>
      <c r="F48" s="37" t="inlineStr">
        <is>
          <t>Võ Tứ Hợp</t>
        </is>
      </c>
      <c r="G48" s="27" t="n">
        <v>46057</v>
      </c>
      <c r="H48" s="37" t="inlineStr">
        <is>
          <t>ĐÃ HỦY</t>
        </is>
      </c>
      <c r="I48" s="37" t="inlineStr">
        <is>
          <t>Hủy</t>
        </is>
      </c>
      <c r="J48" s="29" t="n">
        <v>0</v>
      </c>
      <c r="K48" s="37" t="inlineStr">
        <is>
          <t>Số cọc:  | Loại cọc:</t>
        </is>
      </c>
    </row>
    <row r="49" ht="15.75" customHeight="1" s="56">
      <c r="A49" s="37" t="inlineStr">
        <is>
          <t>BK-HS-0046</t>
        </is>
      </c>
      <c r="B49" s="37" t="inlineStr">
        <is>
          <t>Cô Hoa</t>
        </is>
      </c>
      <c r="C49" s="37" t="inlineStr">
        <is>
          <t>Hiệp Bình</t>
        </is>
      </c>
      <c r="D49" s="37" t="inlineStr">
        <is>
          <t>Cấp đổi</t>
        </is>
      </c>
      <c r="E49" s="37" t="inlineStr">
        <is>
          <t>Tạ Khắc Tập</t>
        </is>
      </c>
      <c r="F49" s="37" t="inlineStr">
        <is>
          <t>Võ Tứ Hợp</t>
        </is>
      </c>
      <c r="G49" s="27" t="n">
        <v>46057</v>
      </c>
      <c r="H49" s="37" t="inlineStr">
        <is>
          <t>Đã nộp</t>
        </is>
      </c>
      <c r="I49" s="37" t="inlineStr">
        <is>
          <t>Nộp thành công - Chờ kết quả</t>
        </is>
      </c>
      <c r="J49" s="29" t="n">
        <v>0</v>
      </c>
      <c r="K49" s="37" t="inlineStr">
        <is>
          <t>Số cọc:  | Loại cọc:</t>
        </is>
      </c>
    </row>
    <row r="50" ht="15.75" customHeight="1" s="56">
      <c r="A50" s="37" t="inlineStr">
        <is>
          <t>BK-HS-0047</t>
        </is>
      </c>
      <c r="B50" s="37" t="inlineStr">
        <is>
          <t>Công Ty</t>
        </is>
      </c>
      <c r="C50" s="37" t="inlineStr">
        <is>
          <t>Tam Bình</t>
        </is>
      </c>
      <c r="D50" s="37" t="inlineStr">
        <is>
          <t>Cắm mốc</t>
        </is>
      </c>
      <c r="E50" s="37" t="inlineStr">
        <is>
          <t>Tạ Khắc Tập</t>
        </is>
      </c>
      <c r="F50" s="37" t="inlineStr">
        <is>
          <t>Võ Tứ Hợp</t>
        </is>
      </c>
      <c r="G50" s="27" t="n">
        <v>46057</v>
      </c>
      <c r="H50" s="37" t="inlineStr">
        <is>
          <t>Hoàn thành</t>
        </is>
      </c>
      <c r="I50" s="37" t="inlineStr">
        <is>
          <t>Hoàn thành</t>
        </is>
      </c>
      <c r="J50" s="29" t="n">
        <v>50000</v>
      </c>
      <c r="K50" s="37" t="inlineStr">
        <is>
          <t>Số cọc: 3.0 | Loại cọc: Trụ xi măng</t>
        </is>
      </c>
    </row>
    <row r="51" ht="15.75" customHeight="1" s="56">
      <c r="A51" s="37" t="inlineStr">
        <is>
          <t>BK-HS-0048</t>
        </is>
      </c>
      <c r="B51" s="37" t="inlineStr">
        <is>
          <t>Đạt Việt Phát Land</t>
        </is>
      </c>
      <c r="C51" s="37" t="inlineStr">
        <is>
          <t>Phước Long</t>
        </is>
      </c>
      <c r="D51" s="37" t="inlineStr">
        <is>
          <t>Cắm mốc</t>
        </is>
      </c>
      <c r="E51" s="37" t="inlineStr">
        <is>
          <t>Tạ Khắc Tập</t>
        </is>
      </c>
      <c r="F51" s="37" t="inlineStr">
        <is>
          <t>Không cần</t>
        </is>
      </c>
      <c r="G51" s="27" t="n">
        <v>46057</v>
      </c>
      <c r="H51" s="37" t="inlineStr">
        <is>
          <t>Hoàn thành</t>
        </is>
      </c>
      <c r="I51" s="37" t="inlineStr">
        <is>
          <t>Hoàn thành</t>
        </is>
      </c>
      <c r="J51" s="29" t="n">
        <v>50000</v>
      </c>
      <c r="K51" s="37" t="inlineStr">
        <is>
          <t>Số cọc: 2.0 | Loại cọc: Trụ xi măng</t>
        </is>
      </c>
    </row>
    <row r="52" ht="15.75" customHeight="1" s="56">
      <c r="A52" s="37" t="inlineStr">
        <is>
          <t>BK-HS-0049</t>
        </is>
      </c>
      <c r="B52" s="37" t="inlineStr">
        <is>
          <t>Công Ty</t>
        </is>
      </c>
      <c r="C52" s="37" t="inlineStr">
        <is>
          <t>Cát Lái</t>
        </is>
      </c>
      <c r="D52" s="37" t="inlineStr">
        <is>
          <t>Cấp đổi</t>
        </is>
      </c>
      <c r="E52" s="37" t="inlineStr">
        <is>
          <t>Lê Văn Xây</t>
        </is>
      </c>
      <c r="F52" s="37" t="inlineStr">
        <is>
          <t>Võ Tứ Hợp</t>
        </is>
      </c>
      <c r="G52" s="27" t="n">
        <v>46057</v>
      </c>
      <c r="H52" s="37" t="inlineStr">
        <is>
          <t>Hoàn thành</t>
        </is>
      </c>
      <c r="I52" s="37" t="inlineStr">
        <is>
          <t>Hoàn thành</t>
        </is>
      </c>
      <c r="J52" s="29" t="n">
        <v>0</v>
      </c>
      <c r="K52" s="37" t="inlineStr">
        <is>
          <t>Số cọc:  | Loại cọc:</t>
        </is>
      </c>
    </row>
    <row r="53" ht="15.75" customHeight="1" s="56">
      <c r="A53" s="37" t="inlineStr">
        <is>
          <t>BK-HS-0050</t>
        </is>
      </c>
      <c r="B53" s="37" t="inlineStr">
        <is>
          <t>Công Ty</t>
        </is>
      </c>
      <c r="C53" s="37" t="inlineStr">
        <is>
          <t>Tam Bình</t>
        </is>
      </c>
      <c r="D53" s="37" t="inlineStr">
        <is>
          <t>Cấp đổi</t>
        </is>
      </c>
      <c r="E53" s="37" t="inlineStr">
        <is>
          <t>Lê Văn Xây</t>
        </is>
      </c>
      <c r="F53" s="37" t="inlineStr">
        <is>
          <t>Võ Tứ Hợp</t>
        </is>
      </c>
      <c r="G53" s="27" t="n">
        <v>46057</v>
      </c>
      <c r="H53" s="37" t="inlineStr">
        <is>
          <t>Hoàn thành</t>
        </is>
      </c>
      <c r="I53" s="37" t="inlineStr">
        <is>
          <t>Hoàn thành</t>
        </is>
      </c>
      <c r="J53" s="29" t="n">
        <v>0</v>
      </c>
      <c r="K53" s="37" t="inlineStr">
        <is>
          <t>Số cọc:  | Loại cọc:</t>
        </is>
      </c>
    </row>
    <row r="54" ht="15.75" customHeight="1" s="56">
      <c r="A54" s="37" t="inlineStr">
        <is>
          <t>BK-HS-0051</t>
        </is>
      </c>
      <c r="B54" s="37" t="inlineStr">
        <is>
          <t>Anh Long PCT</t>
        </is>
      </c>
      <c r="C54" s="37" t="inlineStr">
        <is>
          <t>Hiệp Bình</t>
        </is>
      </c>
      <c r="D54" s="37" t="inlineStr">
        <is>
          <t>Xác định diện tích</t>
        </is>
      </c>
      <c r="E54" s="37" t="inlineStr">
        <is>
          <t>Lê Văn Dựng</t>
        </is>
      </c>
      <c r="F54" s="37" t="inlineStr">
        <is>
          <t>Không cần</t>
        </is>
      </c>
      <c r="G54" s="27" t="n">
        <v>46056</v>
      </c>
      <c r="H54" s="37" t="inlineStr">
        <is>
          <t>Hoàn thành</t>
        </is>
      </c>
      <c r="I54" s="37" t="inlineStr">
        <is>
          <t>Hoàn thành</t>
        </is>
      </c>
      <c r="J54" s="29" t="n">
        <v>0</v>
      </c>
      <c r="K54" s="37" t="inlineStr">
        <is>
          <t>Số cọc:  | Loại cọc:</t>
        </is>
      </c>
    </row>
    <row r="55" ht="15.75" customHeight="1" s="56">
      <c r="A55" s="37" t="inlineStr">
        <is>
          <t>BK-HS-0052</t>
        </is>
      </c>
      <c r="B55" s="37" t="inlineStr">
        <is>
          <t>Anh Long PCT</t>
        </is>
      </c>
      <c r="C55" s="37" t="inlineStr">
        <is>
          <t>Hiệp Bình</t>
        </is>
      </c>
      <c r="D55" s="37" t="inlineStr">
        <is>
          <t>Xác định diện tích</t>
        </is>
      </c>
      <c r="E55" s="37" t="inlineStr">
        <is>
          <t>Lê Văn Dựng</t>
        </is>
      </c>
      <c r="F55" s="37" t="inlineStr">
        <is>
          <t>Không cần</t>
        </is>
      </c>
      <c r="G55" s="27" t="n">
        <v>46056</v>
      </c>
      <c r="H55" s="37" t="inlineStr">
        <is>
          <t>Hoàn thành</t>
        </is>
      </c>
      <c r="I55" s="37" t="inlineStr">
        <is>
          <t>Hoàn thành</t>
        </is>
      </c>
      <c r="J55" s="29" t="n">
        <v>0</v>
      </c>
      <c r="K55" s="37" t="inlineStr">
        <is>
          <t>Số cọc:  | Loại cọc:</t>
        </is>
      </c>
    </row>
    <row r="56" ht="15.75" customHeight="1" s="56">
      <c r="A56" s="37" t="inlineStr">
        <is>
          <t>BK-HS-0053</t>
        </is>
      </c>
      <c r="B56" s="37" t="inlineStr">
        <is>
          <t>Công Ty</t>
        </is>
      </c>
      <c r="C56" s="37" t="inlineStr">
        <is>
          <t>Phước Long</t>
        </is>
      </c>
      <c r="D56" s="37" t="inlineStr">
        <is>
          <t>Điều chỉnh bản vẽ</t>
        </is>
      </c>
      <c r="E56" s="37" t="inlineStr">
        <is>
          <t>Trương Tấn Quốc</t>
        </is>
      </c>
      <c r="F56" s="37" t="inlineStr">
        <is>
          <t>Không cần</t>
        </is>
      </c>
      <c r="G56" s="27" t="n">
        <v>46056</v>
      </c>
      <c r="H56" s="37" t="inlineStr">
        <is>
          <t>Đã nộp | Chưa bổ sung bản vẽ xin phép</t>
        </is>
      </c>
      <c r="I56" s="37" t="inlineStr">
        <is>
          <t>Nộp thành công - Chờ kết quả</t>
        </is>
      </c>
      <c r="J56" s="29" t="n">
        <v>0</v>
      </c>
      <c r="K56" s="37" t="inlineStr">
        <is>
          <t>Số cọc:  | Loại cọc:</t>
        </is>
      </c>
    </row>
    <row r="57" ht="15.75" customHeight="1" s="56">
      <c r="A57" s="37" t="inlineStr">
        <is>
          <t>BK-HS-0054</t>
        </is>
      </c>
      <c r="B57" s="37" t="inlineStr">
        <is>
          <t>Đạt Việt Phát Land</t>
        </is>
      </c>
      <c r="C57" s="37" t="inlineStr">
        <is>
          <t>Thủ Đức</t>
        </is>
      </c>
      <c r="D57" s="37" t="inlineStr">
        <is>
          <t>Xác định diện tích</t>
        </is>
      </c>
      <c r="E57" s="37" t="inlineStr">
        <is>
          <t>Lê Văn Xây</t>
        </is>
      </c>
      <c r="F57" s="37" t="inlineStr">
        <is>
          <t>Võ Tứ Hợp</t>
        </is>
      </c>
      <c r="G57" s="27" t="n">
        <v>46055</v>
      </c>
      <c r="H57" s="37" t="inlineStr">
        <is>
          <t>Hoàn thành</t>
        </is>
      </c>
      <c r="I57" s="37" t="inlineStr">
        <is>
          <t>Hoàn thành</t>
        </is>
      </c>
      <c r="J57" s="29" t="n">
        <v>0</v>
      </c>
      <c r="K57" s="37" t="inlineStr">
        <is>
          <t>Số cọc:  | Loại cọc:</t>
        </is>
      </c>
    </row>
    <row r="58" ht="15.75" customHeight="1" s="56">
      <c r="A58" s="37" t="inlineStr">
        <is>
          <t>BK-HS-0055</t>
        </is>
      </c>
      <c r="B58" s="37" t="inlineStr">
        <is>
          <t>Chị Xuân DV</t>
        </is>
      </c>
      <c r="C58" s="37" t="inlineStr">
        <is>
          <t>Thủ Đức</t>
        </is>
      </c>
      <c r="D58" s="37" t="inlineStr">
        <is>
          <t>Cấp đổi</t>
        </is>
      </c>
      <c r="E58" s="37" t="inlineStr">
        <is>
          <t>Lê Văn Xây</t>
        </is>
      </c>
      <c r="F58" s="37" t="inlineStr">
        <is>
          <t>Võ Tứ Hợp</t>
        </is>
      </c>
      <c r="G58" s="27" t="n">
        <v>46055</v>
      </c>
      <c r="H58" s="37" t="inlineStr">
        <is>
          <t>Hoàn thành</t>
        </is>
      </c>
      <c r="I58" s="37" t="inlineStr">
        <is>
          <t>Hoàn thành</t>
        </is>
      </c>
      <c r="J58" s="29" t="n">
        <v>0</v>
      </c>
      <c r="K58" s="37" t="inlineStr">
        <is>
          <t>Số cọc:  | Loại cọc:</t>
        </is>
      </c>
    </row>
    <row r="59" ht="15.75" customHeight="1" s="56">
      <c r="A59" s="37" t="inlineStr">
        <is>
          <t>BK-HS-0056</t>
        </is>
      </c>
      <c r="B59" s="37" t="inlineStr">
        <is>
          <t>Công Ty</t>
        </is>
      </c>
      <c r="C59" s="37" t="inlineStr">
        <is>
          <t>Tam Bình</t>
        </is>
      </c>
      <c r="D59" s="37" t="inlineStr">
        <is>
          <t>Tách Thửa</t>
        </is>
      </c>
      <c r="E59" s="37" t="inlineStr">
        <is>
          <t>Tạ Khắc Tập</t>
        </is>
      </c>
      <c r="F59" s="37" t="inlineStr">
        <is>
          <t>Võ Tứ Hợp</t>
        </is>
      </c>
      <c r="G59" s="27" t="n">
        <v>46053</v>
      </c>
      <c r="H59" s="37" t="inlineStr">
        <is>
          <t>QUÁ HẠN | sai hiện trạng+ lấn thửa+ giảm diện tích</t>
        </is>
      </c>
      <c r="I59" s="37" t="inlineStr">
        <is>
          <t>QUÁ HẠN</t>
        </is>
      </c>
      <c r="J59" s="29" t="n">
        <v>0</v>
      </c>
      <c r="K59" s="37" t="inlineStr">
        <is>
          <t>Số cọc:  | Loại cọc:</t>
        </is>
      </c>
    </row>
    <row r="60" ht="15.75" customHeight="1" s="56">
      <c r="A60" s="37" t="inlineStr">
        <is>
          <t>BK-HS-0057</t>
        </is>
      </c>
      <c r="B60" s="37" t="inlineStr">
        <is>
          <t>Công Ty</t>
        </is>
      </c>
      <c r="C60" s="37" t="inlineStr">
        <is>
          <t>An Khánh</t>
        </is>
      </c>
      <c r="D60" s="37" t="inlineStr">
        <is>
          <t>Xin phép xây dựng</t>
        </is>
      </c>
      <c r="E60" s="37" t="inlineStr">
        <is>
          <t>Võ Thành Minh</t>
        </is>
      </c>
      <c r="F60" s="37" t="inlineStr">
        <is>
          <t>Không cần</t>
        </is>
      </c>
      <c r="G60" s="27" t="n">
        <v>46052</v>
      </c>
      <c r="H60" s="37" t="inlineStr">
        <is>
          <t>Đã nộp</t>
        </is>
      </c>
      <c r="I60" s="37" t="inlineStr">
        <is>
          <t>Nộp thành công - Chờ kết quả</t>
        </is>
      </c>
      <c r="J60" s="29" t="n">
        <v>0</v>
      </c>
      <c r="K60" s="37" t="inlineStr">
        <is>
          <t>Số cọc:  | Loại cọc:</t>
        </is>
      </c>
    </row>
    <row r="61" ht="15.75" customHeight="1" s="56">
      <c r="A61" s="37" t="inlineStr">
        <is>
          <t>BK-HS-0058</t>
        </is>
      </c>
      <c r="B61" s="37" t="inlineStr">
        <is>
          <t>Công Ty</t>
        </is>
      </c>
      <c r="C61" s="37" t="inlineStr">
        <is>
          <t>Bình Trưng</t>
        </is>
      </c>
      <c r="D61" s="37" t="inlineStr">
        <is>
          <t>Xin phép xây dựng</t>
        </is>
      </c>
      <c r="E61" s="37" t="inlineStr">
        <is>
          <t>Võ Thành Minh</t>
        </is>
      </c>
      <c r="F61" s="37" t="inlineStr">
        <is>
          <t>Không cần</t>
        </is>
      </c>
      <c r="G61" s="27" t="n">
        <v>46052</v>
      </c>
      <c r="H61" s="37" t="inlineStr">
        <is>
          <t>Đã nộp</t>
        </is>
      </c>
      <c r="I61" s="37" t="inlineStr">
        <is>
          <t>Nộp thành công - Chờ kết quả</t>
        </is>
      </c>
      <c r="J61" s="29" t="n">
        <v>0</v>
      </c>
      <c r="K61" s="37" t="inlineStr">
        <is>
          <t>Số cọc:  | Loại cọc:</t>
        </is>
      </c>
    </row>
    <row r="62" ht="15.75" customHeight="1" s="56">
      <c r="A62" s="37" t="inlineStr">
        <is>
          <t>BK-HS-0059</t>
        </is>
      </c>
      <c r="B62" s="37" t="inlineStr">
        <is>
          <t>Công Ty</t>
        </is>
      </c>
      <c r="C62" s="37" t="inlineStr">
        <is>
          <t>An Khánh</t>
        </is>
      </c>
      <c r="D62" s="37" t="inlineStr">
        <is>
          <t>Đo GPS</t>
        </is>
      </c>
      <c r="E62" s="37" t="inlineStr">
        <is>
          <t>Lê Văn Dựng</t>
        </is>
      </c>
      <c r="F62" s="37" t="inlineStr">
        <is>
          <t>Không cần</t>
        </is>
      </c>
      <c r="G62" s="27" t="n">
        <v>46052</v>
      </c>
      <c r="H62" s="37" t="inlineStr">
        <is>
          <t>Hoàn thành</t>
        </is>
      </c>
      <c r="I62" s="37" t="inlineStr">
        <is>
          <t>Hoàn thành</t>
        </is>
      </c>
      <c r="J62" s="29" t="n">
        <v>0</v>
      </c>
      <c r="K62" s="37" t="inlineStr">
        <is>
          <t>Số cọc:  | Loại cọc:</t>
        </is>
      </c>
    </row>
    <row r="63" ht="15.75" customHeight="1" s="56">
      <c r="A63" s="37" t="inlineStr">
        <is>
          <t>BK-HS-0060</t>
        </is>
      </c>
      <c r="B63" s="37" t="inlineStr">
        <is>
          <t>Anh Long PCT</t>
        </is>
      </c>
      <c r="C63" s="37" t="inlineStr">
        <is>
          <t>Long Phước</t>
        </is>
      </c>
      <c r="D63" s="37" t="inlineStr">
        <is>
          <t>Cắm mốc</t>
        </is>
      </c>
      <c r="E63" s="37" t="inlineStr">
        <is>
          <t>Tạ Khắc Tập</t>
        </is>
      </c>
      <c r="F63" s="37" t="inlineStr">
        <is>
          <t>Võ Tứ Hợp</t>
        </is>
      </c>
      <c r="G63" s="27" t="n">
        <v>46052</v>
      </c>
      <c r="H63" s="37" t="inlineStr">
        <is>
          <t>Hoàn thành</t>
        </is>
      </c>
      <c r="I63" s="37" t="inlineStr">
        <is>
          <t>Hoàn thành</t>
        </is>
      </c>
      <c r="J63" s="29" t="n">
        <v>0</v>
      </c>
      <c r="K63" s="37" t="inlineStr">
        <is>
          <t>Số cọc: 22.0 | Loại cọc: Cọc sắt</t>
        </is>
      </c>
    </row>
    <row r="64" ht="15.75" customHeight="1" s="56">
      <c r="A64" s="37" t="inlineStr">
        <is>
          <t>BK-HS-0061</t>
        </is>
      </c>
      <c r="B64" s="37" t="inlineStr">
        <is>
          <t>Anh Long PCT</t>
        </is>
      </c>
      <c r="C64" s="37" t="inlineStr">
        <is>
          <t>Long Phước</t>
        </is>
      </c>
      <c r="D64" s="37" t="inlineStr">
        <is>
          <t>Đo GPS</t>
        </is>
      </c>
      <c r="E64" s="37" t="inlineStr">
        <is>
          <t>Lê Văn Dựng</t>
        </is>
      </c>
      <c r="F64" s="37" t="inlineStr">
        <is>
          <t>Không cần</t>
        </is>
      </c>
      <c r="G64" s="27" t="n">
        <v>46052</v>
      </c>
      <c r="H64" s="37" t="inlineStr">
        <is>
          <t>Hoàn thành</t>
        </is>
      </c>
      <c r="I64" s="37" t="inlineStr">
        <is>
          <t>Hoàn thành</t>
        </is>
      </c>
      <c r="J64" s="29" t="n">
        <v>0</v>
      </c>
      <c r="K64" s="37" t="inlineStr">
        <is>
          <t>Số cọc:  | Loại cọc:</t>
        </is>
      </c>
    </row>
    <row r="65" ht="15.75" customHeight="1" s="56">
      <c r="A65" s="37" t="inlineStr">
        <is>
          <t>BK-HS-0062</t>
        </is>
      </c>
      <c r="B65" s="37" t="inlineStr">
        <is>
          <t>Chị Phấn DV</t>
        </is>
      </c>
      <c r="C65" s="37" t="inlineStr">
        <is>
          <t>Hiệp Bình</t>
        </is>
      </c>
      <c r="D65" s="37" t="inlineStr">
        <is>
          <t>Cấp sổ lần đầu</t>
        </is>
      </c>
      <c r="E65" s="37" t="inlineStr">
        <is>
          <t>Tạ Khắc Tập</t>
        </is>
      </c>
      <c r="F65" s="37" t="inlineStr">
        <is>
          <t>Võ Tứ Hợp</t>
        </is>
      </c>
      <c r="G65" s="27" t="n">
        <v>46051</v>
      </c>
      <c r="H65" s="37" t="inlineStr">
        <is>
          <t>Hoàn thành</t>
        </is>
      </c>
      <c r="I65" s="37" t="inlineStr">
        <is>
          <t>Hoàn thành</t>
        </is>
      </c>
      <c r="J65" s="29" t="n">
        <v>0</v>
      </c>
      <c r="K65" s="37" t="inlineStr">
        <is>
          <t>Số cọc:  | Loại cọc:</t>
        </is>
      </c>
    </row>
    <row r="66" ht="15.75" customHeight="1" s="56">
      <c r="A66" s="37" t="inlineStr">
        <is>
          <t>BK-HS-0063</t>
        </is>
      </c>
      <c r="B66" s="37" t="inlineStr">
        <is>
          <t>Công Ty</t>
        </is>
      </c>
      <c r="C66" s="37" t="inlineStr">
        <is>
          <t>Ngoài Thủ Đức</t>
        </is>
      </c>
      <c r="D66" s="37" t="inlineStr">
        <is>
          <t>Cắm mốc</t>
        </is>
      </c>
      <c r="E66" s="37" t="inlineStr">
        <is>
          <t>Tạ Khắc Tập</t>
        </is>
      </c>
      <c r="F66" s="37" t="inlineStr">
        <is>
          <t>Võ Tứ Hợp</t>
        </is>
      </c>
      <c r="G66" s="27" t="n">
        <v>46051</v>
      </c>
      <c r="H66" s="37" t="inlineStr">
        <is>
          <t>Hoàn thành</t>
        </is>
      </c>
      <c r="I66" s="37" t="inlineStr">
        <is>
          <t>Hoàn thành</t>
        </is>
      </c>
      <c r="J66" s="29" t="n">
        <v>0</v>
      </c>
      <c r="K66" s="37" t="inlineStr">
        <is>
          <t>Số cọc: 10.0 | Loại cọc: Cọc sắt</t>
        </is>
      </c>
    </row>
    <row r="67" ht="15.75" customHeight="1" s="56">
      <c r="A67" s="37" t="inlineStr">
        <is>
          <t>BK-HS-0064</t>
        </is>
      </c>
      <c r="B67" s="37" t="inlineStr">
        <is>
          <t>Công Ty</t>
        </is>
      </c>
      <c r="C67" s="37" t="inlineStr">
        <is>
          <t>Bình Trưng</t>
        </is>
      </c>
      <c r="D67" s="37" t="inlineStr">
        <is>
          <t>Cấp sổ lần đầu</t>
        </is>
      </c>
      <c r="E67" s="37" t="inlineStr">
        <is>
          <t>Trương Tấn Quốc</t>
        </is>
      </c>
      <c r="F67" s="37" t="inlineStr">
        <is>
          <t>Không cần</t>
        </is>
      </c>
      <c r="G67" s="27" t="n">
        <v>46050</v>
      </c>
      <c r="H67" s="37" t="inlineStr">
        <is>
          <t>Hoàn thành</t>
        </is>
      </c>
      <c r="I67" s="37" t="inlineStr">
        <is>
          <t>Hoàn thành</t>
        </is>
      </c>
      <c r="J67" s="29" t="n">
        <v>0</v>
      </c>
      <c r="K67" s="37" t="inlineStr">
        <is>
          <t>Số cọc:  | Loại cọc:</t>
        </is>
      </c>
    </row>
    <row r="68" ht="15.75" customHeight="1" s="56">
      <c r="A68" s="37" t="inlineStr">
        <is>
          <t>BK-HS-0065</t>
        </is>
      </c>
      <c r="B68" s="37" t="inlineStr">
        <is>
          <t>Anh Trường LS</t>
        </is>
      </c>
      <c r="C68" s="37" t="inlineStr">
        <is>
          <t>Tam Bình</t>
        </is>
      </c>
      <c r="D68" s="37" t="inlineStr">
        <is>
          <t>Tách Thửa</t>
        </is>
      </c>
      <c r="E68" s="37" t="inlineStr">
        <is>
          <t>Lê Văn Xây</t>
        </is>
      </c>
      <c r="F68" s="37" t="inlineStr">
        <is>
          <t>Võ Tứ Hợp</t>
        </is>
      </c>
      <c r="G68" s="27" t="n">
        <v>46050</v>
      </c>
      <c r="H68" s="37" t="inlineStr">
        <is>
          <t>ĐÃ HỦY</t>
        </is>
      </c>
      <c r="I68" s="37" t="inlineStr">
        <is>
          <t>Hủy</t>
        </is>
      </c>
      <c r="J68" s="29" t="n">
        <v>0</v>
      </c>
      <c r="K68" s="37" t="inlineStr">
        <is>
          <t>Số cọc:  | Loại cọc:</t>
        </is>
      </c>
    </row>
    <row r="69" ht="15.75" customHeight="1" s="56">
      <c r="A69" s="37" t="inlineStr">
        <is>
          <t>BK-HS-0066</t>
        </is>
      </c>
      <c r="B69" s="37" t="inlineStr">
        <is>
          <t>Công Ty</t>
        </is>
      </c>
      <c r="C69" s="37" t="inlineStr">
        <is>
          <t>Linh Xuân</t>
        </is>
      </c>
      <c r="D69" s="37" t="inlineStr">
        <is>
          <t>Hoàn công</t>
        </is>
      </c>
      <c r="E69" s="37" t="inlineStr">
        <is>
          <t>Tạ Khắc Tập</t>
        </is>
      </c>
      <c r="F69" s="37" t="inlineStr">
        <is>
          <t>Võ Thành Minh</t>
        </is>
      </c>
      <c r="G69" s="27" t="n">
        <v>46050</v>
      </c>
      <c r="H69" s="37" t="inlineStr">
        <is>
          <t>Đã nộp</t>
        </is>
      </c>
      <c r="I69" s="37" t="inlineStr">
        <is>
          <t>Nộp thành công - Chờ kết quả</t>
        </is>
      </c>
      <c r="J69" s="29" t="n">
        <v>0</v>
      </c>
      <c r="K69" s="37" t="inlineStr">
        <is>
          <t>Số cọc:  | Loại cọc:</t>
        </is>
      </c>
    </row>
    <row r="70" ht="15.75" customHeight="1" s="56">
      <c r="A70" s="37" t="inlineStr">
        <is>
          <t>BK-HS-0067</t>
        </is>
      </c>
      <c r="B70" s="37" t="inlineStr">
        <is>
          <t>Công Ty</t>
        </is>
      </c>
      <c r="C70" s="37" t="inlineStr">
        <is>
          <t>Tăng Nhơn Phú</t>
        </is>
      </c>
      <c r="D70" s="37" t="inlineStr">
        <is>
          <t>Tách Thửa</t>
        </is>
      </c>
      <c r="E70" s="37" t="inlineStr">
        <is>
          <t>Lê Văn Xây</t>
        </is>
      </c>
      <c r="F70" s="37" t="inlineStr">
        <is>
          <t>Không cần</t>
        </is>
      </c>
      <c r="G70" s="27" t="n">
        <v>46049</v>
      </c>
      <c r="H70" s="37" t="inlineStr">
        <is>
          <t>Đã nộp</t>
        </is>
      </c>
      <c r="I70" s="37" t="inlineStr">
        <is>
          <t>Nộp thành công - Chờ kết quả</t>
        </is>
      </c>
      <c r="J70" s="29" t="n">
        <v>0</v>
      </c>
      <c r="K70" s="37" t="inlineStr">
        <is>
          <t>Số cọc:  | Loại cọc:</t>
        </is>
      </c>
    </row>
    <row r="71" ht="15.75" customHeight="1" s="56">
      <c r="A71" s="37" t="inlineStr">
        <is>
          <t>BK-HS-0068</t>
        </is>
      </c>
      <c r="B71" s="37" t="inlineStr">
        <is>
          <t>Công Ty</t>
        </is>
      </c>
      <c r="C71" s="37" t="inlineStr">
        <is>
          <t>Tăng Nhơn Phú</t>
        </is>
      </c>
      <c r="D71" s="37" t="inlineStr">
        <is>
          <t>Tách Thửa</t>
        </is>
      </c>
      <c r="E71" s="37" t="inlineStr">
        <is>
          <t>Lê Văn Xây</t>
        </is>
      </c>
      <c r="F71" s="37" t="inlineStr">
        <is>
          <t>Võ Tứ Hợp</t>
        </is>
      </c>
      <c r="G71" s="27" t="n">
        <v>46049</v>
      </c>
      <c r="H71" s="37" t="inlineStr">
        <is>
          <t>Đã nộp</t>
        </is>
      </c>
      <c r="I71" s="37" t="inlineStr">
        <is>
          <t>Nộp thành công - Chờ kết quả</t>
        </is>
      </c>
      <c r="J71" s="29" t="n">
        <v>0</v>
      </c>
      <c r="K71" s="37" t="inlineStr">
        <is>
          <t>Số cọc:  | Loại cọc:</t>
        </is>
      </c>
    </row>
    <row r="72" ht="15.75" customHeight="1" s="56">
      <c r="A72" s="37" t="inlineStr">
        <is>
          <t>BK-HS-0069</t>
        </is>
      </c>
      <c r="B72" s="37" t="inlineStr">
        <is>
          <t>Anh Long PCT</t>
        </is>
      </c>
      <c r="C72" s="37" t="inlineStr">
        <is>
          <t>Long Phước</t>
        </is>
      </c>
      <c r="D72" s="37" t="inlineStr">
        <is>
          <t>Chuyển mục đích</t>
        </is>
      </c>
      <c r="E72" s="37" t="inlineStr">
        <is>
          <t>Tạ Khắc Tập</t>
        </is>
      </c>
      <c r="F72" s="37" t="inlineStr">
        <is>
          <t>Võ Tứ Hợp</t>
        </is>
      </c>
      <c r="G72" s="27" t="n">
        <v>46049</v>
      </c>
      <c r="H72" s="37" t="inlineStr">
        <is>
          <t>Đã nộp</t>
        </is>
      </c>
      <c r="I72" s="37" t="inlineStr">
        <is>
          <t>Nộp thành công - Chờ kết quả</t>
        </is>
      </c>
      <c r="J72" s="29" t="n">
        <v>0</v>
      </c>
      <c r="K72" s="37" t="inlineStr">
        <is>
          <t>Số cọc:  | Loại cọc:</t>
        </is>
      </c>
    </row>
    <row r="73" ht="15.75" customHeight="1" s="56">
      <c r="A73" s="37" t="inlineStr">
        <is>
          <t>BK-HS-0070</t>
        </is>
      </c>
      <c r="B73" s="37" t="inlineStr">
        <is>
          <t>Anh Long PCT</t>
        </is>
      </c>
      <c r="C73" s="37" t="inlineStr">
        <is>
          <t>Long Phước</t>
        </is>
      </c>
      <c r="D73" s="37" t="inlineStr">
        <is>
          <t>Cắm mốc</t>
        </is>
      </c>
      <c r="E73" s="37" t="inlineStr">
        <is>
          <t>Tạ Khắc Tập</t>
        </is>
      </c>
      <c r="F73" s="37" t="inlineStr">
        <is>
          <t>Võ Tứ Hợp</t>
        </is>
      </c>
      <c r="G73" s="27" t="n">
        <v>46049</v>
      </c>
      <c r="H73" s="37" t="inlineStr">
        <is>
          <t>Hoàn thành</t>
        </is>
      </c>
      <c r="I73" s="37" t="inlineStr">
        <is>
          <t>Hoàn thành</t>
        </is>
      </c>
      <c r="J73" s="29" t="n">
        <v>0</v>
      </c>
      <c r="K73" s="37" t="inlineStr">
        <is>
          <t>Số cọc: 5.0 | Loại cọc: Cọc sắt</t>
        </is>
      </c>
    </row>
    <row r="74" ht="15.75" customHeight="1" s="56">
      <c r="A74" s="37" t="inlineStr">
        <is>
          <t>BK-HS-0071</t>
        </is>
      </c>
      <c r="B74" s="37" t="inlineStr">
        <is>
          <t>Đạt Việt Phát Land</t>
        </is>
      </c>
      <c r="C74" s="37" t="inlineStr">
        <is>
          <t>Tăng Nhơn Phú</t>
        </is>
      </c>
      <c r="D74" s="37" t="inlineStr">
        <is>
          <t>Xin phép xây dựng</t>
        </is>
      </c>
      <c r="E74" s="37" t="inlineStr">
        <is>
          <t>Võ Thành Minh</t>
        </is>
      </c>
      <c r="F74" s="37" t="inlineStr">
        <is>
          <t>Không cần</t>
        </is>
      </c>
      <c r="G74" s="27" t="n">
        <v>46048</v>
      </c>
      <c r="H74" s="37" t="inlineStr">
        <is>
          <t>Hoàn thành</t>
        </is>
      </c>
      <c r="I74" s="37" t="inlineStr">
        <is>
          <t>Hoàn thành</t>
        </is>
      </c>
      <c r="J74" s="29" t="n">
        <v>0</v>
      </c>
      <c r="K74" s="37" t="inlineStr">
        <is>
          <t>Số cọc:  | Loại cọc:</t>
        </is>
      </c>
    </row>
    <row r="75" ht="15.75" customHeight="1" s="56">
      <c r="A75" s="37" t="inlineStr">
        <is>
          <t>BK-HS-0072</t>
        </is>
      </c>
      <c r="B75" s="37" t="inlineStr">
        <is>
          <t>Công Ty</t>
        </is>
      </c>
      <c r="C75" s="37" t="inlineStr">
        <is>
          <t>Thủ Đức</t>
        </is>
      </c>
      <c r="D75" s="37" t="inlineStr">
        <is>
          <t>Xin phép xây dựng</t>
        </is>
      </c>
      <c r="E75" s="37" t="inlineStr">
        <is>
          <t>Võ Thành Minh</t>
        </is>
      </c>
      <c r="F75" s="37" t="inlineStr">
        <is>
          <t>Không cần</t>
        </is>
      </c>
      <c r="G75" s="27" t="n">
        <v>46048</v>
      </c>
      <c r="H75" s="37" t="inlineStr">
        <is>
          <t>Đã nộp</t>
        </is>
      </c>
      <c r="I75" s="37" t="inlineStr">
        <is>
          <t>Nộp thành công - Chờ kết quả</t>
        </is>
      </c>
      <c r="J75" s="29" t="n">
        <v>0</v>
      </c>
      <c r="K75" s="37" t="inlineStr">
        <is>
          <t>Số cọc:  | Loại cọc:</t>
        </is>
      </c>
    </row>
    <row r="76" ht="15.75" customHeight="1" s="56">
      <c r="A76" s="37" t="inlineStr">
        <is>
          <t>BK-HS-0073</t>
        </is>
      </c>
      <c r="B76" s="37" t="inlineStr">
        <is>
          <t>Đạt Việt Phát Land</t>
        </is>
      </c>
      <c r="C76" s="37" t="inlineStr">
        <is>
          <t>Hiệp Bình</t>
        </is>
      </c>
      <c r="D76" s="37" t="inlineStr">
        <is>
          <t>Xin phép xây dựng</t>
        </is>
      </c>
      <c r="E76" s="37" t="inlineStr">
        <is>
          <t>Võ Thành Minh</t>
        </is>
      </c>
      <c r="F76" s="37" t="inlineStr">
        <is>
          <t>Không cần</t>
        </is>
      </c>
      <c r="G76" s="27" t="n">
        <v>46048</v>
      </c>
      <c r="H76" s="37" t="inlineStr">
        <is>
          <t>Hoàn thành</t>
        </is>
      </c>
      <c r="I76" s="37" t="inlineStr">
        <is>
          <t>Hoàn thành</t>
        </is>
      </c>
      <c r="J76" s="29" t="n">
        <v>0</v>
      </c>
      <c r="K76" s="37" t="inlineStr">
        <is>
          <t>Số cọc:  | Loại cọc:</t>
        </is>
      </c>
    </row>
    <row r="77" ht="15.75" customHeight="1" s="56">
      <c r="A77" s="37" t="inlineStr">
        <is>
          <t>BK-HS-0074</t>
        </is>
      </c>
      <c r="B77" s="37" t="inlineStr">
        <is>
          <t>Công Ty</t>
        </is>
      </c>
      <c r="C77" s="37" t="inlineStr">
        <is>
          <t>Hiệp Bình</t>
        </is>
      </c>
      <c r="D77" s="37" t="inlineStr">
        <is>
          <t>Điều chỉnh bản vẽ</t>
        </is>
      </c>
      <c r="E77" s="37" t="inlineStr">
        <is>
          <t>Trương Tấn Quốc</t>
        </is>
      </c>
      <c r="F77" s="37" t="inlineStr">
        <is>
          <t>Không cần</t>
        </is>
      </c>
      <c r="G77" s="27" t="n">
        <v>46046</v>
      </c>
      <c r="H77" s="37" t="inlineStr">
        <is>
          <t>Đã nộp</t>
        </is>
      </c>
      <c r="I77" s="37" t="inlineStr">
        <is>
          <t>Nộp thành công - Chờ kết quả</t>
        </is>
      </c>
      <c r="J77" s="29" t="n">
        <v>0</v>
      </c>
      <c r="K77" s="37" t="inlineStr">
        <is>
          <t>Số cọc:  | Loại cọc:</t>
        </is>
      </c>
    </row>
    <row r="78" ht="15.75" customHeight="1" s="56">
      <c r="A78" s="37" t="inlineStr">
        <is>
          <t>BK-HS-0075</t>
        </is>
      </c>
      <c r="B78" s="37" t="inlineStr">
        <is>
          <t>Anh Tùng Bất Động Sản</t>
        </is>
      </c>
      <c r="C78" s="37" t="inlineStr">
        <is>
          <t>Long Phước</t>
        </is>
      </c>
      <c r="D78" s="37" t="inlineStr">
        <is>
          <t>Cấp đổi</t>
        </is>
      </c>
      <c r="E78" s="37" t="inlineStr">
        <is>
          <t>Trương Tấn Quốc</t>
        </is>
      </c>
      <c r="F78" s="37" t="inlineStr">
        <is>
          <t>Võ Tứ Hợp</t>
        </is>
      </c>
      <c r="G78" s="27" t="n">
        <v>46046</v>
      </c>
      <c r="H78" s="37" t="inlineStr">
        <is>
          <t>ĐÃ HỦY | Đợi trao đổi phương án vs dịch vụ | Dịch vụ báo tạm ngưng</t>
        </is>
      </c>
      <c r="I78" s="37" t="inlineStr">
        <is>
          <t>Hủy</t>
        </is>
      </c>
      <c r="J78" s="29" t="n">
        <v>0</v>
      </c>
      <c r="K78" s="37" t="inlineStr">
        <is>
          <t>Số cọc:  | Loại cọc:</t>
        </is>
      </c>
    </row>
    <row r="79" ht="15.75" customHeight="1" s="56">
      <c r="A79" s="37" t="inlineStr">
        <is>
          <t>BK-HS-0076</t>
        </is>
      </c>
      <c r="B79" s="37" t="inlineStr">
        <is>
          <t>Công Ty</t>
        </is>
      </c>
      <c r="C79" s="37" t="inlineStr">
        <is>
          <t>An Khánh</t>
        </is>
      </c>
      <c r="D79" s="37" t="inlineStr">
        <is>
          <t>Cấp đổi</t>
        </is>
      </c>
      <c r="E79" s="37" t="inlineStr">
        <is>
          <t>Lê Văn Dựng</t>
        </is>
      </c>
      <c r="F79" s="37" t="inlineStr">
        <is>
          <t>Không cần</t>
        </is>
      </c>
      <c r="G79" s="27" t="n">
        <v>46045</v>
      </c>
      <c r="H79" s="37" t="inlineStr">
        <is>
          <t>Đã nộp | hồ sơ chưa xử lý được do khu đất có ao sâu không thể chôn trụ xi măng được,chờ khách hàng san lấp</t>
        </is>
      </c>
      <c r="I79" s="37" t="inlineStr">
        <is>
          <t>Nộp thành công - Chờ kết quả</t>
        </is>
      </c>
      <c r="J79" s="29" t="n">
        <v>0</v>
      </c>
      <c r="K79" s="37" t="inlineStr">
        <is>
          <t>Số cọc:  | Loại cọc:</t>
        </is>
      </c>
    </row>
    <row r="80" ht="15.75" customHeight="1" s="56">
      <c r="A80" s="37" t="inlineStr">
        <is>
          <t>BK-HS-0077</t>
        </is>
      </c>
      <c r="B80" s="37" t="inlineStr">
        <is>
          <t>Chị Phấn DV</t>
        </is>
      </c>
      <c r="C80" s="37" t="inlineStr">
        <is>
          <t>Thủ Đức</t>
        </is>
      </c>
      <c r="D80" s="37" t="inlineStr">
        <is>
          <t>Điều chỉnh bản vẽ</t>
        </is>
      </c>
      <c r="E80" s="37" t="inlineStr">
        <is>
          <t>Tạ Khắc Tập</t>
        </is>
      </c>
      <c r="F80" s="37" t="inlineStr">
        <is>
          <t>Không cần</t>
        </is>
      </c>
      <c r="G80" s="27" t="n">
        <v>46045</v>
      </c>
      <c r="H80" s="37" t="inlineStr">
        <is>
          <t>Hoàn thành</t>
        </is>
      </c>
      <c r="I80" s="37" t="inlineStr">
        <is>
          <t>Hoàn thành</t>
        </is>
      </c>
      <c r="J80" s="29" t="n">
        <v>0</v>
      </c>
      <c r="K80" s="37" t="inlineStr">
        <is>
          <t>Số cọc:  | Loại cọc:</t>
        </is>
      </c>
    </row>
    <row r="81" ht="15.75" customHeight="1" s="56">
      <c r="A81" s="37" t="inlineStr">
        <is>
          <t>BK-HS-0078</t>
        </is>
      </c>
      <c r="B81" s="37" t="inlineStr">
        <is>
          <t>Anh Tùng Bất Động Sản</t>
        </is>
      </c>
      <c r="C81" s="37" t="inlineStr">
        <is>
          <t>Cát Lái</t>
        </is>
      </c>
      <c r="D81" s="37" t="inlineStr">
        <is>
          <t>Cắm mốc</t>
        </is>
      </c>
      <c r="E81" s="37" t="inlineStr">
        <is>
          <t>Tạ Khắc Tập</t>
        </is>
      </c>
      <c r="F81" s="37" t="inlineStr">
        <is>
          <t>Võ Tứ Hợp</t>
        </is>
      </c>
      <c r="G81" s="27" t="n">
        <v>46045</v>
      </c>
      <c r="H81" s="37" t="inlineStr">
        <is>
          <t>Hoàn thành</t>
        </is>
      </c>
      <c r="I81" s="37" t="inlineStr">
        <is>
          <t>Hoàn thành</t>
        </is>
      </c>
      <c r="J81" s="29" t="n">
        <v>50000</v>
      </c>
      <c r="K81" s="37" t="inlineStr">
        <is>
          <t>Số cọc: 4.0 | Loại cọc: Trụ xi măng</t>
        </is>
      </c>
    </row>
    <row r="82" ht="15.75" customHeight="1" s="56">
      <c r="A82" s="37" t="inlineStr">
        <is>
          <t>BK-HS-0079</t>
        </is>
      </c>
      <c r="B82" s="37" t="inlineStr">
        <is>
          <t>Anh Tùng Bất Động Sản</t>
        </is>
      </c>
      <c r="C82" s="37" t="inlineStr">
        <is>
          <t>Cát Lái</t>
        </is>
      </c>
      <c r="D82" s="37" t="inlineStr">
        <is>
          <t>Cấp đổi</t>
        </is>
      </c>
      <c r="E82" s="37" t="inlineStr">
        <is>
          <t>Trương Tấn Quốc</t>
        </is>
      </c>
      <c r="F82" s="37" t="inlineStr">
        <is>
          <t>Võ Tứ Hợp</t>
        </is>
      </c>
      <c r="G82" s="27" t="n">
        <v>46044</v>
      </c>
      <c r="H82" s="37" t="inlineStr">
        <is>
          <t>Hoàn thành | Chưa cắm trụ (4 trụ)</t>
        </is>
      </c>
      <c r="I82" s="37" t="inlineStr">
        <is>
          <t>Hoàn thành</t>
        </is>
      </c>
      <c r="J82" s="29" t="n">
        <v>0</v>
      </c>
      <c r="K82" s="37" t="inlineStr">
        <is>
          <t>Số cọc:  | Loại cọc:</t>
        </is>
      </c>
    </row>
    <row r="83" ht="15.75" customHeight="1" s="56">
      <c r="A83" s="37" t="inlineStr">
        <is>
          <t>BK-HS-0080</t>
        </is>
      </c>
      <c r="B83" s="37" t="inlineStr">
        <is>
          <t>Đạt Việt Phát Land</t>
        </is>
      </c>
      <c r="C83" s="37" t="inlineStr">
        <is>
          <t>Long Trường</t>
        </is>
      </c>
      <c r="D83" s="37" t="inlineStr">
        <is>
          <t>Hoàn công</t>
        </is>
      </c>
      <c r="E83" s="37" t="inlineStr">
        <is>
          <t>Lê Văn Xây</t>
        </is>
      </c>
      <c r="F83" s="37" t="inlineStr">
        <is>
          <t>Võ Tứ Hợp</t>
        </is>
      </c>
      <c r="G83" s="27" t="n">
        <v>46043</v>
      </c>
      <c r="H83" s="37" t="inlineStr">
        <is>
          <t>Đã nộp</t>
        </is>
      </c>
      <c r="I83" s="37" t="inlineStr">
        <is>
          <t>Nộp thành công - Chờ kết quả</t>
        </is>
      </c>
      <c r="J83" s="29" t="n">
        <v>0</v>
      </c>
      <c r="K83" s="37" t="inlineStr">
        <is>
          <t>Số cọc:  | Loại cọc:</t>
        </is>
      </c>
    </row>
    <row r="84" ht="15.75" customHeight="1" s="56">
      <c r="A84" s="37" t="inlineStr">
        <is>
          <t>BK-HS-0081</t>
        </is>
      </c>
      <c r="B84" s="37" t="inlineStr">
        <is>
          <t>Tùng Huế DV</t>
        </is>
      </c>
      <c r="C84" s="37" t="inlineStr">
        <is>
          <t>Phước Long</t>
        </is>
      </c>
      <c r="D84" s="37" t="inlineStr">
        <is>
          <t>Cắm mốc</t>
        </is>
      </c>
      <c r="E84" s="37" t="inlineStr">
        <is>
          <t>Tạ Khắc Tập</t>
        </is>
      </c>
      <c r="F84" s="37" t="inlineStr">
        <is>
          <t>Không cần</t>
        </is>
      </c>
      <c r="G84" s="27" t="n">
        <v>46043</v>
      </c>
      <c r="H84" s="37" t="inlineStr">
        <is>
          <t>Hoàn thành</t>
        </is>
      </c>
      <c r="I84" s="37" t="inlineStr">
        <is>
          <t>Hoàn thành</t>
        </is>
      </c>
      <c r="J84" s="29" t="n">
        <v>50000</v>
      </c>
      <c r="K84" s="37" t="inlineStr">
        <is>
          <t>Số cọc: 2.0 | Loại cọc: Trụ xi măng</t>
        </is>
      </c>
    </row>
    <row r="85" ht="15.75" customHeight="1" s="56">
      <c r="A85" s="37" t="inlineStr">
        <is>
          <t>BK-HS-0082</t>
        </is>
      </c>
      <c r="B85" s="37" t="inlineStr">
        <is>
          <t>Chị Phấn DV</t>
        </is>
      </c>
      <c r="C85" s="37" t="inlineStr">
        <is>
          <t>Phước Long</t>
        </is>
      </c>
      <c r="D85" s="37" t="inlineStr">
        <is>
          <t>Cấp đổi</t>
        </is>
      </c>
      <c r="E85" s="37" t="inlineStr">
        <is>
          <t>Tạ Khắc Tập</t>
        </is>
      </c>
      <c r="F85" s="37" t="inlineStr">
        <is>
          <t>Không cần</t>
        </is>
      </c>
      <c r="G85" s="27" t="n">
        <v>46043</v>
      </c>
      <c r="H85" s="37" t="inlineStr">
        <is>
          <t>Hoàn thành</t>
        </is>
      </c>
      <c r="I85" s="37" t="inlineStr">
        <is>
          <t>Hoàn thành</t>
        </is>
      </c>
      <c r="J85" s="29" t="n">
        <v>0</v>
      </c>
      <c r="K85" s="37" t="inlineStr">
        <is>
          <t>Số cọc:  | Loại cọc:</t>
        </is>
      </c>
    </row>
    <row r="86" ht="15.75" customHeight="1" s="56">
      <c r="A86" s="37" t="inlineStr">
        <is>
          <t>BK-HS-0083</t>
        </is>
      </c>
      <c r="B86" s="37" t="inlineStr">
        <is>
          <t>Hoàng Cương BĐS</t>
        </is>
      </c>
      <c r="C86" s="37" t="inlineStr">
        <is>
          <t>Linh Xuân</t>
        </is>
      </c>
      <c r="D86" s="37" t="inlineStr">
        <is>
          <t>Cấp đổi</t>
        </is>
      </c>
      <c r="E86" s="37" t="inlineStr">
        <is>
          <t>Tạ Khắc Tập</t>
        </is>
      </c>
      <c r="F86" s="37" t="inlineStr">
        <is>
          <t>Võ Tứ Hợp</t>
        </is>
      </c>
      <c r="G86" s="27" t="n">
        <v>46042</v>
      </c>
      <c r="H86" s="37" t="inlineStr">
        <is>
          <t>QUÁ HẠN | sai hiện trạng chơ phuong an</t>
        </is>
      </c>
      <c r="I86" s="37" t="inlineStr">
        <is>
          <t>QUÁ HẠN</t>
        </is>
      </c>
      <c r="J86" s="29" t="n">
        <v>0</v>
      </c>
      <c r="K86" s="37" t="inlineStr">
        <is>
          <t>Số cọc:  | Loại cọc:</t>
        </is>
      </c>
    </row>
    <row r="87" ht="15.75" customHeight="1" s="56">
      <c r="A87" s="37" t="inlineStr">
        <is>
          <t>BK-HS-0084</t>
        </is>
      </c>
      <c r="B87" s="37" t="inlineStr">
        <is>
          <t>Anh Long PCT</t>
        </is>
      </c>
      <c r="C87" s="37" t="inlineStr">
        <is>
          <t>Hiệp Bình</t>
        </is>
      </c>
      <c r="D87" s="37" t="inlineStr">
        <is>
          <t>Xác định diện tích</t>
        </is>
      </c>
      <c r="E87" s="37" t="inlineStr">
        <is>
          <t>Tạ Khắc Tập</t>
        </is>
      </c>
      <c r="F87" s="37" t="inlineStr">
        <is>
          <t>Võ Tứ Hợp</t>
        </is>
      </c>
      <c r="G87" s="27" t="n">
        <v>46042</v>
      </c>
      <c r="H87" s="37" t="inlineStr">
        <is>
          <t>Hoàn thành</t>
        </is>
      </c>
      <c r="I87" s="37" t="inlineStr">
        <is>
          <t>Hoàn thành</t>
        </is>
      </c>
      <c r="J87" s="29" t="n">
        <v>0</v>
      </c>
      <c r="K87" s="37" t="inlineStr">
        <is>
          <t>Số cọc:  | Loại cọc:</t>
        </is>
      </c>
    </row>
    <row r="88" ht="15.75" customHeight="1" s="56">
      <c r="A88" s="37" t="inlineStr">
        <is>
          <t>BK-HS-0085</t>
        </is>
      </c>
      <c r="B88" s="37" t="inlineStr">
        <is>
          <t>Chị Phấn DV</t>
        </is>
      </c>
      <c r="C88" s="37" t="inlineStr">
        <is>
          <t>Cát Lái</t>
        </is>
      </c>
      <c r="D88" s="37" t="inlineStr">
        <is>
          <t>Hoàn công</t>
        </is>
      </c>
      <c r="E88" s="37" t="inlineStr">
        <is>
          <t>Trương Tấn Quốc</t>
        </is>
      </c>
      <c r="F88" s="37" t="inlineStr">
        <is>
          <t>Không cần</t>
        </is>
      </c>
      <c r="G88" s="27" t="n">
        <v>46041</v>
      </c>
      <c r="H88" s="37" t="inlineStr">
        <is>
          <t>Đã nộp</t>
        </is>
      </c>
      <c r="I88" s="37" t="inlineStr">
        <is>
          <t>Nộp thành công - Chờ kết quả</t>
        </is>
      </c>
      <c r="J88" s="29" t="n">
        <v>0</v>
      </c>
      <c r="K88" s="37" t="inlineStr">
        <is>
          <t>Số cọc:  | Loại cọc:</t>
        </is>
      </c>
    </row>
    <row r="89" ht="15.75" customHeight="1" s="56">
      <c r="A89" s="37" t="inlineStr">
        <is>
          <t>BK-HS-0086</t>
        </is>
      </c>
      <c r="B89" s="37" t="inlineStr">
        <is>
          <t>Công Ty</t>
        </is>
      </c>
      <c r="C89" s="37" t="inlineStr">
        <is>
          <t>Hiệp Bình</t>
        </is>
      </c>
      <c r="D89" s="37" t="inlineStr">
        <is>
          <t>Xác định diện tích</t>
        </is>
      </c>
      <c r="E89" s="37" t="inlineStr">
        <is>
          <t>Trương Tấn Quốc</t>
        </is>
      </c>
      <c r="F89" s="37" t="inlineStr">
        <is>
          <t>Không cần</t>
        </is>
      </c>
      <c r="G89" s="27" t="n">
        <v>46041</v>
      </c>
      <c r="H89" s="37" t="inlineStr">
        <is>
          <t>Hoàn thành | Vẽ mẫu CMĐ gửi phường</t>
        </is>
      </c>
      <c r="I89" s="37" t="inlineStr">
        <is>
          <t>Hoàn thành</t>
        </is>
      </c>
      <c r="J89" s="29" t="n">
        <v>0</v>
      </c>
      <c r="K89" s="37" t="inlineStr">
        <is>
          <t>Số cọc:  | Loại cọc:</t>
        </is>
      </c>
    </row>
    <row r="90" ht="15.75" customHeight="1" s="56">
      <c r="A90" s="37" t="inlineStr">
        <is>
          <t>BK-HS-0087</t>
        </is>
      </c>
      <c r="B90" s="37" t="inlineStr">
        <is>
          <t>Đạt Việt Phát Land</t>
        </is>
      </c>
      <c r="C90" s="37" t="inlineStr">
        <is>
          <t>Tăng Nhơn Phú</t>
        </is>
      </c>
      <c r="D90" s="37" t="inlineStr">
        <is>
          <t>Xác định diện tích</t>
        </is>
      </c>
      <c r="E90" s="37" t="inlineStr">
        <is>
          <t>Lê Văn Xây</t>
        </is>
      </c>
      <c r="F90" s="37" t="inlineStr">
        <is>
          <t>Không cần</t>
        </is>
      </c>
      <c r="G90" s="27" t="n">
        <v>46041</v>
      </c>
      <c r="H90" s="37" t="inlineStr">
        <is>
          <t>Hoàn thành</t>
        </is>
      </c>
      <c r="I90" s="37" t="inlineStr">
        <is>
          <t>Hoàn thành</t>
        </is>
      </c>
      <c r="J90" s="29" t="n">
        <v>0</v>
      </c>
      <c r="K90" s="37" t="inlineStr">
        <is>
          <t>Số cọc:  | Loại cọc:</t>
        </is>
      </c>
    </row>
    <row r="91" ht="15.75" customHeight="1" s="56">
      <c r="A91" s="37" t="inlineStr">
        <is>
          <t>BK-HS-0088</t>
        </is>
      </c>
      <c r="B91" s="37" t="inlineStr">
        <is>
          <t>Đạt Việt Phát Land</t>
        </is>
      </c>
      <c r="C91" s="37" t="inlineStr">
        <is>
          <t>Thủ Đức</t>
        </is>
      </c>
      <c r="D91" s="37" t="inlineStr">
        <is>
          <t>Hoàn công</t>
        </is>
      </c>
      <c r="E91" s="37" t="inlineStr">
        <is>
          <t>Lê Văn Xây</t>
        </is>
      </c>
      <c r="F91" s="37" t="inlineStr">
        <is>
          <t>Võ Tứ Hợp</t>
        </is>
      </c>
      <c r="G91" s="27" t="n">
        <v>46041</v>
      </c>
      <c r="H91" s="37" t="inlineStr">
        <is>
          <t>Đã nộp</t>
        </is>
      </c>
      <c r="I91" s="37" t="inlineStr">
        <is>
          <t>Nộp thành công - Chờ kết quả</t>
        </is>
      </c>
      <c r="J91" s="29" t="n">
        <v>0</v>
      </c>
      <c r="K91" s="37" t="inlineStr">
        <is>
          <t>Số cọc:  | Loại cọc:</t>
        </is>
      </c>
    </row>
    <row r="92" ht="15.75" customHeight="1" s="56">
      <c r="A92" s="37" t="inlineStr">
        <is>
          <t>BK-HS-0089</t>
        </is>
      </c>
      <c r="B92" s="37" t="inlineStr">
        <is>
          <t>Tuấn Lộc</t>
        </is>
      </c>
      <c r="C92" s="37" t="inlineStr">
        <is>
          <t>Phước Long</t>
        </is>
      </c>
      <c r="D92" s="37" t="inlineStr">
        <is>
          <t>Cắm mốc</t>
        </is>
      </c>
      <c r="E92" s="37" t="inlineStr">
        <is>
          <t>Lê Văn Dựng</t>
        </is>
      </c>
      <c r="F92" s="37" t="inlineStr">
        <is>
          <t>Võ Tứ Hợp</t>
        </is>
      </c>
      <c r="G92" s="27" t="n">
        <v>46040</v>
      </c>
      <c r="H92" s="37" t="inlineStr">
        <is>
          <t>Hoàn thành | Cắm mốc,Chôn trụ xi măng đã chốt khách hàng 4 triệu (chưa thanh toán)</t>
        </is>
      </c>
      <c r="I92" s="37" t="inlineStr">
        <is>
          <t>Hoàn thành</t>
        </is>
      </c>
      <c r="J92" s="29" t="n">
        <v>50000</v>
      </c>
      <c r="K92" s="37" t="inlineStr">
        <is>
          <t>Số cọc: 1.0 | Loại cọc: Trụ xi măng</t>
        </is>
      </c>
    </row>
    <row r="93" ht="15.75" customHeight="1" s="56">
      <c r="A93" s="37" t="inlineStr">
        <is>
          <t>BK-HS-0090</t>
        </is>
      </c>
      <c r="B93" s="37" t="inlineStr">
        <is>
          <t>Công Ty</t>
        </is>
      </c>
      <c r="C93" s="37" t="inlineStr">
        <is>
          <t>Tam Bình</t>
        </is>
      </c>
      <c r="D93" s="37" t="inlineStr">
        <is>
          <t>Cắm mốc</t>
        </is>
      </c>
      <c r="E93" s="37" t="inlineStr">
        <is>
          <t>Lê Văn Xây</t>
        </is>
      </c>
      <c r="F93" s="37" t="inlineStr">
        <is>
          <t>Võ Tứ Hợp</t>
        </is>
      </c>
      <c r="G93" s="27" t="n">
        <v>46039</v>
      </c>
      <c r="H93" s="37" t="inlineStr">
        <is>
          <t>Hoàn thành</t>
        </is>
      </c>
      <c r="I93" s="37" t="inlineStr">
        <is>
          <t>Hoàn thành</t>
        </is>
      </c>
      <c r="J93" s="29" t="n">
        <v>0</v>
      </c>
      <c r="K93" s="37" t="inlineStr">
        <is>
          <t>Số cọc: 4.0 | Loại cọc: Cọc sắt</t>
        </is>
      </c>
    </row>
    <row r="94" ht="15.75" customHeight="1" s="56">
      <c r="A94" s="37" t="inlineStr">
        <is>
          <t>BK-HS-0091</t>
        </is>
      </c>
      <c r="B94" s="37" t="inlineStr">
        <is>
          <t>Công Ty</t>
        </is>
      </c>
      <c r="C94" s="37" t="inlineStr">
        <is>
          <t>Long Phước</t>
        </is>
      </c>
      <c r="D94" s="37" t="inlineStr">
        <is>
          <t>Cấp đổi</t>
        </is>
      </c>
      <c r="E94" s="37" t="inlineStr">
        <is>
          <t>Lê Văn Dựng</t>
        </is>
      </c>
      <c r="F94" s="37" t="inlineStr">
        <is>
          <t>Không cần</t>
        </is>
      </c>
      <c r="G94" s="27" t="n">
        <v>46039</v>
      </c>
      <c r="H94" s="37" t="inlineStr">
        <is>
          <t>QUÁ HẠN | Đã đo chờ trao đổi với khách hàng do giảm diện tích</t>
        </is>
      </c>
      <c r="I94" s="37" t="inlineStr">
        <is>
          <t>QUÁ HẠN</t>
        </is>
      </c>
      <c r="J94" s="29" t="n">
        <v>0</v>
      </c>
      <c r="K94" s="37" t="inlineStr">
        <is>
          <t>Số cọc:  | Loại cọc:</t>
        </is>
      </c>
    </row>
    <row r="95" ht="15.75" customHeight="1" s="56">
      <c r="A95" s="37" t="inlineStr">
        <is>
          <t>BK-HS-0092</t>
        </is>
      </c>
      <c r="B95" s="37" t="inlineStr">
        <is>
          <t>Công Ty</t>
        </is>
      </c>
      <c r="C95" s="37" t="inlineStr">
        <is>
          <t>Bình Trưng</t>
        </is>
      </c>
      <c r="D95" s="37" t="inlineStr">
        <is>
          <t>Hoàn công</t>
        </is>
      </c>
      <c r="E95" s="37" t="inlineStr">
        <is>
          <t>Lê Văn Dựng</t>
        </is>
      </c>
      <c r="F95" s="37" t="inlineStr">
        <is>
          <t>Võ Tứ Hợp</t>
        </is>
      </c>
      <c r="G95" s="27" t="n">
        <v>46037</v>
      </c>
      <c r="H95" s="37" t="inlineStr">
        <is>
          <t>Đã nộp</t>
        </is>
      </c>
      <c r="I95" s="37" t="inlineStr">
        <is>
          <t>Nộp thành công - Chờ kết quả</t>
        </is>
      </c>
      <c r="J95" s="29" t="n">
        <v>0</v>
      </c>
      <c r="K95" s="37" t="inlineStr">
        <is>
          <t>Số cọc:  | Loại cọc:</t>
        </is>
      </c>
    </row>
    <row r="96" ht="15.75" customHeight="1" s="56">
      <c r="A96" s="37" t="inlineStr">
        <is>
          <t>BK-HS-0093</t>
        </is>
      </c>
      <c r="B96" s="37" t="inlineStr">
        <is>
          <t>Cô Hoa</t>
        </is>
      </c>
      <c r="C96" s="37" t="inlineStr">
        <is>
          <t>Tam Bình</t>
        </is>
      </c>
      <c r="D96" s="37" t="inlineStr">
        <is>
          <t>Đo GPS</t>
        </is>
      </c>
      <c r="E96" s="37" t="inlineStr">
        <is>
          <t>Lê Văn Dựng</t>
        </is>
      </c>
      <c r="F96" s="37" t="inlineStr">
        <is>
          <t>Không cần</t>
        </is>
      </c>
      <c r="G96" s="27" t="n">
        <v>46037</v>
      </c>
      <c r="H96" s="37" t="inlineStr">
        <is>
          <t>Hoàn thành</t>
        </is>
      </c>
      <c r="I96" s="37" t="inlineStr">
        <is>
          <t>Hoàn thành</t>
        </is>
      </c>
      <c r="J96" s="29" t="n">
        <v>0</v>
      </c>
      <c r="K96" s="37" t="inlineStr">
        <is>
          <t>Số cọc:  | Loại cọc:</t>
        </is>
      </c>
    </row>
    <row r="97" ht="15.75" customHeight="1" s="56">
      <c r="A97" s="37" t="inlineStr">
        <is>
          <t>BK-HS-0094</t>
        </is>
      </c>
      <c r="B97" s="37" t="inlineStr">
        <is>
          <t>Nguyễn Hương DV</t>
        </is>
      </c>
      <c r="C97" s="37" t="inlineStr">
        <is>
          <t>Thủ Đức</t>
        </is>
      </c>
      <c r="D97" s="37" t="inlineStr">
        <is>
          <t>Cấp đổi</t>
        </is>
      </c>
      <c r="E97" s="37" t="inlineStr">
        <is>
          <t>Trương Tấn Quốc</t>
        </is>
      </c>
      <c r="F97" s="37" t="inlineStr">
        <is>
          <t>Võ Tứ Hợp</t>
        </is>
      </c>
      <c r="G97" s="27" t="n">
        <v>46037</v>
      </c>
      <c r="H97" s="37" t="inlineStr">
        <is>
          <t>Đã nộp</t>
        </is>
      </c>
      <c r="I97" s="37" t="inlineStr">
        <is>
          <t>Nộp thành công - Chờ kết quả</t>
        </is>
      </c>
      <c r="J97" s="29" t="n">
        <v>0</v>
      </c>
      <c r="K97" s="37" t="inlineStr">
        <is>
          <t>Số cọc:  | Loại cọc:</t>
        </is>
      </c>
    </row>
    <row r="98" ht="15.75" customHeight="1" s="56">
      <c r="A98" s="37" t="inlineStr">
        <is>
          <t>BK-HS-0095</t>
        </is>
      </c>
      <c r="B98" s="37" t="inlineStr">
        <is>
          <t>Công Ty</t>
        </is>
      </c>
      <c r="C98" s="37" t="inlineStr">
        <is>
          <t>Hiệp Bình</t>
        </is>
      </c>
      <c r="D98" s="37" t="inlineStr">
        <is>
          <t>Điều chỉnh bản vẽ</t>
        </is>
      </c>
      <c r="E98" s="37" t="inlineStr">
        <is>
          <t>Trương Tấn Quốc</t>
        </is>
      </c>
      <c r="F98" s="37" t="inlineStr">
        <is>
          <t>Không cần</t>
        </is>
      </c>
      <c r="G98" s="27" t="n">
        <v>46037</v>
      </c>
      <c r="H98" s="37" t="inlineStr">
        <is>
          <t>Hoàn thành | Đợt dịch vụ chốt</t>
        </is>
      </c>
      <c r="I98" s="37" t="inlineStr">
        <is>
          <t>Hoàn thành</t>
        </is>
      </c>
      <c r="J98" s="29" t="n">
        <v>0</v>
      </c>
      <c r="K98" s="37" t="inlineStr">
        <is>
          <t>Số cọc:  | Loại cọc:</t>
        </is>
      </c>
    </row>
    <row r="99" ht="15.75" customHeight="1" s="56">
      <c r="A99" s="37" t="inlineStr">
        <is>
          <t>BK-HS-0096</t>
        </is>
      </c>
      <c r="B99" s="37" t="inlineStr">
        <is>
          <t>Công Ty</t>
        </is>
      </c>
      <c r="C99" s="37" t="inlineStr">
        <is>
          <t>Hiệp Bình</t>
        </is>
      </c>
      <c r="D99" s="37" t="inlineStr">
        <is>
          <t>Điều chỉnh bản vẽ</t>
        </is>
      </c>
      <c r="E99" s="37" t="inlineStr">
        <is>
          <t>Trương Tấn Quốc</t>
        </is>
      </c>
      <c r="F99" s="37" t="inlineStr">
        <is>
          <t>Không cần</t>
        </is>
      </c>
      <c r="G99" s="27" t="n">
        <v>46037</v>
      </c>
      <c r="H99" s="37" t="inlineStr">
        <is>
          <t>Hoàn thành | Đợi dịch vụ chốt</t>
        </is>
      </c>
      <c r="I99" s="37" t="inlineStr">
        <is>
          <t>Hoàn thành</t>
        </is>
      </c>
      <c r="J99" s="29" t="n">
        <v>0</v>
      </c>
      <c r="K99" s="37" t="inlineStr">
        <is>
          <t>Số cọc:  | Loại cọc:</t>
        </is>
      </c>
    </row>
    <row r="100" ht="15.75" customHeight="1" s="56">
      <c r="A100" s="37" t="inlineStr">
        <is>
          <t>BK-HS-0097</t>
        </is>
      </c>
      <c r="B100" s="37" t="inlineStr">
        <is>
          <t>Tạ Khắc Tập</t>
        </is>
      </c>
      <c r="C100" s="37" t="inlineStr">
        <is>
          <t>An Khánh</t>
        </is>
      </c>
      <c r="D100" s="37" t="inlineStr">
        <is>
          <t>Hoàn công</t>
        </is>
      </c>
      <c r="E100" s="37" t="inlineStr">
        <is>
          <t>Trương Tấn Quốc</t>
        </is>
      </c>
      <c r="F100" s="37" t="inlineStr">
        <is>
          <t>Võ Tứ Hợp</t>
        </is>
      </c>
      <c r="G100" s="27" t="n">
        <v>46037</v>
      </c>
      <c r="H100" s="37" t="inlineStr">
        <is>
          <t>Hoàn thành | Đợi sửa chửa đúng hiện trạng | Đã xử lý, đợi hoàn thành công trình</t>
        </is>
      </c>
      <c r="I100" s="37" t="inlineStr">
        <is>
          <t>Hoàn thành</t>
        </is>
      </c>
      <c r="J100" s="29" t="n">
        <v>0</v>
      </c>
      <c r="K100" s="37" t="inlineStr">
        <is>
          <t>Số cọc:  | Loại cọc:</t>
        </is>
      </c>
    </row>
    <row r="101" ht="15.75" customHeight="1" s="56">
      <c r="A101" s="37" t="inlineStr">
        <is>
          <t>BK-HS-0098</t>
        </is>
      </c>
      <c r="B101" s="37" t="inlineStr">
        <is>
          <t>Công Ty</t>
        </is>
      </c>
      <c r="C101" s="37" t="inlineStr">
        <is>
          <t>Hiệp Bình</t>
        </is>
      </c>
      <c r="D101" s="37" t="inlineStr">
        <is>
          <t>Hoàn công</t>
        </is>
      </c>
      <c r="E101" s="37" t="inlineStr">
        <is>
          <t>Trương Tấn Quốc</t>
        </is>
      </c>
      <c r="F101" s="37" t="inlineStr">
        <is>
          <t>Võ Tứ Hợp</t>
        </is>
      </c>
      <c r="G101" s="27" t="n">
        <v>46037</v>
      </c>
      <c r="H101" s="37" t="inlineStr">
        <is>
          <t>Đã nộp | Đang hoàn thiện công trình | Đã xử lý, đợi hoàn thành công trình</t>
        </is>
      </c>
      <c r="I101" s="37" t="inlineStr">
        <is>
          <t>Nộp thành công - Chờ kết quả</t>
        </is>
      </c>
      <c r="J101" s="29" t="n">
        <v>0</v>
      </c>
      <c r="K101" s="37" t="inlineStr">
        <is>
          <t>Số cọc:  | Loại cọc:</t>
        </is>
      </c>
    </row>
    <row r="102" ht="15.75" customHeight="1" s="56">
      <c r="A102" s="37" t="inlineStr">
        <is>
          <t>BK-HS-0099</t>
        </is>
      </c>
      <c r="B102" s="37" t="inlineStr">
        <is>
          <t>Hoàng Quân</t>
        </is>
      </c>
      <c r="C102" s="37" t="inlineStr">
        <is>
          <t>Long Phước</t>
        </is>
      </c>
      <c r="D102" s="37" t="inlineStr">
        <is>
          <t>Cắm mốc</t>
        </is>
      </c>
      <c r="E102" s="37" t="inlineStr">
        <is>
          <t>Lê Văn Dựng</t>
        </is>
      </c>
      <c r="F102" s="37" t="inlineStr">
        <is>
          <t>Không cần</t>
        </is>
      </c>
      <c r="G102" s="27" t="n">
        <v>46036</v>
      </c>
      <c r="H102" s="37" t="inlineStr">
        <is>
          <t>Hoàn thành</t>
        </is>
      </c>
      <c r="I102" s="37" t="inlineStr">
        <is>
          <t>Hoàn thành</t>
        </is>
      </c>
      <c r="J102" s="29" t="n">
        <v>50000</v>
      </c>
      <c r="K102" s="37" t="inlineStr">
        <is>
          <t>Số cọc: 6.0 | Loại cọc: Trụ xi măng</t>
        </is>
      </c>
    </row>
    <row r="103" ht="15.75" customHeight="1" s="56">
      <c r="A103" s="37" t="inlineStr">
        <is>
          <t>BK-HS-0100</t>
        </is>
      </c>
      <c r="B103" s="37" t="inlineStr">
        <is>
          <t>Cô Hoa</t>
        </is>
      </c>
      <c r="C103" s="37" t="inlineStr">
        <is>
          <t>Hiệp Bình</t>
        </is>
      </c>
      <c r="D103" s="37" t="inlineStr">
        <is>
          <t>Hoàn công</t>
        </is>
      </c>
      <c r="E103" s="37" t="inlineStr">
        <is>
          <t>Tạ Khắc Tập</t>
        </is>
      </c>
      <c r="F103" s="37" t="inlineStr">
        <is>
          <t>Võ Tứ Hợp</t>
        </is>
      </c>
      <c r="G103" s="27" t="n">
        <v>46036</v>
      </c>
      <c r="H103" s="37" t="inlineStr">
        <is>
          <t>QUÁ HẠN</t>
        </is>
      </c>
      <c r="I103" s="37" t="inlineStr">
        <is>
          <t>QUÁ HẠN</t>
        </is>
      </c>
      <c r="J103" s="29" t="n">
        <v>0</v>
      </c>
      <c r="K103" s="37" t="inlineStr">
        <is>
          <t>Số cọc:  | Loại cọc:</t>
        </is>
      </c>
    </row>
    <row r="104" ht="15.75" customHeight="1" s="56">
      <c r="A104" s="37" t="inlineStr">
        <is>
          <t>BK-HS-0101</t>
        </is>
      </c>
      <c r="B104" s="37" t="inlineStr">
        <is>
          <t>Tuấn Lộc</t>
        </is>
      </c>
      <c r="C104" s="37" t="inlineStr">
        <is>
          <t>Hiệp Bình</t>
        </is>
      </c>
      <c r="D104" s="37" t="inlineStr">
        <is>
          <t>Hoàn công</t>
        </is>
      </c>
      <c r="E104" s="37" t="inlineStr">
        <is>
          <t>Tạ Khắc Tập</t>
        </is>
      </c>
      <c r="F104" s="37" t="inlineStr">
        <is>
          <t>Võ Tứ Hợp</t>
        </is>
      </c>
      <c r="G104" s="27" t="n">
        <v>46036</v>
      </c>
      <c r="H104" s="37" t="inlineStr">
        <is>
          <t>Hoàn thành</t>
        </is>
      </c>
      <c r="I104" s="37" t="inlineStr">
        <is>
          <t>Hoàn thành</t>
        </is>
      </c>
      <c r="J104" s="29" t="n">
        <v>0</v>
      </c>
      <c r="K104" s="37" t="inlineStr">
        <is>
          <t>Số cọc:  | Loại cọc:</t>
        </is>
      </c>
    </row>
    <row r="105" ht="15.75" customHeight="1" s="56">
      <c r="A105" s="37" t="inlineStr">
        <is>
          <t>BK-HS-0102</t>
        </is>
      </c>
      <c r="B105" s="37" t="inlineStr">
        <is>
          <t>Công Ty</t>
        </is>
      </c>
      <c r="C105" s="37" t="inlineStr">
        <is>
          <t>Hiệp Bình</t>
        </is>
      </c>
      <c r="D105" s="37" t="inlineStr">
        <is>
          <t>Hoàn công</t>
        </is>
      </c>
      <c r="E105" s="37" t="inlineStr">
        <is>
          <t>Tạ Khắc Tập</t>
        </is>
      </c>
      <c r="F105" s="37" t="inlineStr">
        <is>
          <t>Võ Tứ Hợp</t>
        </is>
      </c>
      <c r="G105" s="27" t="n">
        <v>46036</v>
      </c>
      <c r="H105" s="37" t="inlineStr">
        <is>
          <t>Đã nộp</t>
        </is>
      </c>
      <c r="I105" s="37" t="inlineStr">
        <is>
          <t>Nộp thành công - Chờ kết quả</t>
        </is>
      </c>
      <c r="J105" s="29" t="n">
        <v>0</v>
      </c>
      <c r="K105" s="37" t="inlineStr">
        <is>
          <t>Số cọc:  | Loại cọc:</t>
        </is>
      </c>
    </row>
    <row r="106" ht="15.75" customHeight="1" s="56">
      <c r="A106" s="37" t="inlineStr">
        <is>
          <t>BK-HS-0103</t>
        </is>
      </c>
      <c r="B106" s="37" t="inlineStr">
        <is>
          <t>Cô Hoa</t>
        </is>
      </c>
      <c r="C106" s="37" t="inlineStr">
        <is>
          <t>Tam Bình</t>
        </is>
      </c>
      <c r="D106" s="37" t="inlineStr">
        <is>
          <t>Cắm mốc</t>
        </is>
      </c>
      <c r="E106" s="37" t="inlineStr">
        <is>
          <t>Tạ Khắc Tập</t>
        </is>
      </c>
      <c r="F106" s="37" t="inlineStr">
        <is>
          <t>Võ Tứ Hợp</t>
        </is>
      </c>
      <c r="G106" s="27" t="n">
        <v>46036</v>
      </c>
      <c r="H106" s="37" t="inlineStr">
        <is>
          <t>Hoàn thành</t>
        </is>
      </c>
      <c r="I106" s="37" t="inlineStr">
        <is>
          <t>Hoàn thành</t>
        </is>
      </c>
      <c r="J106" s="29" t="n">
        <v>0</v>
      </c>
      <c r="K106" s="37" t="inlineStr">
        <is>
          <t>Số cọc: 7.0 | Loại cọc: Cọc sắt</t>
        </is>
      </c>
    </row>
    <row r="107" ht="15.75" customHeight="1" s="56">
      <c r="A107" s="37" t="inlineStr">
        <is>
          <t>BK-HS-0104</t>
        </is>
      </c>
      <c r="B107" s="37" t="inlineStr">
        <is>
          <t>Đạt Việt Phát Land</t>
        </is>
      </c>
      <c r="C107" s="37" t="inlineStr">
        <is>
          <t>Tăng Nhơn Phú</t>
        </is>
      </c>
      <c r="D107" s="37" t="inlineStr">
        <is>
          <t>Xác định diện tích</t>
        </is>
      </c>
      <c r="E107" s="37" t="inlineStr">
        <is>
          <t>Lê Văn Dựng</t>
        </is>
      </c>
      <c r="F107" s="37" t="inlineStr">
        <is>
          <t>Không cần</t>
        </is>
      </c>
      <c r="G107" s="27" t="n">
        <v>46035</v>
      </c>
      <c r="H107" s="37" t="inlineStr">
        <is>
          <t>Hoàn thành</t>
        </is>
      </c>
      <c r="I107" s="37" t="inlineStr">
        <is>
          <t>Hoàn thành</t>
        </is>
      </c>
      <c r="J107" s="29" t="n">
        <v>0</v>
      </c>
      <c r="K107" s="37" t="inlineStr">
        <is>
          <t>Số cọc:  | Loại cọc:</t>
        </is>
      </c>
    </row>
    <row r="108" ht="15.75" customHeight="1" s="56">
      <c r="A108" s="37" t="inlineStr">
        <is>
          <t>BK-HS-0105</t>
        </is>
      </c>
      <c r="B108" s="37" t="inlineStr">
        <is>
          <t>Tùng Huế DV</t>
        </is>
      </c>
      <c r="C108" s="37" t="inlineStr">
        <is>
          <t>Bình Trưng</t>
        </is>
      </c>
      <c r="D108" s="37" t="inlineStr">
        <is>
          <t>Đo GPS</t>
        </is>
      </c>
      <c r="E108" s="37" t="inlineStr">
        <is>
          <t>Lê Văn Dựng</t>
        </is>
      </c>
      <c r="F108" s="37" t="inlineStr">
        <is>
          <t>Không cần</t>
        </is>
      </c>
      <c r="G108" s="27" t="n">
        <v>46035</v>
      </c>
      <c r="H108" s="37" t="inlineStr">
        <is>
          <t>Hoàn thành</t>
        </is>
      </c>
      <c r="I108" s="37" t="inlineStr">
        <is>
          <t>Hoàn thành</t>
        </is>
      </c>
      <c r="J108" s="29" t="n">
        <v>0</v>
      </c>
      <c r="K108" s="37" t="inlineStr">
        <is>
          <t>Số cọc:  | Loại cọc:</t>
        </is>
      </c>
    </row>
    <row r="109" ht="15.75" customHeight="1" s="56">
      <c r="A109" s="37" t="inlineStr">
        <is>
          <t>BK-HS-0106</t>
        </is>
      </c>
      <c r="B109" s="37" t="inlineStr">
        <is>
          <t>Đạt Việt Phát Land</t>
        </is>
      </c>
      <c r="C109" s="37" t="inlineStr">
        <is>
          <t>Long Trường</t>
        </is>
      </c>
      <c r="D109" s="37" t="inlineStr">
        <is>
          <t>Hoàn công</t>
        </is>
      </c>
      <c r="E109" s="37" t="inlineStr">
        <is>
          <t>Lê Văn Xây</t>
        </is>
      </c>
      <c r="F109" s="37" t="inlineStr">
        <is>
          <t>Võ Tứ Hợp</t>
        </is>
      </c>
      <c r="G109" s="27" t="n">
        <v>46034</v>
      </c>
      <c r="H109" s="37" t="inlineStr">
        <is>
          <t>Hoàn thành</t>
        </is>
      </c>
      <c r="I109" s="37" t="inlineStr">
        <is>
          <t>Hoàn thành</t>
        </is>
      </c>
      <c r="J109" s="29" t="n">
        <v>0</v>
      </c>
      <c r="K109" s="37" t="inlineStr">
        <is>
          <t>Số cọc:  | Loại cọc:</t>
        </is>
      </c>
    </row>
    <row r="110" ht="15.75" customHeight="1" s="56">
      <c r="A110" s="37" t="inlineStr">
        <is>
          <t>BK-HS-0107</t>
        </is>
      </c>
      <c r="B110" s="37" t="inlineStr">
        <is>
          <t>Công Ty</t>
        </is>
      </c>
      <c r="C110" s="37" t="inlineStr">
        <is>
          <t>Long Phước</t>
        </is>
      </c>
      <c r="D110" s="37" t="inlineStr">
        <is>
          <t>Cắm mốc</t>
        </is>
      </c>
      <c r="E110" s="37" t="inlineStr">
        <is>
          <t>Lê Văn Dựng</t>
        </is>
      </c>
      <c r="F110" s="37" t="inlineStr">
        <is>
          <t>Không cần</t>
        </is>
      </c>
      <c r="G110" s="27" t="n">
        <v>46034</v>
      </c>
      <c r="H110" s="37" t="inlineStr">
        <is>
          <t>Hoàn thành</t>
        </is>
      </c>
      <c r="I110" s="37" t="inlineStr">
        <is>
          <t>Hoàn thành</t>
        </is>
      </c>
      <c r="J110" s="29" t="n">
        <v>50000</v>
      </c>
      <c r="K110" s="37" t="inlineStr">
        <is>
          <t>Số cọc: 8.0 | Loại cọc: Trụ xi măng</t>
        </is>
      </c>
    </row>
    <row r="111" ht="15.75" customHeight="1" s="56">
      <c r="A111" s="37" t="inlineStr">
        <is>
          <t>BK-HS-0108</t>
        </is>
      </c>
      <c r="B111" s="37" t="inlineStr">
        <is>
          <t>Công Ty</t>
        </is>
      </c>
      <c r="C111" s="37" t="inlineStr">
        <is>
          <t>Linh Xuân</t>
        </is>
      </c>
      <c r="D111" s="37" t="inlineStr">
        <is>
          <t>Cấp đổi</t>
        </is>
      </c>
      <c r="E111" s="37" t="inlineStr">
        <is>
          <t>Lê Văn Xây</t>
        </is>
      </c>
      <c r="F111" s="37" t="inlineStr">
        <is>
          <t>Võ Tứ Hợp</t>
        </is>
      </c>
      <c r="G111" s="27" t="n">
        <v>46031</v>
      </c>
      <c r="H111" s="37" t="inlineStr">
        <is>
          <t>Hoàn thành</t>
        </is>
      </c>
      <c r="I111" s="37" t="inlineStr">
        <is>
          <t>Hoàn thành</t>
        </is>
      </c>
      <c r="J111" s="29" t="n">
        <v>0</v>
      </c>
      <c r="K111" s="37" t="inlineStr">
        <is>
          <t>Số cọc:  | Loại cọc:</t>
        </is>
      </c>
    </row>
    <row r="112" ht="15.75" customHeight="1" s="56">
      <c r="A112" s="37" t="inlineStr">
        <is>
          <t>BK-HS-0109</t>
        </is>
      </c>
      <c r="B112" s="37" t="inlineStr">
        <is>
          <t>Công Ty</t>
        </is>
      </c>
      <c r="C112" s="37" t="inlineStr">
        <is>
          <t>Hiệp Bình</t>
        </is>
      </c>
      <c r="D112" s="37" t="inlineStr">
        <is>
          <t>Cấp đổi</t>
        </is>
      </c>
      <c r="E112" s="37" t="inlineStr">
        <is>
          <t>Lê Văn Dựng</t>
        </is>
      </c>
      <c r="F112" s="37" t="inlineStr">
        <is>
          <t>Võ Tứ Hợp</t>
        </is>
      </c>
      <c r="G112" s="27" t="n">
        <v>46031</v>
      </c>
      <c r="H112" s="37" t="inlineStr">
        <is>
          <t>ĐÃ HỦY</t>
        </is>
      </c>
      <c r="I112" s="37" t="inlineStr">
        <is>
          <t>Hủy</t>
        </is>
      </c>
      <c r="J112" s="29" t="n">
        <v>0</v>
      </c>
      <c r="K112" s="37" t="inlineStr">
        <is>
          <t>Số cọc:  | Loại cọc:</t>
        </is>
      </c>
    </row>
    <row r="113" ht="15.75" customHeight="1" s="56">
      <c r="A113" s="37" t="inlineStr">
        <is>
          <t>BK-HS-0110</t>
        </is>
      </c>
      <c r="B113" s="37" t="inlineStr">
        <is>
          <t>Công Ty</t>
        </is>
      </c>
      <c r="C113" s="37" t="inlineStr">
        <is>
          <t>Hiệp Bình</t>
        </is>
      </c>
      <c r="D113" s="37" t="inlineStr">
        <is>
          <t>Cắm mốc</t>
        </is>
      </c>
      <c r="E113" s="37" t="inlineStr">
        <is>
          <t>Lê Văn Dựng</t>
        </is>
      </c>
      <c r="F113" s="37" t="inlineStr">
        <is>
          <t>Võ Tứ Hợp</t>
        </is>
      </c>
      <c r="G113" s="27" t="n">
        <v>46031</v>
      </c>
      <c r="H113" s="37" t="inlineStr">
        <is>
          <t>Hoàn thành | khách hàng yêu cầu chôn 4 trụ xi măng (hiện trạng thực tế chỉ chôn được 2 trụ sau)</t>
        </is>
      </c>
      <c r="I113" s="37" t="inlineStr">
        <is>
          <t>Hoàn thành</t>
        </is>
      </c>
      <c r="J113" s="29" t="n">
        <v>50000</v>
      </c>
      <c r="K113" s="37" t="inlineStr">
        <is>
          <t>Số cọc: 2.0 | Loại cọc: Trụ xi măng</t>
        </is>
      </c>
    </row>
    <row r="114" ht="15.75" customHeight="1" s="56">
      <c r="A114" s="37" t="inlineStr">
        <is>
          <t>BK-HS-0111</t>
        </is>
      </c>
      <c r="B114" s="37" t="inlineStr">
        <is>
          <t>Anh Chiến KTS</t>
        </is>
      </c>
      <c r="C114" s="37" t="inlineStr">
        <is>
          <t>Thủ Đức</t>
        </is>
      </c>
      <c r="D114" s="37" t="inlineStr">
        <is>
          <t>Cắm mốc</t>
        </is>
      </c>
      <c r="E114" s="37" t="inlineStr">
        <is>
          <t>Lê Văn Dựng</t>
        </is>
      </c>
      <c r="F114" s="37" t="inlineStr">
        <is>
          <t>Võ Tứ Hợp</t>
        </is>
      </c>
      <c r="G114" s="27" t="n">
        <v>46031</v>
      </c>
      <c r="H114" s="37" t="inlineStr">
        <is>
          <t>Hoàn thành</t>
        </is>
      </c>
      <c r="I114" s="37" t="inlineStr">
        <is>
          <t>Hoàn thành</t>
        </is>
      </c>
      <c r="J114" s="29" t="n">
        <v>50000</v>
      </c>
      <c r="K114" s="37" t="inlineStr">
        <is>
          <t>Số cọc: 6.0 | Loại cọc: Trụ xi măng</t>
        </is>
      </c>
    </row>
    <row r="115" ht="15.75" customHeight="1" s="56">
      <c r="A115" s="37" t="inlineStr">
        <is>
          <t>BK-HS-0112</t>
        </is>
      </c>
      <c r="B115" s="37" t="inlineStr">
        <is>
          <t>Cô Hoa</t>
        </is>
      </c>
      <c r="C115" s="37" t="inlineStr">
        <is>
          <t>Tam Bình</t>
        </is>
      </c>
      <c r="D115" s="37" t="inlineStr">
        <is>
          <t>Kiểm tra hiện trạng</t>
        </is>
      </c>
      <c r="E115" s="37" t="inlineStr">
        <is>
          <t>Tạ Khắc Tập</t>
        </is>
      </c>
      <c r="F115" s="37" t="inlineStr">
        <is>
          <t>Võ Tứ Hợp</t>
        </is>
      </c>
      <c r="G115" s="27" t="n">
        <v>46031</v>
      </c>
      <c r="H115" s="37" t="inlineStr">
        <is>
          <t>Hoàn thành</t>
        </is>
      </c>
      <c r="I115" s="37" t="inlineStr">
        <is>
          <t>Hoàn thành</t>
        </is>
      </c>
      <c r="J115" s="29" t="n">
        <v>0</v>
      </c>
      <c r="K115" s="37" t="inlineStr">
        <is>
          <t>Số cọc:  | Loại cọc:</t>
        </is>
      </c>
    </row>
    <row r="116" ht="15.75" customHeight="1" s="56">
      <c r="A116" s="37" t="inlineStr">
        <is>
          <t>BK-HS-0113</t>
        </is>
      </c>
      <c r="B116" s="37" t="inlineStr">
        <is>
          <t>Cô Hoa</t>
        </is>
      </c>
      <c r="C116" s="37" t="inlineStr">
        <is>
          <t>Tam Bình</t>
        </is>
      </c>
      <c r="D116" s="37" t="inlineStr">
        <is>
          <t>Kiểm tra hiện trạng</t>
        </is>
      </c>
      <c r="E116" s="37" t="inlineStr">
        <is>
          <t>Tạ Khắc Tập</t>
        </is>
      </c>
      <c r="F116" s="37" t="inlineStr">
        <is>
          <t>Võ Tứ Hợp</t>
        </is>
      </c>
      <c r="G116" s="27" t="n">
        <v>46031</v>
      </c>
      <c r="H116" s="37" t="inlineStr">
        <is>
          <t>Hoàn thành</t>
        </is>
      </c>
      <c r="I116" s="37" t="inlineStr">
        <is>
          <t>Hoàn thành</t>
        </is>
      </c>
      <c r="J116" s="29" t="n">
        <v>0</v>
      </c>
      <c r="K116" s="37" t="inlineStr">
        <is>
          <t>Số cọc:  | Loại cọc:</t>
        </is>
      </c>
    </row>
    <row r="117" ht="15.75" customHeight="1" s="56">
      <c r="A117" s="37" t="inlineStr">
        <is>
          <t>BK-HS-0114</t>
        </is>
      </c>
      <c r="B117" s="37" t="inlineStr">
        <is>
          <t>Tùng Mập</t>
        </is>
      </c>
      <c r="C117" s="37" t="inlineStr">
        <is>
          <t>Hiệp Bình</t>
        </is>
      </c>
      <c r="D117" s="37" t="inlineStr">
        <is>
          <t>Hoàn công</t>
        </is>
      </c>
      <c r="E117" s="37" t="inlineStr">
        <is>
          <t>Lê Văn Xây</t>
        </is>
      </c>
      <c r="F117" s="37" t="inlineStr">
        <is>
          <t>Võ Tứ Hợp</t>
        </is>
      </c>
      <c r="G117" s="27" t="n">
        <v>46030</v>
      </c>
      <c r="H117" s="37" t="inlineStr">
        <is>
          <t>Hoàn thành</t>
        </is>
      </c>
      <c r="I117" s="37" t="inlineStr">
        <is>
          <t>Hoàn thành</t>
        </is>
      </c>
      <c r="J117" s="29" t="n">
        <v>0</v>
      </c>
      <c r="K117" s="37" t="inlineStr">
        <is>
          <t>Số cọc:  | Loại cọc:</t>
        </is>
      </c>
    </row>
    <row r="118" ht="15.75" customHeight="1" s="56">
      <c r="A118" s="37" t="inlineStr">
        <is>
          <t>BK-HS-0115</t>
        </is>
      </c>
      <c r="B118" s="37" t="inlineStr">
        <is>
          <t>Cô Hoa</t>
        </is>
      </c>
      <c r="C118" s="37" t="inlineStr">
        <is>
          <t>Thủ Đức</t>
        </is>
      </c>
      <c r="D118" s="37" t="inlineStr">
        <is>
          <t>Cấp đổi</t>
        </is>
      </c>
      <c r="E118" s="37" t="inlineStr">
        <is>
          <t>Lê Văn Xây</t>
        </is>
      </c>
      <c r="F118" s="37" t="inlineStr">
        <is>
          <t>Võ Tứ Hợp</t>
        </is>
      </c>
      <c r="G118" s="27" t="n">
        <v>46030</v>
      </c>
      <c r="H118" s="37" t="inlineStr">
        <is>
          <t>Hoàn thành</t>
        </is>
      </c>
      <c r="I118" s="37" t="inlineStr">
        <is>
          <t>Hoàn thành</t>
        </is>
      </c>
      <c r="J118" s="29" t="n">
        <v>0</v>
      </c>
      <c r="K118" s="37" t="inlineStr">
        <is>
          <t>Số cọc:  | Loại cọc:</t>
        </is>
      </c>
    </row>
    <row r="119" ht="15.75" customHeight="1" s="56">
      <c r="A119" s="37" t="inlineStr">
        <is>
          <t>BK-HS-0116</t>
        </is>
      </c>
      <c r="B119" s="37" t="inlineStr">
        <is>
          <t>Công Ty</t>
        </is>
      </c>
      <c r="C119" s="37" t="inlineStr">
        <is>
          <t>Linh Xuân</t>
        </is>
      </c>
      <c r="D119" s="37" t="inlineStr">
        <is>
          <t>Kiểm tra hiện trạng</t>
        </is>
      </c>
      <c r="E119" s="37" t="inlineStr">
        <is>
          <t>Lê Văn Dựng</t>
        </is>
      </c>
      <c r="F119" s="37" t="inlineStr">
        <is>
          <t>Võ Tứ Hợp</t>
        </is>
      </c>
      <c r="G119" s="27" t="n">
        <v>46030</v>
      </c>
      <c r="H119" s="37" t="inlineStr">
        <is>
          <t>Hoàn thành</t>
        </is>
      </c>
      <c r="I119" s="37" t="inlineStr">
        <is>
          <t>Hoàn thành</t>
        </is>
      </c>
      <c r="J119" s="29" t="n">
        <v>0</v>
      </c>
      <c r="K119" s="37" t="inlineStr">
        <is>
          <t>Số cọc:  | Loại cọc:</t>
        </is>
      </c>
    </row>
    <row r="120" ht="15.75" customHeight="1" s="56">
      <c r="A120" s="37" t="inlineStr">
        <is>
          <t>BK-HS-0117</t>
        </is>
      </c>
      <c r="B120" s="37" t="inlineStr">
        <is>
          <t>Công Ty</t>
        </is>
      </c>
      <c r="C120" s="37" t="inlineStr">
        <is>
          <t>Long Phước</t>
        </is>
      </c>
      <c r="D120" s="37" t="inlineStr">
        <is>
          <t>Đo GPS</t>
        </is>
      </c>
      <c r="E120" s="37" t="inlineStr">
        <is>
          <t>Lê Văn Dựng</t>
        </is>
      </c>
      <c r="F120" s="37" t="inlineStr">
        <is>
          <t>Không cần</t>
        </is>
      </c>
      <c r="G120" s="27" t="n">
        <v>46030</v>
      </c>
      <c r="H120" s="37" t="inlineStr">
        <is>
          <t>Hoàn thành</t>
        </is>
      </c>
      <c r="I120" s="37" t="inlineStr">
        <is>
          <t>Hoàn thành</t>
        </is>
      </c>
      <c r="J120" s="29" t="n">
        <v>0</v>
      </c>
      <c r="K120" s="37" t="inlineStr">
        <is>
          <t>Số cọc:  | Loại cọc:</t>
        </is>
      </c>
    </row>
    <row r="121" ht="15.75" customHeight="1" s="56">
      <c r="A121" s="37" t="inlineStr">
        <is>
          <t>BK-HS-0118</t>
        </is>
      </c>
      <c r="B121" s="37" t="inlineStr">
        <is>
          <t>Công Ty</t>
        </is>
      </c>
      <c r="C121" s="37" t="inlineStr">
        <is>
          <t>Long Phước</t>
        </is>
      </c>
      <c r="D121" s="37" t="inlineStr">
        <is>
          <t>Cấp đổi</t>
        </is>
      </c>
      <c r="E121" s="37" t="inlineStr">
        <is>
          <t>Lê Văn Dựng</t>
        </is>
      </c>
      <c r="F121" s="37" t="inlineStr">
        <is>
          <t>Không cần</t>
        </is>
      </c>
      <c r="G121" s="27" t="n">
        <v>46030</v>
      </c>
      <c r="H121" s="37" t="inlineStr">
        <is>
          <t>Đã nộp</t>
        </is>
      </c>
      <c r="I121" s="37" t="inlineStr">
        <is>
          <t>Nộp thành công - Chờ kết quả</t>
        </is>
      </c>
      <c r="J121" s="29" t="n">
        <v>0</v>
      </c>
      <c r="K121" s="37" t="inlineStr">
        <is>
          <t>Số cọc:  | Loại cọc:</t>
        </is>
      </c>
    </row>
    <row r="122" ht="15.75" customHeight="1" s="56">
      <c r="A122" s="37" t="inlineStr">
        <is>
          <t>BK-HS-0119</t>
        </is>
      </c>
      <c r="B122" s="37" t="inlineStr">
        <is>
          <t>Cô Hoa</t>
        </is>
      </c>
      <c r="C122" s="37" t="inlineStr">
        <is>
          <t>Tam Bình</t>
        </is>
      </c>
      <c r="D122" s="37" t="inlineStr">
        <is>
          <t>Cấp đổi</t>
        </is>
      </c>
      <c r="E122" s="37" t="inlineStr">
        <is>
          <t>Tạ Khắc Tập</t>
        </is>
      </c>
      <c r="F122" s="37" t="inlineStr">
        <is>
          <t>Võ Tứ Hợp</t>
        </is>
      </c>
      <c r="G122" s="27" t="n">
        <v>46030</v>
      </c>
      <c r="H122" s="37" t="inlineStr">
        <is>
          <t>Đã nộp</t>
        </is>
      </c>
      <c r="I122" s="37" t="inlineStr">
        <is>
          <t>Nộp thành công - Chờ kết quả</t>
        </is>
      </c>
      <c r="J122" s="29" t="n">
        <v>0</v>
      </c>
      <c r="K122" s="37" t="inlineStr">
        <is>
          <t>Số cọc:  | Loại cọc:</t>
        </is>
      </c>
    </row>
    <row r="123" ht="15.75" customHeight="1" s="56">
      <c r="A123" s="37" t="inlineStr">
        <is>
          <t>BK-HS-0120</t>
        </is>
      </c>
      <c r="B123" s="37" t="inlineStr">
        <is>
          <t>Công Ty</t>
        </is>
      </c>
      <c r="C123" s="37" t="inlineStr">
        <is>
          <t>Hiệp Bình</t>
        </is>
      </c>
      <c r="D123" s="37" t="inlineStr">
        <is>
          <t>Cắm mốc</t>
        </is>
      </c>
      <c r="E123" s="37" t="inlineStr">
        <is>
          <t>Lê Văn Dựng</t>
        </is>
      </c>
      <c r="F123" s="37" t="inlineStr">
        <is>
          <t>Võ Tứ Hợp</t>
        </is>
      </c>
      <c r="G123" s="27" t="n">
        <v>46029</v>
      </c>
      <c r="H123" s="37" t="inlineStr">
        <is>
          <t>Hoàn thành</t>
        </is>
      </c>
      <c r="I123" s="37" t="inlineStr">
        <is>
          <t>Hoàn thành</t>
        </is>
      </c>
      <c r="J123" s="29" t="n">
        <v>50000</v>
      </c>
      <c r="K123" s="37" t="inlineStr">
        <is>
          <t>Số cọc: 7.0 | Loại cọc: Trụ xi măng</t>
        </is>
      </c>
    </row>
    <row r="124" ht="15.75" customHeight="1" s="56">
      <c r="A124" s="37" t="inlineStr">
        <is>
          <t>BK-HS-0121</t>
        </is>
      </c>
      <c r="B124" s="37" t="inlineStr">
        <is>
          <t>Đạt Việt Phát Land</t>
        </is>
      </c>
      <c r="C124" s="37" t="inlineStr">
        <is>
          <t>Bình Trưng</t>
        </is>
      </c>
      <c r="D124" s="37" t="inlineStr">
        <is>
          <t>Cấp đổi</t>
        </is>
      </c>
      <c r="E124" s="37" t="inlineStr">
        <is>
          <t>Lê Văn Xây</t>
        </is>
      </c>
      <c r="F124" s="37" t="inlineStr">
        <is>
          <t>Võ Tứ Hợp</t>
        </is>
      </c>
      <c r="G124" s="27" t="n">
        <v>46029</v>
      </c>
      <c r="H124" s="37" t="inlineStr">
        <is>
          <t>Hoàn thành</t>
        </is>
      </c>
      <c r="I124" s="37" t="inlineStr">
        <is>
          <t>Hoàn thành</t>
        </is>
      </c>
      <c r="J124" s="29" t="n">
        <v>0</v>
      </c>
      <c r="K124" s="37" t="inlineStr">
        <is>
          <t>Số cọc:  | Loại cọc:</t>
        </is>
      </c>
    </row>
    <row r="125" ht="15.75" customHeight="1" s="56">
      <c r="A125" s="37" t="inlineStr">
        <is>
          <t>BK-HS-0122</t>
        </is>
      </c>
      <c r="B125" s="37" t="inlineStr">
        <is>
          <t>Hoàng Cương BĐS</t>
        </is>
      </c>
      <c r="C125" s="37" t="inlineStr">
        <is>
          <t>Hiệp Bình</t>
        </is>
      </c>
      <c r="D125" s="37" t="inlineStr">
        <is>
          <t>Hoàn công</t>
        </is>
      </c>
      <c r="E125" s="37" t="inlineStr">
        <is>
          <t>Lê Văn Xây</t>
        </is>
      </c>
      <c r="F125" s="37" t="inlineStr">
        <is>
          <t>Võ Tứ Hợp</t>
        </is>
      </c>
      <c r="G125" s="27" t="n">
        <v>46028</v>
      </c>
      <c r="H125" s="37" t="inlineStr">
        <is>
          <t>Hoàn thành</t>
        </is>
      </c>
      <c r="I125" s="37" t="inlineStr">
        <is>
          <t>Hoàn thành</t>
        </is>
      </c>
      <c r="J125" s="29" t="n">
        <v>0</v>
      </c>
      <c r="K125" s="37" t="inlineStr">
        <is>
          <t>Số cọc:  | Loại cọc:</t>
        </is>
      </c>
    </row>
    <row r="126" ht="15.75" customHeight="1" s="56">
      <c r="A126" s="37" t="inlineStr">
        <is>
          <t>BK-HS-0123</t>
        </is>
      </c>
      <c r="B126" s="37" t="inlineStr">
        <is>
          <t>Hoàng Cương BĐS</t>
        </is>
      </c>
      <c r="C126" s="37" t="inlineStr">
        <is>
          <t>Hiệp Bình</t>
        </is>
      </c>
      <c r="D126" s="37" t="inlineStr">
        <is>
          <t>Hoàn công</t>
        </is>
      </c>
      <c r="E126" s="37" t="inlineStr">
        <is>
          <t>Lê Văn Xây</t>
        </is>
      </c>
      <c r="F126" s="37" t="inlineStr">
        <is>
          <t>Võ Tứ Hợp</t>
        </is>
      </c>
      <c r="G126" s="27" t="n">
        <v>46028</v>
      </c>
      <c r="H126" s="37" t="inlineStr">
        <is>
          <t>Hoàn thành</t>
        </is>
      </c>
      <c r="I126" s="37" t="inlineStr">
        <is>
          <t>Hoàn thành</t>
        </is>
      </c>
      <c r="J126" s="29" t="n">
        <v>0</v>
      </c>
      <c r="K126" s="37" t="inlineStr">
        <is>
          <t>Số cọc:  | Loại cọc:</t>
        </is>
      </c>
    </row>
    <row r="127" ht="15.75" customHeight="1" s="56">
      <c r="A127" s="37" t="inlineStr">
        <is>
          <t>BK-HS-0124</t>
        </is>
      </c>
      <c r="B127" s="37" t="inlineStr">
        <is>
          <t>Công Ty</t>
        </is>
      </c>
      <c r="C127" s="37" t="inlineStr">
        <is>
          <t>Linh Xuân</t>
        </is>
      </c>
      <c r="D127" s="37" t="inlineStr">
        <is>
          <t>Hoàn công</t>
        </is>
      </c>
      <c r="E127" s="37" t="inlineStr">
        <is>
          <t>Trương Tấn Quốc</t>
        </is>
      </c>
      <c r="F127" s="37" t="inlineStr">
        <is>
          <t>Võ Tứ Hợp</t>
        </is>
      </c>
      <c r="G127" s="27" t="n">
        <v>46028</v>
      </c>
      <c r="H127" s="37" t="inlineStr">
        <is>
          <t>ĐÃ HỦY | Lệch ranh - Đợi hoàn thành công trình</t>
        </is>
      </c>
      <c r="I127" s="37" t="inlineStr">
        <is>
          <t>Hủy</t>
        </is>
      </c>
      <c r="J127" s="29" t="n">
        <v>0</v>
      </c>
      <c r="K127" s="37" t="inlineStr">
        <is>
          <t>Số cọc:  | Loại cọc:</t>
        </is>
      </c>
    </row>
    <row r="128" ht="15.75" customHeight="1" s="56">
      <c r="A128" s="37" t="inlineStr">
        <is>
          <t>BK-HS-0125</t>
        </is>
      </c>
      <c r="B128" s="37" t="inlineStr">
        <is>
          <t>Công Ty</t>
        </is>
      </c>
      <c r="C128" s="37" t="inlineStr">
        <is>
          <t>Thủ Đức</t>
        </is>
      </c>
      <c r="D128" s="37" t="inlineStr">
        <is>
          <t>Cấp đổi</t>
        </is>
      </c>
      <c r="E128" s="37" t="inlineStr">
        <is>
          <t>Trương Tấn Quốc</t>
        </is>
      </c>
      <c r="F128" s="37" t="inlineStr">
        <is>
          <t>Võ Tứ Hợp</t>
        </is>
      </c>
      <c r="G128" s="27" t="n">
        <v>46028</v>
      </c>
      <c r="H128" s="37" t="inlineStr">
        <is>
          <t>Hoàn thành</t>
        </is>
      </c>
      <c r="I128" s="37" t="inlineStr">
        <is>
          <t>Hoàn thành</t>
        </is>
      </c>
      <c r="J128" s="29" t="n">
        <v>0</v>
      </c>
      <c r="K128" s="37" t="inlineStr">
        <is>
          <t>Số cọc:  | Loại cọc:</t>
        </is>
      </c>
    </row>
    <row r="129" ht="15.75" customHeight="1" s="56">
      <c r="A129" s="37" t="inlineStr">
        <is>
          <t>BK-HS-0126</t>
        </is>
      </c>
      <c r="B129" s="37" t="inlineStr">
        <is>
          <t>Công Ty</t>
        </is>
      </c>
      <c r="C129" s="37" t="inlineStr">
        <is>
          <t>Long Phước</t>
        </is>
      </c>
      <c r="D129" s="37" t="inlineStr">
        <is>
          <t>Đo GPS</t>
        </is>
      </c>
      <c r="E129" s="37" t="inlineStr">
        <is>
          <t>Lê Văn Dựng</t>
        </is>
      </c>
      <c r="F129" s="37" t="inlineStr">
        <is>
          <t>Không cần</t>
        </is>
      </c>
      <c r="G129" s="27" t="n">
        <v>46028</v>
      </c>
      <c r="H129" s="37" t="inlineStr">
        <is>
          <t>Hoàn thành</t>
        </is>
      </c>
      <c r="I129" s="37" t="inlineStr">
        <is>
          <t>Hoàn thành</t>
        </is>
      </c>
      <c r="J129" s="29" t="n">
        <v>0</v>
      </c>
      <c r="K129" s="37" t="inlineStr">
        <is>
          <t>Số cọc:  | Loại cọc:</t>
        </is>
      </c>
    </row>
    <row r="130" ht="15.75" customHeight="1" s="56">
      <c r="A130" s="37" t="inlineStr">
        <is>
          <t>BK-HS-0127</t>
        </is>
      </c>
      <c r="B130" s="37" t="inlineStr">
        <is>
          <t>Công Ty</t>
        </is>
      </c>
      <c r="C130" s="37" t="inlineStr">
        <is>
          <t>Long Phước</t>
        </is>
      </c>
      <c r="D130" s="37" t="inlineStr">
        <is>
          <t>Cắm mốc</t>
        </is>
      </c>
      <c r="E130" s="37" t="inlineStr">
        <is>
          <t>Lê Văn Dựng</t>
        </is>
      </c>
      <c r="F130" s="37" t="inlineStr">
        <is>
          <t>Không cần</t>
        </is>
      </c>
      <c r="G130" s="27" t="n">
        <v>46028</v>
      </c>
      <c r="H130" s="37" t="inlineStr">
        <is>
          <t>Hoàn thành</t>
        </is>
      </c>
      <c r="I130" s="37" t="inlineStr">
        <is>
          <t>Hoàn thành</t>
        </is>
      </c>
      <c r="J130" s="29" t="n">
        <v>50000</v>
      </c>
      <c r="K130" s="37" t="inlineStr">
        <is>
          <t>Số cọc: 7.0 | Loại cọc: Trụ xi măng</t>
        </is>
      </c>
    </row>
    <row r="131" ht="15.75" customHeight="1" s="56">
      <c r="A131" s="37" t="inlineStr">
        <is>
          <t>BK-HS-0128</t>
        </is>
      </c>
      <c r="B131" s="37" t="inlineStr">
        <is>
          <t>Công Ty</t>
        </is>
      </c>
      <c r="C131" s="37" t="inlineStr">
        <is>
          <t>Long Phước</t>
        </is>
      </c>
      <c r="D131" s="37" t="inlineStr">
        <is>
          <t>Cấp đổi</t>
        </is>
      </c>
      <c r="E131" s="37" t="inlineStr">
        <is>
          <t>Lê Văn Dựng</t>
        </is>
      </c>
      <c r="F131" s="37" t="inlineStr">
        <is>
          <t>Không cần</t>
        </is>
      </c>
      <c r="G131" s="27" t="n">
        <v>46028</v>
      </c>
      <c r="H131" s="37" t="inlineStr">
        <is>
          <t>Hoàn thành</t>
        </is>
      </c>
      <c r="I131" s="37" t="inlineStr">
        <is>
          <t>Hoàn thành</t>
        </is>
      </c>
      <c r="J131" s="29" t="n">
        <v>0</v>
      </c>
      <c r="K131" s="37" t="inlineStr">
        <is>
          <t>Số cọc:  | Loại cọc:</t>
        </is>
      </c>
    </row>
    <row r="132" ht="15.75" customHeight="1" s="56">
      <c r="A132" s="37" t="inlineStr">
        <is>
          <t>BK-HS-0129</t>
        </is>
      </c>
      <c r="B132" s="37" t="inlineStr">
        <is>
          <t>Công Ty</t>
        </is>
      </c>
      <c r="C132" s="37" t="inlineStr">
        <is>
          <t>Hiệp Bình</t>
        </is>
      </c>
      <c r="D132" s="37" t="inlineStr">
        <is>
          <t>Xác định diện tích</t>
        </is>
      </c>
      <c r="E132" s="37" t="inlineStr">
        <is>
          <t>Lê Văn Xây</t>
        </is>
      </c>
      <c r="F132" s="37" t="inlineStr">
        <is>
          <t>Không cần</t>
        </is>
      </c>
      <c r="G132" s="27" t="n">
        <v>46021</v>
      </c>
      <c r="H132" s="37" t="inlineStr">
        <is>
          <t>Hoàn thành</t>
        </is>
      </c>
      <c r="I132" s="37" t="inlineStr">
        <is>
          <t>Hoàn thành</t>
        </is>
      </c>
      <c r="J132" s="29" t="n">
        <v>0</v>
      </c>
      <c r="K132" s="37" t="inlineStr">
        <is>
          <t>Số cọc:  | Loại cọc:</t>
        </is>
      </c>
    </row>
    <row r="133" ht="15.75" customHeight="1" s="56">
      <c r="A133" s="37" t="inlineStr">
        <is>
          <t>BK-HS-0130</t>
        </is>
      </c>
      <c r="B133" s="37" t="inlineStr">
        <is>
          <t>Công Ty</t>
        </is>
      </c>
      <c r="C133" s="37" t="inlineStr">
        <is>
          <t>Long Phước</t>
        </is>
      </c>
      <c r="D133" s="37" t="inlineStr">
        <is>
          <t>Điều chỉnh bản vẽ</t>
        </is>
      </c>
      <c r="E133" s="37" t="inlineStr">
        <is>
          <t>Tạ Khắc Tập</t>
        </is>
      </c>
      <c r="F133" s="37" t="inlineStr">
        <is>
          <t>Không cần</t>
        </is>
      </c>
      <c r="G133" s="27" t="n">
        <v>46021</v>
      </c>
      <c r="H133" s="37" t="inlineStr">
        <is>
          <t>Hoàn thành | DA NOP vy</t>
        </is>
      </c>
      <c r="I133" s="37" t="inlineStr">
        <is>
          <t>Hoàn thành</t>
        </is>
      </c>
      <c r="J133" s="29" t="n">
        <v>0</v>
      </c>
      <c r="K133" s="37" t="inlineStr">
        <is>
          <t>Số cọc:  | Loại cọc:</t>
        </is>
      </c>
    </row>
    <row r="134" ht="15.75" customHeight="1" s="56">
      <c r="A134" s="37" t="inlineStr">
        <is>
          <t>BK-HS-0131</t>
        </is>
      </c>
      <c r="B134" s="37" t="inlineStr">
        <is>
          <t>Công Ty</t>
        </is>
      </c>
      <c r="C134" s="37" t="inlineStr">
        <is>
          <t>Long Trường</t>
        </is>
      </c>
      <c r="D134" s="37" t="inlineStr">
        <is>
          <t>Cấp đổi</t>
        </is>
      </c>
      <c r="E134" s="37" t="inlineStr">
        <is>
          <t>Tạ Khắc Tập</t>
        </is>
      </c>
      <c r="F134" s="37" t="inlineStr">
        <is>
          <t>Không cần</t>
        </is>
      </c>
      <c r="G134" s="27" t="n">
        <v>46021</v>
      </c>
      <c r="H134" s="37" t="inlineStr">
        <is>
          <t>ĐÃ HỦY | chờ chủ nhà bổ sung giấy tờ, trích lục BVCG, ĐO BÁO CAO GPS</t>
        </is>
      </c>
      <c r="I134" s="37" t="inlineStr">
        <is>
          <t>Hủy</t>
        </is>
      </c>
      <c r="J134" s="29" t="n">
        <v>0</v>
      </c>
      <c r="K134" s="37" t="inlineStr">
        <is>
          <t>Số cọc:  | Loại cọc:</t>
        </is>
      </c>
    </row>
    <row r="135" ht="15.75" customHeight="1" s="56">
      <c r="A135" s="37" t="inlineStr">
        <is>
          <t>BK-HS-0132</t>
        </is>
      </c>
      <c r="B135" s="37" t="inlineStr">
        <is>
          <t>Tùng Huế DV</t>
        </is>
      </c>
      <c r="C135" s="37" t="inlineStr">
        <is>
          <t>Bình Trưng</t>
        </is>
      </c>
      <c r="D135" s="37" t="inlineStr">
        <is>
          <t>Cấp đổi</t>
        </is>
      </c>
      <c r="E135" s="37" t="inlineStr">
        <is>
          <t>Lê Văn Dựng</t>
        </is>
      </c>
      <c r="F135" s="37" t="inlineStr">
        <is>
          <t>Võ Tứ Hợp</t>
        </is>
      </c>
      <c r="G135" s="27" t="n">
        <v>46021</v>
      </c>
      <c r="H135" s="37" t="inlineStr">
        <is>
          <t>Hoàn thành</t>
        </is>
      </c>
      <c r="I135" s="37" t="inlineStr">
        <is>
          <t>Hoàn thành</t>
        </is>
      </c>
      <c r="J135" s="29" t="n">
        <v>0</v>
      </c>
      <c r="K135" s="37" t="inlineStr">
        <is>
          <t>Số cọc:  | Loại cọc:</t>
        </is>
      </c>
    </row>
    <row r="136" ht="15.75" customHeight="1" s="56">
      <c r="A136" s="37" t="inlineStr">
        <is>
          <t>BK-HS-0133</t>
        </is>
      </c>
      <c r="B136" s="37" t="inlineStr">
        <is>
          <t>Công Ty</t>
        </is>
      </c>
      <c r="C136" s="37" t="inlineStr">
        <is>
          <t>Cát Lái</t>
        </is>
      </c>
      <c r="D136" s="37" t="inlineStr">
        <is>
          <t>Cắm mốc</t>
        </is>
      </c>
      <c r="E136" s="37" t="inlineStr">
        <is>
          <t>Lê Văn Dựng</t>
        </is>
      </c>
      <c r="F136" s="37" t="inlineStr">
        <is>
          <t>Võ Tứ Hợp</t>
        </is>
      </c>
      <c r="G136" s="27" t="n">
        <v>46021</v>
      </c>
      <c r="H136" s="37" t="inlineStr">
        <is>
          <t>Hoàn thành</t>
        </is>
      </c>
      <c r="I136" s="37" t="inlineStr">
        <is>
          <t>Hoàn thành</t>
        </is>
      </c>
      <c r="J136" s="29" t="n">
        <v>50000</v>
      </c>
      <c r="K136" s="37" t="inlineStr">
        <is>
          <t>Số cọc: 4.0 | Loại cọc: Trụ xi măng</t>
        </is>
      </c>
    </row>
    <row r="137" ht="15.75" customHeight="1" s="56">
      <c r="A137" s="37" t="inlineStr">
        <is>
          <t>BK-HS-0134</t>
        </is>
      </c>
      <c r="B137" s="37" t="inlineStr">
        <is>
          <t>Cô Hoa</t>
        </is>
      </c>
      <c r="C137" s="37" t="inlineStr">
        <is>
          <t>Tam Bình</t>
        </is>
      </c>
      <c r="D137" s="37" t="inlineStr">
        <is>
          <t>Điều chỉnh bản vẽ</t>
        </is>
      </c>
      <c r="E137" s="37" t="inlineStr">
        <is>
          <t>Trương Tấn Quốc</t>
        </is>
      </c>
      <c r="F137" s="37" t="inlineStr">
        <is>
          <t>Không cần</t>
        </is>
      </c>
      <c r="G137" s="27" t="n">
        <v>46021</v>
      </c>
      <c r="H137" s="37" t="inlineStr">
        <is>
          <t>Hoàn thành</t>
        </is>
      </c>
      <c r="I137" s="37" t="inlineStr">
        <is>
          <t>Hoàn thành</t>
        </is>
      </c>
      <c r="J137" s="29" t="n">
        <v>0</v>
      </c>
      <c r="K137" s="37" t="inlineStr">
        <is>
          <t>Số cọc:  | Loại cọc:</t>
        </is>
      </c>
    </row>
    <row r="138" ht="15.75" customHeight="1" s="56">
      <c r="A138" s="37" t="inlineStr">
        <is>
          <t>BK-HS-0135</t>
        </is>
      </c>
      <c r="B138" s="37" t="inlineStr">
        <is>
          <t>Chú Loan DV</t>
        </is>
      </c>
      <c r="C138" s="37" t="inlineStr">
        <is>
          <t>Hiệp Bình</t>
        </is>
      </c>
      <c r="D138" s="37" t="inlineStr">
        <is>
          <t>Điều chỉnh bản vẽ</t>
        </is>
      </c>
      <c r="E138" s="37" t="inlineStr">
        <is>
          <t>Tạ Khắc Tập</t>
        </is>
      </c>
      <c r="F138" s="37" t="inlineStr">
        <is>
          <t>Không cần</t>
        </is>
      </c>
      <c r="G138" s="27" t="n">
        <v>46020</v>
      </c>
      <c r="H138" s="37" t="inlineStr">
        <is>
          <t>ĐÃ HỦY | HỖ TRỢ KHÁCH THÔI</t>
        </is>
      </c>
      <c r="I138" s="37" t="inlineStr">
        <is>
          <t>Hủy</t>
        </is>
      </c>
      <c r="J138" s="29" t="n">
        <v>0</v>
      </c>
      <c r="K138" s="37" t="inlineStr">
        <is>
          <t>Số cọc:  | Loại cọc:</t>
        </is>
      </c>
    </row>
    <row r="139" ht="15.75" customHeight="1" s="56">
      <c r="A139" s="37" t="inlineStr">
        <is>
          <t>BK-HS-0136</t>
        </is>
      </c>
      <c r="B139" s="37" t="inlineStr">
        <is>
          <t>Công Ty</t>
        </is>
      </c>
      <c r="C139" s="37" t="inlineStr">
        <is>
          <t>Hiệp Bình</t>
        </is>
      </c>
      <c r="D139" s="37" t="inlineStr">
        <is>
          <t>Đo GPS</t>
        </is>
      </c>
      <c r="E139" s="37" t="inlineStr">
        <is>
          <t>Lê Văn Dựng</t>
        </is>
      </c>
      <c r="F139" s="37" t="inlineStr">
        <is>
          <t>Không cần</t>
        </is>
      </c>
      <c r="G139" s="27" t="n">
        <v>46020</v>
      </c>
      <c r="H139" s="37" t="inlineStr">
        <is>
          <t>Hoàn thành</t>
        </is>
      </c>
      <c r="I139" s="37" t="inlineStr">
        <is>
          <t>Hoàn thành</t>
        </is>
      </c>
      <c r="J139" s="29" t="n">
        <v>0</v>
      </c>
      <c r="K139" s="37" t="inlineStr">
        <is>
          <t>Số cọc:  | Loại cọc:</t>
        </is>
      </c>
    </row>
    <row r="140" ht="15.75" customHeight="1" s="56">
      <c r="A140" s="37" t="inlineStr">
        <is>
          <t>BK-HS-0137</t>
        </is>
      </c>
      <c r="B140" s="37" t="inlineStr">
        <is>
          <t>Công Ty</t>
        </is>
      </c>
      <c r="C140" s="37" t="inlineStr">
        <is>
          <t>Long Bình</t>
        </is>
      </c>
      <c r="D140" s="37" t="inlineStr">
        <is>
          <t>Hoàn công</t>
        </is>
      </c>
      <c r="E140" s="37" t="inlineStr">
        <is>
          <t>Lê Văn Dựng</t>
        </is>
      </c>
      <c r="F140" s="37" t="inlineStr">
        <is>
          <t>Không cần</t>
        </is>
      </c>
      <c r="G140" s="27" t="n">
        <v>46020</v>
      </c>
      <c r="H140" s="37" t="inlineStr">
        <is>
          <t>Hoàn thành</t>
        </is>
      </c>
      <c r="I140" s="37" t="inlineStr">
        <is>
          <t>Hoàn thành</t>
        </is>
      </c>
      <c r="J140" s="29" t="n">
        <v>0</v>
      </c>
      <c r="K140" s="37" t="inlineStr">
        <is>
          <t>Số cọc:  | Loại cọc:</t>
        </is>
      </c>
    </row>
    <row r="141" ht="15.75" customHeight="1" s="56">
      <c r="A141" s="37" t="inlineStr">
        <is>
          <t>BK-HS-0138</t>
        </is>
      </c>
      <c r="B141" s="37" t="inlineStr">
        <is>
          <t>Công Ty</t>
        </is>
      </c>
      <c r="C141" s="37" t="inlineStr">
        <is>
          <t>Long Trường</t>
        </is>
      </c>
      <c r="D141" s="37" t="inlineStr">
        <is>
          <t>Cấp đổi</t>
        </is>
      </c>
      <c r="E141" s="37" t="inlineStr">
        <is>
          <t>Trương Tấn Quốc</t>
        </is>
      </c>
      <c r="F141" s="37" t="inlineStr">
        <is>
          <t>Võ Thành Minh</t>
        </is>
      </c>
      <c r="G141" s="27" t="n">
        <v>46020</v>
      </c>
      <c r="H141" s="37" t="inlineStr">
        <is>
          <t>Hoàn thành</t>
        </is>
      </c>
      <c r="I141" s="37" t="inlineStr">
        <is>
          <t>Hoàn thành</t>
        </is>
      </c>
      <c r="J141" s="29" t="n">
        <v>0</v>
      </c>
      <c r="K141" s="37" t="inlineStr">
        <is>
          <t>Số cọc:  | Loại cọc:</t>
        </is>
      </c>
    </row>
    <row r="142" ht="15.75" customHeight="1" s="56">
      <c r="A142" s="37" t="inlineStr">
        <is>
          <t>BK-HS-0139</t>
        </is>
      </c>
      <c r="B142" s="37" t="inlineStr">
        <is>
          <t>Công Ty</t>
        </is>
      </c>
      <c r="C142" s="37" t="inlineStr">
        <is>
          <t>Hiệp Bình</t>
        </is>
      </c>
      <c r="D142" s="37" t="inlineStr">
        <is>
          <t>Hợp thửa</t>
        </is>
      </c>
      <c r="E142" s="37" t="inlineStr">
        <is>
          <t>Lê Văn Xây</t>
        </is>
      </c>
      <c r="F142" s="37" t="inlineStr">
        <is>
          <t>Võ Tứ Hợp</t>
        </is>
      </c>
      <c r="G142" s="27" t="n">
        <v>46020</v>
      </c>
      <c r="H142" s="37" t="inlineStr">
        <is>
          <t>Đã nộp</t>
        </is>
      </c>
      <c r="I142" s="37" t="inlineStr">
        <is>
          <t>Nộp thành công - Chờ kết quả</t>
        </is>
      </c>
      <c r="J142" s="29" t="n">
        <v>0</v>
      </c>
      <c r="K142" s="37" t="inlineStr">
        <is>
          <t>Số cọc:  | Loại cọc:</t>
        </is>
      </c>
    </row>
    <row r="143" ht="15.75" customHeight="1" s="56">
      <c r="A143" s="37" t="inlineStr">
        <is>
          <t>BK-HS-0140</t>
        </is>
      </c>
      <c r="B143" s="37" t="inlineStr">
        <is>
          <t>Công Ty</t>
        </is>
      </c>
      <c r="C143" s="37" t="inlineStr">
        <is>
          <t>Hiệp Bình</t>
        </is>
      </c>
      <c r="D143" s="37" t="inlineStr">
        <is>
          <t>Hợp thửa</t>
        </is>
      </c>
      <c r="E143" s="37" t="inlineStr">
        <is>
          <t>Lê Văn Xây</t>
        </is>
      </c>
      <c r="F143" s="37" t="inlineStr">
        <is>
          <t>Võ Tứ Hợp</t>
        </is>
      </c>
      <c r="G143" s="27" t="n">
        <v>46020</v>
      </c>
      <c r="H143" s="37" t="inlineStr">
        <is>
          <t>Hoàn thành</t>
        </is>
      </c>
      <c r="I143" s="37" t="inlineStr">
        <is>
          <t>Hoàn thành</t>
        </is>
      </c>
      <c r="J143" s="29" t="n">
        <v>0</v>
      </c>
      <c r="K143" s="37" t="inlineStr">
        <is>
          <t>Số cọc:  | Loại cọc:</t>
        </is>
      </c>
    </row>
    <row r="144" ht="15.75" customHeight="1" s="56">
      <c r="A144" s="37" t="inlineStr">
        <is>
          <t>BK-HS-0141</t>
        </is>
      </c>
      <c r="B144" s="37" t="inlineStr">
        <is>
          <t>Tùng Mập</t>
        </is>
      </c>
      <c r="C144" s="37" t="inlineStr">
        <is>
          <t>Hiệp Bình</t>
        </is>
      </c>
      <c r="D144" s="37" t="inlineStr">
        <is>
          <t>Hoàn công</t>
        </is>
      </c>
      <c r="E144" s="37" t="inlineStr">
        <is>
          <t>Lê Văn Xây</t>
        </is>
      </c>
      <c r="F144" s="37" t="inlineStr">
        <is>
          <t>Võ Tứ Hợp</t>
        </is>
      </c>
      <c r="G144" s="27" t="n">
        <v>46020</v>
      </c>
      <c r="H144" s="37" t="inlineStr">
        <is>
          <t>Hoàn thành</t>
        </is>
      </c>
      <c r="I144" s="37" t="inlineStr">
        <is>
          <t>Hoàn thành</t>
        </is>
      </c>
      <c r="J144" s="29" t="n">
        <v>0</v>
      </c>
      <c r="K144" s="37" t="inlineStr">
        <is>
          <t>Số cọc:  | Loại cọc:</t>
        </is>
      </c>
    </row>
    <row r="145" ht="15.75" customHeight="1" s="56">
      <c r="A145" s="37" t="inlineStr">
        <is>
          <t>BK-HS-0142</t>
        </is>
      </c>
      <c r="B145" s="37" t="inlineStr">
        <is>
          <t>Công Ty</t>
        </is>
      </c>
      <c r="C145" s="37" t="inlineStr">
        <is>
          <t>Tam Bình</t>
        </is>
      </c>
      <c r="D145" s="37" t="inlineStr">
        <is>
          <t>Cấp đổi</t>
        </is>
      </c>
      <c r="E145" s="37" t="inlineStr">
        <is>
          <t>Lê Văn Xây</t>
        </is>
      </c>
      <c r="F145" s="37" t="inlineStr">
        <is>
          <t>Võ Tứ Hợp</t>
        </is>
      </c>
      <c r="G145" s="27" t="n">
        <v>46020</v>
      </c>
      <c r="H145" s="37" t="inlineStr">
        <is>
          <t>Hoàn thành</t>
        </is>
      </c>
      <c r="I145" s="37" t="inlineStr">
        <is>
          <t>Hoàn thành</t>
        </is>
      </c>
      <c r="J145" s="29" t="n">
        <v>0</v>
      </c>
      <c r="K145" s="37" t="inlineStr">
        <is>
          <t>Số cọc:  | Loại cọc:</t>
        </is>
      </c>
    </row>
    <row r="146" ht="15.75" customHeight="1" s="56">
      <c r="A146" s="37" t="inlineStr">
        <is>
          <t>BK-HS-0143</t>
        </is>
      </c>
      <c r="B146" s="37" t="inlineStr">
        <is>
          <t>Công Ty</t>
        </is>
      </c>
      <c r="C146" s="37" t="inlineStr">
        <is>
          <t>Tam Bình</t>
        </is>
      </c>
      <c r="D146" s="37" t="inlineStr">
        <is>
          <t>Cấp đổi</t>
        </is>
      </c>
      <c r="E146" s="37" t="inlineStr">
        <is>
          <t>Lê Văn Xây</t>
        </is>
      </c>
      <c r="F146" s="37" t="inlineStr">
        <is>
          <t>Võ Tứ Hợp</t>
        </is>
      </c>
      <c r="G146" s="27" t="n">
        <v>46017</v>
      </c>
      <c r="H146" s="37" t="inlineStr">
        <is>
          <t>Hoàn thành</t>
        </is>
      </c>
      <c r="I146" s="37" t="inlineStr">
        <is>
          <t>Hoàn thành</t>
        </is>
      </c>
      <c r="J146" s="29" t="n">
        <v>0</v>
      </c>
      <c r="K146" s="37" t="inlineStr">
        <is>
          <t>Số cọc:  | Loại cọc:</t>
        </is>
      </c>
    </row>
    <row r="147" ht="15.75" customHeight="1" s="56">
      <c r="A147" s="37" t="inlineStr">
        <is>
          <t>BK-HS-0144</t>
        </is>
      </c>
      <c r="B147" s="37" t="inlineStr">
        <is>
          <t>Công Ty</t>
        </is>
      </c>
      <c r="C147" s="37" t="inlineStr">
        <is>
          <t>Hiệp Bình</t>
        </is>
      </c>
      <c r="D147" s="37" t="inlineStr">
        <is>
          <t>Xác định diện tích</t>
        </is>
      </c>
      <c r="E147" s="37" t="inlineStr">
        <is>
          <t>Trương Tấn Quốc</t>
        </is>
      </c>
      <c r="F147" s="37" t="inlineStr">
        <is>
          <t>Không cần</t>
        </is>
      </c>
      <c r="G147" s="27" t="n">
        <v>46017</v>
      </c>
      <c r="H147" s="37" t="inlineStr">
        <is>
          <t>Hoàn thành</t>
        </is>
      </c>
      <c r="I147" s="37" t="inlineStr">
        <is>
          <t>Hoàn thành</t>
        </is>
      </c>
      <c r="J147" s="29" t="n">
        <v>0</v>
      </c>
      <c r="K147" s="37" t="inlineStr">
        <is>
          <t>Số cọc:  | Loại cọc:</t>
        </is>
      </c>
    </row>
    <row r="148" ht="15.75" customHeight="1" s="56">
      <c r="A148" s="37" t="inlineStr">
        <is>
          <t>BK-HS-0145</t>
        </is>
      </c>
      <c r="B148" s="37" t="inlineStr">
        <is>
          <t>Chị Xuân DV</t>
        </is>
      </c>
      <c r="C148" s="37" t="inlineStr">
        <is>
          <t>Tăng Nhơn Phú</t>
        </is>
      </c>
      <c r="D148" s="37" t="inlineStr">
        <is>
          <t>Cắm mốc</t>
        </is>
      </c>
      <c r="E148" s="37" t="inlineStr">
        <is>
          <t>Tạ Khắc Tập</t>
        </is>
      </c>
      <c r="F148" s="37" t="inlineStr">
        <is>
          <t>Lê Văn Dựng</t>
        </is>
      </c>
      <c r="G148" s="27" t="n">
        <v>46017</v>
      </c>
      <c r="H148" s="37" t="inlineStr">
        <is>
          <t>Hoàn thành</t>
        </is>
      </c>
      <c r="I148" s="37" t="inlineStr">
        <is>
          <t>Hoàn thành</t>
        </is>
      </c>
      <c r="J148" s="29" t="n">
        <v>50000</v>
      </c>
      <c r="K148" s="37" t="inlineStr">
        <is>
          <t>Số cọc: 10.0 | Loại cọc: Trụ xi măng</t>
        </is>
      </c>
    </row>
    <row r="149" ht="15.75" customHeight="1" s="56">
      <c r="A149" s="37" t="inlineStr">
        <is>
          <t>BK-HS-0146</t>
        </is>
      </c>
      <c r="B149" s="37" t="inlineStr">
        <is>
          <t>Đạt Việt Phát Land</t>
        </is>
      </c>
      <c r="C149" s="37" t="inlineStr">
        <is>
          <t>Thủ Đức</t>
        </is>
      </c>
      <c r="D149" s="37" t="inlineStr">
        <is>
          <t>Xác định diện tích</t>
        </is>
      </c>
      <c r="E149" s="37" t="inlineStr">
        <is>
          <t>Tạ Khắc Tập</t>
        </is>
      </c>
      <c r="F149" s="37" t="inlineStr">
        <is>
          <t>Võ Tứ Hợp</t>
        </is>
      </c>
      <c r="G149" s="27" t="n">
        <v>46016</v>
      </c>
      <c r="H149" s="37" t="inlineStr">
        <is>
          <t>Hoàn thành</t>
        </is>
      </c>
      <c r="I149" s="37" t="inlineStr">
        <is>
          <t>Hoàn thành</t>
        </is>
      </c>
      <c r="J149" s="29" t="n">
        <v>0</v>
      </c>
      <c r="K149" s="37" t="inlineStr">
        <is>
          <t>Số cọc:  | Loại cọc:</t>
        </is>
      </c>
    </row>
    <row r="150" ht="15.75" customHeight="1" s="56">
      <c r="A150" s="37" t="inlineStr">
        <is>
          <t>BK-HS-0147</t>
        </is>
      </c>
      <c r="B150" s="37" t="inlineStr">
        <is>
          <t>Công Ty</t>
        </is>
      </c>
      <c r="C150" s="37" t="inlineStr">
        <is>
          <t>Long Bình</t>
        </is>
      </c>
      <c r="D150" s="37" t="inlineStr">
        <is>
          <t>Cắm mốc</t>
        </is>
      </c>
      <c r="E150" s="37" t="inlineStr">
        <is>
          <t>Lê Văn Dựng</t>
        </is>
      </c>
      <c r="F150" s="37" t="inlineStr">
        <is>
          <t>Võ Tứ Hợp</t>
        </is>
      </c>
      <c r="G150" s="27" t="n">
        <v>46015</v>
      </c>
      <c r="H150" s="37" t="inlineStr">
        <is>
          <t>Hoàn thành</t>
        </is>
      </c>
      <c r="I150" s="37" t="inlineStr">
        <is>
          <t>Hoàn thành</t>
        </is>
      </c>
      <c r="J150" s="29" t="n">
        <v>50000</v>
      </c>
      <c r="K150" s="37" t="inlineStr">
        <is>
          <t>Số cọc: 8.0 | Loại cọc: Trụ xi măng</t>
        </is>
      </c>
    </row>
    <row r="151" ht="15.75" customHeight="1" s="56">
      <c r="A151" s="37" t="inlineStr">
        <is>
          <t>BK-HS-0148</t>
        </is>
      </c>
      <c r="B151" s="37" t="inlineStr">
        <is>
          <t>Công Ty</t>
        </is>
      </c>
      <c r="C151" s="37" t="inlineStr">
        <is>
          <t>Long Bình</t>
        </is>
      </c>
      <c r="D151" s="37" t="inlineStr">
        <is>
          <t>Đo GPS</t>
        </is>
      </c>
      <c r="E151" s="37" t="inlineStr">
        <is>
          <t>Lê Văn Dựng</t>
        </is>
      </c>
      <c r="F151" s="37" t="inlineStr">
        <is>
          <t>Không cần</t>
        </is>
      </c>
      <c r="G151" s="27" t="n">
        <v>46015</v>
      </c>
      <c r="H151" s="37" t="inlineStr">
        <is>
          <t>Hoàn thành</t>
        </is>
      </c>
      <c r="I151" s="37" t="inlineStr">
        <is>
          <t>Hoàn thành</t>
        </is>
      </c>
      <c r="J151" s="29" t="n">
        <v>0</v>
      </c>
      <c r="K151" s="37" t="inlineStr">
        <is>
          <t>Số cọc:  | Loại cọc:</t>
        </is>
      </c>
    </row>
    <row r="152" ht="15.75" customHeight="1" s="56">
      <c r="A152" s="37" t="inlineStr">
        <is>
          <t>BK-HS-0149</t>
        </is>
      </c>
      <c r="B152" s="37" t="inlineStr">
        <is>
          <t>Công Ty</t>
        </is>
      </c>
      <c r="C152" s="37" t="inlineStr">
        <is>
          <t>Long Bình</t>
        </is>
      </c>
      <c r="D152" s="37" t="inlineStr">
        <is>
          <t>Cấp đổi</t>
        </is>
      </c>
      <c r="E152" s="37" t="inlineStr">
        <is>
          <t>Lê Văn Dựng</t>
        </is>
      </c>
      <c r="F152" s="37" t="inlineStr">
        <is>
          <t>Không cần</t>
        </is>
      </c>
      <c r="G152" s="27" t="n">
        <v>46015</v>
      </c>
      <c r="H152" s="37" t="inlineStr">
        <is>
          <t>ĐÃ HỦY</t>
        </is>
      </c>
      <c r="I152" s="37" t="inlineStr">
        <is>
          <t>Hủy</t>
        </is>
      </c>
      <c r="J152" s="29" t="n">
        <v>0</v>
      </c>
      <c r="K152" s="37" t="inlineStr">
        <is>
          <t>Số cọc:  | Loại cọc:</t>
        </is>
      </c>
    </row>
    <row r="153" ht="15.75" customHeight="1" s="56">
      <c r="A153" s="37" t="inlineStr">
        <is>
          <t>BK-HS-0150</t>
        </is>
      </c>
      <c r="B153" s="37" t="inlineStr">
        <is>
          <t>Công Ty</t>
        </is>
      </c>
      <c r="C153" s="37" t="inlineStr">
        <is>
          <t>Tăng Nhơn Phú</t>
        </is>
      </c>
      <c r="D153" s="37" t="inlineStr">
        <is>
          <t>Đo GPS</t>
        </is>
      </c>
      <c r="E153" s="37" t="inlineStr">
        <is>
          <t>Lê Văn Dựng</t>
        </is>
      </c>
      <c r="F153" s="37" t="inlineStr">
        <is>
          <t>Không cần</t>
        </is>
      </c>
      <c r="G153" s="27" t="n">
        <v>46015</v>
      </c>
      <c r="H153" s="37" t="inlineStr">
        <is>
          <t>Hoàn thành</t>
        </is>
      </c>
      <c r="I153" s="37" t="inlineStr">
        <is>
          <t>Hoàn thành</t>
        </is>
      </c>
      <c r="J153" s="29" t="n">
        <v>0</v>
      </c>
      <c r="K153" s="37" t="inlineStr">
        <is>
          <t>Số cọc:  | Loại cọc:</t>
        </is>
      </c>
    </row>
    <row r="154" ht="15.75" customHeight="1" s="56">
      <c r="A154" s="37" t="inlineStr">
        <is>
          <t>BK-HS-0151</t>
        </is>
      </c>
      <c r="B154" s="37" t="inlineStr">
        <is>
          <t>Công Ty</t>
        </is>
      </c>
      <c r="C154" s="37" t="inlineStr">
        <is>
          <t>Bình Trưng</t>
        </is>
      </c>
      <c r="D154" s="37" t="inlineStr">
        <is>
          <t>Điều chỉnh bản vẽ</t>
        </is>
      </c>
      <c r="E154" s="37" t="inlineStr">
        <is>
          <t>Tạ Khắc Tập</t>
        </is>
      </c>
      <c r="F154" s="37" t="inlineStr">
        <is>
          <t>Không cần</t>
        </is>
      </c>
      <c r="G154" s="27" t="n">
        <v>46015</v>
      </c>
      <c r="H154" s="37" t="inlineStr">
        <is>
          <t>Hoàn thành</t>
        </is>
      </c>
      <c r="I154" s="37" t="inlineStr">
        <is>
          <t>Hoàn thành</t>
        </is>
      </c>
      <c r="J154" s="29" t="n">
        <v>0</v>
      </c>
      <c r="K154" s="37" t="inlineStr">
        <is>
          <t>Số cọc:  | Loại cọc:</t>
        </is>
      </c>
    </row>
    <row r="155" ht="15.75" customHeight="1" s="56">
      <c r="A155" s="37" t="inlineStr">
        <is>
          <t>BK-HS-0152</t>
        </is>
      </c>
      <c r="B155" s="37" t="inlineStr">
        <is>
          <t>Nguyễn Hương DV</t>
        </is>
      </c>
      <c r="C155" s="37" t="inlineStr">
        <is>
          <t>Linh Xuân</t>
        </is>
      </c>
      <c r="D155" s="37" t="inlineStr">
        <is>
          <t>Cấp đổi</t>
        </is>
      </c>
      <c r="E155" s="37" t="inlineStr">
        <is>
          <t>Lê Văn Dựng</t>
        </is>
      </c>
      <c r="F155" s="37" t="inlineStr">
        <is>
          <t>Võ Tứ Hợp</t>
        </is>
      </c>
      <c r="G155" s="27" t="n">
        <v>46014</v>
      </c>
      <c r="H155" s="37" t="inlineStr">
        <is>
          <t>ĐÃ HỦY</t>
        </is>
      </c>
      <c r="I155" s="37" t="inlineStr">
        <is>
          <t>Hủy</t>
        </is>
      </c>
      <c r="J155" s="29" t="n">
        <v>0</v>
      </c>
      <c r="K155" s="37" t="inlineStr">
        <is>
          <t>Số cọc:  | Loại cọc:</t>
        </is>
      </c>
    </row>
    <row r="156" ht="15.75" customHeight="1" s="56">
      <c r="A156" s="37" t="inlineStr">
        <is>
          <t>BK-HS-0153</t>
        </is>
      </c>
      <c r="B156" s="37" t="inlineStr">
        <is>
          <t>Nguyễn Hương DV</t>
        </is>
      </c>
      <c r="C156" s="37" t="inlineStr">
        <is>
          <t>Hiệp Bình</t>
        </is>
      </c>
      <c r="D156" s="37" t="inlineStr">
        <is>
          <t>Xác định diện tích</t>
        </is>
      </c>
      <c r="E156" s="37" t="inlineStr">
        <is>
          <t>Lê Văn Dựng</t>
        </is>
      </c>
      <c r="F156" s="37" t="inlineStr">
        <is>
          <t>Võ Tứ Hợp</t>
        </is>
      </c>
      <c r="G156" s="27" t="n">
        <v>46014</v>
      </c>
      <c r="H156" s="37" t="inlineStr">
        <is>
          <t>Hoàn thành</t>
        </is>
      </c>
      <c r="I156" s="37" t="inlineStr">
        <is>
          <t>Hoàn thành</t>
        </is>
      </c>
      <c r="J156" s="29" t="n">
        <v>0</v>
      </c>
      <c r="K156" s="37" t="inlineStr">
        <is>
          <t>Số cọc:  | Loại cọc:</t>
        </is>
      </c>
    </row>
    <row r="157" ht="15.75" customHeight="1" s="56">
      <c r="A157" s="37" t="inlineStr">
        <is>
          <t>BK-HS-0154</t>
        </is>
      </c>
      <c r="B157" s="37" t="inlineStr">
        <is>
          <t>Công Ty</t>
        </is>
      </c>
      <c r="C157" s="37" t="inlineStr">
        <is>
          <t>Ngoài Thủ Đức</t>
        </is>
      </c>
      <c r="D157" s="37" t="inlineStr">
        <is>
          <t>Cắm mốc</t>
        </is>
      </c>
      <c r="E157" s="37" t="inlineStr">
        <is>
          <t>Lê Văn Dựng</t>
        </is>
      </c>
      <c r="F157" s="37" t="inlineStr">
        <is>
          <t>Võ Tứ Hợp</t>
        </is>
      </c>
      <c r="G157" s="27" t="n">
        <v>46014</v>
      </c>
      <c r="H157" s="37" t="inlineStr">
        <is>
          <t>Hoàn thành | Quận 7</t>
        </is>
      </c>
      <c r="I157" s="37" t="inlineStr">
        <is>
          <t>Hoàn thành</t>
        </is>
      </c>
      <c r="J157" s="29" t="n">
        <v>50000</v>
      </c>
      <c r="K157" s="37" t="inlineStr">
        <is>
          <t>Số cọc: 7.0 | Loại cọc: Trụ xi măng</t>
        </is>
      </c>
    </row>
    <row r="158" ht="15.75" customHeight="1" s="56">
      <c r="A158" s="37" t="inlineStr">
        <is>
          <t>BK-HS-0155</t>
        </is>
      </c>
      <c r="B158" s="37" t="inlineStr">
        <is>
          <t>Chị Xuân DV</t>
        </is>
      </c>
      <c r="C158" s="37" t="inlineStr">
        <is>
          <t>Tăng Nhơn Phú</t>
        </is>
      </c>
      <c r="D158" s="37" t="inlineStr">
        <is>
          <t>Cắm mốc</t>
        </is>
      </c>
      <c r="E158" s="37" t="inlineStr">
        <is>
          <t>Tạ Khắc Tập</t>
        </is>
      </c>
      <c r="F158" s="37" t="inlineStr">
        <is>
          <t>Võ Tứ Hợp</t>
        </is>
      </c>
      <c r="G158" s="27" t="n">
        <v>46014</v>
      </c>
      <c r="H158" s="37" t="inlineStr">
        <is>
          <t>Hoàn thành | 6 lô</t>
        </is>
      </c>
      <c r="I158" s="37" t="inlineStr">
        <is>
          <t>Hoàn thành</t>
        </is>
      </c>
      <c r="J158" s="29" t="n">
        <v>50000</v>
      </c>
      <c r="K158" s="37" t="inlineStr">
        <is>
          <t>Số cọc: 9.0 | Loại cọc: Trụ xi măng</t>
        </is>
      </c>
    </row>
    <row r="159" ht="15.75" customHeight="1" s="56">
      <c r="A159" s="37" t="inlineStr">
        <is>
          <t>BK-HS-0156</t>
        </is>
      </c>
      <c r="B159" s="37" t="inlineStr">
        <is>
          <t>Công Ty</t>
        </is>
      </c>
      <c r="C159" s="37" t="inlineStr">
        <is>
          <t>Long Phước</t>
        </is>
      </c>
      <c r="D159" s="37" t="inlineStr">
        <is>
          <t>Cắm mốc</t>
        </is>
      </c>
      <c r="E159" s="37" t="inlineStr">
        <is>
          <t>Tạ Khắc Tập</t>
        </is>
      </c>
      <c r="F159" s="37" t="inlineStr">
        <is>
          <t>Không cần</t>
        </is>
      </c>
      <c r="G159" s="27" t="n">
        <v>46014</v>
      </c>
      <c r="H159" s="37" t="inlineStr">
        <is>
          <t>Hoàn thành</t>
        </is>
      </c>
      <c r="I159" s="37" t="inlineStr">
        <is>
          <t>Hoàn thành</t>
        </is>
      </c>
      <c r="J159" s="29" t="n">
        <v>50000</v>
      </c>
      <c r="K159" s="37" t="inlineStr">
        <is>
          <t>Số cọc: 7.0 | Loại cọc: Trụ xi măng</t>
        </is>
      </c>
    </row>
    <row r="160" ht="15.75" customHeight="1" s="56">
      <c r="A160" s="37" t="inlineStr">
        <is>
          <t>BK-HS-0157</t>
        </is>
      </c>
      <c r="B160" s="37" t="inlineStr">
        <is>
          <t>Công Ty</t>
        </is>
      </c>
      <c r="C160" s="37" t="inlineStr">
        <is>
          <t>Long Trường</t>
        </is>
      </c>
      <c r="D160" s="37" t="inlineStr">
        <is>
          <t>Cấp đổi</t>
        </is>
      </c>
      <c r="E160" s="37" t="inlineStr">
        <is>
          <t>Tạ Khắc Tập</t>
        </is>
      </c>
      <c r="F160" s="37" t="inlineStr">
        <is>
          <t>Võ Tứ Hợp</t>
        </is>
      </c>
      <c r="G160" s="27" t="n">
        <v>46011</v>
      </c>
      <c r="H160" s="37" t="inlineStr">
        <is>
          <t>Hoàn thành</t>
        </is>
      </c>
      <c r="I160" s="37" t="inlineStr">
        <is>
          <t>Hoàn thành</t>
        </is>
      </c>
      <c r="J160" s="29" t="n">
        <v>0</v>
      </c>
      <c r="K160" s="37" t="inlineStr">
        <is>
          <t>Số cọc:  | Loại cọc:</t>
        </is>
      </c>
    </row>
    <row r="161" ht="15.75" customHeight="1" s="56">
      <c r="A161" s="37" t="inlineStr">
        <is>
          <t>BK-HS-0158</t>
        </is>
      </c>
      <c r="B161" s="37" t="inlineStr">
        <is>
          <t>Đạt Việt Phát Land</t>
        </is>
      </c>
      <c r="C161" s="37" t="inlineStr">
        <is>
          <t>Thủ Đức</t>
        </is>
      </c>
      <c r="D161" s="37" t="inlineStr">
        <is>
          <t>Cấp đổi</t>
        </is>
      </c>
      <c r="E161" s="37" t="inlineStr">
        <is>
          <t>Tạ Khắc Tập</t>
        </is>
      </c>
      <c r="F161" s="37" t="inlineStr">
        <is>
          <t>Võ Tứ Hợp</t>
        </is>
      </c>
      <c r="G161" s="27" t="n">
        <v>46011</v>
      </c>
      <c r="H161" s="37" t="inlineStr">
        <is>
          <t>ĐÃ HỦY | GIAM DT dat tre chua chot PA</t>
        </is>
      </c>
      <c r="I161" s="37" t="inlineStr">
        <is>
          <t>Hủy</t>
        </is>
      </c>
      <c r="J161" s="29" t="n">
        <v>0</v>
      </c>
      <c r="K161" s="37" t="inlineStr">
        <is>
          <t>Số cọc:  | Loại cọc:</t>
        </is>
      </c>
    </row>
    <row r="162" ht="15.75" customHeight="1" s="56">
      <c r="A162" s="37" t="inlineStr">
        <is>
          <t>BK-HS-0159</t>
        </is>
      </c>
      <c r="B162" s="37" t="inlineStr">
        <is>
          <t>Công Ty</t>
        </is>
      </c>
      <c r="C162" s="37" t="inlineStr">
        <is>
          <t>Tam Bình</t>
        </is>
      </c>
      <c r="D162" s="37" t="inlineStr">
        <is>
          <t>Cắm mốc</t>
        </is>
      </c>
      <c r="E162" s="37" t="inlineStr">
        <is>
          <t>Lê Văn Dựng</t>
        </is>
      </c>
      <c r="F162" s="37" t="inlineStr">
        <is>
          <t>Không cần</t>
        </is>
      </c>
      <c r="G162" s="27" t="n">
        <v>46010</v>
      </c>
      <c r="H162" s="37" t="inlineStr">
        <is>
          <t>Hoàn thành</t>
        </is>
      </c>
      <c r="I162" s="37" t="inlineStr">
        <is>
          <t>Hoàn thành</t>
        </is>
      </c>
      <c r="J162" s="29" t="n">
        <v>50000</v>
      </c>
      <c r="K162" s="37" t="inlineStr">
        <is>
          <t>Số cọc: 4.0 | Loại cọc: Trụ xi măng</t>
        </is>
      </c>
    </row>
    <row r="163" ht="15.75" customHeight="1" s="56">
      <c r="A163" s="37" t="inlineStr">
        <is>
          <t>BK-HS-0160</t>
        </is>
      </c>
      <c r="B163" s="37" t="inlineStr">
        <is>
          <t>Công Ty</t>
        </is>
      </c>
      <c r="C163" s="37" t="inlineStr">
        <is>
          <t>Tăng Nhơn Phú</t>
        </is>
      </c>
      <c r="D163" s="37" t="inlineStr">
        <is>
          <t>Cắm mốc</t>
        </is>
      </c>
      <c r="E163" s="37" t="inlineStr">
        <is>
          <t>Tạ Khắc Tập</t>
        </is>
      </c>
      <c r="F163" s="37" t="inlineStr">
        <is>
          <t>Trương Tấn Quốc</t>
        </is>
      </c>
      <c r="G163" s="27" t="n">
        <v>46009</v>
      </c>
      <c r="H163" s="37" t="inlineStr">
        <is>
          <t>Hoàn thành</t>
        </is>
      </c>
      <c r="I163" s="37" t="inlineStr">
        <is>
          <t>Hoàn thành</t>
        </is>
      </c>
      <c r="J163" s="29" t="n">
        <v>50000</v>
      </c>
      <c r="K163" s="37" t="inlineStr">
        <is>
          <t>Số cọc: 4.0 | Loại cọc: Trụ xi măng</t>
        </is>
      </c>
    </row>
    <row r="164" ht="15.75" customHeight="1" s="56">
      <c r="A164" s="37" t="inlineStr">
        <is>
          <t>BK-HS-0161</t>
        </is>
      </c>
      <c r="B164" s="37" t="inlineStr">
        <is>
          <t>Công Ty</t>
        </is>
      </c>
      <c r="C164" s="37" t="inlineStr">
        <is>
          <t>Hiệp Bình</t>
        </is>
      </c>
      <c r="D164" s="37" t="inlineStr">
        <is>
          <t>Cấp đổi</t>
        </is>
      </c>
      <c r="E164" s="37" t="inlineStr">
        <is>
          <t>Tạ Khắc Tập</t>
        </is>
      </c>
      <c r="F164" s="37" t="inlineStr">
        <is>
          <t>Võ Tứ Hợp</t>
        </is>
      </c>
      <c r="G164" s="27" t="n">
        <v>46009</v>
      </c>
      <c r="H164" s="37" t="inlineStr">
        <is>
          <t>Hoàn thành | giamdt cho chu tháo tuong rao</t>
        </is>
      </c>
      <c r="I164" s="37" t="inlineStr">
        <is>
          <t>Hoàn thành</t>
        </is>
      </c>
      <c r="J164" s="29" t="n">
        <v>0</v>
      </c>
      <c r="K164" s="37" t="inlineStr">
        <is>
          <t>Số cọc:  | Loại cọc:</t>
        </is>
      </c>
    </row>
    <row r="165" ht="15.75" customHeight="1" s="56">
      <c r="A165" s="37" t="inlineStr">
        <is>
          <t>BK-HS-0162</t>
        </is>
      </c>
      <c r="B165" s="37" t="inlineStr">
        <is>
          <t>Công Ty</t>
        </is>
      </c>
      <c r="C165" s="37" t="inlineStr">
        <is>
          <t>Tăng Nhơn Phú</t>
        </is>
      </c>
      <c r="D165" s="37" t="inlineStr">
        <is>
          <t>Cấp đổi</t>
        </is>
      </c>
      <c r="E165" s="37" t="inlineStr">
        <is>
          <t>Tạ Khắc Tập</t>
        </is>
      </c>
      <c r="F165" s="37" t="inlineStr">
        <is>
          <t>Võ Tứ Hợp</t>
        </is>
      </c>
      <c r="G165" s="27" t="n">
        <v>46009</v>
      </c>
      <c r="H165" s="37" t="inlineStr">
        <is>
          <t>Đã nộp | CHO ĐO gps</t>
        </is>
      </c>
      <c r="I165" s="37" t="inlineStr">
        <is>
          <t>Nộp thành công - Chờ kết quả</t>
        </is>
      </c>
      <c r="J165" s="29" t="n">
        <v>0</v>
      </c>
      <c r="K165" s="37" t="inlineStr">
        <is>
          <t>Số cọc:  | Loại cọc:</t>
        </is>
      </c>
    </row>
    <row r="166" ht="15.75" customHeight="1" s="56">
      <c r="A166" s="37" t="inlineStr">
        <is>
          <t>BK-HS-0163</t>
        </is>
      </c>
      <c r="B166" s="37" t="inlineStr">
        <is>
          <t>Đạt Việt Phát Land</t>
        </is>
      </c>
      <c r="C166" s="37" t="inlineStr">
        <is>
          <t>Tăng Nhơn Phú</t>
        </is>
      </c>
      <c r="D166" s="37" t="inlineStr">
        <is>
          <t>Cấp sổ lần đầu</t>
        </is>
      </c>
      <c r="E166" s="37" t="inlineStr">
        <is>
          <t>Trương Tấn Quốc</t>
        </is>
      </c>
      <c r="F166" s="37" t="inlineStr">
        <is>
          <t>Tạ Khắc Tập</t>
        </is>
      </c>
      <c r="G166" s="27" t="n">
        <v>46009</v>
      </c>
      <c r="H166" s="37" t="inlineStr">
        <is>
          <t>Hoàn thành | Đợi trích lục</t>
        </is>
      </c>
      <c r="I166" s="37" t="inlineStr">
        <is>
          <t>Hoàn thành</t>
        </is>
      </c>
      <c r="J166" s="29" t="n">
        <v>0</v>
      </c>
      <c r="K166" s="37" t="inlineStr">
        <is>
          <t>Số cọc:  | Loại cọc:</t>
        </is>
      </c>
    </row>
    <row r="167" ht="15.75" customHeight="1" s="56">
      <c r="A167" s="37" t="inlineStr">
        <is>
          <t>BK-HS-0164</t>
        </is>
      </c>
      <c r="B167" s="37" t="inlineStr">
        <is>
          <t>Công Ty</t>
        </is>
      </c>
      <c r="C167" s="37" t="inlineStr">
        <is>
          <t>Thủ Đức</t>
        </is>
      </c>
      <c r="D167" s="37" t="inlineStr">
        <is>
          <t>Hoàn công</t>
        </is>
      </c>
      <c r="E167" s="37" t="inlineStr">
        <is>
          <t>Lê Văn Xây</t>
        </is>
      </c>
      <c r="F167" s="37" t="inlineStr">
        <is>
          <t>Không cần</t>
        </is>
      </c>
      <c r="G167" s="27" t="n">
        <v>46009</v>
      </c>
      <c r="H167" s="37" t="inlineStr">
        <is>
          <t>Đã nộp</t>
        </is>
      </c>
      <c r="I167" s="37" t="inlineStr">
        <is>
          <t>Nộp thành công - Chờ kết quả</t>
        </is>
      </c>
      <c r="J167" s="29" t="n">
        <v>0</v>
      </c>
      <c r="K167" s="37" t="inlineStr">
        <is>
          <t>Số cọc:  | Loại cọc:</t>
        </is>
      </c>
    </row>
    <row r="168" ht="15.75" customHeight="1" s="56">
      <c r="A168" s="37" t="inlineStr">
        <is>
          <t>BK-HS-0165</t>
        </is>
      </c>
      <c r="B168" s="37" t="inlineStr">
        <is>
          <t>Công Ty</t>
        </is>
      </c>
      <c r="C168" s="37" t="inlineStr">
        <is>
          <t>Linh Xuân</t>
        </is>
      </c>
      <c r="D168" s="37" t="inlineStr">
        <is>
          <t>Tách Thửa</t>
        </is>
      </c>
      <c r="E168" s="37" t="inlineStr">
        <is>
          <t>Lê Văn Xây</t>
        </is>
      </c>
      <c r="F168" s="37" t="inlineStr">
        <is>
          <t>Lê Tấn Đạt</t>
        </is>
      </c>
      <c r="G168" s="27" t="n">
        <v>46007</v>
      </c>
      <c r="H168" s="37" t="inlineStr">
        <is>
          <t>Hoàn thành</t>
        </is>
      </c>
      <c r="I168" s="37" t="inlineStr">
        <is>
          <t>Hoàn thành</t>
        </is>
      </c>
      <c r="J168" s="29" t="n">
        <v>0</v>
      </c>
      <c r="K168" s="37" t="inlineStr">
        <is>
          <t>Số cọc:  | Loại cọc:</t>
        </is>
      </c>
    </row>
    <row r="169" ht="15.75" customHeight="1" s="56">
      <c r="A169" s="37" t="inlineStr">
        <is>
          <t>BK-HS-0166</t>
        </is>
      </c>
      <c r="B169" s="37" t="inlineStr">
        <is>
          <t>Công Ty</t>
        </is>
      </c>
      <c r="C169" s="37" t="inlineStr">
        <is>
          <t>An Khánh</t>
        </is>
      </c>
      <c r="D169" s="37" t="inlineStr">
        <is>
          <t>Hoàn công</t>
        </is>
      </c>
      <c r="E169" s="37" t="inlineStr">
        <is>
          <t>Lê Văn Dựng</t>
        </is>
      </c>
      <c r="F169" s="37" t="inlineStr">
        <is>
          <t>Võ Tứ Hợp</t>
        </is>
      </c>
      <c r="G169" s="27" t="n">
        <v>46006</v>
      </c>
      <c r="H169" s="37" t="inlineStr">
        <is>
          <t>Đã nộp</t>
        </is>
      </c>
      <c r="I169" s="37" t="inlineStr">
        <is>
          <t>Nộp thành công - Chờ kết quả</t>
        </is>
      </c>
      <c r="J169" s="29" t="n">
        <v>0</v>
      </c>
      <c r="K169" s="37" t="inlineStr">
        <is>
          <t>Số cọc:  | Loại cọc:</t>
        </is>
      </c>
    </row>
    <row r="170" ht="15.75" customHeight="1" s="56">
      <c r="A170" s="37" t="inlineStr">
        <is>
          <t>BK-HS-0167</t>
        </is>
      </c>
      <c r="B170" s="37" t="inlineStr">
        <is>
          <t>Tùng Mập</t>
        </is>
      </c>
      <c r="C170" s="37" t="inlineStr">
        <is>
          <t>Hiệp Bình</t>
        </is>
      </c>
      <c r="D170" s="37" t="inlineStr">
        <is>
          <t>Hoàn công</t>
        </is>
      </c>
      <c r="E170" s="37" t="inlineStr">
        <is>
          <t>Lê Văn Dựng</t>
        </is>
      </c>
      <c r="F170" s="37" t="inlineStr">
        <is>
          <t>Võ Tứ Hợp</t>
        </is>
      </c>
      <c r="G170" s="27" t="n">
        <v>46006</v>
      </c>
      <c r="H170" s="37" t="inlineStr">
        <is>
          <t>Đã nộp</t>
        </is>
      </c>
      <c r="I170" s="37" t="inlineStr">
        <is>
          <t>Nộp thành công - Chờ kết quả</t>
        </is>
      </c>
      <c r="J170" s="29" t="n">
        <v>0</v>
      </c>
      <c r="K170" s="37" t="inlineStr">
        <is>
          <t>Số cọc:  | Loại cọc:</t>
        </is>
      </c>
    </row>
    <row r="171" ht="15.75" customHeight="1" s="56">
      <c r="A171" s="37" t="inlineStr">
        <is>
          <t>BK-HS-0168</t>
        </is>
      </c>
      <c r="B171" s="37" t="inlineStr">
        <is>
          <t>Chị Xuân DV</t>
        </is>
      </c>
      <c r="C171" s="37" t="inlineStr">
        <is>
          <t>Tăng Nhơn Phú</t>
        </is>
      </c>
      <c r="D171" s="37" t="inlineStr">
        <is>
          <t>Tách Thửa</t>
        </is>
      </c>
      <c r="E171" s="37" t="inlineStr">
        <is>
          <t>Trương Tấn Quốc</t>
        </is>
      </c>
      <c r="F171" s="37" t="inlineStr">
        <is>
          <t>Không cần</t>
        </is>
      </c>
      <c r="G171" s="27" t="n">
        <v>46003</v>
      </c>
      <c r="H171" s="37" t="inlineStr">
        <is>
          <t>Hoàn thành</t>
        </is>
      </c>
      <c r="I171" s="37" t="inlineStr">
        <is>
          <t>Hoàn thành</t>
        </is>
      </c>
      <c r="J171" s="29" t="n">
        <v>0</v>
      </c>
      <c r="K171" s="37" t="inlineStr">
        <is>
          <t>Số cọc:  | Loại cọc:</t>
        </is>
      </c>
    </row>
    <row r="172" ht="15.75" customHeight="1" s="56">
      <c r="A172" s="37" t="inlineStr">
        <is>
          <t>BK-HS-0169</t>
        </is>
      </c>
      <c r="B172" s="37" t="inlineStr">
        <is>
          <t>Chị Xuân DV</t>
        </is>
      </c>
      <c r="C172" s="37" t="inlineStr">
        <is>
          <t>Tăng Nhơn Phú</t>
        </is>
      </c>
      <c r="D172" s="37" t="inlineStr">
        <is>
          <t>Tách Thửa</t>
        </is>
      </c>
      <c r="E172" s="37" t="inlineStr">
        <is>
          <t>Trương Tấn Quốc</t>
        </is>
      </c>
      <c r="F172" s="37" t="inlineStr">
        <is>
          <t>Không cần</t>
        </is>
      </c>
      <c r="G172" s="27" t="n">
        <v>46003</v>
      </c>
      <c r="H172" s="37" t="inlineStr">
        <is>
          <t>Hoàn thành</t>
        </is>
      </c>
      <c r="I172" s="37" t="inlineStr">
        <is>
          <t>Hoàn thành</t>
        </is>
      </c>
      <c r="J172" s="29" t="n">
        <v>0</v>
      </c>
      <c r="K172" s="37" t="inlineStr">
        <is>
          <t>Số cọc:  | Loại cọc:</t>
        </is>
      </c>
    </row>
    <row r="173" ht="15.75" customHeight="1" s="56">
      <c r="A173" s="37" t="inlineStr">
        <is>
          <t>BK-HS-0170</t>
        </is>
      </c>
      <c r="B173" s="37" t="inlineStr">
        <is>
          <t>Chị Xuân DV</t>
        </is>
      </c>
      <c r="C173" s="37" t="inlineStr">
        <is>
          <t>Tăng Nhơn Phú</t>
        </is>
      </c>
      <c r="D173" s="37" t="inlineStr">
        <is>
          <t>Tách Thửa</t>
        </is>
      </c>
      <c r="E173" s="37" t="inlineStr">
        <is>
          <t>Trương Tấn Quốc</t>
        </is>
      </c>
      <c r="F173" s="37" t="inlineStr">
        <is>
          <t>Không cần</t>
        </is>
      </c>
      <c r="G173" s="27" t="n">
        <v>46003</v>
      </c>
      <c r="H173" s="37" t="inlineStr">
        <is>
          <t>Hoàn thành</t>
        </is>
      </c>
      <c r="I173" s="37" t="inlineStr">
        <is>
          <t>Hoàn thành</t>
        </is>
      </c>
      <c r="J173" s="29" t="n">
        <v>0</v>
      </c>
      <c r="K173" s="37" t="inlineStr">
        <is>
          <t>Số cọc:  | Loại cọc:</t>
        </is>
      </c>
    </row>
    <row r="174" ht="15.75" customHeight="1" s="56">
      <c r="A174" s="37" t="inlineStr">
        <is>
          <t>BK-HS-0171</t>
        </is>
      </c>
      <c r="B174" s="37" t="inlineStr">
        <is>
          <t>Chị Xuân DV</t>
        </is>
      </c>
      <c r="C174" s="37" t="inlineStr">
        <is>
          <t>Tăng Nhơn Phú</t>
        </is>
      </c>
      <c r="D174" s="37" t="inlineStr">
        <is>
          <t>Tách Thửa</t>
        </is>
      </c>
      <c r="E174" s="37" t="inlineStr">
        <is>
          <t>Trương Tấn Quốc</t>
        </is>
      </c>
      <c r="F174" s="37" t="inlineStr">
        <is>
          <t>Không cần</t>
        </is>
      </c>
      <c r="G174" s="27" t="n">
        <v>46003</v>
      </c>
      <c r="H174" s="37" t="inlineStr">
        <is>
          <t>Hoàn thành</t>
        </is>
      </c>
      <c r="I174" s="37" t="inlineStr">
        <is>
          <t>Hoàn thành</t>
        </is>
      </c>
      <c r="J174" s="29" t="n">
        <v>0</v>
      </c>
      <c r="K174" s="37" t="inlineStr">
        <is>
          <t>Số cọc:  | Loại cọc:</t>
        </is>
      </c>
    </row>
    <row r="175" ht="15.75" customHeight="1" s="56">
      <c r="A175" s="37" t="inlineStr">
        <is>
          <t>BK-HS-0172</t>
        </is>
      </c>
      <c r="B175" s="37" t="inlineStr">
        <is>
          <t>Công Ty</t>
        </is>
      </c>
      <c r="C175" s="37" t="inlineStr">
        <is>
          <t>Tam Bình</t>
        </is>
      </c>
      <c r="D175" s="37" t="inlineStr">
        <is>
          <t>Cấp đổi</t>
        </is>
      </c>
      <c r="E175" s="37" t="inlineStr">
        <is>
          <t>Lê Văn Dựng</t>
        </is>
      </c>
      <c r="F175" s="37" t="inlineStr">
        <is>
          <t>Võ Tứ Hợp</t>
        </is>
      </c>
      <c r="G175" s="27" t="n">
        <v>46003</v>
      </c>
      <c r="H175" s="37" t="inlineStr">
        <is>
          <t>Hoàn thành</t>
        </is>
      </c>
      <c r="I175" s="37" t="inlineStr">
        <is>
          <t>Hoàn thành</t>
        </is>
      </c>
      <c r="J175" s="29" t="n">
        <v>0</v>
      </c>
      <c r="K175" s="37" t="inlineStr">
        <is>
          <t>Số cọc:  | Loại cọc:</t>
        </is>
      </c>
    </row>
    <row r="176" ht="15.75" customHeight="1" s="56">
      <c r="A176" s="37" t="inlineStr">
        <is>
          <t>BK-HS-0173</t>
        </is>
      </c>
      <c r="B176" s="37" t="inlineStr">
        <is>
          <t>Công Ty</t>
        </is>
      </c>
      <c r="C176" s="37" t="inlineStr">
        <is>
          <t>Linh Xuân</t>
        </is>
      </c>
      <c r="D176" s="37" t="inlineStr">
        <is>
          <t>Kiểm tra hiện trạng</t>
        </is>
      </c>
      <c r="E176" s="37" t="inlineStr">
        <is>
          <t>Tạ Khắc Tập</t>
        </is>
      </c>
      <c r="F176" s="37" t="inlineStr">
        <is>
          <t>Võ Tứ Hợp</t>
        </is>
      </c>
      <c r="G176" s="27" t="n">
        <v>46003</v>
      </c>
      <c r="H176" s="37" t="inlineStr">
        <is>
          <t>Hoàn thành</t>
        </is>
      </c>
      <c r="I176" s="37" t="inlineStr">
        <is>
          <t>Hoàn thành</t>
        </is>
      </c>
      <c r="J176" s="29" t="n">
        <v>0</v>
      </c>
      <c r="K176" s="37" t="inlineStr">
        <is>
          <t>Số cọc:  | Loại cọc:</t>
        </is>
      </c>
    </row>
    <row r="177" ht="15.75" customHeight="1" s="56">
      <c r="A177" s="37" t="inlineStr">
        <is>
          <t>BK-HS-0174</t>
        </is>
      </c>
      <c r="B177" s="37" t="inlineStr">
        <is>
          <t>Công Ty</t>
        </is>
      </c>
      <c r="C177" s="37" t="inlineStr">
        <is>
          <t>Long Bình</t>
        </is>
      </c>
      <c r="D177" s="37" t="inlineStr">
        <is>
          <t>Chuyển mục đích</t>
        </is>
      </c>
      <c r="E177" s="37" t="inlineStr">
        <is>
          <t>Lê Văn Dựng</t>
        </is>
      </c>
      <c r="F177" s="37" t="inlineStr">
        <is>
          <t>Không cần</t>
        </is>
      </c>
      <c r="G177" s="27" t="n">
        <v>46003</v>
      </c>
      <c r="H177" s="37" t="inlineStr">
        <is>
          <t>Đã nộp</t>
        </is>
      </c>
      <c r="I177" s="37" t="inlineStr">
        <is>
          <t>Nộp thành công - Chờ kết quả</t>
        </is>
      </c>
      <c r="J177" s="29" t="n">
        <v>0</v>
      </c>
      <c r="K177" s="37" t="inlineStr">
        <is>
          <t>Số cọc:  | Loại cọc:</t>
        </is>
      </c>
    </row>
    <row r="178" ht="15.75" customHeight="1" s="56">
      <c r="A178" s="37" t="inlineStr">
        <is>
          <t>BK-HS-0175</t>
        </is>
      </c>
      <c r="B178" s="37" t="inlineStr">
        <is>
          <t>Công Ty</t>
        </is>
      </c>
      <c r="C178" s="37" t="inlineStr">
        <is>
          <t>Bình Trưng</t>
        </is>
      </c>
      <c r="D178" s="37" t="inlineStr">
        <is>
          <t>Cấp đổi</t>
        </is>
      </c>
      <c r="E178" s="37" t="inlineStr">
        <is>
          <t>Lê Văn Dựng</t>
        </is>
      </c>
      <c r="F178" s="37" t="inlineStr">
        <is>
          <t>Võ Tứ Hợp</t>
        </is>
      </c>
      <c r="G178" s="27" t="n">
        <v>46002</v>
      </c>
      <c r="H178" s="37" t="inlineStr">
        <is>
          <t>Hoàn thành</t>
        </is>
      </c>
      <c r="I178" s="37" t="inlineStr">
        <is>
          <t>Hoàn thành</t>
        </is>
      </c>
      <c r="J178" s="29" t="n">
        <v>0</v>
      </c>
      <c r="K178" s="37" t="inlineStr">
        <is>
          <t>Số cọc:  | Loại cọc:</t>
        </is>
      </c>
    </row>
    <row r="179" ht="15.75" customHeight="1" s="56">
      <c r="A179" s="37" t="inlineStr">
        <is>
          <t>BK-HS-0176</t>
        </is>
      </c>
      <c r="B179" s="37" t="inlineStr">
        <is>
          <t>Đạt Việt Phát Land</t>
        </is>
      </c>
      <c r="C179" s="37" t="inlineStr">
        <is>
          <t>Linh Xuân</t>
        </is>
      </c>
      <c r="D179" s="37" t="inlineStr">
        <is>
          <t>Cắm mốc</t>
        </is>
      </c>
      <c r="E179" s="37" t="inlineStr">
        <is>
          <t>Lê Văn Dựng</t>
        </is>
      </c>
      <c r="F179" s="37" t="inlineStr">
        <is>
          <t>Võ Tứ Hợp</t>
        </is>
      </c>
      <c r="G179" s="27" t="n">
        <v>46002</v>
      </c>
      <c r="H179" s="37" t="inlineStr">
        <is>
          <t>Hoàn thành</t>
        </is>
      </c>
      <c r="I179" s="37" t="inlineStr">
        <is>
          <t>Hoàn thành</t>
        </is>
      </c>
      <c r="J179" s="29" t="n">
        <v>50000</v>
      </c>
      <c r="K179" s="37" t="inlineStr">
        <is>
          <t>Số cọc: 4.0 | Loại cọc: Trụ xi măng</t>
        </is>
      </c>
    </row>
    <row r="180" ht="15.75" customHeight="1" s="56">
      <c r="A180" s="37" t="inlineStr">
        <is>
          <t>BK-HS-0177</t>
        </is>
      </c>
      <c r="B180" s="37" t="inlineStr">
        <is>
          <t>Anh Long PCT</t>
        </is>
      </c>
      <c r="C180" s="37" t="inlineStr">
        <is>
          <t>Linh Xuân</t>
        </is>
      </c>
      <c r="D180" s="37" t="inlineStr">
        <is>
          <t>Cấp sổ lần đầu</t>
        </is>
      </c>
      <c r="E180" s="37" t="inlineStr">
        <is>
          <t>Tạ Khắc Tập</t>
        </is>
      </c>
      <c r="F180" s="37" t="inlineStr">
        <is>
          <t>Võ Tứ Hợp</t>
        </is>
      </c>
      <c r="G180" s="27" t="n">
        <v>46002</v>
      </c>
      <c r="H180" s="37" t="inlineStr">
        <is>
          <t>Hoàn thành | cho trich luc</t>
        </is>
      </c>
      <c r="I180" s="37" t="inlineStr">
        <is>
          <t>Hoàn thành</t>
        </is>
      </c>
      <c r="J180" s="29" t="n">
        <v>0</v>
      </c>
      <c r="K180" s="37" t="inlineStr">
        <is>
          <t>Số cọc:  | Loại cọc:</t>
        </is>
      </c>
    </row>
    <row r="181" ht="15.75" customHeight="1" s="56">
      <c r="A181" s="37" t="inlineStr">
        <is>
          <t>BK-HS-0178</t>
        </is>
      </c>
      <c r="B181" s="37" t="inlineStr">
        <is>
          <t>Anh Long PCT</t>
        </is>
      </c>
      <c r="C181" s="37" t="inlineStr">
        <is>
          <t>Hiệp Bình</t>
        </is>
      </c>
      <c r="D181" s="37" t="inlineStr">
        <is>
          <t>Cấp đổi</t>
        </is>
      </c>
      <c r="E181" s="37" t="inlineStr">
        <is>
          <t>Tạ Khắc Tập</t>
        </is>
      </c>
      <c r="F181" s="37" t="inlineStr">
        <is>
          <t>Võ Tứ Hợp</t>
        </is>
      </c>
      <c r="G181" s="27" t="n">
        <v>46002</v>
      </c>
      <c r="H181" s="37" t="inlineStr">
        <is>
          <t>Đã nộp</t>
        </is>
      </c>
      <c r="I181" s="37" t="inlineStr">
        <is>
          <t>Nộp thành công - Chờ kết quả</t>
        </is>
      </c>
      <c r="J181" s="29" t="n">
        <v>0</v>
      </c>
      <c r="K181" s="37" t="inlineStr">
        <is>
          <t>Số cọc:  | Loại cọc:</t>
        </is>
      </c>
    </row>
    <row r="182" ht="15.75" customHeight="1" s="56">
      <c r="A182" s="37" t="inlineStr">
        <is>
          <t>BK-HS-0179</t>
        </is>
      </c>
      <c r="B182" s="37" t="inlineStr">
        <is>
          <t>Anh Cường Sài Gòn DV</t>
        </is>
      </c>
      <c r="C182" s="37" t="inlineStr">
        <is>
          <t>Thủ Đức</t>
        </is>
      </c>
      <c r="D182" s="37" t="inlineStr">
        <is>
          <t>Cấp đổi</t>
        </is>
      </c>
      <c r="E182" s="37" t="inlineStr">
        <is>
          <t>Tạ Khắc Tập</t>
        </is>
      </c>
      <c r="F182" s="37" t="inlineStr">
        <is>
          <t>Võ Tứ Hợp</t>
        </is>
      </c>
      <c r="G182" s="27" t="n">
        <v>46002</v>
      </c>
      <c r="H182" s="37" t="inlineStr">
        <is>
          <t>QUÁ HẠN | cuong dv  b¸o chu nha ko chap nhan giam dat theo bv cu</t>
        </is>
      </c>
      <c r="I182" s="37" t="inlineStr">
        <is>
          <t>QUÁ HẠN</t>
        </is>
      </c>
      <c r="J182" s="29" t="n">
        <v>0</v>
      </c>
      <c r="K182" s="37" t="inlineStr">
        <is>
          <t>Số cọc:  | Loại cọc:</t>
        </is>
      </c>
    </row>
    <row r="183" ht="15.75" customHeight="1" s="56">
      <c r="A183" s="37" t="inlineStr">
        <is>
          <t>BK-HS-0180</t>
        </is>
      </c>
      <c r="B183" s="37" t="inlineStr">
        <is>
          <t>Công Ty</t>
        </is>
      </c>
      <c r="C183" s="37" t="inlineStr">
        <is>
          <t>Tam Bình</t>
        </is>
      </c>
      <c r="D183" s="37" t="inlineStr">
        <is>
          <t>Hoàn công</t>
        </is>
      </c>
      <c r="E183" s="37" t="inlineStr">
        <is>
          <t>Lê Văn Xây</t>
        </is>
      </c>
      <c r="F183" s="37" t="inlineStr">
        <is>
          <t>Võ Tứ Hợp</t>
        </is>
      </c>
      <c r="G183" s="27" t="n">
        <v>46002</v>
      </c>
      <c r="H183" s="37" t="inlineStr">
        <is>
          <t>Hoàn thành</t>
        </is>
      </c>
      <c r="I183" s="37" t="inlineStr">
        <is>
          <t>Hoàn thành</t>
        </is>
      </c>
      <c r="J183" s="29" t="n">
        <v>0</v>
      </c>
      <c r="K183" s="37" t="inlineStr">
        <is>
          <t>Số cọc:  | Loại cọc:</t>
        </is>
      </c>
    </row>
    <row r="184" ht="15.75" customHeight="1" s="56">
      <c r="A184" s="37" t="inlineStr">
        <is>
          <t>BK-HS-0181</t>
        </is>
      </c>
      <c r="B184" s="37" t="inlineStr">
        <is>
          <t>Công Ty</t>
        </is>
      </c>
      <c r="C184" s="37" t="inlineStr">
        <is>
          <t>Long Trường</t>
        </is>
      </c>
      <c r="D184" s="37" t="inlineStr">
        <is>
          <t>Hoàn công</t>
        </is>
      </c>
      <c r="E184" s="37" t="inlineStr">
        <is>
          <t>Lê Văn Xây</t>
        </is>
      </c>
      <c r="F184" s="37" t="inlineStr">
        <is>
          <t>Võ Tứ Hợp</t>
        </is>
      </c>
      <c r="G184" s="27" t="n">
        <v>46002</v>
      </c>
      <c r="H184" s="37" t="inlineStr">
        <is>
          <t>Đã nộp</t>
        </is>
      </c>
      <c r="I184" s="37" t="inlineStr">
        <is>
          <t>Nộp thành công - Chờ kết quả</t>
        </is>
      </c>
      <c r="J184" s="29" t="n">
        <v>0</v>
      </c>
      <c r="K184" s="37" t="inlineStr">
        <is>
          <t>Số cọc:  | Loại cọc:</t>
        </is>
      </c>
    </row>
    <row r="185" ht="15.75" customHeight="1" s="56">
      <c r="A185" s="37" t="inlineStr">
        <is>
          <t>BK-HS-0182</t>
        </is>
      </c>
      <c r="B185" s="37" t="inlineStr">
        <is>
          <t>Chị Xuân DV</t>
        </is>
      </c>
      <c r="C185" s="37" t="inlineStr">
        <is>
          <t>Linh Xuân</t>
        </is>
      </c>
      <c r="D185" s="37" t="inlineStr">
        <is>
          <t>Cấp đổi</t>
        </is>
      </c>
      <c r="E185" s="37" t="inlineStr">
        <is>
          <t>Lê Văn Xây</t>
        </is>
      </c>
      <c r="F185" s="37" t="inlineStr">
        <is>
          <t>Võ Tứ Hợp</t>
        </is>
      </c>
      <c r="G185" s="27" t="n">
        <v>46001</v>
      </c>
      <c r="H185" s="37" t="inlineStr">
        <is>
          <t>Hoàn thành</t>
        </is>
      </c>
      <c r="I185" s="37" t="inlineStr">
        <is>
          <t>Hoàn thành</t>
        </is>
      </c>
      <c r="J185" s="29" t="n">
        <v>0</v>
      </c>
      <c r="K185" s="37" t="inlineStr">
        <is>
          <t>Số cọc:  | Loại cọc:</t>
        </is>
      </c>
    </row>
    <row r="186" ht="15.75" customHeight="1" s="56">
      <c r="A186" s="37" t="inlineStr">
        <is>
          <t>BK-HS-0183</t>
        </is>
      </c>
      <c r="B186" s="37" t="inlineStr">
        <is>
          <t>Công Ty</t>
        </is>
      </c>
      <c r="C186" s="37" t="inlineStr">
        <is>
          <t>Hiệp Bình</t>
        </is>
      </c>
      <c r="D186" s="37" t="inlineStr">
        <is>
          <t>Xác định diện tích</t>
        </is>
      </c>
      <c r="E186" s="37" t="inlineStr">
        <is>
          <t>Trương Tấn Quốc</t>
        </is>
      </c>
      <c r="F186" s="37" t="inlineStr">
        <is>
          <t>Không cần</t>
        </is>
      </c>
      <c r="G186" s="27" t="n">
        <v>46001</v>
      </c>
      <c r="H186" s="37" t="inlineStr">
        <is>
          <t>Hoàn thành</t>
        </is>
      </c>
      <c r="I186" s="37" t="inlineStr">
        <is>
          <t>Hoàn thành</t>
        </is>
      </c>
      <c r="J186" s="29" t="n">
        <v>0</v>
      </c>
      <c r="K186" s="37" t="inlineStr">
        <is>
          <t>Số cọc:  | Loại cọc:</t>
        </is>
      </c>
    </row>
    <row r="187" ht="15.75" customHeight="1" s="56">
      <c r="A187" s="37" t="inlineStr">
        <is>
          <t>BK-HS-0184</t>
        </is>
      </c>
      <c r="B187" s="37" t="inlineStr">
        <is>
          <t>Công Ty</t>
        </is>
      </c>
      <c r="C187" s="37" t="inlineStr">
        <is>
          <t>Hiệp Bình</t>
        </is>
      </c>
      <c r="D187" s="37" t="inlineStr">
        <is>
          <t>Xác định diện tích</t>
        </is>
      </c>
      <c r="E187" s="37" t="inlineStr">
        <is>
          <t>Trương Tấn Quốc</t>
        </is>
      </c>
      <c r="F187" s="37" t="inlineStr">
        <is>
          <t>Không cần</t>
        </is>
      </c>
      <c r="G187" s="27" t="n">
        <v>46001</v>
      </c>
      <c r="H187" s="37" t="inlineStr">
        <is>
          <t>Hoàn thành</t>
        </is>
      </c>
      <c r="I187" s="37" t="inlineStr">
        <is>
          <t>Hoàn thành</t>
        </is>
      </c>
      <c r="J187" s="29" t="n">
        <v>0</v>
      </c>
      <c r="K187" s="37" t="inlineStr">
        <is>
          <t>Số cọc:  | Loại cọc:</t>
        </is>
      </c>
    </row>
    <row r="188" ht="15.75" customHeight="1" s="56">
      <c r="A188" s="37" t="inlineStr">
        <is>
          <t>BK-HS-0185</t>
        </is>
      </c>
      <c r="B188" s="37" t="inlineStr">
        <is>
          <t>Công Ty</t>
        </is>
      </c>
      <c r="C188" s="37" t="inlineStr">
        <is>
          <t>Hiệp Bình</t>
        </is>
      </c>
      <c r="D188" s="37" t="inlineStr">
        <is>
          <t>Xác định diện tích</t>
        </is>
      </c>
      <c r="E188" s="37" t="inlineStr">
        <is>
          <t>Trương Tấn Quốc</t>
        </is>
      </c>
      <c r="F188" s="37" t="inlineStr">
        <is>
          <t>Không cần</t>
        </is>
      </c>
      <c r="G188" s="27" t="n">
        <v>46001</v>
      </c>
      <c r="H188" s="37" t="inlineStr">
        <is>
          <t>Hoàn thành</t>
        </is>
      </c>
      <c r="I188" s="37" t="inlineStr">
        <is>
          <t>Hoàn thành</t>
        </is>
      </c>
      <c r="J188" s="29" t="n">
        <v>0</v>
      </c>
      <c r="K188" s="37" t="inlineStr">
        <is>
          <t>Số cọc:  | Loại cọc:</t>
        </is>
      </c>
    </row>
    <row r="189" ht="15.75" customHeight="1" s="56">
      <c r="A189" s="37" t="inlineStr">
        <is>
          <t>BK-HS-0186</t>
        </is>
      </c>
      <c r="B189" s="37" t="inlineStr">
        <is>
          <t>Công Ty</t>
        </is>
      </c>
      <c r="C189" s="37" t="inlineStr">
        <is>
          <t>Phước Long</t>
        </is>
      </c>
      <c r="D189" s="37" t="inlineStr">
        <is>
          <t>Xác định diện tích</t>
        </is>
      </c>
      <c r="E189" s="37" t="inlineStr">
        <is>
          <t>Trương Tấn Quốc</t>
        </is>
      </c>
      <c r="F189" s="37" t="inlineStr">
        <is>
          <t>Không cần</t>
        </is>
      </c>
      <c r="G189" s="27" t="n">
        <v>46001</v>
      </c>
      <c r="H189" s="37" t="inlineStr">
        <is>
          <t>Hoàn thành</t>
        </is>
      </c>
      <c r="I189" s="37" t="inlineStr">
        <is>
          <t>Hoàn thành</t>
        </is>
      </c>
      <c r="J189" s="29" t="n">
        <v>0</v>
      </c>
      <c r="K189" s="37" t="inlineStr">
        <is>
          <t>Số cọc:  | Loại cọc:</t>
        </is>
      </c>
    </row>
    <row r="190" ht="15.75" customHeight="1" s="56">
      <c r="A190" s="37" t="inlineStr">
        <is>
          <t>BK-HS-0187</t>
        </is>
      </c>
      <c r="B190" s="37" t="inlineStr">
        <is>
          <t>Chị Phấn DV</t>
        </is>
      </c>
      <c r="C190" s="37" t="inlineStr">
        <is>
          <t>Phước Long</t>
        </is>
      </c>
      <c r="D190" s="37" t="inlineStr">
        <is>
          <t>Kiểm tra hiện trạng</t>
        </is>
      </c>
      <c r="E190" s="37" t="inlineStr">
        <is>
          <t>Tạ Khắc Tập</t>
        </is>
      </c>
      <c r="F190" s="37" t="inlineStr">
        <is>
          <t>Không cần</t>
        </is>
      </c>
      <c r="G190" s="27" t="n">
        <v>46000</v>
      </c>
      <c r="H190" s="37" t="inlineStr">
        <is>
          <t>Hoàn thành</t>
        </is>
      </c>
      <c r="I190" s="37" t="inlineStr">
        <is>
          <t>Hoàn thành</t>
        </is>
      </c>
      <c r="J190" s="29" t="n">
        <v>0</v>
      </c>
      <c r="K190" s="37" t="inlineStr">
        <is>
          <t>Số cọc:  | Loại cọc:</t>
        </is>
      </c>
    </row>
    <row r="191" ht="15.75" customHeight="1" s="56">
      <c r="A191" s="37" t="inlineStr">
        <is>
          <t>BK-HS-0188</t>
        </is>
      </c>
      <c r="B191" s="37" t="inlineStr">
        <is>
          <t>Công Ty</t>
        </is>
      </c>
      <c r="C191" s="37" t="inlineStr">
        <is>
          <t>An Khánh</t>
        </is>
      </c>
      <c r="D191" s="37" t="inlineStr">
        <is>
          <t>Cắm mốc</t>
        </is>
      </c>
      <c r="E191" s="37" t="inlineStr">
        <is>
          <t>Lê Văn Xây</t>
        </is>
      </c>
      <c r="F191" s="37" t="inlineStr">
        <is>
          <t>Võ Tứ Hợp</t>
        </is>
      </c>
      <c r="G191" s="27" t="n">
        <v>46000</v>
      </c>
      <c r="H191" s="37" t="inlineStr">
        <is>
          <t>Hoàn thành</t>
        </is>
      </c>
      <c r="I191" s="37" t="inlineStr">
        <is>
          <t>Hoàn thành</t>
        </is>
      </c>
      <c r="J191" s="29" t="n">
        <v>50000</v>
      </c>
      <c r="K191" s="37" t="inlineStr">
        <is>
          <t>Số cọc: 4.0 | Loại cọc: Trụ xi măng</t>
        </is>
      </c>
    </row>
    <row r="192" ht="15.75" customHeight="1" s="56">
      <c r="A192" s="37" t="inlineStr">
        <is>
          <t>BK-HS-0189</t>
        </is>
      </c>
      <c r="B192" s="37" t="inlineStr">
        <is>
          <t>Công Ty</t>
        </is>
      </c>
      <c r="C192" s="37" t="inlineStr">
        <is>
          <t>Hiệp Bình</t>
        </is>
      </c>
      <c r="D192" s="37" t="inlineStr">
        <is>
          <t>Cấp đổi</t>
        </is>
      </c>
      <c r="E192" s="37" t="inlineStr">
        <is>
          <t>Tạ Khắc Tập</t>
        </is>
      </c>
      <c r="F192" s="37" t="inlineStr">
        <is>
          <t>Võ Tứ Hợp</t>
        </is>
      </c>
      <c r="G192" s="27" t="n">
        <v>46000</v>
      </c>
      <c r="H192" s="37" t="inlineStr">
        <is>
          <t>ĐÃ HỦY | chờ trích lục bv cap giay, chua chot hd voi chu nha</t>
        </is>
      </c>
      <c r="I192" s="37" t="inlineStr">
        <is>
          <t>Hủy</t>
        </is>
      </c>
      <c r="J192" s="29" t="n">
        <v>0</v>
      </c>
      <c r="K192" s="37" t="inlineStr">
        <is>
          <t>Số cọc:  | Loại cọc:</t>
        </is>
      </c>
    </row>
    <row r="193" ht="15.75" customHeight="1" s="56">
      <c r="A193" s="37" t="inlineStr">
        <is>
          <t>BK-HS-0190</t>
        </is>
      </c>
      <c r="B193" s="37" t="inlineStr">
        <is>
          <t>Anh Long PCT</t>
        </is>
      </c>
      <c r="C193" s="37" t="inlineStr">
        <is>
          <t>Hiệp Bình</t>
        </is>
      </c>
      <c r="D193" s="37" t="inlineStr">
        <is>
          <t>Cấp sổ lần đầu</t>
        </is>
      </c>
      <c r="E193" s="37" t="inlineStr">
        <is>
          <t>Tạ Khắc Tập</t>
        </is>
      </c>
      <c r="F193" s="37" t="inlineStr">
        <is>
          <t>Võ Tứ Hợp</t>
        </is>
      </c>
      <c r="G193" s="27" t="n">
        <v>46000</v>
      </c>
      <c r="H193" s="37" t="inlineStr">
        <is>
          <t>Đã nộp | chờ trích lục bv cap giay</t>
        </is>
      </c>
      <c r="I193" s="37" t="inlineStr">
        <is>
          <t>Nộp thành công - Chờ kết quả</t>
        </is>
      </c>
      <c r="J193" s="29" t="n">
        <v>0</v>
      </c>
      <c r="K193" s="37" t="inlineStr">
        <is>
          <t>Số cọc:  | Loại cọc:</t>
        </is>
      </c>
    </row>
    <row r="194" ht="15.75" customHeight="1" s="56">
      <c r="A194" s="37" t="inlineStr">
        <is>
          <t>BK-HS-0191</t>
        </is>
      </c>
      <c r="B194" s="37" t="inlineStr">
        <is>
          <t>Công Ty</t>
        </is>
      </c>
      <c r="C194" s="37" t="inlineStr">
        <is>
          <t>Tam Bình</t>
        </is>
      </c>
      <c r="D194" s="37" t="inlineStr">
        <is>
          <t>Cấp đổi</t>
        </is>
      </c>
      <c r="E194" s="37" t="inlineStr">
        <is>
          <t>Tạ Khắc Tập</t>
        </is>
      </c>
      <c r="F194" s="37" t="inlineStr">
        <is>
          <t>Võ Tứ Hợp</t>
        </is>
      </c>
      <c r="G194" s="27" t="n">
        <v>46000</v>
      </c>
      <c r="H194" s="37" t="inlineStr">
        <is>
          <t>ĐÃ HỦY | lấn thửa, lấn đường sai hien trang</t>
        </is>
      </c>
      <c r="I194" s="37" t="inlineStr">
        <is>
          <t>Hủy</t>
        </is>
      </c>
      <c r="J194" s="29" t="n">
        <v>0</v>
      </c>
      <c r="K194" s="37" t="inlineStr">
        <is>
          <t>Số cọc:  | Loại cọc:</t>
        </is>
      </c>
    </row>
    <row r="195" ht="15.75" customHeight="1" s="56">
      <c r="A195" s="37" t="inlineStr">
        <is>
          <t>BK-HS-0192</t>
        </is>
      </c>
      <c r="B195" s="37" t="inlineStr">
        <is>
          <t>Công Ty</t>
        </is>
      </c>
      <c r="C195" s="37" t="inlineStr">
        <is>
          <t>Long Phước</t>
        </is>
      </c>
      <c r="D195" s="37" t="inlineStr">
        <is>
          <t>Cắm mốc</t>
        </is>
      </c>
      <c r="E195" s="37" t="inlineStr">
        <is>
          <t>Lê Văn Dựng</t>
        </is>
      </c>
      <c r="F195" s="37" t="inlineStr">
        <is>
          <t>Không cần</t>
        </is>
      </c>
      <c r="G195" s="27" t="n">
        <v>46000</v>
      </c>
      <c r="H195" s="37" t="inlineStr">
        <is>
          <t>Hoàn thành</t>
        </is>
      </c>
      <c r="I195" s="37" t="inlineStr">
        <is>
          <t>Hoàn thành</t>
        </is>
      </c>
      <c r="J195" s="29" t="n">
        <v>50000</v>
      </c>
      <c r="K195" s="37" t="inlineStr">
        <is>
          <t>Số cọc: 10.0 | Loại cọc: Trụ xi măng</t>
        </is>
      </c>
    </row>
    <row r="196" ht="15.75" customHeight="1" s="56">
      <c r="A196" s="37" t="inlineStr">
        <is>
          <t>BK-HS-0193</t>
        </is>
      </c>
      <c r="B196" s="37" t="inlineStr">
        <is>
          <t>Hoàng Quân</t>
        </is>
      </c>
      <c r="C196" s="37" t="inlineStr">
        <is>
          <t>Long Phước</t>
        </is>
      </c>
      <c r="D196" s="37" t="inlineStr">
        <is>
          <t>Đo GPS</t>
        </is>
      </c>
      <c r="E196" s="37" t="inlineStr">
        <is>
          <t>Lê Văn Dựng</t>
        </is>
      </c>
      <c r="F196" s="37" t="inlineStr">
        <is>
          <t>Không cần</t>
        </is>
      </c>
      <c r="G196" s="27" t="n">
        <v>46000</v>
      </c>
      <c r="H196" s="37" t="inlineStr">
        <is>
          <t>Hoàn thành</t>
        </is>
      </c>
      <c r="I196" s="37" t="inlineStr">
        <is>
          <t>Hoàn thành</t>
        </is>
      </c>
      <c r="J196" s="29" t="n">
        <v>0</v>
      </c>
      <c r="K196" s="37" t="inlineStr">
        <is>
          <t>Số cọc:  | Loại cọc:</t>
        </is>
      </c>
    </row>
    <row r="197" ht="15.75" customHeight="1" s="56">
      <c r="A197" s="37" t="inlineStr">
        <is>
          <t>BK-HS-0194</t>
        </is>
      </c>
      <c r="B197" s="37" t="inlineStr">
        <is>
          <t>Hoàng Quân</t>
        </is>
      </c>
      <c r="C197" s="37" t="inlineStr">
        <is>
          <t>Long Phước</t>
        </is>
      </c>
      <c r="D197" s="37" t="inlineStr">
        <is>
          <t>Cắm mốc</t>
        </is>
      </c>
      <c r="E197" s="37" t="inlineStr">
        <is>
          <t>Lê Văn Dựng</t>
        </is>
      </c>
      <c r="F197" s="37" t="inlineStr">
        <is>
          <t>Không cần</t>
        </is>
      </c>
      <c r="G197" s="27" t="n">
        <v>46000</v>
      </c>
      <c r="H197" s="37" t="inlineStr">
        <is>
          <t>Hoàn thành</t>
        </is>
      </c>
      <c r="I197" s="37" t="inlineStr">
        <is>
          <t>Hoàn thành</t>
        </is>
      </c>
      <c r="J197" s="29" t="n">
        <v>50000</v>
      </c>
      <c r="K197" s="37" t="inlineStr">
        <is>
          <t>Số cọc: 10.0 | Loại cọc: Trụ xi măng</t>
        </is>
      </c>
    </row>
    <row r="198" ht="15.75" customHeight="1" s="56">
      <c r="A198" s="37" t="inlineStr">
        <is>
          <t>BK-HS-0195</t>
        </is>
      </c>
      <c r="B198" s="37" t="inlineStr">
        <is>
          <t>Hoàng Quân</t>
        </is>
      </c>
      <c r="C198" s="37" t="inlineStr">
        <is>
          <t>Long Phước</t>
        </is>
      </c>
      <c r="D198" s="37" t="inlineStr">
        <is>
          <t>Cấp đổi</t>
        </is>
      </c>
      <c r="E198" s="37" t="inlineStr">
        <is>
          <t>Lê Văn Dựng</t>
        </is>
      </c>
      <c r="F198" s="37" t="inlineStr">
        <is>
          <t>Không cần</t>
        </is>
      </c>
      <c r="G198" s="27" t="n">
        <v>46000</v>
      </c>
      <c r="H198" s="37" t="inlineStr">
        <is>
          <t>Hoàn thành</t>
        </is>
      </c>
      <c r="I198" s="37" t="inlineStr">
        <is>
          <t>Hoàn thành</t>
        </is>
      </c>
      <c r="J198" s="29" t="n">
        <v>0</v>
      </c>
      <c r="K198" s="37" t="inlineStr">
        <is>
          <t>Số cọc:  | Loại cọc:</t>
        </is>
      </c>
    </row>
    <row r="199" ht="15.75" customHeight="1" s="56">
      <c r="A199" s="37" t="inlineStr">
        <is>
          <t>BK-HS-0196</t>
        </is>
      </c>
      <c r="B199" s="37" t="inlineStr">
        <is>
          <t>Chú Loan DV</t>
        </is>
      </c>
      <c r="C199" s="37" t="inlineStr">
        <is>
          <t>Hiệp Bình</t>
        </is>
      </c>
      <c r="D199" s="37" t="inlineStr">
        <is>
          <t>Chuyển mục đích</t>
        </is>
      </c>
      <c r="E199" s="37" t="inlineStr">
        <is>
          <t>Tạ Khắc Tập</t>
        </is>
      </c>
      <c r="F199" s="37" t="inlineStr">
        <is>
          <t>Không cần</t>
        </is>
      </c>
      <c r="G199" s="27" t="n">
        <v>46000</v>
      </c>
      <c r="H199" s="37" t="inlineStr">
        <is>
          <t>Hoàn thành</t>
        </is>
      </c>
      <c r="I199" s="37" t="inlineStr">
        <is>
          <t>Hoàn thành</t>
        </is>
      </c>
      <c r="J199" s="29" t="n">
        <v>0</v>
      </c>
      <c r="K199" s="37" t="inlineStr">
        <is>
          <t>Số cọc:  | Loại cọc:</t>
        </is>
      </c>
    </row>
    <row r="200" ht="15.75" customHeight="1" s="56">
      <c r="A200" s="37" t="inlineStr">
        <is>
          <t>BK-HS-0197</t>
        </is>
      </c>
      <c r="B200" s="37" t="inlineStr">
        <is>
          <t>Chị Xuân DV</t>
        </is>
      </c>
      <c r="C200" s="37" t="inlineStr">
        <is>
          <t>Linh Xuân</t>
        </is>
      </c>
      <c r="D200" s="37" t="inlineStr">
        <is>
          <t>Cấp đổi</t>
        </is>
      </c>
      <c r="E200" s="37" t="inlineStr">
        <is>
          <t>Tạ Khắc Tập</t>
        </is>
      </c>
      <c r="F200" s="37" t="inlineStr">
        <is>
          <t>Võ Tứ Hợp</t>
        </is>
      </c>
      <c r="G200" s="27" t="n">
        <v>45997</v>
      </c>
      <c r="H200" s="37" t="inlineStr">
        <is>
          <t>Hoàn thành | dv chua cap du hs gcn</t>
        </is>
      </c>
      <c r="I200" s="37" t="inlineStr">
        <is>
          <t>Hoàn thành</t>
        </is>
      </c>
      <c r="J200" s="29" t="n">
        <v>0</v>
      </c>
      <c r="K200" s="37" t="inlineStr">
        <is>
          <t>Số cọc:  | Loại cọc:</t>
        </is>
      </c>
    </row>
    <row r="201" ht="15.75" customHeight="1" s="56">
      <c r="A201" s="37" t="inlineStr">
        <is>
          <t>BK-HS-0198</t>
        </is>
      </c>
      <c r="B201" s="37" t="inlineStr">
        <is>
          <t>Nguyễn Hương DV</t>
        </is>
      </c>
      <c r="C201" s="37" t="inlineStr">
        <is>
          <t>Hiệp Bình</t>
        </is>
      </c>
      <c r="D201" s="37" t="inlineStr">
        <is>
          <t>Chuyển mục đích</t>
        </is>
      </c>
      <c r="E201" s="37" t="inlineStr">
        <is>
          <t>Lê Văn Xây</t>
        </is>
      </c>
      <c r="F201" s="37" t="inlineStr">
        <is>
          <t>Không cần</t>
        </is>
      </c>
      <c r="G201" s="27" t="n">
        <v>45996</v>
      </c>
      <c r="H201" s="37" t="inlineStr">
        <is>
          <t>Đã nộp</t>
        </is>
      </c>
      <c r="I201" s="37" t="inlineStr">
        <is>
          <t>Nộp thành công - Chờ kết quả</t>
        </is>
      </c>
      <c r="J201" s="29" t="n">
        <v>0</v>
      </c>
      <c r="K201" s="37" t="inlineStr">
        <is>
          <t>Số cọc:  | Loại cọc:</t>
        </is>
      </c>
    </row>
    <row r="202" ht="15.75" customHeight="1" s="56">
      <c r="A202" s="37" t="inlineStr">
        <is>
          <t>BK-HS-0199</t>
        </is>
      </c>
      <c r="B202" s="37" t="inlineStr">
        <is>
          <t>Công Ty</t>
        </is>
      </c>
      <c r="C202" s="37" t="inlineStr">
        <is>
          <t>An Khánh</t>
        </is>
      </c>
      <c r="D202" s="37" t="inlineStr">
        <is>
          <t>Chuyển mục đích</t>
        </is>
      </c>
      <c r="E202" s="37" t="inlineStr">
        <is>
          <t>Lê Văn Dựng</t>
        </is>
      </c>
      <c r="F202" s="37" t="inlineStr">
        <is>
          <t>Không cần</t>
        </is>
      </c>
      <c r="G202" s="27" t="n">
        <v>45996</v>
      </c>
      <c r="H202" s="37" t="inlineStr">
        <is>
          <t>Hoàn thành</t>
        </is>
      </c>
      <c r="I202" s="37" t="inlineStr">
        <is>
          <t>Hoàn thành</t>
        </is>
      </c>
      <c r="J202" s="29" t="n">
        <v>0</v>
      </c>
      <c r="K202" s="37" t="inlineStr">
        <is>
          <t>Số cọc:  | Loại cọc:</t>
        </is>
      </c>
    </row>
    <row r="203" ht="15.75" customHeight="1" s="56">
      <c r="A203" s="37" t="inlineStr">
        <is>
          <t>BK-HS-0200</t>
        </is>
      </c>
      <c r="B203" s="37" t="inlineStr">
        <is>
          <t>Công Ty</t>
        </is>
      </c>
      <c r="C203" s="37" t="inlineStr">
        <is>
          <t>An Khánh</t>
        </is>
      </c>
      <c r="D203" s="37" t="inlineStr">
        <is>
          <t>Chuyển mục đích</t>
        </is>
      </c>
      <c r="E203" s="37" t="inlineStr">
        <is>
          <t>Lê Văn Dựng</t>
        </is>
      </c>
      <c r="F203" s="37" t="inlineStr">
        <is>
          <t>Không cần</t>
        </is>
      </c>
      <c r="G203" s="27" t="n">
        <v>45996</v>
      </c>
      <c r="H203" s="37" t="inlineStr">
        <is>
          <t>Hoàn thành</t>
        </is>
      </c>
      <c r="I203" s="37" t="inlineStr">
        <is>
          <t>Hoàn thành</t>
        </is>
      </c>
      <c r="J203" s="29" t="n">
        <v>0</v>
      </c>
      <c r="K203" s="37" t="inlineStr">
        <is>
          <t>Số cọc:  | Loại cọc:</t>
        </is>
      </c>
    </row>
    <row r="204" ht="15.75" customHeight="1" s="56">
      <c r="A204" s="37" t="inlineStr">
        <is>
          <t>BK-HS-0201</t>
        </is>
      </c>
      <c r="B204" s="37" t="inlineStr">
        <is>
          <t>Nguyễn Khoa DV</t>
        </is>
      </c>
      <c r="C204" s="37" t="inlineStr">
        <is>
          <t>Long Trường</t>
        </is>
      </c>
      <c r="D204" s="37" t="inlineStr">
        <is>
          <t>Cấp đổi</t>
        </is>
      </c>
      <c r="E204" s="37" t="inlineStr">
        <is>
          <t>Tạ Khắc Tập</t>
        </is>
      </c>
      <c r="F204" s="37" t="inlineStr">
        <is>
          <t>Võ Tứ Hợp</t>
        </is>
      </c>
      <c r="G204" s="27" t="n">
        <v>45996</v>
      </c>
      <c r="H204" s="37" t="inlineStr">
        <is>
          <t>Hoàn thành</t>
        </is>
      </c>
      <c r="I204" s="37" t="inlineStr">
        <is>
          <t>Hoàn thành</t>
        </is>
      </c>
      <c r="J204" s="29" t="n">
        <v>0</v>
      </c>
      <c r="K204" s="37" t="inlineStr">
        <is>
          <t>Số cọc:  | Loại cọc:</t>
        </is>
      </c>
    </row>
    <row r="205" ht="15.75" customHeight="1" s="56">
      <c r="A205" s="37" t="inlineStr">
        <is>
          <t>BK-HS-0202</t>
        </is>
      </c>
      <c r="B205" s="37" t="inlineStr">
        <is>
          <t>Công Ty</t>
        </is>
      </c>
      <c r="C205" s="37" t="inlineStr">
        <is>
          <t>Long Trường</t>
        </is>
      </c>
      <c r="D205" s="37" t="inlineStr">
        <is>
          <t>Xác định diện tích</t>
        </is>
      </c>
      <c r="E205" s="37" t="inlineStr">
        <is>
          <t>Tạ Khắc Tập</t>
        </is>
      </c>
      <c r="F205" s="37" t="inlineStr">
        <is>
          <t>Võ Tứ Hợp</t>
        </is>
      </c>
      <c r="G205" s="27" t="n">
        <v>45996</v>
      </c>
      <c r="H205" s="37" t="inlineStr">
        <is>
          <t>Hoàn thành</t>
        </is>
      </c>
      <c r="I205" s="37" t="inlineStr">
        <is>
          <t>Hoàn thành</t>
        </is>
      </c>
      <c r="J205" s="29" t="n">
        <v>0</v>
      </c>
      <c r="K205" s="37" t="inlineStr">
        <is>
          <t>Số cọc:  | Loại cọc:</t>
        </is>
      </c>
    </row>
    <row r="206" ht="15.75" customHeight="1" s="56">
      <c r="A206" s="37" t="inlineStr">
        <is>
          <t>BK-HS-0203</t>
        </is>
      </c>
      <c r="B206" s="37" t="inlineStr">
        <is>
          <t>Đạt Việt Phát Land</t>
        </is>
      </c>
      <c r="C206" s="37" t="inlineStr">
        <is>
          <t>Tăng Nhơn Phú</t>
        </is>
      </c>
      <c r="D206" s="37" t="inlineStr">
        <is>
          <t>Cấp đổi</t>
        </is>
      </c>
      <c r="E206" s="37" t="inlineStr">
        <is>
          <t>Lê Văn Dựng</t>
        </is>
      </c>
      <c r="F206" s="37" t="inlineStr">
        <is>
          <t>Không cần</t>
        </is>
      </c>
      <c r="G206" s="27" t="n">
        <v>45996</v>
      </c>
      <c r="H206" s="37" t="inlineStr">
        <is>
          <t>Đã nộp</t>
        </is>
      </c>
      <c r="I206" s="37" t="inlineStr">
        <is>
          <t>Nộp thành công - Chờ kết quả</t>
        </is>
      </c>
      <c r="J206" s="29" t="n">
        <v>0</v>
      </c>
      <c r="K206" s="37" t="inlineStr">
        <is>
          <t>Số cọc:  | Loại cọc:</t>
        </is>
      </c>
    </row>
    <row r="207" ht="15.75" customHeight="1" s="56">
      <c r="A207" s="37" t="inlineStr">
        <is>
          <t>BK-HS-0204</t>
        </is>
      </c>
      <c r="B207" s="37" t="inlineStr">
        <is>
          <t>Công Ty</t>
        </is>
      </c>
      <c r="C207" s="37" t="inlineStr">
        <is>
          <t>An Khánh</t>
        </is>
      </c>
      <c r="D207" s="37" t="inlineStr">
        <is>
          <t>Xác định diện tích</t>
        </is>
      </c>
      <c r="E207" s="37" t="inlineStr">
        <is>
          <t>Trương Tấn Quốc</t>
        </is>
      </c>
      <c r="F207" s="37" t="inlineStr">
        <is>
          <t>Tạ Khắc Tập</t>
        </is>
      </c>
      <c r="G207" s="27" t="n">
        <v>45995</v>
      </c>
      <c r="H207" s="37" t="inlineStr">
        <is>
          <t>Hoàn thành</t>
        </is>
      </c>
      <c r="I207" s="37" t="inlineStr">
        <is>
          <t>Hoàn thành</t>
        </is>
      </c>
      <c r="J207" s="29" t="n">
        <v>0</v>
      </c>
      <c r="K207" s="37" t="inlineStr">
        <is>
          <t>Số cọc:  | Loại cọc:</t>
        </is>
      </c>
    </row>
    <row r="208" ht="15.75" customHeight="1" s="56">
      <c r="A208" s="37" t="inlineStr">
        <is>
          <t>BK-HS-0205</t>
        </is>
      </c>
      <c r="B208" s="37" t="inlineStr">
        <is>
          <t>Công Ty</t>
        </is>
      </c>
      <c r="C208" s="37" t="inlineStr">
        <is>
          <t>An Khánh</t>
        </is>
      </c>
      <c r="D208" s="37" t="inlineStr">
        <is>
          <t>Xác định diện tích</t>
        </is>
      </c>
      <c r="E208" s="37" t="inlineStr">
        <is>
          <t>Trương Tấn Quốc</t>
        </is>
      </c>
      <c r="F208" s="37" t="inlineStr">
        <is>
          <t>Tạ Khắc Tập</t>
        </is>
      </c>
      <c r="G208" s="27" t="n">
        <v>45995</v>
      </c>
      <c r="H208" s="37" t="inlineStr">
        <is>
          <t>Hoàn thành</t>
        </is>
      </c>
      <c r="I208" s="37" t="inlineStr">
        <is>
          <t>Hoàn thành</t>
        </is>
      </c>
      <c r="J208" s="29" t="n">
        <v>0</v>
      </c>
      <c r="K208" s="37" t="inlineStr">
        <is>
          <t>Số cọc:  | Loại cọc:</t>
        </is>
      </c>
    </row>
    <row r="209" ht="15.75" customHeight="1" s="56">
      <c r="A209" s="37" t="inlineStr">
        <is>
          <t>BK-HS-0206</t>
        </is>
      </c>
      <c r="B209" s="37" t="inlineStr">
        <is>
          <t>Cô Hoa</t>
        </is>
      </c>
      <c r="C209" s="37" t="inlineStr">
        <is>
          <t>Hiệp Bình</t>
        </is>
      </c>
      <c r="D209" s="37" t="inlineStr">
        <is>
          <t>Hoàn công</t>
        </is>
      </c>
      <c r="E209" s="37" t="inlineStr">
        <is>
          <t>Lê Văn Dựng</t>
        </is>
      </c>
      <c r="F209" s="37" t="inlineStr">
        <is>
          <t>Võ Tứ Hợp</t>
        </is>
      </c>
      <c r="G209" s="27" t="n">
        <v>45995</v>
      </c>
      <c r="H209" s="37" t="inlineStr">
        <is>
          <t>Hoàn thành</t>
        </is>
      </c>
      <c r="I209" s="37" t="inlineStr">
        <is>
          <t>Hoàn thành</t>
        </is>
      </c>
      <c r="J209" s="29" t="n">
        <v>0</v>
      </c>
      <c r="K209" s="37" t="inlineStr">
        <is>
          <t>Số cọc:  | Loại cọc:</t>
        </is>
      </c>
    </row>
    <row r="210" ht="15.75" customHeight="1" s="56">
      <c r="A210" s="37" t="inlineStr">
        <is>
          <t>BK-HS-0207</t>
        </is>
      </c>
      <c r="B210" s="37" t="inlineStr">
        <is>
          <t>Cô Hoa</t>
        </is>
      </c>
      <c r="C210" s="37" t="inlineStr">
        <is>
          <t>Hiệp Bình</t>
        </is>
      </c>
      <c r="D210" s="37" t="inlineStr">
        <is>
          <t>Hoàn công</t>
        </is>
      </c>
      <c r="E210" s="37" t="inlineStr">
        <is>
          <t>Lê Văn Dựng</t>
        </is>
      </c>
      <c r="F210" s="37" t="inlineStr">
        <is>
          <t>Võ Tứ Hợp</t>
        </is>
      </c>
      <c r="G210" s="27" t="n">
        <v>45995</v>
      </c>
      <c r="H210" s="37" t="inlineStr">
        <is>
          <t>Hoàn thành</t>
        </is>
      </c>
      <c r="I210" s="37" t="inlineStr">
        <is>
          <t>Hoàn thành</t>
        </is>
      </c>
      <c r="J210" s="29" t="n">
        <v>0</v>
      </c>
      <c r="K210" s="37" t="inlineStr">
        <is>
          <t>Số cọc:  | Loại cọc:</t>
        </is>
      </c>
    </row>
    <row r="211" ht="15.75" customHeight="1" s="56">
      <c r="A211" s="37" t="inlineStr">
        <is>
          <t>BK-HS-0208</t>
        </is>
      </c>
      <c r="B211" s="37" t="inlineStr">
        <is>
          <t>Công Ty</t>
        </is>
      </c>
      <c r="C211" s="37" t="inlineStr">
        <is>
          <t>Hiệp Bình</t>
        </is>
      </c>
      <c r="D211" s="37" t="inlineStr">
        <is>
          <t>Điều chỉnh bản vẽ</t>
        </is>
      </c>
      <c r="E211" s="37" t="inlineStr">
        <is>
          <t>Lê Văn Dựng</t>
        </is>
      </c>
      <c r="F211" s="37" t="inlineStr">
        <is>
          <t>Không cần</t>
        </is>
      </c>
      <c r="G211" s="27" t="n">
        <v>45994</v>
      </c>
      <c r="H211" s="37" t="inlineStr">
        <is>
          <t>Hoàn thành</t>
        </is>
      </c>
      <c r="I211" s="37" t="inlineStr">
        <is>
          <t>Hoàn thành</t>
        </is>
      </c>
      <c r="J211" s="29" t="n">
        <v>0</v>
      </c>
      <c r="K211" s="37" t="inlineStr">
        <is>
          <t>Số cọc:  | Loại cọc:</t>
        </is>
      </c>
    </row>
    <row r="212" ht="15.75" customHeight="1" s="56">
      <c r="A212" s="37" t="inlineStr">
        <is>
          <t>BK-HS-0209</t>
        </is>
      </c>
      <c r="B212" s="37" t="inlineStr">
        <is>
          <t>Đạt Việt Phát Land</t>
        </is>
      </c>
      <c r="C212" s="37" t="inlineStr">
        <is>
          <t>Tăng Nhơn Phú</t>
        </is>
      </c>
      <c r="D212" s="37" t="inlineStr">
        <is>
          <t>Cấp đổi</t>
        </is>
      </c>
      <c r="E212" s="37" t="inlineStr">
        <is>
          <t>Lê Văn Xây</t>
        </is>
      </c>
      <c r="F212" s="37" t="inlineStr">
        <is>
          <t>Võ Tứ Hợp</t>
        </is>
      </c>
      <c r="G212" s="27" t="n">
        <v>45994</v>
      </c>
      <c r="H212" s="37" t="inlineStr">
        <is>
          <t>Hoàn thành</t>
        </is>
      </c>
      <c r="I212" s="37" t="inlineStr">
        <is>
          <t>Hoàn thành</t>
        </is>
      </c>
      <c r="J212" s="29" t="n">
        <v>0</v>
      </c>
      <c r="K212" s="37" t="inlineStr">
        <is>
          <t>Số cọc:  | Loại cọc:</t>
        </is>
      </c>
    </row>
    <row r="213" ht="15.75" customHeight="1" s="56">
      <c r="A213" s="37" t="inlineStr">
        <is>
          <t>BK-HS-0210</t>
        </is>
      </c>
      <c r="B213" s="37" t="inlineStr">
        <is>
          <t>Công Ty</t>
        </is>
      </c>
      <c r="C213" s="37" t="inlineStr">
        <is>
          <t>Bình Trưng</t>
        </is>
      </c>
      <c r="D213" s="37" t="inlineStr">
        <is>
          <t>Xin phép xây dựng</t>
        </is>
      </c>
      <c r="E213" s="37" t="inlineStr">
        <is>
          <t>Võ Thành Minh</t>
        </is>
      </c>
      <c r="F213" s="37" t="inlineStr">
        <is>
          <t>Không cần</t>
        </is>
      </c>
      <c r="G213" s="27" t="n">
        <v>45993</v>
      </c>
      <c r="H213" s="37" t="inlineStr">
        <is>
          <t>Hoàn thành</t>
        </is>
      </c>
      <c r="I213" s="37" t="inlineStr">
        <is>
          <t>Hoàn thành</t>
        </is>
      </c>
      <c r="J213" s="29" t="n">
        <v>0</v>
      </c>
      <c r="K213" s="37" t="inlineStr">
        <is>
          <t>Số cọc:  | Loại cọc:</t>
        </is>
      </c>
    </row>
    <row r="214" ht="15.75" customHeight="1" s="56">
      <c r="A214" s="37" t="inlineStr">
        <is>
          <t>BK-HS-0211</t>
        </is>
      </c>
      <c r="B214" s="37" t="inlineStr">
        <is>
          <t>Công Ty</t>
        </is>
      </c>
      <c r="C214" s="37" t="inlineStr">
        <is>
          <t>An Khánh</t>
        </is>
      </c>
      <c r="D214" s="37" t="inlineStr">
        <is>
          <t>Xin phép xây dựng</t>
        </is>
      </c>
      <c r="E214" s="37" t="inlineStr">
        <is>
          <t>Võ Thành Minh</t>
        </is>
      </c>
      <c r="F214" s="37" t="inlineStr">
        <is>
          <t>Không cần</t>
        </is>
      </c>
      <c r="G214" s="27" t="n">
        <v>45993</v>
      </c>
      <c r="H214" s="37" t="inlineStr">
        <is>
          <t>Hoàn thành</t>
        </is>
      </c>
      <c r="I214" s="37" t="inlineStr">
        <is>
          <t>Hoàn thành</t>
        </is>
      </c>
      <c r="J214" s="29" t="n">
        <v>0</v>
      </c>
      <c r="K214" s="37" t="inlineStr">
        <is>
          <t>Số cọc:  | Loại cọc:</t>
        </is>
      </c>
    </row>
    <row r="215" ht="15.75" customHeight="1" s="56">
      <c r="A215" s="37" t="inlineStr">
        <is>
          <t>BK-HS-0212</t>
        </is>
      </c>
      <c r="B215" s="37" t="inlineStr">
        <is>
          <t>Đạt Việt Phát Land</t>
        </is>
      </c>
      <c r="C215" s="37" t="inlineStr">
        <is>
          <t>Linh Xuân</t>
        </is>
      </c>
      <c r="D215" s="37" t="inlineStr">
        <is>
          <t>Xin phép xây dựng</t>
        </is>
      </c>
      <c r="E215" s="37" t="inlineStr">
        <is>
          <t>Võ Thành Minh</t>
        </is>
      </c>
      <c r="F215" s="37" t="inlineStr">
        <is>
          <t>Không cần</t>
        </is>
      </c>
      <c r="G215" s="27" t="n">
        <v>45993</v>
      </c>
      <c r="H215" s="37" t="inlineStr">
        <is>
          <t>Hoàn thành</t>
        </is>
      </c>
      <c r="I215" s="37" t="inlineStr">
        <is>
          <t>Hoàn thành</t>
        </is>
      </c>
      <c r="J215" s="29" t="n">
        <v>0</v>
      </c>
      <c r="K215" s="37" t="inlineStr">
        <is>
          <t>Số cọc:  | Loại cọc:</t>
        </is>
      </c>
    </row>
    <row r="216" ht="15.75" customHeight="1" s="56">
      <c r="A216" s="37" t="inlineStr">
        <is>
          <t>BK-HS-0213</t>
        </is>
      </c>
      <c r="B216" s="37" t="inlineStr">
        <is>
          <t>Cô Hải Dịch Vụ</t>
        </is>
      </c>
      <c r="C216" s="37" t="inlineStr">
        <is>
          <t>Tam Bình</t>
        </is>
      </c>
      <c r="D216" s="37" t="inlineStr">
        <is>
          <t>Xác định diện tích</t>
        </is>
      </c>
      <c r="E216" s="37" t="inlineStr">
        <is>
          <t>Lê Văn Xây</t>
        </is>
      </c>
      <c r="F216" s="37" t="inlineStr">
        <is>
          <t>Không cần</t>
        </is>
      </c>
      <c r="G216" s="27" t="n">
        <v>45993</v>
      </c>
      <c r="H216" s="37" t="inlineStr">
        <is>
          <t>Hoàn thành</t>
        </is>
      </c>
      <c r="I216" s="37" t="inlineStr">
        <is>
          <t>Hoàn thành</t>
        </is>
      </c>
      <c r="J216" s="29" t="n">
        <v>0</v>
      </c>
      <c r="K216" s="37" t="inlineStr">
        <is>
          <t>Số cọc:  | Loại cọc:</t>
        </is>
      </c>
    </row>
    <row r="217" ht="15.75" customHeight="1" s="56">
      <c r="A217" s="37" t="inlineStr">
        <is>
          <t>BK-HS-0214</t>
        </is>
      </c>
      <c r="B217" s="37" t="inlineStr">
        <is>
          <t>Cô Hải Dịch Vụ</t>
        </is>
      </c>
      <c r="C217" s="37" t="inlineStr">
        <is>
          <t>Tam Bình</t>
        </is>
      </c>
      <c r="D217" s="37" t="inlineStr">
        <is>
          <t>Xác định diện tích</t>
        </is>
      </c>
      <c r="E217" s="37" t="inlineStr">
        <is>
          <t>Lê Văn Xây</t>
        </is>
      </c>
      <c r="F217" s="37" t="inlineStr">
        <is>
          <t>Không cần</t>
        </is>
      </c>
      <c r="G217" s="27" t="n">
        <v>45993</v>
      </c>
      <c r="H217" s="37" t="inlineStr">
        <is>
          <t>Hoàn thành</t>
        </is>
      </c>
      <c r="I217" s="37" t="inlineStr">
        <is>
          <t>Hoàn thành</t>
        </is>
      </c>
      <c r="J217" s="29" t="n">
        <v>0</v>
      </c>
      <c r="K217" s="37" t="inlineStr">
        <is>
          <t>Số cọc:  | Loại cọc:</t>
        </is>
      </c>
    </row>
    <row r="218" ht="15.75" customHeight="1" s="56">
      <c r="A218" s="37" t="inlineStr">
        <is>
          <t>BK-HS-0215</t>
        </is>
      </c>
      <c r="B218" s="37" t="inlineStr">
        <is>
          <t>Công Ty</t>
        </is>
      </c>
      <c r="C218" s="37" t="inlineStr">
        <is>
          <t>Hiệp Bình</t>
        </is>
      </c>
      <c r="D218" s="37" t="inlineStr">
        <is>
          <t>Hoàn công</t>
        </is>
      </c>
      <c r="E218" s="37" t="inlineStr">
        <is>
          <t>Trương Tấn Quốc</t>
        </is>
      </c>
      <c r="F218" s="37" t="inlineStr">
        <is>
          <t>Không cần</t>
        </is>
      </c>
      <c r="G218" s="27" t="n">
        <v>45993</v>
      </c>
      <c r="H218" s="37" t="inlineStr">
        <is>
          <t>Hoàn thành</t>
        </is>
      </c>
      <c r="I218" s="37" t="inlineStr">
        <is>
          <t>Hoàn thành</t>
        </is>
      </c>
      <c r="J218" s="29" t="n">
        <v>0</v>
      </c>
      <c r="K218" s="37" t="inlineStr">
        <is>
          <t>Số cọc:  | Loại cọc:</t>
        </is>
      </c>
    </row>
    <row r="219" ht="15.75" customHeight="1" s="56">
      <c r="A219" s="37" t="inlineStr">
        <is>
          <t>BK-HS-0216</t>
        </is>
      </c>
      <c r="B219" s="37" t="inlineStr">
        <is>
          <t>Đạt Việt Phát Land</t>
        </is>
      </c>
      <c r="C219" s="37" t="inlineStr">
        <is>
          <t>Linh Xuân</t>
        </is>
      </c>
      <c r="D219" s="37" t="inlineStr">
        <is>
          <t>Hoàn công</t>
        </is>
      </c>
      <c r="E219" s="37" t="inlineStr">
        <is>
          <t>Tạ Khắc Tập</t>
        </is>
      </c>
      <c r="F219" s="37" t="inlineStr">
        <is>
          <t>Võ Tứ Hợp</t>
        </is>
      </c>
      <c r="G219" s="27" t="n">
        <v>45993</v>
      </c>
      <c r="H219" s="37" t="inlineStr">
        <is>
          <t>Hoàn thành</t>
        </is>
      </c>
      <c r="I219" s="37" t="inlineStr">
        <is>
          <t>Hoàn thành</t>
        </is>
      </c>
      <c r="J219" s="29" t="n">
        <v>0</v>
      </c>
      <c r="K219" s="37" t="inlineStr">
        <is>
          <t>Số cọc:  | Loại cọc:</t>
        </is>
      </c>
    </row>
    <row r="220" ht="15.75" customHeight="1" s="56">
      <c r="A220" s="37" t="inlineStr">
        <is>
          <t>BK-HS-0217</t>
        </is>
      </c>
      <c r="B220" s="37" t="inlineStr">
        <is>
          <t>Công Ty</t>
        </is>
      </c>
      <c r="C220" s="37" t="inlineStr">
        <is>
          <t>Ngoài Thủ Đức</t>
        </is>
      </c>
      <c r="D220" s="37" t="inlineStr">
        <is>
          <t>Đo GPS</t>
        </is>
      </c>
      <c r="E220" s="37" t="inlineStr">
        <is>
          <t>Lê Văn Dựng</t>
        </is>
      </c>
      <c r="F220" s="37" t="inlineStr">
        <is>
          <t>Không cần</t>
        </is>
      </c>
      <c r="G220" s="27" t="n">
        <v>45992</v>
      </c>
      <c r="H220" s="37" t="inlineStr">
        <is>
          <t>Hoàn thành</t>
        </is>
      </c>
      <c r="I220" s="37" t="inlineStr">
        <is>
          <t>Hoàn thành</t>
        </is>
      </c>
      <c r="J220" s="29" t="n">
        <v>0</v>
      </c>
      <c r="K220" s="37" t="inlineStr">
        <is>
          <t>Số cọc:  | Loại cọc:</t>
        </is>
      </c>
    </row>
    <row r="221" ht="15.75" customHeight="1" s="56">
      <c r="A221" s="37" t="inlineStr">
        <is>
          <t>BK-HS-0218</t>
        </is>
      </c>
      <c r="B221" s="37" t="inlineStr">
        <is>
          <t>Hoàng Quân</t>
        </is>
      </c>
      <c r="C221" s="37" t="inlineStr">
        <is>
          <t>Long Phước</t>
        </is>
      </c>
      <c r="D221" s="37" t="inlineStr">
        <is>
          <t>Cắm mốc</t>
        </is>
      </c>
      <c r="E221" s="37" t="inlineStr">
        <is>
          <t>Lê Văn Dựng</t>
        </is>
      </c>
      <c r="F221" s="37" t="inlineStr">
        <is>
          <t>Không cần</t>
        </is>
      </c>
      <c r="G221" s="27" t="n">
        <v>45992</v>
      </c>
      <c r="H221" s="37" t="inlineStr">
        <is>
          <t>Hoàn thành | shd cũ 136/BK-2025</t>
        </is>
      </c>
      <c r="I221" s="37" t="inlineStr">
        <is>
          <t>Hoàn thành</t>
        </is>
      </c>
      <c r="J221" s="29" t="n">
        <v>50000</v>
      </c>
      <c r="K221" s="37" t="inlineStr">
        <is>
          <t>Số cọc: 9.0 | Loại cọc: Trụ xi măng</t>
        </is>
      </c>
    </row>
    <row r="222" ht="15.75" customHeight="1" s="56">
      <c r="A222" s="37" t="inlineStr">
        <is>
          <t>BK-HS-0219</t>
        </is>
      </c>
      <c r="B222" s="37" t="inlineStr">
        <is>
          <t>Hoàng Quân</t>
        </is>
      </c>
      <c r="C222" s="37" t="inlineStr">
        <is>
          <t>Long Phước</t>
        </is>
      </c>
      <c r="D222" s="37" t="inlineStr">
        <is>
          <t>Đo GPS</t>
        </is>
      </c>
      <c r="E222" s="37" t="inlineStr">
        <is>
          <t>Lê Văn Dựng</t>
        </is>
      </c>
      <c r="F222" s="37" t="inlineStr">
        <is>
          <t>Không cần</t>
        </is>
      </c>
      <c r="G222" s="27" t="n">
        <v>45990</v>
      </c>
      <c r="H222" s="37" t="inlineStr">
        <is>
          <t>Hoàn thành</t>
        </is>
      </c>
      <c r="I222" s="37" t="inlineStr">
        <is>
          <t>Hoàn thành</t>
        </is>
      </c>
      <c r="J222" s="29" t="n">
        <v>0</v>
      </c>
      <c r="K222" s="37" t="inlineStr">
        <is>
          <t>Số cọc:  | Loại cọc:</t>
        </is>
      </c>
    </row>
    <row r="223" ht="15.75" customHeight="1" s="56">
      <c r="A223" s="37" t="inlineStr">
        <is>
          <t>BK-HS-0220</t>
        </is>
      </c>
      <c r="B223" s="37" t="inlineStr">
        <is>
          <t>Hoàng Quân</t>
        </is>
      </c>
      <c r="C223" s="37" t="inlineStr">
        <is>
          <t>Long Phước</t>
        </is>
      </c>
      <c r="D223" s="37" t="inlineStr">
        <is>
          <t>Cắm mốc</t>
        </is>
      </c>
      <c r="E223" s="37" t="inlineStr">
        <is>
          <t>Lê Văn Dựng</t>
        </is>
      </c>
      <c r="F223" s="37" t="inlineStr">
        <is>
          <t>Không cần</t>
        </is>
      </c>
      <c r="G223" s="27" t="n">
        <v>45990</v>
      </c>
      <c r="H223" s="37" t="inlineStr">
        <is>
          <t>Hoàn thành</t>
        </is>
      </c>
      <c r="I223" s="37" t="inlineStr">
        <is>
          <t>Hoàn thành</t>
        </is>
      </c>
      <c r="J223" s="29" t="n">
        <v>50000</v>
      </c>
      <c r="K223" s="37" t="inlineStr">
        <is>
          <t>Số cọc: 40.0 | Loại cọc: Trụ xi măng</t>
        </is>
      </c>
    </row>
    <row r="224" ht="15.75" customHeight="1" s="56">
      <c r="A224" s="37" t="inlineStr">
        <is>
          <t>BK-HS-0221</t>
        </is>
      </c>
      <c r="B224" s="37" t="inlineStr">
        <is>
          <t>Hoàng Quân</t>
        </is>
      </c>
      <c r="C224" s="37" t="inlineStr">
        <is>
          <t>Long Phước</t>
        </is>
      </c>
      <c r="D224" s="37" t="inlineStr">
        <is>
          <t>Cấp đổi</t>
        </is>
      </c>
      <c r="E224" s="37" t="inlineStr">
        <is>
          <t>Lê Văn Dựng</t>
        </is>
      </c>
      <c r="F224" s="37" t="inlineStr">
        <is>
          <t>Không cần</t>
        </is>
      </c>
      <c r="G224" s="27" t="n">
        <v>45990</v>
      </c>
      <c r="H224" s="37" t="inlineStr">
        <is>
          <t>Hoàn thành</t>
        </is>
      </c>
      <c r="I224" s="37" t="inlineStr">
        <is>
          <t>Hoàn thành</t>
        </is>
      </c>
      <c r="J224" s="29" t="n">
        <v>0</v>
      </c>
      <c r="K224" s="37" t="inlineStr">
        <is>
          <t>Số cọc:  | Loại cọc:</t>
        </is>
      </c>
    </row>
    <row r="225" ht="15.75" customHeight="1" s="56">
      <c r="A225" s="37" t="inlineStr">
        <is>
          <t>BK-HS-0222</t>
        </is>
      </c>
      <c r="B225" s="37" t="inlineStr">
        <is>
          <t>Hoàng Quân</t>
        </is>
      </c>
      <c r="C225" s="37" t="inlineStr">
        <is>
          <t>Long Phước</t>
        </is>
      </c>
      <c r="D225" s="37" t="inlineStr">
        <is>
          <t>Đo GPS</t>
        </is>
      </c>
      <c r="E225" s="37" t="inlineStr">
        <is>
          <t>Lê Văn Dựng</t>
        </is>
      </c>
      <c r="F225" s="37" t="inlineStr">
        <is>
          <t>Không cần</t>
        </is>
      </c>
      <c r="G225" s="27" t="n">
        <v>45990</v>
      </c>
      <c r="H225" s="37" t="inlineStr">
        <is>
          <t>Hoàn thành</t>
        </is>
      </c>
      <c r="I225" s="37" t="inlineStr">
        <is>
          <t>Hoàn thành</t>
        </is>
      </c>
      <c r="J225" s="29" t="n">
        <v>0</v>
      </c>
      <c r="K225" s="37" t="inlineStr">
        <is>
          <t>Số cọc:  | Loại cọc:</t>
        </is>
      </c>
    </row>
    <row r="226" ht="15.75" customHeight="1" s="56">
      <c r="A226" s="37" t="inlineStr">
        <is>
          <t>BK-HS-0223</t>
        </is>
      </c>
      <c r="B226" s="37" t="inlineStr">
        <is>
          <t>Hoàng Quân</t>
        </is>
      </c>
      <c r="C226" s="37" t="inlineStr">
        <is>
          <t>Long Phước</t>
        </is>
      </c>
      <c r="D226" s="37" t="inlineStr">
        <is>
          <t>Cắm mốc</t>
        </is>
      </c>
      <c r="E226" s="37" t="inlineStr">
        <is>
          <t>Lê Văn Dựng</t>
        </is>
      </c>
      <c r="F226" s="37" t="inlineStr">
        <is>
          <t>Không cần</t>
        </is>
      </c>
      <c r="G226" s="27" t="n">
        <v>45990</v>
      </c>
      <c r="H226" s="37" t="inlineStr">
        <is>
          <t>Hoàn thành</t>
        </is>
      </c>
      <c r="I226" s="37" t="inlineStr">
        <is>
          <t>Hoàn thành</t>
        </is>
      </c>
      <c r="J226" s="29" t="n">
        <v>50000</v>
      </c>
      <c r="K226" s="37" t="inlineStr">
        <is>
          <t>Số cọc: 4.0 | Loại cọc: Trụ xi măng</t>
        </is>
      </c>
    </row>
    <row r="227" ht="15.75" customHeight="1" s="56">
      <c r="A227" s="37" t="inlineStr">
        <is>
          <t>BK-HS-0224</t>
        </is>
      </c>
      <c r="B227" s="37" t="inlineStr">
        <is>
          <t>Hoàng Quân</t>
        </is>
      </c>
      <c r="C227" s="37" t="inlineStr">
        <is>
          <t>Long Phước</t>
        </is>
      </c>
      <c r="D227" s="37" t="inlineStr">
        <is>
          <t>Cấp đổi</t>
        </is>
      </c>
      <c r="E227" s="37" t="inlineStr">
        <is>
          <t>Lê Văn Dựng</t>
        </is>
      </c>
      <c r="F227" s="37" t="inlineStr">
        <is>
          <t>Không cần</t>
        </is>
      </c>
      <c r="G227" s="27" t="n">
        <v>45990</v>
      </c>
      <c r="H227" s="37" t="inlineStr">
        <is>
          <t>Đã nộp</t>
        </is>
      </c>
      <c r="I227" s="37" t="inlineStr">
        <is>
          <t>Nộp thành công - Chờ kết quả</t>
        </is>
      </c>
      <c r="J227" s="29" t="n">
        <v>0</v>
      </c>
      <c r="K227" s="37" t="inlineStr">
        <is>
          <t>Số cọc:  | Loại cọc:</t>
        </is>
      </c>
    </row>
    <row r="228" ht="15.75" customHeight="1" s="56">
      <c r="A228" s="37" t="inlineStr">
        <is>
          <t>BK-HS-0225</t>
        </is>
      </c>
      <c r="B228" s="37" t="inlineStr">
        <is>
          <t>Hoàng Quân</t>
        </is>
      </c>
      <c r="C228" s="37" t="inlineStr">
        <is>
          <t>Long Phước</t>
        </is>
      </c>
      <c r="D228" s="37" t="inlineStr">
        <is>
          <t>Đo GPS</t>
        </is>
      </c>
      <c r="E228" s="37" t="inlineStr">
        <is>
          <t>Lê Văn Dựng</t>
        </is>
      </c>
      <c r="F228" s="37" t="inlineStr">
        <is>
          <t>Không cần</t>
        </is>
      </c>
      <c r="G228" s="27" t="n">
        <v>45990</v>
      </c>
      <c r="H228" s="37" t="inlineStr">
        <is>
          <t>Hoàn thành</t>
        </is>
      </c>
      <c r="I228" s="37" t="inlineStr">
        <is>
          <t>Hoàn thành</t>
        </is>
      </c>
      <c r="J228" s="29" t="n">
        <v>0</v>
      </c>
      <c r="K228" s="37" t="inlineStr">
        <is>
          <t>Số cọc:  | Loại cọc:</t>
        </is>
      </c>
    </row>
    <row r="229" ht="15.75" customHeight="1" s="56">
      <c r="A229" s="37" t="inlineStr">
        <is>
          <t>BK-HS-0226</t>
        </is>
      </c>
      <c r="B229" s="37" t="inlineStr">
        <is>
          <t>Hoàng Quân</t>
        </is>
      </c>
      <c r="C229" s="37" t="inlineStr">
        <is>
          <t>Long Phước</t>
        </is>
      </c>
      <c r="D229" s="37" t="inlineStr">
        <is>
          <t>Cắm mốc</t>
        </is>
      </c>
      <c r="E229" s="37" t="inlineStr">
        <is>
          <t>Lê Văn Dựng</t>
        </is>
      </c>
      <c r="F229" s="37" t="inlineStr">
        <is>
          <t>Không cần</t>
        </is>
      </c>
      <c r="G229" s="27" t="n">
        <v>45990</v>
      </c>
      <c r="H229" s="37" t="inlineStr">
        <is>
          <t>Hoàn thành</t>
        </is>
      </c>
      <c r="I229" s="37" t="inlineStr">
        <is>
          <t>Hoàn thành</t>
        </is>
      </c>
      <c r="J229" s="29" t="n">
        <v>50000</v>
      </c>
      <c r="K229" s="37" t="inlineStr">
        <is>
          <t>Số cọc: 15.0 | Loại cọc: Trụ xi măng</t>
        </is>
      </c>
    </row>
    <row r="230" ht="15.75" customHeight="1" s="56">
      <c r="A230" s="37" t="inlineStr">
        <is>
          <t>BK-HS-0227</t>
        </is>
      </c>
      <c r="B230" s="37" t="inlineStr">
        <is>
          <t>Hoàng Quân</t>
        </is>
      </c>
      <c r="C230" s="37" t="inlineStr">
        <is>
          <t>Long Phước</t>
        </is>
      </c>
      <c r="D230" s="37" t="inlineStr">
        <is>
          <t>Cấp đổi</t>
        </is>
      </c>
      <c r="E230" s="37" t="inlineStr">
        <is>
          <t>Lê Văn Dựng</t>
        </is>
      </c>
      <c r="F230" s="37" t="inlineStr">
        <is>
          <t>Không cần</t>
        </is>
      </c>
      <c r="G230" s="27" t="n">
        <v>45990</v>
      </c>
      <c r="H230" s="37" t="inlineStr">
        <is>
          <t>Hoàn thành</t>
        </is>
      </c>
      <c r="I230" s="37" t="inlineStr">
        <is>
          <t>Hoàn thành</t>
        </is>
      </c>
      <c r="J230" s="29" t="n">
        <v>0</v>
      </c>
      <c r="K230" s="37" t="inlineStr">
        <is>
          <t>Số cọc:  | Loại cọc:</t>
        </is>
      </c>
    </row>
    <row r="231" ht="15.75" customHeight="1" s="56">
      <c r="A231" s="37" t="inlineStr">
        <is>
          <t>BK-HS-0228</t>
        </is>
      </c>
      <c r="B231" s="37" t="inlineStr">
        <is>
          <t>Đạt Việt Phát Land</t>
        </is>
      </c>
      <c r="C231" s="37" t="inlineStr">
        <is>
          <t>Tam Bình</t>
        </is>
      </c>
      <c r="D231" s="37" t="inlineStr">
        <is>
          <t>Hoàn công</t>
        </is>
      </c>
      <c r="E231" s="37" t="inlineStr">
        <is>
          <t>Trương Tấn Quốc</t>
        </is>
      </c>
      <c r="F231" s="37" t="inlineStr">
        <is>
          <t>Võ Tứ Hợp</t>
        </is>
      </c>
      <c r="G231" s="27" t="n">
        <v>45990</v>
      </c>
      <c r="H231" s="37" t="inlineStr">
        <is>
          <t>ĐÃ HỦY | Đất thuộc toàn bộ quy hoạch đất giao thông</t>
        </is>
      </c>
      <c r="I231" s="37" t="inlineStr">
        <is>
          <t>Hủy</t>
        </is>
      </c>
      <c r="J231" s="29" t="n">
        <v>0</v>
      </c>
      <c r="K231" s="37" t="inlineStr">
        <is>
          <t>Số cọc:  | Loại cọc:</t>
        </is>
      </c>
    </row>
    <row r="232" ht="15.75" customHeight="1" s="56">
      <c r="A232" s="37" t="inlineStr">
        <is>
          <t>BK-HS-0229</t>
        </is>
      </c>
      <c r="B232" s="37" t="inlineStr">
        <is>
          <t>Công Ty</t>
        </is>
      </c>
      <c r="C232" s="37" t="inlineStr">
        <is>
          <t>Phước Long</t>
        </is>
      </c>
      <c r="D232" s="37" t="inlineStr">
        <is>
          <t>Hoàn công</t>
        </is>
      </c>
      <c r="E232" s="37" t="inlineStr">
        <is>
          <t>Tạ Khắc Tập</t>
        </is>
      </c>
      <c r="F232" s="37" t="inlineStr">
        <is>
          <t>Võ Tứ Hợp</t>
        </is>
      </c>
      <c r="G232" s="27" t="n">
        <v>45989</v>
      </c>
      <c r="H232" s="37" t="inlineStr">
        <is>
          <t>ĐÃ HỦY | huy( ko lam duoc hs)</t>
        </is>
      </c>
      <c r="I232" s="37" t="inlineStr">
        <is>
          <t>Hủy</t>
        </is>
      </c>
      <c r="J232" s="29" t="n">
        <v>0</v>
      </c>
      <c r="K232" s="37" t="inlineStr">
        <is>
          <t>Số cọc:  | Loại cọc:</t>
        </is>
      </c>
    </row>
    <row r="233" ht="15.75" customHeight="1" s="56">
      <c r="A233" s="37" t="inlineStr">
        <is>
          <t>BK-HS-0230</t>
        </is>
      </c>
      <c r="B233" s="37" t="inlineStr">
        <is>
          <t>Nguyễn Tâm DV</t>
        </is>
      </c>
      <c r="C233" s="37" t="inlineStr">
        <is>
          <t>Linh Xuân</t>
        </is>
      </c>
      <c r="D233" s="37" t="inlineStr">
        <is>
          <t>Cắm mốc</t>
        </is>
      </c>
      <c r="E233" s="37" t="inlineStr">
        <is>
          <t>Lê Văn Dựng</t>
        </is>
      </c>
      <c r="F233" s="37" t="inlineStr">
        <is>
          <t>Võ Tứ Hợp</t>
        </is>
      </c>
      <c r="G233" s="27" t="n">
        <v>45989</v>
      </c>
      <c r="H233" s="37" t="inlineStr">
        <is>
          <t>Hoàn thành</t>
        </is>
      </c>
      <c r="I233" s="37" t="inlineStr">
        <is>
          <t>Hoàn thành</t>
        </is>
      </c>
      <c r="J233" s="29" t="n">
        <v>50000</v>
      </c>
      <c r="K233" s="37" t="inlineStr">
        <is>
          <t>Số cọc: 4.0 | Loại cọc: Trụ xi măng</t>
        </is>
      </c>
    </row>
    <row r="234" ht="15.75" customHeight="1" s="56">
      <c r="A234" s="37" t="inlineStr">
        <is>
          <t>BK-HS-0231</t>
        </is>
      </c>
      <c r="B234" s="37" t="inlineStr">
        <is>
          <t>Đạt Việt Phát Land</t>
        </is>
      </c>
      <c r="C234" s="37" t="inlineStr">
        <is>
          <t>Hiệp Bình</t>
        </is>
      </c>
      <c r="D234" s="37" t="inlineStr">
        <is>
          <t>Kiểm tra hiện trạng</t>
        </is>
      </c>
      <c r="E234" s="37" t="inlineStr">
        <is>
          <t>Tạ Khắc Tập</t>
        </is>
      </c>
      <c r="F234" s="37" t="inlineStr">
        <is>
          <t>Võ Tứ Hợp</t>
        </is>
      </c>
      <c r="G234" s="27" t="n">
        <v>45989</v>
      </c>
      <c r="H234" s="37" t="inlineStr">
        <is>
          <t>Hoàn thành | đã bàn giao biên bản</t>
        </is>
      </c>
      <c r="I234" s="37" t="inlineStr">
        <is>
          <t>Hoàn thành</t>
        </is>
      </c>
      <c r="J234" s="29" t="n">
        <v>0</v>
      </c>
      <c r="K234" s="37" t="inlineStr">
        <is>
          <t>Số cọc: 4.0 | Loại cọc:</t>
        </is>
      </c>
    </row>
    <row r="235" ht="15.75" customHeight="1" s="56">
      <c r="A235" s="37" t="inlineStr">
        <is>
          <t>BK-HS-0232</t>
        </is>
      </c>
      <c r="B235" s="37" t="inlineStr">
        <is>
          <t>Cô Hoa</t>
        </is>
      </c>
      <c r="C235" s="37" t="inlineStr">
        <is>
          <t>Linh Xuân</t>
        </is>
      </c>
      <c r="D235" s="37" t="inlineStr">
        <is>
          <t>Điều chỉnh bản vẽ</t>
        </is>
      </c>
      <c r="E235" s="37" t="inlineStr">
        <is>
          <t>Trương Tấn Quốc</t>
        </is>
      </c>
      <c r="F235" s="37" t="inlineStr">
        <is>
          <t>Không cần</t>
        </is>
      </c>
      <c r="G235" s="27" t="n">
        <v>45989</v>
      </c>
      <c r="H235" s="37" t="inlineStr">
        <is>
          <t>Hoàn thành</t>
        </is>
      </c>
      <c r="I235" s="37" t="inlineStr">
        <is>
          <t>Hoàn thành</t>
        </is>
      </c>
      <c r="J235" s="29" t="n">
        <v>0</v>
      </c>
      <c r="K235" s="37" t="inlineStr">
        <is>
          <t>Số cọc:  | Loại cọc:</t>
        </is>
      </c>
    </row>
    <row r="236" ht="15.75" customHeight="1" s="56">
      <c r="A236" s="37" t="inlineStr">
        <is>
          <t>BK-HS-0233</t>
        </is>
      </c>
      <c r="B236" s="37" t="inlineStr">
        <is>
          <t>Hoàng Quân</t>
        </is>
      </c>
      <c r="C236" s="37" t="inlineStr">
        <is>
          <t>Long Phước</t>
        </is>
      </c>
      <c r="D236" s="37" t="inlineStr">
        <is>
          <t>Đo GPS</t>
        </is>
      </c>
      <c r="E236" s="37" t="inlineStr">
        <is>
          <t>Lê Văn Dựng</t>
        </is>
      </c>
      <c r="F236" s="37" t="inlineStr">
        <is>
          <t>Không cần</t>
        </is>
      </c>
      <c r="G236" s="27" t="n">
        <v>45989</v>
      </c>
      <c r="H236" s="37" t="inlineStr">
        <is>
          <t>Hoàn thành</t>
        </is>
      </c>
      <c r="I236" s="37" t="inlineStr">
        <is>
          <t>Hoàn thành</t>
        </is>
      </c>
      <c r="J236" s="29" t="n">
        <v>0</v>
      </c>
      <c r="K236" s="37" t="inlineStr">
        <is>
          <t>Số cọc:  | Loại cọc:</t>
        </is>
      </c>
    </row>
    <row r="237" ht="15.75" customHeight="1" s="56">
      <c r="A237" s="37" t="inlineStr">
        <is>
          <t>BK-HS-0234</t>
        </is>
      </c>
      <c r="B237" s="37" t="inlineStr">
        <is>
          <t>Hoàng Quân</t>
        </is>
      </c>
      <c r="C237" s="37" t="inlineStr">
        <is>
          <t>Long Phước</t>
        </is>
      </c>
      <c r="D237" s="37" t="inlineStr">
        <is>
          <t>Cắm mốc</t>
        </is>
      </c>
      <c r="E237" s="37" t="inlineStr">
        <is>
          <t>Lê Văn Dựng</t>
        </is>
      </c>
      <c r="F237" s="37" t="inlineStr">
        <is>
          <t>Không cần</t>
        </is>
      </c>
      <c r="G237" s="27" t="n">
        <v>45989</v>
      </c>
      <c r="H237" s="37" t="inlineStr">
        <is>
          <t>Hoàn thành</t>
        </is>
      </c>
      <c r="I237" s="37" t="inlineStr">
        <is>
          <t>Hoàn thành</t>
        </is>
      </c>
      <c r="J237" s="29" t="n">
        <v>50000</v>
      </c>
      <c r="K237" s="37" t="inlineStr">
        <is>
          <t>Số cọc: 8.0 | Loại cọc: Trụ xi măng</t>
        </is>
      </c>
    </row>
    <row r="238" ht="15.75" customHeight="1" s="56">
      <c r="A238" s="37" t="inlineStr">
        <is>
          <t>BK-HS-0235</t>
        </is>
      </c>
      <c r="B238" s="37" t="inlineStr">
        <is>
          <t>Hoàng Quân</t>
        </is>
      </c>
      <c r="C238" s="37" t="inlineStr">
        <is>
          <t>Long Phước</t>
        </is>
      </c>
      <c r="D238" s="37" t="inlineStr">
        <is>
          <t>Cấp đổi</t>
        </is>
      </c>
      <c r="E238" s="37" t="inlineStr">
        <is>
          <t>Lê Văn Dựng</t>
        </is>
      </c>
      <c r="F238" s="37" t="inlineStr">
        <is>
          <t>Không cần</t>
        </is>
      </c>
      <c r="G238" s="27" t="n">
        <v>45989</v>
      </c>
      <c r="H238" s="37" t="inlineStr">
        <is>
          <t>Hoàn thành</t>
        </is>
      </c>
      <c r="I238" s="37" t="inlineStr">
        <is>
          <t>Hoàn thành</t>
        </is>
      </c>
      <c r="J238" s="29" t="n">
        <v>0</v>
      </c>
      <c r="K238" s="37" t="inlineStr">
        <is>
          <t>Số cọc:  | Loại cọc:</t>
        </is>
      </c>
    </row>
    <row r="239" ht="15.75" customHeight="1" s="56">
      <c r="A239" s="37" t="inlineStr">
        <is>
          <t>BK-HS-0236</t>
        </is>
      </c>
      <c r="B239" s="37" t="inlineStr">
        <is>
          <t>Hoàng Quân</t>
        </is>
      </c>
      <c r="C239" s="37" t="inlineStr">
        <is>
          <t>Long Phước</t>
        </is>
      </c>
      <c r="D239" s="37" t="inlineStr">
        <is>
          <t>Cắm mốc</t>
        </is>
      </c>
      <c r="E239" s="37" t="inlineStr">
        <is>
          <t>Lê Văn Dựng</t>
        </is>
      </c>
      <c r="F239" s="37" t="inlineStr">
        <is>
          <t>Không cần</t>
        </is>
      </c>
      <c r="G239" s="27" t="n">
        <v>45989</v>
      </c>
      <c r="H239" s="37" t="inlineStr">
        <is>
          <t>Hoàn thành</t>
        </is>
      </c>
      <c r="I239" s="37" t="inlineStr">
        <is>
          <t>Hoàn thành</t>
        </is>
      </c>
      <c r="J239" s="29" t="n">
        <v>50000</v>
      </c>
      <c r="K239" s="37" t="inlineStr">
        <is>
          <t>Số cọc: 10.0 | Loại cọc: Trụ xi măng</t>
        </is>
      </c>
    </row>
    <row r="240" ht="15.75" customHeight="1" s="56">
      <c r="A240" s="37" t="inlineStr">
        <is>
          <t>BK-HS-0237</t>
        </is>
      </c>
      <c r="B240" s="37" t="inlineStr">
        <is>
          <t>Công Ty</t>
        </is>
      </c>
      <c r="C240" s="37" t="inlineStr">
        <is>
          <t>Hiệp Bình</t>
        </is>
      </c>
      <c r="D240" s="37" t="inlineStr">
        <is>
          <t>Điều chỉnh bản vẽ</t>
        </is>
      </c>
      <c r="E240" s="37" t="inlineStr">
        <is>
          <t>Trương Tấn Quốc</t>
        </is>
      </c>
      <c r="F240" s="37" t="inlineStr">
        <is>
          <t>Không cần</t>
        </is>
      </c>
      <c r="G240" s="27" t="n">
        <v>45989</v>
      </c>
      <c r="H240" s="37" t="inlineStr">
        <is>
          <t>Hoàn thành | Đợi dịch vụ trao đổi phường</t>
        </is>
      </c>
      <c r="I240" s="37" t="inlineStr">
        <is>
          <t>Hoàn thành</t>
        </is>
      </c>
      <c r="J240" s="29" t="n">
        <v>0</v>
      </c>
      <c r="K240" s="37" t="inlineStr">
        <is>
          <t>Số cọc:  | Loại cọc:</t>
        </is>
      </c>
    </row>
    <row r="241" ht="15.75" customHeight="1" s="56">
      <c r="A241" s="37" t="inlineStr">
        <is>
          <t>BK-HS-0238</t>
        </is>
      </c>
      <c r="B241" s="37" t="inlineStr">
        <is>
          <t>Công Ty</t>
        </is>
      </c>
      <c r="C241" s="37" t="inlineStr">
        <is>
          <t>Linh Xuân</t>
        </is>
      </c>
      <c r="D241" s="37" t="inlineStr">
        <is>
          <t>Cấp đổi</t>
        </is>
      </c>
      <c r="E241" s="37" t="inlineStr">
        <is>
          <t>Lê Văn Xây</t>
        </is>
      </c>
      <c r="F241" s="37" t="inlineStr">
        <is>
          <t>Võ Tứ Hợp</t>
        </is>
      </c>
      <c r="G241" s="27" t="n">
        <v>45988</v>
      </c>
      <c r="H241" s="37" t="inlineStr">
        <is>
          <t>Hoàn thành</t>
        </is>
      </c>
      <c r="I241" s="37" t="inlineStr">
        <is>
          <t>Hoàn thành</t>
        </is>
      </c>
      <c r="J241" s="29" t="n">
        <v>0</v>
      </c>
      <c r="K241" s="37" t="inlineStr">
        <is>
          <t>Số cọc:  | Loại cọc:</t>
        </is>
      </c>
    </row>
    <row r="242" ht="15.75" customHeight="1" s="56">
      <c r="A242" s="37" t="inlineStr">
        <is>
          <t>BK-HS-0239</t>
        </is>
      </c>
      <c r="B242" s="37" t="inlineStr">
        <is>
          <t>Công Ty</t>
        </is>
      </c>
      <c r="C242" s="37" t="inlineStr">
        <is>
          <t>Linh Xuân</t>
        </is>
      </c>
      <c r="D242" s="37" t="inlineStr">
        <is>
          <t>Cấp đổi</t>
        </is>
      </c>
      <c r="E242" s="37" t="inlineStr">
        <is>
          <t>Lê Văn Xây</t>
        </is>
      </c>
      <c r="F242" s="37" t="inlineStr">
        <is>
          <t>Võ Tứ Hợp</t>
        </is>
      </c>
      <c r="G242" s="27" t="n">
        <v>45988</v>
      </c>
      <c r="H242" s="37" t="inlineStr">
        <is>
          <t>Hoàn thành</t>
        </is>
      </c>
      <c r="I242" s="37" t="inlineStr">
        <is>
          <t>Hoàn thành</t>
        </is>
      </c>
      <c r="J242" s="29" t="n">
        <v>0</v>
      </c>
      <c r="K242" s="37" t="inlineStr">
        <is>
          <t>Số cọc:  | Loại cọc:</t>
        </is>
      </c>
    </row>
    <row r="243" ht="15.75" customHeight="1" s="56">
      <c r="A243" s="37" t="inlineStr">
        <is>
          <t>BK-HS-0240</t>
        </is>
      </c>
      <c r="B243" s="37" t="inlineStr">
        <is>
          <t>Nguyễn Hương DV</t>
        </is>
      </c>
      <c r="C243" s="37" t="inlineStr">
        <is>
          <t>Phước Long</t>
        </is>
      </c>
      <c r="D243" s="37" t="inlineStr">
        <is>
          <t>Cắm mốc</t>
        </is>
      </c>
      <c r="E243" s="37" t="inlineStr">
        <is>
          <t>Tạ Khắc Tập</t>
        </is>
      </c>
      <c r="F243" s="37" t="inlineStr">
        <is>
          <t>Võ Tứ Hợp</t>
        </is>
      </c>
      <c r="G243" s="27" t="n">
        <v>45988</v>
      </c>
      <c r="H243" s="37" t="inlineStr">
        <is>
          <t>Hoàn thành</t>
        </is>
      </c>
      <c r="I243" s="37" t="inlineStr">
        <is>
          <t>Hoàn thành</t>
        </is>
      </c>
      <c r="J243" s="29" t="n">
        <v>50000</v>
      </c>
      <c r="K243" s="37" t="inlineStr">
        <is>
          <t>Số cọc: 7.0 | Loại cọc: Trụ xi măng</t>
        </is>
      </c>
    </row>
    <row r="244" ht="15.75" customHeight="1" s="56">
      <c r="A244" s="37" t="inlineStr">
        <is>
          <t>BK-HS-0241</t>
        </is>
      </c>
      <c r="B244" s="37" t="inlineStr">
        <is>
          <t>Công Ty</t>
        </is>
      </c>
      <c r="C244" s="37" t="inlineStr">
        <is>
          <t>Tam Bình</t>
        </is>
      </c>
      <c r="D244" s="37" t="inlineStr">
        <is>
          <t>Điều chỉnh bản vẽ</t>
        </is>
      </c>
      <c r="E244" s="37" t="inlineStr">
        <is>
          <t>Trương Tấn Quốc</t>
        </is>
      </c>
      <c r="F244" s="37" t="inlineStr">
        <is>
          <t>Không cần</t>
        </is>
      </c>
      <c r="G244" s="27" t="n">
        <v>45988</v>
      </c>
      <c r="H244" s="37" t="inlineStr">
        <is>
          <t>Hoàn thành</t>
        </is>
      </c>
      <c r="I244" s="37" t="inlineStr">
        <is>
          <t>Hoàn thành</t>
        </is>
      </c>
      <c r="J244" s="29" t="n">
        <v>0</v>
      </c>
      <c r="K244" s="37" t="inlineStr">
        <is>
          <t>Số cọc:  | Loại cọc:</t>
        </is>
      </c>
    </row>
    <row r="245" ht="15.75" customHeight="1" s="56">
      <c r="A245" s="37" t="inlineStr">
        <is>
          <t>BK-HS-0242</t>
        </is>
      </c>
      <c r="B245" s="37" t="inlineStr">
        <is>
          <t>Anh Long PCT</t>
        </is>
      </c>
      <c r="C245" s="37" t="inlineStr">
        <is>
          <t>Hiệp Bình</t>
        </is>
      </c>
      <c r="D245" s="37" t="inlineStr">
        <is>
          <t>Xác định diện tích</t>
        </is>
      </c>
      <c r="E245" s="37" t="inlineStr">
        <is>
          <t>Lê Văn Dựng</t>
        </is>
      </c>
      <c r="F245" s="37" t="inlineStr">
        <is>
          <t>Không cần</t>
        </is>
      </c>
      <c r="G245" s="27" t="n">
        <v>45988</v>
      </c>
      <c r="H245" s="37" t="inlineStr">
        <is>
          <t>Đã nộp</t>
        </is>
      </c>
      <c r="I245" s="37" t="inlineStr">
        <is>
          <t>Nộp thành công - Chờ kết quả</t>
        </is>
      </c>
      <c r="J245" s="29" t="n">
        <v>0</v>
      </c>
      <c r="K245" s="37" t="inlineStr">
        <is>
          <t>Số cọc:  | Loại cọc:</t>
        </is>
      </c>
    </row>
    <row r="246" ht="15.75" customHeight="1" s="56">
      <c r="A246" s="37" t="inlineStr">
        <is>
          <t>BK-HS-0243</t>
        </is>
      </c>
      <c r="B246" s="37" t="inlineStr">
        <is>
          <t>Anh Long PCT</t>
        </is>
      </c>
      <c r="C246" s="37" t="inlineStr">
        <is>
          <t>Hiệp Bình</t>
        </is>
      </c>
      <c r="D246" s="37" t="inlineStr">
        <is>
          <t>Xác định diện tích</t>
        </is>
      </c>
      <c r="E246" s="37" t="inlineStr">
        <is>
          <t>Lê Văn Dựng</t>
        </is>
      </c>
      <c r="F246" s="37" t="inlineStr">
        <is>
          <t>Không cần</t>
        </is>
      </c>
      <c r="G246" s="27" t="n">
        <v>45988</v>
      </c>
      <c r="H246" s="37" t="inlineStr">
        <is>
          <t>Đã nộp</t>
        </is>
      </c>
      <c r="I246" s="37" t="inlineStr">
        <is>
          <t>Nộp thành công - Chờ kết quả</t>
        </is>
      </c>
      <c r="J246" s="29" t="n">
        <v>0</v>
      </c>
      <c r="K246" s="37" t="inlineStr">
        <is>
          <t>Số cọc:  | Loại cọc:</t>
        </is>
      </c>
    </row>
    <row r="247" ht="15.75" customHeight="1" s="56">
      <c r="A247" s="37" t="inlineStr">
        <is>
          <t>BK-HS-0244</t>
        </is>
      </c>
      <c r="B247" s="37" t="inlineStr">
        <is>
          <t>Tuấn Lộc</t>
        </is>
      </c>
      <c r="C247" s="37" t="inlineStr">
        <is>
          <t>Bình Trưng</t>
        </is>
      </c>
      <c r="D247" s="37" t="inlineStr">
        <is>
          <t>Cắm mốc</t>
        </is>
      </c>
      <c r="E247" s="37" t="inlineStr">
        <is>
          <t>Lê Văn Xây</t>
        </is>
      </c>
      <c r="F247" s="37" t="inlineStr">
        <is>
          <t>Võ Tứ Hợp</t>
        </is>
      </c>
      <c r="G247" s="27" t="n">
        <v>45988</v>
      </c>
      <c r="H247" s="37" t="inlineStr">
        <is>
          <t>Hoàn thành</t>
        </is>
      </c>
      <c r="I247" s="37" t="inlineStr">
        <is>
          <t>Hoàn thành</t>
        </is>
      </c>
      <c r="J247" s="29" t="n">
        <v>50000</v>
      </c>
      <c r="K247" s="37" t="inlineStr">
        <is>
          <t>Số cọc: 4.0 | Loại cọc: Trụ xi măng</t>
        </is>
      </c>
    </row>
    <row r="248" ht="15.75" customHeight="1" s="56">
      <c r="A248" s="37" t="inlineStr">
        <is>
          <t>BK-HS-0245</t>
        </is>
      </c>
      <c r="B248" s="37" t="inlineStr">
        <is>
          <t>Công Ty</t>
        </is>
      </c>
      <c r="C248" s="37" t="inlineStr">
        <is>
          <t>Tăng Nhơn Phú</t>
        </is>
      </c>
      <c r="D248" s="37" t="inlineStr">
        <is>
          <t>Cấp đổi</t>
        </is>
      </c>
      <c r="E248" s="37" t="inlineStr">
        <is>
          <t>Tạ Khắc Tập</t>
        </is>
      </c>
      <c r="F248" s="37" t="inlineStr">
        <is>
          <t>Võ Tứ Hợp</t>
        </is>
      </c>
      <c r="G248" s="27" t="n">
        <v>45987</v>
      </c>
      <c r="H248" s="37" t="inlineStr">
        <is>
          <t>Hoàn thành | da nop vy</t>
        </is>
      </c>
      <c r="I248" s="37" t="inlineStr">
        <is>
          <t>Hoàn thành</t>
        </is>
      </c>
      <c r="J248" s="29" t="n">
        <v>0</v>
      </c>
      <c r="K248" s="37" t="inlineStr">
        <is>
          <t>Số cọc:  | Loại cọc:</t>
        </is>
      </c>
    </row>
    <row r="249" ht="15.75" customHeight="1" s="56">
      <c r="A249" s="37" t="inlineStr">
        <is>
          <t>BK-HS-0246</t>
        </is>
      </c>
      <c r="B249" s="37" t="inlineStr">
        <is>
          <t>Nguyễn Hương DV</t>
        </is>
      </c>
      <c r="C249" s="37" t="inlineStr">
        <is>
          <t>Phước Long</t>
        </is>
      </c>
      <c r="D249" s="37" t="inlineStr">
        <is>
          <t>Cấp đổi</t>
        </is>
      </c>
      <c r="E249" s="37" t="inlineStr">
        <is>
          <t>Trương Tấn Quốc</t>
        </is>
      </c>
      <c r="F249" s="37" t="inlineStr">
        <is>
          <t>Võ Tứ Hợp</t>
        </is>
      </c>
      <c r="G249" s="27" t="n">
        <v>45987</v>
      </c>
      <c r="H249" s="37" t="inlineStr">
        <is>
          <t>Hoàn thành</t>
        </is>
      </c>
      <c r="I249" s="37" t="inlineStr">
        <is>
          <t>Hoàn thành</t>
        </is>
      </c>
      <c r="J249" s="29" t="n">
        <v>0</v>
      </c>
      <c r="K249" s="37" t="inlineStr">
        <is>
          <t>Số cọc:  | Loại cọc:</t>
        </is>
      </c>
    </row>
    <row r="250" ht="15.75" customHeight="1" s="56">
      <c r="A250" s="37" t="inlineStr">
        <is>
          <t>BK-HS-0247</t>
        </is>
      </c>
      <c r="B250" s="37" t="inlineStr">
        <is>
          <t>Nguyễn Hương DV</t>
        </is>
      </c>
      <c r="C250" s="37" t="inlineStr">
        <is>
          <t>Phước Long</t>
        </is>
      </c>
      <c r="D250" s="37" t="inlineStr">
        <is>
          <t>Cấp đổi</t>
        </is>
      </c>
      <c r="E250" s="37" t="inlineStr">
        <is>
          <t>Trương Tấn Quốc</t>
        </is>
      </c>
      <c r="F250" s="37" t="inlineStr">
        <is>
          <t>Võ Tứ Hợp</t>
        </is>
      </c>
      <c r="G250" s="27" t="n">
        <v>45987</v>
      </c>
      <c r="H250" s="37" t="inlineStr">
        <is>
          <t>Hoàn thành</t>
        </is>
      </c>
      <c r="I250" s="37" t="inlineStr">
        <is>
          <t>Hoàn thành</t>
        </is>
      </c>
      <c r="J250" s="29" t="n">
        <v>0</v>
      </c>
      <c r="K250" s="37" t="inlineStr">
        <is>
          <t>Số cọc:  | Loại cọc:</t>
        </is>
      </c>
    </row>
    <row r="251" ht="15.75" customHeight="1" s="56">
      <c r="A251" s="37" t="inlineStr">
        <is>
          <t>BK-HS-0248</t>
        </is>
      </c>
      <c r="B251" s="37" t="inlineStr">
        <is>
          <t>Nguyễn Hương DV</t>
        </is>
      </c>
      <c r="C251" s="37" t="inlineStr">
        <is>
          <t>Hiệp Bình</t>
        </is>
      </c>
      <c r="D251" s="37" t="inlineStr">
        <is>
          <t>Cấp đổi</t>
        </is>
      </c>
      <c r="E251" s="37" t="inlineStr">
        <is>
          <t>Trương Tấn Quốc</t>
        </is>
      </c>
      <c r="F251" s="37" t="inlineStr">
        <is>
          <t>Không cần</t>
        </is>
      </c>
      <c r="G251" s="27" t="n">
        <v>45986</v>
      </c>
      <c r="H251" s="37" t="inlineStr">
        <is>
          <t>Hoàn thành | Đợi Dịch vụ tháo dỡ hiện trạng</t>
        </is>
      </c>
      <c r="I251" s="37" t="inlineStr">
        <is>
          <t>Hoàn thành</t>
        </is>
      </c>
      <c r="J251" s="29" t="n">
        <v>0</v>
      </c>
      <c r="K251" s="37" t="inlineStr">
        <is>
          <t>Số cọc:  | Loại cọc:</t>
        </is>
      </c>
    </row>
    <row r="252" ht="15.75" customHeight="1" s="56">
      <c r="A252" s="37" t="inlineStr">
        <is>
          <t>BK-HS-0249</t>
        </is>
      </c>
      <c r="B252" s="37" t="inlineStr">
        <is>
          <t>Anh Long PCT</t>
        </is>
      </c>
      <c r="C252" s="37" t="inlineStr">
        <is>
          <t>Thủ Đức</t>
        </is>
      </c>
      <c r="D252" s="37" t="inlineStr">
        <is>
          <t>Cấp sổ lần đầu</t>
        </is>
      </c>
      <c r="E252" s="37" t="inlineStr">
        <is>
          <t>Trương Tấn Quốc</t>
        </is>
      </c>
      <c r="F252" s="37" t="inlineStr">
        <is>
          <t>Võ Tứ Hợp</t>
        </is>
      </c>
      <c r="G252" s="27" t="n">
        <v>45986</v>
      </c>
      <c r="H252" s="37" t="inlineStr">
        <is>
          <t>Hoàn thành</t>
        </is>
      </c>
      <c r="I252" s="37" t="inlineStr">
        <is>
          <t>Hoàn thành</t>
        </is>
      </c>
      <c r="J252" s="29" t="n">
        <v>0</v>
      </c>
      <c r="K252" s="37" t="inlineStr">
        <is>
          <t>Số cọc:  | Loại cọc:</t>
        </is>
      </c>
    </row>
    <row r="253" ht="15.75" customHeight="1" s="56">
      <c r="A253" s="37" t="inlineStr">
        <is>
          <t>BK-HS-0250</t>
        </is>
      </c>
      <c r="B253" s="37" t="inlineStr">
        <is>
          <t>Anh Long PCT</t>
        </is>
      </c>
      <c r="C253" s="37" t="inlineStr">
        <is>
          <t>Thủ Đức</t>
        </is>
      </c>
      <c r="D253" s="37" t="inlineStr">
        <is>
          <t>Cấp sổ lần đầu</t>
        </is>
      </c>
      <c r="E253" s="37" t="inlineStr">
        <is>
          <t>Trương Tấn Quốc</t>
        </is>
      </c>
      <c r="F253" s="37" t="inlineStr">
        <is>
          <t>Võ Tứ Hợp</t>
        </is>
      </c>
      <c r="G253" s="27" t="n">
        <v>45986</v>
      </c>
      <c r="H253" s="37" t="inlineStr">
        <is>
          <t>Hoàn thành</t>
        </is>
      </c>
      <c r="I253" s="37" t="inlineStr">
        <is>
          <t>Hoàn thành</t>
        </is>
      </c>
      <c r="J253" s="29" t="n">
        <v>0</v>
      </c>
      <c r="K253" s="37" t="inlineStr">
        <is>
          <t>Số cọc:  | Loại cọc:</t>
        </is>
      </c>
    </row>
    <row r="254" ht="15.75" customHeight="1" s="56">
      <c r="A254" s="37" t="inlineStr">
        <is>
          <t>BK-HS-0251</t>
        </is>
      </c>
      <c r="B254" s="37" t="inlineStr">
        <is>
          <t>Tùng Huế DV</t>
        </is>
      </c>
      <c r="C254" s="37" t="inlineStr">
        <is>
          <t>Long Bình</t>
        </is>
      </c>
      <c r="D254" s="37" t="inlineStr">
        <is>
          <t>Cấp đổi</t>
        </is>
      </c>
      <c r="E254" s="37" t="inlineStr">
        <is>
          <t>Tạ Khắc Tập</t>
        </is>
      </c>
      <c r="F254" s="37" t="inlineStr">
        <is>
          <t>Võ Tứ Hợp</t>
        </is>
      </c>
      <c r="G254" s="27" t="n">
        <v>45983</v>
      </c>
      <c r="H254" s="37" t="inlineStr">
        <is>
          <t>ĐÃ HỦY | lech ranh , chua co phuong an</t>
        </is>
      </c>
      <c r="I254" s="37" t="inlineStr">
        <is>
          <t>Hủy</t>
        </is>
      </c>
      <c r="J254" s="29" t="n">
        <v>0</v>
      </c>
      <c r="K254" s="37" t="inlineStr">
        <is>
          <t>Số cọc:  | Loại cọc:</t>
        </is>
      </c>
    </row>
    <row r="255" ht="15.75" customHeight="1" s="56">
      <c r="A255" s="37" t="inlineStr">
        <is>
          <t>BK-HS-0252</t>
        </is>
      </c>
      <c r="B255" s="37" t="inlineStr">
        <is>
          <t>Anh Chiến KTS</t>
        </is>
      </c>
      <c r="C255" s="37" t="inlineStr">
        <is>
          <t>Tam Bình</t>
        </is>
      </c>
      <c r="D255" s="37" t="inlineStr">
        <is>
          <t>Cắm mốc</t>
        </is>
      </c>
      <c r="E255" s="37" t="inlineStr">
        <is>
          <t>Tạ Khắc Tập</t>
        </is>
      </c>
      <c r="F255" s="37" t="inlineStr">
        <is>
          <t>Võ Tứ Hợp</t>
        </is>
      </c>
      <c r="G255" s="27" t="n">
        <v>45983</v>
      </c>
      <c r="H255" s="37" t="inlineStr">
        <is>
          <t>Hoàn thành</t>
        </is>
      </c>
      <c r="I255" s="37" t="inlineStr">
        <is>
          <t>Hoàn thành</t>
        </is>
      </c>
      <c r="J255" s="29" t="n">
        <v>50000</v>
      </c>
      <c r="K255" s="37" t="inlineStr">
        <is>
          <t>Số cọc: 4.0 | Loại cọc: Trụ xi măng</t>
        </is>
      </c>
    </row>
    <row r="256" ht="15.75" customHeight="1" s="56">
      <c r="A256" s="37" t="inlineStr">
        <is>
          <t>BK-HS-0253</t>
        </is>
      </c>
      <c r="B256" s="37" t="inlineStr">
        <is>
          <t>Anh Long PCT</t>
        </is>
      </c>
      <c r="C256" s="37" t="inlineStr">
        <is>
          <t>Hiệp Bình</t>
        </is>
      </c>
      <c r="D256" s="37" t="inlineStr">
        <is>
          <t>Hoàn công</t>
        </is>
      </c>
      <c r="E256" s="37" t="inlineStr">
        <is>
          <t>Lê Văn Xây</t>
        </is>
      </c>
      <c r="F256" s="37" t="inlineStr">
        <is>
          <t>Võ Tứ Hợp</t>
        </is>
      </c>
      <c r="G256" s="27" t="n">
        <v>45981</v>
      </c>
      <c r="H256" s="37" t="inlineStr">
        <is>
          <t>Hoàn thành</t>
        </is>
      </c>
      <c r="I256" s="37" t="inlineStr">
        <is>
          <t>Hoàn thành</t>
        </is>
      </c>
      <c r="J256" s="29" t="n">
        <v>0</v>
      </c>
      <c r="K256" s="37" t="inlineStr">
        <is>
          <t>Số cọc:  | Loại cọc:</t>
        </is>
      </c>
    </row>
    <row r="257" ht="15.75" customHeight="1" s="56">
      <c r="A257" s="37" t="inlineStr">
        <is>
          <t>BK-HS-0254</t>
        </is>
      </c>
      <c r="B257" s="37" t="inlineStr">
        <is>
          <t>Chị Xuân DV</t>
        </is>
      </c>
      <c r="C257" s="37" t="inlineStr">
        <is>
          <t>Tăng Nhơn Phú</t>
        </is>
      </c>
      <c r="D257" s="37" t="inlineStr">
        <is>
          <t>Tách Thửa</t>
        </is>
      </c>
      <c r="E257" s="37" t="inlineStr">
        <is>
          <t>Trương Tấn Quốc</t>
        </is>
      </c>
      <c r="F257" s="37" t="inlineStr">
        <is>
          <t>Không cần</t>
        </is>
      </c>
      <c r="G257" s="27" t="n">
        <v>45981</v>
      </c>
      <c r="H257" s="37" t="inlineStr">
        <is>
          <t>Hoàn thành</t>
        </is>
      </c>
      <c r="I257" s="37" t="inlineStr">
        <is>
          <t>Hoàn thành</t>
        </is>
      </c>
      <c r="J257" s="29" t="n">
        <v>0</v>
      </c>
      <c r="K257" s="37" t="inlineStr">
        <is>
          <t>Số cọc:  | Loại cọc:</t>
        </is>
      </c>
    </row>
    <row r="258" ht="15.75" customHeight="1" s="56">
      <c r="A258" s="37" t="inlineStr">
        <is>
          <t>BK-HS-0255</t>
        </is>
      </c>
      <c r="B258" s="37" t="inlineStr">
        <is>
          <t>Chị Xuân DV</t>
        </is>
      </c>
      <c r="C258" s="37" t="inlineStr">
        <is>
          <t>Tăng Nhơn Phú</t>
        </is>
      </c>
      <c r="D258" s="37" t="inlineStr">
        <is>
          <t>Tách Thửa</t>
        </is>
      </c>
      <c r="E258" s="37" t="inlineStr">
        <is>
          <t>Trương Tấn Quốc</t>
        </is>
      </c>
      <c r="F258" s="37" t="inlineStr">
        <is>
          <t>Không cần</t>
        </is>
      </c>
      <c r="G258" s="27" t="n">
        <v>45981</v>
      </c>
      <c r="H258" s="37" t="inlineStr">
        <is>
          <t>Hoàn thành</t>
        </is>
      </c>
      <c r="I258" s="37" t="inlineStr">
        <is>
          <t>Hoàn thành</t>
        </is>
      </c>
      <c r="J258" s="29" t="n">
        <v>0</v>
      </c>
      <c r="K258" s="37" t="inlineStr">
        <is>
          <t>Số cọc:  | Loại cọc:</t>
        </is>
      </c>
    </row>
    <row r="259" ht="15.75" customHeight="1" s="56">
      <c r="A259" s="37" t="inlineStr">
        <is>
          <t>BK-HS-0256</t>
        </is>
      </c>
      <c r="B259" s="37" t="inlineStr">
        <is>
          <t>Chị Xuân DV</t>
        </is>
      </c>
      <c r="C259" s="37" t="inlineStr">
        <is>
          <t>Tăng Nhơn Phú</t>
        </is>
      </c>
      <c r="D259" s="37" t="inlineStr">
        <is>
          <t>Tách Thửa</t>
        </is>
      </c>
      <c r="E259" s="37" t="inlineStr">
        <is>
          <t>Trương Tấn Quốc</t>
        </is>
      </c>
      <c r="F259" s="37" t="inlineStr">
        <is>
          <t>Không cần</t>
        </is>
      </c>
      <c r="G259" s="27" t="n">
        <v>45981</v>
      </c>
      <c r="H259" s="37" t="inlineStr">
        <is>
          <t>Hoàn thành</t>
        </is>
      </c>
      <c r="I259" s="37" t="inlineStr">
        <is>
          <t>Hoàn thành</t>
        </is>
      </c>
      <c r="J259" s="29" t="n">
        <v>0</v>
      </c>
      <c r="K259" s="37" t="inlineStr">
        <is>
          <t>Số cọc:  | Loại cọc:</t>
        </is>
      </c>
    </row>
    <row r="260" ht="15.75" customHeight="1" s="56">
      <c r="A260" s="37" t="inlineStr">
        <is>
          <t>BK-HS-0257</t>
        </is>
      </c>
      <c r="B260" s="37" t="inlineStr">
        <is>
          <t>Tuấn Lộc</t>
        </is>
      </c>
      <c r="C260" s="37" t="inlineStr">
        <is>
          <t>Hiệp Bình</t>
        </is>
      </c>
      <c r="D260" s="37" t="inlineStr">
        <is>
          <t>Hoàn công</t>
        </is>
      </c>
      <c r="E260" s="37" t="inlineStr">
        <is>
          <t>Lê Văn Xây</t>
        </is>
      </c>
      <c r="F260" s="37" t="inlineStr">
        <is>
          <t>Võ Tứ Hợp</t>
        </is>
      </c>
      <c r="G260" s="27" t="n">
        <v>45980</v>
      </c>
      <c r="H260" s="37" t="inlineStr">
        <is>
          <t>Hoàn thành</t>
        </is>
      </c>
      <c r="I260" s="37" t="inlineStr">
        <is>
          <t>Hoàn thành</t>
        </is>
      </c>
      <c r="J260" s="29" t="n">
        <v>0</v>
      </c>
      <c r="K260" s="37" t="inlineStr">
        <is>
          <t>Số cọc:  | Loại cọc:</t>
        </is>
      </c>
    </row>
    <row r="261" ht="15.75" customHeight="1" s="56">
      <c r="A261" s="37" t="inlineStr">
        <is>
          <t>BK-HS-0258</t>
        </is>
      </c>
      <c r="B261" s="37" t="inlineStr">
        <is>
          <t>Công Ty</t>
        </is>
      </c>
      <c r="C261" s="37" t="inlineStr">
        <is>
          <t>Long Trường</t>
        </is>
      </c>
      <c r="D261" s="37" t="inlineStr">
        <is>
          <t>Cấp đổi</t>
        </is>
      </c>
      <c r="E261" s="37" t="inlineStr">
        <is>
          <t>Lê Văn Xây</t>
        </is>
      </c>
      <c r="F261" s="37" t="inlineStr">
        <is>
          <t>Võ Tứ Hợp</t>
        </is>
      </c>
      <c r="G261" s="27" t="n">
        <v>45980</v>
      </c>
      <c r="H261" s="37" t="inlineStr">
        <is>
          <t>Hoàn thành</t>
        </is>
      </c>
      <c r="I261" s="37" t="inlineStr">
        <is>
          <t>Hoàn thành</t>
        </is>
      </c>
      <c r="J261" s="29" t="n">
        <v>0</v>
      </c>
      <c r="K261" s="37" t="inlineStr">
        <is>
          <t>Số cọc:  | Loại cọc:</t>
        </is>
      </c>
    </row>
    <row r="262" ht="15.75" customHeight="1" s="56">
      <c r="A262" s="37" t="inlineStr">
        <is>
          <t>BK-HS-0259</t>
        </is>
      </c>
      <c r="B262" s="37" t="inlineStr">
        <is>
          <t>Anh Long PCT</t>
        </is>
      </c>
      <c r="C262" s="37" t="inlineStr">
        <is>
          <t>Long Phước</t>
        </is>
      </c>
      <c r="D262" s="37" t="inlineStr">
        <is>
          <t>Điều chỉnh bản vẽ</t>
        </is>
      </c>
      <c r="E262" s="37" t="inlineStr">
        <is>
          <t>Trương Tấn Quốc</t>
        </is>
      </c>
      <c r="F262" s="37" t="inlineStr">
        <is>
          <t>Không cần</t>
        </is>
      </c>
      <c r="G262" s="27" t="n">
        <v>45980</v>
      </c>
      <c r="H262" s="37" t="inlineStr">
        <is>
          <t>Hoàn thành</t>
        </is>
      </c>
      <c r="I262" s="37" t="inlineStr">
        <is>
          <t>Hoàn thành</t>
        </is>
      </c>
      <c r="J262" s="29" t="n">
        <v>0</v>
      </c>
      <c r="K262" s="37" t="inlineStr">
        <is>
          <t>Số cọc:  | Loại cọc:</t>
        </is>
      </c>
    </row>
    <row r="263" ht="15.75" customHeight="1" s="56">
      <c r="A263" s="37" t="inlineStr">
        <is>
          <t>BK-HS-0260</t>
        </is>
      </c>
      <c r="B263" s="37" t="inlineStr">
        <is>
          <t>Công Ty</t>
        </is>
      </c>
      <c r="C263" s="37" t="inlineStr">
        <is>
          <t>Long Trường</t>
        </is>
      </c>
      <c r="D263" s="37" t="inlineStr">
        <is>
          <t>Hoàn công</t>
        </is>
      </c>
      <c r="E263" s="37" t="inlineStr">
        <is>
          <t>Tạ Khắc Tập</t>
        </is>
      </c>
      <c r="F263" s="37" t="inlineStr">
        <is>
          <t>Võ Tứ Hợp</t>
        </is>
      </c>
      <c r="G263" s="27" t="n">
        <v>45979</v>
      </c>
      <c r="H263" s="37" t="inlineStr">
        <is>
          <t>ĐÃ HỦY | chủ nhà chưa chốt hợp đồng, nhà xây giảm so với GPXD</t>
        </is>
      </c>
      <c r="I263" s="37" t="inlineStr">
        <is>
          <t>Hủy</t>
        </is>
      </c>
      <c r="J263" s="29" t="n">
        <v>0</v>
      </c>
      <c r="K263" s="37" t="inlineStr">
        <is>
          <t>Số cọc:  | Loại cọc:</t>
        </is>
      </c>
    </row>
    <row r="264" ht="15.75" customHeight="1" s="56">
      <c r="A264" s="37" t="inlineStr">
        <is>
          <t>BK-HS-0261</t>
        </is>
      </c>
      <c r="B264" s="37" t="inlineStr">
        <is>
          <t>Công Ty</t>
        </is>
      </c>
      <c r="C264" s="37" t="inlineStr">
        <is>
          <t>Thủ Đức</t>
        </is>
      </c>
      <c r="D264" s="37" t="inlineStr">
        <is>
          <t>Cấp sổ lần đầu</t>
        </is>
      </c>
      <c r="E264" s="37" t="inlineStr">
        <is>
          <t>Tạ Khắc Tập</t>
        </is>
      </c>
      <c r="F264" s="37" t="inlineStr">
        <is>
          <t>Võ Tứ Hợp</t>
        </is>
      </c>
      <c r="G264" s="27" t="n">
        <v>45979</v>
      </c>
      <c r="H264" s="37" t="inlineStr">
        <is>
          <t>Hoàn thành</t>
        </is>
      </c>
      <c r="I264" s="37" t="inlineStr">
        <is>
          <t>Hoàn thành</t>
        </is>
      </c>
      <c r="J264" s="29" t="n">
        <v>0</v>
      </c>
      <c r="K264" s="37" t="inlineStr">
        <is>
          <t>Số cọc:  | Loại cọc:</t>
        </is>
      </c>
    </row>
    <row r="265" ht="15.75" customHeight="1" s="56">
      <c r="A265" s="37" t="inlineStr">
        <is>
          <t>BK-HS-0262</t>
        </is>
      </c>
      <c r="B265" s="37" t="inlineStr">
        <is>
          <t>Anh Hoàng Nhà Đầu Tư</t>
        </is>
      </c>
      <c r="C265" s="37" t="inlineStr">
        <is>
          <t>Long Trường</t>
        </is>
      </c>
      <c r="D265" s="37" t="inlineStr">
        <is>
          <t>Cắm mốc</t>
        </is>
      </c>
      <c r="E265" s="37" t="inlineStr">
        <is>
          <t>Tạ Khắc Tập</t>
        </is>
      </c>
      <c r="F265" s="37" t="inlineStr">
        <is>
          <t>Võ Tứ Hợp</t>
        </is>
      </c>
      <c r="G265" s="27" t="n">
        <v>45979</v>
      </c>
      <c r="H265" s="37" t="inlineStr">
        <is>
          <t>Hoàn thành</t>
        </is>
      </c>
      <c r="I265" s="37" t="inlineStr">
        <is>
          <t>Hoàn thành</t>
        </is>
      </c>
      <c r="J265" s="29" t="n">
        <v>50000</v>
      </c>
      <c r="K265" s="37" t="inlineStr">
        <is>
          <t>Số cọc: 3.0 | Loại cọc: Trụ xi măng</t>
        </is>
      </c>
    </row>
    <row r="266" ht="15.75" customHeight="1" s="56">
      <c r="A266" s="37" t="inlineStr">
        <is>
          <t>BK-HS-0263</t>
        </is>
      </c>
      <c r="B266" s="37" t="inlineStr">
        <is>
          <t>Anh Hoàng Nhà Đầu Tư</t>
        </is>
      </c>
      <c r="C266" s="37" t="inlineStr">
        <is>
          <t>Long Trường</t>
        </is>
      </c>
      <c r="D266" s="37" t="inlineStr">
        <is>
          <t>Cắm mốc</t>
        </is>
      </c>
      <c r="E266" s="37" t="inlineStr">
        <is>
          <t>Tạ Khắc Tập</t>
        </is>
      </c>
      <c r="F266" s="37" t="inlineStr">
        <is>
          <t>Võ Tứ Hợp</t>
        </is>
      </c>
      <c r="G266" s="27" t="n">
        <v>45979</v>
      </c>
      <c r="H266" s="37" t="inlineStr">
        <is>
          <t>Hoàn thành</t>
        </is>
      </c>
      <c r="I266" s="37" t="inlineStr">
        <is>
          <t>Hoàn thành</t>
        </is>
      </c>
      <c r="J266" s="29" t="n">
        <v>50000</v>
      </c>
      <c r="K266" s="37" t="inlineStr">
        <is>
          <t>Số cọc: 4.0 | Loại cọc: Trụ xi măng</t>
        </is>
      </c>
    </row>
    <row r="267" ht="15.75" customHeight="1" s="56">
      <c r="A267" s="37" t="inlineStr">
        <is>
          <t>BK-HS-0264</t>
        </is>
      </c>
      <c r="B267" s="37" t="inlineStr">
        <is>
          <t>Cô Hoa</t>
        </is>
      </c>
      <c r="C267" s="37" t="inlineStr">
        <is>
          <t>Long Bình</t>
        </is>
      </c>
      <c r="D267" s="37" t="inlineStr">
        <is>
          <t>Cấp đổi</t>
        </is>
      </c>
      <c r="E267" s="37" t="inlineStr">
        <is>
          <t>Lê Văn Xây</t>
        </is>
      </c>
      <c r="F267" s="37" t="inlineStr">
        <is>
          <t>Võ Tứ Hợp</t>
        </is>
      </c>
      <c r="G267" s="27" t="n">
        <v>45975</v>
      </c>
      <c r="H267" s="37" t="inlineStr">
        <is>
          <t>ĐÃ HỦY</t>
        </is>
      </c>
      <c r="I267" s="37" t="inlineStr">
        <is>
          <t>Hủy</t>
        </is>
      </c>
      <c r="J267" s="29" t="n">
        <v>0</v>
      </c>
      <c r="K267" s="37" t="inlineStr">
        <is>
          <t>Số cọc:  | Loại cọc:</t>
        </is>
      </c>
    </row>
    <row r="268" ht="15.75" customHeight="1" s="56">
      <c r="A268" s="37" t="inlineStr">
        <is>
          <t>BK-HS-0265</t>
        </is>
      </c>
      <c r="B268" s="37" t="inlineStr">
        <is>
          <t>Cô Hoa</t>
        </is>
      </c>
      <c r="C268" s="37" t="inlineStr">
        <is>
          <t>Long Bình</t>
        </is>
      </c>
      <c r="D268" s="37" t="inlineStr">
        <is>
          <t>Cấp đổi</t>
        </is>
      </c>
      <c r="E268" s="37" t="inlineStr">
        <is>
          <t>Lê Văn Xây</t>
        </is>
      </c>
      <c r="F268" s="37" t="inlineStr">
        <is>
          <t>Võ Tứ Hợp</t>
        </is>
      </c>
      <c r="G268" s="27" t="n">
        <v>45975</v>
      </c>
      <c r="H268" s="37" t="inlineStr">
        <is>
          <t>ĐÃ HỦY</t>
        </is>
      </c>
      <c r="I268" s="37" t="inlineStr">
        <is>
          <t>Hủy</t>
        </is>
      </c>
      <c r="J268" s="29" t="n">
        <v>0</v>
      </c>
      <c r="K268" s="37" t="inlineStr">
        <is>
          <t>Số cọc:  | Loại cọc:</t>
        </is>
      </c>
    </row>
    <row r="269" ht="15.75" customHeight="1" s="56">
      <c r="A269" s="37" t="inlineStr">
        <is>
          <t>BK-HS-0266</t>
        </is>
      </c>
      <c r="B269" s="37" t="inlineStr">
        <is>
          <t>Anh Hoàng Nhà Đầu Tư</t>
        </is>
      </c>
      <c r="C269" s="37" t="inlineStr">
        <is>
          <t>Long Trường</t>
        </is>
      </c>
      <c r="D269" s="37" t="inlineStr">
        <is>
          <t>Cấp đổi</t>
        </is>
      </c>
      <c r="E269" s="37" t="inlineStr">
        <is>
          <t>Trương Tấn Quốc</t>
        </is>
      </c>
      <c r="F269" s="37" t="inlineStr">
        <is>
          <t>Không cần</t>
        </is>
      </c>
      <c r="G269" s="27" t="n">
        <v>45975</v>
      </c>
      <c r="H269" s="37" t="inlineStr">
        <is>
          <t>Hoàn thành</t>
        </is>
      </c>
      <c r="I269" s="37" t="inlineStr">
        <is>
          <t>Hoàn thành</t>
        </is>
      </c>
      <c r="J269" s="29" t="n">
        <v>0</v>
      </c>
      <c r="K269" s="37" t="inlineStr">
        <is>
          <t>Số cọc:  | Loại cọc:</t>
        </is>
      </c>
    </row>
    <row r="270" ht="15.75" customHeight="1" s="56">
      <c r="A270" s="37" t="inlineStr">
        <is>
          <t>BK-HS-0267</t>
        </is>
      </c>
      <c r="B270" s="37" t="inlineStr">
        <is>
          <t>Công Ty</t>
        </is>
      </c>
      <c r="C270" s="37" t="inlineStr">
        <is>
          <t>Linh Xuân</t>
        </is>
      </c>
      <c r="D270" s="37" t="inlineStr">
        <is>
          <t>Cấp đổi</t>
        </is>
      </c>
      <c r="E270" s="37" t="inlineStr">
        <is>
          <t>Tạ Khắc Tập</t>
        </is>
      </c>
      <c r="F270" s="37" t="inlineStr">
        <is>
          <t>Võ Tứ Hợp</t>
        </is>
      </c>
      <c r="G270" s="27" t="n">
        <v>45974</v>
      </c>
      <c r="H270" s="37" t="inlineStr">
        <is>
          <t>Hoàn thành</t>
        </is>
      </c>
      <c r="I270" s="37" t="inlineStr">
        <is>
          <t>Hoàn thành</t>
        </is>
      </c>
      <c r="J270" s="29" t="n">
        <v>0</v>
      </c>
      <c r="K270" s="37" t="inlineStr">
        <is>
          <t>Số cọc:  | Loại cọc:</t>
        </is>
      </c>
    </row>
    <row r="271" ht="15.75" customHeight="1" s="56">
      <c r="A271" s="37" t="inlineStr">
        <is>
          <t>BK-HS-0268</t>
        </is>
      </c>
      <c r="B271" s="37" t="inlineStr">
        <is>
          <t>Tùng Mập</t>
        </is>
      </c>
      <c r="C271" s="37" t="inlineStr">
        <is>
          <t>Hiệp Bình</t>
        </is>
      </c>
      <c r="D271" s="37" t="inlineStr">
        <is>
          <t>Hoàn công</t>
        </is>
      </c>
      <c r="E271" s="37" t="inlineStr">
        <is>
          <t>Trương Tấn Quốc</t>
        </is>
      </c>
      <c r="F271" s="37" t="inlineStr">
        <is>
          <t>Tạ Khắc Tập</t>
        </is>
      </c>
      <c r="G271" s="27" t="n">
        <v>45974</v>
      </c>
      <c r="H271" s="37" t="inlineStr">
        <is>
          <t>Đã nộp | Sai hiện trạng, đợi phương án</t>
        </is>
      </c>
      <c r="I271" s="37" t="inlineStr">
        <is>
          <t>Nộp thành công - Chờ kết quả</t>
        </is>
      </c>
      <c r="J271" s="29" t="n">
        <v>0</v>
      </c>
      <c r="K271" s="37" t="inlineStr">
        <is>
          <t>Số cọc:  | Loại cọc:</t>
        </is>
      </c>
    </row>
    <row r="272" ht="15.75" customHeight="1" s="56">
      <c r="A272" s="37" t="inlineStr">
        <is>
          <t>BK-HS-0269</t>
        </is>
      </c>
      <c r="B272" s="37" t="inlineStr">
        <is>
          <t>Công Ty</t>
        </is>
      </c>
      <c r="C272" s="37" t="inlineStr">
        <is>
          <t>Long Phước</t>
        </is>
      </c>
      <c r="D272" s="37" t="inlineStr">
        <is>
          <t>Cấp đổi</t>
        </is>
      </c>
      <c r="E272" s="37" t="inlineStr">
        <is>
          <t>Lê Văn Dựng</t>
        </is>
      </c>
      <c r="F272" s="37" t="inlineStr">
        <is>
          <t>Không cần</t>
        </is>
      </c>
      <c r="G272" s="27" t="n">
        <v>45973</v>
      </c>
      <c r="H272" s="37" t="inlineStr">
        <is>
          <t>Hoàn thành</t>
        </is>
      </c>
      <c r="I272" s="37" t="inlineStr">
        <is>
          <t>Hoàn thành</t>
        </is>
      </c>
      <c r="J272" s="29" t="n">
        <v>0</v>
      </c>
      <c r="K272" s="37" t="inlineStr">
        <is>
          <t>Số cọc:  | Loại cọc:</t>
        </is>
      </c>
    </row>
    <row r="273" ht="15.75" customHeight="1" s="56">
      <c r="A273" s="37" t="inlineStr">
        <is>
          <t>BK-HS-0270</t>
        </is>
      </c>
      <c r="B273" s="37" t="inlineStr">
        <is>
          <t>Tùng Mập</t>
        </is>
      </c>
      <c r="C273" s="37" t="inlineStr">
        <is>
          <t>Tăng Nhơn Phú</t>
        </is>
      </c>
      <c r="D273" s="37" t="inlineStr">
        <is>
          <t>Hoàn công</t>
        </is>
      </c>
      <c r="E273" s="37" t="inlineStr">
        <is>
          <t>Trương Tấn Quốc</t>
        </is>
      </c>
      <c r="F273" s="37" t="inlineStr">
        <is>
          <t>Tạ Khắc Tập</t>
        </is>
      </c>
      <c r="G273" s="27" t="n">
        <v>45972</v>
      </c>
      <c r="H273" s="37" t="inlineStr">
        <is>
          <t>Đã nộp | Đợi chủ nhà lắp rào kẽm (đã hoàn thiện hso)</t>
        </is>
      </c>
      <c r="I273" s="37" t="inlineStr">
        <is>
          <t>Nộp thành công - Chờ kết quả</t>
        </is>
      </c>
      <c r="J273" s="29" t="n">
        <v>0</v>
      </c>
      <c r="K273" s="37" t="inlineStr">
        <is>
          <t>Số cọc:  | Loại cọc:</t>
        </is>
      </c>
    </row>
    <row r="274" ht="15.75" customHeight="1" s="56">
      <c r="A274" s="37" t="inlineStr">
        <is>
          <t>BK-HS-0271</t>
        </is>
      </c>
      <c r="B274" s="37" t="inlineStr">
        <is>
          <t>Công Ty</t>
        </is>
      </c>
      <c r="C274" s="37" t="inlineStr">
        <is>
          <t>Bình Trưng</t>
        </is>
      </c>
      <c r="D274" s="37" t="inlineStr">
        <is>
          <t>Cấp đổi</t>
        </is>
      </c>
      <c r="E274" s="37" t="inlineStr">
        <is>
          <t>Tạ Khắc Tập</t>
        </is>
      </c>
      <c r="F274" s="37" t="inlineStr">
        <is>
          <t>Võ Tứ Hợp</t>
        </is>
      </c>
      <c r="G274" s="27" t="n">
        <v>45972</v>
      </c>
      <c r="H274" s="37" t="inlineStr">
        <is>
          <t>Hoàn thành</t>
        </is>
      </c>
      <c r="I274" s="37" t="inlineStr">
        <is>
          <t>Hoàn thành</t>
        </is>
      </c>
      <c r="J274" s="29" t="n">
        <v>0</v>
      </c>
      <c r="K274" s="37" t="inlineStr">
        <is>
          <t>Số cọc:  | Loại cọc:</t>
        </is>
      </c>
    </row>
    <row r="275" ht="15.75" customHeight="1" s="56">
      <c r="A275" s="37" t="inlineStr">
        <is>
          <t>BK-HS-0272</t>
        </is>
      </c>
      <c r="B275" s="37" t="inlineStr">
        <is>
          <t>Hoàng Quân</t>
        </is>
      </c>
      <c r="C275" s="37" t="inlineStr">
        <is>
          <t>Long Phước</t>
        </is>
      </c>
      <c r="D275" s="37" t="inlineStr">
        <is>
          <t>Xác định diện tích</t>
        </is>
      </c>
      <c r="E275" s="37" t="inlineStr">
        <is>
          <t>Lê Văn Dựng</t>
        </is>
      </c>
      <c r="F275" s="37" t="inlineStr">
        <is>
          <t>Không cần</t>
        </is>
      </c>
      <c r="G275" s="27" t="n">
        <v>45971</v>
      </c>
      <c r="H275" s="37" t="inlineStr">
        <is>
          <t>Hoàn thành | 4 sổ</t>
        </is>
      </c>
      <c r="I275" s="37" t="inlineStr">
        <is>
          <t>Hoàn thành</t>
        </is>
      </c>
      <c r="J275" s="29" t="n">
        <v>0</v>
      </c>
      <c r="K275" s="37" t="inlineStr">
        <is>
          <t>Số cọc:  | Loại cọc:</t>
        </is>
      </c>
    </row>
    <row r="276" ht="15.75" customHeight="1" s="56">
      <c r="A276" s="37" t="inlineStr">
        <is>
          <t>BK-HS-0273</t>
        </is>
      </c>
      <c r="B276" s="37" t="inlineStr">
        <is>
          <t>Hoàng Quân</t>
        </is>
      </c>
      <c r="C276" s="37" t="inlineStr">
        <is>
          <t>Long Phước</t>
        </is>
      </c>
      <c r="D276" s="37" t="inlineStr">
        <is>
          <t>Xác định diện tích</t>
        </is>
      </c>
      <c r="E276" s="37" t="inlineStr">
        <is>
          <t>Lê Văn Dựng</t>
        </is>
      </c>
      <c r="F276" s="37" t="inlineStr">
        <is>
          <t>Không cần</t>
        </is>
      </c>
      <c r="G276" s="27" t="n">
        <v>45971</v>
      </c>
      <c r="H276" s="37" t="inlineStr">
        <is>
          <t>Hoàn thành | 3 sổ</t>
        </is>
      </c>
      <c r="I276" s="37" t="inlineStr">
        <is>
          <t>Hoàn thành</t>
        </is>
      </c>
      <c r="J276" s="29" t="n">
        <v>0</v>
      </c>
      <c r="K276" s="37" t="inlineStr">
        <is>
          <t>Số cọc:  | Loại cọc:</t>
        </is>
      </c>
    </row>
    <row r="277" ht="15.75" customHeight="1" s="56">
      <c r="A277" s="37" t="inlineStr">
        <is>
          <t>BK-HS-0274</t>
        </is>
      </c>
      <c r="B277" s="37" t="inlineStr">
        <is>
          <t>Hoàng Quân</t>
        </is>
      </c>
      <c r="C277" s="37" t="inlineStr">
        <is>
          <t>Long Phước</t>
        </is>
      </c>
      <c r="D277" s="37" t="inlineStr">
        <is>
          <t>Xác định diện tích</t>
        </is>
      </c>
      <c r="E277" s="37" t="inlineStr">
        <is>
          <t>Lê Văn Dựng</t>
        </is>
      </c>
      <c r="F277" s="37" t="inlineStr">
        <is>
          <t>Không cần</t>
        </is>
      </c>
      <c r="G277" s="27" t="n">
        <v>45971</v>
      </c>
      <c r="H277" s="37" t="inlineStr">
        <is>
          <t>Hoàn thành</t>
        </is>
      </c>
      <c r="I277" s="37" t="inlineStr">
        <is>
          <t>Hoàn thành</t>
        </is>
      </c>
      <c r="J277" s="29" t="n">
        <v>0</v>
      </c>
      <c r="K277" s="37" t="inlineStr">
        <is>
          <t>Số cọc:  | Loại cọc:</t>
        </is>
      </c>
    </row>
    <row r="278" ht="15.75" customHeight="1" s="56">
      <c r="A278" s="37" t="inlineStr">
        <is>
          <t>BK-HS-0275</t>
        </is>
      </c>
      <c r="B278" s="37" t="inlineStr">
        <is>
          <t>Công Ty</t>
        </is>
      </c>
      <c r="C278" s="37" t="inlineStr">
        <is>
          <t>Long Phước</t>
        </is>
      </c>
      <c r="D278" s="37" t="inlineStr">
        <is>
          <t>Cắm mốc</t>
        </is>
      </c>
      <c r="E278" s="37" t="inlineStr">
        <is>
          <t>Lê Văn Dựng</t>
        </is>
      </c>
      <c r="F278" s="37" t="inlineStr">
        <is>
          <t>Võ Tứ Hợp</t>
        </is>
      </c>
      <c r="G278" s="27" t="n">
        <v>45971</v>
      </c>
      <c r="H278" s="37" t="inlineStr">
        <is>
          <t>Hoàn thành</t>
        </is>
      </c>
      <c r="I278" s="37" t="inlineStr">
        <is>
          <t>Hoàn thành</t>
        </is>
      </c>
      <c r="J278" s="29" t="n">
        <v>50000</v>
      </c>
      <c r="K278" s="37" t="inlineStr">
        <is>
          <t>Số cọc: 4.0 | Loại cọc: Trụ xi măng</t>
        </is>
      </c>
    </row>
    <row r="279" ht="15.75" customHeight="1" s="56">
      <c r="A279" s="37" t="inlineStr">
        <is>
          <t>BK-HS-0276</t>
        </is>
      </c>
      <c r="B279" s="37" t="inlineStr">
        <is>
          <t>Công Ty</t>
        </is>
      </c>
      <c r="C279" s="37" t="inlineStr">
        <is>
          <t>Hiệp Bình</t>
        </is>
      </c>
      <c r="D279" s="37" t="inlineStr">
        <is>
          <t>Chuyển mục đích</t>
        </is>
      </c>
      <c r="E279" s="37" t="inlineStr">
        <is>
          <t>Nguyễn Minh Thông</t>
        </is>
      </c>
      <c r="F279" s="37" t="inlineStr">
        <is>
          <t>Không cần</t>
        </is>
      </c>
      <c r="G279" s="27" t="n">
        <v>45971</v>
      </c>
      <c r="H279" s="37" t="inlineStr">
        <is>
          <t>Đã nộp</t>
        </is>
      </c>
      <c r="I279" s="37" t="inlineStr">
        <is>
          <t>Nộp thành công - Chờ kết quả</t>
        </is>
      </c>
      <c r="J279" s="29" t="n">
        <v>0</v>
      </c>
      <c r="K279" s="37" t="inlineStr">
        <is>
          <t>Số cọc:  | Loại cọc:</t>
        </is>
      </c>
    </row>
    <row r="280" ht="15.75" customHeight="1" s="56">
      <c r="A280" s="37" t="inlineStr">
        <is>
          <t>BK-HS-0277</t>
        </is>
      </c>
      <c r="B280" s="37" t="inlineStr">
        <is>
          <t>Đạt Việt Phát Land</t>
        </is>
      </c>
      <c r="C280" s="37" t="inlineStr">
        <is>
          <t>Thủ Đức</t>
        </is>
      </c>
      <c r="D280" s="37" t="inlineStr">
        <is>
          <t>Cấp sổ lần đầu</t>
        </is>
      </c>
      <c r="E280" s="37" t="inlineStr">
        <is>
          <t>Trương Tấn Quốc</t>
        </is>
      </c>
      <c r="F280" s="37" t="inlineStr">
        <is>
          <t>Võ Tứ Hợp</t>
        </is>
      </c>
      <c r="G280" s="27" t="n">
        <v>45971</v>
      </c>
      <c r="H280" s="37" t="inlineStr">
        <is>
          <t>Hoàn thành</t>
        </is>
      </c>
      <c r="I280" s="37" t="inlineStr">
        <is>
          <t>Hoàn thành</t>
        </is>
      </c>
      <c r="J280" s="29" t="n">
        <v>0</v>
      </c>
      <c r="K280" s="37" t="inlineStr">
        <is>
          <t>Số cọc:  | Loại cọc:</t>
        </is>
      </c>
    </row>
    <row r="281" ht="15.75" customHeight="1" s="56">
      <c r="A281" s="37" t="inlineStr">
        <is>
          <t>BK-HS-0278</t>
        </is>
      </c>
      <c r="B281" s="37" t="inlineStr">
        <is>
          <t>Anh Minh DV HBP</t>
        </is>
      </c>
      <c r="C281" s="37" t="inlineStr">
        <is>
          <t>Hiệp Bình</t>
        </is>
      </c>
      <c r="D281" s="37" t="inlineStr">
        <is>
          <t>Cắm mốc</t>
        </is>
      </c>
      <c r="E281" s="37" t="inlineStr">
        <is>
          <t>Lê Văn Dựng</t>
        </is>
      </c>
      <c r="F281" s="37" t="inlineStr">
        <is>
          <t>Võ Tứ Hợp</t>
        </is>
      </c>
      <c r="G281" s="27" t="n">
        <v>45969</v>
      </c>
      <c r="H281" s="37" t="inlineStr">
        <is>
          <t>Hoàn thành</t>
        </is>
      </c>
      <c r="I281" s="37" t="inlineStr">
        <is>
          <t>Hoàn thành</t>
        </is>
      </c>
      <c r="J281" s="29" t="n">
        <v>50000</v>
      </c>
      <c r="K281" s="37" t="inlineStr">
        <is>
          <t>Số cọc: 8.0 | Loại cọc: Trụ xi măng</t>
        </is>
      </c>
    </row>
    <row r="282" ht="15.75" customHeight="1" s="56">
      <c r="A282" s="37" t="inlineStr">
        <is>
          <t>BK-HS-0279</t>
        </is>
      </c>
      <c r="B282" s="37" t="inlineStr">
        <is>
          <t>Anh Minh DV HBP</t>
        </is>
      </c>
      <c r="C282" s="37" t="inlineStr">
        <is>
          <t>Hiệp Bình</t>
        </is>
      </c>
      <c r="D282" s="37" t="inlineStr">
        <is>
          <t>Đo GPS</t>
        </is>
      </c>
      <c r="E282" s="37" t="inlineStr">
        <is>
          <t>Lê Văn Dựng</t>
        </is>
      </c>
      <c r="F282" s="37" t="inlineStr">
        <is>
          <t>Không cần</t>
        </is>
      </c>
      <c r="G282" s="27" t="n">
        <v>45969</v>
      </c>
      <c r="H282" s="37" t="inlineStr">
        <is>
          <t>Hoàn thành</t>
        </is>
      </c>
      <c r="I282" s="37" t="inlineStr">
        <is>
          <t>Hoàn thành</t>
        </is>
      </c>
      <c r="J282" s="29" t="n">
        <v>0</v>
      </c>
      <c r="K282" s="37" t="inlineStr">
        <is>
          <t>Số cọc:  | Loại cọc:</t>
        </is>
      </c>
    </row>
    <row r="283" ht="15.75" customHeight="1" s="56">
      <c r="A283" s="37" t="inlineStr">
        <is>
          <t>BK-HS-0280</t>
        </is>
      </c>
      <c r="B283" s="37" t="inlineStr">
        <is>
          <t>Công Ty</t>
        </is>
      </c>
      <c r="C283" s="37" t="inlineStr">
        <is>
          <t>Ngoài Thủ Đức</t>
        </is>
      </c>
      <c r="D283" s="37" t="inlineStr">
        <is>
          <t>Cắm mốc</t>
        </is>
      </c>
      <c r="E283" s="37" t="inlineStr">
        <is>
          <t>Tạ Khắc Tập</t>
        </is>
      </c>
      <c r="F283" s="37" t="inlineStr">
        <is>
          <t>Võ Tứ Hợp</t>
        </is>
      </c>
      <c r="G283" s="27" t="n">
        <v>45968</v>
      </c>
      <c r="H283" s="37" t="inlineStr">
        <is>
          <t>Hoàn thành | Quận Tân Bình - Hồ sơ xa</t>
        </is>
      </c>
      <c r="I283" s="37" t="inlineStr">
        <is>
          <t>Hoàn thành</t>
        </is>
      </c>
      <c r="J283" s="29" t="n">
        <v>50000</v>
      </c>
      <c r="K283" s="37" t="inlineStr">
        <is>
          <t>Số cọc: 6.0 | Loại cọc: Trụ xi măng</t>
        </is>
      </c>
    </row>
    <row r="284" ht="15.75" customHeight="1" s="56">
      <c r="A284" s="37" t="inlineStr">
        <is>
          <t>BK-HS-0281</t>
        </is>
      </c>
      <c r="B284" s="37" t="inlineStr">
        <is>
          <t>Anh Long PCT</t>
        </is>
      </c>
      <c r="C284" s="37" t="inlineStr">
        <is>
          <t>Long Phước</t>
        </is>
      </c>
      <c r="D284" s="37" t="inlineStr">
        <is>
          <t>Chuyển mục đích</t>
        </is>
      </c>
      <c r="E284" s="37" t="inlineStr">
        <is>
          <t>Nguyễn Minh Thông</t>
        </is>
      </c>
      <c r="F284" s="37" t="inlineStr">
        <is>
          <t>Không cần</t>
        </is>
      </c>
      <c r="G284" s="27" t="n">
        <v>45967</v>
      </c>
      <c r="H284" s="37" t="inlineStr">
        <is>
          <t>Hoàn thành</t>
        </is>
      </c>
      <c r="I284" s="37" t="inlineStr">
        <is>
          <t>Hoàn thành</t>
        </is>
      </c>
      <c r="J284" s="29" t="n">
        <v>0</v>
      </c>
      <c r="K284" s="37" t="inlineStr">
        <is>
          <t>Số cọc:  | Loại cọc:</t>
        </is>
      </c>
    </row>
    <row r="285" ht="15.75" customHeight="1" s="56">
      <c r="A285" s="37" t="inlineStr">
        <is>
          <t>BK-HS-0282</t>
        </is>
      </c>
      <c r="B285" s="37" t="inlineStr">
        <is>
          <t>Công Ty</t>
        </is>
      </c>
      <c r="C285" s="37" t="inlineStr">
        <is>
          <t>Long Phước</t>
        </is>
      </c>
      <c r="D285" s="37" t="inlineStr">
        <is>
          <t>Cắm mốc</t>
        </is>
      </c>
      <c r="E285" s="37" t="inlineStr">
        <is>
          <t>Tạ Khắc Tập</t>
        </is>
      </c>
      <c r="F285" s="37" t="inlineStr">
        <is>
          <t>Võ Tứ Hợp</t>
        </is>
      </c>
      <c r="G285" s="27" t="n">
        <v>45967</v>
      </c>
      <c r="H285" s="37" t="inlineStr">
        <is>
          <t>Hoàn thành</t>
        </is>
      </c>
      <c r="I285" s="37" t="inlineStr">
        <is>
          <t>Hoàn thành</t>
        </is>
      </c>
      <c r="J285" s="29" t="n">
        <v>50000</v>
      </c>
      <c r="K285" s="37" t="inlineStr">
        <is>
          <t>Số cọc: 4.0 | Loại cọc: Trụ xi măng</t>
        </is>
      </c>
    </row>
    <row r="286" ht="15.75" customHeight="1" s="56">
      <c r="A286" s="37" t="inlineStr">
        <is>
          <t>BK-HS-0283</t>
        </is>
      </c>
      <c r="B286" s="37" t="inlineStr">
        <is>
          <t>Anh Long PCT</t>
        </is>
      </c>
      <c r="C286" s="37" t="inlineStr">
        <is>
          <t>Hiệp Bình</t>
        </is>
      </c>
      <c r="D286" s="37" t="inlineStr">
        <is>
          <t>Hoàn công</t>
        </is>
      </c>
      <c r="E286" s="37" t="inlineStr">
        <is>
          <t>Nguyễn Minh Thông</t>
        </is>
      </c>
      <c r="F286" s="37" t="inlineStr">
        <is>
          <t>Võ Tứ Hợp</t>
        </is>
      </c>
      <c r="G286" s="27" t="n">
        <v>45967</v>
      </c>
      <c r="H286" s="37" t="inlineStr">
        <is>
          <t>Đã nộp</t>
        </is>
      </c>
      <c r="I286" s="37" t="inlineStr">
        <is>
          <t>Nộp thành công - Chờ kết quả</t>
        </is>
      </c>
      <c r="J286" s="29" t="n">
        <v>0</v>
      </c>
      <c r="K286" s="37" t="inlineStr">
        <is>
          <t>Số cọc:  | Loại cọc:</t>
        </is>
      </c>
    </row>
    <row r="287" ht="15.75" customHeight="1" s="56">
      <c r="A287" s="37" t="inlineStr">
        <is>
          <t>BK-HS-0284</t>
        </is>
      </c>
      <c r="B287" s="37" t="inlineStr">
        <is>
          <t>Công Ty</t>
        </is>
      </c>
      <c r="C287" s="37" t="inlineStr">
        <is>
          <t>Long Trường</t>
        </is>
      </c>
      <c r="D287" s="37" t="inlineStr">
        <is>
          <t>Cắm mốc</t>
        </is>
      </c>
      <c r="E287" s="37" t="inlineStr">
        <is>
          <t>Nguyễn Minh Thông</t>
        </is>
      </c>
      <c r="F287" s="37" t="inlineStr">
        <is>
          <t>Võ Tứ Hợp</t>
        </is>
      </c>
      <c r="G287" s="27" t="n">
        <v>45967</v>
      </c>
      <c r="H287" s="37" t="inlineStr">
        <is>
          <t>Hoàn thành</t>
        </is>
      </c>
      <c r="I287" s="37" t="inlineStr">
        <is>
          <t>Hoàn thành</t>
        </is>
      </c>
      <c r="J287" s="29" t="n">
        <v>50000</v>
      </c>
      <c r="K287" s="37" t="inlineStr">
        <is>
          <t>Số cọc: 4.0 | Loại cọc: Trụ xi măng</t>
        </is>
      </c>
    </row>
    <row r="288" ht="15.75" customHeight="1" s="56">
      <c r="A288" s="37" t="inlineStr">
        <is>
          <t>BK-HS-0285</t>
        </is>
      </c>
      <c r="B288" s="37" t="inlineStr">
        <is>
          <t>Chinh Đen</t>
        </is>
      </c>
      <c r="C288" s="37" t="inlineStr">
        <is>
          <t>Linh Xuân</t>
        </is>
      </c>
      <c r="D288" s="37" t="inlineStr">
        <is>
          <t>Tách Thửa</t>
        </is>
      </c>
      <c r="E288" s="37" t="inlineStr">
        <is>
          <t>Tạ Khắc Tập</t>
        </is>
      </c>
      <c r="F288" s="37" t="inlineStr">
        <is>
          <t>Không cần</t>
        </is>
      </c>
      <c r="G288" s="27" t="n">
        <v>45967</v>
      </c>
      <c r="H288" s="37" t="inlineStr">
        <is>
          <t>Hoàn thành</t>
        </is>
      </c>
      <c r="I288" s="37" t="inlineStr">
        <is>
          <t>Hoàn thành</t>
        </is>
      </c>
      <c r="J288" s="29" t="n">
        <v>0</v>
      </c>
      <c r="K288" s="37" t="inlineStr">
        <is>
          <t>Số cọc:  | Loại cọc:</t>
        </is>
      </c>
    </row>
    <row r="289" ht="15.75" customHeight="1" s="56">
      <c r="A289" s="37" t="inlineStr">
        <is>
          <t>BK-HS-0286</t>
        </is>
      </c>
      <c r="B289" s="37" t="inlineStr">
        <is>
          <t>Chinh Đen</t>
        </is>
      </c>
      <c r="C289" s="37" t="inlineStr">
        <is>
          <t>Linh Xuân</t>
        </is>
      </c>
      <c r="D289" s="37" t="inlineStr">
        <is>
          <t>Tách Thửa</t>
        </is>
      </c>
      <c r="E289" s="37" t="inlineStr">
        <is>
          <t>Tạ Khắc Tập</t>
        </is>
      </c>
      <c r="F289" s="37" t="inlineStr">
        <is>
          <t>Võ Tứ Hợp</t>
        </is>
      </c>
      <c r="G289" s="27" t="n">
        <v>45967</v>
      </c>
      <c r="H289" s="37" t="inlineStr">
        <is>
          <t>Hoàn thành</t>
        </is>
      </c>
      <c r="I289" s="37" t="inlineStr">
        <is>
          <t>Hoàn thành</t>
        </is>
      </c>
      <c r="J289" s="29" t="n">
        <v>0</v>
      </c>
      <c r="K289" s="37" t="inlineStr">
        <is>
          <t>Số cọc:  | Loại cọc:</t>
        </is>
      </c>
    </row>
    <row r="290" ht="15.75" customHeight="1" s="56">
      <c r="A290" s="37" t="inlineStr">
        <is>
          <t>BK-HS-0287</t>
        </is>
      </c>
      <c r="B290" s="37" t="inlineStr">
        <is>
          <t>Công Ty</t>
        </is>
      </c>
      <c r="C290" s="37" t="inlineStr">
        <is>
          <t>Ngoài Thủ Đức</t>
        </is>
      </c>
      <c r="D290" s="37" t="inlineStr">
        <is>
          <t>Xác định diện tích</t>
        </is>
      </c>
      <c r="E290" s="37" t="inlineStr">
        <is>
          <t>Tạ Khắc Tập</t>
        </is>
      </c>
      <c r="F290" s="37" t="inlineStr">
        <is>
          <t>Trương Tấn Quốc</t>
        </is>
      </c>
      <c r="G290" s="27" t="n">
        <v>45967</v>
      </c>
      <c r="H290" s="37" t="inlineStr">
        <is>
          <t>Hoàn thành | Quận Tân Phú - Hồ sơ xa</t>
        </is>
      </c>
      <c r="I290" s="37" t="inlineStr">
        <is>
          <t>Hoàn thành</t>
        </is>
      </c>
      <c r="J290" s="29" t="n">
        <v>0</v>
      </c>
      <c r="K290" s="37" t="inlineStr">
        <is>
          <t>Số cọc:  | Loại cọc:</t>
        </is>
      </c>
    </row>
    <row r="291" ht="15.75" customHeight="1" s="56">
      <c r="A291" s="37" t="inlineStr">
        <is>
          <t>BK-HS-0288</t>
        </is>
      </c>
      <c r="B291" s="37" t="inlineStr">
        <is>
          <t>Công Ty</t>
        </is>
      </c>
      <c r="C291" s="37" t="inlineStr">
        <is>
          <t>Ngoài Thủ Đức</t>
        </is>
      </c>
      <c r="D291" s="37" t="inlineStr">
        <is>
          <t>Cắm mốc</t>
        </is>
      </c>
      <c r="E291" s="37" t="inlineStr">
        <is>
          <t>Lê Văn Dựng</t>
        </is>
      </c>
      <c r="F291" s="37" t="inlineStr">
        <is>
          <t>Võ Tứ Hợp</t>
        </is>
      </c>
      <c r="G291" s="27" t="n">
        <v>45964</v>
      </c>
      <c r="H291" s="37" t="inlineStr">
        <is>
          <t>Hoàn thành | Địa chỉ: Quận Q7</t>
        </is>
      </c>
      <c r="I291" s="37" t="inlineStr">
        <is>
          <t>Hoàn thành</t>
        </is>
      </c>
      <c r="J291" s="29" t="n">
        <v>50000</v>
      </c>
      <c r="K291" s="37" t="inlineStr">
        <is>
          <t>Số cọc: 6.0 | Loại cọc: Trụ xi măng</t>
        </is>
      </c>
    </row>
    <row r="292" ht="15.75" customHeight="1" s="56">
      <c r="A292" s="37" t="inlineStr">
        <is>
          <t>BK-HS-0289</t>
        </is>
      </c>
      <c r="B292" s="37" t="inlineStr">
        <is>
          <t>Công Ty</t>
        </is>
      </c>
      <c r="C292" s="37" t="inlineStr">
        <is>
          <t>Hiệp Bình</t>
        </is>
      </c>
      <c r="D292" s="37" t="inlineStr">
        <is>
          <t>Xác định diện tích</t>
        </is>
      </c>
      <c r="E292" s="37" t="inlineStr">
        <is>
          <t>Nguyễn Minh Thông</t>
        </is>
      </c>
      <c r="F292" s="37" t="inlineStr">
        <is>
          <t>Không cần</t>
        </is>
      </c>
      <c r="G292" s="27" t="n">
        <v>45964</v>
      </c>
      <c r="H292" s="37" t="inlineStr">
        <is>
          <t>Hoàn thành</t>
        </is>
      </c>
      <c r="I292" s="37" t="inlineStr">
        <is>
          <t>Hoàn thành</t>
        </is>
      </c>
      <c r="J292" s="29" t="n">
        <v>0</v>
      </c>
      <c r="K292" s="37" t="inlineStr">
        <is>
          <t>Số cọc:  | Loại cọc:</t>
        </is>
      </c>
    </row>
    <row r="293" ht="15.75" customHeight="1" s="56">
      <c r="A293" s="37" t="inlineStr">
        <is>
          <t>BK-HS-0290</t>
        </is>
      </c>
      <c r="B293" s="37" t="inlineStr">
        <is>
          <t>Công Ty</t>
        </is>
      </c>
      <c r="C293" s="37" t="inlineStr">
        <is>
          <t>Hiệp Bình</t>
        </is>
      </c>
      <c r="D293" s="37" t="inlineStr">
        <is>
          <t>Điều chỉnh bản vẽ</t>
        </is>
      </c>
      <c r="E293" s="37" t="inlineStr">
        <is>
          <t>Tạ Khắc Tập</t>
        </is>
      </c>
      <c r="F293" s="37" t="inlineStr">
        <is>
          <t>Không cần</t>
        </is>
      </c>
      <c r="G293" s="27" t="n">
        <v>45964</v>
      </c>
      <c r="H293" s="37" t="inlineStr">
        <is>
          <t>Hoàn thành</t>
        </is>
      </c>
      <c r="I293" s="37" t="inlineStr">
        <is>
          <t>Hoàn thành</t>
        </is>
      </c>
      <c r="J293" s="29" t="n">
        <v>0</v>
      </c>
      <c r="K293" s="37" t="inlineStr">
        <is>
          <t>Số cọc:  | Loại cọc:</t>
        </is>
      </c>
    </row>
    <row r="294" ht="15.75" customHeight="1" s="56">
      <c r="A294" s="37" t="inlineStr">
        <is>
          <t>BK-HS-0291</t>
        </is>
      </c>
      <c r="B294" s="37" t="inlineStr">
        <is>
          <t>Công Ty</t>
        </is>
      </c>
      <c r="C294" s="37" t="inlineStr">
        <is>
          <t>Long Trường</t>
        </is>
      </c>
      <c r="D294" s="37" t="inlineStr">
        <is>
          <t>Cấp đổi</t>
        </is>
      </c>
      <c r="E294" s="37" t="inlineStr">
        <is>
          <t>Nguyễn Minh Thông</t>
        </is>
      </c>
      <c r="F294" s="37" t="inlineStr">
        <is>
          <t>Võ Tứ Hợp</t>
        </is>
      </c>
      <c r="G294" s="27" t="n">
        <v>45964</v>
      </c>
      <c r="H294" s="37" t="inlineStr">
        <is>
          <t>Hoàn thành</t>
        </is>
      </c>
      <c r="I294" s="37" t="inlineStr">
        <is>
          <t>Hoàn thành</t>
        </is>
      </c>
      <c r="J294" s="29" t="n">
        <v>0</v>
      </c>
      <c r="K294" s="37" t="inlineStr">
        <is>
          <t>Số cọc:  | Loại cọc:</t>
        </is>
      </c>
    </row>
    <row r="295" ht="15.75" customHeight="1" s="56">
      <c r="A295" s="37" t="inlineStr">
        <is>
          <t>BK-HS-0292</t>
        </is>
      </c>
      <c r="B295" s="37" t="inlineStr">
        <is>
          <t>Cô Hoa</t>
        </is>
      </c>
      <c r="C295" s="37" t="inlineStr">
        <is>
          <t>Tam Bình</t>
        </is>
      </c>
      <c r="D295" s="37" t="inlineStr">
        <is>
          <t>Cấp đổi</t>
        </is>
      </c>
      <c r="E295" s="37" t="inlineStr">
        <is>
          <t>Tạ Khắc Tập</t>
        </is>
      </c>
      <c r="F295" s="37" t="inlineStr">
        <is>
          <t>Võ Tứ Hợp</t>
        </is>
      </c>
      <c r="G295" s="27" t="n">
        <v>45964</v>
      </c>
      <c r="H295" s="37" t="inlineStr">
        <is>
          <t>Hoàn thành</t>
        </is>
      </c>
      <c r="I295" s="37" t="inlineStr">
        <is>
          <t>Hoàn thành</t>
        </is>
      </c>
      <c r="J295" s="29" t="n">
        <v>0</v>
      </c>
      <c r="K295" s="37" t="inlineStr">
        <is>
          <t>Số cọc:  | Loại cọc:</t>
        </is>
      </c>
    </row>
    <row r="296" ht="15.75" customHeight="1" s="56">
      <c r="A296" s="37" t="inlineStr">
        <is>
          <t>BK-HS-0293</t>
        </is>
      </c>
      <c r="B296" s="37" t="inlineStr">
        <is>
          <t>Hoàng Quân</t>
        </is>
      </c>
      <c r="C296" s="37" t="inlineStr">
        <is>
          <t>Long Phước</t>
        </is>
      </c>
      <c r="D296" s="37" t="inlineStr">
        <is>
          <t>Cắm mốc</t>
        </is>
      </c>
      <c r="E296" s="37" t="inlineStr">
        <is>
          <t>Lê Văn Dựng</t>
        </is>
      </c>
      <c r="F296" s="37" t="inlineStr">
        <is>
          <t>Không cần</t>
        </is>
      </c>
      <c r="G296" s="27" t="n">
        <v>45961</v>
      </c>
      <c r="H296" s="37" t="inlineStr">
        <is>
          <t>Hoàn thành</t>
        </is>
      </c>
      <c r="I296" s="37" t="inlineStr">
        <is>
          <t>Hoàn thành</t>
        </is>
      </c>
      <c r="J296" s="29" t="n">
        <v>50000</v>
      </c>
      <c r="K296" s="37" t="inlineStr">
        <is>
          <t>Số cọc: 12.0 | Loại cọc: Trụ xi măng</t>
        </is>
      </c>
    </row>
    <row r="297" ht="15.75" customHeight="1" s="56">
      <c r="A297" s="37" t="inlineStr">
        <is>
          <t>BK-HS-0294</t>
        </is>
      </c>
      <c r="B297" s="37" t="inlineStr">
        <is>
          <t>Công Ty</t>
        </is>
      </c>
      <c r="C297" s="37" t="inlineStr">
        <is>
          <t>Long Bình</t>
        </is>
      </c>
      <c r="D297" s="37" t="inlineStr">
        <is>
          <t>Hoàn công</t>
        </is>
      </c>
      <c r="E297" s="37" t="inlineStr">
        <is>
          <t>Tạ Khắc Tập</t>
        </is>
      </c>
      <c r="F297" s="37" t="inlineStr">
        <is>
          <t>Võ Tứ Hợp</t>
        </is>
      </c>
      <c r="G297" s="27" t="n">
        <v>45961</v>
      </c>
      <c r="H297" s="37" t="inlineStr">
        <is>
          <t>Đã nộp | Anh Hảo bạn Anh Dựng</t>
        </is>
      </c>
      <c r="I297" s="37" t="inlineStr">
        <is>
          <t>Nộp thành công - Chờ kết quả</t>
        </is>
      </c>
      <c r="J297" s="29" t="n">
        <v>0</v>
      </c>
      <c r="K297" s="37" t="inlineStr">
        <is>
          <t>Số cọc:  | Loại cọc:</t>
        </is>
      </c>
    </row>
    <row r="298" ht="15.75" customHeight="1" s="56">
      <c r="A298" s="37" t="inlineStr">
        <is>
          <t>BK-HS-0295</t>
        </is>
      </c>
      <c r="B298" s="37" t="inlineStr">
        <is>
          <t>Công Ty</t>
        </is>
      </c>
      <c r="C298" s="37" t="inlineStr">
        <is>
          <t>Long Trường</t>
        </is>
      </c>
      <c r="D298" s="37" t="inlineStr">
        <is>
          <t>Cắm mốc</t>
        </is>
      </c>
      <c r="E298" s="37" t="inlineStr">
        <is>
          <t>Nguyễn Minh Thông</t>
        </is>
      </c>
      <c r="F298" s="37" t="inlineStr">
        <is>
          <t>Võ Tứ Hợp</t>
        </is>
      </c>
      <c r="G298" s="27" t="n">
        <v>45960</v>
      </c>
      <c r="H298" s="37" t="inlineStr">
        <is>
          <t>Hoàn thành | Dịch vụ Anh Xây Công ty</t>
        </is>
      </c>
      <c r="I298" s="37" t="inlineStr">
        <is>
          <t>Hoàn thành</t>
        </is>
      </c>
      <c r="J298" s="29" t="n">
        <v>50000</v>
      </c>
      <c r="K298" s="37" t="inlineStr">
        <is>
          <t>Số cọc: 4.0 | Loại cọc: Trụ xi măng</t>
        </is>
      </c>
    </row>
    <row r="299" ht="15.75" customHeight="1" s="56">
      <c r="A299" s="37" t="inlineStr">
        <is>
          <t>BK-HS-0296</t>
        </is>
      </c>
      <c r="B299" s="37" t="inlineStr">
        <is>
          <t>Công Ty</t>
        </is>
      </c>
      <c r="C299" s="37" t="inlineStr">
        <is>
          <t>Long Trường</t>
        </is>
      </c>
      <c r="D299" s="37" t="inlineStr">
        <is>
          <t>Cấp đổi</t>
        </is>
      </c>
      <c r="E299" s="37" t="inlineStr">
        <is>
          <t>Nguyễn Minh Thông</t>
        </is>
      </c>
      <c r="F299" s="37" t="inlineStr">
        <is>
          <t>Võ Tứ Hợp</t>
        </is>
      </c>
      <c r="G299" s="27" t="n">
        <v>45960</v>
      </c>
      <c r="H299" s="37" t="inlineStr">
        <is>
          <t>Hoàn thành</t>
        </is>
      </c>
      <c r="I299" s="37" t="inlineStr">
        <is>
          <t>Hoàn thành</t>
        </is>
      </c>
      <c r="J299" s="29" t="n">
        <v>0</v>
      </c>
      <c r="K299" s="37" t="inlineStr">
        <is>
          <t>Số cọc:  | Loại cọc:</t>
        </is>
      </c>
    </row>
    <row r="300" ht="15.75" customHeight="1" s="56">
      <c r="A300" s="37" t="inlineStr">
        <is>
          <t>BK-HS-0297</t>
        </is>
      </c>
      <c r="B300" s="37" t="inlineStr">
        <is>
          <t>Chú Loan DV</t>
        </is>
      </c>
      <c r="C300" s="37" t="inlineStr">
        <is>
          <t>Hiệp Bình</t>
        </is>
      </c>
      <c r="D300" s="37" t="inlineStr">
        <is>
          <t>Cắm mốc</t>
        </is>
      </c>
      <c r="E300" s="37" t="inlineStr">
        <is>
          <t>Nguyễn Minh Thông</t>
        </is>
      </c>
      <c r="F300" s="37" t="inlineStr">
        <is>
          <t>Võ Tứ Hợp</t>
        </is>
      </c>
      <c r="G300" s="27" t="n">
        <v>45960</v>
      </c>
      <c r="H300" s="37" t="inlineStr">
        <is>
          <t>Hoàn thành</t>
        </is>
      </c>
      <c r="I300" s="37" t="inlineStr">
        <is>
          <t>Hoàn thành</t>
        </is>
      </c>
      <c r="J300" s="29" t="n">
        <v>50000</v>
      </c>
      <c r="K300" s="37" t="inlineStr">
        <is>
          <t>Số cọc: 4.0 | Loại cọc: Trụ xi măng</t>
        </is>
      </c>
    </row>
    <row r="301" ht="15.75" customHeight="1" s="56">
      <c r="A301" s="37" t="inlineStr">
        <is>
          <t>BK-HS-0298</t>
        </is>
      </c>
      <c r="B301" s="37" t="inlineStr">
        <is>
          <t>Tuấn Đen</t>
        </is>
      </c>
      <c r="C301" s="37" t="inlineStr">
        <is>
          <t>Cát Lái</t>
        </is>
      </c>
      <c r="D301" s="37" t="inlineStr">
        <is>
          <t>Cắm mốc</t>
        </is>
      </c>
      <c r="E301" s="37" t="inlineStr">
        <is>
          <t>Tạ Khắc Tập</t>
        </is>
      </c>
      <c r="F301" s="37" t="inlineStr">
        <is>
          <t>Võ Tứ Hợp</t>
        </is>
      </c>
      <c r="G301" s="27" t="n">
        <v>45958</v>
      </c>
      <c r="H301" s="37" t="inlineStr">
        <is>
          <t>Hoàn thành | (cắm 3 lô shđ 384, 385, 386)</t>
        </is>
      </c>
      <c r="I301" s="37" t="inlineStr">
        <is>
          <t>Hoàn thành</t>
        </is>
      </c>
      <c r="J301" s="29" t="n">
        <v>50000</v>
      </c>
      <c r="K301" s="37" t="inlineStr">
        <is>
          <t>Số cọc: 8.0 | Loại cọc: Trụ xi măng</t>
        </is>
      </c>
    </row>
    <row r="302" ht="15.75" customHeight="1" s="56">
      <c r="A302" s="37" t="inlineStr">
        <is>
          <t>BK-HS-0299</t>
        </is>
      </c>
      <c r="B302" s="37" t="inlineStr">
        <is>
          <t>Nguyễn Khoa DV</t>
        </is>
      </c>
      <c r="C302" s="37" t="inlineStr">
        <is>
          <t>Long Trường</t>
        </is>
      </c>
      <c r="D302" s="37" t="inlineStr">
        <is>
          <t>Xác định diện tích</t>
        </is>
      </c>
      <c r="E302" s="37" t="inlineStr">
        <is>
          <t>Tạ Khắc Tập</t>
        </is>
      </c>
      <c r="F302" s="37" t="inlineStr">
        <is>
          <t>Võ Tứ Hợp</t>
        </is>
      </c>
      <c r="G302" s="27" t="n">
        <v>45957</v>
      </c>
      <c r="H302" s="37" t="inlineStr">
        <is>
          <t>Hoàn thành | Phát cỏ</t>
        </is>
      </c>
      <c r="I302" s="37" t="inlineStr">
        <is>
          <t>Hoàn thành</t>
        </is>
      </c>
      <c r="J302" s="29" t="n">
        <v>0</v>
      </c>
      <c r="K302" s="37" t="inlineStr">
        <is>
          <t>Số cọc:  | Loại cọc:</t>
        </is>
      </c>
    </row>
    <row r="303" ht="15.75" customHeight="1" s="56">
      <c r="A303" s="37" t="inlineStr">
        <is>
          <t>BK-HS-0300</t>
        </is>
      </c>
      <c r="B303" s="37" t="inlineStr">
        <is>
          <t>Nguyễn Khoa DV</t>
        </is>
      </c>
      <c r="C303" s="37" t="inlineStr">
        <is>
          <t>Long Trường</t>
        </is>
      </c>
      <c r="D303" s="37" t="inlineStr">
        <is>
          <t>Cắm mốc</t>
        </is>
      </c>
      <c r="E303" s="37" t="inlineStr">
        <is>
          <t>Tạ Khắc Tập</t>
        </is>
      </c>
      <c r="F303" s="37" t="inlineStr">
        <is>
          <t>Võ Tứ Hợp</t>
        </is>
      </c>
      <c r="G303" s="27" t="n">
        <v>45957</v>
      </c>
      <c r="H303" s="37" t="inlineStr">
        <is>
          <t>Hoàn thành</t>
        </is>
      </c>
      <c r="I303" s="37" t="inlineStr">
        <is>
          <t>Hoàn thành</t>
        </is>
      </c>
      <c r="J303" s="29" t="n">
        <v>50000</v>
      </c>
      <c r="K303" s="37" t="inlineStr">
        <is>
          <t>Số cọc: 3.0 | Loại cọc: Trụ xi măng</t>
        </is>
      </c>
    </row>
    <row r="304" ht="15.75" customHeight="1" s="56">
      <c r="A304" s="37" t="inlineStr">
        <is>
          <t>BK-HS-0301</t>
        </is>
      </c>
      <c r="B304" s="37" t="inlineStr">
        <is>
          <t>Tấn Hiếu DV</t>
        </is>
      </c>
      <c r="C304" s="37" t="inlineStr">
        <is>
          <t>Linh Xuân</t>
        </is>
      </c>
      <c r="D304" s="37" t="inlineStr">
        <is>
          <t>Hoàn công</t>
        </is>
      </c>
      <c r="E304" s="37" t="inlineStr">
        <is>
          <t>Trương Tấn Quốc</t>
        </is>
      </c>
      <c r="F304" s="37" t="inlineStr">
        <is>
          <t>Võ Tứ Hợp</t>
        </is>
      </c>
      <c r="G304" s="27" t="n">
        <v>45957</v>
      </c>
      <c r="H304" s="37" t="inlineStr">
        <is>
          <t>ĐÃ HỦY | nhà sai hiện trạng, đợi phương án | Sai hiện trạng</t>
        </is>
      </c>
      <c r="I304" s="37" t="inlineStr">
        <is>
          <t>Hủy</t>
        </is>
      </c>
      <c r="J304" s="29" t="n">
        <v>0</v>
      </c>
      <c r="K304" s="37" t="inlineStr">
        <is>
          <t>Số cọc:  | Loại cọc:</t>
        </is>
      </c>
    </row>
    <row r="305" ht="15.75" customHeight="1" s="56">
      <c r="A305" s="37" t="inlineStr">
        <is>
          <t>BK-HS-0302</t>
        </is>
      </c>
      <c r="B305" s="37" t="inlineStr">
        <is>
          <t>Công Ty</t>
        </is>
      </c>
      <c r="C305" s="37" t="inlineStr">
        <is>
          <t>Long Trường</t>
        </is>
      </c>
      <c r="D305" s="37" t="inlineStr">
        <is>
          <t>Cắm mốc</t>
        </is>
      </c>
      <c r="E305" s="37" t="inlineStr">
        <is>
          <t>Lê Văn Dựng</t>
        </is>
      </c>
      <c r="F305" s="37" t="inlineStr">
        <is>
          <t>Tạ Khắc Tập</t>
        </is>
      </c>
      <c r="G305" s="27" t="n">
        <v>45957</v>
      </c>
      <c r="H305" s="37" t="inlineStr">
        <is>
          <t>Hoàn thành</t>
        </is>
      </c>
      <c r="I305" s="37" t="inlineStr">
        <is>
          <t>Hoàn thành</t>
        </is>
      </c>
      <c r="J305" s="29" t="n">
        <v>50000</v>
      </c>
      <c r="K305" s="37" t="inlineStr">
        <is>
          <t>Số cọc: 2.0 | Loại cọc: Trụ xi măng</t>
        </is>
      </c>
    </row>
    <row r="306" ht="15.75" customHeight="1" s="56">
      <c r="A306" s="37" t="inlineStr">
        <is>
          <t>BK-HS-0303</t>
        </is>
      </c>
      <c r="B306" s="37" t="inlineStr">
        <is>
          <t>Nguyễn Hương DV</t>
        </is>
      </c>
      <c r="C306" s="37" t="inlineStr">
        <is>
          <t>Long Phước</t>
        </is>
      </c>
      <c r="D306" s="37" t="inlineStr">
        <is>
          <t>Cắm mốc</t>
        </is>
      </c>
      <c r="E306" s="37" t="inlineStr">
        <is>
          <t>Lê Văn Dựng</t>
        </is>
      </c>
      <c r="F306" s="37" t="inlineStr">
        <is>
          <t>Tạ Khắc Tập</t>
        </is>
      </c>
      <c r="G306" s="27" t="n">
        <v>45957</v>
      </c>
      <c r="H306" s="37" t="inlineStr">
        <is>
          <t>Hoàn thành</t>
        </is>
      </c>
      <c r="I306" s="37" t="inlineStr">
        <is>
          <t>Hoàn thành</t>
        </is>
      </c>
      <c r="J306" s="29" t="n">
        <v>50000</v>
      </c>
      <c r="K306" s="37" t="inlineStr">
        <is>
          <t>Số cọc: 2.0 | Loại cọc: Trụ xi măng</t>
        </is>
      </c>
    </row>
    <row r="307" ht="15.75" customHeight="1" s="56">
      <c r="A307" s="37" t="inlineStr">
        <is>
          <t>BK-HS-0304</t>
        </is>
      </c>
      <c r="B307" s="37" t="inlineStr">
        <is>
          <t>Nguyễn Hương DV</t>
        </is>
      </c>
      <c r="C307" s="37" t="inlineStr">
        <is>
          <t>Long Phước</t>
        </is>
      </c>
      <c r="D307" s="37" t="inlineStr">
        <is>
          <t>Cấp đổi</t>
        </is>
      </c>
      <c r="E307" s="37" t="inlineStr">
        <is>
          <t>Nguyễn Minh Thông</t>
        </is>
      </c>
      <c r="F307" s="37" t="inlineStr">
        <is>
          <t>Không cần</t>
        </is>
      </c>
      <c r="G307" s="27" t="n">
        <v>45955</v>
      </c>
      <c r="H307" s="37" t="inlineStr">
        <is>
          <t>Hoàn thành | Hồ sơ anh Dựng đo</t>
        </is>
      </c>
      <c r="I307" s="37" t="inlineStr">
        <is>
          <t>Hoàn thành</t>
        </is>
      </c>
      <c r="J307" s="29" t="n">
        <v>0</v>
      </c>
      <c r="K307" s="37" t="inlineStr">
        <is>
          <t>Số cọc:  | Loại cọc:</t>
        </is>
      </c>
    </row>
    <row r="308" ht="15.75" customHeight="1" s="56">
      <c r="A308" s="37" t="inlineStr">
        <is>
          <t>BK-HS-0305</t>
        </is>
      </c>
      <c r="B308" s="37" t="inlineStr">
        <is>
          <t>Hoàng Quân</t>
        </is>
      </c>
      <c r="C308" s="37" t="inlineStr">
        <is>
          <t>Long Phước</t>
        </is>
      </c>
      <c r="D308" s="37" t="inlineStr">
        <is>
          <t>Cắm mốc</t>
        </is>
      </c>
      <c r="E308" s="37" t="inlineStr">
        <is>
          <t>Lê Văn Dựng</t>
        </is>
      </c>
      <c r="F308" s="37" t="inlineStr">
        <is>
          <t>Không cần</t>
        </is>
      </c>
      <c r="G308" s="27" t="n">
        <v>45954</v>
      </c>
      <c r="H308" s="37" t="inlineStr">
        <is>
          <t>Hoàn thành</t>
        </is>
      </c>
      <c r="I308" s="37" t="inlineStr">
        <is>
          <t>Hoàn thành</t>
        </is>
      </c>
      <c r="J308" s="29" t="n">
        <v>50000</v>
      </c>
      <c r="K308" s="37" t="inlineStr">
        <is>
          <t>Số cọc: 4.0 | Loại cọc: Trụ xi măng</t>
        </is>
      </c>
    </row>
    <row r="309" ht="15.75" customHeight="1" s="56">
      <c r="A309" s="37" t="inlineStr">
        <is>
          <t>BK-HS-0306</t>
        </is>
      </c>
      <c r="B309" s="37" t="inlineStr">
        <is>
          <t>Hoàng Quân</t>
        </is>
      </c>
      <c r="C309" s="37" t="inlineStr">
        <is>
          <t>Long Phước</t>
        </is>
      </c>
      <c r="D309" s="37" t="inlineStr">
        <is>
          <t>Cắm mốc</t>
        </is>
      </c>
      <c r="E309" s="37" t="inlineStr">
        <is>
          <t>Lê Văn Dựng</t>
        </is>
      </c>
      <c r="F309" s="37" t="inlineStr">
        <is>
          <t>Không cần</t>
        </is>
      </c>
      <c r="G309" s="27" t="n">
        <v>45954</v>
      </c>
      <c r="H309" s="37" t="inlineStr">
        <is>
          <t>Hoàn thành</t>
        </is>
      </c>
      <c r="I309" s="37" t="inlineStr">
        <is>
          <t>Hoàn thành</t>
        </is>
      </c>
      <c r="J309" s="29" t="n">
        <v>50000</v>
      </c>
      <c r="K309" s="37" t="inlineStr">
        <is>
          <t>Số cọc: 4.0 | Loại cọc: Trụ xi măng</t>
        </is>
      </c>
    </row>
    <row r="310" ht="15.75" customHeight="1" s="56">
      <c r="A310" s="37" t="inlineStr">
        <is>
          <t>BK-HS-0307</t>
        </is>
      </c>
      <c r="B310" s="37" t="inlineStr">
        <is>
          <t>Hoàng Quân</t>
        </is>
      </c>
      <c r="C310" s="37" t="inlineStr">
        <is>
          <t>Long Phước</t>
        </is>
      </c>
      <c r="D310" s="37" t="inlineStr">
        <is>
          <t>Cắm mốc</t>
        </is>
      </c>
      <c r="E310" s="37" t="inlineStr">
        <is>
          <t>Lê Văn Dựng</t>
        </is>
      </c>
      <c r="F310" s="37" t="inlineStr">
        <is>
          <t>Không cần</t>
        </is>
      </c>
      <c r="G310" s="27" t="n">
        <v>45954</v>
      </c>
      <c r="H310" s="37" t="inlineStr">
        <is>
          <t>Hoàn thành</t>
        </is>
      </c>
      <c r="I310" s="37" t="inlineStr">
        <is>
          <t>Hoàn thành</t>
        </is>
      </c>
      <c r="J310" s="29" t="n">
        <v>50000</v>
      </c>
      <c r="K310" s="37" t="inlineStr">
        <is>
          <t>Số cọc: 4.0 | Loại cọc: Trụ xi măng</t>
        </is>
      </c>
    </row>
    <row r="311" ht="15.75" customHeight="1" s="56">
      <c r="A311" s="37" t="inlineStr">
        <is>
          <t>BK-HS-0308</t>
        </is>
      </c>
      <c r="B311" s="37" t="inlineStr">
        <is>
          <t>Hoàng Quân</t>
        </is>
      </c>
      <c r="C311" s="37" t="inlineStr">
        <is>
          <t>Long Phước</t>
        </is>
      </c>
      <c r="D311" s="37" t="inlineStr">
        <is>
          <t>Đo GPS</t>
        </is>
      </c>
      <c r="E311" s="37" t="inlineStr">
        <is>
          <t>Lê Văn Dựng</t>
        </is>
      </c>
      <c r="F311" s="37" t="inlineStr">
        <is>
          <t>Không cần</t>
        </is>
      </c>
      <c r="G311" s="27" t="n">
        <v>45954</v>
      </c>
      <c r="H311" s="37" t="inlineStr">
        <is>
          <t>Hoàn thành</t>
        </is>
      </c>
      <c r="I311" s="37" t="inlineStr">
        <is>
          <t>Hoàn thành</t>
        </is>
      </c>
      <c r="J311" s="29" t="n">
        <v>0</v>
      </c>
      <c r="K311" s="37" t="inlineStr">
        <is>
          <t>Số cọc:  | Loại cọc:</t>
        </is>
      </c>
    </row>
    <row r="312" ht="15.75" customHeight="1" s="56">
      <c r="A312" s="37" t="inlineStr">
        <is>
          <t>BK-HS-0309</t>
        </is>
      </c>
      <c r="B312" s="37" t="inlineStr">
        <is>
          <t>Hoàng Quân</t>
        </is>
      </c>
      <c r="C312" s="37" t="inlineStr">
        <is>
          <t>Long Phước</t>
        </is>
      </c>
      <c r="D312" s="37" t="inlineStr">
        <is>
          <t>Cắm mốc</t>
        </is>
      </c>
      <c r="E312" s="37" t="inlineStr">
        <is>
          <t>Lê Văn Dựng</t>
        </is>
      </c>
      <c r="F312" s="37" t="inlineStr">
        <is>
          <t>Không cần</t>
        </is>
      </c>
      <c r="G312" s="27" t="n">
        <v>45954</v>
      </c>
      <c r="H312" s="37" t="inlineStr">
        <is>
          <t>Hoàn thành</t>
        </is>
      </c>
      <c r="I312" s="37" t="inlineStr">
        <is>
          <t>Hoàn thành</t>
        </is>
      </c>
      <c r="J312" s="29" t="n">
        <v>50000</v>
      </c>
      <c r="K312" s="37" t="inlineStr">
        <is>
          <t>Số cọc: 13.0 | Loại cọc: Trụ xi măng</t>
        </is>
      </c>
    </row>
    <row r="313" ht="15.75" customHeight="1" s="56">
      <c r="A313" s="37" t="inlineStr">
        <is>
          <t>BK-HS-0310</t>
        </is>
      </c>
      <c r="B313" s="37" t="inlineStr">
        <is>
          <t>Hoàng Quân</t>
        </is>
      </c>
      <c r="C313" s="37" t="inlineStr">
        <is>
          <t>Long Phước</t>
        </is>
      </c>
      <c r="D313" s="37" t="inlineStr">
        <is>
          <t>Cấp đổi</t>
        </is>
      </c>
      <c r="E313" s="37" t="inlineStr">
        <is>
          <t>Lê Văn Dựng</t>
        </is>
      </c>
      <c r="F313" s="37" t="inlineStr">
        <is>
          <t>Không cần</t>
        </is>
      </c>
      <c r="G313" s="27" t="n">
        <v>45954</v>
      </c>
      <c r="H313" s="37" t="inlineStr">
        <is>
          <t>Hoàn thành</t>
        </is>
      </c>
      <c r="I313" s="37" t="inlineStr">
        <is>
          <t>Hoàn thành</t>
        </is>
      </c>
      <c r="J313" s="29" t="n">
        <v>0</v>
      </c>
      <c r="K313" s="37" t="inlineStr">
        <is>
          <t>Số cọc:  | Loại cọc:</t>
        </is>
      </c>
    </row>
    <row r="314" ht="15.75" customHeight="1" s="56">
      <c r="A314" s="37" t="inlineStr">
        <is>
          <t>BK-HS-0311</t>
        </is>
      </c>
      <c r="B314" s="37" t="inlineStr">
        <is>
          <t>Hoàng Quân</t>
        </is>
      </c>
      <c r="C314" s="37" t="inlineStr">
        <is>
          <t>Long Phước</t>
        </is>
      </c>
      <c r="D314" s="37" t="inlineStr">
        <is>
          <t>Đo GPS</t>
        </is>
      </c>
      <c r="E314" s="37" t="inlineStr">
        <is>
          <t>Lê Văn Dựng</t>
        </is>
      </c>
      <c r="F314" s="37" t="inlineStr">
        <is>
          <t>Không cần</t>
        </is>
      </c>
      <c r="G314" s="27" t="n">
        <v>45954</v>
      </c>
      <c r="H314" s="37" t="inlineStr">
        <is>
          <t>Hoàn thành</t>
        </is>
      </c>
      <c r="I314" s="37" t="inlineStr">
        <is>
          <t>Hoàn thành</t>
        </is>
      </c>
      <c r="J314" s="29" t="n">
        <v>0</v>
      </c>
      <c r="K314" s="37" t="inlineStr">
        <is>
          <t>Số cọc:  | Loại cọc:</t>
        </is>
      </c>
    </row>
    <row r="315" ht="15.75" customHeight="1" s="56">
      <c r="A315" s="37" t="inlineStr">
        <is>
          <t>BK-HS-0312</t>
        </is>
      </c>
      <c r="B315" s="37" t="inlineStr">
        <is>
          <t>Hoàng Quân</t>
        </is>
      </c>
      <c r="C315" s="37" t="inlineStr">
        <is>
          <t>Long Phước</t>
        </is>
      </c>
      <c r="D315" s="37" t="inlineStr">
        <is>
          <t>Cắm mốc</t>
        </is>
      </c>
      <c r="E315" s="37" t="inlineStr">
        <is>
          <t>Lê Văn Dựng</t>
        </is>
      </c>
      <c r="F315" s="37" t="inlineStr">
        <is>
          <t>Không cần</t>
        </is>
      </c>
      <c r="G315" s="27" t="n">
        <v>45954</v>
      </c>
      <c r="H315" s="37" t="inlineStr">
        <is>
          <t>Hoàn thành</t>
        </is>
      </c>
      <c r="I315" s="37" t="inlineStr">
        <is>
          <t>Hoàn thành</t>
        </is>
      </c>
      <c r="J315" s="29" t="n">
        <v>50000</v>
      </c>
      <c r="K315" s="37" t="inlineStr">
        <is>
          <t>Số cọc: 12.0 | Loại cọc: Trụ xi măng</t>
        </is>
      </c>
    </row>
    <row r="316" ht="15.75" customHeight="1" s="56">
      <c r="A316" s="37" t="inlineStr">
        <is>
          <t>BK-HS-0313</t>
        </is>
      </c>
      <c r="B316" s="37" t="inlineStr">
        <is>
          <t>Hoàng Quân</t>
        </is>
      </c>
      <c r="C316" s="37" t="inlineStr">
        <is>
          <t>Long Phước</t>
        </is>
      </c>
      <c r="D316" s="37" t="inlineStr">
        <is>
          <t>Cấp đổi</t>
        </is>
      </c>
      <c r="E316" s="37" t="inlineStr">
        <is>
          <t>Lê Văn Dựng</t>
        </is>
      </c>
      <c r="F316" s="37" t="inlineStr">
        <is>
          <t>Không cần</t>
        </is>
      </c>
      <c r="G316" s="27" t="n">
        <v>45954</v>
      </c>
      <c r="H316" s="37" t="inlineStr">
        <is>
          <t>Đã nộp</t>
        </is>
      </c>
      <c r="I316" s="37" t="inlineStr">
        <is>
          <t>Nộp thành công - Chờ kết quả</t>
        </is>
      </c>
      <c r="J316" s="29" t="n">
        <v>0</v>
      </c>
      <c r="K316" s="37" t="inlineStr">
        <is>
          <t>Số cọc:  | Loại cọc:</t>
        </is>
      </c>
    </row>
    <row r="317" ht="15.75" customHeight="1" s="56">
      <c r="A317" s="37" t="inlineStr">
        <is>
          <t>BK-HS-0314</t>
        </is>
      </c>
      <c r="B317" s="37" t="inlineStr">
        <is>
          <t>Nguyễn Khoa DV</t>
        </is>
      </c>
      <c r="C317" s="37" t="inlineStr">
        <is>
          <t>Long Trường</t>
        </is>
      </c>
      <c r="D317" s="37" t="inlineStr">
        <is>
          <t>Cấp đổi</t>
        </is>
      </c>
      <c r="E317" s="37" t="inlineStr">
        <is>
          <t>Trương Tấn Quốc</t>
        </is>
      </c>
      <c r="F317" s="37" t="inlineStr">
        <is>
          <t>Võ Tứ Hợp</t>
        </is>
      </c>
      <c r="G317" s="27" t="n">
        <v>45954</v>
      </c>
      <c r="H317" s="37" t="inlineStr">
        <is>
          <t>Hoàn thành</t>
        </is>
      </c>
      <c r="I317" s="37" t="inlineStr">
        <is>
          <t>Hoàn thành</t>
        </is>
      </c>
      <c r="J317" s="29" t="n">
        <v>0</v>
      </c>
      <c r="K317" s="37" t="inlineStr">
        <is>
          <t>Số cọc:  | Loại cọc:</t>
        </is>
      </c>
    </row>
    <row r="318" ht="15.75" customHeight="1" s="56">
      <c r="A318" s="37" t="inlineStr">
        <is>
          <t>BK-HS-0315</t>
        </is>
      </c>
      <c r="B318" s="37" t="inlineStr">
        <is>
          <t>Chị Xuân DV</t>
        </is>
      </c>
      <c r="C318" s="37" t="inlineStr">
        <is>
          <t>Thủ Đức</t>
        </is>
      </c>
      <c r="D318" s="37" t="inlineStr">
        <is>
          <t>Tách Thửa</t>
        </is>
      </c>
      <c r="E318" s="37" t="inlineStr">
        <is>
          <t>Trương Tấn Quốc</t>
        </is>
      </c>
      <c r="F318" s="37" t="inlineStr">
        <is>
          <t>Không cần</t>
        </is>
      </c>
      <c r="G318" s="27" t="n">
        <v>45953</v>
      </c>
      <c r="H318" s="37" t="inlineStr">
        <is>
          <t>Hoàn thành</t>
        </is>
      </c>
      <c r="I318" s="37" t="inlineStr">
        <is>
          <t>Hoàn thành</t>
        </is>
      </c>
      <c r="J318" s="29" t="n">
        <v>0</v>
      </c>
      <c r="K318" s="37" t="inlineStr">
        <is>
          <t>Số cọc:  | Loại cọc:</t>
        </is>
      </c>
    </row>
    <row r="319" ht="15.75" customHeight="1" s="56">
      <c r="A319" s="37" t="inlineStr">
        <is>
          <t>BK-HS-0316</t>
        </is>
      </c>
      <c r="B319" s="37" t="inlineStr">
        <is>
          <t>Chị Xuân DV</t>
        </is>
      </c>
      <c r="C319" s="37" t="inlineStr">
        <is>
          <t>Thủ Đức</t>
        </is>
      </c>
      <c r="D319" s="37" t="inlineStr">
        <is>
          <t>Tách Thửa</t>
        </is>
      </c>
      <c r="E319" s="37" t="inlineStr">
        <is>
          <t>Trương Tấn Quốc</t>
        </is>
      </c>
      <c r="F319" s="37" t="inlineStr">
        <is>
          <t>Không cần</t>
        </is>
      </c>
      <c r="G319" s="27" t="n">
        <v>45953</v>
      </c>
      <c r="H319" s="37" t="inlineStr">
        <is>
          <t>Hoàn thành</t>
        </is>
      </c>
      <c r="I319" s="37" t="inlineStr">
        <is>
          <t>Hoàn thành</t>
        </is>
      </c>
      <c r="J319" s="29" t="n">
        <v>0</v>
      </c>
      <c r="K319" s="37" t="inlineStr">
        <is>
          <t>Số cọc:  | Loại cọc:</t>
        </is>
      </c>
    </row>
    <row r="320" ht="15.75" customHeight="1" s="56">
      <c r="A320" s="37" t="inlineStr">
        <is>
          <t>BK-HS-0317</t>
        </is>
      </c>
      <c r="B320" s="37" t="inlineStr">
        <is>
          <t>Công Ty</t>
        </is>
      </c>
      <c r="C320" s="37" t="inlineStr">
        <is>
          <t>Thủ Đức</t>
        </is>
      </c>
      <c r="D320" s="37" t="inlineStr">
        <is>
          <t>Hoàn công</t>
        </is>
      </c>
      <c r="E320" s="37" t="inlineStr">
        <is>
          <t>Nguyễn Minh Thông</t>
        </is>
      </c>
      <c r="F320" s="37" t="inlineStr">
        <is>
          <t>Võ Tứ Hợp</t>
        </is>
      </c>
      <c r="G320" s="27" t="n">
        <v>45953</v>
      </c>
      <c r="H320" s="37" t="inlineStr">
        <is>
          <t>Hoàn thành</t>
        </is>
      </c>
      <c r="I320" s="37" t="inlineStr">
        <is>
          <t>Hoàn thành</t>
        </is>
      </c>
      <c r="J320" s="29" t="n">
        <v>0</v>
      </c>
      <c r="K320" s="37" t="inlineStr">
        <is>
          <t>Số cọc:  | Loại cọc:</t>
        </is>
      </c>
    </row>
    <row r="321" ht="15.75" customHeight="1" s="56">
      <c r="A321" s="37" t="inlineStr">
        <is>
          <t>BK-HS-0318</t>
        </is>
      </c>
      <c r="B321" s="37" t="inlineStr">
        <is>
          <t>Anh Chiến KTS</t>
        </is>
      </c>
      <c r="C321" s="37" t="inlineStr">
        <is>
          <t>Tam Bình</t>
        </is>
      </c>
      <c r="D321" s="37" t="inlineStr">
        <is>
          <t>Cắm mốc</t>
        </is>
      </c>
      <c r="E321" s="37" t="inlineStr">
        <is>
          <t>Nguyễn Minh Thông</t>
        </is>
      </c>
      <c r="F321" s="37" t="inlineStr">
        <is>
          <t>Võ Tứ Hợp</t>
        </is>
      </c>
      <c r="G321" s="27" t="n">
        <v>45951</v>
      </c>
      <c r="H321" s="37" t="inlineStr">
        <is>
          <t>Hoàn thành</t>
        </is>
      </c>
      <c r="I321" s="37" t="inlineStr">
        <is>
          <t>Hoàn thành</t>
        </is>
      </c>
      <c r="J321" s="29" t="n">
        <v>50000</v>
      </c>
      <c r="K321" s="37" t="inlineStr">
        <is>
          <t>Số cọc: 11.0 | Loại cọc: Trụ xi măng</t>
        </is>
      </c>
    </row>
    <row r="322" ht="15.75" customHeight="1" s="56">
      <c r="A322" s="37" t="inlineStr">
        <is>
          <t>BK-HS-0319</t>
        </is>
      </c>
      <c r="B322" s="37" t="inlineStr">
        <is>
          <t>Công Ty</t>
        </is>
      </c>
      <c r="C322" s="37" t="inlineStr">
        <is>
          <t>An Khánh</t>
        </is>
      </c>
      <c r="D322" s="37" t="inlineStr">
        <is>
          <t>Cấp đổi</t>
        </is>
      </c>
      <c r="E322" s="37" t="inlineStr">
        <is>
          <t>Lê Văn Dựng</t>
        </is>
      </c>
      <c r="F322" s="37" t="inlineStr">
        <is>
          <t>Võ Tứ Hợp</t>
        </is>
      </c>
      <c r="G322" s="27" t="n">
        <v>45951</v>
      </c>
      <c r="H322" s="37" t="inlineStr">
        <is>
          <t>Hoàn thành</t>
        </is>
      </c>
      <c r="I322" s="37" t="inlineStr">
        <is>
          <t>Hoàn thành</t>
        </is>
      </c>
      <c r="J322" s="29" t="n">
        <v>0</v>
      </c>
      <c r="K322" s="37" t="inlineStr">
        <is>
          <t>Số cọc:  | Loại cọc:</t>
        </is>
      </c>
    </row>
    <row r="323" ht="15.75" customHeight="1" s="56">
      <c r="A323" s="37" t="inlineStr">
        <is>
          <t>BK-HS-0320</t>
        </is>
      </c>
      <c r="B323" s="37" t="inlineStr">
        <is>
          <t>Hoàng Quân</t>
        </is>
      </c>
      <c r="C323" s="37" t="inlineStr">
        <is>
          <t>Long Phước</t>
        </is>
      </c>
      <c r="D323" s="37" t="inlineStr">
        <is>
          <t>Đo GPS</t>
        </is>
      </c>
      <c r="E323" s="37" t="inlineStr">
        <is>
          <t>Lê Văn Dựng</t>
        </is>
      </c>
      <c r="F323" s="37" t="inlineStr">
        <is>
          <t>Không cần</t>
        </is>
      </c>
      <c r="G323" s="27" t="n">
        <v>45951</v>
      </c>
      <c r="H323" s="37" t="inlineStr">
        <is>
          <t>Hoàn thành</t>
        </is>
      </c>
      <c r="I323" s="37" t="inlineStr">
        <is>
          <t>Hoàn thành</t>
        </is>
      </c>
      <c r="J323" s="29" t="n">
        <v>0</v>
      </c>
      <c r="K323" s="37" t="inlineStr">
        <is>
          <t>Số cọc:  | Loại cọc:</t>
        </is>
      </c>
    </row>
    <row r="324" ht="15.75" customHeight="1" s="56">
      <c r="A324" s="37" t="inlineStr">
        <is>
          <t>BK-HS-0321</t>
        </is>
      </c>
      <c r="B324" s="37" t="inlineStr">
        <is>
          <t>Nguyễn Văn A</t>
        </is>
      </c>
      <c r="C324" s="37" t="inlineStr">
        <is>
          <t>Linh Tây</t>
        </is>
      </c>
      <c r="D324" s="37" t="inlineStr">
        <is>
          <t>Đo hiện trạng</t>
        </is>
      </c>
      <c r="E324" s="37" t="inlineStr">
        <is>
          <t>Võ Thành Minh</t>
        </is>
      </c>
      <c r="F324" s="37" t="inlineStr">
        <is>
          <t>Lê Văn Dựng</t>
        </is>
      </c>
      <c r="G324" s="27" t="inlineStr">
        <is>
          <t>2026-06-23</t>
        </is>
      </c>
      <c r="H324" s="37" t="inlineStr">
        <is>
          <t>Trong hạn</t>
        </is>
      </c>
      <c r="I324" s="37" t="inlineStr">
        <is>
          <t>Trong hạn</t>
        </is>
      </c>
      <c r="J324" s="29" t="n">
        <v>0</v>
      </c>
      <c r="K324" s="37" t="inlineStr"/>
    </row>
    <row r="325" ht="15.75" customHeight="1" s="56">
      <c r="A325" s="37" t="inlineStr">
        <is>
          <t>BK-HS-0322</t>
        </is>
      </c>
      <c r="B325" s="37" t="inlineStr">
        <is>
          <t>Nguyễn Văn A</t>
        </is>
      </c>
      <c r="C325" s="37" t="inlineStr">
        <is>
          <t>Linh Tây</t>
        </is>
      </c>
      <c r="D325" s="37" t="inlineStr">
        <is>
          <t>Đo hiện trạng</t>
        </is>
      </c>
      <c r="E325" s="37" t="inlineStr">
        <is>
          <t>Võ Thành Minh</t>
        </is>
      </c>
      <c r="F325" s="37" t="inlineStr">
        <is>
          <t>Lê Văn Dựng</t>
        </is>
      </c>
      <c r="G325" s="27" t="inlineStr">
        <is>
          <t>2026-06-23</t>
        </is>
      </c>
      <c r="H325" s="37" t="inlineStr">
        <is>
          <t>Trong hạn</t>
        </is>
      </c>
      <c r="I325" s="37" t="inlineStr">
        <is>
          <t>Trong hạn</t>
        </is>
      </c>
      <c r="J325" s="29" t="n">
        <v>0</v>
      </c>
      <c r="K325" s="37" t="inlineStr"/>
    </row>
    <row r="326" ht="15.75" customHeight="1" s="56">
      <c r="A326" s="37" t="inlineStr">
        <is>
          <t>BK-HS-0323</t>
        </is>
      </c>
      <c r="B326" s="37" t="inlineStr">
        <is>
          <t>Nguyễn Văn A</t>
        </is>
      </c>
      <c r="C326" s="37" t="inlineStr">
        <is>
          <t>Linh Tây</t>
        </is>
      </c>
      <c r="D326" s="37" t="inlineStr">
        <is>
          <t>Đo hiện trạng</t>
        </is>
      </c>
      <c r="E326" s="37" t="inlineStr">
        <is>
          <t>Võ Thành Minh</t>
        </is>
      </c>
      <c r="F326" s="37" t="inlineStr">
        <is>
          <t>Lê Văn Dựng</t>
        </is>
      </c>
      <c r="G326" s="27" t="inlineStr">
        <is>
          <t>2026-06-23</t>
        </is>
      </c>
      <c r="H326" s="37" t="inlineStr">
        <is>
          <t>Trong hạn</t>
        </is>
      </c>
      <c r="I326" s="37" t="inlineStr">
        <is>
          <t>Trong hạn</t>
        </is>
      </c>
      <c r="J326" s="29" t="n">
        <v>0</v>
      </c>
      <c r="K326" s="37" t="inlineStr"/>
    </row>
    <row r="327" ht="15.75" customHeight="1" s="56">
      <c r="A327" s="37" t="inlineStr">
        <is>
          <t>BK-HS-0324</t>
        </is>
      </c>
      <c r="B327" s="37" t="inlineStr">
        <is>
          <t>Nguyen Van A</t>
        </is>
      </c>
      <c r="C327" s="37" t="inlineStr">
        <is>
          <t>Linh Tay</t>
        </is>
      </c>
      <c r="D327" s="37" t="inlineStr">
        <is>
          <t>Đo hiện trạng</t>
        </is>
      </c>
      <c r="E327" s="37" t="inlineStr">
        <is>
          <t>Vo Thanh Minh</t>
        </is>
      </c>
      <c r="F327" s="37" t="inlineStr">
        <is>
          <t>Le Van Dung</t>
        </is>
      </c>
      <c r="G327" s="27" t="inlineStr">
        <is>
          <t>2026-06-23</t>
        </is>
      </c>
      <c r="H327" s="37" t="inlineStr">
        <is>
          <t>Trong hạn</t>
        </is>
      </c>
      <c r="I327" s="37" t="inlineStr">
        <is>
          <t>Trong hạn</t>
        </is>
      </c>
      <c r="J327" s="29" t="n">
        <v>0</v>
      </c>
      <c r="K327" s="37" t="inlineStr"/>
    </row>
    <row r="328" ht="15.75" customHeight="1" s="56">
      <c r="A328" s="37" t="inlineStr">
        <is>
          <t>BK-HS-0325</t>
        </is>
      </c>
      <c r="B328" s="37" t="inlineStr">
        <is>
          <t>Nguyen Van A</t>
        </is>
      </c>
      <c r="C328" s="37" t="inlineStr">
        <is>
          <t>Linh Tay</t>
        </is>
      </c>
      <c r="D328" s="37" t="inlineStr">
        <is>
          <t>Đo hiện trạng</t>
        </is>
      </c>
      <c r="E328" s="37" t="inlineStr">
        <is>
          <t>Vo Thanh Minh</t>
        </is>
      </c>
      <c r="F328" s="37" t="inlineStr">
        <is>
          <t>Le Van Dung</t>
        </is>
      </c>
      <c r="G328" s="27" t="inlineStr">
        <is>
          <t>2026-06-23</t>
        </is>
      </c>
      <c r="H328" s="37" t="inlineStr">
        <is>
          <t>Trong hạn</t>
        </is>
      </c>
      <c r="I328" s="37" t="inlineStr">
        <is>
          <t>Chờ khảo sát</t>
        </is>
      </c>
      <c r="J328" s="29" t="n">
        <v>0</v>
      </c>
      <c r="K328" s="37" t="inlineStr"/>
    </row>
    <row r="329" ht="15.75" customHeight="1" s="56">
      <c r="A329" s="37" t="inlineStr">
        <is>
          <t>BK-HS-0326</t>
        </is>
      </c>
      <c r="B329" s="37" t="inlineStr">
        <is>
          <t>Khách Test</t>
        </is>
      </c>
      <c r="C329" s="37" t="inlineStr">
        <is>
          <t>Linh Trung</t>
        </is>
      </c>
      <c r="D329" s="37" t="inlineStr">
        <is>
          <t>Đo hiện trạng</t>
        </is>
      </c>
      <c r="E329" s="37" t="inlineStr">
        <is>
          <t>Lê Văn Dựng</t>
        </is>
      </c>
      <c r="F329" s="37" t="inlineStr">
        <is>
          <t>Không cần</t>
        </is>
      </c>
      <c r="G329" s="27" t="inlineStr">
        <is>
          <t>2026-06-23</t>
        </is>
      </c>
      <c r="H329" s="37" t="inlineStr">
        <is>
          <t>Trong hạn</t>
        </is>
      </c>
      <c r="I329" s="37" t="inlineStr">
        <is>
          <t>Trong hạn</t>
        </is>
      </c>
      <c r="J329" s="29" t="n">
        <v>0</v>
      </c>
      <c r="K329" s="37" t="inlineStr"/>
    </row>
    <row r="330" ht="15.75" customHeight="1" s="56">
      <c r="A330" s="37" t="n"/>
      <c r="B330" s="37" t="n"/>
      <c r="C330" s="37" t="n"/>
      <c r="D330" s="37" t="n"/>
      <c r="E330" s="37" t="n"/>
      <c r="F330" s="37" t="n"/>
      <c r="G330" s="27" t="n"/>
      <c r="H330" s="37" t="n"/>
      <c r="I330" s="37" t="n"/>
      <c r="J330" s="29" t="n"/>
      <c r="K330" s="37" t="n"/>
    </row>
    <row r="331" ht="15.75" customHeight="1" s="56">
      <c r="A331" s="37" t="n"/>
      <c r="B331" s="37" t="n"/>
      <c r="C331" s="37" t="n"/>
      <c r="D331" s="37" t="n"/>
      <c r="E331" s="37" t="n"/>
      <c r="F331" s="37" t="n"/>
      <c r="G331" s="27" t="n"/>
      <c r="H331" s="37" t="n"/>
      <c r="I331" s="37" t="n"/>
      <c r="J331" s="29" t="n"/>
      <c r="K331" s="37" t="n"/>
    </row>
    <row r="332" ht="15.75" customHeight="1" s="56">
      <c r="A332" s="37" t="n"/>
      <c r="B332" s="37" t="n"/>
      <c r="C332" s="37" t="n"/>
      <c r="D332" s="37" t="n"/>
      <c r="E332" s="37" t="n"/>
      <c r="F332" s="37" t="n"/>
      <c r="G332" s="27" t="n"/>
      <c r="H332" s="37" t="n"/>
      <c r="I332" s="37" t="n"/>
      <c r="J332" s="29" t="n"/>
      <c r="K332" s="37" t="n"/>
    </row>
    <row r="333" ht="15.75" customHeight="1" s="56">
      <c r="A333" s="37" t="n"/>
      <c r="B333" s="37" t="n"/>
      <c r="C333" s="37" t="n"/>
      <c r="D333" s="37" t="n"/>
      <c r="E333" s="37" t="n"/>
      <c r="F333" s="37" t="n"/>
      <c r="G333" s="27" t="n"/>
      <c r="H333" s="37" t="n"/>
      <c r="I333" s="37" t="n"/>
      <c r="J333" s="29" t="n"/>
      <c r="K333" s="37" t="n"/>
    </row>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K$200"/>
  <mergeCells count="2">
    <mergeCell ref="A2:K2"/>
    <mergeCell ref="A1:K1"/>
  </mergeCells>
  <dataValidations count="3">
    <dataValidation sqref="E4:F200" showDropDown="0" showInputMessage="0" showErrorMessage="0" allowBlank="1" type="list">
      <formula1>DM_NHANSU</formula1>
    </dataValidation>
    <dataValidation sqref="D4:D200" showDropDown="0" showInputMessage="0" showErrorMessage="0" allowBlank="1" type="list">
      <formula1>DM_DICHVU</formula1>
    </dataValidation>
    <dataValidation sqref="I4:I200" showDropDown="0" showInputMessage="0" showErrorMessage="0" allowBlank="1" type="list">
      <formula1>DM_TRANGTHAI_TASK</formula1>
    </dataValidation>
  </dataValidation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J2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22" customWidth="1" style="56" min="2" max="2"/>
    <col width="18" customWidth="1" style="56" min="3" max="5"/>
    <col width="13" customWidth="1" style="56" min="6" max="7"/>
    <col width="16" customWidth="1" style="56" min="8" max="8"/>
    <col width="14" customWidth="1" style="56" min="9" max="9"/>
    <col width="26" customWidth="1" style="56" min="10" max="10"/>
    <col width="8.710000000000001" customWidth="1" style="56" min="11" max="26"/>
  </cols>
  <sheetData>
    <row r="1">
      <c r="A1" s="68" t="inlineStr">
        <is>
          <t>PHÒNG PHÁP LÝ - THEO DÕI</t>
        </is>
      </c>
      <c r="B1" s="58" t="n"/>
      <c r="C1" s="58" t="n"/>
      <c r="D1" s="58" t="n"/>
      <c r="E1" s="58" t="n"/>
      <c r="F1" s="58" t="n"/>
      <c r="G1" s="58" t="n"/>
      <c r="H1" s="58" t="n"/>
      <c r="I1" s="58" t="n"/>
      <c r="J1" s="59" t="n"/>
    </row>
    <row r="2">
      <c r="A2" s="23" t="inlineStr">
        <is>
          <t>Theo dõi hồ sơ pháp lý và ngày hẹn trả.</t>
        </is>
      </c>
    </row>
    <row r="3">
      <c r="A3" s="43" t="inlineStr">
        <is>
          <t>Mã hồ sơ</t>
        </is>
      </c>
      <c r="B3" s="43" t="inlineStr">
        <is>
          <t>Khách</t>
        </is>
      </c>
      <c r="C3" s="43" t="inlineStr">
        <is>
          <t>Loại hồ sơ</t>
        </is>
      </c>
      <c r="D3" s="43" t="inlineStr">
        <is>
          <t>Nhân viên pháp lý</t>
        </is>
      </c>
      <c r="E3" s="43" t="inlineStr">
        <is>
          <t>Bước hiện tại</t>
        </is>
      </c>
      <c r="F3" s="43" t="inlineStr">
        <is>
          <t>Ngày nộp</t>
        </is>
      </c>
      <c r="G3" s="43" t="inlineStr">
        <is>
          <t>Ngày hẹn trả</t>
        </is>
      </c>
      <c r="H3" s="43" t="inlineStr">
        <is>
          <t>Trạng thái</t>
        </is>
      </c>
      <c r="I3" s="43" t="inlineStr">
        <is>
          <t>Số ngày còn lại</t>
        </is>
      </c>
      <c r="J3" s="43" t="inlineStr">
        <is>
          <t>Ghi chú</t>
        </is>
      </c>
    </row>
    <row r="4">
      <c r="A4" s="37" t="inlineStr">
        <is>
          <t>BK-HS-0002</t>
        </is>
      </c>
      <c r="B4" s="37" t="inlineStr">
        <is>
          <t>Cô Hoa</t>
        </is>
      </c>
      <c r="C4" s="37" t="inlineStr">
        <is>
          <t>Hoàn công</t>
        </is>
      </c>
      <c r="D4" s="37" t="inlineStr">
        <is>
          <t>Trương Tấn Quốc</t>
        </is>
      </c>
      <c r="E4" s="37" t="inlineStr">
        <is>
          <t>Soạn hồ sơ</t>
        </is>
      </c>
      <c r="F4" s="27" t="inlineStr">
        <is>
          <t>2026-03-18</t>
        </is>
      </c>
      <c r="G4" s="27" t="inlineStr">
        <is>
          <t>2026-03-29</t>
        </is>
      </c>
      <c r="H4" s="37" t="inlineStr">
        <is>
          <t>Đang tiến hành</t>
        </is>
      </c>
      <c r="I4" s="37">
        <f>IF(G4="","",G4-TODAY())</f>
        <v/>
      </c>
      <c r="J4" s="37" t="n"/>
    </row>
    <row r="5">
      <c r="A5" s="37" t="n"/>
      <c r="B5" s="37" t="n"/>
      <c r="C5" s="37" t="n"/>
      <c r="D5" s="37" t="n"/>
      <c r="E5" s="37" t="n"/>
      <c r="F5" s="27" t="n"/>
      <c r="G5" s="27" t="n"/>
      <c r="H5" s="37" t="n"/>
      <c r="I5" s="37">
        <f>IF(G5="","",G5-TODAY())</f>
        <v/>
      </c>
      <c r="J5" s="37" t="n"/>
    </row>
    <row r="6">
      <c r="A6" s="37" t="n"/>
      <c r="B6" s="37" t="n"/>
      <c r="C6" s="37" t="n"/>
      <c r="D6" s="37" t="n"/>
      <c r="E6" s="37" t="n"/>
      <c r="F6" s="27" t="n"/>
      <c r="G6" s="27" t="n"/>
      <c r="H6" s="37" t="n"/>
      <c r="I6" s="37">
        <f>IF(G6="","",G6-TODAY())</f>
        <v/>
      </c>
      <c r="J6" s="37" t="n"/>
    </row>
    <row r="7">
      <c r="A7" s="37" t="n"/>
      <c r="B7" s="37" t="n"/>
      <c r="C7" s="37" t="n"/>
      <c r="D7" s="37" t="n"/>
      <c r="E7" s="37" t="n"/>
      <c r="F7" s="27" t="n"/>
      <c r="G7" s="27" t="n"/>
      <c r="H7" s="37" t="n"/>
      <c r="I7" s="37">
        <f>IF(G7="","",G7-TODAY())</f>
        <v/>
      </c>
      <c r="J7" s="37" t="n"/>
    </row>
    <row r="8">
      <c r="A8" s="37" t="n"/>
      <c r="B8" s="37" t="n"/>
      <c r="C8" s="37" t="n"/>
      <c r="D8" s="37" t="n"/>
      <c r="E8" s="37" t="n"/>
      <c r="F8" s="27" t="n"/>
      <c r="G8" s="27" t="n"/>
      <c r="H8" s="37" t="n"/>
      <c r="I8" s="37">
        <f>IF(G8="","",G8-TODAY())</f>
        <v/>
      </c>
      <c r="J8" s="37" t="n"/>
    </row>
    <row r="9">
      <c r="A9" s="37" t="n"/>
      <c r="B9" s="37" t="n"/>
      <c r="C9" s="37" t="n"/>
      <c r="D9" s="37" t="n"/>
      <c r="E9" s="37" t="n"/>
      <c r="F9" s="27" t="n"/>
      <c r="G9" s="27" t="n"/>
      <c r="H9" s="37" t="n"/>
      <c r="I9" s="37">
        <f>IF(G9="","",G9-TODAY())</f>
        <v/>
      </c>
      <c r="J9" s="37" t="n"/>
    </row>
    <row r="10">
      <c r="A10" s="37" t="n"/>
      <c r="B10" s="37" t="n"/>
      <c r="C10" s="37" t="n"/>
      <c r="D10" s="37" t="n"/>
      <c r="E10" s="37" t="n"/>
      <c r="F10" s="27" t="n"/>
      <c r="G10" s="27" t="n"/>
      <c r="H10" s="37" t="n"/>
      <c r="I10" s="37">
        <f>IF(G10="","",G10-TODAY())</f>
        <v/>
      </c>
      <c r="J10" s="37" t="n"/>
    </row>
    <row r="11">
      <c r="A11" s="37" t="n"/>
      <c r="B11" s="37" t="n"/>
      <c r="C11" s="37" t="n"/>
      <c r="D11" s="37" t="n"/>
      <c r="E11" s="37" t="n"/>
      <c r="F11" s="27" t="n"/>
      <c r="G11" s="27" t="n"/>
      <c r="H11" s="37" t="n"/>
      <c r="I11" s="37">
        <f>IF(G11="","",G11-TODAY())</f>
        <v/>
      </c>
      <c r="J11" s="37" t="n"/>
    </row>
    <row r="12">
      <c r="A12" s="37" t="n"/>
      <c r="B12" s="37" t="n"/>
      <c r="C12" s="37" t="n"/>
      <c r="D12" s="37" t="n"/>
      <c r="E12" s="37" t="n"/>
      <c r="F12" s="27" t="n"/>
      <c r="G12" s="27" t="n"/>
      <c r="H12" s="37" t="n"/>
      <c r="I12" s="37">
        <f>IF(G12="","",G12-TODAY())</f>
        <v/>
      </c>
      <c r="J12" s="37" t="n"/>
    </row>
    <row r="13">
      <c r="A13" s="37" t="n"/>
      <c r="B13" s="37" t="n"/>
      <c r="C13" s="37" t="n"/>
      <c r="D13" s="37" t="n"/>
      <c r="E13" s="37" t="n"/>
      <c r="F13" s="27" t="n"/>
      <c r="G13" s="27" t="n"/>
      <c r="H13" s="37" t="n"/>
      <c r="I13" s="37">
        <f>IF(G13="","",G13-TODAY())</f>
        <v/>
      </c>
      <c r="J13" s="37" t="n"/>
    </row>
    <row r="14">
      <c r="A14" s="37" t="n"/>
      <c r="B14" s="37" t="n"/>
      <c r="C14" s="37" t="n"/>
      <c r="D14" s="37" t="n"/>
      <c r="E14" s="37" t="n"/>
      <c r="F14" s="27" t="n"/>
      <c r="G14" s="27" t="n"/>
      <c r="H14" s="37" t="n"/>
      <c r="I14" s="37">
        <f>IF(G14="","",G14-TODAY())</f>
        <v/>
      </c>
      <c r="J14" s="37" t="n"/>
    </row>
    <row r="15">
      <c r="A15" s="37" t="n"/>
      <c r="B15" s="37" t="n"/>
      <c r="C15" s="37" t="n"/>
      <c r="D15" s="37" t="n"/>
      <c r="E15" s="37" t="n"/>
      <c r="F15" s="27" t="n"/>
      <c r="G15" s="27" t="n"/>
      <c r="H15" s="37" t="n"/>
      <c r="I15" s="37">
        <f>IF(G15="","",G15-TODAY())</f>
        <v/>
      </c>
      <c r="J15" s="37" t="n"/>
    </row>
    <row r="16">
      <c r="A16" s="37" t="n"/>
      <c r="B16" s="37" t="n"/>
      <c r="C16" s="37" t="n"/>
      <c r="D16" s="37" t="n"/>
      <c r="E16" s="37" t="n"/>
      <c r="F16" s="27" t="n"/>
      <c r="G16" s="27" t="n"/>
      <c r="H16" s="37" t="n"/>
      <c r="I16" s="37">
        <f>IF(G16="","",G16-TODAY())</f>
        <v/>
      </c>
      <c r="J16" s="37" t="n"/>
    </row>
    <row r="17">
      <c r="A17" s="37" t="n"/>
      <c r="B17" s="37" t="n"/>
      <c r="C17" s="37" t="n"/>
      <c r="D17" s="37" t="n"/>
      <c r="E17" s="37" t="n"/>
      <c r="F17" s="27" t="n"/>
      <c r="G17" s="27" t="n"/>
      <c r="H17" s="37" t="n"/>
      <c r="I17" s="37">
        <f>IF(G17="","",G17-TODAY())</f>
        <v/>
      </c>
      <c r="J17" s="37" t="n"/>
    </row>
    <row r="18">
      <c r="A18" s="37" t="n"/>
      <c r="B18" s="37" t="n"/>
      <c r="C18" s="37" t="n"/>
      <c r="D18" s="37" t="n"/>
      <c r="E18" s="37" t="n"/>
      <c r="F18" s="27" t="n"/>
      <c r="G18" s="27" t="n"/>
      <c r="H18" s="37" t="n"/>
      <c r="I18" s="37">
        <f>IF(G18="","",G18-TODAY())</f>
        <v/>
      </c>
      <c r="J18" s="37" t="n"/>
    </row>
    <row r="19">
      <c r="A19" s="37" t="n"/>
      <c r="B19" s="37" t="n"/>
      <c r="C19" s="37" t="n"/>
      <c r="D19" s="37" t="n"/>
      <c r="E19" s="37" t="n"/>
      <c r="F19" s="27" t="n"/>
      <c r="G19" s="27" t="n"/>
      <c r="H19" s="37" t="n"/>
      <c r="I19" s="37">
        <f>IF(G19="","",G19-TODAY())</f>
        <v/>
      </c>
      <c r="J19" s="37" t="n"/>
    </row>
    <row r="20">
      <c r="A20" s="37" t="n"/>
      <c r="B20" s="37" t="n"/>
      <c r="C20" s="37" t="n"/>
      <c r="D20" s="37" t="n"/>
      <c r="E20" s="37" t="n"/>
      <c r="F20" s="27" t="n"/>
      <c r="G20" s="27" t="n"/>
      <c r="H20" s="37" t="n"/>
      <c r="I20" s="37">
        <f>IF(G20="","",G20-TODAY())</f>
        <v/>
      </c>
      <c r="J20" s="37" t="n"/>
    </row>
    <row r="21" ht="15.75" customHeight="1" s="56">
      <c r="A21" s="37" t="n"/>
      <c r="B21" s="37" t="n"/>
      <c r="C21" s="37" t="n"/>
      <c r="D21" s="37" t="n"/>
      <c r="E21" s="37" t="n"/>
      <c r="F21" s="27" t="n"/>
      <c r="G21" s="27" t="n"/>
      <c r="H21" s="37" t="n"/>
      <c r="I21" s="37">
        <f>IF(G21="","",G21-TODAY())</f>
        <v/>
      </c>
      <c r="J21" s="37" t="n"/>
    </row>
    <row r="22" ht="15.75" customHeight="1" s="56">
      <c r="A22" s="37" t="n"/>
      <c r="B22" s="37" t="n"/>
      <c r="C22" s="37" t="n"/>
      <c r="D22" s="37" t="n"/>
      <c r="E22" s="37" t="n"/>
      <c r="F22" s="27" t="n"/>
      <c r="G22" s="27" t="n"/>
      <c r="H22" s="37" t="n"/>
      <c r="I22" s="37">
        <f>IF(G22="","",G22-TODAY())</f>
        <v/>
      </c>
      <c r="J22" s="37" t="n"/>
    </row>
    <row r="23" ht="15.75" customHeight="1" s="56">
      <c r="A23" s="37" t="n"/>
      <c r="B23" s="37" t="n"/>
      <c r="C23" s="37" t="n"/>
      <c r="D23" s="37" t="n"/>
      <c r="E23" s="37" t="n"/>
      <c r="F23" s="27" t="n"/>
      <c r="G23" s="27" t="n"/>
      <c r="H23" s="37" t="n"/>
      <c r="I23" s="37">
        <f>IF(G23="","",G23-TODAY())</f>
        <v/>
      </c>
      <c r="J23" s="37" t="n"/>
    </row>
    <row r="24" ht="15.75" customHeight="1" s="56">
      <c r="A24" s="37" t="n"/>
      <c r="B24" s="37" t="n"/>
      <c r="C24" s="37" t="n"/>
      <c r="D24" s="37" t="n"/>
      <c r="E24" s="37" t="n"/>
      <c r="F24" s="27" t="n"/>
      <c r="G24" s="27" t="n"/>
      <c r="H24" s="37" t="n"/>
      <c r="I24" s="37">
        <f>IF(G24="","",G24-TODAY())</f>
        <v/>
      </c>
      <c r="J24" s="37" t="n"/>
    </row>
    <row r="25" ht="15.75" customHeight="1" s="56">
      <c r="A25" s="37" t="n"/>
      <c r="B25" s="37" t="n"/>
      <c r="C25" s="37" t="n"/>
      <c r="D25" s="37" t="n"/>
      <c r="E25" s="37" t="n"/>
      <c r="F25" s="27" t="n"/>
      <c r="G25" s="27" t="n"/>
      <c r="H25" s="37" t="n"/>
      <c r="I25" s="37">
        <f>IF(G25="","",G25-TODAY())</f>
        <v/>
      </c>
      <c r="J25" s="37" t="n"/>
    </row>
    <row r="26" ht="15.75" customHeight="1" s="56">
      <c r="A26" s="37" t="n"/>
      <c r="B26" s="37" t="n"/>
      <c r="C26" s="37" t="n"/>
      <c r="D26" s="37" t="n"/>
      <c r="E26" s="37" t="n"/>
      <c r="F26" s="27" t="n"/>
      <c r="G26" s="27" t="n"/>
      <c r="H26" s="37" t="n"/>
      <c r="I26" s="37">
        <f>IF(G26="","",G26-TODAY())</f>
        <v/>
      </c>
      <c r="J26" s="37" t="n"/>
    </row>
    <row r="27" ht="15.75" customHeight="1" s="56">
      <c r="A27" s="37" t="n"/>
      <c r="B27" s="37" t="n"/>
      <c r="C27" s="37" t="n"/>
      <c r="D27" s="37" t="n"/>
      <c r="E27" s="37" t="n"/>
      <c r="F27" s="27" t="n"/>
      <c r="G27" s="27" t="n"/>
      <c r="H27" s="37" t="n"/>
      <c r="I27" s="37">
        <f>IF(G27="","",G27-TODAY())</f>
        <v/>
      </c>
      <c r="J27" s="37" t="n"/>
    </row>
    <row r="28" ht="15.75" customHeight="1" s="56">
      <c r="A28" s="37" t="n"/>
      <c r="B28" s="37" t="n"/>
      <c r="C28" s="37" t="n"/>
      <c r="D28" s="37" t="n"/>
      <c r="E28" s="37" t="n"/>
      <c r="F28" s="27" t="n"/>
      <c r="G28" s="27" t="n"/>
      <c r="H28" s="37" t="n"/>
      <c r="I28" s="37">
        <f>IF(G28="","",G28-TODAY())</f>
        <v/>
      </c>
      <c r="J28" s="37" t="n"/>
    </row>
    <row r="29" ht="15.75" customHeight="1" s="56">
      <c r="A29" s="37" t="n"/>
      <c r="B29" s="37" t="n"/>
      <c r="C29" s="37" t="n"/>
      <c r="D29" s="37" t="n"/>
      <c r="E29" s="37" t="n"/>
      <c r="F29" s="27" t="n"/>
      <c r="G29" s="27" t="n"/>
      <c r="H29" s="37" t="n"/>
      <c r="I29" s="37">
        <f>IF(G29="","",G29-TODAY())</f>
        <v/>
      </c>
      <c r="J29" s="37" t="n"/>
    </row>
    <row r="30" ht="15.75" customHeight="1" s="56">
      <c r="A30" s="37" t="n"/>
      <c r="B30" s="37" t="n"/>
      <c r="C30" s="37" t="n"/>
      <c r="D30" s="37" t="n"/>
      <c r="E30" s="37" t="n"/>
      <c r="F30" s="27" t="n"/>
      <c r="G30" s="27" t="n"/>
      <c r="H30" s="37" t="n"/>
      <c r="I30" s="37">
        <f>IF(G30="","",G30-TODAY())</f>
        <v/>
      </c>
      <c r="J30" s="37" t="n"/>
    </row>
    <row r="31" ht="15.75" customHeight="1" s="56">
      <c r="A31" s="37" t="n"/>
      <c r="B31" s="37" t="n"/>
      <c r="C31" s="37" t="n"/>
      <c r="D31" s="37" t="n"/>
      <c r="E31" s="37" t="n"/>
      <c r="F31" s="27" t="n"/>
      <c r="G31" s="27" t="n"/>
      <c r="H31" s="37" t="n"/>
      <c r="I31" s="37">
        <f>IF(G31="","",G31-TODAY())</f>
        <v/>
      </c>
      <c r="J31" s="37" t="n"/>
    </row>
    <row r="32" ht="15.75" customHeight="1" s="56">
      <c r="A32" s="37" t="n"/>
      <c r="B32" s="37" t="n"/>
      <c r="C32" s="37" t="n"/>
      <c r="D32" s="37" t="n"/>
      <c r="E32" s="37" t="n"/>
      <c r="F32" s="27" t="n"/>
      <c r="G32" s="27" t="n"/>
      <c r="H32" s="37" t="n"/>
      <c r="I32" s="37">
        <f>IF(G32="","",G32-TODAY())</f>
        <v/>
      </c>
      <c r="J32" s="37" t="n"/>
    </row>
    <row r="33" ht="15.75" customHeight="1" s="56">
      <c r="A33" s="37" t="n"/>
      <c r="B33" s="37" t="n"/>
      <c r="C33" s="37" t="n"/>
      <c r="D33" s="37" t="n"/>
      <c r="E33" s="37" t="n"/>
      <c r="F33" s="27" t="n"/>
      <c r="G33" s="27" t="n"/>
      <c r="H33" s="37" t="n"/>
      <c r="I33" s="37">
        <f>IF(G33="","",G33-TODAY())</f>
        <v/>
      </c>
      <c r="J33" s="37" t="n"/>
    </row>
    <row r="34" ht="15.75" customHeight="1" s="56">
      <c r="A34" s="37" t="n"/>
      <c r="B34" s="37" t="n"/>
      <c r="C34" s="37" t="n"/>
      <c r="D34" s="37" t="n"/>
      <c r="E34" s="37" t="n"/>
      <c r="F34" s="27" t="n"/>
      <c r="G34" s="27" t="n"/>
      <c r="H34" s="37" t="n"/>
      <c r="I34" s="37">
        <f>IF(G34="","",G34-TODAY())</f>
        <v/>
      </c>
      <c r="J34" s="37" t="n"/>
    </row>
    <row r="35" ht="15.75" customHeight="1" s="56">
      <c r="A35" s="37" t="n"/>
      <c r="B35" s="37" t="n"/>
      <c r="C35" s="37" t="n"/>
      <c r="D35" s="37" t="n"/>
      <c r="E35" s="37" t="n"/>
      <c r="F35" s="27" t="n"/>
      <c r="G35" s="27" t="n"/>
      <c r="H35" s="37" t="n"/>
      <c r="I35" s="37">
        <f>IF(G35="","",G35-TODAY())</f>
        <v/>
      </c>
      <c r="J35" s="37" t="n"/>
    </row>
    <row r="36" ht="15.75" customHeight="1" s="56">
      <c r="A36" s="37" t="n"/>
      <c r="B36" s="37" t="n"/>
      <c r="C36" s="37" t="n"/>
      <c r="D36" s="37" t="n"/>
      <c r="E36" s="37" t="n"/>
      <c r="F36" s="27" t="n"/>
      <c r="G36" s="27" t="n"/>
      <c r="H36" s="37" t="n"/>
      <c r="I36" s="37">
        <f>IF(G36="","",G36-TODAY())</f>
        <v/>
      </c>
      <c r="J36" s="37" t="n"/>
    </row>
    <row r="37" ht="15.75" customHeight="1" s="56">
      <c r="A37" s="37" t="n"/>
      <c r="B37" s="37" t="n"/>
      <c r="C37" s="37" t="n"/>
      <c r="D37" s="37" t="n"/>
      <c r="E37" s="37" t="n"/>
      <c r="F37" s="27" t="n"/>
      <c r="G37" s="27" t="n"/>
      <c r="H37" s="37" t="n"/>
      <c r="I37" s="37">
        <f>IF(G37="","",G37-TODAY())</f>
        <v/>
      </c>
      <c r="J37" s="37" t="n"/>
    </row>
    <row r="38" ht="15.75" customHeight="1" s="56">
      <c r="A38" s="37" t="n"/>
      <c r="B38" s="37" t="n"/>
      <c r="C38" s="37" t="n"/>
      <c r="D38" s="37" t="n"/>
      <c r="E38" s="37" t="n"/>
      <c r="F38" s="27" t="n"/>
      <c r="G38" s="27" t="n"/>
      <c r="H38" s="37" t="n"/>
      <c r="I38" s="37">
        <f>IF(G38="","",G38-TODAY())</f>
        <v/>
      </c>
      <c r="J38" s="37" t="n"/>
    </row>
    <row r="39" ht="15.75" customHeight="1" s="56">
      <c r="A39" s="37" t="n"/>
      <c r="B39" s="37" t="n"/>
      <c r="C39" s="37" t="n"/>
      <c r="D39" s="37" t="n"/>
      <c r="E39" s="37" t="n"/>
      <c r="F39" s="27" t="n"/>
      <c r="G39" s="27" t="n"/>
      <c r="H39" s="37" t="n"/>
      <c r="I39" s="37">
        <f>IF(G39="","",G39-TODAY())</f>
        <v/>
      </c>
      <c r="J39" s="37" t="n"/>
    </row>
    <row r="40" ht="15.75" customHeight="1" s="56">
      <c r="A40" s="37" t="n"/>
      <c r="B40" s="37" t="n"/>
      <c r="C40" s="37" t="n"/>
      <c r="D40" s="37" t="n"/>
      <c r="E40" s="37" t="n"/>
      <c r="F40" s="27" t="n"/>
      <c r="G40" s="27" t="n"/>
      <c r="H40" s="37" t="n"/>
      <c r="I40" s="37">
        <f>IF(G40="","",G40-TODAY())</f>
        <v/>
      </c>
      <c r="J40" s="37" t="n"/>
    </row>
    <row r="41" ht="15.75" customHeight="1" s="56">
      <c r="A41" s="37" t="n"/>
      <c r="B41" s="37" t="n"/>
      <c r="C41" s="37" t="n"/>
      <c r="D41" s="37" t="n"/>
      <c r="E41" s="37" t="n"/>
      <c r="F41" s="27" t="n"/>
      <c r="G41" s="27" t="n"/>
      <c r="H41" s="37" t="n"/>
      <c r="I41" s="37">
        <f>IF(G41="","",G41-TODAY())</f>
        <v/>
      </c>
      <c r="J41" s="37" t="n"/>
    </row>
    <row r="42" ht="15.75" customHeight="1" s="56">
      <c r="A42" s="37" t="n"/>
      <c r="B42" s="37" t="n"/>
      <c r="C42" s="37" t="n"/>
      <c r="D42" s="37" t="n"/>
      <c r="E42" s="37" t="n"/>
      <c r="F42" s="27" t="n"/>
      <c r="G42" s="27" t="n"/>
      <c r="H42" s="37" t="n"/>
      <c r="I42" s="37">
        <f>IF(G42="","",G42-TODAY())</f>
        <v/>
      </c>
      <c r="J42" s="37" t="n"/>
    </row>
    <row r="43" ht="15.75" customHeight="1" s="56">
      <c r="A43" s="37" t="n"/>
      <c r="B43" s="37" t="n"/>
      <c r="C43" s="37" t="n"/>
      <c r="D43" s="37" t="n"/>
      <c r="E43" s="37" t="n"/>
      <c r="F43" s="27" t="n"/>
      <c r="G43" s="27" t="n"/>
      <c r="H43" s="37" t="n"/>
      <c r="I43" s="37">
        <f>IF(G43="","",G43-TODAY())</f>
        <v/>
      </c>
      <c r="J43" s="37" t="n"/>
    </row>
    <row r="44" ht="15.75" customHeight="1" s="56">
      <c r="A44" s="37" t="n"/>
      <c r="B44" s="37" t="n"/>
      <c r="C44" s="37" t="n"/>
      <c r="D44" s="37" t="n"/>
      <c r="E44" s="37" t="n"/>
      <c r="F44" s="27" t="n"/>
      <c r="G44" s="27" t="n"/>
      <c r="H44" s="37" t="n"/>
      <c r="I44" s="37">
        <f>IF(G44="","",G44-TODAY())</f>
        <v/>
      </c>
      <c r="J44" s="37" t="n"/>
    </row>
    <row r="45" ht="15.75" customHeight="1" s="56">
      <c r="A45" s="37" t="n"/>
      <c r="B45" s="37" t="n"/>
      <c r="C45" s="37" t="n"/>
      <c r="D45" s="37" t="n"/>
      <c r="E45" s="37" t="n"/>
      <c r="F45" s="27" t="n"/>
      <c r="G45" s="27" t="n"/>
      <c r="H45" s="37" t="n"/>
      <c r="I45" s="37">
        <f>IF(G45="","",G45-TODAY())</f>
        <v/>
      </c>
      <c r="J45" s="37" t="n"/>
    </row>
    <row r="46" ht="15.75" customHeight="1" s="56">
      <c r="A46" s="37" t="n"/>
      <c r="B46" s="37" t="n"/>
      <c r="C46" s="37" t="n"/>
      <c r="D46" s="37" t="n"/>
      <c r="E46" s="37" t="n"/>
      <c r="F46" s="27" t="n"/>
      <c r="G46" s="27" t="n"/>
      <c r="H46" s="37" t="n"/>
      <c r="I46" s="37">
        <f>IF(G46="","",G46-TODAY())</f>
        <v/>
      </c>
      <c r="J46" s="37" t="n"/>
    </row>
    <row r="47" ht="15.75" customHeight="1" s="56">
      <c r="A47" s="37" t="n"/>
      <c r="B47" s="37" t="n"/>
      <c r="C47" s="37" t="n"/>
      <c r="D47" s="37" t="n"/>
      <c r="E47" s="37" t="n"/>
      <c r="F47" s="27" t="n"/>
      <c r="G47" s="27" t="n"/>
      <c r="H47" s="37" t="n"/>
      <c r="I47" s="37">
        <f>IF(G47="","",G47-TODAY())</f>
        <v/>
      </c>
      <c r="J47" s="37" t="n"/>
    </row>
    <row r="48" ht="15.75" customHeight="1" s="56">
      <c r="A48" s="37" t="n"/>
      <c r="B48" s="37" t="n"/>
      <c r="C48" s="37" t="n"/>
      <c r="D48" s="37" t="n"/>
      <c r="E48" s="37" t="n"/>
      <c r="F48" s="27" t="n"/>
      <c r="G48" s="27" t="n"/>
      <c r="H48" s="37" t="n"/>
      <c r="I48" s="37">
        <f>IF(G48="","",G48-TODAY())</f>
        <v/>
      </c>
      <c r="J48" s="37" t="n"/>
    </row>
    <row r="49" ht="15.75" customHeight="1" s="56">
      <c r="A49" s="37" t="n"/>
      <c r="B49" s="37" t="n"/>
      <c r="C49" s="37" t="n"/>
      <c r="D49" s="37" t="n"/>
      <c r="E49" s="37" t="n"/>
      <c r="F49" s="27" t="n"/>
      <c r="G49" s="27" t="n"/>
      <c r="H49" s="37" t="n"/>
      <c r="I49" s="37">
        <f>IF(G49="","",G49-TODAY())</f>
        <v/>
      </c>
      <c r="J49" s="37" t="n"/>
    </row>
    <row r="50" ht="15.75" customHeight="1" s="56">
      <c r="A50" s="37" t="n"/>
      <c r="B50" s="37" t="n"/>
      <c r="C50" s="37" t="n"/>
      <c r="D50" s="37" t="n"/>
      <c r="E50" s="37" t="n"/>
      <c r="F50" s="27" t="n"/>
      <c r="G50" s="27" t="n"/>
      <c r="H50" s="37" t="n"/>
      <c r="I50" s="37">
        <f>IF(G50="","",G50-TODAY())</f>
        <v/>
      </c>
      <c r="J50" s="37" t="n"/>
    </row>
    <row r="51" ht="15.75" customHeight="1" s="56">
      <c r="A51" s="37" t="n"/>
      <c r="B51" s="37" t="n"/>
      <c r="C51" s="37" t="n"/>
      <c r="D51" s="37" t="n"/>
      <c r="E51" s="37" t="n"/>
      <c r="F51" s="27" t="n"/>
      <c r="G51" s="27" t="n"/>
      <c r="H51" s="37" t="n"/>
      <c r="I51" s="37">
        <f>IF(G51="","",G51-TODAY())</f>
        <v/>
      </c>
      <c r="J51" s="37" t="n"/>
    </row>
    <row r="52" ht="15.75" customHeight="1" s="56">
      <c r="A52" s="37" t="n"/>
      <c r="B52" s="37" t="n"/>
      <c r="C52" s="37" t="n"/>
      <c r="D52" s="37" t="n"/>
      <c r="E52" s="37" t="n"/>
      <c r="F52" s="27" t="n"/>
      <c r="G52" s="27" t="n"/>
      <c r="H52" s="37" t="n"/>
      <c r="I52" s="37">
        <f>IF(G52="","",G52-TODAY())</f>
        <v/>
      </c>
      <c r="J52" s="37" t="n"/>
    </row>
    <row r="53" ht="15.75" customHeight="1" s="56">
      <c r="A53" s="37" t="n"/>
      <c r="B53" s="37" t="n"/>
      <c r="C53" s="37" t="n"/>
      <c r="D53" s="37" t="n"/>
      <c r="E53" s="37" t="n"/>
      <c r="F53" s="27" t="n"/>
      <c r="G53" s="27" t="n"/>
      <c r="H53" s="37" t="n"/>
      <c r="I53" s="37">
        <f>IF(G53="","",G53-TODAY())</f>
        <v/>
      </c>
      <c r="J53" s="37" t="n"/>
    </row>
    <row r="54" ht="15.75" customHeight="1" s="56">
      <c r="A54" s="37" t="n"/>
      <c r="B54" s="37" t="n"/>
      <c r="C54" s="37" t="n"/>
      <c r="D54" s="37" t="n"/>
      <c r="E54" s="37" t="n"/>
      <c r="F54" s="27" t="n"/>
      <c r="G54" s="27" t="n"/>
      <c r="H54" s="37" t="n"/>
      <c r="I54" s="37">
        <f>IF(G54="","",G54-TODAY())</f>
        <v/>
      </c>
      <c r="J54" s="37" t="n"/>
    </row>
    <row r="55" ht="15.75" customHeight="1" s="56">
      <c r="A55" s="37" t="n"/>
      <c r="B55" s="37" t="n"/>
      <c r="C55" s="37" t="n"/>
      <c r="D55" s="37" t="n"/>
      <c r="E55" s="37" t="n"/>
      <c r="F55" s="27" t="n"/>
      <c r="G55" s="27" t="n"/>
      <c r="H55" s="37" t="n"/>
      <c r="I55" s="37">
        <f>IF(G55="","",G55-TODAY())</f>
        <v/>
      </c>
      <c r="J55" s="37" t="n"/>
    </row>
    <row r="56" ht="15.75" customHeight="1" s="56">
      <c r="A56" s="37" t="n"/>
      <c r="B56" s="37" t="n"/>
      <c r="C56" s="37" t="n"/>
      <c r="D56" s="37" t="n"/>
      <c r="E56" s="37" t="n"/>
      <c r="F56" s="27" t="n"/>
      <c r="G56" s="27" t="n"/>
      <c r="H56" s="37" t="n"/>
      <c r="I56" s="37">
        <f>IF(G56="","",G56-TODAY())</f>
        <v/>
      </c>
      <c r="J56" s="37" t="n"/>
    </row>
    <row r="57" ht="15.75" customHeight="1" s="56">
      <c r="A57" s="37" t="n"/>
      <c r="B57" s="37" t="n"/>
      <c r="C57" s="37" t="n"/>
      <c r="D57" s="37" t="n"/>
      <c r="E57" s="37" t="n"/>
      <c r="F57" s="27" t="n"/>
      <c r="G57" s="27" t="n"/>
      <c r="H57" s="37" t="n"/>
      <c r="I57" s="37">
        <f>IF(G57="","",G57-TODAY())</f>
        <v/>
      </c>
      <c r="J57" s="37" t="n"/>
    </row>
    <row r="58" ht="15.75" customHeight="1" s="56">
      <c r="A58" s="37" t="n"/>
      <c r="B58" s="37" t="n"/>
      <c r="C58" s="37" t="n"/>
      <c r="D58" s="37" t="n"/>
      <c r="E58" s="37" t="n"/>
      <c r="F58" s="27" t="n"/>
      <c r="G58" s="27" t="n"/>
      <c r="H58" s="37" t="n"/>
      <c r="I58" s="37">
        <f>IF(G58="","",G58-TODAY())</f>
        <v/>
      </c>
      <c r="J58" s="37" t="n"/>
    </row>
    <row r="59" ht="15.75" customHeight="1" s="56">
      <c r="A59" s="37" t="n"/>
      <c r="B59" s="37" t="n"/>
      <c r="C59" s="37" t="n"/>
      <c r="D59" s="37" t="n"/>
      <c r="E59" s="37" t="n"/>
      <c r="F59" s="27" t="n"/>
      <c r="G59" s="27" t="n"/>
      <c r="H59" s="37" t="n"/>
      <c r="I59" s="37">
        <f>IF(G59="","",G59-TODAY())</f>
        <v/>
      </c>
      <c r="J59" s="37" t="n"/>
    </row>
    <row r="60" ht="15.75" customHeight="1" s="56">
      <c r="A60" s="37" t="n"/>
      <c r="B60" s="37" t="n"/>
      <c r="C60" s="37" t="n"/>
      <c r="D60" s="37" t="n"/>
      <c r="E60" s="37" t="n"/>
      <c r="F60" s="27" t="n"/>
      <c r="G60" s="27" t="n"/>
      <c r="H60" s="37" t="n"/>
      <c r="I60" s="37">
        <f>IF(G60="","",G60-TODAY())</f>
        <v/>
      </c>
      <c r="J60" s="37" t="n"/>
    </row>
    <row r="61" ht="15.75" customHeight="1" s="56">
      <c r="A61" s="37" t="n"/>
      <c r="B61" s="37" t="n"/>
      <c r="C61" s="37" t="n"/>
      <c r="D61" s="37" t="n"/>
      <c r="E61" s="37" t="n"/>
      <c r="F61" s="27" t="n"/>
      <c r="G61" s="27" t="n"/>
      <c r="H61" s="37" t="n"/>
      <c r="I61" s="37">
        <f>IF(G61="","",G61-TODAY())</f>
        <v/>
      </c>
      <c r="J61" s="37" t="n"/>
    </row>
    <row r="62" ht="15.75" customHeight="1" s="56">
      <c r="A62" s="37" t="n"/>
      <c r="B62" s="37" t="n"/>
      <c r="C62" s="37" t="n"/>
      <c r="D62" s="37" t="n"/>
      <c r="E62" s="37" t="n"/>
      <c r="F62" s="27" t="n"/>
      <c r="G62" s="27" t="n"/>
      <c r="H62" s="37" t="n"/>
      <c r="I62" s="37">
        <f>IF(G62="","",G62-TODAY())</f>
        <v/>
      </c>
      <c r="J62" s="37" t="n"/>
    </row>
    <row r="63" ht="15.75" customHeight="1" s="56">
      <c r="A63" s="37" t="n"/>
      <c r="B63" s="37" t="n"/>
      <c r="C63" s="37" t="n"/>
      <c r="D63" s="37" t="n"/>
      <c r="E63" s="37" t="n"/>
      <c r="F63" s="27" t="n"/>
      <c r="G63" s="27" t="n"/>
      <c r="H63" s="37" t="n"/>
      <c r="I63" s="37">
        <f>IF(G63="","",G63-TODAY())</f>
        <v/>
      </c>
      <c r="J63" s="37" t="n"/>
    </row>
    <row r="64" ht="15.75" customHeight="1" s="56">
      <c r="A64" s="37" t="n"/>
      <c r="B64" s="37" t="n"/>
      <c r="C64" s="37" t="n"/>
      <c r="D64" s="37" t="n"/>
      <c r="E64" s="37" t="n"/>
      <c r="F64" s="27" t="n"/>
      <c r="G64" s="27" t="n"/>
      <c r="H64" s="37" t="n"/>
      <c r="I64" s="37">
        <f>IF(G64="","",G64-TODAY())</f>
        <v/>
      </c>
      <c r="J64" s="37" t="n"/>
    </row>
    <row r="65" ht="15.75" customHeight="1" s="56">
      <c r="A65" s="37" t="n"/>
      <c r="B65" s="37" t="n"/>
      <c r="C65" s="37" t="n"/>
      <c r="D65" s="37" t="n"/>
      <c r="E65" s="37" t="n"/>
      <c r="F65" s="27" t="n"/>
      <c r="G65" s="27" t="n"/>
      <c r="H65" s="37" t="n"/>
      <c r="I65" s="37">
        <f>IF(G65="","",G65-TODAY())</f>
        <v/>
      </c>
      <c r="J65" s="37" t="n"/>
    </row>
    <row r="66" ht="15.75" customHeight="1" s="56">
      <c r="A66" s="37" t="n"/>
      <c r="B66" s="37" t="n"/>
      <c r="C66" s="37" t="n"/>
      <c r="D66" s="37" t="n"/>
      <c r="E66" s="37" t="n"/>
      <c r="F66" s="27" t="n"/>
      <c r="G66" s="27" t="n"/>
      <c r="H66" s="37" t="n"/>
      <c r="I66" s="37">
        <f>IF(G66="","",G66-TODAY())</f>
        <v/>
      </c>
      <c r="J66" s="37" t="n"/>
    </row>
    <row r="67" ht="15.75" customHeight="1" s="56">
      <c r="A67" s="37" t="n"/>
      <c r="B67" s="37" t="n"/>
      <c r="C67" s="37" t="n"/>
      <c r="D67" s="37" t="n"/>
      <c r="E67" s="37" t="n"/>
      <c r="F67" s="27" t="n"/>
      <c r="G67" s="27" t="n"/>
      <c r="H67" s="37" t="n"/>
      <c r="I67" s="37">
        <f>IF(G67="","",G67-TODAY())</f>
        <v/>
      </c>
      <c r="J67" s="37" t="n"/>
    </row>
    <row r="68" ht="15.75" customHeight="1" s="56">
      <c r="A68" s="37" t="n"/>
      <c r="B68" s="37" t="n"/>
      <c r="C68" s="37" t="n"/>
      <c r="D68" s="37" t="n"/>
      <c r="E68" s="37" t="n"/>
      <c r="F68" s="27" t="n"/>
      <c r="G68" s="27" t="n"/>
      <c r="H68" s="37" t="n"/>
      <c r="I68" s="37">
        <f>IF(G68="","",G68-TODAY())</f>
        <v/>
      </c>
      <c r="J68" s="37" t="n"/>
    </row>
    <row r="69" ht="15.75" customHeight="1" s="56">
      <c r="A69" s="37" t="n"/>
      <c r="B69" s="37" t="n"/>
      <c r="C69" s="37" t="n"/>
      <c r="D69" s="37" t="n"/>
      <c r="E69" s="37" t="n"/>
      <c r="F69" s="27" t="n"/>
      <c r="G69" s="27" t="n"/>
      <c r="H69" s="37" t="n"/>
      <c r="I69" s="37">
        <f>IF(G69="","",G69-TODAY())</f>
        <v/>
      </c>
      <c r="J69" s="37" t="n"/>
    </row>
    <row r="70" ht="15.75" customHeight="1" s="56">
      <c r="A70" s="37" t="n"/>
      <c r="B70" s="37" t="n"/>
      <c r="C70" s="37" t="n"/>
      <c r="D70" s="37" t="n"/>
      <c r="E70" s="37" t="n"/>
      <c r="F70" s="27" t="n"/>
      <c r="G70" s="27" t="n"/>
      <c r="H70" s="37" t="n"/>
      <c r="I70" s="37">
        <f>IF(G70="","",G70-TODAY())</f>
        <v/>
      </c>
      <c r="J70" s="37" t="n"/>
    </row>
    <row r="71" ht="15.75" customHeight="1" s="56">
      <c r="A71" s="37" t="n"/>
      <c r="B71" s="37" t="n"/>
      <c r="C71" s="37" t="n"/>
      <c r="D71" s="37" t="n"/>
      <c r="E71" s="37" t="n"/>
      <c r="F71" s="27" t="n"/>
      <c r="G71" s="27" t="n"/>
      <c r="H71" s="37" t="n"/>
      <c r="I71" s="37">
        <f>IF(G71="","",G71-TODAY())</f>
        <v/>
      </c>
      <c r="J71" s="37" t="n"/>
    </row>
    <row r="72" ht="15.75" customHeight="1" s="56">
      <c r="A72" s="37" t="n"/>
      <c r="B72" s="37" t="n"/>
      <c r="C72" s="37" t="n"/>
      <c r="D72" s="37" t="n"/>
      <c r="E72" s="37" t="n"/>
      <c r="F72" s="27" t="n"/>
      <c r="G72" s="27" t="n"/>
      <c r="H72" s="37" t="n"/>
      <c r="I72" s="37">
        <f>IF(G72="","",G72-TODAY())</f>
        <v/>
      </c>
      <c r="J72" s="37" t="n"/>
    </row>
    <row r="73" ht="15.75" customHeight="1" s="56">
      <c r="A73" s="37" t="n"/>
      <c r="B73" s="37" t="n"/>
      <c r="C73" s="37" t="n"/>
      <c r="D73" s="37" t="n"/>
      <c r="E73" s="37" t="n"/>
      <c r="F73" s="27" t="n"/>
      <c r="G73" s="27" t="n"/>
      <c r="H73" s="37" t="n"/>
      <c r="I73" s="37">
        <f>IF(G73="","",G73-TODAY())</f>
        <v/>
      </c>
      <c r="J73" s="37" t="n"/>
    </row>
    <row r="74" ht="15.75" customHeight="1" s="56">
      <c r="A74" s="37" t="n"/>
      <c r="B74" s="37" t="n"/>
      <c r="C74" s="37" t="n"/>
      <c r="D74" s="37" t="n"/>
      <c r="E74" s="37" t="n"/>
      <c r="F74" s="27" t="n"/>
      <c r="G74" s="27" t="n"/>
      <c r="H74" s="37" t="n"/>
      <c r="I74" s="37">
        <f>IF(G74="","",G74-TODAY())</f>
        <v/>
      </c>
      <c r="J74" s="37" t="n"/>
    </row>
    <row r="75" ht="15.75" customHeight="1" s="56">
      <c r="A75" s="37" t="n"/>
      <c r="B75" s="37" t="n"/>
      <c r="C75" s="37" t="n"/>
      <c r="D75" s="37" t="n"/>
      <c r="E75" s="37" t="n"/>
      <c r="F75" s="27" t="n"/>
      <c r="G75" s="27" t="n"/>
      <c r="H75" s="37" t="n"/>
      <c r="I75" s="37">
        <f>IF(G75="","",G75-TODAY())</f>
        <v/>
      </c>
      <c r="J75" s="37" t="n"/>
    </row>
    <row r="76" ht="15.75" customHeight="1" s="56">
      <c r="A76" s="37" t="n"/>
      <c r="B76" s="37" t="n"/>
      <c r="C76" s="37" t="n"/>
      <c r="D76" s="37" t="n"/>
      <c r="E76" s="37" t="n"/>
      <c r="F76" s="27" t="n"/>
      <c r="G76" s="27" t="n"/>
      <c r="H76" s="37" t="n"/>
      <c r="I76" s="37">
        <f>IF(G76="","",G76-TODAY())</f>
        <v/>
      </c>
      <c r="J76" s="37" t="n"/>
    </row>
    <row r="77" ht="15.75" customHeight="1" s="56">
      <c r="A77" s="37" t="n"/>
      <c r="B77" s="37" t="n"/>
      <c r="C77" s="37" t="n"/>
      <c r="D77" s="37" t="n"/>
      <c r="E77" s="37" t="n"/>
      <c r="F77" s="27" t="n"/>
      <c r="G77" s="27" t="n"/>
      <c r="H77" s="37" t="n"/>
      <c r="I77" s="37">
        <f>IF(G77="","",G77-TODAY())</f>
        <v/>
      </c>
      <c r="J77" s="37" t="n"/>
    </row>
    <row r="78" ht="15.75" customHeight="1" s="56">
      <c r="A78" s="37" t="n"/>
      <c r="B78" s="37" t="n"/>
      <c r="C78" s="37" t="n"/>
      <c r="D78" s="37" t="n"/>
      <c r="E78" s="37" t="n"/>
      <c r="F78" s="27" t="n"/>
      <c r="G78" s="27" t="n"/>
      <c r="H78" s="37" t="n"/>
      <c r="I78" s="37">
        <f>IF(G78="","",G78-TODAY())</f>
        <v/>
      </c>
      <c r="J78" s="37" t="n"/>
    </row>
    <row r="79" ht="15.75" customHeight="1" s="56">
      <c r="A79" s="37" t="n"/>
      <c r="B79" s="37" t="n"/>
      <c r="C79" s="37" t="n"/>
      <c r="D79" s="37" t="n"/>
      <c r="E79" s="37" t="n"/>
      <c r="F79" s="27" t="n"/>
      <c r="G79" s="27" t="n"/>
      <c r="H79" s="37" t="n"/>
      <c r="I79" s="37">
        <f>IF(G79="","",G79-TODAY())</f>
        <v/>
      </c>
      <c r="J79" s="37" t="n"/>
    </row>
    <row r="80" ht="15.75" customHeight="1" s="56">
      <c r="A80" s="37" t="n"/>
      <c r="B80" s="37" t="n"/>
      <c r="C80" s="37" t="n"/>
      <c r="D80" s="37" t="n"/>
      <c r="E80" s="37" t="n"/>
      <c r="F80" s="27" t="n"/>
      <c r="G80" s="27" t="n"/>
      <c r="H80" s="37" t="n"/>
      <c r="I80" s="37">
        <f>IF(G80="","",G80-TODAY())</f>
        <v/>
      </c>
      <c r="J80" s="37" t="n"/>
    </row>
    <row r="81" ht="15.75" customHeight="1" s="56">
      <c r="A81" s="37" t="n"/>
      <c r="B81" s="37" t="n"/>
      <c r="C81" s="37" t="n"/>
      <c r="D81" s="37" t="n"/>
      <c r="E81" s="37" t="n"/>
      <c r="F81" s="27" t="n"/>
      <c r="G81" s="27" t="n"/>
      <c r="H81" s="37" t="n"/>
      <c r="I81" s="37">
        <f>IF(G81="","",G81-TODAY())</f>
        <v/>
      </c>
      <c r="J81" s="37" t="n"/>
    </row>
    <row r="82" ht="15.75" customHeight="1" s="56">
      <c r="A82" s="37" t="n"/>
      <c r="B82" s="37" t="n"/>
      <c r="C82" s="37" t="n"/>
      <c r="D82" s="37" t="n"/>
      <c r="E82" s="37" t="n"/>
      <c r="F82" s="27" t="n"/>
      <c r="G82" s="27" t="n"/>
      <c r="H82" s="37" t="n"/>
      <c r="I82" s="37">
        <f>IF(G82="","",G82-TODAY())</f>
        <v/>
      </c>
      <c r="J82" s="37" t="n"/>
    </row>
    <row r="83" ht="15.75" customHeight="1" s="56">
      <c r="A83" s="37" t="n"/>
      <c r="B83" s="37" t="n"/>
      <c r="C83" s="37" t="n"/>
      <c r="D83" s="37" t="n"/>
      <c r="E83" s="37" t="n"/>
      <c r="F83" s="27" t="n"/>
      <c r="G83" s="27" t="n"/>
      <c r="H83" s="37" t="n"/>
      <c r="I83" s="37">
        <f>IF(G83="","",G83-TODAY())</f>
        <v/>
      </c>
      <c r="J83" s="37" t="n"/>
    </row>
    <row r="84" ht="15.75" customHeight="1" s="56">
      <c r="A84" s="37" t="n"/>
      <c r="B84" s="37" t="n"/>
      <c r="C84" s="37" t="n"/>
      <c r="D84" s="37" t="n"/>
      <c r="E84" s="37" t="n"/>
      <c r="F84" s="27" t="n"/>
      <c r="G84" s="27" t="n"/>
      <c r="H84" s="37" t="n"/>
      <c r="I84" s="37">
        <f>IF(G84="","",G84-TODAY())</f>
        <v/>
      </c>
      <c r="J84" s="37" t="n"/>
    </row>
    <row r="85" ht="15.75" customHeight="1" s="56">
      <c r="A85" s="37" t="n"/>
      <c r="B85" s="37" t="n"/>
      <c r="C85" s="37" t="n"/>
      <c r="D85" s="37" t="n"/>
      <c r="E85" s="37" t="n"/>
      <c r="F85" s="27" t="n"/>
      <c r="G85" s="27" t="n"/>
      <c r="H85" s="37" t="n"/>
      <c r="I85" s="37">
        <f>IF(G85="","",G85-TODAY())</f>
        <v/>
      </c>
      <c r="J85" s="37" t="n"/>
    </row>
    <row r="86" ht="15.75" customHeight="1" s="56">
      <c r="A86" s="37" t="n"/>
      <c r="B86" s="37" t="n"/>
      <c r="C86" s="37" t="n"/>
      <c r="D86" s="37" t="n"/>
      <c r="E86" s="37" t="n"/>
      <c r="F86" s="27" t="n"/>
      <c r="G86" s="27" t="n"/>
      <c r="H86" s="37" t="n"/>
      <c r="I86" s="37">
        <f>IF(G86="","",G86-TODAY())</f>
        <v/>
      </c>
      <c r="J86" s="37" t="n"/>
    </row>
    <row r="87" ht="15.75" customHeight="1" s="56">
      <c r="A87" s="37" t="n"/>
      <c r="B87" s="37" t="n"/>
      <c r="C87" s="37" t="n"/>
      <c r="D87" s="37" t="n"/>
      <c r="E87" s="37" t="n"/>
      <c r="F87" s="27" t="n"/>
      <c r="G87" s="27" t="n"/>
      <c r="H87" s="37" t="n"/>
      <c r="I87" s="37">
        <f>IF(G87="","",G87-TODAY())</f>
        <v/>
      </c>
      <c r="J87" s="37" t="n"/>
    </row>
    <row r="88" ht="15.75" customHeight="1" s="56">
      <c r="A88" s="37" t="n"/>
      <c r="B88" s="37" t="n"/>
      <c r="C88" s="37" t="n"/>
      <c r="D88" s="37" t="n"/>
      <c r="E88" s="37" t="n"/>
      <c r="F88" s="27" t="n"/>
      <c r="G88" s="27" t="n"/>
      <c r="H88" s="37" t="n"/>
      <c r="I88" s="37">
        <f>IF(G88="","",G88-TODAY())</f>
        <v/>
      </c>
      <c r="J88" s="37" t="n"/>
    </row>
    <row r="89" ht="15.75" customHeight="1" s="56">
      <c r="A89" s="37" t="n"/>
      <c r="B89" s="37" t="n"/>
      <c r="C89" s="37" t="n"/>
      <c r="D89" s="37" t="n"/>
      <c r="E89" s="37" t="n"/>
      <c r="F89" s="27" t="n"/>
      <c r="G89" s="27" t="n"/>
      <c r="H89" s="37" t="n"/>
      <c r="I89" s="37">
        <f>IF(G89="","",G89-TODAY())</f>
        <v/>
      </c>
      <c r="J89" s="37" t="n"/>
    </row>
    <row r="90" ht="15.75" customHeight="1" s="56">
      <c r="A90" s="37" t="n"/>
      <c r="B90" s="37" t="n"/>
      <c r="C90" s="37" t="n"/>
      <c r="D90" s="37" t="n"/>
      <c r="E90" s="37" t="n"/>
      <c r="F90" s="27" t="n"/>
      <c r="G90" s="27" t="n"/>
      <c r="H90" s="37" t="n"/>
      <c r="I90" s="37">
        <f>IF(G90="","",G90-TODAY())</f>
        <v/>
      </c>
      <c r="J90" s="37" t="n"/>
    </row>
    <row r="91" ht="15.75" customHeight="1" s="56">
      <c r="A91" s="37" t="n"/>
      <c r="B91" s="37" t="n"/>
      <c r="C91" s="37" t="n"/>
      <c r="D91" s="37" t="n"/>
      <c r="E91" s="37" t="n"/>
      <c r="F91" s="27" t="n"/>
      <c r="G91" s="27" t="n"/>
      <c r="H91" s="37" t="n"/>
      <c r="I91" s="37">
        <f>IF(G91="","",G91-TODAY())</f>
        <v/>
      </c>
      <c r="J91" s="37" t="n"/>
    </row>
    <row r="92" ht="15.75" customHeight="1" s="56">
      <c r="A92" s="37" t="n"/>
      <c r="B92" s="37" t="n"/>
      <c r="C92" s="37" t="n"/>
      <c r="D92" s="37" t="n"/>
      <c r="E92" s="37" t="n"/>
      <c r="F92" s="27" t="n"/>
      <c r="G92" s="27" t="n"/>
      <c r="H92" s="37" t="n"/>
      <c r="I92" s="37">
        <f>IF(G92="","",G92-TODAY())</f>
        <v/>
      </c>
      <c r="J92" s="37" t="n"/>
    </row>
    <row r="93" ht="15.75" customHeight="1" s="56">
      <c r="A93" s="37" t="n"/>
      <c r="B93" s="37" t="n"/>
      <c r="C93" s="37" t="n"/>
      <c r="D93" s="37" t="n"/>
      <c r="E93" s="37" t="n"/>
      <c r="F93" s="27" t="n"/>
      <c r="G93" s="27" t="n"/>
      <c r="H93" s="37" t="n"/>
      <c r="I93" s="37">
        <f>IF(G93="","",G93-TODAY())</f>
        <v/>
      </c>
      <c r="J93" s="37" t="n"/>
    </row>
    <row r="94" ht="15.75" customHeight="1" s="56">
      <c r="A94" s="37" t="n"/>
      <c r="B94" s="37" t="n"/>
      <c r="C94" s="37" t="n"/>
      <c r="D94" s="37" t="n"/>
      <c r="E94" s="37" t="n"/>
      <c r="F94" s="27" t="n"/>
      <c r="G94" s="27" t="n"/>
      <c r="H94" s="37" t="n"/>
      <c r="I94" s="37">
        <f>IF(G94="","",G94-TODAY())</f>
        <v/>
      </c>
      <c r="J94" s="37" t="n"/>
    </row>
    <row r="95" ht="15.75" customHeight="1" s="56">
      <c r="A95" s="37" t="n"/>
      <c r="B95" s="37" t="n"/>
      <c r="C95" s="37" t="n"/>
      <c r="D95" s="37" t="n"/>
      <c r="E95" s="37" t="n"/>
      <c r="F95" s="27" t="n"/>
      <c r="G95" s="27" t="n"/>
      <c r="H95" s="37" t="n"/>
      <c r="I95" s="37">
        <f>IF(G95="","",G95-TODAY())</f>
        <v/>
      </c>
      <c r="J95" s="37" t="n"/>
    </row>
    <row r="96" ht="15.75" customHeight="1" s="56">
      <c r="A96" s="37" t="n"/>
      <c r="B96" s="37" t="n"/>
      <c r="C96" s="37" t="n"/>
      <c r="D96" s="37" t="n"/>
      <c r="E96" s="37" t="n"/>
      <c r="F96" s="27" t="n"/>
      <c r="G96" s="27" t="n"/>
      <c r="H96" s="37" t="n"/>
      <c r="I96" s="37">
        <f>IF(G96="","",G96-TODAY())</f>
        <v/>
      </c>
      <c r="J96" s="37" t="n"/>
    </row>
    <row r="97" ht="15.75" customHeight="1" s="56">
      <c r="A97" s="37" t="n"/>
      <c r="B97" s="37" t="n"/>
      <c r="C97" s="37" t="n"/>
      <c r="D97" s="37" t="n"/>
      <c r="E97" s="37" t="n"/>
      <c r="F97" s="27" t="n"/>
      <c r="G97" s="27" t="n"/>
      <c r="H97" s="37" t="n"/>
      <c r="I97" s="37">
        <f>IF(G97="","",G97-TODAY())</f>
        <v/>
      </c>
      <c r="J97" s="37" t="n"/>
    </row>
    <row r="98" ht="15.75" customHeight="1" s="56">
      <c r="A98" s="37" t="n"/>
      <c r="B98" s="37" t="n"/>
      <c r="C98" s="37" t="n"/>
      <c r="D98" s="37" t="n"/>
      <c r="E98" s="37" t="n"/>
      <c r="F98" s="27" t="n"/>
      <c r="G98" s="27" t="n"/>
      <c r="H98" s="37" t="n"/>
      <c r="I98" s="37">
        <f>IF(G98="","",G98-TODAY())</f>
        <v/>
      </c>
      <c r="J98" s="37" t="n"/>
    </row>
    <row r="99" ht="15.75" customHeight="1" s="56">
      <c r="A99" s="37" t="n"/>
      <c r="B99" s="37" t="n"/>
      <c r="C99" s="37" t="n"/>
      <c r="D99" s="37" t="n"/>
      <c r="E99" s="37" t="n"/>
      <c r="F99" s="27" t="n"/>
      <c r="G99" s="27" t="n"/>
      <c r="H99" s="37" t="n"/>
      <c r="I99" s="37">
        <f>IF(G99="","",G99-TODAY())</f>
        <v/>
      </c>
      <c r="J99" s="37" t="n"/>
    </row>
    <row r="100" ht="15.75" customHeight="1" s="56">
      <c r="A100" s="37" t="n"/>
      <c r="B100" s="37" t="n"/>
      <c r="C100" s="37" t="n"/>
      <c r="D100" s="37" t="n"/>
      <c r="E100" s="37" t="n"/>
      <c r="F100" s="27" t="n"/>
      <c r="G100" s="27" t="n"/>
      <c r="H100" s="37" t="n"/>
      <c r="I100" s="37">
        <f>IF(G100="","",G100-TODAY())</f>
        <v/>
      </c>
      <c r="J100" s="37" t="n"/>
    </row>
    <row r="101" ht="15.75" customHeight="1" s="56">
      <c r="A101" s="37" t="n"/>
      <c r="B101" s="37" t="n"/>
      <c r="C101" s="37" t="n"/>
      <c r="D101" s="37" t="n"/>
      <c r="E101" s="37" t="n"/>
      <c r="F101" s="27" t="n"/>
      <c r="G101" s="27" t="n"/>
      <c r="H101" s="37" t="n"/>
      <c r="I101" s="37">
        <f>IF(G101="","",G101-TODAY())</f>
        <v/>
      </c>
      <c r="J101" s="37" t="n"/>
    </row>
    <row r="102" ht="15.75" customHeight="1" s="56">
      <c r="A102" s="37" t="n"/>
      <c r="B102" s="37" t="n"/>
      <c r="C102" s="37" t="n"/>
      <c r="D102" s="37" t="n"/>
      <c r="E102" s="37" t="n"/>
      <c r="F102" s="27" t="n"/>
      <c r="G102" s="27" t="n"/>
      <c r="H102" s="37" t="n"/>
      <c r="I102" s="37">
        <f>IF(G102="","",G102-TODAY())</f>
        <v/>
      </c>
      <c r="J102" s="37" t="n"/>
    </row>
    <row r="103" ht="15.75" customHeight="1" s="56">
      <c r="A103" s="37" t="n"/>
      <c r="B103" s="37" t="n"/>
      <c r="C103" s="37" t="n"/>
      <c r="D103" s="37" t="n"/>
      <c r="E103" s="37" t="n"/>
      <c r="F103" s="27" t="n"/>
      <c r="G103" s="27" t="n"/>
      <c r="H103" s="37" t="n"/>
      <c r="I103" s="37">
        <f>IF(G103="","",G103-TODAY())</f>
        <v/>
      </c>
      <c r="J103" s="37" t="n"/>
    </row>
    <row r="104" ht="15.75" customHeight="1" s="56">
      <c r="A104" s="37" t="n"/>
      <c r="B104" s="37" t="n"/>
      <c r="C104" s="37" t="n"/>
      <c r="D104" s="37" t="n"/>
      <c r="E104" s="37" t="n"/>
      <c r="F104" s="27" t="n"/>
      <c r="G104" s="27" t="n"/>
      <c r="H104" s="37" t="n"/>
      <c r="I104" s="37">
        <f>IF(G104="","",G104-TODAY())</f>
        <v/>
      </c>
      <c r="J104" s="37" t="n"/>
    </row>
    <row r="105" ht="15.75" customHeight="1" s="56">
      <c r="A105" s="37" t="n"/>
      <c r="B105" s="37" t="n"/>
      <c r="C105" s="37" t="n"/>
      <c r="D105" s="37" t="n"/>
      <c r="E105" s="37" t="n"/>
      <c r="F105" s="27" t="n"/>
      <c r="G105" s="27" t="n"/>
      <c r="H105" s="37" t="n"/>
      <c r="I105" s="37">
        <f>IF(G105="","",G105-TODAY())</f>
        <v/>
      </c>
      <c r="J105" s="37" t="n"/>
    </row>
    <row r="106" ht="15.75" customHeight="1" s="56">
      <c r="A106" s="37" t="n"/>
      <c r="B106" s="37" t="n"/>
      <c r="C106" s="37" t="n"/>
      <c r="D106" s="37" t="n"/>
      <c r="E106" s="37" t="n"/>
      <c r="F106" s="27" t="n"/>
      <c r="G106" s="27" t="n"/>
      <c r="H106" s="37" t="n"/>
      <c r="I106" s="37">
        <f>IF(G106="","",G106-TODAY())</f>
        <v/>
      </c>
      <c r="J106" s="37" t="n"/>
    </row>
    <row r="107" ht="15.75" customHeight="1" s="56">
      <c r="A107" s="37" t="n"/>
      <c r="B107" s="37" t="n"/>
      <c r="C107" s="37" t="n"/>
      <c r="D107" s="37" t="n"/>
      <c r="E107" s="37" t="n"/>
      <c r="F107" s="27" t="n"/>
      <c r="G107" s="27" t="n"/>
      <c r="H107" s="37" t="n"/>
      <c r="I107" s="37">
        <f>IF(G107="","",G107-TODAY())</f>
        <v/>
      </c>
      <c r="J107" s="37" t="n"/>
    </row>
    <row r="108" ht="15.75" customHeight="1" s="56">
      <c r="A108" s="37" t="n"/>
      <c r="B108" s="37" t="n"/>
      <c r="C108" s="37" t="n"/>
      <c r="D108" s="37" t="n"/>
      <c r="E108" s="37" t="n"/>
      <c r="F108" s="27" t="n"/>
      <c r="G108" s="27" t="n"/>
      <c r="H108" s="37" t="n"/>
      <c r="I108" s="37">
        <f>IF(G108="","",G108-TODAY())</f>
        <v/>
      </c>
      <c r="J108" s="37" t="n"/>
    </row>
    <row r="109" ht="15.75" customHeight="1" s="56">
      <c r="A109" s="37" t="n"/>
      <c r="B109" s="37" t="n"/>
      <c r="C109" s="37" t="n"/>
      <c r="D109" s="37" t="n"/>
      <c r="E109" s="37" t="n"/>
      <c r="F109" s="27" t="n"/>
      <c r="G109" s="27" t="n"/>
      <c r="H109" s="37" t="n"/>
      <c r="I109" s="37">
        <f>IF(G109="","",G109-TODAY())</f>
        <v/>
      </c>
      <c r="J109" s="37" t="n"/>
    </row>
    <row r="110" ht="15.75" customHeight="1" s="56">
      <c r="A110" s="37" t="n"/>
      <c r="B110" s="37" t="n"/>
      <c r="C110" s="37" t="n"/>
      <c r="D110" s="37" t="n"/>
      <c r="E110" s="37" t="n"/>
      <c r="F110" s="27" t="n"/>
      <c r="G110" s="27" t="n"/>
      <c r="H110" s="37" t="n"/>
      <c r="I110" s="37">
        <f>IF(G110="","",G110-TODAY())</f>
        <v/>
      </c>
      <c r="J110" s="37" t="n"/>
    </row>
    <row r="111" ht="15.75" customHeight="1" s="56">
      <c r="A111" s="37" t="n"/>
      <c r="B111" s="37" t="n"/>
      <c r="C111" s="37" t="n"/>
      <c r="D111" s="37" t="n"/>
      <c r="E111" s="37" t="n"/>
      <c r="F111" s="27" t="n"/>
      <c r="G111" s="27" t="n"/>
      <c r="H111" s="37" t="n"/>
      <c r="I111" s="37">
        <f>IF(G111="","",G111-TODAY())</f>
        <v/>
      </c>
      <c r="J111" s="37" t="n"/>
    </row>
    <row r="112" ht="15.75" customHeight="1" s="56">
      <c r="A112" s="37" t="n"/>
      <c r="B112" s="37" t="n"/>
      <c r="C112" s="37" t="n"/>
      <c r="D112" s="37" t="n"/>
      <c r="E112" s="37" t="n"/>
      <c r="F112" s="27" t="n"/>
      <c r="G112" s="27" t="n"/>
      <c r="H112" s="37" t="n"/>
      <c r="I112" s="37">
        <f>IF(G112="","",G112-TODAY())</f>
        <v/>
      </c>
      <c r="J112" s="37" t="n"/>
    </row>
    <row r="113" ht="15.75" customHeight="1" s="56">
      <c r="A113" s="37" t="n"/>
      <c r="B113" s="37" t="n"/>
      <c r="C113" s="37" t="n"/>
      <c r="D113" s="37" t="n"/>
      <c r="E113" s="37" t="n"/>
      <c r="F113" s="27" t="n"/>
      <c r="G113" s="27" t="n"/>
      <c r="H113" s="37" t="n"/>
      <c r="I113" s="37">
        <f>IF(G113="","",G113-TODAY())</f>
        <v/>
      </c>
      <c r="J113" s="37" t="n"/>
    </row>
    <row r="114" ht="15.75" customHeight="1" s="56">
      <c r="A114" s="37" t="n"/>
      <c r="B114" s="37" t="n"/>
      <c r="C114" s="37" t="n"/>
      <c r="D114" s="37" t="n"/>
      <c r="E114" s="37" t="n"/>
      <c r="F114" s="27" t="n"/>
      <c r="G114" s="27" t="n"/>
      <c r="H114" s="37" t="n"/>
      <c r="I114" s="37">
        <f>IF(G114="","",G114-TODAY())</f>
        <v/>
      </c>
      <c r="J114" s="37" t="n"/>
    </row>
    <row r="115" ht="15.75" customHeight="1" s="56">
      <c r="A115" s="37" t="n"/>
      <c r="B115" s="37" t="n"/>
      <c r="C115" s="37" t="n"/>
      <c r="D115" s="37" t="n"/>
      <c r="E115" s="37" t="n"/>
      <c r="F115" s="27" t="n"/>
      <c r="G115" s="27" t="n"/>
      <c r="H115" s="37" t="n"/>
      <c r="I115" s="37">
        <f>IF(G115="","",G115-TODAY())</f>
        <v/>
      </c>
      <c r="J115" s="37" t="n"/>
    </row>
    <row r="116" ht="15.75" customHeight="1" s="56">
      <c r="A116" s="37" t="n"/>
      <c r="B116" s="37" t="n"/>
      <c r="C116" s="37" t="n"/>
      <c r="D116" s="37" t="n"/>
      <c r="E116" s="37" t="n"/>
      <c r="F116" s="27" t="n"/>
      <c r="G116" s="27" t="n"/>
      <c r="H116" s="37" t="n"/>
      <c r="I116" s="37">
        <f>IF(G116="","",G116-TODAY())</f>
        <v/>
      </c>
      <c r="J116" s="37" t="n"/>
    </row>
    <row r="117" ht="15.75" customHeight="1" s="56">
      <c r="A117" s="37" t="n"/>
      <c r="B117" s="37" t="n"/>
      <c r="C117" s="37" t="n"/>
      <c r="D117" s="37" t="n"/>
      <c r="E117" s="37" t="n"/>
      <c r="F117" s="27" t="n"/>
      <c r="G117" s="27" t="n"/>
      <c r="H117" s="37" t="n"/>
      <c r="I117" s="37">
        <f>IF(G117="","",G117-TODAY())</f>
        <v/>
      </c>
      <c r="J117" s="37" t="n"/>
    </row>
    <row r="118" ht="15.75" customHeight="1" s="56">
      <c r="A118" s="37" t="n"/>
      <c r="B118" s="37" t="n"/>
      <c r="C118" s="37" t="n"/>
      <c r="D118" s="37" t="n"/>
      <c r="E118" s="37" t="n"/>
      <c r="F118" s="27" t="n"/>
      <c r="G118" s="27" t="n"/>
      <c r="H118" s="37" t="n"/>
      <c r="I118" s="37">
        <f>IF(G118="","",G118-TODAY())</f>
        <v/>
      </c>
      <c r="J118" s="37" t="n"/>
    </row>
    <row r="119" ht="15.75" customHeight="1" s="56">
      <c r="A119" s="37" t="n"/>
      <c r="B119" s="37" t="n"/>
      <c r="C119" s="37" t="n"/>
      <c r="D119" s="37" t="n"/>
      <c r="E119" s="37" t="n"/>
      <c r="F119" s="27" t="n"/>
      <c r="G119" s="27" t="n"/>
      <c r="H119" s="37" t="n"/>
      <c r="I119" s="37">
        <f>IF(G119="","",G119-TODAY())</f>
        <v/>
      </c>
      <c r="J119" s="37" t="n"/>
    </row>
    <row r="120" ht="15.75" customHeight="1" s="56">
      <c r="A120" s="37" t="n"/>
      <c r="B120" s="37" t="n"/>
      <c r="C120" s="37" t="n"/>
      <c r="D120" s="37" t="n"/>
      <c r="E120" s="37" t="n"/>
      <c r="F120" s="27" t="n"/>
      <c r="G120" s="27" t="n"/>
      <c r="H120" s="37" t="n"/>
      <c r="I120" s="37">
        <f>IF(G120="","",G120-TODAY())</f>
        <v/>
      </c>
      <c r="J120" s="37" t="n"/>
    </row>
    <row r="121" ht="15.75" customHeight="1" s="56">
      <c r="A121" s="37" t="n"/>
      <c r="B121" s="37" t="n"/>
      <c r="C121" s="37" t="n"/>
      <c r="D121" s="37" t="n"/>
      <c r="E121" s="37" t="n"/>
      <c r="F121" s="27" t="n"/>
      <c r="G121" s="27" t="n"/>
      <c r="H121" s="37" t="n"/>
      <c r="I121" s="37">
        <f>IF(G121="","",G121-TODAY())</f>
        <v/>
      </c>
      <c r="J121" s="37" t="n"/>
    </row>
    <row r="122" ht="15.75" customHeight="1" s="56">
      <c r="A122" s="37" t="n"/>
      <c r="B122" s="37" t="n"/>
      <c r="C122" s="37" t="n"/>
      <c r="D122" s="37" t="n"/>
      <c r="E122" s="37" t="n"/>
      <c r="F122" s="27" t="n"/>
      <c r="G122" s="27" t="n"/>
      <c r="H122" s="37" t="n"/>
      <c r="I122" s="37">
        <f>IF(G122="","",G122-TODAY())</f>
        <v/>
      </c>
      <c r="J122" s="37" t="n"/>
    </row>
    <row r="123" ht="15.75" customHeight="1" s="56">
      <c r="A123" s="37" t="n"/>
      <c r="B123" s="37" t="n"/>
      <c r="C123" s="37" t="n"/>
      <c r="D123" s="37" t="n"/>
      <c r="E123" s="37" t="n"/>
      <c r="F123" s="27" t="n"/>
      <c r="G123" s="27" t="n"/>
      <c r="H123" s="37" t="n"/>
      <c r="I123" s="37">
        <f>IF(G123="","",G123-TODAY())</f>
        <v/>
      </c>
      <c r="J123" s="37" t="n"/>
    </row>
    <row r="124" ht="15.75" customHeight="1" s="56">
      <c r="A124" s="37" t="n"/>
      <c r="B124" s="37" t="n"/>
      <c r="C124" s="37" t="n"/>
      <c r="D124" s="37" t="n"/>
      <c r="E124" s="37" t="n"/>
      <c r="F124" s="27" t="n"/>
      <c r="G124" s="27" t="n"/>
      <c r="H124" s="37" t="n"/>
      <c r="I124" s="37">
        <f>IF(G124="","",G124-TODAY())</f>
        <v/>
      </c>
      <c r="J124" s="37" t="n"/>
    </row>
    <row r="125" ht="15.75" customHeight="1" s="56">
      <c r="A125" s="37" t="n"/>
      <c r="B125" s="37" t="n"/>
      <c r="C125" s="37" t="n"/>
      <c r="D125" s="37" t="n"/>
      <c r="E125" s="37" t="n"/>
      <c r="F125" s="27" t="n"/>
      <c r="G125" s="27" t="n"/>
      <c r="H125" s="37" t="n"/>
      <c r="I125" s="37">
        <f>IF(G125="","",G125-TODAY())</f>
        <v/>
      </c>
      <c r="J125" s="37" t="n"/>
    </row>
    <row r="126" ht="15.75" customHeight="1" s="56">
      <c r="A126" s="37" t="n"/>
      <c r="B126" s="37" t="n"/>
      <c r="C126" s="37" t="n"/>
      <c r="D126" s="37" t="n"/>
      <c r="E126" s="37" t="n"/>
      <c r="F126" s="27" t="n"/>
      <c r="G126" s="27" t="n"/>
      <c r="H126" s="37" t="n"/>
      <c r="I126" s="37">
        <f>IF(G126="","",G126-TODAY())</f>
        <v/>
      </c>
      <c r="J126" s="37" t="n"/>
    </row>
    <row r="127" ht="15.75" customHeight="1" s="56">
      <c r="A127" s="37" t="n"/>
      <c r="B127" s="37" t="n"/>
      <c r="C127" s="37" t="n"/>
      <c r="D127" s="37" t="n"/>
      <c r="E127" s="37" t="n"/>
      <c r="F127" s="27" t="n"/>
      <c r="G127" s="27" t="n"/>
      <c r="H127" s="37" t="n"/>
      <c r="I127" s="37">
        <f>IF(G127="","",G127-TODAY())</f>
        <v/>
      </c>
      <c r="J127" s="37" t="n"/>
    </row>
    <row r="128" ht="15.75" customHeight="1" s="56">
      <c r="A128" s="37" t="n"/>
      <c r="B128" s="37" t="n"/>
      <c r="C128" s="37" t="n"/>
      <c r="D128" s="37" t="n"/>
      <c r="E128" s="37" t="n"/>
      <c r="F128" s="27" t="n"/>
      <c r="G128" s="27" t="n"/>
      <c r="H128" s="37" t="n"/>
      <c r="I128" s="37">
        <f>IF(G128="","",G128-TODAY())</f>
        <v/>
      </c>
      <c r="J128" s="37" t="n"/>
    </row>
    <row r="129" ht="15.75" customHeight="1" s="56">
      <c r="A129" s="37" t="n"/>
      <c r="B129" s="37" t="n"/>
      <c r="C129" s="37" t="n"/>
      <c r="D129" s="37" t="n"/>
      <c r="E129" s="37" t="n"/>
      <c r="F129" s="27" t="n"/>
      <c r="G129" s="27" t="n"/>
      <c r="H129" s="37" t="n"/>
      <c r="I129" s="37">
        <f>IF(G129="","",G129-TODAY())</f>
        <v/>
      </c>
      <c r="J129" s="37" t="n"/>
    </row>
    <row r="130" ht="15.75" customHeight="1" s="56">
      <c r="A130" s="37" t="n"/>
      <c r="B130" s="37" t="n"/>
      <c r="C130" s="37" t="n"/>
      <c r="D130" s="37" t="n"/>
      <c r="E130" s="37" t="n"/>
      <c r="F130" s="27" t="n"/>
      <c r="G130" s="27" t="n"/>
      <c r="H130" s="37" t="n"/>
      <c r="I130" s="37">
        <f>IF(G130="","",G130-TODAY())</f>
        <v/>
      </c>
      <c r="J130" s="37" t="n"/>
    </row>
    <row r="131" ht="15.75" customHeight="1" s="56">
      <c r="A131" s="37" t="n"/>
      <c r="B131" s="37" t="n"/>
      <c r="C131" s="37" t="n"/>
      <c r="D131" s="37" t="n"/>
      <c r="E131" s="37" t="n"/>
      <c r="F131" s="27" t="n"/>
      <c r="G131" s="27" t="n"/>
      <c r="H131" s="37" t="n"/>
      <c r="I131" s="37">
        <f>IF(G131="","",G131-TODAY())</f>
        <v/>
      </c>
      <c r="J131" s="37" t="n"/>
    </row>
    <row r="132" ht="15.75" customHeight="1" s="56">
      <c r="A132" s="37" t="n"/>
      <c r="B132" s="37" t="n"/>
      <c r="C132" s="37" t="n"/>
      <c r="D132" s="37" t="n"/>
      <c r="E132" s="37" t="n"/>
      <c r="F132" s="27" t="n"/>
      <c r="G132" s="27" t="n"/>
      <c r="H132" s="37" t="n"/>
      <c r="I132" s="37">
        <f>IF(G132="","",G132-TODAY())</f>
        <v/>
      </c>
      <c r="J132" s="37" t="n"/>
    </row>
    <row r="133" ht="15.75" customHeight="1" s="56">
      <c r="A133" s="37" t="n"/>
      <c r="B133" s="37" t="n"/>
      <c r="C133" s="37" t="n"/>
      <c r="D133" s="37" t="n"/>
      <c r="E133" s="37" t="n"/>
      <c r="F133" s="27" t="n"/>
      <c r="G133" s="27" t="n"/>
      <c r="H133" s="37" t="n"/>
      <c r="I133" s="37">
        <f>IF(G133="","",G133-TODAY())</f>
        <v/>
      </c>
      <c r="J133" s="37" t="n"/>
    </row>
    <row r="134" ht="15.75" customHeight="1" s="56">
      <c r="A134" s="37" t="n"/>
      <c r="B134" s="37" t="n"/>
      <c r="C134" s="37" t="n"/>
      <c r="D134" s="37" t="n"/>
      <c r="E134" s="37" t="n"/>
      <c r="F134" s="27" t="n"/>
      <c r="G134" s="27" t="n"/>
      <c r="H134" s="37" t="n"/>
      <c r="I134" s="37">
        <f>IF(G134="","",G134-TODAY())</f>
        <v/>
      </c>
      <c r="J134" s="37" t="n"/>
    </row>
    <row r="135" ht="15.75" customHeight="1" s="56">
      <c r="A135" s="37" t="n"/>
      <c r="B135" s="37" t="n"/>
      <c r="C135" s="37" t="n"/>
      <c r="D135" s="37" t="n"/>
      <c r="E135" s="37" t="n"/>
      <c r="F135" s="27" t="n"/>
      <c r="G135" s="27" t="n"/>
      <c r="H135" s="37" t="n"/>
      <c r="I135" s="37">
        <f>IF(G135="","",G135-TODAY())</f>
        <v/>
      </c>
      <c r="J135" s="37" t="n"/>
    </row>
    <row r="136" ht="15.75" customHeight="1" s="56">
      <c r="A136" s="37" t="n"/>
      <c r="B136" s="37" t="n"/>
      <c r="C136" s="37" t="n"/>
      <c r="D136" s="37" t="n"/>
      <c r="E136" s="37" t="n"/>
      <c r="F136" s="27" t="n"/>
      <c r="G136" s="27" t="n"/>
      <c r="H136" s="37" t="n"/>
      <c r="I136" s="37">
        <f>IF(G136="","",G136-TODAY())</f>
        <v/>
      </c>
      <c r="J136" s="37" t="n"/>
    </row>
    <row r="137" ht="15.75" customHeight="1" s="56">
      <c r="A137" s="37" t="n"/>
      <c r="B137" s="37" t="n"/>
      <c r="C137" s="37" t="n"/>
      <c r="D137" s="37" t="n"/>
      <c r="E137" s="37" t="n"/>
      <c r="F137" s="27" t="n"/>
      <c r="G137" s="27" t="n"/>
      <c r="H137" s="37" t="n"/>
      <c r="I137" s="37">
        <f>IF(G137="","",G137-TODAY())</f>
        <v/>
      </c>
      <c r="J137" s="37" t="n"/>
    </row>
    <row r="138" ht="15.75" customHeight="1" s="56">
      <c r="A138" s="37" t="n"/>
      <c r="B138" s="37" t="n"/>
      <c r="C138" s="37" t="n"/>
      <c r="D138" s="37" t="n"/>
      <c r="E138" s="37" t="n"/>
      <c r="F138" s="27" t="n"/>
      <c r="G138" s="27" t="n"/>
      <c r="H138" s="37" t="n"/>
      <c r="I138" s="37">
        <f>IF(G138="","",G138-TODAY())</f>
        <v/>
      </c>
      <c r="J138" s="37" t="n"/>
    </row>
    <row r="139" ht="15.75" customHeight="1" s="56">
      <c r="A139" s="37" t="n"/>
      <c r="B139" s="37" t="n"/>
      <c r="C139" s="37" t="n"/>
      <c r="D139" s="37" t="n"/>
      <c r="E139" s="37" t="n"/>
      <c r="F139" s="27" t="n"/>
      <c r="G139" s="27" t="n"/>
      <c r="H139" s="37" t="n"/>
      <c r="I139" s="37">
        <f>IF(G139="","",G139-TODAY())</f>
        <v/>
      </c>
      <c r="J139" s="37" t="n"/>
    </row>
    <row r="140" ht="15.75" customHeight="1" s="56">
      <c r="A140" s="37" t="n"/>
      <c r="B140" s="37" t="n"/>
      <c r="C140" s="37" t="n"/>
      <c r="D140" s="37" t="n"/>
      <c r="E140" s="37" t="n"/>
      <c r="F140" s="27" t="n"/>
      <c r="G140" s="27" t="n"/>
      <c r="H140" s="37" t="n"/>
      <c r="I140" s="37">
        <f>IF(G140="","",G140-TODAY())</f>
        <v/>
      </c>
      <c r="J140" s="37" t="n"/>
    </row>
    <row r="141" ht="15.75" customHeight="1" s="56">
      <c r="A141" s="37" t="n"/>
      <c r="B141" s="37" t="n"/>
      <c r="C141" s="37" t="n"/>
      <c r="D141" s="37" t="n"/>
      <c r="E141" s="37" t="n"/>
      <c r="F141" s="27" t="n"/>
      <c r="G141" s="27" t="n"/>
      <c r="H141" s="37" t="n"/>
      <c r="I141" s="37">
        <f>IF(G141="","",G141-TODAY())</f>
        <v/>
      </c>
      <c r="J141" s="37" t="n"/>
    </row>
    <row r="142" ht="15.75" customHeight="1" s="56">
      <c r="A142" s="37" t="n"/>
      <c r="B142" s="37" t="n"/>
      <c r="C142" s="37" t="n"/>
      <c r="D142" s="37" t="n"/>
      <c r="E142" s="37" t="n"/>
      <c r="F142" s="27" t="n"/>
      <c r="G142" s="27" t="n"/>
      <c r="H142" s="37" t="n"/>
      <c r="I142" s="37">
        <f>IF(G142="","",G142-TODAY())</f>
        <v/>
      </c>
      <c r="J142" s="37" t="n"/>
    </row>
    <row r="143" ht="15.75" customHeight="1" s="56">
      <c r="A143" s="37" t="n"/>
      <c r="B143" s="37" t="n"/>
      <c r="C143" s="37" t="n"/>
      <c r="D143" s="37" t="n"/>
      <c r="E143" s="37" t="n"/>
      <c r="F143" s="27" t="n"/>
      <c r="G143" s="27" t="n"/>
      <c r="H143" s="37" t="n"/>
      <c r="I143" s="37">
        <f>IF(G143="","",G143-TODAY())</f>
        <v/>
      </c>
      <c r="J143" s="37" t="n"/>
    </row>
    <row r="144" ht="15.75" customHeight="1" s="56">
      <c r="A144" s="37" t="n"/>
      <c r="B144" s="37" t="n"/>
      <c r="C144" s="37" t="n"/>
      <c r="D144" s="37" t="n"/>
      <c r="E144" s="37" t="n"/>
      <c r="F144" s="27" t="n"/>
      <c r="G144" s="27" t="n"/>
      <c r="H144" s="37" t="n"/>
      <c r="I144" s="37">
        <f>IF(G144="","",G144-TODAY())</f>
        <v/>
      </c>
      <c r="J144" s="37" t="n"/>
    </row>
    <row r="145" ht="15.75" customHeight="1" s="56">
      <c r="A145" s="37" t="n"/>
      <c r="B145" s="37" t="n"/>
      <c r="C145" s="37" t="n"/>
      <c r="D145" s="37" t="n"/>
      <c r="E145" s="37" t="n"/>
      <c r="F145" s="27" t="n"/>
      <c r="G145" s="27" t="n"/>
      <c r="H145" s="37" t="n"/>
      <c r="I145" s="37">
        <f>IF(G145="","",G145-TODAY())</f>
        <v/>
      </c>
      <c r="J145" s="37" t="n"/>
    </row>
    <row r="146" ht="15.75" customHeight="1" s="56">
      <c r="A146" s="37" t="n"/>
      <c r="B146" s="37" t="n"/>
      <c r="C146" s="37" t="n"/>
      <c r="D146" s="37" t="n"/>
      <c r="E146" s="37" t="n"/>
      <c r="F146" s="27" t="n"/>
      <c r="G146" s="27" t="n"/>
      <c r="H146" s="37" t="n"/>
      <c r="I146" s="37">
        <f>IF(G146="","",G146-TODAY())</f>
        <v/>
      </c>
      <c r="J146" s="37" t="n"/>
    </row>
    <row r="147" ht="15.75" customHeight="1" s="56">
      <c r="A147" s="37" t="n"/>
      <c r="B147" s="37" t="n"/>
      <c r="C147" s="37" t="n"/>
      <c r="D147" s="37" t="n"/>
      <c r="E147" s="37" t="n"/>
      <c r="F147" s="27" t="n"/>
      <c r="G147" s="27" t="n"/>
      <c r="H147" s="37" t="n"/>
      <c r="I147" s="37">
        <f>IF(G147="","",G147-TODAY())</f>
        <v/>
      </c>
      <c r="J147" s="37" t="n"/>
    </row>
    <row r="148" ht="15.75" customHeight="1" s="56">
      <c r="A148" s="37" t="n"/>
      <c r="B148" s="37" t="n"/>
      <c r="C148" s="37" t="n"/>
      <c r="D148" s="37" t="n"/>
      <c r="E148" s="37" t="n"/>
      <c r="F148" s="27" t="n"/>
      <c r="G148" s="27" t="n"/>
      <c r="H148" s="37" t="n"/>
      <c r="I148" s="37">
        <f>IF(G148="","",G148-TODAY())</f>
        <v/>
      </c>
      <c r="J148" s="37" t="n"/>
    </row>
    <row r="149" ht="15.75" customHeight="1" s="56">
      <c r="A149" s="37" t="n"/>
      <c r="B149" s="37" t="n"/>
      <c r="C149" s="37" t="n"/>
      <c r="D149" s="37" t="n"/>
      <c r="E149" s="37" t="n"/>
      <c r="F149" s="27" t="n"/>
      <c r="G149" s="27" t="n"/>
      <c r="H149" s="37" t="n"/>
      <c r="I149" s="37">
        <f>IF(G149="","",G149-TODAY())</f>
        <v/>
      </c>
      <c r="J149" s="37" t="n"/>
    </row>
    <row r="150" ht="15.75" customHeight="1" s="56">
      <c r="A150" s="37" t="n"/>
      <c r="B150" s="37" t="n"/>
      <c r="C150" s="37" t="n"/>
      <c r="D150" s="37" t="n"/>
      <c r="E150" s="37" t="n"/>
      <c r="F150" s="27" t="n"/>
      <c r="G150" s="27" t="n"/>
      <c r="H150" s="37" t="n"/>
      <c r="I150" s="37">
        <f>IF(G150="","",G150-TODAY())</f>
        <v/>
      </c>
      <c r="J150" s="37" t="n"/>
    </row>
    <row r="151" ht="15.75" customHeight="1" s="56">
      <c r="A151" s="37" t="n"/>
      <c r="B151" s="37" t="n"/>
      <c r="C151" s="37" t="n"/>
      <c r="D151" s="37" t="n"/>
      <c r="E151" s="37" t="n"/>
      <c r="F151" s="27" t="n"/>
      <c r="G151" s="27" t="n"/>
      <c r="H151" s="37" t="n"/>
      <c r="I151" s="37">
        <f>IF(G151="","",G151-TODAY())</f>
        <v/>
      </c>
      <c r="J151" s="37" t="n"/>
    </row>
    <row r="152" ht="15.75" customHeight="1" s="56">
      <c r="A152" s="37" t="n"/>
      <c r="B152" s="37" t="n"/>
      <c r="C152" s="37" t="n"/>
      <c r="D152" s="37" t="n"/>
      <c r="E152" s="37" t="n"/>
      <c r="F152" s="27" t="n"/>
      <c r="G152" s="27" t="n"/>
      <c r="H152" s="37" t="n"/>
      <c r="I152" s="37">
        <f>IF(G152="","",G152-TODAY())</f>
        <v/>
      </c>
      <c r="J152" s="37" t="n"/>
    </row>
    <row r="153" ht="15.75" customHeight="1" s="56">
      <c r="A153" s="37" t="n"/>
      <c r="B153" s="37" t="n"/>
      <c r="C153" s="37" t="n"/>
      <c r="D153" s="37" t="n"/>
      <c r="E153" s="37" t="n"/>
      <c r="F153" s="27" t="n"/>
      <c r="G153" s="27" t="n"/>
      <c r="H153" s="37" t="n"/>
      <c r="I153" s="37">
        <f>IF(G153="","",G153-TODAY())</f>
        <v/>
      </c>
      <c r="J153" s="37" t="n"/>
    </row>
    <row r="154" ht="15.75" customHeight="1" s="56">
      <c r="A154" s="37" t="n"/>
      <c r="B154" s="37" t="n"/>
      <c r="C154" s="37" t="n"/>
      <c r="D154" s="37" t="n"/>
      <c r="E154" s="37" t="n"/>
      <c r="F154" s="27" t="n"/>
      <c r="G154" s="27" t="n"/>
      <c r="H154" s="37" t="n"/>
      <c r="I154" s="37">
        <f>IF(G154="","",G154-TODAY())</f>
        <v/>
      </c>
      <c r="J154" s="37" t="n"/>
    </row>
    <row r="155" ht="15.75" customHeight="1" s="56">
      <c r="A155" s="37" t="n"/>
      <c r="B155" s="37" t="n"/>
      <c r="C155" s="37" t="n"/>
      <c r="D155" s="37" t="n"/>
      <c r="E155" s="37" t="n"/>
      <c r="F155" s="27" t="n"/>
      <c r="G155" s="27" t="n"/>
      <c r="H155" s="37" t="n"/>
      <c r="I155" s="37">
        <f>IF(G155="","",G155-TODAY())</f>
        <v/>
      </c>
      <c r="J155" s="37" t="n"/>
    </row>
    <row r="156" ht="15.75" customHeight="1" s="56">
      <c r="A156" s="37" t="n"/>
      <c r="B156" s="37" t="n"/>
      <c r="C156" s="37" t="n"/>
      <c r="D156" s="37" t="n"/>
      <c r="E156" s="37" t="n"/>
      <c r="F156" s="27" t="n"/>
      <c r="G156" s="27" t="n"/>
      <c r="H156" s="37" t="n"/>
      <c r="I156" s="37">
        <f>IF(G156="","",G156-TODAY())</f>
        <v/>
      </c>
      <c r="J156" s="37" t="n"/>
    </row>
    <row r="157" ht="15.75" customHeight="1" s="56">
      <c r="A157" s="37" t="n"/>
      <c r="B157" s="37" t="n"/>
      <c r="C157" s="37" t="n"/>
      <c r="D157" s="37" t="n"/>
      <c r="E157" s="37" t="n"/>
      <c r="F157" s="27" t="n"/>
      <c r="G157" s="27" t="n"/>
      <c r="H157" s="37" t="n"/>
      <c r="I157" s="37">
        <f>IF(G157="","",G157-TODAY())</f>
        <v/>
      </c>
      <c r="J157" s="37" t="n"/>
    </row>
    <row r="158" ht="15.75" customHeight="1" s="56">
      <c r="A158" s="37" t="n"/>
      <c r="B158" s="37" t="n"/>
      <c r="C158" s="37" t="n"/>
      <c r="D158" s="37" t="n"/>
      <c r="E158" s="37" t="n"/>
      <c r="F158" s="27" t="n"/>
      <c r="G158" s="27" t="n"/>
      <c r="H158" s="37" t="n"/>
      <c r="I158" s="37">
        <f>IF(G158="","",G158-TODAY())</f>
        <v/>
      </c>
      <c r="J158" s="37" t="n"/>
    </row>
    <row r="159" ht="15.75" customHeight="1" s="56">
      <c r="A159" s="37" t="n"/>
      <c r="B159" s="37" t="n"/>
      <c r="C159" s="37" t="n"/>
      <c r="D159" s="37" t="n"/>
      <c r="E159" s="37" t="n"/>
      <c r="F159" s="27" t="n"/>
      <c r="G159" s="27" t="n"/>
      <c r="H159" s="37" t="n"/>
      <c r="I159" s="37">
        <f>IF(G159="","",G159-TODAY())</f>
        <v/>
      </c>
      <c r="J159" s="37" t="n"/>
    </row>
    <row r="160" ht="15.75" customHeight="1" s="56">
      <c r="A160" s="37" t="n"/>
      <c r="B160" s="37" t="n"/>
      <c r="C160" s="37" t="n"/>
      <c r="D160" s="37" t="n"/>
      <c r="E160" s="37" t="n"/>
      <c r="F160" s="27" t="n"/>
      <c r="G160" s="27" t="n"/>
      <c r="H160" s="37" t="n"/>
      <c r="I160" s="37">
        <f>IF(G160="","",G160-TODAY())</f>
        <v/>
      </c>
      <c r="J160" s="37" t="n"/>
    </row>
    <row r="161" ht="15.75" customHeight="1" s="56">
      <c r="A161" s="37" t="n"/>
      <c r="B161" s="37" t="n"/>
      <c r="C161" s="37" t="n"/>
      <c r="D161" s="37" t="n"/>
      <c r="E161" s="37" t="n"/>
      <c r="F161" s="27" t="n"/>
      <c r="G161" s="27" t="n"/>
      <c r="H161" s="37" t="n"/>
      <c r="I161" s="37">
        <f>IF(G161="","",G161-TODAY())</f>
        <v/>
      </c>
      <c r="J161" s="37" t="n"/>
    </row>
    <row r="162" ht="15.75" customHeight="1" s="56">
      <c r="A162" s="37" t="n"/>
      <c r="B162" s="37" t="n"/>
      <c r="C162" s="37" t="n"/>
      <c r="D162" s="37" t="n"/>
      <c r="E162" s="37" t="n"/>
      <c r="F162" s="27" t="n"/>
      <c r="G162" s="27" t="n"/>
      <c r="H162" s="37" t="n"/>
      <c r="I162" s="37">
        <f>IF(G162="","",G162-TODAY())</f>
        <v/>
      </c>
      <c r="J162" s="37" t="n"/>
    </row>
    <row r="163" ht="15.75" customHeight="1" s="56">
      <c r="A163" s="37" t="n"/>
      <c r="B163" s="37" t="n"/>
      <c r="C163" s="37" t="n"/>
      <c r="D163" s="37" t="n"/>
      <c r="E163" s="37" t="n"/>
      <c r="F163" s="27" t="n"/>
      <c r="G163" s="27" t="n"/>
      <c r="H163" s="37" t="n"/>
      <c r="I163" s="37">
        <f>IF(G163="","",G163-TODAY())</f>
        <v/>
      </c>
      <c r="J163" s="37" t="n"/>
    </row>
    <row r="164" ht="15.75" customHeight="1" s="56">
      <c r="A164" s="37" t="n"/>
      <c r="B164" s="37" t="n"/>
      <c r="C164" s="37" t="n"/>
      <c r="D164" s="37" t="n"/>
      <c r="E164" s="37" t="n"/>
      <c r="F164" s="27" t="n"/>
      <c r="G164" s="27" t="n"/>
      <c r="H164" s="37" t="n"/>
      <c r="I164" s="37">
        <f>IF(G164="","",G164-TODAY())</f>
        <v/>
      </c>
      <c r="J164" s="37" t="n"/>
    </row>
    <row r="165" ht="15.75" customHeight="1" s="56">
      <c r="A165" s="37" t="n"/>
      <c r="B165" s="37" t="n"/>
      <c r="C165" s="37" t="n"/>
      <c r="D165" s="37" t="n"/>
      <c r="E165" s="37" t="n"/>
      <c r="F165" s="27" t="n"/>
      <c r="G165" s="27" t="n"/>
      <c r="H165" s="37" t="n"/>
      <c r="I165" s="37">
        <f>IF(G165="","",G165-TODAY())</f>
        <v/>
      </c>
      <c r="J165" s="37" t="n"/>
    </row>
    <row r="166" ht="15.75" customHeight="1" s="56">
      <c r="A166" s="37" t="n"/>
      <c r="B166" s="37" t="n"/>
      <c r="C166" s="37" t="n"/>
      <c r="D166" s="37" t="n"/>
      <c r="E166" s="37" t="n"/>
      <c r="F166" s="27" t="n"/>
      <c r="G166" s="27" t="n"/>
      <c r="H166" s="37" t="n"/>
      <c r="I166" s="37">
        <f>IF(G166="","",G166-TODAY())</f>
        <v/>
      </c>
      <c r="J166" s="37" t="n"/>
    </row>
    <row r="167" ht="15.75" customHeight="1" s="56">
      <c r="A167" s="37" t="n"/>
      <c r="B167" s="37" t="n"/>
      <c r="C167" s="37" t="n"/>
      <c r="D167" s="37" t="n"/>
      <c r="E167" s="37" t="n"/>
      <c r="F167" s="27" t="n"/>
      <c r="G167" s="27" t="n"/>
      <c r="H167" s="37" t="n"/>
      <c r="I167" s="37">
        <f>IF(G167="","",G167-TODAY())</f>
        <v/>
      </c>
      <c r="J167" s="37" t="n"/>
    </row>
    <row r="168" ht="15.75" customHeight="1" s="56">
      <c r="A168" s="37" t="n"/>
      <c r="B168" s="37" t="n"/>
      <c r="C168" s="37" t="n"/>
      <c r="D168" s="37" t="n"/>
      <c r="E168" s="37" t="n"/>
      <c r="F168" s="27" t="n"/>
      <c r="G168" s="27" t="n"/>
      <c r="H168" s="37" t="n"/>
      <c r="I168" s="37">
        <f>IF(G168="","",G168-TODAY())</f>
        <v/>
      </c>
      <c r="J168" s="37" t="n"/>
    </row>
    <row r="169" ht="15.75" customHeight="1" s="56">
      <c r="A169" s="37" t="n"/>
      <c r="B169" s="37" t="n"/>
      <c r="C169" s="37" t="n"/>
      <c r="D169" s="37" t="n"/>
      <c r="E169" s="37" t="n"/>
      <c r="F169" s="27" t="n"/>
      <c r="G169" s="27" t="n"/>
      <c r="H169" s="37" t="n"/>
      <c r="I169" s="37">
        <f>IF(G169="","",G169-TODAY())</f>
        <v/>
      </c>
      <c r="J169" s="37" t="n"/>
    </row>
    <row r="170" ht="15.75" customHeight="1" s="56">
      <c r="A170" s="37" t="n"/>
      <c r="B170" s="37" t="n"/>
      <c r="C170" s="37" t="n"/>
      <c r="D170" s="37" t="n"/>
      <c r="E170" s="37" t="n"/>
      <c r="F170" s="27" t="n"/>
      <c r="G170" s="27" t="n"/>
      <c r="H170" s="37" t="n"/>
      <c r="I170" s="37">
        <f>IF(G170="","",G170-TODAY())</f>
        <v/>
      </c>
      <c r="J170" s="37" t="n"/>
    </row>
    <row r="171" ht="15.75" customHeight="1" s="56">
      <c r="A171" s="37" t="n"/>
      <c r="B171" s="37" t="n"/>
      <c r="C171" s="37" t="n"/>
      <c r="D171" s="37" t="n"/>
      <c r="E171" s="37" t="n"/>
      <c r="F171" s="27" t="n"/>
      <c r="G171" s="27" t="n"/>
      <c r="H171" s="37" t="n"/>
      <c r="I171" s="37">
        <f>IF(G171="","",G171-TODAY())</f>
        <v/>
      </c>
      <c r="J171" s="37" t="n"/>
    </row>
    <row r="172" ht="15.75" customHeight="1" s="56">
      <c r="A172" s="37" t="n"/>
      <c r="B172" s="37" t="n"/>
      <c r="C172" s="37" t="n"/>
      <c r="D172" s="37" t="n"/>
      <c r="E172" s="37" t="n"/>
      <c r="F172" s="27" t="n"/>
      <c r="G172" s="27" t="n"/>
      <c r="H172" s="37" t="n"/>
      <c r="I172" s="37">
        <f>IF(G172="","",G172-TODAY())</f>
        <v/>
      </c>
      <c r="J172" s="37" t="n"/>
    </row>
    <row r="173" ht="15.75" customHeight="1" s="56">
      <c r="A173" s="37" t="n"/>
      <c r="B173" s="37" t="n"/>
      <c r="C173" s="37" t="n"/>
      <c r="D173" s="37" t="n"/>
      <c r="E173" s="37" t="n"/>
      <c r="F173" s="27" t="n"/>
      <c r="G173" s="27" t="n"/>
      <c r="H173" s="37" t="n"/>
      <c r="I173" s="37">
        <f>IF(G173="","",G173-TODAY())</f>
        <v/>
      </c>
      <c r="J173" s="37" t="n"/>
    </row>
    <row r="174" ht="15.75" customHeight="1" s="56">
      <c r="A174" s="37" t="n"/>
      <c r="B174" s="37" t="n"/>
      <c r="C174" s="37" t="n"/>
      <c r="D174" s="37" t="n"/>
      <c r="E174" s="37" t="n"/>
      <c r="F174" s="27" t="n"/>
      <c r="G174" s="27" t="n"/>
      <c r="H174" s="37" t="n"/>
      <c r="I174" s="37">
        <f>IF(G174="","",G174-TODAY())</f>
        <v/>
      </c>
      <c r="J174" s="37" t="n"/>
    </row>
    <row r="175" ht="15.75" customHeight="1" s="56">
      <c r="A175" s="37" t="n"/>
      <c r="B175" s="37" t="n"/>
      <c r="C175" s="37" t="n"/>
      <c r="D175" s="37" t="n"/>
      <c r="E175" s="37" t="n"/>
      <c r="F175" s="27" t="n"/>
      <c r="G175" s="27" t="n"/>
      <c r="H175" s="37" t="n"/>
      <c r="I175" s="37">
        <f>IF(G175="","",G175-TODAY())</f>
        <v/>
      </c>
      <c r="J175" s="37" t="n"/>
    </row>
    <row r="176" ht="15.75" customHeight="1" s="56">
      <c r="A176" s="37" t="n"/>
      <c r="B176" s="37" t="n"/>
      <c r="C176" s="37" t="n"/>
      <c r="D176" s="37" t="n"/>
      <c r="E176" s="37" t="n"/>
      <c r="F176" s="27" t="n"/>
      <c r="G176" s="27" t="n"/>
      <c r="H176" s="37" t="n"/>
      <c r="I176" s="37">
        <f>IF(G176="","",G176-TODAY())</f>
        <v/>
      </c>
      <c r="J176" s="37" t="n"/>
    </row>
    <row r="177" ht="15.75" customHeight="1" s="56">
      <c r="A177" s="37" t="n"/>
      <c r="B177" s="37" t="n"/>
      <c r="C177" s="37" t="n"/>
      <c r="D177" s="37" t="n"/>
      <c r="E177" s="37" t="n"/>
      <c r="F177" s="27" t="n"/>
      <c r="G177" s="27" t="n"/>
      <c r="H177" s="37" t="n"/>
      <c r="I177" s="37">
        <f>IF(G177="","",G177-TODAY())</f>
        <v/>
      </c>
      <c r="J177" s="37" t="n"/>
    </row>
    <row r="178" ht="15.75" customHeight="1" s="56">
      <c r="A178" s="37" t="n"/>
      <c r="B178" s="37" t="n"/>
      <c r="C178" s="37" t="n"/>
      <c r="D178" s="37" t="n"/>
      <c r="E178" s="37" t="n"/>
      <c r="F178" s="27" t="n"/>
      <c r="G178" s="27" t="n"/>
      <c r="H178" s="37" t="n"/>
      <c r="I178" s="37">
        <f>IF(G178="","",G178-TODAY())</f>
        <v/>
      </c>
      <c r="J178" s="37" t="n"/>
    </row>
    <row r="179" ht="15.75" customHeight="1" s="56">
      <c r="A179" s="37" t="n"/>
      <c r="B179" s="37" t="n"/>
      <c r="C179" s="37" t="n"/>
      <c r="D179" s="37" t="n"/>
      <c r="E179" s="37" t="n"/>
      <c r="F179" s="27" t="n"/>
      <c r="G179" s="27" t="n"/>
      <c r="H179" s="37" t="n"/>
      <c r="I179" s="37">
        <f>IF(G179="","",G179-TODAY())</f>
        <v/>
      </c>
      <c r="J179" s="37" t="n"/>
    </row>
    <row r="180" ht="15.75" customHeight="1" s="56">
      <c r="A180" s="37" t="n"/>
      <c r="B180" s="37" t="n"/>
      <c r="C180" s="37" t="n"/>
      <c r="D180" s="37" t="n"/>
      <c r="E180" s="37" t="n"/>
      <c r="F180" s="27" t="n"/>
      <c r="G180" s="27" t="n"/>
      <c r="H180" s="37" t="n"/>
      <c r="I180" s="37">
        <f>IF(G180="","",G180-TODAY())</f>
        <v/>
      </c>
      <c r="J180" s="37" t="n"/>
    </row>
    <row r="181" ht="15.75" customHeight="1" s="56">
      <c r="A181" s="37" t="n"/>
      <c r="B181" s="37" t="n"/>
      <c r="C181" s="37" t="n"/>
      <c r="D181" s="37" t="n"/>
      <c r="E181" s="37" t="n"/>
      <c r="F181" s="27" t="n"/>
      <c r="G181" s="27" t="n"/>
      <c r="H181" s="37" t="n"/>
      <c r="I181" s="37">
        <f>IF(G181="","",G181-TODAY())</f>
        <v/>
      </c>
      <c r="J181" s="37" t="n"/>
    </row>
    <row r="182" ht="15.75" customHeight="1" s="56">
      <c r="A182" s="37" t="n"/>
      <c r="B182" s="37" t="n"/>
      <c r="C182" s="37" t="n"/>
      <c r="D182" s="37" t="n"/>
      <c r="E182" s="37" t="n"/>
      <c r="F182" s="27" t="n"/>
      <c r="G182" s="27" t="n"/>
      <c r="H182" s="37" t="n"/>
      <c r="I182" s="37">
        <f>IF(G182="","",G182-TODAY())</f>
        <v/>
      </c>
      <c r="J182" s="37" t="n"/>
    </row>
    <row r="183" ht="15.75" customHeight="1" s="56">
      <c r="A183" s="37" t="n"/>
      <c r="B183" s="37" t="n"/>
      <c r="C183" s="37" t="n"/>
      <c r="D183" s="37" t="n"/>
      <c r="E183" s="37" t="n"/>
      <c r="F183" s="27" t="n"/>
      <c r="G183" s="27" t="n"/>
      <c r="H183" s="37" t="n"/>
      <c r="I183" s="37">
        <f>IF(G183="","",G183-TODAY())</f>
        <v/>
      </c>
      <c r="J183" s="37" t="n"/>
    </row>
    <row r="184" ht="15.75" customHeight="1" s="56">
      <c r="A184" s="37" t="n"/>
      <c r="B184" s="37" t="n"/>
      <c r="C184" s="37" t="n"/>
      <c r="D184" s="37" t="n"/>
      <c r="E184" s="37" t="n"/>
      <c r="F184" s="27" t="n"/>
      <c r="G184" s="27" t="n"/>
      <c r="H184" s="37" t="n"/>
      <c r="I184" s="37">
        <f>IF(G184="","",G184-TODAY())</f>
        <v/>
      </c>
      <c r="J184" s="37" t="n"/>
    </row>
    <row r="185" ht="15.75" customHeight="1" s="56">
      <c r="A185" s="37" t="n"/>
      <c r="B185" s="37" t="n"/>
      <c r="C185" s="37" t="n"/>
      <c r="D185" s="37" t="n"/>
      <c r="E185" s="37" t="n"/>
      <c r="F185" s="27" t="n"/>
      <c r="G185" s="27" t="n"/>
      <c r="H185" s="37" t="n"/>
      <c r="I185" s="37">
        <f>IF(G185="","",G185-TODAY())</f>
        <v/>
      </c>
      <c r="J185" s="37" t="n"/>
    </row>
    <row r="186" ht="15.75" customHeight="1" s="56">
      <c r="A186" s="37" t="n"/>
      <c r="B186" s="37" t="n"/>
      <c r="C186" s="37" t="n"/>
      <c r="D186" s="37" t="n"/>
      <c r="E186" s="37" t="n"/>
      <c r="F186" s="27" t="n"/>
      <c r="G186" s="27" t="n"/>
      <c r="H186" s="37" t="n"/>
      <c r="I186" s="37">
        <f>IF(G186="","",G186-TODAY())</f>
        <v/>
      </c>
      <c r="J186" s="37" t="n"/>
    </row>
    <row r="187" ht="15.75" customHeight="1" s="56">
      <c r="A187" s="37" t="n"/>
      <c r="B187" s="37" t="n"/>
      <c r="C187" s="37" t="n"/>
      <c r="D187" s="37" t="n"/>
      <c r="E187" s="37" t="n"/>
      <c r="F187" s="27" t="n"/>
      <c r="G187" s="27" t="n"/>
      <c r="H187" s="37" t="n"/>
      <c r="I187" s="37">
        <f>IF(G187="","",G187-TODAY())</f>
        <v/>
      </c>
      <c r="J187" s="37" t="n"/>
    </row>
    <row r="188" ht="15.75" customHeight="1" s="56">
      <c r="A188" s="37" t="n"/>
      <c r="B188" s="37" t="n"/>
      <c r="C188" s="37" t="n"/>
      <c r="D188" s="37" t="n"/>
      <c r="E188" s="37" t="n"/>
      <c r="F188" s="27" t="n"/>
      <c r="G188" s="27" t="n"/>
      <c r="H188" s="37" t="n"/>
      <c r="I188" s="37">
        <f>IF(G188="","",G188-TODAY())</f>
        <v/>
      </c>
      <c r="J188" s="37" t="n"/>
    </row>
    <row r="189" ht="15.75" customHeight="1" s="56">
      <c r="A189" s="37" t="n"/>
      <c r="B189" s="37" t="n"/>
      <c r="C189" s="37" t="n"/>
      <c r="D189" s="37" t="n"/>
      <c r="E189" s="37" t="n"/>
      <c r="F189" s="27" t="n"/>
      <c r="G189" s="27" t="n"/>
      <c r="H189" s="37" t="n"/>
      <c r="I189" s="37">
        <f>IF(G189="","",G189-TODAY())</f>
        <v/>
      </c>
      <c r="J189" s="37" t="n"/>
    </row>
    <row r="190" ht="15.75" customHeight="1" s="56">
      <c r="A190" s="37" t="n"/>
      <c r="B190" s="37" t="n"/>
      <c r="C190" s="37" t="n"/>
      <c r="D190" s="37" t="n"/>
      <c r="E190" s="37" t="n"/>
      <c r="F190" s="27" t="n"/>
      <c r="G190" s="27" t="n"/>
      <c r="H190" s="37" t="n"/>
      <c r="I190" s="37">
        <f>IF(G190="","",G190-TODAY())</f>
        <v/>
      </c>
      <c r="J190" s="37" t="n"/>
    </row>
    <row r="191" ht="15.75" customHeight="1" s="56">
      <c r="A191" s="37" t="n"/>
      <c r="B191" s="37" t="n"/>
      <c r="C191" s="37" t="n"/>
      <c r="D191" s="37" t="n"/>
      <c r="E191" s="37" t="n"/>
      <c r="F191" s="27" t="n"/>
      <c r="G191" s="27" t="n"/>
      <c r="H191" s="37" t="n"/>
      <c r="I191" s="37">
        <f>IF(G191="","",G191-TODAY())</f>
        <v/>
      </c>
      <c r="J191" s="37" t="n"/>
    </row>
    <row r="192" ht="15.75" customHeight="1" s="56">
      <c r="A192" s="37" t="n"/>
      <c r="B192" s="37" t="n"/>
      <c r="C192" s="37" t="n"/>
      <c r="D192" s="37" t="n"/>
      <c r="E192" s="37" t="n"/>
      <c r="F192" s="27" t="n"/>
      <c r="G192" s="27" t="n"/>
      <c r="H192" s="37" t="n"/>
      <c r="I192" s="37">
        <f>IF(G192="","",G192-TODAY())</f>
        <v/>
      </c>
      <c r="J192" s="37" t="n"/>
    </row>
    <row r="193" ht="15.75" customHeight="1" s="56">
      <c r="A193" s="37" t="n"/>
      <c r="B193" s="37" t="n"/>
      <c r="C193" s="37" t="n"/>
      <c r="D193" s="37" t="n"/>
      <c r="E193" s="37" t="n"/>
      <c r="F193" s="27" t="n"/>
      <c r="G193" s="27" t="n"/>
      <c r="H193" s="37" t="n"/>
      <c r="I193" s="37">
        <f>IF(G193="","",G193-TODAY())</f>
        <v/>
      </c>
      <c r="J193" s="37" t="n"/>
    </row>
    <row r="194" ht="15.75" customHeight="1" s="56">
      <c r="A194" s="37" t="n"/>
      <c r="B194" s="37" t="n"/>
      <c r="C194" s="37" t="n"/>
      <c r="D194" s="37" t="n"/>
      <c r="E194" s="37" t="n"/>
      <c r="F194" s="27" t="n"/>
      <c r="G194" s="27" t="n"/>
      <c r="H194" s="37" t="n"/>
      <c r="I194" s="37">
        <f>IF(G194="","",G194-TODAY())</f>
        <v/>
      </c>
      <c r="J194" s="37" t="n"/>
    </row>
    <row r="195" ht="15.75" customHeight="1" s="56">
      <c r="A195" s="37" t="n"/>
      <c r="B195" s="37" t="n"/>
      <c r="C195" s="37" t="n"/>
      <c r="D195" s="37" t="n"/>
      <c r="E195" s="37" t="n"/>
      <c r="F195" s="27" t="n"/>
      <c r="G195" s="27" t="n"/>
      <c r="H195" s="37" t="n"/>
      <c r="I195" s="37">
        <f>IF(G195="","",G195-TODAY())</f>
        <v/>
      </c>
      <c r="J195" s="37" t="n"/>
    </row>
    <row r="196" ht="15.75" customHeight="1" s="56">
      <c r="A196" s="37" t="n"/>
      <c r="B196" s="37" t="n"/>
      <c r="C196" s="37" t="n"/>
      <c r="D196" s="37" t="n"/>
      <c r="E196" s="37" t="n"/>
      <c r="F196" s="27" t="n"/>
      <c r="G196" s="27" t="n"/>
      <c r="H196" s="37" t="n"/>
      <c r="I196" s="37">
        <f>IF(G196="","",G196-TODAY())</f>
        <v/>
      </c>
      <c r="J196" s="37" t="n"/>
    </row>
    <row r="197" ht="15.75" customHeight="1" s="56">
      <c r="A197" s="37" t="n"/>
      <c r="B197" s="37" t="n"/>
      <c r="C197" s="37" t="n"/>
      <c r="D197" s="37" t="n"/>
      <c r="E197" s="37" t="n"/>
      <c r="F197" s="27" t="n"/>
      <c r="G197" s="27" t="n"/>
      <c r="H197" s="37" t="n"/>
      <c r="I197" s="37">
        <f>IF(G197="","",G197-TODAY())</f>
        <v/>
      </c>
      <c r="J197" s="37" t="n"/>
    </row>
    <row r="198" ht="15.75" customHeight="1" s="56">
      <c r="A198" s="37" t="n"/>
      <c r="B198" s="37" t="n"/>
      <c r="C198" s="37" t="n"/>
      <c r="D198" s="37" t="n"/>
      <c r="E198" s="37" t="n"/>
      <c r="F198" s="27" t="n"/>
      <c r="G198" s="27" t="n"/>
      <c r="H198" s="37" t="n"/>
      <c r="I198" s="37">
        <f>IF(G198="","",G198-TODAY())</f>
        <v/>
      </c>
      <c r="J198" s="37" t="n"/>
    </row>
    <row r="199" ht="15.75" customHeight="1" s="56">
      <c r="A199" s="37" t="n"/>
      <c r="B199" s="37" t="n"/>
      <c r="C199" s="37" t="n"/>
      <c r="D199" s="37" t="n"/>
      <c r="E199" s="37" t="n"/>
      <c r="F199" s="27" t="n"/>
      <c r="G199" s="27" t="n"/>
      <c r="H199" s="37" t="n"/>
      <c r="I199" s="37">
        <f>IF(G199="","",G199-TODAY())</f>
        <v/>
      </c>
      <c r="J199" s="37" t="n"/>
    </row>
    <row r="200" ht="15.75" customHeight="1" s="56">
      <c r="A200" s="37" t="n"/>
      <c r="B200" s="37" t="n"/>
      <c r="C200" s="37" t="n"/>
      <c r="D200" s="37" t="n"/>
      <c r="E200" s="37" t="n"/>
      <c r="F200" s="27" t="n"/>
      <c r="G200" s="27" t="n"/>
      <c r="H200" s="37" t="n"/>
      <c r="I200" s="37">
        <f>IF(G200="","",G200-TODAY())</f>
        <v/>
      </c>
      <c r="J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J$200"/>
  <mergeCells count="2">
    <mergeCell ref="A1:J1"/>
    <mergeCell ref="A2:J2"/>
  </mergeCells>
  <conditionalFormatting sqref="I4:I200">
    <cfRule type="cellIs" priority="1" operator="lessThan" dxfId="0">
      <formula>0</formula>
    </cfRule>
  </conditionalFormatting>
  <dataValidations count="3">
    <dataValidation sqref="D4:D200" showDropDown="0" showInputMessage="0" showErrorMessage="0" allowBlank="1" type="list">
      <formula1>DM_NHANSU</formula1>
    </dataValidation>
    <dataValidation sqref="C4:C200" showDropDown="0" showInputMessage="0" showErrorMessage="0" allowBlank="1" type="list">
      <formula1>DM_DICHVU</formula1>
    </dataValidation>
    <dataValidation sqref="H4:H200" showDropDown="0" showInputMessage="0" showErrorMessage="0" allowBlank="1" type="list">
      <formula1>DM_TRANGTHAI_TASK</formula1>
    </dataValidation>
  </dataValidation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I2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2"/>
    <col width="14" customWidth="1" style="56" min="3" max="3"/>
    <col width="34" customWidth="1" style="56" min="4" max="4"/>
    <col width="28" customWidth="1" style="56" min="5" max="5"/>
    <col width="10" customWidth="1" style="56" min="6" max="6"/>
    <col width="12" customWidth="1" style="56" min="7" max="7"/>
    <col width="14" customWidth="1" style="56" min="8" max="8"/>
    <col width="24" customWidth="1" style="56" min="9" max="9"/>
    <col width="8.710000000000001" customWidth="1" style="56" min="10" max="26"/>
  </cols>
  <sheetData>
    <row r="1">
      <c r="A1" s="69" t="inlineStr">
        <is>
          <t>MARKETING - KẾ HOẠCH &amp; KPI</t>
        </is>
      </c>
      <c r="B1" s="58" t="n"/>
      <c r="C1" s="58" t="n"/>
      <c r="D1" s="58" t="n"/>
      <c r="E1" s="58" t="n"/>
      <c r="F1" s="58" t="n"/>
      <c r="G1" s="58" t="n"/>
      <c r="H1" s="58" t="n"/>
      <c r="I1" s="59" t="n"/>
    </row>
    <row r="2">
      <c r="A2" s="23" t="inlineStr">
        <is>
          <t>Theo dõi nội dung, lead và chi phí marketing.</t>
        </is>
      </c>
    </row>
    <row r="3">
      <c r="A3" s="45" t="inlineStr">
        <is>
          <t>Ngày</t>
        </is>
      </c>
      <c r="B3" s="45" t="inlineStr">
        <is>
          <t>Nhân sự</t>
        </is>
      </c>
      <c r="C3" s="45" t="inlineStr">
        <is>
          <t>Kênh</t>
        </is>
      </c>
      <c r="D3" s="45" t="inlineStr">
        <is>
          <t>Nội dung</t>
        </is>
      </c>
      <c r="E3" s="45" t="inlineStr">
        <is>
          <t>Link</t>
        </is>
      </c>
      <c r="F3" s="45" t="inlineStr">
        <is>
          <t>Số lead</t>
        </is>
      </c>
      <c r="G3" s="45" t="inlineStr">
        <is>
          <t>Chi phí</t>
        </is>
      </c>
      <c r="H3" s="45" t="inlineStr">
        <is>
          <t>Trạng thái</t>
        </is>
      </c>
      <c r="I3" s="45" t="inlineStr">
        <is>
          <t>Ghi chú</t>
        </is>
      </c>
    </row>
    <row r="4">
      <c r="A4" s="27" t="inlineStr">
        <is>
          <t>2026-03-17</t>
        </is>
      </c>
      <c r="B4" s="37" t="inlineStr">
        <is>
          <t>Trần Thị Tường Vy</t>
        </is>
      </c>
      <c r="C4" s="37" t="inlineStr">
        <is>
          <t>Facebook</t>
        </is>
      </c>
      <c r="D4" s="37" t="inlineStr">
        <is>
          <t>Bài giới thiệu đo vẽ hiện trạng</t>
        </is>
      </c>
      <c r="E4" s="37" t="n"/>
      <c r="F4" s="37" t="n">
        <v>2</v>
      </c>
      <c r="G4" s="29" t="n">
        <v>150000</v>
      </c>
      <c r="H4" s="37" t="inlineStr">
        <is>
          <t>Đã đăng</t>
        </is>
      </c>
      <c r="I4" s="37" t="n"/>
    </row>
    <row r="5">
      <c r="A5" s="27" t="n"/>
      <c r="B5" s="37" t="n"/>
      <c r="C5" s="37" t="n"/>
      <c r="D5" s="37" t="n"/>
      <c r="E5" s="37" t="n"/>
      <c r="F5" s="37" t="n"/>
      <c r="G5" s="29" t="n"/>
      <c r="H5" s="37" t="n"/>
      <c r="I5" s="37" t="n"/>
    </row>
    <row r="6">
      <c r="A6" s="27" t="n"/>
      <c r="B6" s="37" t="n"/>
      <c r="C6" s="37" t="n"/>
      <c r="D6" s="37" t="n"/>
      <c r="E6" s="37" t="n"/>
      <c r="F6" s="37" t="n"/>
      <c r="G6" s="29" t="n"/>
      <c r="H6" s="37" t="n"/>
      <c r="I6" s="37" t="n"/>
    </row>
    <row r="7">
      <c r="A7" s="27" t="n"/>
      <c r="B7" s="37" t="n"/>
      <c r="C7" s="37" t="n"/>
      <c r="D7" s="37" t="n"/>
      <c r="E7" s="37" t="n"/>
      <c r="F7" s="37" t="n"/>
      <c r="G7" s="29" t="n"/>
      <c r="H7" s="37" t="n"/>
      <c r="I7" s="37" t="n"/>
    </row>
    <row r="8">
      <c r="A8" s="27" t="n"/>
      <c r="B8" s="37" t="n"/>
      <c r="C8" s="37" t="n"/>
      <c r="D8" s="37" t="n"/>
      <c r="E8" s="37" t="n"/>
      <c r="F8" s="37" t="n"/>
      <c r="G8" s="29" t="n"/>
      <c r="H8" s="37" t="n"/>
      <c r="I8" s="37" t="n"/>
    </row>
    <row r="9">
      <c r="A9" s="27" t="n"/>
      <c r="B9" s="37" t="n"/>
      <c r="C9" s="37" t="n"/>
      <c r="D9" s="37" t="n"/>
      <c r="E9" s="37" t="n"/>
      <c r="F9" s="37" t="n"/>
      <c r="G9" s="29" t="n"/>
      <c r="H9" s="37" t="n"/>
      <c r="I9" s="37" t="n"/>
    </row>
    <row r="10">
      <c r="A10" s="27" t="n"/>
      <c r="B10" s="37" t="n"/>
      <c r="C10" s="37" t="n"/>
      <c r="D10" s="37" t="n"/>
      <c r="E10" s="37" t="n"/>
      <c r="F10" s="37" t="n"/>
      <c r="G10" s="29" t="n"/>
      <c r="H10" s="37" t="n"/>
      <c r="I10" s="37" t="n"/>
    </row>
    <row r="11">
      <c r="A11" s="27" t="n"/>
      <c r="B11" s="37" t="n"/>
      <c r="C11" s="37" t="n"/>
      <c r="D11" s="37" t="n"/>
      <c r="E11" s="37" t="n"/>
      <c r="F11" s="37" t="n"/>
      <c r="G11" s="29" t="n"/>
      <c r="H11" s="37" t="n"/>
      <c r="I11" s="37" t="n"/>
    </row>
    <row r="12">
      <c r="A12" s="27" t="n"/>
      <c r="B12" s="37" t="n"/>
      <c r="C12" s="37" t="n"/>
      <c r="D12" s="37" t="n"/>
      <c r="E12" s="37" t="n"/>
      <c r="F12" s="37" t="n"/>
      <c r="G12" s="29" t="n"/>
      <c r="H12" s="37" t="n"/>
      <c r="I12" s="37" t="n"/>
    </row>
    <row r="13">
      <c r="A13" s="27" t="n"/>
      <c r="B13" s="37" t="n"/>
      <c r="C13" s="37" t="n"/>
      <c r="D13" s="37" t="n"/>
      <c r="E13" s="37" t="n"/>
      <c r="F13" s="37" t="n"/>
      <c r="G13" s="29" t="n"/>
      <c r="H13" s="37" t="n"/>
      <c r="I13" s="37" t="n"/>
    </row>
    <row r="14">
      <c r="A14" s="27" t="n"/>
      <c r="B14" s="37" t="n"/>
      <c r="C14" s="37" t="n"/>
      <c r="D14" s="37" t="n"/>
      <c r="E14" s="37" t="n"/>
      <c r="F14" s="37" t="n"/>
      <c r="G14" s="29" t="n"/>
      <c r="H14" s="37" t="n"/>
      <c r="I14" s="37" t="n"/>
    </row>
    <row r="15">
      <c r="A15" s="27" t="n"/>
      <c r="B15" s="37" t="n"/>
      <c r="C15" s="37" t="n"/>
      <c r="D15" s="37" t="n"/>
      <c r="E15" s="37" t="n"/>
      <c r="F15" s="37" t="n"/>
      <c r="G15" s="29" t="n"/>
      <c r="H15" s="37" t="n"/>
      <c r="I15" s="37" t="n"/>
    </row>
    <row r="16">
      <c r="A16" s="27" t="n"/>
      <c r="B16" s="37" t="n"/>
      <c r="C16" s="37" t="n"/>
      <c r="D16" s="37" t="n"/>
      <c r="E16" s="37" t="n"/>
      <c r="F16" s="37" t="n"/>
      <c r="G16" s="29" t="n"/>
      <c r="H16" s="37" t="n"/>
      <c r="I16" s="37" t="n"/>
    </row>
    <row r="17">
      <c r="A17" s="27" t="n"/>
      <c r="B17" s="37" t="n"/>
      <c r="C17" s="37" t="n"/>
      <c r="D17" s="37" t="n"/>
      <c r="E17" s="37" t="n"/>
      <c r="F17" s="37" t="n"/>
      <c r="G17" s="29" t="n"/>
      <c r="H17" s="37" t="n"/>
      <c r="I17" s="37" t="n"/>
    </row>
    <row r="18">
      <c r="A18" s="27" t="n"/>
      <c r="B18" s="37" t="n"/>
      <c r="C18" s="37" t="n"/>
      <c r="D18" s="37" t="n"/>
      <c r="E18" s="37" t="n"/>
      <c r="F18" s="37" t="n"/>
      <c r="G18" s="29" t="n"/>
      <c r="H18" s="37" t="n"/>
      <c r="I18" s="37" t="n"/>
    </row>
    <row r="19">
      <c r="A19" s="27" t="n"/>
      <c r="B19" s="37" t="n"/>
      <c r="C19" s="37" t="n"/>
      <c r="D19" s="37" t="n"/>
      <c r="E19" s="37" t="n"/>
      <c r="F19" s="37" t="n"/>
      <c r="G19" s="29" t="n"/>
      <c r="H19" s="37" t="n"/>
      <c r="I19" s="37" t="n"/>
    </row>
    <row r="20">
      <c r="A20" s="27" t="n"/>
      <c r="B20" s="37" t="n"/>
      <c r="C20" s="37" t="n"/>
      <c r="D20" s="37" t="n"/>
      <c r="E20" s="37" t="n"/>
      <c r="F20" s="37" t="n"/>
      <c r="G20" s="29" t="n"/>
      <c r="H20" s="37" t="n"/>
      <c r="I20" s="37" t="n"/>
    </row>
    <row r="21" ht="15.75" customHeight="1" s="56">
      <c r="A21" s="27" t="n"/>
      <c r="B21" s="37" t="n"/>
      <c r="C21" s="37" t="n"/>
      <c r="D21" s="37" t="n"/>
      <c r="E21" s="37" t="n"/>
      <c r="F21" s="37" t="n"/>
      <c r="G21" s="29" t="n"/>
      <c r="H21" s="37" t="n"/>
      <c r="I21" s="37" t="n"/>
    </row>
    <row r="22" ht="15.75" customHeight="1" s="56">
      <c r="A22" s="27" t="n"/>
      <c r="B22" s="37" t="n"/>
      <c r="C22" s="37" t="n"/>
      <c r="D22" s="37" t="n"/>
      <c r="E22" s="37" t="n"/>
      <c r="F22" s="37" t="n"/>
      <c r="G22" s="29" t="n"/>
      <c r="H22" s="37" t="n"/>
      <c r="I22" s="37" t="n"/>
    </row>
    <row r="23" ht="15.75" customHeight="1" s="56">
      <c r="A23" s="27" t="n"/>
      <c r="B23" s="37" t="n"/>
      <c r="C23" s="37" t="n"/>
      <c r="D23" s="37" t="n"/>
      <c r="E23" s="37" t="n"/>
      <c r="F23" s="37" t="n"/>
      <c r="G23" s="29" t="n"/>
      <c r="H23" s="37" t="n"/>
      <c r="I23" s="37" t="n"/>
    </row>
    <row r="24" ht="15.75" customHeight="1" s="56">
      <c r="A24" s="27" t="n"/>
      <c r="B24" s="37" t="n"/>
      <c r="C24" s="37" t="n"/>
      <c r="D24" s="37" t="n"/>
      <c r="E24" s="37" t="n"/>
      <c r="F24" s="37" t="n"/>
      <c r="G24" s="29" t="n"/>
      <c r="H24" s="37" t="n"/>
      <c r="I24" s="37" t="n"/>
    </row>
    <row r="25" ht="15.75" customHeight="1" s="56">
      <c r="A25" s="27" t="n"/>
      <c r="B25" s="37" t="n"/>
      <c r="C25" s="37" t="n"/>
      <c r="D25" s="37" t="n"/>
      <c r="E25" s="37" t="n"/>
      <c r="F25" s="37" t="n"/>
      <c r="G25" s="29" t="n"/>
      <c r="H25" s="37" t="n"/>
      <c r="I25" s="37" t="n"/>
    </row>
    <row r="26" ht="15.75" customHeight="1" s="56">
      <c r="A26" s="27" t="n"/>
      <c r="B26" s="37" t="n"/>
      <c r="C26" s="37" t="n"/>
      <c r="D26" s="37" t="n"/>
      <c r="E26" s="37" t="n"/>
      <c r="F26" s="37" t="n"/>
      <c r="G26" s="29" t="n"/>
      <c r="H26" s="37" t="n"/>
      <c r="I26" s="37" t="n"/>
    </row>
    <row r="27" ht="15.75" customHeight="1" s="56">
      <c r="A27" s="27" t="n"/>
      <c r="B27" s="37" t="n"/>
      <c r="C27" s="37" t="n"/>
      <c r="D27" s="37" t="n"/>
      <c r="E27" s="37" t="n"/>
      <c r="F27" s="37" t="n"/>
      <c r="G27" s="29" t="n"/>
      <c r="H27" s="37" t="n"/>
      <c r="I27" s="37" t="n"/>
    </row>
    <row r="28" ht="15.75" customHeight="1" s="56">
      <c r="A28" s="27" t="n"/>
      <c r="B28" s="37" t="n"/>
      <c r="C28" s="37" t="n"/>
      <c r="D28" s="37" t="n"/>
      <c r="E28" s="37" t="n"/>
      <c r="F28" s="37" t="n"/>
      <c r="G28" s="29" t="n"/>
      <c r="H28" s="37" t="n"/>
      <c r="I28" s="37" t="n"/>
    </row>
    <row r="29" ht="15.75" customHeight="1" s="56">
      <c r="A29" s="27" t="n"/>
      <c r="B29" s="37" t="n"/>
      <c r="C29" s="37" t="n"/>
      <c r="D29" s="37" t="n"/>
      <c r="E29" s="37" t="n"/>
      <c r="F29" s="37" t="n"/>
      <c r="G29" s="29" t="n"/>
      <c r="H29" s="37" t="n"/>
      <c r="I29" s="37" t="n"/>
    </row>
    <row r="30" ht="15.75" customHeight="1" s="56">
      <c r="A30" s="27" t="n"/>
      <c r="B30" s="37" t="n"/>
      <c r="C30" s="37" t="n"/>
      <c r="D30" s="37" t="n"/>
      <c r="E30" s="37" t="n"/>
      <c r="F30" s="37" t="n"/>
      <c r="G30" s="29" t="n"/>
      <c r="H30" s="37" t="n"/>
      <c r="I30" s="37" t="n"/>
    </row>
    <row r="31" ht="15.75" customHeight="1" s="56">
      <c r="A31" s="27" t="n"/>
      <c r="B31" s="37" t="n"/>
      <c r="C31" s="37" t="n"/>
      <c r="D31" s="37" t="n"/>
      <c r="E31" s="37" t="n"/>
      <c r="F31" s="37" t="n"/>
      <c r="G31" s="29" t="n"/>
      <c r="H31" s="37" t="n"/>
      <c r="I31" s="37" t="n"/>
    </row>
    <row r="32" ht="15.75" customHeight="1" s="56">
      <c r="A32" s="27" t="n"/>
      <c r="B32" s="37" t="n"/>
      <c r="C32" s="37" t="n"/>
      <c r="D32" s="37" t="n"/>
      <c r="E32" s="37" t="n"/>
      <c r="F32" s="37" t="n"/>
      <c r="G32" s="29" t="n"/>
      <c r="H32" s="37" t="n"/>
      <c r="I32" s="37" t="n"/>
    </row>
    <row r="33" ht="15.75" customHeight="1" s="56">
      <c r="A33" s="27" t="n"/>
      <c r="B33" s="37" t="n"/>
      <c r="C33" s="37" t="n"/>
      <c r="D33" s="37" t="n"/>
      <c r="E33" s="37" t="n"/>
      <c r="F33" s="37" t="n"/>
      <c r="G33" s="29" t="n"/>
      <c r="H33" s="37" t="n"/>
      <c r="I33" s="37" t="n"/>
    </row>
    <row r="34" ht="15.75" customHeight="1" s="56">
      <c r="A34" s="27" t="n"/>
      <c r="B34" s="37" t="n"/>
      <c r="C34" s="37" t="n"/>
      <c r="D34" s="37" t="n"/>
      <c r="E34" s="37" t="n"/>
      <c r="F34" s="37" t="n"/>
      <c r="G34" s="29" t="n"/>
      <c r="H34" s="37" t="n"/>
      <c r="I34" s="37" t="n"/>
    </row>
    <row r="35" ht="15.75" customHeight="1" s="56">
      <c r="A35" s="27" t="n"/>
      <c r="B35" s="37" t="n"/>
      <c r="C35" s="37" t="n"/>
      <c r="D35" s="37" t="n"/>
      <c r="E35" s="37" t="n"/>
      <c r="F35" s="37" t="n"/>
      <c r="G35" s="29" t="n"/>
      <c r="H35" s="37" t="n"/>
      <c r="I35" s="37" t="n"/>
    </row>
    <row r="36" ht="15.75" customHeight="1" s="56">
      <c r="A36" s="27" t="n"/>
      <c r="B36" s="37" t="n"/>
      <c r="C36" s="37" t="n"/>
      <c r="D36" s="37" t="n"/>
      <c r="E36" s="37" t="n"/>
      <c r="F36" s="37" t="n"/>
      <c r="G36" s="29" t="n"/>
      <c r="H36" s="37" t="n"/>
      <c r="I36" s="37" t="n"/>
    </row>
    <row r="37" ht="15.75" customHeight="1" s="56">
      <c r="A37" s="27" t="n"/>
      <c r="B37" s="37" t="n"/>
      <c r="C37" s="37" t="n"/>
      <c r="D37" s="37" t="n"/>
      <c r="E37" s="37" t="n"/>
      <c r="F37" s="37" t="n"/>
      <c r="G37" s="29" t="n"/>
      <c r="H37" s="37" t="n"/>
      <c r="I37" s="37" t="n"/>
    </row>
    <row r="38" ht="15.75" customHeight="1" s="56">
      <c r="A38" s="27" t="n"/>
      <c r="B38" s="37" t="n"/>
      <c r="C38" s="37" t="n"/>
      <c r="D38" s="37" t="n"/>
      <c r="E38" s="37" t="n"/>
      <c r="F38" s="37" t="n"/>
      <c r="G38" s="29" t="n"/>
      <c r="H38" s="37" t="n"/>
      <c r="I38" s="37" t="n"/>
    </row>
    <row r="39" ht="15.75" customHeight="1" s="56">
      <c r="A39" s="27" t="n"/>
      <c r="B39" s="37" t="n"/>
      <c r="C39" s="37" t="n"/>
      <c r="D39" s="37" t="n"/>
      <c r="E39" s="37" t="n"/>
      <c r="F39" s="37" t="n"/>
      <c r="G39" s="29" t="n"/>
      <c r="H39" s="37" t="n"/>
      <c r="I39" s="37" t="n"/>
    </row>
    <row r="40" ht="15.75" customHeight="1" s="56">
      <c r="A40" s="27" t="n"/>
      <c r="B40" s="37" t="n"/>
      <c r="C40" s="37" t="n"/>
      <c r="D40" s="37" t="n"/>
      <c r="E40" s="37" t="n"/>
      <c r="F40" s="37" t="n"/>
      <c r="G40" s="29" t="n"/>
      <c r="H40" s="37" t="n"/>
      <c r="I40" s="37" t="n"/>
    </row>
    <row r="41" ht="15.75" customHeight="1" s="56">
      <c r="A41" s="27" t="n"/>
      <c r="B41" s="37" t="n"/>
      <c r="C41" s="37" t="n"/>
      <c r="D41" s="37" t="n"/>
      <c r="E41" s="37" t="n"/>
      <c r="F41" s="37" t="n"/>
      <c r="G41" s="29" t="n"/>
      <c r="H41" s="37" t="n"/>
      <c r="I41" s="37" t="n"/>
    </row>
    <row r="42" ht="15.75" customHeight="1" s="56">
      <c r="A42" s="27" t="n"/>
      <c r="B42" s="37" t="n"/>
      <c r="C42" s="37" t="n"/>
      <c r="D42" s="37" t="n"/>
      <c r="E42" s="37" t="n"/>
      <c r="F42" s="37" t="n"/>
      <c r="G42" s="29" t="n"/>
      <c r="H42" s="37" t="n"/>
      <c r="I42" s="37" t="n"/>
    </row>
    <row r="43" ht="15.75" customHeight="1" s="56">
      <c r="A43" s="27" t="n"/>
      <c r="B43" s="37" t="n"/>
      <c r="C43" s="37" t="n"/>
      <c r="D43" s="37" t="n"/>
      <c r="E43" s="37" t="n"/>
      <c r="F43" s="37" t="n"/>
      <c r="G43" s="29" t="n"/>
      <c r="H43" s="37" t="n"/>
      <c r="I43" s="37" t="n"/>
    </row>
    <row r="44" ht="15.75" customHeight="1" s="56">
      <c r="A44" s="27" t="n"/>
      <c r="B44" s="37" t="n"/>
      <c r="C44" s="37" t="n"/>
      <c r="D44" s="37" t="n"/>
      <c r="E44" s="37" t="n"/>
      <c r="F44" s="37" t="n"/>
      <c r="G44" s="29" t="n"/>
      <c r="H44" s="37" t="n"/>
      <c r="I44" s="37" t="n"/>
    </row>
    <row r="45" ht="15.75" customHeight="1" s="56">
      <c r="A45" s="27" t="n"/>
      <c r="B45" s="37" t="n"/>
      <c r="C45" s="37" t="n"/>
      <c r="D45" s="37" t="n"/>
      <c r="E45" s="37" t="n"/>
      <c r="F45" s="37" t="n"/>
      <c r="G45" s="29" t="n"/>
      <c r="H45" s="37" t="n"/>
      <c r="I45" s="37" t="n"/>
    </row>
    <row r="46" ht="15.75" customHeight="1" s="56">
      <c r="A46" s="27" t="n"/>
      <c r="B46" s="37" t="n"/>
      <c r="C46" s="37" t="n"/>
      <c r="D46" s="37" t="n"/>
      <c r="E46" s="37" t="n"/>
      <c r="F46" s="37" t="n"/>
      <c r="G46" s="29" t="n"/>
      <c r="H46" s="37" t="n"/>
      <c r="I46" s="37" t="n"/>
    </row>
    <row r="47" ht="15.75" customHeight="1" s="56">
      <c r="A47" s="27" t="n"/>
      <c r="B47" s="37" t="n"/>
      <c r="C47" s="37" t="n"/>
      <c r="D47" s="37" t="n"/>
      <c r="E47" s="37" t="n"/>
      <c r="F47" s="37" t="n"/>
      <c r="G47" s="29" t="n"/>
      <c r="H47" s="37" t="n"/>
      <c r="I47" s="37" t="n"/>
    </row>
    <row r="48" ht="15.75" customHeight="1" s="56">
      <c r="A48" s="27" t="n"/>
      <c r="B48" s="37" t="n"/>
      <c r="C48" s="37" t="n"/>
      <c r="D48" s="37" t="n"/>
      <c r="E48" s="37" t="n"/>
      <c r="F48" s="37" t="n"/>
      <c r="G48" s="29" t="n"/>
      <c r="H48" s="37" t="n"/>
      <c r="I48" s="37" t="n"/>
    </row>
    <row r="49" ht="15.75" customHeight="1" s="56">
      <c r="A49" s="27" t="n"/>
      <c r="B49" s="37" t="n"/>
      <c r="C49" s="37" t="n"/>
      <c r="D49" s="37" t="n"/>
      <c r="E49" s="37" t="n"/>
      <c r="F49" s="37" t="n"/>
      <c r="G49" s="29" t="n"/>
      <c r="H49" s="37" t="n"/>
      <c r="I49" s="37" t="n"/>
    </row>
    <row r="50" ht="15.75" customHeight="1" s="56">
      <c r="A50" s="27" t="n"/>
      <c r="B50" s="37" t="n"/>
      <c r="C50" s="37" t="n"/>
      <c r="D50" s="37" t="n"/>
      <c r="E50" s="37" t="n"/>
      <c r="F50" s="37" t="n"/>
      <c r="G50" s="29" t="n"/>
      <c r="H50" s="37" t="n"/>
      <c r="I50" s="37" t="n"/>
    </row>
    <row r="51" ht="15.75" customHeight="1" s="56">
      <c r="A51" s="27" t="n"/>
      <c r="B51" s="37" t="n"/>
      <c r="C51" s="37" t="n"/>
      <c r="D51" s="37" t="n"/>
      <c r="E51" s="37" t="n"/>
      <c r="F51" s="37" t="n"/>
      <c r="G51" s="29" t="n"/>
      <c r="H51" s="37" t="n"/>
      <c r="I51" s="37" t="n"/>
    </row>
    <row r="52" ht="15.75" customHeight="1" s="56">
      <c r="A52" s="27" t="n"/>
      <c r="B52" s="37" t="n"/>
      <c r="C52" s="37" t="n"/>
      <c r="D52" s="37" t="n"/>
      <c r="E52" s="37" t="n"/>
      <c r="F52" s="37" t="n"/>
      <c r="G52" s="29" t="n"/>
      <c r="H52" s="37" t="n"/>
      <c r="I52" s="37" t="n"/>
    </row>
    <row r="53" ht="15.75" customHeight="1" s="56">
      <c r="A53" s="27" t="n"/>
      <c r="B53" s="37" t="n"/>
      <c r="C53" s="37" t="n"/>
      <c r="D53" s="37" t="n"/>
      <c r="E53" s="37" t="n"/>
      <c r="F53" s="37" t="n"/>
      <c r="G53" s="29" t="n"/>
      <c r="H53" s="37" t="n"/>
      <c r="I53" s="37" t="n"/>
    </row>
    <row r="54" ht="15.75" customHeight="1" s="56">
      <c r="A54" s="27" t="n"/>
      <c r="B54" s="37" t="n"/>
      <c r="C54" s="37" t="n"/>
      <c r="D54" s="37" t="n"/>
      <c r="E54" s="37" t="n"/>
      <c r="F54" s="37" t="n"/>
      <c r="G54" s="29" t="n"/>
      <c r="H54" s="37" t="n"/>
      <c r="I54" s="37" t="n"/>
    </row>
    <row r="55" ht="15.75" customHeight="1" s="56">
      <c r="A55" s="27" t="n"/>
      <c r="B55" s="37" t="n"/>
      <c r="C55" s="37" t="n"/>
      <c r="D55" s="37" t="n"/>
      <c r="E55" s="37" t="n"/>
      <c r="F55" s="37" t="n"/>
      <c r="G55" s="29" t="n"/>
      <c r="H55" s="37" t="n"/>
      <c r="I55" s="37" t="n"/>
    </row>
    <row r="56" ht="15.75" customHeight="1" s="56">
      <c r="A56" s="27" t="n"/>
      <c r="B56" s="37" t="n"/>
      <c r="C56" s="37" t="n"/>
      <c r="D56" s="37" t="n"/>
      <c r="E56" s="37" t="n"/>
      <c r="F56" s="37" t="n"/>
      <c r="G56" s="29" t="n"/>
      <c r="H56" s="37" t="n"/>
      <c r="I56" s="37" t="n"/>
    </row>
    <row r="57" ht="15.75" customHeight="1" s="56">
      <c r="A57" s="27" t="n"/>
      <c r="B57" s="37" t="n"/>
      <c r="C57" s="37" t="n"/>
      <c r="D57" s="37" t="n"/>
      <c r="E57" s="37" t="n"/>
      <c r="F57" s="37" t="n"/>
      <c r="G57" s="29" t="n"/>
      <c r="H57" s="37" t="n"/>
      <c r="I57" s="37" t="n"/>
    </row>
    <row r="58" ht="15.75" customHeight="1" s="56">
      <c r="A58" s="27" t="n"/>
      <c r="B58" s="37" t="n"/>
      <c r="C58" s="37" t="n"/>
      <c r="D58" s="37" t="n"/>
      <c r="E58" s="37" t="n"/>
      <c r="F58" s="37" t="n"/>
      <c r="G58" s="29" t="n"/>
      <c r="H58" s="37" t="n"/>
      <c r="I58" s="37" t="n"/>
    </row>
    <row r="59" ht="15.75" customHeight="1" s="56">
      <c r="A59" s="27" t="n"/>
      <c r="B59" s="37" t="n"/>
      <c r="C59" s="37" t="n"/>
      <c r="D59" s="37" t="n"/>
      <c r="E59" s="37" t="n"/>
      <c r="F59" s="37" t="n"/>
      <c r="G59" s="29" t="n"/>
      <c r="H59" s="37" t="n"/>
      <c r="I59" s="37" t="n"/>
    </row>
    <row r="60" ht="15.75" customHeight="1" s="56">
      <c r="A60" s="27" t="n"/>
      <c r="B60" s="37" t="n"/>
      <c r="C60" s="37" t="n"/>
      <c r="D60" s="37" t="n"/>
      <c r="E60" s="37" t="n"/>
      <c r="F60" s="37" t="n"/>
      <c r="G60" s="29" t="n"/>
      <c r="H60" s="37" t="n"/>
      <c r="I60" s="37" t="n"/>
    </row>
    <row r="61" ht="15.75" customHeight="1" s="56">
      <c r="A61" s="27" t="n"/>
      <c r="B61" s="37" t="n"/>
      <c r="C61" s="37" t="n"/>
      <c r="D61" s="37" t="n"/>
      <c r="E61" s="37" t="n"/>
      <c r="F61" s="37" t="n"/>
      <c r="G61" s="29" t="n"/>
      <c r="H61" s="37" t="n"/>
      <c r="I61" s="37" t="n"/>
    </row>
    <row r="62" ht="15.75" customHeight="1" s="56">
      <c r="A62" s="27" t="n"/>
      <c r="B62" s="37" t="n"/>
      <c r="C62" s="37" t="n"/>
      <c r="D62" s="37" t="n"/>
      <c r="E62" s="37" t="n"/>
      <c r="F62" s="37" t="n"/>
      <c r="G62" s="29" t="n"/>
      <c r="H62" s="37" t="n"/>
      <c r="I62" s="37" t="n"/>
    </row>
    <row r="63" ht="15.75" customHeight="1" s="56">
      <c r="A63" s="27" t="n"/>
      <c r="B63" s="37" t="n"/>
      <c r="C63" s="37" t="n"/>
      <c r="D63" s="37" t="n"/>
      <c r="E63" s="37" t="n"/>
      <c r="F63" s="37" t="n"/>
      <c r="G63" s="29" t="n"/>
      <c r="H63" s="37" t="n"/>
      <c r="I63" s="37" t="n"/>
    </row>
    <row r="64" ht="15.75" customHeight="1" s="56">
      <c r="A64" s="27" t="n"/>
      <c r="B64" s="37" t="n"/>
      <c r="C64" s="37" t="n"/>
      <c r="D64" s="37" t="n"/>
      <c r="E64" s="37" t="n"/>
      <c r="F64" s="37" t="n"/>
      <c r="G64" s="29" t="n"/>
      <c r="H64" s="37" t="n"/>
      <c r="I64" s="37" t="n"/>
    </row>
    <row r="65" ht="15.75" customHeight="1" s="56">
      <c r="A65" s="27" t="n"/>
      <c r="B65" s="37" t="n"/>
      <c r="C65" s="37" t="n"/>
      <c r="D65" s="37" t="n"/>
      <c r="E65" s="37" t="n"/>
      <c r="F65" s="37" t="n"/>
      <c r="G65" s="29" t="n"/>
      <c r="H65" s="37" t="n"/>
      <c r="I65" s="37" t="n"/>
    </row>
    <row r="66" ht="15.75" customHeight="1" s="56">
      <c r="A66" s="27" t="n"/>
      <c r="B66" s="37" t="n"/>
      <c r="C66" s="37" t="n"/>
      <c r="D66" s="37" t="n"/>
      <c r="E66" s="37" t="n"/>
      <c r="F66" s="37" t="n"/>
      <c r="G66" s="29" t="n"/>
      <c r="H66" s="37" t="n"/>
      <c r="I66" s="37" t="n"/>
    </row>
    <row r="67" ht="15.75" customHeight="1" s="56">
      <c r="A67" s="27" t="n"/>
      <c r="B67" s="37" t="n"/>
      <c r="C67" s="37" t="n"/>
      <c r="D67" s="37" t="n"/>
      <c r="E67" s="37" t="n"/>
      <c r="F67" s="37" t="n"/>
      <c r="G67" s="29" t="n"/>
      <c r="H67" s="37" t="n"/>
      <c r="I67" s="37" t="n"/>
    </row>
    <row r="68" ht="15.75" customHeight="1" s="56">
      <c r="A68" s="27" t="n"/>
      <c r="B68" s="37" t="n"/>
      <c r="C68" s="37" t="n"/>
      <c r="D68" s="37" t="n"/>
      <c r="E68" s="37" t="n"/>
      <c r="F68" s="37" t="n"/>
      <c r="G68" s="29" t="n"/>
      <c r="H68" s="37" t="n"/>
      <c r="I68" s="37" t="n"/>
    </row>
    <row r="69" ht="15.75" customHeight="1" s="56">
      <c r="A69" s="27" t="n"/>
      <c r="B69" s="37" t="n"/>
      <c r="C69" s="37" t="n"/>
      <c r="D69" s="37" t="n"/>
      <c r="E69" s="37" t="n"/>
      <c r="F69" s="37" t="n"/>
      <c r="G69" s="29" t="n"/>
      <c r="H69" s="37" t="n"/>
      <c r="I69" s="37" t="n"/>
    </row>
    <row r="70" ht="15.75" customHeight="1" s="56">
      <c r="A70" s="27" t="n"/>
      <c r="B70" s="37" t="n"/>
      <c r="C70" s="37" t="n"/>
      <c r="D70" s="37" t="n"/>
      <c r="E70" s="37" t="n"/>
      <c r="F70" s="37" t="n"/>
      <c r="G70" s="29" t="n"/>
      <c r="H70" s="37" t="n"/>
      <c r="I70" s="37" t="n"/>
    </row>
    <row r="71" ht="15.75" customHeight="1" s="56">
      <c r="A71" s="27" t="n"/>
      <c r="B71" s="37" t="n"/>
      <c r="C71" s="37" t="n"/>
      <c r="D71" s="37" t="n"/>
      <c r="E71" s="37" t="n"/>
      <c r="F71" s="37" t="n"/>
      <c r="G71" s="29" t="n"/>
      <c r="H71" s="37" t="n"/>
      <c r="I71" s="37" t="n"/>
    </row>
    <row r="72" ht="15.75" customHeight="1" s="56">
      <c r="A72" s="27" t="n"/>
      <c r="B72" s="37" t="n"/>
      <c r="C72" s="37" t="n"/>
      <c r="D72" s="37" t="n"/>
      <c r="E72" s="37" t="n"/>
      <c r="F72" s="37" t="n"/>
      <c r="G72" s="29" t="n"/>
      <c r="H72" s="37" t="n"/>
      <c r="I72" s="37" t="n"/>
    </row>
    <row r="73" ht="15.75" customHeight="1" s="56">
      <c r="A73" s="27" t="n"/>
      <c r="B73" s="37" t="n"/>
      <c r="C73" s="37" t="n"/>
      <c r="D73" s="37" t="n"/>
      <c r="E73" s="37" t="n"/>
      <c r="F73" s="37" t="n"/>
      <c r="G73" s="29" t="n"/>
      <c r="H73" s="37" t="n"/>
      <c r="I73" s="37" t="n"/>
    </row>
    <row r="74" ht="15.75" customHeight="1" s="56">
      <c r="A74" s="27" t="n"/>
      <c r="B74" s="37" t="n"/>
      <c r="C74" s="37" t="n"/>
      <c r="D74" s="37" t="n"/>
      <c r="E74" s="37" t="n"/>
      <c r="F74" s="37" t="n"/>
      <c r="G74" s="29" t="n"/>
      <c r="H74" s="37" t="n"/>
      <c r="I74" s="37" t="n"/>
    </row>
    <row r="75" ht="15.75" customHeight="1" s="56">
      <c r="A75" s="27" t="n"/>
      <c r="B75" s="37" t="n"/>
      <c r="C75" s="37" t="n"/>
      <c r="D75" s="37" t="n"/>
      <c r="E75" s="37" t="n"/>
      <c r="F75" s="37" t="n"/>
      <c r="G75" s="29" t="n"/>
      <c r="H75" s="37" t="n"/>
      <c r="I75" s="37" t="n"/>
    </row>
    <row r="76" ht="15.75" customHeight="1" s="56">
      <c r="A76" s="27" t="n"/>
      <c r="B76" s="37" t="n"/>
      <c r="C76" s="37" t="n"/>
      <c r="D76" s="37" t="n"/>
      <c r="E76" s="37" t="n"/>
      <c r="F76" s="37" t="n"/>
      <c r="G76" s="29" t="n"/>
      <c r="H76" s="37" t="n"/>
      <c r="I76" s="37" t="n"/>
    </row>
    <row r="77" ht="15.75" customHeight="1" s="56">
      <c r="A77" s="27" t="n"/>
      <c r="B77" s="37" t="n"/>
      <c r="C77" s="37" t="n"/>
      <c r="D77" s="37" t="n"/>
      <c r="E77" s="37" t="n"/>
      <c r="F77" s="37" t="n"/>
      <c r="G77" s="29" t="n"/>
      <c r="H77" s="37" t="n"/>
      <c r="I77" s="37" t="n"/>
    </row>
    <row r="78" ht="15.75" customHeight="1" s="56">
      <c r="A78" s="27" t="n"/>
      <c r="B78" s="37" t="n"/>
      <c r="C78" s="37" t="n"/>
      <c r="D78" s="37" t="n"/>
      <c r="E78" s="37" t="n"/>
      <c r="F78" s="37" t="n"/>
      <c r="G78" s="29" t="n"/>
      <c r="H78" s="37" t="n"/>
      <c r="I78" s="37" t="n"/>
    </row>
    <row r="79" ht="15.75" customHeight="1" s="56">
      <c r="A79" s="27" t="n"/>
      <c r="B79" s="37" t="n"/>
      <c r="C79" s="37" t="n"/>
      <c r="D79" s="37" t="n"/>
      <c r="E79" s="37" t="n"/>
      <c r="F79" s="37" t="n"/>
      <c r="G79" s="29" t="n"/>
      <c r="H79" s="37" t="n"/>
      <c r="I79" s="37" t="n"/>
    </row>
    <row r="80" ht="15.75" customHeight="1" s="56">
      <c r="A80" s="27" t="n"/>
      <c r="B80" s="37" t="n"/>
      <c r="C80" s="37" t="n"/>
      <c r="D80" s="37" t="n"/>
      <c r="E80" s="37" t="n"/>
      <c r="F80" s="37" t="n"/>
      <c r="G80" s="29" t="n"/>
      <c r="H80" s="37" t="n"/>
      <c r="I80" s="37" t="n"/>
    </row>
    <row r="81" ht="15.75" customHeight="1" s="56">
      <c r="A81" s="27" t="n"/>
      <c r="B81" s="37" t="n"/>
      <c r="C81" s="37" t="n"/>
      <c r="D81" s="37" t="n"/>
      <c r="E81" s="37" t="n"/>
      <c r="F81" s="37" t="n"/>
      <c r="G81" s="29" t="n"/>
      <c r="H81" s="37" t="n"/>
      <c r="I81" s="37" t="n"/>
    </row>
    <row r="82" ht="15.75" customHeight="1" s="56">
      <c r="A82" s="27" t="n"/>
      <c r="B82" s="37" t="n"/>
      <c r="C82" s="37" t="n"/>
      <c r="D82" s="37" t="n"/>
      <c r="E82" s="37" t="n"/>
      <c r="F82" s="37" t="n"/>
      <c r="G82" s="29" t="n"/>
      <c r="H82" s="37" t="n"/>
      <c r="I82" s="37" t="n"/>
    </row>
    <row r="83" ht="15.75" customHeight="1" s="56">
      <c r="A83" s="27" t="n"/>
      <c r="B83" s="37" t="n"/>
      <c r="C83" s="37" t="n"/>
      <c r="D83" s="37" t="n"/>
      <c r="E83" s="37" t="n"/>
      <c r="F83" s="37" t="n"/>
      <c r="G83" s="29" t="n"/>
      <c r="H83" s="37" t="n"/>
      <c r="I83" s="37" t="n"/>
    </row>
    <row r="84" ht="15.75" customHeight="1" s="56">
      <c r="A84" s="27" t="n"/>
      <c r="B84" s="37" t="n"/>
      <c r="C84" s="37" t="n"/>
      <c r="D84" s="37" t="n"/>
      <c r="E84" s="37" t="n"/>
      <c r="F84" s="37" t="n"/>
      <c r="G84" s="29" t="n"/>
      <c r="H84" s="37" t="n"/>
      <c r="I84" s="37" t="n"/>
    </row>
    <row r="85" ht="15.75" customHeight="1" s="56">
      <c r="A85" s="27" t="n"/>
      <c r="B85" s="37" t="n"/>
      <c r="C85" s="37" t="n"/>
      <c r="D85" s="37" t="n"/>
      <c r="E85" s="37" t="n"/>
      <c r="F85" s="37" t="n"/>
      <c r="G85" s="29" t="n"/>
      <c r="H85" s="37" t="n"/>
      <c r="I85" s="37" t="n"/>
    </row>
    <row r="86" ht="15.75" customHeight="1" s="56">
      <c r="A86" s="27" t="n"/>
      <c r="B86" s="37" t="n"/>
      <c r="C86" s="37" t="n"/>
      <c r="D86" s="37" t="n"/>
      <c r="E86" s="37" t="n"/>
      <c r="F86" s="37" t="n"/>
      <c r="G86" s="29" t="n"/>
      <c r="H86" s="37" t="n"/>
      <c r="I86" s="37" t="n"/>
    </row>
    <row r="87" ht="15.75" customHeight="1" s="56">
      <c r="A87" s="27" t="n"/>
      <c r="B87" s="37" t="n"/>
      <c r="C87" s="37" t="n"/>
      <c r="D87" s="37" t="n"/>
      <c r="E87" s="37" t="n"/>
      <c r="F87" s="37" t="n"/>
      <c r="G87" s="29" t="n"/>
      <c r="H87" s="37" t="n"/>
      <c r="I87" s="37" t="n"/>
    </row>
    <row r="88" ht="15.75" customHeight="1" s="56">
      <c r="A88" s="27" t="n"/>
      <c r="B88" s="37" t="n"/>
      <c r="C88" s="37" t="n"/>
      <c r="D88" s="37" t="n"/>
      <c r="E88" s="37" t="n"/>
      <c r="F88" s="37" t="n"/>
      <c r="G88" s="29" t="n"/>
      <c r="H88" s="37" t="n"/>
      <c r="I88" s="37" t="n"/>
    </row>
    <row r="89" ht="15.75" customHeight="1" s="56">
      <c r="A89" s="27" t="n"/>
      <c r="B89" s="37" t="n"/>
      <c r="C89" s="37" t="n"/>
      <c r="D89" s="37" t="n"/>
      <c r="E89" s="37" t="n"/>
      <c r="F89" s="37" t="n"/>
      <c r="G89" s="29" t="n"/>
      <c r="H89" s="37" t="n"/>
      <c r="I89" s="37" t="n"/>
    </row>
    <row r="90" ht="15.75" customHeight="1" s="56">
      <c r="A90" s="27" t="n"/>
      <c r="B90" s="37" t="n"/>
      <c r="C90" s="37" t="n"/>
      <c r="D90" s="37" t="n"/>
      <c r="E90" s="37" t="n"/>
      <c r="F90" s="37" t="n"/>
      <c r="G90" s="29" t="n"/>
      <c r="H90" s="37" t="n"/>
      <c r="I90" s="37" t="n"/>
    </row>
    <row r="91" ht="15.75" customHeight="1" s="56">
      <c r="A91" s="27" t="n"/>
      <c r="B91" s="37" t="n"/>
      <c r="C91" s="37" t="n"/>
      <c r="D91" s="37" t="n"/>
      <c r="E91" s="37" t="n"/>
      <c r="F91" s="37" t="n"/>
      <c r="G91" s="29" t="n"/>
      <c r="H91" s="37" t="n"/>
      <c r="I91" s="37" t="n"/>
    </row>
    <row r="92" ht="15.75" customHeight="1" s="56">
      <c r="A92" s="27" t="n"/>
      <c r="B92" s="37" t="n"/>
      <c r="C92" s="37" t="n"/>
      <c r="D92" s="37" t="n"/>
      <c r="E92" s="37" t="n"/>
      <c r="F92" s="37" t="n"/>
      <c r="G92" s="29" t="n"/>
      <c r="H92" s="37" t="n"/>
      <c r="I92" s="37" t="n"/>
    </row>
    <row r="93" ht="15.75" customHeight="1" s="56">
      <c r="A93" s="27" t="n"/>
      <c r="B93" s="37" t="n"/>
      <c r="C93" s="37" t="n"/>
      <c r="D93" s="37" t="n"/>
      <c r="E93" s="37" t="n"/>
      <c r="F93" s="37" t="n"/>
      <c r="G93" s="29" t="n"/>
      <c r="H93" s="37" t="n"/>
      <c r="I93" s="37" t="n"/>
    </row>
    <row r="94" ht="15.75" customHeight="1" s="56">
      <c r="A94" s="27" t="n"/>
      <c r="B94" s="37" t="n"/>
      <c r="C94" s="37" t="n"/>
      <c r="D94" s="37" t="n"/>
      <c r="E94" s="37" t="n"/>
      <c r="F94" s="37" t="n"/>
      <c r="G94" s="29" t="n"/>
      <c r="H94" s="37" t="n"/>
      <c r="I94" s="37" t="n"/>
    </row>
    <row r="95" ht="15.75" customHeight="1" s="56">
      <c r="A95" s="27" t="n"/>
      <c r="B95" s="37" t="n"/>
      <c r="C95" s="37" t="n"/>
      <c r="D95" s="37" t="n"/>
      <c r="E95" s="37" t="n"/>
      <c r="F95" s="37" t="n"/>
      <c r="G95" s="29" t="n"/>
      <c r="H95" s="37" t="n"/>
      <c r="I95" s="37" t="n"/>
    </row>
    <row r="96" ht="15.75" customHeight="1" s="56">
      <c r="A96" s="27" t="n"/>
      <c r="B96" s="37" t="n"/>
      <c r="C96" s="37" t="n"/>
      <c r="D96" s="37" t="n"/>
      <c r="E96" s="37" t="n"/>
      <c r="F96" s="37" t="n"/>
      <c r="G96" s="29" t="n"/>
      <c r="H96" s="37" t="n"/>
      <c r="I96" s="37" t="n"/>
    </row>
    <row r="97" ht="15.75" customHeight="1" s="56">
      <c r="A97" s="27" t="n"/>
      <c r="B97" s="37" t="n"/>
      <c r="C97" s="37" t="n"/>
      <c r="D97" s="37" t="n"/>
      <c r="E97" s="37" t="n"/>
      <c r="F97" s="37" t="n"/>
      <c r="G97" s="29" t="n"/>
      <c r="H97" s="37" t="n"/>
      <c r="I97" s="37" t="n"/>
    </row>
    <row r="98" ht="15.75" customHeight="1" s="56">
      <c r="A98" s="27" t="n"/>
      <c r="B98" s="37" t="n"/>
      <c r="C98" s="37" t="n"/>
      <c r="D98" s="37" t="n"/>
      <c r="E98" s="37" t="n"/>
      <c r="F98" s="37" t="n"/>
      <c r="G98" s="29" t="n"/>
      <c r="H98" s="37" t="n"/>
      <c r="I98" s="37" t="n"/>
    </row>
    <row r="99" ht="15.75" customHeight="1" s="56">
      <c r="A99" s="27" t="n"/>
      <c r="B99" s="37" t="n"/>
      <c r="C99" s="37" t="n"/>
      <c r="D99" s="37" t="n"/>
      <c r="E99" s="37" t="n"/>
      <c r="F99" s="37" t="n"/>
      <c r="G99" s="29" t="n"/>
      <c r="H99" s="37" t="n"/>
      <c r="I99" s="37" t="n"/>
    </row>
    <row r="100" ht="15.75" customHeight="1" s="56">
      <c r="A100" s="27" t="n"/>
      <c r="B100" s="37" t="n"/>
      <c r="C100" s="37" t="n"/>
      <c r="D100" s="37" t="n"/>
      <c r="E100" s="37" t="n"/>
      <c r="F100" s="37" t="n"/>
      <c r="G100" s="29" t="n"/>
      <c r="H100" s="37" t="n"/>
      <c r="I100" s="37" t="n"/>
    </row>
    <row r="101" ht="15.75" customHeight="1" s="56">
      <c r="A101" s="27" t="n"/>
      <c r="B101" s="37" t="n"/>
      <c r="C101" s="37" t="n"/>
      <c r="D101" s="37" t="n"/>
      <c r="E101" s="37" t="n"/>
      <c r="F101" s="37" t="n"/>
      <c r="G101" s="29" t="n"/>
      <c r="H101" s="37" t="n"/>
      <c r="I101" s="37" t="n"/>
    </row>
    <row r="102" ht="15.75" customHeight="1" s="56">
      <c r="A102" s="27" t="n"/>
      <c r="B102" s="37" t="n"/>
      <c r="C102" s="37" t="n"/>
      <c r="D102" s="37" t="n"/>
      <c r="E102" s="37" t="n"/>
      <c r="F102" s="37" t="n"/>
      <c r="G102" s="29" t="n"/>
      <c r="H102" s="37" t="n"/>
      <c r="I102" s="37" t="n"/>
    </row>
    <row r="103" ht="15.75" customHeight="1" s="56">
      <c r="A103" s="27" t="n"/>
      <c r="B103" s="37" t="n"/>
      <c r="C103" s="37" t="n"/>
      <c r="D103" s="37" t="n"/>
      <c r="E103" s="37" t="n"/>
      <c r="F103" s="37" t="n"/>
      <c r="G103" s="29" t="n"/>
      <c r="H103" s="37" t="n"/>
      <c r="I103" s="37" t="n"/>
    </row>
    <row r="104" ht="15.75" customHeight="1" s="56">
      <c r="A104" s="27" t="n"/>
      <c r="B104" s="37" t="n"/>
      <c r="C104" s="37" t="n"/>
      <c r="D104" s="37" t="n"/>
      <c r="E104" s="37" t="n"/>
      <c r="F104" s="37" t="n"/>
      <c r="G104" s="29" t="n"/>
      <c r="H104" s="37" t="n"/>
      <c r="I104" s="37" t="n"/>
    </row>
    <row r="105" ht="15.75" customHeight="1" s="56">
      <c r="A105" s="27" t="n"/>
      <c r="B105" s="37" t="n"/>
      <c r="C105" s="37" t="n"/>
      <c r="D105" s="37" t="n"/>
      <c r="E105" s="37" t="n"/>
      <c r="F105" s="37" t="n"/>
      <c r="G105" s="29" t="n"/>
      <c r="H105" s="37" t="n"/>
      <c r="I105" s="37" t="n"/>
    </row>
    <row r="106" ht="15.75" customHeight="1" s="56">
      <c r="A106" s="27" t="n"/>
      <c r="B106" s="37" t="n"/>
      <c r="C106" s="37" t="n"/>
      <c r="D106" s="37" t="n"/>
      <c r="E106" s="37" t="n"/>
      <c r="F106" s="37" t="n"/>
      <c r="G106" s="29" t="n"/>
      <c r="H106" s="37" t="n"/>
      <c r="I106" s="37" t="n"/>
    </row>
    <row r="107" ht="15.75" customHeight="1" s="56">
      <c r="A107" s="27" t="n"/>
      <c r="B107" s="37" t="n"/>
      <c r="C107" s="37" t="n"/>
      <c r="D107" s="37" t="n"/>
      <c r="E107" s="37" t="n"/>
      <c r="F107" s="37" t="n"/>
      <c r="G107" s="29" t="n"/>
      <c r="H107" s="37" t="n"/>
      <c r="I107" s="37" t="n"/>
    </row>
    <row r="108" ht="15.75" customHeight="1" s="56">
      <c r="A108" s="27" t="n"/>
      <c r="B108" s="37" t="n"/>
      <c r="C108" s="37" t="n"/>
      <c r="D108" s="37" t="n"/>
      <c r="E108" s="37" t="n"/>
      <c r="F108" s="37" t="n"/>
      <c r="G108" s="29" t="n"/>
      <c r="H108" s="37" t="n"/>
      <c r="I108" s="37" t="n"/>
    </row>
    <row r="109" ht="15.75" customHeight="1" s="56">
      <c r="A109" s="27" t="n"/>
      <c r="B109" s="37" t="n"/>
      <c r="C109" s="37" t="n"/>
      <c r="D109" s="37" t="n"/>
      <c r="E109" s="37" t="n"/>
      <c r="F109" s="37" t="n"/>
      <c r="G109" s="29" t="n"/>
      <c r="H109" s="37" t="n"/>
      <c r="I109" s="37" t="n"/>
    </row>
    <row r="110" ht="15.75" customHeight="1" s="56">
      <c r="A110" s="27" t="n"/>
      <c r="B110" s="37" t="n"/>
      <c r="C110" s="37" t="n"/>
      <c r="D110" s="37" t="n"/>
      <c r="E110" s="37" t="n"/>
      <c r="F110" s="37" t="n"/>
      <c r="G110" s="29" t="n"/>
      <c r="H110" s="37" t="n"/>
      <c r="I110" s="37" t="n"/>
    </row>
    <row r="111" ht="15.75" customHeight="1" s="56">
      <c r="A111" s="27" t="n"/>
      <c r="B111" s="37" t="n"/>
      <c r="C111" s="37" t="n"/>
      <c r="D111" s="37" t="n"/>
      <c r="E111" s="37" t="n"/>
      <c r="F111" s="37" t="n"/>
      <c r="G111" s="29" t="n"/>
      <c r="H111" s="37" t="n"/>
      <c r="I111" s="37" t="n"/>
    </row>
    <row r="112" ht="15.75" customHeight="1" s="56">
      <c r="A112" s="27" t="n"/>
      <c r="B112" s="37" t="n"/>
      <c r="C112" s="37" t="n"/>
      <c r="D112" s="37" t="n"/>
      <c r="E112" s="37" t="n"/>
      <c r="F112" s="37" t="n"/>
      <c r="G112" s="29" t="n"/>
      <c r="H112" s="37" t="n"/>
      <c r="I112" s="37" t="n"/>
    </row>
    <row r="113" ht="15.75" customHeight="1" s="56">
      <c r="A113" s="27" t="n"/>
      <c r="B113" s="37" t="n"/>
      <c r="C113" s="37" t="n"/>
      <c r="D113" s="37" t="n"/>
      <c r="E113" s="37" t="n"/>
      <c r="F113" s="37" t="n"/>
      <c r="G113" s="29" t="n"/>
      <c r="H113" s="37" t="n"/>
      <c r="I113" s="37" t="n"/>
    </row>
    <row r="114" ht="15.75" customHeight="1" s="56">
      <c r="A114" s="27" t="n"/>
      <c r="B114" s="37" t="n"/>
      <c r="C114" s="37" t="n"/>
      <c r="D114" s="37" t="n"/>
      <c r="E114" s="37" t="n"/>
      <c r="F114" s="37" t="n"/>
      <c r="G114" s="29" t="n"/>
      <c r="H114" s="37" t="n"/>
      <c r="I114" s="37" t="n"/>
    </row>
    <row r="115" ht="15.75" customHeight="1" s="56">
      <c r="A115" s="27" t="n"/>
      <c r="B115" s="37" t="n"/>
      <c r="C115" s="37" t="n"/>
      <c r="D115" s="37" t="n"/>
      <c r="E115" s="37" t="n"/>
      <c r="F115" s="37" t="n"/>
      <c r="G115" s="29" t="n"/>
      <c r="H115" s="37" t="n"/>
      <c r="I115" s="37" t="n"/>
    </row>
    <row r="116" ht="15.75" customHeight="1" s="56">
      <c r="A116" s="27" t="n"/>
      <c r="B116" s="37" t="n"/>
      <c r="C116" s="37" t="n"/>
      <c r="D116" s="37" t="n"/>
      <c r="E116" s="37" t="n"/>
      <c r="F116" s="37" t="n"/>
      <c r="G116" s="29" t="n"/>
      <c r="H116" s="37" t="n"/>
      <c r="I116" s="37" t="n"/>
    </row>
    <row r="117" ht="15.75" customHeight="1" s="56">
      <c r="A117" s="27" t="n"/>
      <c r="B117" s="37" t="n"/>
      <c r="C117" s="37" t="n"/>
      <c r="D117" s="37" t="n"/>
      <c r="E117" s="37" t="n"/>
      <c r="F117" s="37" t="n"/>
      <c r="G117" s="29" t="n"/>
      <c r="H117" s="37" t="n"/>
      <c r="I117" s="37" t="n"/>
    </row>
    <row r="118" ht="15.75" customHeight="1" s="56">
      <c r="A118" s="27" t="n"/>
      <c r="B118" s="37" t="n"/>
      <c r="C118" s="37" t="n"/>
      <c r="D118" s="37" t="n"/>
      <c r="E118" s="37" t="n"/>
      <c r="F118" s="37" t="n"/>
      <c r="G118" s="29" t="n"/>
      <c r="H118" s="37" t="n"/>
      <c r="I118" s="37" t="n"/>
    </row>
    <row r="119" ht="15.75" customHeight="1" s="56">
      <c r="A119" s="27" t="n"/>
      <c r="B119" s="37" t="n"/>
      <c r="C119" s="37" t="n"/>
      <c r="D119" s="37" t="n"/>
      <c r="E119" s="37" t="n"/>
      <c r="F119" s="37" t="n"/>
      <c r="G119" s="29" t="n"/>
      <c r="H119" s="37" t="n"/>
      <c r="I119" s="37" t="n"/>
    </row>
    <row r="120" ht="15.75" customHeight="1" s="56">
      <c r="A120" s="27" t="n"/>
      <c r="B120" s="37" t="n"/>
      <c r="C120" s="37" t="n"/>
      <c r="D120" s="37" t="n"/>
      <c r="E120" s="37" t="n"/>
      <c r="F120" s="37" t="n"/>
      <c r="G120" s="29" t="n"/>
      <c r="H120" s="37" t="n"/>
      <c r="I120" s="37" t="n"/>
    </row>
    <row r="121" ht="15.75" customHeight="1" s="56">
      <c r="A121" s="27" t="n"/>
      <c r="B121" s="37" t="n"/>
      <c r="C121" s="37" t="n"/>
      <c r="D121" s="37" t="n"/>
      <c r="E121" s="37" t="n"/>
      <c r="F121" s="37" t="n"/>
      <c r="G121" s="29" t="n"/>
      <c r="H121" s="37" t="n"/>
      <c r="I121" s="37" t="n"/>
    </row>
    <row r="122" ht="15.75" customHeight="1" s="56">
      <c r="A122" s="27" t="n"/>
      <c r="B122" s="37" t="n"/>
      <c r="C122" s="37" t="n"/>
      <c r="D122" s="37" t="n"/>
      <c r="E122" s="37" t="n"/>
      <c r="F122" s="37" t="n"/>
      <c r="G122" s="29" t="n"/>
      <c r="H122" s="37" t="n"/>
      <c r="I122" s="37" t="n"/>
    </row>
    <row r="123" ht="15.75" customHeight="1" s="56">
      <c r="A123" s="27" t="n"/>
      <c r="B123" s="37" t="n"/>
      <c r="C123" s="37" t="n"/>
      <c r="D123" s="37" t="n"/>
      <c r="E123" s="37" t="n"/>
      <c r="F123" s="37" t="n"/>
      <c r="G123" s="29" t="n"/>
      <c r="H123" s="37" t="n"/>
      <c r="I123" s="37" t="n"/>
    </row>
    <row r="124" ht="15.75" customHeight="1" s="56">
      <c r="A124" s="27" t="n"/>
      <c r="B124" s="37" t="n"/>
      <c r="C124" s="37" t="n"/>
      <c r="D124" s="37" t="n"/>
      <c r="E124" s="37" t="n"/>
      <c r="F124" s="37" t="n"/>
      <c r="G124" s="29" t="n"/>
      <c r="H124" s="37" t="n"/>
      <c r="I124" s="37" t="n"/>
    </row>
    <row r="125" ht="15.75" customHeight="1" s="56">
      <c r="A125" s="27" t="n"/>
      <c r="B125" s="37" t="n"/>
      <c r="C125" s="37" t="n"/>
      <c r="D125" s="37" t="n"/>
      <c r="E125" s="37" t="n"/>
      <c r="F125" s="37" t="n"/>
      <c r="G125" s="29" t="n"/>
      <c r="H125" s="37" t="n"/>
      <c r="I125" s="37" t="n"/>
    </row>
    <row r="126" ht="15.75" customHeight="1" s="56">
      <c r="A126" s="27" t="n"/>
      <c r="B126" s="37" t="n"/>
      <c r="C126" s="37" t="n"/>
      <c r="D126" s="37" t="n"/>
      <c r="E126" s="37" t="n"/>
      <c r="F126" s="37" t="n"/>
      <c r="G126" s="29" t="n"/>
      <c r="H126" s="37" t="n"/>
      <c r="I126" s="37" t="n"/>
    </row>
    <row r="127" ht="15.75" customHeight="1" s="56">
      <c r="A127" s="27" t="n"/>
      <c r="B127" s="37" t="n"/>
      <c r="C127" s="37" t="n"/>
      <c r="D127" s="37" t="n"/>
      <c r="E127" s="37" t="n"/>
      <c r="F127" s="37" t="n"/>
      <c r="G127" s="29" t="n"/>
      <c r="H127" s="37" t="n"/>
      <c r="I127" s="37" t="n"/>
    </row>
    <row r="128" ht="15.75" customHeight="1" s="56">
      <c r="A128" s="27" t="n"/>
      <c r="B128" s="37" t="n"/>
      <c r="C128" s="37" t="n"/>
      <c r="D128" s="37" t="n"/>
      <c r="E128" s="37" t="n"/>
      <c r="F128" s="37" t="n"/>
      <c r="G128" s="29" t="n"/>
      <c r="H128" s="37" t="n"/>
      <c r="I128" s="37" t="n"/>
    </row>
    <row r="129" ht="15.75" customHeight="1" s="56">
      <c r="A129" s="27" t="n"/>
      <c r="B129" s="37" t="n"/>
      <c r="C129" s="37" t="n"/>
      <c r="D129" s="37" t="n"/>
      <c r="E129" s="37" t="n"/>
      <c r="F129" s="37" t="n"/>
      <c r="G129" s="29" t="n"/>
      <c r="H129" s="37" t="n"/>
      <c r="I129" s="37" t="n"/>
    </row>
    <row r="130" ht="15.75" customHeight="1" s="56">
      <c r="A130" s="27" t="n"/>
      <c r="B130" s="37" t="n"/>
      <c r="C130" s="37" t="n"/>
      <c r="D130" s="37" t="n"/>
      <c r="E130" s="37" t="n"/>
      <c r="F130" s="37" t="n"/>
      <c r="G130" s="29" t="n"/>
      <c r="H130" s="37" t="n"/>
      <c r="I130" s="37" t="n"/>
    </row>
    <row r="131" ht="15.75" customHeight="1" s="56">
      <c r="A131" s="27" t="n"/>
      <c r="B131" s="37" t="n"/>
      <c r="C131" s="37" t="n"/>
      <c r="D131" s="37" t="n"/>
      <c r="E131" s="37" t="n"/>
      <c r="F131" s="37" t="n"/>
      <c r="G131" s="29" t="n"/>
      <c r="H131" s="37" t="n"/>
      <c r="I131" s="37" t="n"/>
    </row>
    <row r="132" ht="15.75" customHeight="1" s="56">
      <c r="A132" s="27" t="n"/>
      <c r="B132" s="37" t="n"/>
      <c r="C132" s="37" t="n"/>
      <c r="D132" s="37" t="n"/>
      <c r="E132" s="37" t="n"/>
      <c r="F132" s="37" t="n"/>
      <c r="G132" s="29" t="n"/>
      <c r="H132" s="37" t="n"/>
      <c r="I132" s="37" t="n"/>
    </row>
    <row r="133" ht="15.75" customHeight="1" s="56">
      <c r="A133" s="27" t="n"/>
      <c r="B133" s="37" t="n"/>
      <c r="C133" s="37" t="n"/>
      <c r="D133" s="37" t="n"/>
      <c r="E133" s="37" t="n"/>
      <c r="F133" s="37" t="n"/>
      <c r="G133" s="29" t="n"/>
      <c r="H133" s="37" t="n"/>
      <c r="I133" s="37" t="n"/>
    </row>
    <row r="134" ht="15.75" customHeight="1" s="56">
      <c r="A134" s="27" t="n"/>
      <c r="B134" s="37" t="n"/>
      <c r="C134" s="37" t="n"/>
      <c r="D134" s="37" t="n"/>
      <c r="E134" s="37" t="n"/>
      <c r="F134" s="37" t="n"/>
      <c r="G134" s="29" t="n"/>
      <c r="H134" s="37" t="n"/>
      <c r="I134" s="37" t="n"/>
    </row>
    <row r="135" ht="15.75" customHeight="1" s="56">
      <c r="A135" s="27" t="n"/>
      <c r="B135" s="37" t="n"/>
      <c r="C135" s="37" t="n"/>
      <c r="D135" s="37" t="n"/>
      <c r="E135" s="37" t="n"/>
      <c r="F135" s="37" t="n"/>
      <c r="G135" s="29" t="n"/>
      <c r="H135" s="37" t="n"/>
      <c r="I135" s="37" t="n"/>
    </row>
    <row r="136" ht="15.75" customHeight="1" s="56">
      <c r="A136" s="27" t="n"/>
      <c r="B136" s="37" t="n"/>
      <c r="C136" s="37" t="n"/>
      <c r="D136" s="37" t="n"/>
      <c r="E136" s="37" t="n"/>
      <c r="F136" s="37" t="n"/>
      <c r="G136" s="29" t="n"/>
      <c r="H136" s="37" t="n"/>
      <c r="I136" s="37" t="n"/>
    </row>
    <row r="137" ht="15.75" customHeight="1" s="56">
      <c r="A137" s="27" t="n"/>
      <c r="B137" s="37" t="n"/>
      <c r="C137" s="37" t="n"/>
      <c r="D137" s="37" t="n"/>
      <c r="E137" s="37" t="n"/>
      <c r="F137" s="37" t="n"/>
      <c r="G137" s="29" t="n"/>
      <c r="H137" s="37" t="n"/>
      <c r="I137" s="37" t="n"/>
    </row>
    <row r="138" ht="15.75" customHeight="1" s="56">
      <c r="A138" s="27" t="n"/>
      <c r="B138" s="37" t="n"/>
      <c r="C138" s="37" t="n"/>
      <c r="D138" s="37" t="n"/>
      <c r="E138" s="37" t="n"/>
      <c r="F138" s="37" t="n"/>
      <c r="G138" s="29" t="n"/>
      <c r="H138" s="37" t="n"/>
      <c r="I138" s="37" t="n"/>
    </row>
    <row r="139" ht="15.75" customHeight="1" s="56">
      <c r="A139" s="27" t="n"/>
      <c r="B139" s="37" t="n"/>
      <c r="C139" s="37" t="n"/>
      <c r="D139" s="37" t="n"/>
      <c r="E139" s="37" t="n"/>
      <c r="F139" s="37" t="n"/>
      <c r="G139" s="29" t="n"/>
      <c r="H139" s="37" t="n"/>
      <c r="I139" s="37" t="n"/>
    </row>
    <row r="140" ht="15.75" customHeight="1" s="56">
      <c r="A140" s="27" t="n"/>
      <c r="B140" s="37" t="n"/>
      <c r="C140" s="37" t="n"/>
      <c r="D140" s="37" t="n"/>
      <c r="E140" s="37" t="n"/>
      <c r="F140" s="37" t="n"/>
      <c r="G140" s="29" t="n"/>
      <c r="H140" s="37" t="n"/>
      <c r="I140" s="37" t="n"/>
    </row>
    <row r="141" ht="15.75" customHeight="1" s="56">
      <c r="A141" s="27" t="n"/>
      <c r="B141" s="37" t="n"/>
      <c r="C141" s="37" t="n"/>
      <c r="D141" s="37" t="n"/>
      <c r="E141" s="37" t="n"/>
      <c r="F141" s="37" t="n"/>
      <c r="G141" s="29" t="n"/>
      <c r="H141" s="37" t="n"/>
      <c r="I141" s="37" t="n"/>
    </row>
    <row r="142" ht="15.75" customHeight="1" s="56">
      <c r="A142" s="27" t="n"/>
      <c r="B142" s="37" t="n"/>
      <c r="C142" s="37" t="n"/>
      <c r="D142" s="37" t="n"/>
      <c r="E142" s="37" t="n"/>
      <c r="F142" s="37" t="n"/>
      <c r="G142" s="29" t="n"/>
      <c r="H142" s="37" t="n"/>
      <c r="I142" s="37" t="n"/>
    </row>
    <row r="143" ht="15.75" customHeight="1" s="56">
      <c r="A143" s="27" t="n"/>
      <c r="B143" s="37" t="n"/>
      <c r="C143" s="37" t="n"/>
      <c r="D143" s="37" t="n"/>
      <c r="E143" s="37" t="n"/>
      <c r="F143" s="37" t="n"/>
      <c r="G143" s="29" t="n"/>
      <c r="H143" s="37" t="n"/>
      <c r="I143" s="37" t="n"/>
    </row>
    <row r="144" ht="15.75" customHeight="1" s="56">
      <c r="A144" s="27" t="n"/>
      <c r="B144" s="37" t="n"/>
      <c r="C144" s="37" t="n"/>
      <c r="D144" s="37" t="n"/>
      <c r="E144" s="37" t="n"/>
      <c r="F144" s="37" t="n"/>
      <c r="G144" s="29" t="n"/>
      <c r="H144" s="37" t="n"/>
      <c r="I144" s="37" t="n"/>
    </row>
    <row r="145" ht="15.75" customHeight="1" s="56">
      <c r="A145" s="27" t="n"/>
      <c r="B145" s="37" t="n"/>
      <c r="C145" s="37" t="n"/>
      <c r="D145" s="37" t="n"/>
      <c r="E145" s="37" t="n"/>
      <c r="F145" s="37" t="n"/>
      <c r="G145" s="29" t="n"/>
      <c r="H145" s="37" t="n"/>
      <c r="I145" s="37" t="n"/>
    </row>
    <row r="146" ht="15.75" customHeight="1" s="56">
      <c r="A146" s="27" t="n"/>
      <c r="B146" s="37" t="n"/>
      <c r="C146" s="37" t="n"/>
      <c r="D146" s="37" t="n"/>
      <c r="E146" s="37" t="n"/>
      <c r="F146" s="37" t="n"/>
      <c r="G146" s="29" t="n"/>
      <c r="H146" s="37" t="n"/>
      <c r="I146" s="37" t="n"/>
    </row>
    <row r="147" ht="15.75" customHeight="1" s="56">
      <c r="A147" s="27" t="n"/>
      <c r="B147" s="37" t="n"/>
      <c r="C147" s="37" t="n"/>
      <c r="D147" s="37" t="n"/>
      <c r="E147" s="37" t="n"/>
      <c r="F147" s="37" t="n"/>
      <c r="G147" s="29" t="n"/>
      <c r="H147" s="37" t="n"/>
      <c r="I147" s="37" t="n"/>
    </row>
    <row r="148" ht="15.75" customHeight="1" s="56">
      <c r="A148" s="27" t="n"/>
      <c r="B148" s="37" t="n"/>
      <c r="C148" s="37" t="n"/>
      <c r="D148" s="37" t="n"/>
      <c r="E148" s="37" t="n"/>
      <c r="F148" s="37" t="n"/>
      <c r="G148" s="29" t="n"/>
      <c r="H148" s="37" t="n"/>
      <c r="I148" s="37" t="n"/>
    </row>
    <row r="149" ht="15.75" customHeight="1" s="56">
      <c r="A149" s="27" t="n"/>
      <c r="B149" s="37" t="n"/>
      <c r="C149" s="37" t="n"/>
      <c r="D149" s="37" t="n"/>
      <c r="E149" s="37" t="n"/>
      <c r="F149" s="37" t="n"/>
      <c r="G149" s="29" t="n"/>
      <c r="H149" s="37" t="n"/>
      <c r="I149" s="37" t="n"/>
    </row>
    <row r="150" ht="15.75" customHeight="1" s="56">
      <c r="A150" s="27" t="n"/>
      <c r="B150" s="37" t="n"/>
      <c r="C150" s="37" t="n"/>
      <c r="D150" s="37" t="n"/>
      <c r="E150" s="37" t="n"/>
      <c r="F150" s="37" t="n"/>
      <c r="G150" s="29" t="n"/>
      <c r="H150" s="37" t="n"/>
      <c r="I150" s="37" t="n"/>
    </row>
    <row r="151" ht="15.75" customHeight="1" s="56">
      <c r="A151" s="27" t="n"/>
      <c r="B151" s="37" t="n"/>
      <c r="C151" s="37" t="n"/>
      <c r="D151" s="37" t="n"/>
      <c r="E151" s="37" t="n"/>
      <c r="F151" s="37" t="n"/>
      <c r="G151" s="29" t="n"/>
      <c r="H151" s="37" t="n"/>
      <c r="I151" s="37" t="n"/>
    </row>
    <row r="152" ht="15.75" customHeight="1" s="56">
      <c r="A152" s="27" t="n"/>
      <c r="B152" s="37" t="n"/>
      <c r="C152" s="37" t="n"/>
      <c r="D152" s="37" t="n"/>
      <c r="E152" s="37" t="n"/>
      <c r="F152" s="37" t="n"/>
      <c r="G152" s="29" t="n"/>
      <c r="H152" s="37" t="n"/>
      <c r="I152" s="37" t="n"/>
    </row>
    <row r="153" ht="15.75" customHeight="1" s="56">
      <c r="A153" s="27" t="n"/>
      <c r="B153" s="37" t="n"/>
      <c r="C153" s="37" t="n"/>
      <c r="D153" s="37" t="n"/>
      <c r="E153" s="37" t="n"/>
      <c r="F153" s="37" t="n"/>
      <c r="G153" s="29" t="n"/>
      <c r="H153" s="37" t="n"/>
      <c r="I153" s="37" t="n"/>
    </row>
    <row r="154" ht="15.75" customHeight="1" s="56">
      <c r="A154" s="27" t="n"/>
      <c r="B154" s="37" t="n"/>
      <c r="C154" s="37" t="n"/>
      <c r="D154" s="37" t="n"/>
      <c r="E154" s="37" t="n"/>
      <c r="F154" s="37" t="n"/>
      <c r="G154" s="29" t="n"/>
      <c r="H154" s="37" t="n"/>
      <c r="I154" s="37" t="n"/>
    </row>
    <row r="155" ht="15.75" customHeight="1" s="56">
      <c r="A155" s="27" t="n"/>
      <c r="B155" s="37" t="n"/>
      <c r="C155" s="37" t="n"/>
      <c r="D155" s="37" t="n"/>
      <c r="E155" s="37" t="n"/>
      <c r="F155" s="37" t="n"/>
      <c r="G155" s="29" t="n"/>
      <c r="H155" s="37" t="n"/>
      <c r="I155" s="37" t="n"/>
    </row>
    <row r="156" ht="15.75" customHeight="1" s="56">
      <c r="A156" s="27" t="n"/>
      <c r="B156" s="37" t="n"/>
      <c r="C156" s="37" t="n"/>
      <c r="D156" s="37" t="n"/>
      <c r="E156" s="37" t="n"/>
      <c r="F156" s="37" t="n"/>
      <c r="G156" s="29" t="n"/>
      <c r="H156" s="37" t="n"/>
      <c r="I156" s="37" t="n"/>
    </row>
    <row r="157" ht="15.75" customHeight="1" s="56">
      <c r="A157" s="27" t="n"/>
      <c r="B157" s="37" t="n"/>
      <c r="C157" s="37" t="n"/>
      <c r="D157" s="37" t="n"/>
      <c r="E157" s="37" t="n"/>
      <c r="F157" s="37" t="n"/>
      <c r="G157" s="29" t="n"/>
      <c r="H157" s="37" t="n"/>
      <c r="I157" s="37" t="n"/>
    </row>
    <row r="158" ht="15.75" customHeight="1" s="56">
      <c r="A158" s="27" t="n"/>
      <c r="B158" s="37" t="n"/>
      <c r="C158" s="37" t="n"/>
      <c r="D158" s="37" t="n"/>
      <c r="E158" s="37" t="n"/>
      <c r="F158" s="37" t="n"/>
      <c r="G158" s="29" t="n"/>
      <c r="H158" s="37" t="n"/>
      <c r="I158" s="37" t="n"/>
    </row>
    <row r="159" ht="15.75" customHeight="1" s="56">
      <c r="A159" s="27" t="n"/>
      <c r="B159" s="37" t="n"/>
      <c r="C159" s="37" t="n"/>
      <c r="D159" s="37" t="n"/>
      <c r="E159" s="37" t="n"/>
      <c r="F159" s="37" t="n"/>
      <c r="G159" s="29" t="n"/>
      <c r="H159" s="37" t="n"/>
      <c r="I159" s="37" t="n"/>
    </row>
    <row r="160" ht="15.75" customHeight="1" s="56">
      <c r="A160" s="27" t="n"/>
      <c r="B160" s="37" t="n"/>
      <c r="C160" s="37" t="n"/>
      <c r="D160" s="37" t="n"/>
      <c r="E160" s="37" t="n"/>
      <c r="F160" s="37" t="n"/>
      <c r="G160" s="29" t="n"/>
      <c r="H160" s="37" t="n"/>
      <c r="I160" s="37" t="n"/>
    </row>
    <row r="161" ht="15.75" customHeight="1" s="56">
      <c r="A161" s="27" t="n"/>
      <c r="B161" s="37" t="n"/>
      <c r="C161" s="37" t="n"/>
      <c r="D161" s="37" t="n"/>
      <c r="E161" s="37" t="n"/>
      <c r="F161" s="37" t="n"/>
      <c r="G161" s="29" t="n"/>
      <c r="H161" s="37" t="n"/>
      <c r="I161" s="37" t="n"/>
    </row>
    <row r="162" ht="15.75" customHeight="1" s="56">
      <c r="A162" s="27" t="n"/>
      <c r="B162" s="37" t="n"/>
      <c r="C162" s="37" t="n"/>
      <c r="D162" s="37" t="n"/>
      <c r="E162" s="37" t="n"/>
      <c r="F162" s="37" t="n"/>
      <c r="G162" s="29" t="n"/>
      <c r="H162" s="37" t="n"/>
      <c r="I162" s="37" t="n"/>
    </row>
    <row r="163" ht="15.75" customHeight="1" s="56">
      <c r="A163" s="27" t="n"/>
      <c r="B163" s="37" t="n"/>
      <c r="C163" s="37" t="n"/>
      <c r="D163" s="37" t="n"/>
      <c r="E163" s="37" t="n"/>
      <c r="F163" s="37" t="n"/>
      <c r="G163" s="29" t="n"/>
      <c r="H163" s="37" t="n"/>
      <c r="I163" s="37" t="n"/>
    </row>
    <row r="164" ht="15.75" customHeight="1" s="56">
      <c r="A164" s="27" t="n"/>
      <c r="B164" s="37" t="n"/>
      <c r="C164" s="37" t="n"/>
      <c r="D164" s="37" t="n"/>
      <c r="E164" s="37" t="n"/>
      <c r="F164" s="37" t="n"/>
      <c r="G164" s="29" t="n"/>
      <c r="H164" s="37" t="n"/>
      <c r="I164" s="37" t="n"/>
    </row>
    <row r="165" ht="15.75" customHeight="1" s="56">
      <c r="A165" s="27" t="n"/>
      <c r="B165" s="37" t="n"/>
      <c r="C165" s="37" t="n"/>
      <c r="D165" s="37" t="n"/>
      <c r="E165" s="37" t="n"/>
      <c r="F165" s="37" t="n"/>
      <c r="G165" s="29" t="n"/>
      <c r="H165" s="37" t="n"/>
      <c r="I165" s="37" t="n"/>
    </row>
    <row r="166" ht="15.75" customHeight="1" s="56">
      <c r="A166" s="27" t="n"/>
      <c r="B166" s="37" t="n"/>
      <c r="C166" s="37" t="n"/>
      <c r="D166" s="37" t="n"/>
      <c r="E166" s="37" t="n"/>
      <c r="F166" s="37" t="n"/>
      <c r="G166" s="29" t="n"/>
      <c r="H166" s="37" t="n"/>
      <c r="I166" s="37" t="n"/>
    </row>
    <row r="167" ht="15.75" customHeight="1" s="56">
      <c r="A167" s="27" t="n"/>
      <c r="B167" s="37" t="n"/>
      <c r="C167" s="37" t="n"/>
      <c r="D167" s="37" t="n"/>
      <c r="E167" s="37" t="n"/>
      <c r="F167" s="37" t="n"/>
      <c r="G167" s="29" t="n"/>
      <c r="H167" s="37" t="n"/>
      <c r="I167" s="37" t="n"/>
    </row>
    <row r="168" ht="15.75" customHeight="1" s="56">
      <c r="A168" s="27" t="n"/>
      <c r="B168" s="37" t="n"/>
      <c r="C168" s="37" t="n"/>
      <c r="D168" s="37" t="n"/>
      <c r="E168" s="37" t="n"/>
      <c r="F168" s="37" t="n"/>
      <c r="G168" s="29" t="n"/>
      <c r="H168" s="37" t="n"/>
      <c r="I168" s="37" t="n"/>
    </row>
    <row r="169" ht="15.75" customHeight="1" s="56">
      <c r="A169" s="27" t="n"/>
      <c r="B169" s="37" t="n"/>
      <c r="C169" s="37" t="n"/>
      <c r="D169" s="37" t="n"/>
      <c r="E169" s="37" t="n"/>
      <c r="F169" s="37" t="n"/>
      <c r="G169" s="29" t="n"/>
      <c r="H169" s="37" t="n"/>
      <c r="I169" s="37" t="n"/>
    </row>
    <row r="170" ht="15.75" customHeight="1" s="56">
      <c r="A170" s="27" t="n"/>
      <c r="B170" s="37" t="n"/>
      <c r="C170" s="37" t="n"/>
      <c r="D170" s="37" t="n"/>
      <c r="E170" s="37" t="n"/>
      <c r="F170" s="37" t="n"/>
      <c r="G170" s="29" t="n"/>
      <c r="H170" s="37" t="n"/>
      <c r="I170" s="37" t="n"/>
    </row>
    <row r="171" ht="15.75" customHeight="1" s="56">
      <c r="A171" s="27" t="n"/>
      <c r="B171" s="37" t="n"/>
      <c r="C171" s="37" t="n"/>
      <c r="D171" s="37" t="n"/>
      <c r="E171" s="37" t="n"/>
      <c r="F171" s="37" t="n"/>
      <c r="G171" s="29" t="n"/>
      <c r="H171" s="37" t="n"/>
      <c r="I171" s="37" t="n"/>
    </row>
    <row r="172" ht="15.75" customHeight="1" s="56">
      <c r="A172" s="27" t="n"/>
      <c r="B172" s="37" t="n"/>
      <c r="C172" s="37" t="n"/>
      <c r="D172" s="37" t="n"/>
      <c r="E172" s="37" t="n"/>
      <c r="F172" s="37" t="n"/>
      <c r="G172" s="29" t="n"/>
      <c r="H172" s="37" t="n"/>
      <c r="I172" s="37" t="n"/>
    </row>
    <row r="173" ht="15.75" customHeight="1" s="56">
      <c r="A173" s="27" t="n"/>
      <c r="B173" s="37" t="n"/>
      <c r="C173" s="37" t="n"/>
      <c r="D173" s="37" t="n"/>
      <c r="E173" s="37" t="n"/>
      <c r="F173" s="37" t="n"/>
      <c r="G173" s="29" t="n"/>
      <c r="H173" s="37" t="n"/>
      <c r="I173" s="37" t="n"/>
    </row>
    <row r="174" ht="15.75" customHeight="1" s="56">
      <c r="A174" s="27" t="n"/>
      <c r="B174" s="37" t="n"/>
      <c r="C174" s="37" t="n"/>
      <c r="D174" s="37" t="n"/>
      <c r="E174" s="37" t="n"/>
      <c r="F174" s="37" t="n"/>
      <c r="G174" s="29" t="n"/>
      <c r="H174" s="37" t="n"/>
      <c r="I174" s="37" t="n"/>
    </row>
    <row r="175" ht="15.75" customHeight="1" s="56">
      <c r="A175" s="27" t="n"/>
      <c r="B175" s="37" t="n"/>
      <c r="C175" s="37" t="n"/>
      <c r="D175" s="37" t="n"/>
      <c r="E175" s="37" t="n"/>
      <c r="F175" s="37" t="n"/>
      <c r="G175" s="29" t="n"/>
      <c r="H175" s="37" t="n"/>
      <c r="I175" s="37" t="n"/>
    </row>
    <row r="176" ht="15.75" customHeight="1" s="56">
      <c r="A176" s="27" t="n"/>
      <c r="B176" s="37" t="n"/>
      <c r="C176" s="37" t="n"/>
      <c r="D176" s="37" t="n"/>
      <c r="E176" s="37" t="n"/>
      <c r="F176" s="37" t="n"/>
      <c r="G176" s="29" t="n"/>
      <c r="H176" s="37" t="n"/>
      <c r="I176" s="37" t="n"/>
    </row>
    <row r="177" ht="15.75" customHeight="1" s="56">
      <c r="A177" s="27" t="n"/>
      <c r="B177" s="37" t="n"/>
      <c r="C177" s="37" t="n"/>
      <c r="D177" s="37" t="n"/>
      <c r="E177" s="37" t="n"/>
      <c r="F177" s="37" t="n"/>
      <c r="G177" s="29" t="n"/>
      <c r="H177" s="37" t="n"/>
      <c r="I177" s="37" t="n"/>
    </row>
    <row r="178" ht="15.75" customHeight="1" s="56">
      <c r="A178" s="27" t="n"/>
      <c r="B178" s="37" t="n"/>
      <c r="C178" s="37" t="n"/>
      <c r="D178" s="37" t="n"/>
      <c r="E178" s="37" t="n"/>
      <c r="F178" s="37" t="n"/>
      <c r="G178" s="29" t="n"/>
      <c r="H178" s="37" t="n"/>
      <c r="I178" s="37" t="n"/>
    </row>
    <row r="179" ht="15.75" customHeight="1" s="56">
      <c r="A179" s="27" t="n"/>
      <c r="B179" s="37" t="n"/>
      <c r="C179" s="37" t="n"/>
      <c r="D179" s="37" t="n"/>
      <c r="E179" s="37" t="n"/>
      <c r="F179" s="37" t="n"/>
      <c r="G179" s="29" t="n"/>
      <c r="H179" s="37" t="n"/>
      <c r="I179" s="37" t="n"/>
    </row>
    <row r="180" ht="15.75" customHeight="1" s="56">
      <c r="A180" s="27" t="n"/>
      <c r="B180" s="37" t="n"/>
      <c r="C180" s="37" t="n"/>
      <c r="D180" s="37" t="n"/>
      <c r="E180" s="37" t="n"/>
      <c r="F180" s="37" t="n"/>
      <c r="G180" s="29" t="n"/>
      <c r="H180" s="37" t="n"/>
      <c r="I180" s="37" t="n"/>
    </row>
    <row r="181" ht="15.75" customHeight="1" s="56">
      <c r="A181" s="27" t="n"/>
      <c r="B181" s="37" t="n"/>
      <c r="C181" s="37" t="n"/>
      <c r="D181" s="37" t="n"/>
      <c r="E181" s="37" t="n"/>
      <c r="F181" s="37" t="n"/>
      <c r="G181" s="29" t="n"/>
      <c r="H181" s="37" t="n"/>
      <c r="I181" s="37" t="n"/>
    </row>
    <row r="182" ht="15.75" customHeight="1" s="56">
      <c r="A182" s="27" t="n"/>
      <c r="B182" s="37" t="n"/>
      <c r="C182" s="37" t="n"/>
      <c r="D182" s="37" t="n"/>
      <c r="E182" s="37" t="n"/>
      <c r="F182" s="37" t="n"/>
      <c r="G182" s="29" t="n"/>
      <c r="H182" s="37" t="n"/>
      <c r="I182" s="37" t="n"/>
    </row>
    <row r="183" ht="15.75" customHeight="1" s="56">
      <c r="A183" s="27" t="n"/>
      <c r="B183" s="37" t="n"/>
      <c r="C183" s="37" t="n"/>
      <c r="D183" s="37" t="n"/>
      <c r="E183" s="37" t="n"/>
      <c r="F183" s="37" t="n"/>
      <c r="G183" s="29" t="n"/>
      <c r="H183" s="37" t="n"/>
      <c r="I183" s="37" t="n"/>
    </row>
    <row r="184" ht="15.75" customHeight="1" s="56">
      <c r="A184" s="27" t="n"/>
      <c r="B184" s="37" t="n"/>
      <c r="C184" s="37" t="n"/>
      <c r="D184" s="37" t="n"/>
      <c r="E184" s="37" t="n"/>
      <c r="F184" s="37" t="n"/>
      <c r="G184" s="29" t="n"/>
      <c r="H184" s="37" t="n"/>
      <c r="I184" s="37" t="n"/>
    </row>
    <row r="185" ht="15.75" customHeight="1" s="56">
      <c r="A185" s="27" t="n"/>
      <c r="B185" s="37" t="n"/>
      <c r="C185" s="37" t="n"/>
      <c r="D185" s="37" t="n"/>
      <c r="E185" s="37" t="n"/>
      <c r="F185" s="37" t="n"/>
      <c r="G185" s="29" t="n"/>
      <c r="H185" s="37" t="n"/>
      <c r="I185" s="37" t="n"/>
    </row>
    <row r="186" ht="15.75" customHeight="1" s="56">
      <c r="A186" s="27" t="n"/>
      <c r="B186" s="37" t="n"/>
      <c r="C186" s="37" t="n"/>
      <c r="D186" s="37" t="n"/>
      <c r="E186" s="37" t="n"/>
      <c r="F186" s="37" t="n"/>
      <c r="G186" s="29" t="n"/>
      <c r="H186" s="37" t="n"/>
      <c r="I186" s="37" t="n"/>
    </row>
    <row r="187" ht="15.75" customHeight="1" s="56">
      <c r="A187" s="27" t="n"/>
      <c r="B187" s="37" t="n"/>
      <c r="C187" s="37" t="n"/>
      <c r="D187" s="37" t="n"/>
      <c r="E187" s="37" t="n"/>
      <c r="F187" s="37" t="n"/>
      <c r="G187" s="29" t="n"/>
      <c r="H187" s="37" t="n"/>
      <c r="I187" s="37" t="n"/>
    </row>
    <row r="188" ht="15.75" customHeight="1" s="56">
      <c r="A188" s="27" t="n"/>
      <c r="B188" s="37" t="n"/>
      <c r="C188" s="37" t="n"/>
      <c r="D188" s="37" t="n"/>
      <c r="E188" s="37" t="n"/>
      <c r="F188" s="37" t="n"/>
      <c r="G188" s="29" t="n"/>
      <c r="H188" s="37" t="n"/>
      <c r="I188" s="37" t="n"/>
    </row>
    <row r="189" ht="15.75" customHeight="1" s="56">
      <c r="A189" s="27" t="n"/>
      <c r="B189" s="37" t="n"/>
      <c r="C189" s="37" t="n"/>
      <c r="D189" s="37" t="n"/>
      <c r="E189" s="37" t="n"/>
      <c r="F189" s="37" t="n"/>
      <c r="G189" s="29" t="n"/>
      <c r="H189" s="37" t="n"/>
      <c r="I189" s="37" t="n"/>
    </row>
    <row r="190" ht="15.75" customHeight="1" s="56">
      <c r="A190" s="27" t="n"/>
      <c r="B190" s="37" t="n"/>
      <c r="C190" s="37" t="n"/>
      <c r="D190" s="37" t="n"/>
      <c r="E190" s="37" t="n"/>
      <c r="F190" s="37" t="n"/>
      <c r="G190" s="29" t="n"/>
      <c r="H190" s="37" t="n"/>
      <c r="I190" s="37" t="n"/>
    </row>
    <row r="191" ht="15.75" customHeight="1" s="56">
      <c r="A191" s="27" t="n"/>
      <c r="B191" s="37" t="n"/>
      <c r="C191" s="37" t="n"/>
      <c r="D191" s="37" t="n"/>
      <c r="E191" s="37" t="n"/>
      <c r="F191" s="37" t="n"/>
      <c r="G191" s="29" t="n"/>
      <c r="H191" s="37" t="n"/>
      <c r="I191" s="37" t="n"/>
    </row>
    <row r="192" ht="15.75" customHeight="1" s="56">
      <c r="A192" s="27" t="n"/>
      <c r="B192" s="37" t="n"/>
      <c r="C192" s="37" t="n"/>
      <c r="D192" s="37" t="n"/>
      <c r="E192" s="37" t="n"/>
      <c r="F192" s="37" t="n"/>
      <c r="G192" s="29" t="n"/>
      <c r="H192" s="37" t="n"/>
      <c r="I192" s="37" t="n"/>
    </row>
    <row r="193" ht="15.75" customHeight="1" s="56">
      <c r="A193" s="27" t="n"/>
      <c r="B193" s="37" t="n"/>
      <c r="C193" s="37" t="n"/>
      <c r="D193" s="37" t="n"/>
      <c r="E193" s="37" t="n"/>
      <c r="F193" s="37" t="n"/>
      <c r="G193" s="29" t="n"/>
      <c r="H193" s="37" t="n"/>
      <c r="I193" s="37" t="n"/>
    </row>
    <row r="194" ht="15.75" customHeight="1" s="56">
      <c r="A194" s="27" t="n"/>
      <c r="B194" s="37" t="n"/>
      <c r="C194" s="37" t="n"/>
      <c r="D194" s="37" t="n"/>
      <c r="E194" s="37" t="n"/>
      <c r="F194" s="37" t="n"/>
      <c r="G194" s="29" t="n"/>
      <c r="H194" s="37" t="n"/>
      <c r="I194" s="37" t="n"/>
    </row>
    <row r="195" ht="15.75" customHeight="1" s="56">
      <c r="A195" s="27" t="n"/>
      <c r="B195" s="37" t="n"/>
      <c r="C195" s="37" t="n"/>
      <c r="D195" s="37" t="n"/>
      <c r="E195" s="37" t="n"/>
      <c r="F195" s="37" t="n"/>
      <c r="G195" s="29" t="n"/>
      <c r="H195" s="37" t="n"/>
      <c r="I195" s="37" t="n"/>
    </row>
    <row r="196" ht="15.75" customHeight="1" s="56">
      <c r="A196" s="27" t="n"/>
      <c r="B196" s="37" t="n"/>
      <c r="C196" s="37" t="n"/>
      <c r="D196" s="37" t="n"/>
      <c r="E196" s="37" t="n"/>
      <c r="F196" s="37" t="n"/>
      <c r="G196" s="29" t="n"/>
      <c r="H196" s="37" t="n"/>
      <c r="I196" s="37" t="n"/>
    </row>
    <row r="197" ht="15.75" customHeight="1" s="56">
      <c r="A197" s="27" t="n"/>
      <c r="B197" s="37" t="n"/>
      <c r="C197" s="37" t="n"/>
      <c r="D197" s="37" t="n"/>
      <c r="E197" s="37" t="n"/>
      <c r="F197" s="37" t="n"/>
      <c r="G197" s="29" t="n"/>
      <c r="H197" s="37" t="n"/>
      <c r="I197" s="37" t="n"/>
    </row>
    <row r="198" ht="15.75" customHeight="1" s="56">
      <c r="A198" s="27" t="n"/>
      <c r="B198" s="37" t="n"/>
      <c r="C198" s="37" t="n"/>
      <c r="D198" s="37" t="n"/>
      <c r="E198" s="37" t="n"/>
      <c r="F198" s="37" t="n"/>
      <c r="G198" s="29" t="n"/>
      <c r="H198" s="37" t="n"/>
      <c r="I198" s="37" t="n"/>
    </row>
    <row r="199" ht="15.75" customHeight="1" s="56">
      <c r="A199" s="27" t="n"/>
      <c r="B199" s="37" t="n"/>
      <c r="C199" s="37" t="n"/>
      <c r="D199" s="37" t="n"/>
      <c r="E199" s="37" t="n"/>
      <c r="F199" s="37" t="n"/>
      <c r="G199" s="29" t="n"/>
      <c r="H199" s="37" t="n"/>
      <c r="I199" s="37" t="n"/>
    </row>
    <row r="200" ht="15.75" customHeight="1" s="56">
      <c r="A200" s="27" t="n"/>
      <c r="B200" s="37" t="n"/>
      <c r="C200" s="37" t="n"/>
      <c r="D200" s="37" t="n"/>
      <c r="E200" s="37" t="n"/>
      <c r="F200" s="37" t="n"/>
      <c r="G200" s="29" t="n"/>
      <c r="H200" s="37" t="n"/>
      <c r="I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I$200"/>
  <mergeCells count="2">
    <mergeCell ref="A1:I1"/>
    <mergeCell ref="A2:I2"/>
  </mergeCells>
  <dataValidations count="3">
    <dataValidation sqref="B4:B200" showDropDown="0" showInputMessage="0" showErrorMessage="0" allowBlank="1" type="list">
      <formula1>DM_NHANSU</formula1>
    </dataValidation>
    <dataValidation sqref="H4:H200" showDropDown="0" showInputMessage="0" showErrorMessage="0" allowBlank="1" type="list">
      <formula1>"Lên kế hoạch,Đã đăng,Đang chạy ads,Hoàn thành"</formula1>
    </dataValidation>
    <dataValidation sqref="C4:C200" showDropDown="0" showInputMessage="0" showErrorMessage="0" allowBlank="1" type="list">
      <formula1>"Facebook,TikTok,Zalo OA,Website,GMAP,YouTube,Khác"</formula1>
    </dataValidation>
  </dataValidations>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H2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3"/>
    <col width="12" customWidth="1" style="56" min="4" max="6"/>
    <col width="14" customWidth="1" style="56" min="7" max="7"/>
    <col width="26" customWidth="1" style="56" min="8" max="8"/>
    <col width="8.710000000000001" customWidth="1" style="56" min="9" max="26"/>
  </cols>
  <sheetData>
    <row r="1">
      <c r="A1" s="70" t="inlineStr">
        <is>
          <t>NHÂN SỰ - CHẤM CÔNG</t>
        </is>
      </c>
      <c r="B1" s="58" t="n"/>
      <c r="C1" s="58" t="n"/>
      <c r="D1" s="58" t="n"/>
      <c r="E1" s="58" t="n"/>
      <c r="F1" s="58" t="n"/>
      <c r="G1" s="58" t="n"/>
      <c r="H1" s="59" t="n"/>
    </row>
    <row r="2">
      <c r="A2" s="23" t="inlineStr">
        <is>
          <t>Nếu dùng lương cố định, có thể quản lý chấm công tối giản ở đây.</t>
        </is>
      </c>
    </row>
    <row r="3">
      <c r="A3" s="47" t="inlineStr">
        <is>
          <t>Ngày</t>
        </is>
      </c>
      <c r="B3" s="47" t="inlineStr">
        <is>
          <t>Nhân sự</t>
        </is>
      </c>
      <c r="C3" s="47" t="inlineStr">
        <is>
          <t>Phòng ban</t>
        </is>
      </c>
      <c r="D3" s="47" t="inlineStr">
        <is>
          <t>Giờ vào</t>
        </is>
      </c>
      <c r="E3" s="47" t="inlineStr">
        <is>
          <t>Giờ ra</t>
        </is>
      </c>
      <c r="F3" s="47" t="inlineStr">
        <is>
          <t>Công chuẩn</t>
        </is>
      </c>
      <c r="G3" s="47" t="inlineStr">
        <is>
          <t>Đi muộn (phút)</t>
        </is>
      </c>
      <c r="H3" s="47" t="inlineStr">
        <is>
          <t>Ghi chú</t>
        </is>
      </c>
    </row>
    <row r="4">
      <c r="A4" s="27" t="inlineStr">
        <is>
          <t>2026-03-17</t>
        </is>
      </c>
      <c r="B4" s="37" t="inlineStr">
        <is>
          <t>Hồ Thị Mỹ Hằng</t>
        </is>
      </c>
      <c r="C4" s="37" t="inlineStr">
        <is>
          <t>Phòng Kế toán</t>
        </is>
      </c>
      <c r="D4" s="37" t="inlineStr">
        <is>
          <t>08:01</t>
        </is>
      </c>
      <c r="E4" s="37" t="inlineStr">
        <is>
          <t>17:05</t>
        </is>
      </c>
      <c r="F4" s="37" t="n">
        <v>1</v>
      </c>
      <c r="G4" s="37" t="n">
        <v>1</v>
      </c>
      <c r="H4" s="37" t="n"/>
    </row>
    <row r="5">
      <c r="A5" s="27" t="n"/>
      <c r="B5" s="37" t="n"/>
      <c r="C5" s="37" t="n"/>
      <c r="D5" s="37" t="n"/>
      <c r="E5" s="37" t="n"/>
      <c r="F5" s="37" t="n"/>
      <c r="G5" s="37" t="n"/>
      <c r="H5" s="37" t="n"/>
    </row>
    <row r="6">
      <c r="A6" s="27" t="n"/>
      <c r="B6" s="37" t="n"/>
      <c r="C6" s="37" t="n"/>
      <c r="D6" s="37" t="n"/>
      <c r="E6" s="37" t="n"/>
      <c r="F6" s="37" t="n"/>
      <c r="G6" s="37" t="n"/>
      <c r="H6" s="37" t="n"/>
    </row>
    <row r="7">
      <c r="A7" s="27" t="n"/>
      <c r="B7" s="37" t="n"/>
      <c r="C7" s="37" t="n"/>
      <c r="D7" s="37" t="n"/>
      <c r="E7" s="37" t="n"/>
      <c r="F7" s="37" t="n"/>
      <c r="G7" s="37" t="n"/>
      <c r="H7" s="37" t="n"/>
    </row>
    <row r="8">
      <c r="A8" s="27" t="n"/>
      <c r="B8" s="37" t="n"/>
      <c r="C8" s="37" t="n"/>
      <c r="D8" s="37" t="n"/>
      <c r="E8" s="37" t="n"/>
      <c r="F8" s="37" t="n"/>
      <c r="G8" s="37" t="n"/>
      <c r="H8" s="37" t="n"/>
    </row>
    <row r="9">
      <c r="A9" s="27" t="n"/>
      <c r="B9" s="37" t="n"/>
      <c r="C9" s="37" t="n"/>
      <c r="D9" s="37" t="n"/>
      <c r="E9" s="37" t="n"/>
      <c r="F9" s="37" t="n"/>
      <c r="G9" s="37" t="n"/>
      <c r="H9" s="37" t="n"/>
    </row>
    <row r="10">
      <c r="A10" s="27" t="n"/>
      <c r="B10" s="37" t="n"/>
      <c r="C10" s="37" t="n"/>
      <c r="D10" s="37" t="n"/>
      <c r="E10" s="37" t="n"/>
      <c r="F10" s="37" t="n"/>
      <c r="G10" s="37" t="n"/>
      <c r="H10" s="37" t="n"/>
    </row>
    <row r="11">
      <c r="A11" s="27" t="n"/>
      <c r="B11" s="37" t="n"/>
      <c r="C11" s="37" t="n"/>
      <c r="D11" s="37" t="n"/>
      <c r="E11" s="37" t="n"/>
      <c r="F11" s="37" t="n"/>
      <c r="G11" s="37" t="n"/>
      <c r="H11" s="37" t="n"/>
    </row>
    <row r="12">
      <c r="A12" s="27" t="n"/>
      <c r="B12" s="37" t="n"/>
      <c r="C12" s="37" t="n"/>
      <c r="D12" s="37" t="n"/>
      <c r="E12" s="37" t="n"/>
      <c r="F12" s="37" t="n"/>
      <c r="G12" s="37" t="n"/>
      <c r="H12" s="37" t="n"/>
    </row>
    <row r="13">
      <c r="A13" s="27" t="n"/>
      <c r="B13" s="37" t="n"/>
      <c r="C13" s="37" t="n"/>
      <c r="D13" s="37" t="n"/>
      <c r="E13" s="37" t="n"/>
      <c r="F13" s="37" t="n"/>
      <c r="G13" s="37" t="n"/>
      <c r="H13" s="37" t="n"/>
    </row>
    <row r="14">
      <c r="A14" s="27" t="n"/>
      <c r="B14" s="37" t="n"/>
      <c r="C14" s="37" t="n"/>
      <c r="D14" s="37" t="n"/>
      <c r="E14" s="37" t="n"/>
      <c r="F14" s="37" t="n"/>
      <c r="G14" s="37" t="n"/>
      <c r="H14" s="37" t="n"/>
    </row>
    <row r="15">
      <c r="A15" s="27" t="n"/>
      <c r="B15" s="37" t="n"/>
      <c r="C15" s="37" t="n"/>
      <c r="D15" s="37" t="n"/>
      <c r="E15" s="37" t="n"/>
      <c r="F15" s="37" t="n"/>
      <c r="G15" s="37" t="n"/>
      <c r="H15" s="37" t="n"/>
    </row>
    <row r="16">
      <c r="A16" s="27" t="n"/>
      <c r="B16" s="37" t="n"/>
      <c r="C16" s="37" t="n"/>
      <c r="D16" s="37" t="n"/>
      <c r="E16" s="37" t="n"/>
      <c r="F16" s="37" t="n"/>
      <c r="G16" s="37" t="n"/>
      <c r="H16" s="37" t="n"/>
    </row>
    <row r="17">
      <c r="A17" s="27" t="n"/>
      <c r="B17" s="37" t="n"/>
      <c r="C17" s="37" t="n"/>
      <c r="D17" s="37" t="n"/>
      <c r="E17" s="37" t="n"/>
      <c r="F17" s="37" t="n"/>
      <c r="G17" s="37" t="n"/>
      <c r="H17" s="37" t="n"/>
    </row>
    <row r="18">
      <c r="A18" s="27" t="n"/>
      <c r="B18" s="37" t="n"/>
      <c r="C18" s="37" t="n"/>
      <c r="D18" s="37" t="n"/>
      <c r="E18" s="37" t="n"/>
      <c r="F18" s="37" t="n"/>
      <c r="G18" s="37" t="n"/>
      <c r="H18" s="37" t="n"/>
    </row>
    <row r="19">
      <c r="A19" s="27" t="n"/>
      <c r="B19" s="37" t="n"/>
      <c r="C19" s="37" t="n"/>
      <c r="D19" s="37" t="n"/>
      <c r="E19" s="37" t="n"/>
      <c r="F19" s="37" t="n"/>
      <c r="G19" s="37" t="n"/>
      <c r="H19" s="37" t="n"/>
    </row>
    <row r="20">
      <c r="A20" s="27" t="n"/>
      <c r="B20" s="37" t="n"/>
      <c r="C20" s="37" t="n"/>
      <c r="D20" s="37" t="n"/>
      <c r="E20" s="37" t="n"/>
      <c r="F20" s="37" t="n"/>
      <c r="G20" s="37" t="n"/>
      <c r="H20" s="37" t="n"/>
    </row>
    <row r="21" ht="15.75" customHeight="1" s="56">
      <c r="A21" s="27" t="n"/>
      <c r="B21" s="37" t="n"/>
      <c r="C21" s="37" t="n"/>
      <c r="D21" s="37" t="n"/>
      <c r="E21" s="37" t="n"/>
      <c r="F21" s="37" t="n"/>
      <c r="G21" s="37" t="n"/>
      <c r="H21" s="37" t="n"/>
    </row>
    <row r="22" ht="15.75" customHeight="1" s="56">
      <c r="A22" s="27" t="n"/>
      <c r="B22" s="37" t="n"/>
      <c r="C22" s="37" t="n"/>
      <c r="D22" s="37" t="n"/>
      <c r="E22" s="37" t="n"/>
      <c r="F22" s="37" t="n"/>
      <c r="G22" s="37" t="n"/>
      <c r="H22" s="37" t="n"/>
    </row>
    <row r="23" ht="15.75" customHeight="1" s="56">
      <c r="A23" s="27" t="n"/>
      <c r="B23" s="37" t="n"/>
      <c r="C23" s="37" t="n"/>
      <c r="D23" s="37" t="n"/>
      <c r="E23" s="37" t="n"/>
      <c r="F23" s="37" t="n"/>
      <c r="G23" s="37" t="n"/>
      <c r="H23" s="37" t="n"/>
    </row>
    <row r="24" ht="15.75" customHeight="1" s="56">
      <c r="A24" s="27" t="n"/>
      <c r="B24" s="37" t="n"/>
      <c r="C24" s="37" t="n"/>
      <c r="D24" s="37" t="n"/>
      <c r="E24" s="37" t="n"/>
      <c r="F24" s="37" t="n"/>
      <c r="G24" s="37" t="n"/>
      <c r="H24" s="37" t="n"/>
    </row>
    <row r="25" ht="15.75" customHeight="1" s="56">
      <c r="A25" s="27" t="n"/>
      <c r="B25" s="37" t="n"/>
      <c r="C25" s="37" t="n"/>
      <c r="D25" s="37" t="n"/>
      <c r="E25" s="37" t="n"/>
      <c r="F25" s="37" t="n"/>
      <c r="G25" s="37" t="n"/>
      <c r="H25" s="37" t="n"/>
    </row>
    <row r="26" ht="15.75" customHeight="1" s="56">
      <c r="A26" s="27" t="n"/>
      <c r="B26" s="37" t="n"/>
      <c r="C26" s="37" t="n"/>
      <c r="D26" s="37" t="n"/>
      <c r="E26" s="37" t="n"/>
      <c r="F26" s="37" t="n"/>
      <c r="G26" s="37" t="n"/>
      <c r="H26" s="37" t="n"/>
    </row>
    <row r="27" ht="15.75" customHeight="1" s="56">
      <c r="A27" s="27" t="n"/>
      <c r="B27" s="37" t="n"/>
      <c r="C27" s="37" t="n"/>
      <c r="D27" s="37" t="n"/>
      <c r="E27" s="37" t="n"/>
      <c r="F27" s="37" t="n"/>
      <c r="G27" s="37" t="n"/>
      <c r="H27" s="37" t="n"/>
    </row>
    <row r="28" ht="15.75" customHeight="1" s="56">
      <c r="A28" s="27" t="n"/>
      <c r="B28" s="37" t="n"/>
      <c r="C28" s="37" t="n"/>
      <c r="D28" s="37" t="n"/>
      <c r="E28" s="37" t="n"/>
      <c r="F28" s="37" t="n"/>
      <c r="G28" s="37" t="n"/>
      <c r="H28" s="37" t="n"/>
    </row>
    <row r="29" ht="15.75" customHeight="1" s="56">
      <c r="A29" s="27" t="n"/>
      <c r="B29" s="37" t="n"/>
      <c r="C29" s="37" t="n"/>
      <c r="D29" s="37" t="n"/>
      <c r="E29" s="37" t="n"/>
      <c r="F29" s="37" t="n"/>
      <c r="G29" s="37" t="n"/>
      <c r="H29" s="37" t="n"/>
    </row>
    <row r="30" ht="15.75" customHeight="1" s="56">
      <c r="A30" s="27" t="n"/>
      <c r="B30" s="37" t="n"/>
      <c r="C30" s="37" t="n"/>
      <c r="D30" s="37" t="n"/>
      <c r="E30" s="37" t="n"/>
      <c r="F30" s="37" t="n"/>
      <c r="G30" s="37" t="n"/>
      <c r="H30" s="37" t="n"/>
    </row>
    <row r="31" ht="15.75" customHeight="1" s="56">
      <c r="A31" s="27" t="n"/>
      <c r="B31" s="37" t="n"/>
      <c r="C31" s="37" t="n"/>
      <c r="D31" s="37" t="n"/>
      <c r="E31" s="37" t="n"/>
      <c r="F31" s="37" t="n"/>
      <c r="G31" s="37" t="n"/>
      <c r="H31" s="37" t="n"/>
    </row>
    <row r="32" ht="15.75" customHeight="1" s="56">
      <c r="A32" s="27" t="n"/>
      <c r="B32" s="37" t="n"/>
      <c r="C32" s="37" t="n"/>
      <c r="D32" s="37" t="n"/>
      <c r="E32" s="37" t="n"/>
      <c r="F32" s="37" t="n"/>
      <c r="G32" s="37" t="n"/>
      <c r="H32" s="37" t="n"/>
    </row>
    <row r="33" ht="15.75" customHeight="1" s="56">
      <c r="A33" s="27" t="n"/>
      <c r="B33" s="37" t="n"/>
      <c r="C33" s="37" t="n"/>
      <c r="D33" s="37" t="n"/>
      <c r="E33" s="37" t="n"/>
      <c r="F33" s="37" t="n"/>
      <c r="G33" s="37" t="n"/>
      <c r="H33" s="37" t="n"/>
    </row>
    <row r="34" ht="15.75" customHeight="1" s="56">
      <c r="A34" s="27" t="n"/>
      <c r="B34" s="37" t="n"/>
      <c r="C34" s="37" t="n"/>
      <c r="D34" s="37" t="n"/>
      <c r="E34" s="37" t="n"/>
      <c r="F34" s="37" t="n"/>
      <c r="G34" s="37" t="n"/>
      <c r="H34" s="37" t="n"/>
    </row>
    <row r="35" ht="15.75" customHeight="1" s="56">
      <c r="A35" s="27" t="n"/>
      <c r="B35" s="37" t="n"/>
      <c r="C35" s="37" t="n"/>
      <c r="D35" s="37" t="n"/>
      <c r="E35" s="37" t="n"/>
      <c r="F35" s="37" t="n"/>
      <c r="G35" s="37" t="n"/>
      <c r="H35" s="37" t="n"/>
    </row>
    <row r="36" ht="15.75" customHeight="1" s="56">
      <c r="A36" s="27" t="n"/>
      <c r="B36" s="37" t="n"/>
      <c r="C36" s="37" t="n"/>
      <c r="D36" s="37" t="n"/>
      <c r="E36" s="37" t="n"/>
      <c r="F36" s="37" t="n"/>
      <c r="G36" s="37" t="n"/>
      <c r="H36" s="37" t="n"/>
    </row>
    <row r="37" ht="15.75" customHeight="1" s="56">
      <c r="A37" s="27" t="n"/>
      <c r="B37" s="37" t="n"/>
      <c r="C37" s="37" t="n"/>
      <c r="D37" s="37" t="n"/>
      <c r="E37" s="37" t="n"/>
      <c r="F37" s="37" t="n"/>
      <c r="G37" s="37" t="n"/>
      <c r="H37" s="37" t="n"/>
    </row>
    <row r="38" ht="15.75" customHeight="1" s="56">
      <c r="A38" s="27" t="n"/>
      <c r="B38" s="37" t="n"/>
      <c r="C38" s="37" t="n"/>
      <c r="D38" s="37" t="n"/>
      <c r="E38" s="37" t="n"/>
      <c r="F38" s="37" t="n"/>
      <c r="G38" s="37" t="n"/>
      <c r="H38" s="37" t="n"/>
    </row>
    <row r="39" ht="15.75" customHeight="1" s="56">
      <c r="A39" s="27" t="n"/>
      <c r="B39" s="37" t="n"/>
      <c r="C39" s="37" t="n"/>
      <c r="D39" s="37" t="n"/>
      <c r="E39" s="37" t="n"/>
      <c r="F39" s="37" t="n"/>
      <c r="G39" s="37" t="n"/>
      <c r="H39" s="37" t="n"/>
    </row>
    <row r="40" ht="15.75" customHeight="1" s="56">
      <c r="A40" s="27" t="n"/>
      <c r="B40" s="37" t="n"/>
      <c r="C40" s="37" t="n"/>
      <c r="D40" s="37" t="n"/>
      <c r="E40" s="37" t="n"/>
      <c r="F40" s="37" t="n"/>
      <c r="G40" s="37" t="n"/>
      <c r="H40" s="37" t="n"/>
    </row>
    <row r="41" ht="15.75" customHeight="1" s="56">
      <c r="A41" s="27" t="n"/>
      <c r="B41" s="37" t="n"/>
      <c r="C41" s="37" t="n"/>
      <c r="D41" s="37" t="n"/>
      <c r="E41" s="37" t="n"/>
      <c r="F41" s="37" t="n"/>
      <c r="G41" s="37" t="n"/>
      <c r="H41" s="37" t="n"/>
    </row>
    <row r="42" ht="15.75" customHeight="1" s="56">
      <c r="A42" s="27" t="n"/>
      <c r="B42" s="37" t="n"/>
      <c r="C42" s="37" t="n"/>
      <c r="D42" s="37" t="n"/>
      <c r="E42" s="37" t="n"/>
      <c r="F42" s="37" t="n"/>
      <c r="G42" s="37" t="n"/>
      <c r="H42" s="37" t="n"/>
    </row>
    <row r="43" ht="15.75" customHeight="1" s="56">
      <c r="A43" s="27" t="n"/>
      <c r="B43" s="37" t="n"/>
      <c r="C43" s="37" t="n"/>
      <c r="D43" s="37" t="n"/>
      <c r="E43" s="37" t="n"/>
      <c r="F43" s="37" t="n"/>
      <c r="G43" s="37" t="n"/>
      <c r="H43" s="37" t="n"/>
    </row>
    <row r="44" ht="15.75" customHeight="1" s="56">
      <c r="A44" s="27" t="n"/>
      <c r="B44" s="37" t="n"/>
      <c r="C44" s="37" t="n"/>
      <c r="D44" s="37" t="n"/>
      <c r="E44" s="37" t="n"/>
      <c r="F44" s="37" t="n"/>
      <c r="G44" s="37" t="n"/>
      <c r="H44" s="37" t="n"/>
    </row>
    <row r="45" ht="15.75" customHeight="1" s="56">
      <c r="A45" s="27" t="n"/>
      <c r="B45" s="37" t="n"/>
      <c r="C45" s="37" t="n"/>
      <c r="D45" s="37" t="n"/>
      <c r="E45" s="37" t="n"/>
      <c r="F45" s="37" t="n"/>
      <c r="G45" s="37" t="n"/>
      <c r="H45" s="37" t="n"/>
    </row>
    <row r="46" ht="15.75" customHeight="1" s="56">
      <c r="A46" s="27" t="n"/>
      <c r="B46" s="37" t="n"/>
      <c r="C46" s="37" t="n"/>
      <c r="D46" s="37" t="n"/>
      <c r="E46" s="37" t="n"/>
      <c r="F46" s="37" t="n"/>
      <c r="G46" s="37" t="n"/>
      <c r="H46" s="37" t="n"/>
    </row>
    <row r="47" ht="15.75" customHeight="1" s="56">
      <c r="A47" s="27" t="n"/>
      <c r="B47" s="37" t="n"/>
      <c r="C47" s="37" t="n"/>
      <c r="D47" s="37" t="n"/>
      <c r="E47" s="37" t="n"/>
      <c r="F47" s="37" t="n"/>
      <c r="G47" s="37" t="n"/>
      <c r="H47" s="37" t="n"/>
    </row>
    <row r="48" ht="15.75" customHeight="1" s="56">
      <c r="A48" s="27" t="n"/>
      <c r="B48" s="37" t="n"/>
      <c r="C48" s="37" t="n"/>
      <c r="D48" s="37" t="n"/>
      <c r="E48" s="37" t="n"/>
      <c r="F48" s="37" t="n"/>
      <c r="G48" s="37" t="n"/>
      <c r="H48" s="37" t="n"/>
    </row>
    <row r="49" ht="15.75" customHeight="1" s="56">
      <c r="A49" s="27" t="n"/>
      <c r="B49" s="37" t="n"/>
      <c r="C49" s="37" t="n"/>
      <c r="D49" s="37" t="n"/>
      <c r="E49" s="37" t="n"/>
      <c r="F49" s="37" t="n"/>
      <c r="G49" s="37" t="n"/>
      <c r="H49" s="37" t="n"/>
    </row>
    <row r="50" ht="15.75" customHeight="1" s="56">
      <c r="A50" s="27" t="n"/>
      <c r="B50" s="37" t="n"/>
      <c r="C50" s="37" t="n"/>
      <c r="D50" s="37" t="n"/>
      <c r="E50" s="37" t="n"/>
      <c r="F50" s="37" t="n"/>
      <c r="G50" s="37" t="n"/>
      <c r="H50" s="37" t="n"/>
    </row>
    <row r="51" ht="15.75" customHeight="1" s="56">
      <c r="A51" s="27" t="n"/>
      <c r="B51" s="37" t="n"/>
      <c r="C51" s="37" t="n"/>
      <c r="D51" s="37" t="n"/>
      <c r="E51" s="37" t="n"/>
      <c r="F51" s="37" t="n"/>
      <c r="G51" s="37" t="n"/>
      <c r="H51" s="37" t="n"/>
    </row>
    <row r="52" ht="15.75" customHeight="1" s="56">
      <c r="A52" s="27" t="n"/>
      <c r="B52" s="37" t="n"/>
      <c r="C52" s="37" t="n"/>
      <c r="D52" s="37" t="n"/>
      <c r="E52" s="37" t="n"/>
      <c r="F52" s="37" t="n"/>
      <c r="G52" s="37" t="n"/>
      <c r="H52" s="37" t="n"/>
    </row>
    <row r="53" ht="15.75" customHeight="1" s="56">
      <c r="A53" s="27" t="n"/>
      <c r="B53" s="37" t="n"/>
      <c r="C53" s="37" t="n"/>
      <c r="D53" s="37" t="n"/>
      <c r="E53" s="37" t="n"/>
      <c r="F53" s="37" t="n"/>
      <c r="G53" s="37" t="n"/>
      <c r="H53" s="37" t="n"/>
    </row>
    <row r="54" ht="15.75" customHeight="1" s="56">
      <c r="A54" s="27" t="n"/>
      <c r="B54" s="37" t="n"/>
      <c r="C54" s="37" t="n"/>
      <c r="D54" s="37" t="n"/>
      <c r="E54" s="37" t="n"/>
      <c r="F54" s="37" t="n"/>
      <c r="G54" s="37" t="n"/>
      <c r="H54" s="37" t="n"/>
    </row>
    <row r="55" ht="15.75" customHeight="1" s="56">
      <c r="A55" s="27" t="n"/>
      <c r="B55" s="37" t="n"/>
      <c r="C55" s="37" t="n"/>
      <c r="D55" s="37" t="n"/>
      <c r="E55" s="37" t="n"/>
      <c r="F55" s="37" t="n"/>
      <c r="G55" s="37" t="n"/>
      <c r="H55" s="37" t="n"/>
    </row>
    <row r="56" ht="15.75" customHeight="1" s="56">
      <c r="A56" s="27" t="n"/>
      <c r="B56" s="37" t="n"/>
      <c r="C56" s="37" t="n"/>
      <c r="D56" s="37" t="n"/>
      <c r="E56" s="37" t="n"/>
      <c r="F56" s="37" t="n"/>
      <c r="G56" s="37" t="n"/>
      <c r="H56" s="37" t="n"/>
    </row>
    <row r="57" ht="15.75" customHeight="1" s="56">
      <c r="A57" s="27" t="n"/>
      <c r="B57" s="37" t="n"/>
      <c r="C57" s="37" t="n"/>
      <c r="D57" s="37" t="n"/>
      <c r="E57" s="37" t="n"/>
      <c r="F57" s="37" t="n"/>
      <c r="G57" s="37" t="n"/>
      <c r="H57" s="37" t="n"/>
    </row>
    <row r="58" ht="15.75" customHeight="1" s="56">
      <c r="A58" s="27" t="n"/>
      <c r="B58" s="37" t="n"/>
      <c r="C58" s="37" t="n"/>
      <c r="D58" s="37" t="n"/>
      <c r="E58" s="37" t="n"/>
      <c r="F58" s="37" t="n"/>
      <c r="G58" s="37" t="n"/>
      <c r="H58" s="37" t="n"/>
    </row>
    <row r="59" ht="15.75" customHeight="1" s="56">
      <c r="A59" s="27" t="n"/>
      <c r="B59" s="37" t="n"/>
      <c r="C59" s="37" t="n"/>
      <c r="D59" s="37" t="n"/>
      <c r="E59" s="37" t="n"/>
      <c r="F59" s="37" t="n"/>
      <c r="G59" s="37" t="n"/>
      <c r="H59" s="37" t="n"/>
    </row>
    <row r="60" ht="15.75" customHeight="1" s="56">
      <c r="A60" s="27" t="n"/>
      <c r="B60" s="37" t="n"/>
      <c r="C60" s="37" t="n"/>
      <c r="D60" s="37" t="n"/>
      <c r="E60" s="37" t="n"/>
      <c r="F60" s="37" t="n"/>
      <c r="G60" s="37" t="n"/>
      <c r="H60" s="37" t="n"/>
    </row>
    <row r="61" ht="15.75" customHeight="1" s="56">
      <c r="A61" s="27" t="n"/>
      <c r="B61" s="37" t="n"/>
      <c r="C61" s="37" t="n"/>
      <c r="D61" s="37" t="n"/>
      <c r="E61" s="37" t="n"/>
      <c r="F61" s="37" t="n"/>
      <c r="G61" s="37" t="n"/>
      <c r="H61" s="37" t="n"/>
    </row>
    <row r="62" ht="15.75" customHeight="1" s="56">
      <c r="A62" s="27" t="n"/>
      <c r="B62" s="37" t="n"/>
      <c r="C62" s="37" t="n"/>
      <c r="D62" s="37" t="n"/>
      <c r="E62" s="37" t="n"/>
      <c r="F62" s="37" t="n"/>
      <c r="G62" s="37" t="n"/>
      <c r="H62" s="37" t="n"/>
    </row>
    <row r="63" ht="15.75" customHeight="1" s="56">
      <c r="A63" s="27" t="n"/>
      <c r="B63" s="37" t="n"/>
      <c r="C63" s="37" t="n"/>
      <c r="D63" s="37" t="n"/>
      <c r="E63" s="37" t="n"/>
      <c r="F63" s="37" t="n"/>
      <c r="G63" s="37" t="n"/>
      <c r="H63" s="37" t="n"/>
    </row>
    <row r="64" ht="15.75" customHeight="1" s="56">
      <c r="A64" s="27" t="n"/>
      <c r="B64" s="37" t="n"/>
      <c r="C64" s="37" t="n"/>
      <c r="D64" s="37" t="n"/>
      <c r="E64" s="37" t="n"/>
      <c r="F64" s="37" t="n"/>
      <c r="G64" s="37" t="n"/>
      <c r="H64" s="37" t="n"/>
    </row>
    <row r="65" ht="15.75" customHeight="1" s="56">
      <c r="A65" s="27" t="n"/>
      <c r="B65" s="37" t="n"/>
      <c r="C65" s="37" t="n"/>
      <c r="D65" s="37" t="n"/>
      <c r="E65" s="37" t="n"/>
      <c r="F65" s="37" t="n"/>
      <c r="G65" s="37" t="n"/>
      <c r="H65" s="37" t="n"/>
    </row>
    <row r="66" ht="15.75" customHeight="1" s="56">
      <c r="A66" s="27" t="n"/>
      <c r="B66" s="37" t="n"/>
      <c r="C66" s="37" t="n"/>
      <c r="D66" s="37" t="n"/>
      <c r="E66" s="37" t="n"/>
      <c r="F66" s="37" t="n"/>
      <c r="G66" s="37" t="n"/>
      <c r="H66" s="37" t="n"/>
    </row>
    <row r="67" ht="15.75" customHeight="1" s="56">
      <c r="A67" s="27" t="n"/>
      <c r="B67" s="37" t="n"/>
      <c r="C67" s="37" t="n"/>
      <c r="D67" s="37" t="n"/>
      <c r="E67" s="37" t="n"/>
      <c r="F67" s="37" t="n"/>
      <c r="G67" s="37" t="n"/>
      <c r="H67" s="37" t="n"/>
    </row>
    <row r="68" ht="15.75" customHeight="1" s="56">
      <c r="A68" s="27" t="n"/>
      <c r="B68" s="37" t="n"/>
      <c r="C68" s="37" t="n"/>
      <c r="D68" s="37" t="n"/>
      <c r="E68" s="37" t="n"/>
      <c r="F68" s="37" t="n"/>
      <c r="G68" s="37" t="n"/>
      <c r="H68" s="37" t="n"/>
    </row>
    <row r="69" ht="15.75" customHeight="1" s="56">
      <c r="A69" s="27" t="n"/>
      <c r="B69" s="37" t="n"/>
      <c r="C69" s="37" t="n"/>
      <c r="D69" s="37" t="n"/>
      <c r="E69" s="37" t="n"/>
      <c r="F69" s="37" t="n"/>
      <c r="G69" s="37" t="n"/>
      <c r="H69" s="37" t="n"/>
    </row>
    <row r="70" ht="15.75" customHeight="1" s="56">
      <c r="A70" s="27" t="n"/>
      <c r="B70" s="37" t="n"/>
      <c r="C70" s="37" t="n"/>
      <c r="D70" s="37" t="n"/>
      <c r="E70" s="37" t="n"/>
      <c r="F70" s="37" t="n"/>
      <c r="G70" s="37" t="n"/>
      <c r="H70" s="37" t="n"/>
    </row>
    <row r="71" ht="15.75" customHeight="1" s="56">
      <c r="A71" s="27" t="n"/>
      <c r="B71" s="37" t="n"/>
      <c r="C71" s="37" t="n"/>
      <c r="D71" s="37" t="n"/>
      <c r="E71" s="37" t="n"/>
      <c r="F71" s="37" t="n"/>
      <c r="G71" s="37" t="n"/>
      <c r="H71" s="37" t="n"/>
    </row>
    <row r="72" ht="15.75" customHeight="1" s="56">
      <c r="A72" s="27" t="n"/>
      <c r="B72" s="37" t="n"/>
      <c r="C72" s="37" t="n"/>
      <c r="D72" s="37" t="n"/>
      <c r="E72" s="37" t="n"/>
      <c r="F72" s="37" t="n"/>
      <c r="G72" s="37" t="n"/>
      <c r="H72" s="37" t="n"/>
    </row>
    <row r="73" ht="15.75" customHeight="1" s="56">
      <c r="A73" s="27" t="n"/>
      <c r="B73" s="37" t="n"/>
      <c r="C73" s="37" t="n"/>
      <c r="D73" s="37" t="n"/>
      <c r="E73" s="37" t="n"/>
      <c r="F73" s="37" t="n"/>
      <c r="G73" s="37" t="n"/>
      <c r="H73" s="37" t="n"/>
    </row>
    <row r="74" ht="15.75" customHeight="1" s="56">
      <c r="A74" s="27" t="n"/>
      <c r="B74" s="37" t="n"/>
      <c r="C74" s="37" t="n"/>
      <c r="D74" s="37" t="n"/>
      <c r="E74" s="37" t="n"/>
      <c r="F74" s="37" t="n"/>
      <c r="G74" s="37" t="n"/>
      <c r="H74" s="37" t="n"/>
    </row>
    <row r="75" ht="15.75" customHeight="1" s="56">
      <c r="A75" s="27" t="n"/>
      <c r="B75" s="37" t="n"/>
      <c r="C75" s="37" t="n"/>
      <c r="D75" s="37" t="n"/>
      <c r="E75" s="37" t="n"/>
      <c r="F75" s="37" t="n"/>
      <c r="G75" s="37" t="n"/>
      <c r="H75" s="37" t="n"/>
    </row>
    <row r="76" ht="15.75" customHeight="1" s="56">
      <c r="A76" s="27" t="n"/>
      <c r="B76" s="37" t="n"/>
      <c r="C76" s="37" t="n"/>
      <c r="D76" s="37" t="n"/>
      <c r="E76" s="37" t="n"/>
      <c r="F76" s="37" t="n"/>
      <c r="G76" s="37" t="n"/>
      <c r="H76" s="37" t="n"/>
    </row>
    <row r="77" ht="15.75" customHeight="1" s="56">
      <c r="A77" s="27" t="n"/>
      <c r="B77" s="37" t="n"/>
      <c r="C77" s="37" t="n"/>
      <c r="D77" s="37" t="n"/>
      <c r="E77" s="37" t="n"/>
      <c r="F77" s="37" t="n"/>
      <c r="G77" s="37" t="n"/>
      <c r="H77" s="37" t="n"/>
    </row>
    <row r="78" ht="15.75" customHeight="1" s="56">
      <c r="A78" s="27" t="n"/>
      <c r="B78" s="37" t="n"/>
      <c r="C78" s="37" t="n"/>
      <c r="D78" s="37" t="n"/>
      <c r="E78" s="37" t="n"/>
      <c r="F78" s="37" t="n"/>
      <c r="G78" s="37" t="n"/>
      <c r="H78" s="37" t="n"/>
    </row>
    <row r="79" ht="15.75" customHeight="1" s="56">
      <c r="A79" s="27" t="n"/>
      <c r="B79" s="37" t="n"/>
      <c r="C79" s="37" t="n"/>
      <c r="D79" s="37" t="n"/>
      <c r="E79" s="37" t="n"/>
      <c r="F79" s="37" t="n"/>
      <c r="G79" s="37" t="n"/>
      <c r="H79" s="37" t="n"/>
    </row>
    <row r="80" ht="15.75" customHeight="1" s="56">
      <c r="A80" s="27" t="n"/>
      <c r="B80" s="37" t="n"/>
      <c r="C80" s="37" t="n"/>
      <c r="D80" s="37" t="n"/>
      <c r="E80" s="37" t="n"/>
      <c r="F80" s="37" t="n"/>
      <c r="G80" s="37" t="n"/>
      <c r="H80" s="37" t="n"/>
    </row>
    <row r="81" ht="15.75" customHeight="1" s="56">
      <c r="A81" s="27" t="n"/>
      <c r="B81" s="37" t="n"/>
      <c r="C81" s="37" t="n"/>
      <c r="D81" s="37" t="n"/>
      <c r="E81" s="37" t="n"/>
      <c r="F81" s="37" t="n"/>
      <c r="G81" s="37" t="n"/>
      <c r="H81" s="37" t="n"/>
    </row>
    <row r="82" ht="15.75" customHeight="1" s="56">
      <c r="A82" s="27" t="n"/>
      <c r="B82" s="37" t="n"/>
      <c r="C82" s="37" t="n"/>
      <c r="D82" s="37" t="n"/>
      <c r="E82" s="37" t="n"/>
      <c r="F82" s="37" t="n"/>
      <c r="G82" s="37" t="n"/>
      <c r="H82" s="37" t="n"/>
    </row>
    <row r="83" ht="15.75" customHeight="1" s="56">
      <c r="A83" s="27" t="n"/>
      <c r="B83" s="37" t="n"/>
      <c r="C83" s="37" t="n"/>
      <c r="D83" s="37" t="n"/>
      <c r="E83" s="37" t="n"/>
      <c r="F83" s="37" t="n"/>
      <c r="G83" s="37" t="n"/>
      <c r="H83" s="37" t="n"/>
    </row>
    <row r="84" ht="15.75" customHeight="1" s="56">
      <c r="A84" s="27" t="n"/>
      <c r="B84" s="37" t="n"/>
      <c r="C84" s="37" t="n"/>
      <c r="D84" s="37" t="n"/>
      <c r="E84" s="37" t="n"/>
      <c r="F84" s="37" t="n"/>
      <c r="G84" s="37" t="n"/>
      <c r="H84" s="37" t="n"/>
    </row>
    <row r="85" ht="15.75" customHeight="1" s="56">
      <c r="A85" s="27" t="n"/>
      <c r="B85" s="37" t="n"/>
      <c r="C85" s="37" t="n"/>
      <c r="D85" s="37" t="n"/>
      <c r="E85" s="37" t="n"/>
      <c r="F85" s="37" t="n"/>
      <c r="G85" s="37" t="n"/>
      <c r="H85" s="37" t="n"/>
    </row>
    <row r="86" ht="15.75" customHeight="1" s="56">
      <c r="A86" s="27" t="n"/>
      <c r="B86" s="37" t="n"/>
      <c r="C86" s="37" t="n"/>
      <c r="D86" s="37" t="n"/>
      <c r="E86" s="37" t="n"/>
      <c r="F86" s="37" t="n"/>
      <c r="G86" s="37" t="n"/>
      <c r="H86" s="37" t="n"/>
    </row>
    <row r="87" ht="15.75" customHeight="1" s="56">
      <c r="A87" s="27" t="n"/>
      <c r="B87" s="37" t="n"/>
      <c r="C87" s="37" t="n"/>
      <c r="D87" s="37" t="n"/>
      <c r="E87" s="37" t="n"/>
      <c r="F87" s="37" t="n"/>
      <c r="G87" s="37" t="n"/>
      <c r="H87" s="37" t="n"/>
    </row>
    <row r="88" ht="15.75" customHeight="1" s="56">
      <c r="A88" s="27" t="n"/>
      <c r="B88" s="37" t="n"/>
      <c r="C88" s="37" t="n"/>
      <c r="D88" s="37" t="n"/>
      <c r="E88" s="37" t="n"/>
      <c r="F88" s="37" t="n"/>
      <c r="G88" s="37" t="n"/>
      <c r="H88" s="37" t="n"/>
    </row>
    <row r="89" ht="15.75" customHeight="1" s="56">
      <c r="A89" s="27" t="n"/>
      <c r="B89" s="37" t="n"/>
      <c r="C89" s="37" t="n"/>
      <c r="D89" s="37" t="n"/>
      <c r="E89" s="37" t="n"/>
      <c r="F89" s="37" t="n"/>
      <c r="G89" s="37" t="n"/>
      <c r="H89" s="37" t="n"/>
    </row>
    <row r="90" ht="15.75" customHeight="1" s="56">
      <c r="A90" s="27" t="n"/>
      <c r="B90" s="37" t="n"/>
      <c r="C90" s="37" t="n"/>
      <c r="D90" s="37" t="n"/>
      <c r="E90" s="37" t="n"/>
      <c r="F90" s="37" t="n"/>
      <c r="G90" s="37" t="n"/>
      <c r="H90" s="37" t="n"/>
    </row>
    <row r="91" ht="15.75" customHeight="1" s="56">
      <c r="A91" s="27" t="n"/>
      <c r="B91" s="37" t="n"/>
      <c r="C91" s="37" t="n"/>
      <c r="D91" s="37" t="n"/>
      <c r="E91" s="37" t="n"/>
      <c r="F91" s="37" t="n"/>
      <c r="G91" s="37" t="n"/>
      <c r="H91" s="37" t="n"/>
    </row>
    <row r="92" ht="15.75" customHeight="1" s="56">
      <c r="A92" s="27" t="n"/>
      <c r="B92" s="37" t="n"/>
      <c r="C92" s="37" t="n"/>
      <c r="D92" s="37" t="n"/>
      <c r="E92" s="37" t="n"/>
      <c r="F92" s="37" t="n"/>
      <c r="G92" s="37" t="n"/>
      <c r="H92" s="37" t="n"/>
    </row>
    <row r="93" ht="15.75" customHeight="1" s="56">
      <c r="A93" s="27" t="n"/>
      <c r="B93" s="37" t="n"/>
      <c r="C93" s="37" t="n"/>
      <c r="D93" s="37" t="n"/>
      <c r="E93" s="37" t="n"/>
      <c r="F93" s="37" t="n"/>
      <c r="G93" s="37" t="n"/>
      <c r="H93" s="37" t="n"/>
    </row>
    <row r="94" ht="15.75" customHeight="1" s="56">
      <c r="A94" s="27" t="n"/>
      <c r="B94" s="37" t="n"/>
      <c r="C94" s="37" t="n"/>
      <c r="D94" s="37" t="n"/>
      <c r="E94" s="37" t="n"/>
      <c r="F94" s="37" t="n"/>
      <c r="G94" s="37" t="n"/>
      <c r="H94" s="37" t="n"/>
    </row>
    <row r="95" ht="15.75" customHeight="1" s="56">
      <c r="A95" s="27" t="n"/>
      <c r="B95" s="37" t="n"/>
      <c r="C95" s="37" t="n"/>
      <c r="D95" s="37" t="n"/>
      <c r="E95" s="37" t="n"/>
      <c r="F95" s="37" t="n"/>
      <c r="G95" s="37" t="n"/>
      <c r="H95" s="37" t="n"/>
    </row>
    <row r="96" ht="15.75" customHeight="1" s="56">
      <c r="A96" s="27" t="n"/>
      <c r="B96" s="37" t="n"/>
      <c r="C96" s="37" t="n"/>
      <c r="D96" s="37" t="n"/>
      <c r="E96" s="37" t="n"/>
      <c r="F96" s="37" t="n"/>
      <c r="G96" s="37" t="n"/>
      <c r="H96" s="37" t="n"/>
    </row>
    <row r="97" ht="15.75" customHeight="1" s="56">
      <c r="A97" s="27" t="n"/>
      <c r="B97" s="37" t="n"/>
      <c r="C97" s="37" t="n"/>
      <c r="D97" s="37" t="n"/>
      <c r="E97" s="37" t="n"/>
      <c r="F97" s="37" t="n"/>
      <c r="G97" s="37" t="n"/>
      <c r="H97" s="37" t="n"/>
    </row>
    <row r="98" ht="15.75" customHeight="1" s="56">
      <c r="A98" s="27" t="n"/>
      <c r="B98" s="37" t="n"/>
      <c r="C98" s="37" t="n"/>
      <c r="D98" s="37" t="n"/>
      <c r="E98" s="37" t="n"/>
      <c r="F98" s="37" t="n"/>
      <c r="G98" s="37" t="n"/>
      <c r="H98" s="37" t="n"/>
    </row>
    <row r="99" ht="15.75" customHeight="1" s="56">
      <c r="A99" s="27" t="n"/>
      <c r="B99" s="37" t="n"/>
      <c r="C99" s="37" t="n"/>
      <c r="D99" s="37" t="n"/>
      <c r="E99" s="37" t="n"/>
      <c r="F99" s="37" t="n"/>
      <c r="G99" s="37" t="n"/>
      <c r="H99" s="37" t="n"/>
    </row>
    <row r="100" ht="15.75" customHeight="1" s="56">
      <c r="A100" s="27" t="n"/>
      <c r="B100" s="37" t="n"/>
      <c r="C100" s="37" t="n"/>
      <c r="D100" s="37" t="n"/>
      <c r="E100" s="37" t="n"/>
      <c r="F100" s="37" t="n"/>
      <c r="G100" s="37" t="n"/>
      <c r="H100" s="37" t="n"/>
    </row>
    <row r="101" ht="15.75" customHeight="1" s="56">
      <c r="A101" s="27" t="n"/>
      <c r="B101" s="37" t="n"/>
      <c r="C101" s="37" t="n"/>
      <c r="D101" s="37" t="n"/>
      <c r="E101" s="37" t="n"/>
      <c r="F101" s="37" t="n"/>
      <c r="G101" s="37" t="n"/>
      <c r="H101" s="37" t="n"/>
    </row>
    <row r="102" ht="15.75" customHeight="1" s="56">
      <c r="A102" s="27" t="n"/>
      <c r="B102" s="37" t="n"/>
      <c r="C102" s="37" t="n"/>
      <c r="D102" s="37" t="n"/>
      <c r="E102" s="37" t="n"/>
      <c r="F102" s="37" t="n"/>
      <c r="G102" s="37" t="n"/>
      <c r="H102" s="37" t="n"/>
    </row>
    <row r="103" ht="15.75" customHeight="1" s="56">
      <c r="A103" s="27" t="n"/>
      <c r="B103" s="37" t="n"/>
      <c r="C103" s="37" t="n"/>
      <c r="D103" s="37" t="n"/>
      <c r="E103" s="37" t="n"/>
      <c r="F103" s="37" t="n"/>
      <c r="G103" s="37" t="n"/>
      <c r="H103" s="37" t="n"/>
    </row>
    <row r="104" ht="15.75" customHeight="1" s="56">
      <c r="A104" s="27" t="n"/>
      <c r="B104" s="37" t="n"/>
      <c r="C104" s="37" t="n"/>
      <c r="D104" s="37" t="n"/>
      <c r="E104" s="37" t="n"/>
      <c r="F104" s="37" t="n"/>
      <c r="G104" s="37" t="n"/>
      <c r="H104" s="37" t="n"/>
    </row>
    <row r="105" ht="15.75" customHeight="1" s="56">
      <c r="A105" s="27" t="n"/>
      <c r="B105" s="37" t="n"/>
      <c r="C105" s="37" t="n"/>
      <c r="D105" s="37" t="n"/>
      <c r="E105" s="37" t="n"/>
      <c r="F105" s="37" t="n"/>
      <c r="G105" s="37" t="n"/>
      <c r="H105" s="37" t="n"/>
    </row>
    <row r="106" ht="15.75" customHeight="1" s="56">
      <c r="A106" s="27" t="n"/>
      <c r="B106" s="37" t="n"/>
      <c r="C106" s="37" t="n"/>
      <c r="D106" s="37" t="n"/>
      <c r="E106" s="37" t="n"/>
      <c r="F106" s="37" t="n"/>
      <c r="G106" s="37" t="n"/>
      <c r="H106" s="37" t="n"/>
    </row>
    <row r="107" ht="15.75" customHeight="1" s="56">
      <c r="A107" s="27" t="n"/>
      <c r="B107" s="37" t="n"/>
      <c r="C107" s="37" t="n"/>
      <c r="D107" s="37" t="n"/>
      <c r="E107" s="37" t="n"/>
      <c r="F107" s="37" t="n"/>
      <c r="G107" s="37" t="n"/>
      <c r="H107" s="37" t="n"/>
    </row>
    <row r="108" ht="15.75" customHeight="1" s="56">
      <c r="A108" s="27" t="n"/>
      <c r="B108" s="37" t="n"/>
      <c r="C108" s="37" t="n"/>
      <c r="D108" s="37" t="n"/>
      <c r="E108" s="37" t="n"/>
      <c r="F108" s="37" t="n"/>
      <c r="G108" s="37" t="n"/>
      <c r="H108" s="37" t="n"/>
    </row>
    <row r="109" ht="15.75" customHeight="1" s="56">
      <c r="A109" s="27" t="n"/>
      <c r="B109" s="37" t="n"/>
      <c r="C109" s="37" t="n"/>
      <c r="D109" s="37" t="n"/>
      <c r="E109" s="37" t="n"/>
      <c r="F109" s="37" t="n"/>
      <c r="G109" s="37" t="n"/>
      <c r="H109" s="37" t="n"/>
    </row>
    <row r="110" ht="15.75" customHeight="1" s="56">
      <c r="A110" s="27" t="n"/>
      <c r="B110" s="37" t="n"/>
      <c r="C110" s="37" t="n"/>
      <c r="D110" s="37" t="n"/>
      <c r="E110" s="37" t="n"/>
      <c r="F110" s="37" t="n"/>
      <c r="G110" s="37" t="n"/>
      <c r="H110" s="37" t="n"/>
    </row>
    <row r="111" ht="15.75" customHeight="1" s="56">
      <c r="A111" s="27" t="n"/>
      <c r="B111" s="37" t="n"/>
      <c r="C111" s="37" t="n"/>
      <c r="D111" s="37" t="n"/>
      <c r="E111" s="37" t="n"/>
      <c r="F111" s="37" t="n"/>
      <c r="G111" s="37" t="n"/>
      <c r="H111" s="37" t="n"/>
    </row>
    <row r="112" ht="15.75" customHeight="1" s="56">
      <c r="A112" s="27" t="n"/>
      <c r="B112" s="37" t="n"/>
      <c r="C112" s="37" t="n"/>
      <c r="D112" s="37" t="n"/>
      <c r="E112" s="37" t="n"/>
      <c r="F112" s="37" t="n"/>
      <c r="G112" s="37" t="n"/>
      <c r="H112" s="37" t="n"/>
    </row>
    <row r="113" ht="15.75" customHeight="1" s="56">
      <c r="A113" s="27" t="n"/>
      <c r="B113" s="37" t="n"/>
      <c r="C113" s="37" t="n"/>
      <c r="D113" s="37" t="n"/>
      <c r="E113" s="37" t="n"/>
      <c r="F113" s="37" t="n"/>
      <c r="G113" s="37" t="n"/>
      <c r="H113" s="37" t="n"/>
    </row>
    <row r="114" ht="15.75" customHeight="1" s="56">
      <c r="A114" s="27" t="n"/>
      <c r="B114" s="37" t="n"/>
      <c r="C114" s="37" t="n"/>
      <c r="D114" s="37" t="n"/>
      <c r="E114" s="37" t="n"/>
      <c r="F114" s="37" t="n"/>
      <c r="G114" s="37" t="n"/>
      <c r="H114" s="37" t="n"/>
    </row>
    <row r="115" ht="15.75" customHeight="1" s="56">
      <c r="A115" s="27" t="n"/>
      <c r="B115" s="37" t="n"/>
      <c r="C115" s="37" t="n"/>
      <c r="D115" s="37" t="n"/>
      <c r="E115" s="37" t="n"/>
      <c r="F115" s="37" t="n"/>
      <c r="G115" s="37" t="n"/>
      <c r="H115" s="37" t="n"/>
    </row>
    <row r="116" ht="15.75" customHeight="1" s="56">
      <c r="A116" s="27" t="n"/>
      <c r="B116" s="37" t="n"/>
      <c r="C116" s="37" t="n"/>
      <c r="D116" s="37" t="n"/>
      <c r="E116" s="37" t="n"/>
      <c r="F116" s="37" t="n"/>
      <c r="G116" s="37" t="n"/>
      <c r="H116" s="37" t="n"/>
    </row>
    <row r="117" ht="15.75" customHeight="1" s="56">
      <c r="A117" s="27" t="n"/>
      <c r="B117" s="37" t="n"/>
      <c r="C117" s="37" t="n"/>
      <c r="D117" s="37" t="n"/>
      <c r="E117" s="37" t="n"/>
      <c r="F117" s="37" t="n"/>
      <c r="G117" s="37" t="n"/>
      <c r="H117" s="37" t="n"/>
    </row>
    <row r="118" ht="15.75" customHeight="1" s="56">
      <c r="A118" s="27" t="n"/>
      <c r="B118" s="37" t="n"/>
      <c r="C118" s="37" t="n"/>
      <c r="D118" s="37" t="n"/>
      <c r="E118" s="37" t="n"/>
      <c r="F118" s="37" t="n"/>
      <c r="G118" s="37" t="n"/>
      <c r="H118" s="37" t="n"/>
    </row>
    <row r="119" ht="15.75" customHeight="1" s="56">
      <c r="A119" s="27" t="n"/>
      <c r="B119" s="37" t="n"/>
      <c r="C119" s="37" t="n"/>
      <c r="D119" s="37" t="n"/>
      <c r="E119" s="37" t="n"/>
      <c r="F119" s="37" t="n"/>
      <c r="G119" s="37" t="n"/>
      <c r="H119" s="37" t="n"/>
    </row>
    <row r="120" ht="15.75" customHeight="1" s="56">
      <c r="A120" s="27" t="n"/>
      <c r="B120" s="37" t="n"/>
      <c r="C120" s="37" t="n"/>
      <c r="D120" s="37" t="n"/>
      <c r="E120" s="37" t="n"/>
      <c r="F120" s="37" t="n"/>
      <c r="G120" s="37" t="n"/>
      <c r="H120" s="37" t="n"/>
    </row>
    <row r="121" ht="15.75" customHeight="1" s="56">
      <c r="A121" s="27" t="n"/>
      <c r="B121" s="37" t="n"/>
      <c r="C121" s="37" t="n"/>
      <c r="D121" s="37" t="n"/>
      <c r="E121" s="37" t="n"/>
      <c r="F121" s="37" t="n"/>
      <c r="G121" s="37" t="n"/>
      <c r="H121" s="37" t="n"/>
    </row>
    <row r="122" ht="15.75" customHeight="1" s="56">
      <c r="A122" s="27" t="n"/>
      <c r="B122" s="37" t="n"/>
      <c r="C122" s="37" t="n"/>
      <c r="D122" s="37" t="n"/>
      <c r="E122" s="37" t="n"/>
      <c r="F122" s="37" t="n"/>
      <c r="G122" s="37" t="n"/>
      <c r="H122" s="37" t="n"/>
    </row>
    <row r="123" ht="15.75" customHeight="1" s="56">
      <c r="A123" s="27" t="n"/>
      <c r="B123" s="37" t="n"/>
      <c r="C123" s="37" t="n"/>
      <c r="D123" s="37" t="n"/>
      <c r="E123" s="37" t="n"/>
      <c r="F123" s="37" t="n"/>
      <c r="G123" s="37" t="n"/>
      <c r="H123" s="37" t="n"/>
    </row>
    <row r="124" ht="15.75" customHeight="1" s="56">
      <c r="A124" s="27" t="n"/>
      <c r="B124" s="37" t="n"/>
      <c r="C124" s="37" t="n"/>
      <c r="D124" s="37" t="n"/>
      <c r="E124" s="37" t="n"/>
      <c r="F124" s="37" t="n"/>
      <c r="G124" s="37" t="n"/>
      <c r="H124" s="37" t="n"/>
    </row>
    <row r="125" ht="15.75" customHeight="1" s="56">
      <c r="A125" s="27" t="n"/>
      <c r="B125" s="37" t="n"/>
      <c r="C125" s="37" t="n"/>
      <c r="D125" s="37" t="n"/>
      <c r="E125" s="37" t="n"/>
      <c r="F125" s="37" t="n"/>
      <c r="G125" s="37" t="n"/>
      <c r="H125" s="37" t="n"/>
    </row>
    <row r="126" ht="15.75" customHeight="1" s="56">
      <c r="A126" s="27" t="n"/>
      <c r="B126" s="37" t="n"/>
      <c r="C126" s="37" t="n"/>
      <c r="D126" s="37" t="n"/>
      <c r="E126" s="37" t="n"/>
      <c r="F126" s="37" t="n"/>
      <c r="G126" s="37" t="n"/>
      <c r="H126" s="37" t="n"/>
    </row>
    <row r="127" ht="15.75" customHeight="1" s="56">
      <c r="A127" s="27" t="n"/>
      <c r="B127" s="37" t="n"/>
      <c r="C127" s="37" t="n"/>
      <c r="D127" s="37" t="n"/>
      <c r="E127" s="37" t="n"/>
      <c r="F127" s="37" t="n"/>
      <c r="G127" s="37" t="n"/>
      <c r="H127" s="37" t="n"/>
    </row>
    <row r="128" ht="15.75" customHeight="1" s="56">
      <c r="A128" s="27" t="n"/>
      <c r="B128" s="37" t="n"/>
      <c r="C128" s="37" t="n"/>
      <c r="D128" s="37" t="n"/>
      <c r="E128" s="37" t="n"/>
      <c r="F128" s="37" t="n"/>
      <c r="G128" s="37" t="n"/>
      <c r="H128" s="37" t="n"/>
    </row>
    <row r="129" ht="15.75" customHeight="1" s="56">
      <c r="A129" s="27" t="n"/>
      <c r="B129" s="37" t="n"/>
      <c r="C129" s="37" t="n"/>
      <c r="D129" s="37" t="n"/>
      <c r="E129" s="37" t="n"/>
      <c r="F129" s="37" t="n"/>
      <c r="G129" s="37" t="n"/>
      <c r="H129" s="37" t="n"/>
    </row>
    <row r="130" ht="15.75" customHeight="1" s="56">
      <c r="A130" s="27" t="n"/>
      <c r="B130" s="37" t="n"/>
      <c r="C130" s="37" t="n"/>
      <c r="D130" s="37" t="n"/>
      <c r="E130" s="37" t="n"/>
      <c r="F130" s="37" t="n"/>
      <c r="G130" s="37" t="n"/>
      <c r="H130" s="37" t="n"/>
    </row>
    <row r="131" ht="15.75" customHeight="1" s="56">
      <c r="A131" s="27" t="n"/>
      <c r="B131" s="37" t="n"/>
      <c r="C131" s="37" t="n"/>
      <c r="D131" s="37" t="n"/>
      <c r="E131" s="37" t="n"/>
      <c r="F131" s="37" t="n"/>
      <c r="G131" s="37" t="n"/>
      <c r="H131" s="37" t="n"/>
    </row>
    <row r="132" ht="15.75" customHeight="1" s="56">
      <c r="A132" s="27" t="n"/>
      <c r="B132" s="37" t="n"/>
      <c r="C132" s="37" t="n"/>
      <c r="D132" s="37" t="n"/>
      <c r="E132" s="37" t="n"/>
      <c r="F132" s="37" t="n"/>
      <c r="G132" s="37" t="n"/>
      <c r="H132" s="37" t="n"/>
    </row>
    <row r="133" ht="15.75" customHeight="1" s="56">
      <c r="A133" s="27" t="n"/>
      <c r="B133" s="37" t="n"/>
      <c r="C133" s="37" t="n"/>
      <c r="D133" s="37" t="n"/>
      <c r="E133" s="37" t="n"/>
      <c r="F133" s="37" t="n"/>
      <c r="G133" s="37" t="n"/>
      <c r="H133" s="37" t="n"/>
    </row>
    <row r="134" ht="15.75" customHeight="1" s="56">
      <c r="A134" s="27" t="n"/>
      <c r="B134" s="37" t="n"/>
      <c r="C134" s="37" t="n"/>
      <c r="D134" s="37" t="n"/>
      <c r="E134" s="37" t="n"/>
      <c r="F134" s="37" t="n"/>
      <c r="G134" s="37" t="n"/>
      <c r="H134" s="37" t="n"/>
    </row>
    <row r="135" ht="15.75" customHeight="1" s="56">
      <c r="A135" s="27" t="n"/>
      <c r="B135" s="37" t="n"/>
      <c r="C135" s="37" t="n"/>
      <c r="D135" s="37" t="n"/>
      <c r="E135" s="37" t="n"/>
      <c r="F135" s="37" t="n"/>
      <c r="G135" s="37" t="n"/>
      <c r="H135" s="37" t="n"/>
    </row>
    <row r="136" ht="15.75" customHeight="1" s="56">
      <c r="A136" s="27" t="n"/>
      <c r="B136" s="37" t="n"/>
      <c r="C136" s="37" t="n"/>
      <c r="D136" s="37" t="n"/>
      <c r="E136" s="37" t="n"/>
      <c r="F136" s="37" t="n"/>
      <c r="G136" s="37" t="n"/>
      <c r="H136" s="37" t="n"/>
    </row>
    <row r="137" ht="15.75" customHeight="1" s="56">
      <c r="A137" s="27" t="n"/>
      <c r="B137" s="37" t="n"/>
      <c r="C137" s="37" t="n"/>
      <c r="D137" s="37" t="n"/>
      <c r="E137" s="37" t="n"/>
      <c r="F137" s="37" t="n"/>
      <c r="G137" s="37" t="n"/>
      <c r="H137" s="37" t="n"/>
    </row>
    <row r="138" ht="15.75" customHeight="1" s="56">
      <c r="A138" s="27" t="n"/>
      <c r="B138" s="37" t="n"/>
      <c r="C138" s="37" t="n"/>
      <c r="D138" s="37" t="n"/>
      <c r="E138" s="37" t="n"/>
      <c r="F138" s="37" t="n"/>
      <c r="G138" s="37" t="n"/>
      <c r="H138" s="37" t="n"/>
    </row>
    <row r="139" ht="15.75" customHeight="1" s="56">
      <c r="A139" s="27" t="n"/>
      <c r="B139" s="37" t="n"/>
      <c r="C139" s="37" t="n"/>
      <c r="D139" s="37" t="n"/>
      <c r="E139" s="37" t="n"/>
      <c r="F139" s="37" t="n"/>
      <c r="G139" s="37" t="n"/>
      <c r="H139" s="37" t="n"/>
    </row>
    <row r="140" ht="15.75" customHeight="1" s="56">
      <c r="A140" s="27" t="n"/>
      <c r="B140" s="37" t="n"/>
      <c r="C140" s="37" t="n"/>
      <c r="D140" s="37" t="n"/>
      <c r="E140" s="37" t="n"/>
      <c r="F140" s="37" t="n"/>
      <c r="G140" s="37" t="n"/>
      <c r="H140" s="37" t="n"/>
    </row>
    <row r="141" ht="15.75" customHeight="1" s="56">
      <c r="A141" s="27" t="n"/>
      <c r="B141" s="37" t="n"/>
      <c r="C141" s="37" t="n"/>
      <c r="D141" s="37" t="n"/>
      <c r="E141" s="37" t="n"/>
      <c r="F141" s="37" t="n"/>
      <c r="G141" s="37" t="n"/>
      <c r="H141" s="37" t="n"/>
    </row>
    <row r="142" ht="15.75" customHeight="1" s="56">
      <c r="A142" s="27" t="n"/>
      <c r="B142" s="37" t="n"/>
      <c r="C142" s="37" t="n"/>
      <c r="D142" s="37" t="n"/>
      <c r="E142" s="37" t="n"/>
      <c r="F142" s="37" t="n"/>
      <c r="G142" s="37" t="n"/>
      <c r="H142" s="37" t="n"/>
    </row>
    <row r="143" ht="15.75" customHeight="1" s="56">
      <c r="A143" s="27" t="n"/>
      <c r="B143" s="37" t="n"/>
      <c r="C143" s="37" t="n"/>
      <c r="D143" s="37" t="n"/>
      <c r="E143" s="37" t="n"/>
      <c r="F143" s="37" t="n"/>
      <c r="G143" s="37" t="n"/>
      <c r="H143" s="37" t="n"/>
    </row>
    <row r="144" ht="15.75" customHeight="1" s="56">
      <c r="A144" s="27" t="n"/>
      <c r="B144" s="37" t="n"/>
      <c r="C144" s="37" t="n"/>
      <c r="D144" s="37" t="n"/>
      <c r="E144" s="37" t="n"/>
      <c r="F144" s="37" t="n"/>
      <c r="G144" s="37" t="n"/>
      <c r="H144" s="37" t="n"/>
    </row>
    <row r="145" ht="15.75" customHeight="1" s="56">
      <c r="A145" s="27" t="n"/>
      <c r="B145" s="37" t="n"/>
      <c r="C145" s="37" t="n"/>
      <c r="D145" s="37" t="n"/>
      <c r="E145" s="37" t="n"/>
      <c r="F145" s="37" t="n"/>
      <c r="G145" s="37" t="n"/>
      <c r="H145" s="37" t="n"/>
    </row>
    <row r="146" ht="15.75" customHeight="1" s="56">
      <c r="A146" s="27" t="n"/>
      <c r="B146" s="37" t="n"/>
      <c r="C146" s="37" t="n"/>
      <c r="D146" s="37" t="n"/>
      <c r="E146" s="37" t="n"/>
      <c r="F146" s="37" t="n"/>
      <c r="G146" s="37" t="n"/>
      <c r="H146" s="37" t="n"/>
    </row>
    <row r="147" ht="15.75" customHeight="1" s="56">
      <c r="A147" s="27" t="n"/>
      <c r="B147" s="37" t="n"/>
      <c r="C147" s="37" t="n"/>
      <c r="D147" s="37" t="n"/>
      <c r="E147" s="37" t="n"/>
      <c r="F147" s="37" t="n"/>
      <c r="G147" s="37" t="n"/>
      <c r="H147" s="37" t="n"/>
    </row>
    <row r="148" ht="15.75" customHeight="1" s="56">
      <c r="A148" s="27" t="n"/>
      <c r="B148" s="37" t="n"/>
      <c r="C148" s="37" t="n"/>
      <c r="D148" s="37" t="n"/>
      <c r="E148" s="37" t="n"/>
      <c r="F148" s="37" t="n"/>
      <c r="G148" s="37" t="n"/>
      <c r="H148" s="37" t="n"/>
    </row>
    <row r="149" ht="15.75" customHeight="1" s="56">
      <c r="A149" s="27" t="n"/>
      <c r="B149" s="37" t="n"/>
      <c r="C149" s="37" t="n"/>
      <c r="D149" s="37" t="n"/>
      <c r="E149" s="37" t="n"/>
      <c r="F149" s="37" t="n"/>
      <c r="G149" s="37" t="n"/>
      <c r="H149" s="37" t="n"/>
    </row>
    <row r="150" ht="15.75" customHeight="1" s="56">
      <c r="A150" s="27" t="n"/>
      <c r="B150" s="37" t="n"/>
      <c r="C150" s="37" t="n"/>
      <c r="D150" s="37" t="n"/>
      <c r="E150" s="37" t="n"/>
      <c r="F150" s="37" t="n"/>
      <c r="G150" s="37" t="n"/>
      <c r="H150" s="37" t="n"/>
    </row>
    <row r="151" ht="15.75" customHeight="1" s="56">
      <c r="A151" s="27" t="n"/>
      <c r="B151" s="37" t="n"/>
      <c r="C151" s="37" t="n"/>
      <c r="D151" s="37" t="n"/>
      <c r="E151" s="37" t="n"/>
      <c r="F151" s="37" t="n"/>
      <c r="G151" s="37" t="n"/>
      <c r="H151" s="37" t="n"/>
    </row>
    <row r="152" ht="15.75" customHeight="1" s="56">
      <c r="A152" s="27" t="n"/>
      <c r="B152" s="37" t="n"/>
      <c r="C152" s="37" t="n"/>
      <c r="D152" s="37" t="n"/>
      <c r="E152" s="37" t="n"/>
      <c r="F152" s="37" t="n"/>
      <c r="G152" s="37" t="n"/>
      <c r="H152" s="37" t="n"/>
    </row>
    <row r="153" ht="15.75" customHeight="1" s="56">
      <c r="A153" s="27" t="n"/>
      <c r="B153" s="37" t="n"/>
      <c r="C153" s="37" t="n"/>
      <c r="D153" s="37" t="n"/>
      <c r="E153" s="37" t="n"/>
      <c r="F153" s="37" t="n"/>
      <c r="G153" s="37" t="n"/>
      <c r="H153" s="37" t="n"/>
    </row>
    <row r="154" ht="15.75" customHeight="1" s="56">
      <c r="A154" s="27" t="n"/>
      <c r="B154" s="37" t="n"/>
      <c r="C154" s="37" t="n"/>
      <c r="D154" s="37" t="n"/>
      <c r="E154" s="37" t="n"/>
      <c r="F154" s="37" t="n"/>
      <c r="G154" s="37" t="n"/>
      <c r="H154" s="37" t="n"/>
    </row>
    <row r="155" ht="15.75" customHeight="1" s="56">
      <c r="A155" s="27" t="n"/>
      <c r="B155" s="37" t="n"/>
      <c r="C155" s="37" t="n"/>
      <c r="D155" s="37" t="n"/>
      <c r="E155" s="37" t="n"/>
      <c r="F155" s="37" t="n"/>
      <c r="G155" s="37" t="n"/>
      <c r="H155" s="37" t="n"/>
    </row>
    <row r="156" ht="15.75" customHeight="1" s="56">
      <c r="A156" s="27" t="n"/>
      <c r="B156" s="37" t="n"/>
      <c r="C156" s="37" t="n"/>
      <c r="D156" s="37" t="n"/>
      <c r="E156" s="37" t="n"/>
      <c r="F156" s="37" t="n"/>
      <c r="G156" s="37" t="n"/>
      <c r="H156" s="37" t="n"/>
    </row>
    <row r="157" ht="15.75" customHeight="1" s="56">
      <c r="A157" s="27" t="n"/>
      <c r="B157" s="37" t="n"/>
      <c r="C157" s="37" t="n"/>
      <c r="D157" s="37" t="n"/>
      <c r="E157" s="37" t="n"/>
      <c r="F157" s="37" t="n"/>
      <c r="G157" s="37" t="n"/>
      <c r="H157" s="37" t="n"/>
    </row>
    <row r="158" ht="15.75" customHeight="1" s="56">
      <c r="A158" s="27" t="n"/>
      <c r="B158" s="37" t="n"/>
      <c r="C158" s="37" t="n"/>
      <c r="D158" s="37" t="n"/>
      <c r="E158" s="37" t="n"/>
      <c r="F158" s="37" t="n"/>
      <c r="G158" s="37" t="n"/>
      <c r="H158" s="37" t="n"/>
    </row>
    <row r="159" ht="15.75" customHeight="1" s="56">
      <c r="A159" s="27" t="n"/>
      <c r="B159" s="37" t="n"/>
      <c r="C159" s="37" t="n"/>
      <c r="D159" s="37" t="n"/>
      <c r="E159" s="37" t="n"/>
      <c r="F159" s="37" t="n"/>
      <c r="G159" s="37" t="n"/>
      <c r="H159" s="37" t="n"/>
    </row>
    <row r="160" ht="15.75" customHeight="1" s="56">
      <c r="A160" s="27" t="n"/>
      <c r="B160" s="37" t="n"/>
      <c r="C160" s="37" t="n"/>
      <c r="D160" s="37" t="n"/>
      <c r="E160" s="37" t="n"/>
      <c r="F160" s="37" t="n"/>
      <c r="G160" s="37" t="n"/>
      <c r="H160" s="37" t="n"/>
    </row>
    <row r="161" ht="15.75" customHeight="1" s="56">
      <c r="A161" s="27" t="n"/>
      <c r="B161" s="37" t="n"/>
      <c r="C161" s="37" t="n"/>
      <c r="D161" s="37" t="n"/>
      <c r="E161" s="37" t="n"/>
      <c r="F161" s="37" t="n"/>
      <c r="G161" s="37" t="n"/>
      <c r="H161" s="37" t="n"/>
    </row>
    <row r="162" ht="15.75" customHeight="1" s="56">
      <c r="A162" s="27" t="n"/>
      <c r="B162" s="37" t="n"/>
      <c r="C162" s="37" t="n"/>
      <c r="D162" s="37" t="n"/>
      <c r="E162" s="37" t="n"/>
      <c r="F162" s="37" t="n"/>
      <c r="G162" s="37" t="n"/>
      <c r="H162" s="37" t="n"/>
    </row>
    <row r="163" ht="15.75" customHeight="1" s="56">
      <c r="A163" s="27" t="n"/>
      <c r="B163" s="37" t="n"/>
      <c r="C163" s="37" t="n"/>
      <c r="D163" s="37" t="n"/>
      <c r="E163" s="37" t="n"/>
      <c r="F163" s="37" t="n"/>
      <c r="G163" s="37" t="n"/>
      <c r="H163" s="37" t="n"/>
    </row>
    <row r="164" ht="15.75" customHeight="1" s="56">
      <c r="A164" s="27" t="n"/>
      <c r="B164" s="37" t="n"/>
      <c r="C164" s="37" t="n"/>
      <c r="D164" s="37" t="n"/>
      <c r="E164" s="37" t="n"/>
      <c r="F164" s="37" t="n"/>
      <c r="G164" s="37" t="n"/>
      <c r="H164" s="37" t="n"/>
    </row>
    <row r="165" ht="15.75" customHeight="1" s="56">
      <c r="A165" s="27" t="n"/>
      <c r="B165" s="37" t="n"/>
      <c r="C165" s="37" t="n"/>
      <c r="D165" s="37" t="n"/>
      <c r="E165" s="37" t="n"/>
      <c r="F165" s="37" t="n"/>
      <c r="G165" s="37" t="n"/>
      <c r="H165" s="37" t="n"/>
    </row>
    <row r="166" ht="15.75" customHeight="1" s="56">
      <c r="A166" s="27" t="n"/>
      <c r="B166" s="37" t="n"/>
      <c r="C166" s="37" t="n"/>
      <c r="D166" s="37" t="n"/>
      <c r="E166" s="37" t="n"/>
      <c r="F166" s="37" t="n"/>
      <c r="G166" s="37" t="n"/>
      <c r="H166" s="37" t="n"/>
    </row>
    <row r="167" ht="15.75" customHeight="1" s="56">
      <c r="A167" s="27" t="n"/>
      <c r="B167" s="37" t="n"/>
      <c r="C167" s="37" t="n"/>
      <c r="D167" s="37" t="n"/>
      <c r="E167" s="37" t="n"/>
      <c r="F167" s="37" t="n"/>
      <c r="G167" s="37" t="n"/>
      <c r="H167" s="37" t="n"/>
    </row>
    <row r="168" ht="15.75" customHeight="1" s="56">
      <c r="A168" s="27" t="n"/>
      <c r="B168" s="37" t="n"/>
      <c r="C168" s="37" t="n"/>
      <c r="D168" s="37" t="n"/>
      <c r="E168" s="37" t="n"/>
      <c r="F168" s="37" t="n"/>
      <c r="G168" s="37" t="n"/>
      <c r="H168" s="37" t="n"/>
    </row>
    <row r="169" ht="15.75" customHeight="1" s="56">
      <c r="A169" s="27" t="n"/>
      <c r="B169" s="37" t="n"/>
      <c r="C169" s="37" t="n"/>
      <c r="D169" s="37" t="n"/>
      <c r="E169" s="37" t="n"/>
      <c r="F169" s="37" t="n"/>
      <c r="G169" s="37" t="n"/>
      <c r="H169" s="37" t="n"/>
    </row>
    <row r="170" ht="15.75" customHeight="1" s="56">
      <c r="A170" s="27" t="n"/>
      <c r="B170" s="37" t="n"/>
      <c r="C170" s="37" t="n"/>
      <c r="D170" s="37" t="n"/>
      <c r="E170" s="37" t="n"/>
      <c r="F170" s="37" t="n"/>
      <c r="G170" s="37" t="n"/>
      <c r="H170" s="37" t="n"/>
    </row>
    <row r="171" ht="15.75" customHeight="1" s="56">
      <c r="A171" s="27" t="n"/>
      <c r="B171" s="37" t="n"/>
      <c r="C171" s="37" t="n"/>
      <c r="D171" s="37" t="n"/>
      <c r="E171" s="37" t="n"/>
      <c r="F171" s="37" t="n"/>
      <c r="G171" s="37" t="n"/>
      <c r="H171" s="37" t="n"/>
    </row>
    <row r="172" ht="15.75" customHeight="1" s="56">
      <c r="A172" s="27" t="n"/>
      <c r="B172" s="37" t="n"/>
      <c r="C172" s="37" t="n"/>
      <c r="D172" s="37" t="n"/>
      <c r="E172" s="37" t="n"/>
      <c r="F172" s="37" t="n"/>
      <c r="G172" s="37" t="n"/>
      <c r="H172" s="37" t="n"/>
    </row>
    <row r="173" ht="15.75" customHeight="1" s="56">
      <c r="A173" s="27" t="n"/>
      <c r="B173" s="37" t="n"/>
      <c r="C173" s="37" t="n"/>
      <c r="D173" s="37" t="n"/>
      <c r="E173" s="37" t="n"/>
      <c r="F173" s="37" t="n"/>
      <c r="G173" s="37" t="n"/>
      <c r="H173" s="37" t="n"/>
    </row>
    <row r="174" ht="15.75" customHeight="1" s="56">
      <c r="A174" s="27" t="n"/>
      <c r="B174" s="37" t="n"/>
      <c r="C174" s="37" t="n"/>
      <c r="D174" s="37" t="n"/>
      <c r="E174" s="37" t="n"/>
      <c r="F174" s="37" t="n"/>
      <c r="G174" s="37" t="n"/>
      <c r="H174" s="37" t="n"/>
    </row>
    <row r="175" ht="15.75" customHeight="1" s="56">
      <c r="A175" s="27" t="n"/>
      <c r="B175" s="37" t="n"/>
      <c r="C175" s="37" t="n"/>
      <c r="D175" s="37" t="n"/>
      <c r="E175" s="37" t="n"/>
      <c r="F175" s="37" t="n"/>
      <c r="G175" s="37" t="n"/>
      <c r="H175" s="37" t="n"/>
    </row>
    <row r="176" ht="15.75" customHeight="1" s="56">
      <c r="A176" s="27" t="n"/>
      <c r="B176" s="37" t="n"/>
      <c r="C176" s="37" t="n"/>
      <c r="D176" s="37" t="n"/>
      <c r="E176" s="37" t="n"/>
      <c r="F176" s="37" t="n"/>
      <c r="G176" s="37" t="n"/>
      <c r="H176" s="37" t="n"/>
    </row>
    <row r="177" ht="15.75" customHeight="1" s="56">
      <c r="A177" s="27" t="n"/>
      <c r="B177" s="37" t="n"/>
      <c r="C177" s="37" t="n"/>
      <c r="D177" s="37" t="n"/>
      <c r="E177" s="37" t="n"/>
      <c r="F177" s="37" t="n"/>
      <c r="G177" s="37" t="n"/>
      <c r="H177" s="37" t="n"/>
    </row>
    <row r="178" ht="15.75" customHeight="1" s="56">
      <c r="A178" s="27" t="n"/>
      <c r="B178" s="37" t="n"/>
      <c r="C178" s="37" t="n"/>
      <c r="D178" s="37" t="n"/>
      <c r="E178" s="37" t="n"/>
      <c r="F178" s="37" t="n"/>
      <c r="G178" s="37" t="n"/>
      <c r="H178" s="37" t="n"/>
    </row>
    <row r="179" ht="15.75" customHeight="1" s="56">
      <c r="A179" s="27" t="n"/>
      <c r="B179" s="37" t="n"/>
      <c r="C179" s="37" t="n"/>
      <c r="D179" s="37" t="n"/>
      <c r="E179" s="37" t="n"/>
      <c r="F179" s="37" t="n"/>
      <c r="G179" s="37" t="n"/>
      <c r="H179" s="37" t="n"/>
    </row>
    <row r="180" ht="15.75" customHeight="1" s="56">
      <c r="A180" s="27" t="n"/>
      <c r="B180" s="37" t="n"/>
      <c r="C180" s="37" t="n"/>
      <c r="D180" s="37" t="n"/>
      <c r="E180" s="37" t="n"/>
      <c r="F180" s="37" t="n"/>
      <c r="G180" s="37" t="n"/>
      <c r="H180" s="37" t="n"/>
    </row>
    <row r="181" ht="15.75" customHeight="1" s="56">
      <c r="A181" s="27" t="n"/>
      <c r="B181" s="37" t="n"/>
      <c r="C181" s="37" t="n"/>
      <c r="D181" s="37" t="n"/>
      <c r="E181" s="37" t="n"/>
      <c r="F181" s="37" t="n"/>
      <c r="G181" s="37" t="n"/>
      <c r="H181" s="37" t="n"/>
    </row>
    <row r="182" ht="15.75" customHeight="1" s="56">
      <c r="A182" s="27" t="n"/>
      <c r="B182" s="37" t="n"/>
      <c r="C182" s="37" t="n"/>
      <c r="D182" s="37" t="n"/>
      <c r="E182" s="37" t="n"/>
      <c r="F182" s="37" t="n"/>
      <c r="G182" s="37" t="n"/>
      <c r="H182" s="37" t="n"/>
    </row>
    <row r="183" ht="15.75" customHeight="1" s="56">
      <c r="A183" s="27" t="n"/>
      <c r="B183" s="37" t="n"/>
      <c r="C183" s="37" t="n"/>
      <c r="D183" s="37" t="n"/>
      <c r="E183" s="37" t="n"/>
      <c r="F183" s="37" t="n"/>
      <c r="G183" s="37" t="n"/>
      <c r="H183" s="37" t="n"/>
    </row>
    <row r="184" ht="15.75" customHeight="1" s="56">
      <c r="A184" s="27" t="n"/>
      <c r="B184" s="37" t="n"/>
      <c r="C184" s="37" t="n"/>
      <c r="D184" s="37" t="n"/>
      <c r="E184" s="37" t="n"/>
      <c r="F184" s="37" t="n"/>
      <c r="G184" s="37" t="n"/>
      <c r="H184" s="37" t="n"/>
    </row>
    <row r="185" ht="15.75" customHeight="1" s="56">
      <c r="A185" s="27" t="n"/>
      <c r="B185" s="37" t="n"/>
      <c r="C185" s="37" t="n"/>
      <c r="D185" s="37" t="n"/>
      <c r="E185" s="37" t="n"/>
      <c r="F185" s="37" t="n"/>
      <c r="G185" s="37" t="n"/>
      <c r="H185" s="37" t="n"/>
    </row>
    <row r="186" ht="15.75" customHeight="1" s="56">
      <c r="A186" s="27" t="n"/>
      <c r="B186" s="37" t="n"/>
      <c r="C186" s="37" t="n"/>
      <c r="D186" s="37" t="n"/>
      <c r="E186" s="37" t="n"/>
      <c r="F186" s="37" t="n"/>
      <c r="G186" s="37" t="n"/>
      <c r="H186" s="37" t="n"/>
    </row>
    <row r="187" ht="15.75" customHeight="1" s="56">
      <c r="A187" s="27" t="n"/>
      <c r="B187" s="37" t="n"/>
      <c r="C187" s="37" t="n"/>
      <c r="D187" s="37" t="n"/>
      <c r="E187" s="37" t="n"/>
      <c r="F187" s="37" t="n"/>
      <c r="G187" s="37" t="n"/>
      <c r="H187" s="37" t="n"/>
    </row>
    <row r="188" ht="15.75" customHeight="1" s="56">
      <c r="A188" s="27" t="n"/>
      <c r="B188" s="37" t="n"/>
      <c r="C188" s="37" t="n"/>
      <c r="D188" s="37" t="n"/>
      <c r="E188" s="37" t="n"/>
      <c r="F188" s="37" t="n"/>
      <c r="G188" s="37" t="n"/>
      <c r="H188" s="37" t="n"/>
    </row>
    <row r="189" ht="15.75" customHeight="1" s="56">
      <c r="A189" s="27" t="n"/>
      <c r="B189" s="37" t="n"/>
      <c r="C189" s="37" t="n"/>
      <c r="D189" s="37" t="n"/>
      <c r="E189" s="37" t="n"/>
      <c r="F189" s="37" t="n"/>
      <c r="G189" s="37" t="n"/>
      <c r="H189" s="37" t="n"/>
    </row>
    <row r="190" ht="15.75" customHeight="1" s="56">
      <c r="A190" s="27" t="n"/>
      <c r="B190" s="37" t="n"/>
      <c r="C190" s="37" t="n"/>
      <c r="D190" s="37" t="n"/>
      <c r="E190" s="37" t="n"/>
      <c r="F190" s="37" t="n"/>
      <c r="G190" s="37" t="n"/>
      <c r="H190" s="37" t="n"/>
    </row>
    <row r="191" ht="15.75" customHeight="1" s="56">
      <c r="A191" s="27" t="n"/>
      <c r="B191" s="37" t="n"/>
      <c r="C191" s="37" t="n"/>
      <c r="D191" s="37" t="n"/>
      <c r="E191" s="37" t="n"/>
      <c r="F191" s="37" t="n"/>
      <c r="G191" s="37" t="n"/>
      <c r="H191" s="37" t="n"/>
    </row>
    <row r="192" ht="15.75" customHeight="1" s="56">
      <c r="A192" s="27" t="n"/>
      <c r="B192" s="37" t="n"/>
      <c r="C192" s="37" t="n"/>
      <c r="D192" s="37" t="n"/>
      <c r="E192" s="37" t="n"/>
      <c r="F192" s="37" t="n"/>
      <c r="G192" s="37" t="n"/>
      <c r="H192" s="37" t="n"/>
    </row>
    <row r="193" ht="15.75" customHeight="1" s="56">
      <c r="A193" s="27" t="n"/>
      <c r="B193" s="37" t="n"/>
      <c r="C193" s="37" t="n"/>
      <c r="D193" s="37" t="n"/>
      <c r="E193" s="37" t="n"/>
      <c r="F193" s="37" t="n"/>
      <c r="G193" s="37" t="n"/>
      <c r="H193" s="37" t="n"/>
    </row>
    <row r="194" ht="15.75" customHeight="1" s="56">
      <c r="A194" s="27" t="n"/>
      <c r="B194" s="37" t="n"/>
      <c r="C194" s="37" t="n"/>
      <c r="D194" s="37" t="n"/>
      <c r="E194" s="37" t="n"/>
      <c r="F194" s="37" t="n"/>
      <c r="G194" s="37" t="n"/>
      <c r="H194" s="37" t="n"/>
    </row>
    <row r="195" ht="15.75" customHeight="1" s="56">
      <c r="A195" s="27" t="n"/>
      <c r="B195" s="37" t="n"/>
      <c r="C195" s="37" t="n"/>
      <c r="D195" s="37" t="n"/>
      <c r="E195" s="37" t="n"/>
      <c r="F195" s="37" t="n"/>
      <c r="G195" s="37" t="n"/>
      <c r="H195" s="37" t="n"/>
    </row>
    <row r="196" ht="15.75" customHeight="1" s="56">
      <c r="A196" s="27" t="n"/>
      <c r="B196" s="37" t="n"/>
      <c r="C196" s="37" t="n"/>
      <c r="D196" s="37" t="n"/>
      <c r="E196" s="37" t="n"/>
      <c r="F196" s="37" t="n"/>
      <c r="G196" s="37" t="n"/>
      <c r="H196" s="37" t="n"/>
    </row>
    <row r="197" ht="15.75" customHeight="1" s="56">
      <c r="A197" s="27" t="n"/>
      <c r="B197" s="37" t="n"/>
      <c r="C197" s="37" t="n"/>
      <c r="D197" s="37" t="n"/>
      <c r="E197" s="37" t="n"/>
      <c r="F197" s="37" t="n"/>
      <c r="G197" s="37" t="n"/>
      <c r="H197" s="37" t="n"/>
    </row>
    <row r="198" ht="15.75" customHeight="1" s="56">
      <c r="A198" s="27" t="n"/>
      <c r="B198" s="37" t="n"/>
      <c r="C198" s="37" t="n"/>
      <c r="D198" s="37" t="n"/>
      <c r="E198" s="37" t="n"/>
      <c r="F198" s="37" t="n"/>
      <c r="G198" s="37" t="n"/>
      <c r="H198" s="37" t="n"/>
    </row>
    <row r="199" ht="15.75" customHeight="1" s="56">
      <c r="A199" s="27" t="n"/>
      <c r="B199" s="37" t="n"/>
      <c r="C199" s="37" t="n"/>
      <c r="D199" s="37" t="n"/>
      <c r="E199" s="37" t="n"/>
      <c r="F199" s="37" t="n"/>
      <c r="G199" s="37" t="n"/>
      <c r="H199" s="37" t="n"/>
    </row>
    <row r="200" ht="15.75" customHeight="1" s="56">
      <c r="A200" s="27" t="n"/>
      <c r="B200" s="37" t="n"/>
      <c r="C200" s="37" t="n"/>
      <c r="D200" s="37" t="n"/>
      <c r="E200" s="37" t="n"/>
      <c r="F200" s="37" t="n"/>
      <c r="G200" s="37" t="n"/>
      <c r="H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H$200"/>
  <mergeCells count="2">
    <mergeCell ref="A2:H2"/>
    <mergeCell ref="A1:H1"/>
  </mergeCells>
  <dataValidations count="2">
    <dataValidation sqref="B4:B200" showDropDown="0" showInputMessage="0" showErrorMessage="0" allowBlank="1" type="list">
      <formula1>DM_NHANSU</formula1>
    </dataValidation>
    <dataValidation sqref="C4:C200" showDropDown="0" showInputMessage="0" showErrorMessage="0" allowBlank="1" type="list">
      <formula1>DM_PHONGBAN</formula1>
    </dataValidation>
  </dataValidations>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2:I26"/>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8.710000000000001" customWidth="1" style="56" min="1" max="1"/>
    <col width="18" customWidth="1" style="56" min="2" max="2"/>
    <col width="12" customWidth="1" style="56" min="3" max="3"/>
    <col width="4" customWidth="1" style="56" min="4" max="4"/>
    <col width="18" customWidth="1" style="56" min="5" max="5"/>
    <col width="12" customWidth="1" style="56" min="6" max="6"/>
    <col width="4" customWidth="1" style="56" min="7" max="7"/>
    <col width="18" customWidth="1" style="56" min="8" max="8"/>
    <col width="12" customWidth="1" style="56" min="9" max="9"/>
    <col width="8.710000000000001" customWidth="1" style="56" min="10" max="26"/>
  </cols>
  <sheetData>
    <row r="2">
      <c r="B2" s="57" t="inlineStr">
        <is>
          <t>DASHBOARD GIÁM ĐỐC - BÁCH KHOA</t>
        </is>
      </c>
      <c r="C2" s="58" t="n"/>
      <c r="D2" s="58" t="n"/>
      <c r="E2" s="58" t="n"/>
      <c r="F2" s="58" t="n"/>
      <c r="G2" s="58" t="n"/>
      <c r="H2" s="58" t="n"/>
      <c r="I2" s="59" t="n"/>
    </row>
    <row r="3">
      <c r="B3" s="23" t="inlineStr">
        <is>
          <t>Theo dõi toàn công ty từ 1 file MASTER</t>
        </is>
      </c>
    </row>
    <row r="5">
      <c r="B5" s="71" t="inlineStr">
        <is>
          <t>Tổng hồ sơ</t>
        </is>
      </c>
      <c r="C5" s="72" t="n"/>
      <c r="E5" s="71" t="inlineStr">
        <is>
          <t>Hồ sơ đang xử lý</t>
        </is>
      </c>
      <c r="F5" s="72" t="n"/>
      <c r="H5" s="71" t="inlineStr">
        <is>
          <t>Hồ sơ quá hạn</t>
        </is>
      </c>
      <c r="I5" s="72" t="n"/>
    </row>
    <row r="6">
      <c r="B6" s="73">
        <f>COUNTA(DATABASE_HOSO!A4:A400)</f>
        <v/>
      </c>
      <c r="C6" s="74" t="n"/>
      <c r="E6" s="73">
        <f>COUNTIFS(DATABASE_HOSO!A4:A400,"&lt;&gt;",DATABASE_HOSO!L4:L400,"&lt;&gt;Hoàn thành",DATABASE_HOSO!L4:L400,"&lt;&gt;Đã hủy")</f>
        <v/>
      </c>
      <c r="F6" s="74" t="n"/>
      <c r="H6" s="73">
        <f>COUNTIF(DATABASE_HOSO!O4:O400,"QUÁ HẠN")</f>
        <v/>
      </c>
      <c r="I6" s="74" t="n"/>
    </row>
    <row r="7">
      <c r="B7" s="75" t="n"/>
      <c r="C7" s="76" t="n"/>
      <c r="E7" s="75" t="n"/>
      <c r="F7" s="76" t="n"/>
      <c r="H7" s="75" t="n"/>
      <c r="I7" s="76" t="n"/>
    </row>
    <row r="9">
      <c r="B9" s="71" t="inlineStr">
        <is>
          <t>Tổng task mở</t>
        </is>
      </c>
      <c r="C9" s="72" t="n"/>
      <c r="E9" s="71" t="inlineStr">
        <is>
          <t>Doanh thu HĐ</t>
        </is>
      </c>
      <c r="F9" s="72" t="n"/>
      <c r="H9" s="71" t="inlineStr">
        <is>
          <t>Đã thu</t>
        </is>
      </c>
      <c r="I9" s="72" t="n"/>
    </row>
    <row r="10">
      <c r="B10" s="73">
        <f>COUNTIFS(DATABASE_TASK!A4:A400,"&lt;&gt;",DATABASE_TASK!J4:J400,"&lt;&gt;Hoàn thành",DATABASE_TASK!J4:J400,"&lt;&gt;Đã hủy")</f>
        <v/>
      </c>
      <c r="C10" s="74" t="n"/>
      <c r="E10" s="77">
        <f>SUM(DATABASE_HOP_DONG!G4:G400)</f>
        <v/>
      </c>
      <c r="F10" s="74" t="n"/>
      <c r="H10" s="77">
        <f>SUM(DATABASE_HOP_DONG!H4:H400)</f>
        <v/>
      </c>
      <c r="I10" s="74" t="n"/>
    </row>
    <row r="11">
      <c r="B11" s="75" t="n"/>
      <c r="C11" s="76" t="n"/>
      <c r="E11" s="75" t="n"/>
      <c r="F11" s="76" t="n"/>
      <c r="H11" s="75" t="n"/>
      <c r="I11" s="76" t="n"/>
    </row>
    <row r="13">
      <c r="B13" s="71" t="inlineStr">
        <is>
          <t>Còn nợ</t>
        </is>
      </c>
      <c r="C13" s="72" t="n"/>
      <c r="E13" s="71" t="inlineStr">
        <is>
          <t>Tổng chi</t>
        </is>
      </c>
      <c r="F13" s="72" t="n"/>
      <c r="H13" s="71" t="inlineStr">
        <is>
          <t>Tổng lương khoán</t>
        </is>
      </c>
      <c r="I13" s="72" t="n"/>
    </row>
    <row r="14">
      <c r="B14" s="77">
        <f>SUM(DATABASE_HOP_DONG!I4:I400)</f>
        <v/>
      </c>
      <c r="C14" s="74" t="n"/>
      <c r="E14" s="77">
        <f>SUM(DATABASE_THU_CHI!L4:L400)</f>
        <v/>
      </c>
      <c r="F14" s="74" t="n"/>
      <c r="H14" s="77">
        <f>SUM(DATABASE_LUONG_KHOAN!J4:J400)</f>
        <v/>
      </c>
      <c r="I14" s="74" t="n"/>
    </row>
    <row r="15">
      <c r="B15" s="75" t="n"/>
      <c r="C15" s="76" t="n"/>
      <c r="E15" s="75" t="n"/>
      <c r="F15" s="76" t="n"/>
      <c r="H15" s="75" t="n"/>
      <c r="I15" s="76" t="n"/>
    </row>
    <row r="18">
      <c r="B18" s="4" t="inlineStr">
        <is>
          <t>Tóm tắt theo phòng</t>
        </is>
      </c>
    </row>
    <row r="19">
      <c r="A19" s="11" t="inlineStr">
        <is>
          <t>Phòng ban</t>
        </is>
      </c>
      <c r="B19" s="11" t="inlineStr">
        <is>
          <t>Số hồ sơ</t>
        </is>
      </c>
      <c r="C19" s="11" t="inlineStr">
        <is>
          <t>Doanh thu HĐ</t>
        </is>
      </c>
      <c r="D19" s="11" t="inlineStr">
        <is>
          <t>Còn nợ</t>
        </is>
      </c>
    </row>
    <row r="20">
      <c r="B20" s="37" t="inlineStr">
        <is>
          <t>Phòng Giám đốc</t>
        </is>
      </c>
      <c r="C20" s="37">
        <f>COUNTIF(DATABASE_HOSO!C4:C400,B20)</f>
        <v/>
      </c>
      <c r="D20" s="29">
        <f>SUMIF(DATABASE_HOP_DONG!D4:D400,B20,DATABASE_HOP_DONG!G4:G400)</f>
        <v/>
      </c>
      <c r="E20" s="29">
        <f>SUMIF(DATABASE_HOP_DONG!D4:D400,B20,DATABASE_HOP_DONG!I4:I400)</f>
        <v/>
      </c>
    </row>
    <row r="21" ht="15.75" customHeight="1" s="56">
      <c r="B21" s="37" t="inlineStr">
        <is>
          <t>Phòng Kinh doanh</t>
        </is>
      </c>
      <c r="C21" s="37">
        <f>COUNTIF(DATABASE_HOSO!C4:C400,B21)</f>
        <v/>
      </c>
      <c r="D21" s="29">
        <f>SUMIF(DATABASE_HOP_DONG!D4:D400,B21,DATABASE_HOP_DONG!G4:G400)</f>
        <v/>
      </c>
      <c r="E21" s="29">
        <f>SUMIF(DATABASE_HOP_DONG!D4:D400,B21,DATABASE_HOP_DONG!I4:I400)</f>
        <v/>
      </c>
    </row>
    <row r="22" ht="15.75" customHeight="1" s="56">
      <c r="B22" s="37" t="inlineStr">
        <is>
          <t>Phòng Marketing</t>
        </is>
      </c>
      <c r="C22" s="37">
        <f>COUNTIF(DATABASE_HOSO!C4:C400,B22)</f>
        <v/>
      </c>
      <c r="D22" s="29">
        <f>SUMIF(DATABASE_HOP_DONG!D4:D400,B22,DATABASE_HOP_DONG!G4:G400)</f>
        <v/>
      </c>
      <c r="E22" s="29">
        <f>SUMIF(DATABASE_HOP_DONG!D4:D400,B22,DATABASE_HOP_DONG!I4:I400)</f>
        <v/>
      </c>
    </row>
    <row r="23" ht="15.75" customHeight="1" s="56">
      <c r="B23" s="37" t="inlineStr">
        <is>
          <t>Phòng Đo đạc</t>
        </is>
      </c>
      <c r="C23" s="37">
        <f>COUNTIF(DATABASE_HOSO!C4:C400,B23)</f>
        <v/>
      </c>
      <c r="D23" s="29">
        <f>SUMIF(DATABASE_HOP_DONG!D4:D400,B23,DATABASE_HOP_DONG!G4:G400)</f>
        <v/>
      </c>
      <c r="E23" s="29">
        <f>SUMIF(DATABASE_HOP_DONG!D4:D400,B23,DATABASE_HOP_DONG!I4:I400)</f>
        <v/>
      </c>
    </row>
    <row r="24" ht="15.75" customHeight="1" s="56">
      <c r="B24" s="37" t="inlineStr">
        <is>
          <t>Phòng Pháp lý</t>
        </is>
      </c>
      <c r="C24" s="37">
        <f>COUNTIF(DATABASE_HOSO!C4:C400,B24)</f>
        <v/>
      </c>
      <c r="D24" s="29">
        <f>SUMIF(DATABASE_HOP_DONG!D4:D400,B24,DATABASE_HOP_DONG!G4:G400)</f>
        <v/>
      </c>
      <c r="E24" s="29">
        <f>SUMIF(DATABASE_HOP_DONG!D4:D400,B24,DATABASE_HOP_DONG!I4:I400)</f>
        <v/>
      </c>
    </row>
    <row r="25" ht="15.75" customHeight="1" s="56">
      <c r="B25" s="37" t="inlineStr">
        <is>
          <t>Phòng Kế toán</t>
        </is>
      </c>
      <c r="C25" s="37">
        <f>COUNTIF(DATABASE_HOSO!C4:C400,B25)</f>
        <v/>
      </c>
      <c r="D25" s="29">
        <f>SUMIF(DATABASE_HOP_DONG!D4:D400,B25,DATABASE_HOP_DONG!G4:G400)</f>
        <v/>
      </c>
      <c r="E25" s="29">
        <f>SUMIF(DATABASE_HOP_DONG!D4:D400,B25,DATABASE_HOP_DONG!I4:I400)</f>
        <v/>
      </c>
    </row>
    <row r="26" ht="15.75" customHeight="1" s="56">
      <c r="B26" s="37" t="inlineStr">
        <is>
          <t>Phòng Nhân sự</t>
        </is>
      </c>
      <c r="C26" s="37">
        <f>COUNTIF(DATABASE_HOSO!C4:C400,B26)</f>
        <v/>
      </c>
      <c r="D26" s="29">
        <f>SUMIF(DATABASE_HOP_DONG!D4:D400,B26,DATABASE_HOP_DONG!G4:G400)</f>
        <v/>
      </c>
      <c r="E26" s="29">
        <f>SUMIF(DATABASE_HOP_DONG!D4:D400,B26,DATABASE_HOP_DONG!I4:I400)</f>
        <v/>
      </c>
    </row>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9">
    <mergeCell ref="E6:F7"/>
    <mergeCell ref="E5:F5"/>
    <mergeCell ref="B10:C11"/>
    <mergeCell ref="B6:C7"/>
    <mergeCell ref="H9:I9"/>
    <mergeCell ref="B2:I2"/>
    <mergeCell ref="E13:F13"/>
    <mergeCell ref="H14:I15"/>
    <mergeCell ref="E9:F9"/>
    <mergeCell ref="B13:C13"/>
    <mergeCell ref="H10:I11"/>
    <mergeCell ref="E14:F15"/>
    <mergeCell ref="B9:C9"/>
    <mergeCell ref="H13:I13"/>
    <mergeCell ref="H6:I7"/>
    <mergeCell ref="B5:C5"/>
    <mergeCell ref="E10:F11"/>
    <mergeCell ref="H5:I5"/>
    <mergeCell ref="B14:C15"/>
  </mergeCells>
  <pageMargins left="0.75" right="0.75" top="1" bottom="1" header="0" footer="0"/>
  <pageSetup orientation="landscape"/>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G8"/>
  <sheetViews>
    <sheetView showGridLines="0" workbookViewId="0">
      <selection activeCell="A1" sqref="A1"/>
    </sheetView>
  </sheetViews>
  <sheetFormatPr baseColWidth="8" defaultColWidth="14.43" defaultRowHeight="15" customHeight="1"/>
  <cols>
    <col width="22" customWidth="1" style="56" min="1" max="1"/>
    <col width="14" customWidth="1" style="56" min="2" max="4"/>
    <col width="12" customWidth="1" style="56" min="5" max="5"/>
    <col width="14" customWidth="1" style="56" min="6" max="6"/>
    <col width="26" customWidth="1" style="56" min="7" max="7"/>
    <col width="8.710000000000001" customWidth="1" style="56" min="8" max="26"/>
  </cols>
  <sheetData>
    <row r="1">
      <c r="A1" s="63" t="inlineStr">
        <is>
          <t>MA TRẬN QUY TRÌNH LIÊN PHÒNG</t>
        </is>
      </c>
      <c r="B1" s="58" t="n"/>
      <c r="C1" s="58" t="n"/>
      <c r="D1" s="58" t="n"/>
      <c r="E1" s="58" t="n"/>
      <c r="F1" s="58" t="n"/>
      <c r="G1" s="59" t="n"/>
    </row>
    <row r="3">
      <c r="A3" s="31" t="inlineStr">
        <is>
          <t>Dịch vụ</t>
        </is>
      </c>
      <c r="B3" s="31" t="inlineStr">
        <is>
          <t>Kinh doanh</t>
        </is>
      </c>
      <c r="C3" s="31" t="inlineStr">
        <is>
          <t>Đo đạc</t>
        </is>
      </c>
      <c r="D3" s="31" t="inlineStr">
        <is>
          <t>Pháp lý</t>
        </is>
      </c>
      <c r="E3" s="31" t="inlineStr">
        <is>
          <t>Kế toán</t>
        </is>
      </c>
      <c r="F3" s="31" t="inlineStr">
        <is>
          <t>Marketing</t>
        </is>
      </c>
      <c r="G3" s="31" t="inlineStr">
        <is>
          <t>Ghi chú</t>
        </is>
      </c>
    </row>
    <row r="4">
      <c r="A4" s="37" t="inlineStr">
        <is>
          <t>Đo hiện trạng</t>
        </is>
      </c>
      <c r="B4" s="37" t="inlineStr">
        <is>
          <t>Tiếp nhận</t>
        </is>
      </c>
      <c r="C4" s="37" t="inlineStr">
        <is>
          <t>Thực hiện</t>
        </is>
      </c>
      <c r="D4" s="37" t="n"/>
      <c r="E4" s="37" t="inlineStr">
        <is>
          <t>Thu tiền</t>
        </is>
      </c>
      <c r="F4" s="37" t="n"/>
      <c r="G4" s="37" t="n"/>
    </row>
    <row r="5">
      <c r="A5" s="37" t="inlineStr">
        <is>
          <t>Hoàn công</t>
        </is>
      </c>
      <c r="B5" s="37" t="inlineStr">
        <is>
          <t>Tiếp nhận</t>
        </is>
      </c>
      <c r="C5" s="37" t="inlineStr">
        <is>
          <t>Khảo sát</t>
        </is>
      </c>
      <c r="D5" s="37" t="inlineStr">
        <is>
          <t>Làm hồ sơ</t>
        </is>
      </c>
      <c r="E5" s="37" t="inlineStr">
        <is>
          <t>Thu tiền</t>
        </is>
      </c>
      <c r="F5" s="37" t="n"/>
      <c r="G5" s="37" t="n"/>
    </row>
    <row r="6">
      <c r="A6" s="37" t="inlineStr">
        <is>
          <t>Xin phép xây dựng</t>
        </is>
      </c>
      <c r="B6" s="37" t="inlineStr">
        <is>
          <t>Tiếp nhận</t>
        </is>
      </c>
      <c r="C6" s="37" t="inlineStr">
        <is>
          <t>Khảo sát</t>
        </is>
      </c>
      <c r="D6" s="37" t="inlineStr">
        <is>
          <t>Làm hồ sơ</t>
        </is>
      </c>
      <c r="E6" s="37" t="inlineStr">
        <is>
          <t>Thu tiền</t>
        </is>
      </c>
      <c r="F6" s="37" t="n"/>
      <c r="G6" s="37" t="n"/>
    </row>
    <row r="7">
      <c r="A7" s="37" t="inlineStr">
        <is>
          <t>Cấp đổi</t>
        </is>
      </c>
      <c r="B7" s="37" t="inlineStr">
        <is>
          <t>Tiếp nhận</t>
        </is>
      </c>
      <c r="C7" s="37" t="inlineStr">
        <is>
          <t>Đo</t>
        </is>
      </c>
      <c r="D7" s="37" t="inlineStr">
        <is>
          <t>Pháp lý</t>
        </is>
      </c>
      <c r="E7" s="37" t="inlineStr">
        <is>
          <t>Thu tiền</t>
        </is>
      </c>
      <c r="F7" s="37" t="n"/>
      <c r="G7" s="37" t="n"/>
    </row>
    <row r="8">
      <c r="A8" s="37" t="inlineStr">
        <is>
          <t>SEO / Marketing</t>
        </is>
      </c>
      <c r="B8" s="37" t="n"/>
      <c r="C8" s="37" t="n"/>
      <c r="D8" s="37" t="n"/>
      <c r="E8" s="37" t="n"/>
      <c r="F8" s="37" t="inlineStr">
        <is>
          <t>Triển khai</t>
        </is>
      </c>
      <c r="G8" s="37" t="inlineStr">
        <is>
          <t>Tạo lead cho Kinh doanh</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G1"/>
  </mergeCells>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ColWidth="14.43" defaultRowHeight="15" customHeight="1"/>
  <cols>
    <col width="8" customWidth="1" style="56" min="1" max="1"/>
    <col width="30" customWidth="1" style="56" min="2" max="2"/>
    <col width="18" customWidth="1" style="56" min="3" max="3"/>
    <col width="34" customWidth="1" style="56" min="4" max="4"/>
    <col width="8.710000000000001" customWidth="1" style="56" min="5" max="26"/>
  </cols>
  <sheetData>
    <row r="1">
      <c r="A1" s="60" t="inlineStr">
        <is>
          <t>CẤU TRÚC DRIVE ĐỀ XUẤT</t>
        </is>
      </c>
      <c r="B1" s="58" t="n"/>
      <c r="C1" s="58" t="n"/>
      <c r="D1" s="59" t="n"/>
    </row>
    <row r="3">
      <c r="A3" s="11" t="inlineStr">
        <is>
          <t>Cấp</t>
        </is>
      </c>
      <c r="B3" s="11" t="inlineStr">
        <is>
          <t>Tên thư mục / file</t>
        </is>
      </c>
      <c r="C3" s="11" t="inlineStr">
        <is>
          <t>Vai trò</t>
        </is>
      </c>
      <c r="D3" s="11" t="inlineStr">
        <is>
          <t>Ghi chú</t>
        </is>
      </c>
    </row>
    <row r="4">
      <c r="A4" s="37" t="n">
        <v>1</v>
      </c>
      <c r="B4" s="37" t="inlineStr">
        <is>
          <t>00_MASTER_DIEU_HANH</t>
        </is>
      </c>
      <c r="C4" s="37" t="inlineStr">
        <is>
          <t>Bộ não trung tâm</t>
        </is>
      </c>
      <c r="D4" s="37" t="inlineStr">
        <is>
          <t>Chứa MASTER + dashboard giám đốc</t>
        </is>
      </c>
    </row>
    <row r="5">
      <c r="A5" s="37" t="n">
        <v>2</v>
      </c>
      <c r="B5" s="37" t="inlineStr">
        <is>
          <t>01_PHONG_GIAM_DOC</t>
        </is>
      </c>
      <c r="C5" s="37" t="inlineStr">
        <is>
          <t>Làm việc nội bộ</t>
        </is>
      </c>
      <c r="D5" s="37" t="inlineStr">
        <is>
          <t>Báo cáo chiến lược, điều hành</t>
        </is>
      </c>
    </row>
    <row r="6">
      <c r="A6" s="37" t="n">
        <v>2</v>
      </c>
      <c r="B6" s="37" t="inlineStr">
        <is>
          <t>02_PHONG_KINH_DOANH</t>
        </is>
      </c>
      <c r="C6" s="37" t="inlineStr">
        <is>
          <t>Làm việc nội bộ</t>
        </is>
      </c>
      <c r="D6" s="37" t="inlineStr">
        <is>
          <t>Lead, báo giá, chăm sóc khách</t>
        </is>
      </c>
    </row>
    <row r="7">
      <c r="A7" s="37" t="n">
        <v>2</v>
      </c>
      <c r="B7" s="37" t="inlineStr">
        <is>
          <t>03_PHONG_MARKETING</t>
        </is>
      </c>
      <c r="C7" s="37" t="inlineStr">
        <is>
          <t>Làm việc nội bộ</t>
        </is>
      </c>
      <c r="D7" s="37" t="inlineStr">
        <is>
          <t>Kế hoạch nội dung, KPI marketing</t>
        </is>
      </c>
    </row>
    <row r="8">
      <c r="A8" s="37" t="n">
        <v>2</v>
      </c>
      <c r="B8" s="37" t="inlineStr">
        <is>
          <t>04_PHONG_DO_DAC</t>
        </is>
      </c>
      <c r="C8" s="37" t="inlineStr">
        <is>
          <t>Làm việc nội bộ</t>
        </is>
      </c>
      <c r="D8" s="37" t="inlineStr">
        <is>
          <t>Form đầu vào, nhật ký đo, bảng tác nghiệp</t>
        </is>
      </c>
    </row>
    <row r="9">
      <c r="A9" s="37" t="n">
        <v>2</v>
      </c>
      <c r="B9" s="37" t="inlineStr">
        <is>
          <t>05_PHONG_PHAP_LY</t>
        </is>
      </c>
      <c r="C9" s="37" t="inlineStr">
        <is>
          <t>Làm việc nội bộ</t>
        </is>
      </c>
      <c r="D9" s="37" t="inlineStr">
        <is>
          <t>Nhật ký nộp hồ sơ, theo dõi tiến độ</t>
        </is>
      </c>
    </row>
    <row r="10">
      <c r="A10" s="37" t="n">
        <v>2</v>
      </c>
      <c r="B10" s="37" t="inlineStr">
        <is>
          <t>06_PHONG_KE_TOAN</t>
        </is>
      </c>
      <c r="C10" s="37" t="inlineStr">
        <is>
          <t>Làm việc nội bộ</t>
        </is>
      </c>
      <c r="D10" s="37" t="inlineStr">
        <is>
          <t>Thu chi, công nợ, đối soát</t>
        </is>
      </c>
    </row>
    <row r="11">
      <c r="A11" s="37" t="n">
        <v>2</v>
      </c>
      <c r="B11" s="37" t="inlineStr">
        <is>
          <t>07_PHONG_NHAN_SU</t>
        </is>
      </c>
      <c r="C11" s="37" t="inlineStr">
        <is>
          <t>Làm việc nội bộ</t>
        </is>
      </c>
      <c r="D11" s="37" t="inlineStr">
        <is>
          <t>Chấm công, hồ sơ nhân sự</t>
        </is>
      </c>
    </row>
    <row r="12">
      <c r="A12" s="37" t="n">
        <v>2</v>
      </c>
      <c r="B12" s="37" t="inlineStr">
        <is>
          <t>99_LUU_TRU</t>
        </is>
      </c>
      <c r="C12" s="37" t="inlineStr">
        <is>
          <t>Lưu trữ cũ</t>
        </is>
      </c>
      <c r="D12" s="37" t="inlineStr">
        <is>
          <t>File cũ, đã thay thế, backup</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D1"/>
  </mergeCells>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K321"/>
  <sheetViews>
    <sheetView workbookViewId="0">
      <selection activeCell="A1" sqref="A1"/>
    </sheetView>
  </sheetViews>
  <sheetFormatPr baseColWidth="8" defaultColWidth="14.43" defaultRowHeight="15" customHeight="1"/>
  <cols>
    <col width="18" customWidth="1" style="56" min="1" max="3"/>
    <col width="22" customWidth="1" style="56" min="4" max="11"/>
    <col width="8.710000000000001" customWidth="1" style="56" min="12" max="26"/>
  </cols>
  <sheetData>
    <row r="1">
      <c r="A1" s="22" t="inlineStr">
        <is>
          <t>Dấu thời gian</t>
        </is>
      </c>
      <c r="B1" s="22" t="inlineStr">
        <is>
          <t>Mã hợp đồng cũ</t>
        </is>
      </c>
      <c r="C1" s="22" t="inlineStr">
        <is>
          <t>Tên hồ sơ</t>
        </is>
      </c>
      <c r="D1" s="22" t="inlineStr">
        <is>
          <t>Phường</t>
        </is>
      </c>
      <c r="E1" s="22" t="inlineStr">
        <is>
          <t>Khách hàng</t>
        </is>
      </c>
      <c r="F1" s="22" t="inlineStr">
        <is>
          <t>Phụ trách chính</t>
        </is>
      </c>
      <c r="G1" s="22" t="inlineStr">
        <is>
          <t>Phụ đo</t>
        </is>
      </c>
      <c r="H1" s="22" t="inlineStr">
        <is>
          <t>Hạng mục</t>
        </is>
      </c>
      <c r="I1" s="22" t="inlineStr">
        <is>
          <t>Hạn xử lý</t>
        </is>
      </c>
      <c r="J1" s="22" t="inlineStr">
        <is>
          <t>Trạng thái</t>
        </is>
      </c>
      <c r="K1" s="22" t="inlineStr">
        <is>
          <t>Ghi chú</t>
        </is>
      </c>
    </row>
    <row r="2">
      <c r="A2" s="55" t="n">
        <v>46097.46713157407</v>
      </c>
      <c r="B2" s="9" t="inlineStr">
        <is>
          <t>128/BK-2026</t>
        </is>
      </c>
      <c r="C2" s="9" t="inlineStr">
        <is>
          <t>Hoàng Nam</t>
        </is>
      </c>
      <c r="D2" s="9" t="inlineStr">
        <is>
          <t>An Khánh</t>
        </is>
      </c>
      <c r="E2" s="9" t="inlineStr">
        <is>
          <t>Công Ty</t>
        </is>
      </c>
      <c r="F2" s="9" t="inlineStr">
        <is>
          <t>Võ Thành Minh</t>
        </is>
      </c>
      <c r="G2" s="9" t="inlineStr">
        <is>
          <t>Không cần</t>
        </is>
      </c>
      <c r="H2" s="9" t="inlineStr">
        <is>
          <t>Xin phép xây dựng</t>
        </is>
      </c>
      <c r="I2" s="55" t="n">
        <v>46100</v>
      </c>
    </row>
    <row r="3">
      <c r="A3" s="55" t="n">
        <v>46094.57405738426</v>
      </c>
      <c r="B3" s="9" t="inlineStr">
        <is>
          <t>127/BK-2026</t>
        </is>
      </c>
      <c r="C3" s="9" t="inlineStr">
        <is>
          <t>Lê Văn Hoàng</t>
        </is>
      </c>
      <c r="D3" s="9" t="inlineStr">
        <is>
          <t>Tam Bình</t>
        </is>
      </c>
      <c r="E3" s="9" t="inlineStr">
        <is>
          <t>Cô Hoa</t>
        </is>
      </c>
      <c r="F3" s="9" t="inlineStr">
        <is>
          <t>Trương Tấn Quốc</t>
        </is>
      </c>
      <c r="G3" s="9" t="inlineStr">
        <is>
          <t>Võ Tứ Hợp</t>
        </is>
      </c>
      <c r="H3" s="9" t="inlineStr">
        <is>
          <t>Cấp đổi</t>
        </is>
      </c>
      <c r="I3" s="55" t="n">
        <v>46097</v>
      </c>
      <c r="K3" s="9" t="inlineStr">
        <is>
          <t>Đợi trao đổi với dịch vụ</t>
        </is>
      </c>
    </row>
    <row r="4">
      <c r="A4" s="55" t="n">
        <v>46094.4113830787</v>
      </c>
      <c r="B4" s="9" t="inlineStr">
        <is>
          <t>126/BK-2026</t>
        </is>
      </c>
      <c r="C4" s="9" t="inlineStr">
        <is>
          <t>Trần Văn Giấy</t>
        </is>
      </c>
      <c r="D4" s="9" t="inlineStr">
        <is>
          <t>Linh Xuân</t>
        </is>
      </c>
      <c r="E4" s="9" t="inlineStr">
        <is>
          <t>Tuấn Lộc</t>
        </is>
      </c>
      <c r="F4" s="9" t="inlineStr">
        <is>
          <t>Lê Văn Xây</t>
        </is>
      </c>
      <c r="G4" s="9" t="inlineStr">
        <is>
          <t>Võ Tứ Hợp</t>
        </is>
      </c>
      <c r="H4" s="9" t="inlineStr">
        <is>
          <t>Hoàn công</t>
        </is>
      </c>
      <c r="I4" s="55" t="n">
        <v>46097</v>
      </c>
      <c r="J4" s="9" t="inlineStr">
        <is>
          <t>Nộp thành công - Chờ kết quả</t>
        </is>
      </c>
    </row>
    <row r="5">
      <c r="A5" s="55" t="n">
        <v>46094.39367521991</v>
      </c>
      <c r="B5" s="9" t="inlineStr">
        <is>
          <t>125/BK-2026</t>
        </is>
      </c>
      <c r="C5" s="9" t="inlineStr">
        <is>
          <t>Nguyễn Văn Học</t>
        </is>
      </c>
      <c r="D5" s="9" t="inlineStr">
        <is>
          <t>Tăng Nhơn Phú</t>
        </is>
      </c>
      <c r="E5" s="9" t="inlineStr">
        <is>
          <t>Công Ty</t>
        </is>
      </c>
      <c r="F5" s="9" t="inlineStr">
        <is>
          <t>Tạ Khắc Tập</t>
        </is>
      </c>
      <c r="G5" s="9" t="inlineStr">
        <is>
          <t>Võ Tứ Hợp</t>
        </is>
      </c>
      <c r="H5" s="9" t="inlineStr">
        <is>
          <t>Cấp đổi</t>
        </is>
      </c>
      <c r="I5" s="55" t="n">
        <v>46097</v>
      </c>
      <c r="J5" s="9" t="inlineStr">
        <is>
          <t>Nộp thành công - Chờ kết quả</t>
        </is>
      </c>
    </row>
    <row r="6">
      <c r="A6" s="55" t="n">
        <v>46094.39228432871</v>
      </c>
      <c r="B6" s="9" t="inlineStr">
        <is>
          <t>124/BK-2026</t>
        </is>
      </c>
      <c r="C6" s="9" t="inlineStr">
        <is>
          <t>Đặng Khoa Học-Trần Ngọc Thùy Tiên</t>
        </is>
      </c>
      <c r="D6" s="9" t="inlineStr">
        <is>
          <t>Hiệp Bình</t>
        </is>
      </c>
      <c r="E6" s="9" t="inlineStr">
        <is>
          <t>Tuấn Lộc</t>
        </is>
      </c>
      <c r="F6" s="9" t="inlineStr">
        <is>
          <t>Tạ Khắc Tập</t>
        </is>
      </c>
      <c r="G6" s="9" t="inlineStr">
        <is>
          <t>Võ Tứ Hợp</t>
        </is>
      </c>
      <c r="H6" s="9" t="inlineStr">
        <is>
          <t>Cấp đổi</t>
        </is>
      </c>
      <c r="I6" s="55" t="n">
        <v>46097</v>
      </c>
      <c r="J6" s="9" t="inlineStr">
        <is>
          <t>Nộp thành công - Chờ kết quả</t>
        </is>
      </c>
    </row>
    <row r="7">
      <c r="A7" s="55" t="n">
        <v>46094.39047288195</v>
      </c>
      <c r="B7" s="9" t="inlineStr">
        <is>
          <t>123/BK-2026</t>
        </is>
      </c>
      <c r="C7" s="9" t="inlineStr">
        <is>
          <t>Đào Minh Quân</t>
        </is>
      </c>
      <c r="D7" s="9" t="inlineStr">
        <is>
          <t>Linh Xuân</t>
        </is>
      </c>
      <c r="E7" s="9" t="inlineStr">
        <is>
          <t>Công Ty</t>
        </is>
      </c>
      <c r="F7" s="9" t="inlineStr">
        <is>
          <t>Tạ Khắc Tập</t>
        </is>
      </c>
      <c r="G7" s="9" t="inlineStr">
        <is>
          <t>Võ Tứ Hợp</t>
        </is>
      </c>
      <c r="H7" s="9" t="inlineStr">
        <is>
          <t>Cắm mốc</t>
        </is>
      </c>
      <c r="I7" s="55" t="n">
        <v>46097</v>
      </c>
      <c r="J7" s="9" t="inlineStr">
        <is>
          <t>Hoàn thành</t>
        </is>
      </c>
    </row>
    <row r="8">
      <c r="A8" s="55" t="n">
        <v>46093.39549237269</v>
      </c>
      <c r="B8" s="9" t="inlineStr">
        <is>
          <t>122/BK-2026</t>
        </is>
      </c>
      <c r="C8" s="9" t="inlineStr">
        <is>
          <t>Trần Thanh Khương</t>
        </is>
      </c>
      <c r="D8" s="9" t="inlineStr">
        <is>
          <t>Linh Xuân</t>
        </is>
      </c>
      <c r="E8" s="9" t="inlineStr">
        <is>
          <t>Công Ty</t>
        </is>
      </c>
      <c r="F8" s="9" t="inlineStr">
        <is>
          <t>Lê Văn Dựng</t>
        </is>
      </c>
      <c r="G8" s="9" t="inlineStr">
        <is>
          <t>Võ Tứ Hợp</t>
        </is>
      </c>
      <c r="H8" s="9" t="inlineStr">
        <is>
          <t>Cấp đổi</t>
        </is>
      </c>
      <c r="I8" s="55" t="n">
        <v>46096</v>
      </c>
      <c r="K8" s="9" t="inlineStr">
        <is>
          <t>hồ sơ lệch ranh chờ pa</t>
        </is>
      </c>
    </row>
    <row r="9">
      <c r="A9" s="55" t="n">
        <v>46093.39408640046</v>
      </c>
      <c r="B9" s="9" t="inlineStr">
        <is>
          <t>121/BK-2026</t>
        </is>
      </c>
      <c r="C9" s="9" t="inlineStr">
        <is>
          <t>Nguyễn Thị Hoa</t>
        </is>
      </c>
      <c r="D9" s="9" t="inlineStr">
        <is>
          <t>Tăng Nhơn Phú</t>
        </is>
      </c>
      <c r="E9" s="9" t="inlineStr">
        <is>
          <t>Anh Chiến KTS</t>
        </is>
      </c>
      <c r="F9" s="9" t="inlineStr">
        <is>
          <t>Lê Văn Dựng</t>
        </is>
      </c>
      <c r="G9" s="9" t="inlineStr">
        <is>
          <t>Võ Tứ Hợp</t>
        </is>
      </c>
      <c r="H9" s="9" t="inlineStr">
        <is>
          <t>Hoàn công</t>
        </is>
      </c>
      <c r="I9" s="55" t="n">
        <v>46096</v>
      </c>
    </row>
    <row r="10">
      <c r="A10" s="55" t="n">
        <v>46092.61443776621</v>
      </c>
      <c r="B10" s="9" t="inlineStr">
        <is>
          <t>120/BK-2026</t>
        </is>
      </c>
      <c r="C10" s="9" t="inlineStr">
        <is>
          <t>Nguyễn Xuân Hạnh</t>
        </is>
      </c>
      <c r="D10" s="9" t="inlineStr">
        <is>
          <t>An Khánh</t>
        </is>
      </c>
      <c r="E10" s="9" t="inlineStr">
        <is>
          <t>Công Ty</t>
        </is>
      </c>
      <c r="F10" s="9" t="inlineStr">
        <is>
          <t>Lê Văn Xây</t>
        </is>
      </c>
      <c r="G10" s="9" t="inlineStr">
        <is>
          <t>Võ Tứ Hợp</t>
        </is>
      </c>
      <c r="H10" s="9" t="inlineStr">
        <is>
          <t>Xác định diện tích</t>
        </is>
      </c>
      <c r="I10" s="55" t="n">
        <v>46095</v>
      </c>
    </row>
    <row r="11">
      <c r="A11" s="55" t="n">
        <v>46092.61194769676</v>
      </c>
      <c r="B11" s="9" t="inlineStr">
        <is>
          <t>119/BK-2026</t>
        </is>
      </c>
      <c r="C11" s="9" t="inlineStr">
        <is>
          <t>Đặng Quang Huy</t>
        </is>
      </c>
      <c r="D11" s="9" t="inlineStr">
        <is>
          <t>Linh Xuân</t>
        </is>
      </c>
      <c r="E11" s="9" t="inlineStr">
        <is>
          <t>Cô Hoa</t>
        </is>
      </c>
      <c r="F11" s="9" t="inlineStr">
        <is>
          <t>Lê Văn Xây</t>
        </is>
      </c>
      <c r="G11" s="9" t="inlineStr">
        <is>
          <t>Võ Tứ Hợp</t>
        </is>
      </c>
      <c r="H11" s="9" t="inlineStr">
        <is>
          <t>Hoàn công</t>
        </is>
      </c>
      <c r="I11" s="55" t="n">
        <v>46095</v>
      </c>
    </row>
    <row r="12">
      <c r="A12" s="55" t="n">
        <v>46092.56516755787</v>
      </c>
      <c r="B12" s="9" t="inlineStr">
        <is>
          <t>117/BK-2026</t>
        </is>
      </c>
      <c r="C12" s="9" t="inlineStr">
        <is>
          <t>Đào Minh Quân</t>
        </is>
      </c>
      <c r="D12" s="9" t="inlineStr">
        <is>
          <t>Linh Xuân</t>
        </is>
      </c>
      <c r="E12" s="9" t="inlineStr">
        <is>
          <t>Công Ty</t>
        </is>
      </c>
      <c r="F12" s="9" t="inlineStr">
        <is>
          <t>Trương Tấn Quốc</t>
        </is>
      </c>
      <c r="G12" s="9" t="inlineStr">
        <is>
          <t>Võ Tứ Hợp</t>
        </is>
      </c>
      <c r="H12" s="9" t="inlineStr">
        <is>
          <t>Cấp đổi</t>
        </is>
      </c>
      <c r="I12" s="55" t="n">
        <v>46095</v>
      </c>
      <c r="J12" s="9" t="inlineStr">
        <is>
          <t>Nộp thành công - Chờ kết quả</t>
        </is>
      </c>
      <c r="K12" s="9" t="inlineStr">
        <is>
          <t>Cần cắm mốc</t>
        </is>
      </c>
    </row>
    <row r="13">
      <c r="A13" s="55" t="n">
        <v>46091.66034315973</v>
      </c>
      <c r="B13" s="9" t="inlineStr">
        <is>
          <t>116/BK-2026</t>
        </is>
      </c>
      <c r="C13" s="9" t="inlineStr">
        <is>
          <t>Trần Phước Vân</t>
        </is>
      </c>
      <c r="D13" s="9" t="inlineStr">
        <is>
          <t>Cát Lái</t>
        </is>
      </c>
      <c r="E13" s="9" t="inlineStr">
        <is>
          <t>Chinh Đen</t>
        </is>
      </c>
      <c r="F13" s="9" t="inlineStr">
        <is>
          <t>Tạ Khắc Tập</t>
        </is>
      </c>
      <c r="G13" s="9" t="inlineStr">
        <is>
          <t>Không cần</t>
        </is>
      </c>
      <c r="H13" s="9" t="inlineStr">
        <is>
          <t>Cắm mốc</t>
        </is>
      </c>
      <c r="I13" s="55" t="n">
        <v>46094</v>
      </c>
      <c r="J13" s="9" t="inlineStr">
        <is>
          <t>Hoàn thành</t>
        </is>
      </c>
    </row>
    <row r="14">
      <c r="A14" s="55" t="n">
        <v>46091.50155859954</v>
      </c>
      <c r="B14" s="9" t="inlineStr">
        <is>
          <t>115/BK-2026</t>
        </is>
      </c>
      <c r="C14" s="9" t="inlineStr">
        <is>
          <t>Nguyễn Đức Mẫn</t>
        </is>
      </c>
      <c r="D14" s="9" t="inlineStr">
        <is>
          <t>Hiệp Bình</t>
        </is>
      </c>
      <c r="E14" s="9" t="inlineStr">
        <is>
          <t>Công Ty</t>
        </is>
      </c>
      <c r="F14" s="9" t="inlineStr">
        <is>
          <t>Lê Văn Xây</t>
        </is>
      </c>
      <c r="G14" s="9" t="inlineStr">
        <is>
          <t>Không cần</t>
        </is>
      </c>
      <c r="H14" s="9" t="inlineStr">
        <is>
          <t>Chuyển mục đích</t>
        </is>
      </c>
      <c r="I14" s="55" t="n">
        <v>46094</v>
      </c>
    </row>
    <row r="15">
      <c r="A15" s="55" t="n">
        <v>46091.4755584375</v>
      </c>
      <c r="B15" s="9" t="inlineStr">
        <is>
          <t>114/BK-2026</t>
        </is>
      </c>
      <c r="C15" s="9" t="inlineStr">
        <is>
          <t>Lê Quang Khoa</t>
        </is>
      </c>
      <c r="D15" s="9" t="inlineStr">
        <is>
          <t>Thủ Đức</t>
        </is>
      </c>
      <c r="E15" s="9" t="inlineStr">
        <is>
          <t>Đạt Việt Phát Land</t>
        </is>
      </c>
      <c r="F15" s="9" t="inlineStr">
        <is>
          <t>Tạ Khắc Tập</t>
        </is>
      </c>
      <c r="G15" s="9" t="inlineStr">
        <is>
          <t>Võ Tứ Hợp</t>
        </is>
      </c>
      <c r="H15" s="9" t="inlineStr">
        <is>
          <t>Cắm mốc</t>
        </is>
      </c>
      <c r="I15" s="55" t="n">
        <v>46094</v>
      </c>
      <c r="J15" s="9" t="inlineStr">
        <is>
          <t>Hoàn thành</t>
        </is>
      </c>
    </row>
    <row r="16">
      <c r="A16" s="55" t="n">
        <v>46091.43510391204</v>
      </c>
      <c r="B16" s="9" t="inlineStr">
        <is>
          <t>113/BK-2026</t>
        </is>
      </c>
      <c r="C16" s="9" t="inlineStr">
        <is>
          <t>Đỗ Thị Trang</t>
        </is>
      </c>
      <c r="D16" s="9" t="inlineStr">
        <is>
          <t>Tam Bình</t>
        </is>
      </c>
      <c r="E16" s="9" t="inlineStr">
        <is>
          <t>Công Ty</t>
        </is>
      </c>
      <c r="F16" s="9" t="inlineStr">
        <is>
          <t>Lê Văn Dựng</t>
        </is>
      </c>
      <c r="G16" s="9" t="inlineStr">
        <is>
          <t>Võ Tứ Hợp</t>
        </is>
      </c>
      <c r="H16" s="9" t="inlineStr">
        <is>
          <t>Xác định diện tích</t>
        </is>
      </c>
      <c r="I16" s="55" t="n">
        <v>46094</v>
      </c>
      <c r="J16" s="9" t="inlineStr">
        <is>
          <t>Hoàn thành</t>
        </is>
      </c>
    </row>
    <row r="17">
      <c r="A17" s="55" t="n">
        <v>46091.43437550926</v>
      </c>
      <c r="B17" s="9" t="inlineStr">
        <is>
          <t>112/BK-2026</t>
        </is>
      </c>
      <c r="C17" s="9" t="inlineStr">
        <is>
          <t>Đỗ Thị Trang</t>
        </is>
      </c>
      <c r="D17" s="9" t="inlineStr">
        <is>
          <t>Tam Bình</t>
        </is>
      </c>
      <c r="E17" s="9" t="inlineStr">
        <is>
          <t>Công Ty</t>
        </is>
      </c>
      <c r="F17" s="9" t="inlineStr">
        <is>
          <t>Lê Văn Dựng</t>
        </is>
      </c>
      <c r="G17" s="9" t="inlineStr">
        <is>
          <t>Không cần</t>
        </is>
      </c>
      <c r="H17" s="9" t="inlineStr">
        <is>
          <t>Xác định diện tích</t>
        </is>
      </c>
      <c r="I17" s="55" t="n">
        <v>46094</v>
      </c>
      <c r="J17" s="9" t="inlineStr">
        <is>
          <t>Hoàn thành</t>
        </is>
      </c>
    </row>
    <row r="18">
      <c r="A18" s="55" t="n">
        <v>46090.72048236111</v>
      </c>
      <c r="B18" s="9" t="inlineStr">
        <is>
          <t>111/BK-2026</t>
        </is>
      </c>
      <c r="C18" s="9" t="inlineStr">
        <is>
          <t>Nguyễn Doãn Tuấn</t>
        </is>
      </c>
      <c r="D18" s="9" t="inlineStr">
        <is>
          <t>Long Phước</t>
        </is>
      </c>
      <c r="E18" s="9" t="inlineStr">
        <is>
          <t>Công Ty</t>
        </is>
      </c>
      <c r="F18" s="9" t="inlineStr">
        <is>
          <t>Lê Văn Dựng</t>
        </is>
      </c>
      <c r="G18" s="9" t="inlineStr">
        <is>
          <t>Không cần</t>
        </is>
      </c>
      <c r="H18" s="9" t="inlineStr">
        <is>
          <t>Đo GPS</t>
        </is>
      </c>
      <c r="I18" s="55" t="n">
        <v>46093</v>
      </c>
      <c r="J18" s="9" t="inlineStr">
        <is>
          <t>Hoàn thành</t>
        </is>
      </c>
    </row>
    <row r="19">
      <c r="A19" s="55" t="n">
        <v>46090.44644274306</v>
      </c>
      <c r="B19" s="9" t="inlineStr">
        <is>
          <t>110/BK-2026</t>
        </is>
      </c>
      <c r="C19" s="9" t="inlineStr">
        <is>
          <t>Nguyễn Doãn Tuấn</t>
        </is>
      </c>
      <c r="D19" s="9" t="inlineStr">
        <is>
          <t>Long Phước</t>
        </is>
      </c>
      <c r="E19" s="9" t="inlineStr">
        <is>
          <t>Công Ty</t>
        </is>
      </c>
      <c r="F19" s="9" t="inlineStr">
        <is>
          <t>Tạ Khắc Tập</t>
        </is>
      </c>
      <c r="G19" s="9" t="inlineStr">
        <is>
          <t>Võ Tứ Hợp</t>
        </is>
      </c>
      <c r="H19" s="9" t="inlineStr">
        <is>
          <t>Cấp sổ lần đầu</t>
        </is>
      </c>
      <c r="I19" s="55" t="n">
        <v>46093</v>
      </c>
      <c r="J19" s="9" t="inlineStr">
        <is>
          <t>Hoàn thành</t>
        </is>
      </c>
      <c r="K19" s="9" t="inlineStr">
        <is>
          <t>BAO CAO GPS</t>
        </is>
      </c>
    </row>
    <row r="20">
      <c r="A20" s="55" t="n">
        <v>46090.43055521991</v>
      </c>
      <c r="B20" s="9" t="inlineStr">
        <is>
          <t>109/BK-2026</t>
        </is>
      </c>
      <c r="C20" s="9" t="inlineStr">
        <is>
          <t>Đỗ Bình Trọng</t>
        </is>
      </c>
      <c r="D20" s="9" t="inlineStr">
        <is>
          <t>Long Trường</t>
        </is>
      </c>
      <c r="E20" s="9" t="inlineStr">
        <is>
          <t>Anh Hoàng nhà đầu tư</t>
        </is>
      </c>
      <c r="F20" s="9" t="inlineStr">
        <is>
          <t>Lê Văn Dựng</t>
        </is>
      </c>
      <c r="G20" s="9" t="inlineStr">
        <is>
          <t>Không cần</t>
        </is>
      </c>
      <c r="H20" s="9" t="inlineStr">
        <is>
          <t>Đo GPS</t>
        </is>
      </c>
      <c r="I20" s="55" t="n">
        <v>46093</v>
      </c>
      <c r="J20" s="9" t="inlineStr">
        <is>
          <t>Hoàn thành</t>
        </is>
      </c>
    </row>
    <row r="21" ht="15.75" customHeight="1" s="56">
      <c r="A21" s="55" t="n">
        <v>46090.43002962963</v>
      </c>
      <c r="B21" s="9" t="inlineStr">
        <is>
          <t>108/BK-2026</t>
        </is>
      </c>
      <c r="C21" s="9" t="inlineStr">
        <is>
          <t>Đỗ Bình Trọng</t>
        </is>
      </c>
      <c r="D21" s="9" t="inlineStr">
        <is>
          <t>Long Trường</t>
        </is>
      </c>
      <c r="E21" s="9" t="inlineStr">
        <is>
          <t>Anh Hoàng Nhà Đầu Tư</t>
        </is>
      </c>
      <c r="F21" s="9" t="inlineStr">
        <is>
          <t>Lê Văn Dựng</t>
        </is>
      </c>
      <c r="G21" s="9" t="inlineStr">
        <is>
          <t>Không cần</t>
        </is>
      </c>
      <c r="H21" s="9" t="inlineStr">
        <is>
          <t>Cấp đổi</t>
        </is>
      </c>
      <c r="I21" s="55" t="n">
        <v>46091</v>
      </c>
      <c r="J21" s="9" t="inlineStr">
        <is>
          <t>Nộp thành công - Chờ kết quả</t>
        </is>
      </c>
    </row>
    <row r="22" ht="15.75" customHeight="1" s="56">
      <c r="A22" s="55" t="n">
        <v>46088.50399908565</v>
      </c>
      <c r="B22" s="9" t="inlineStr">
        <is>
          <t>107/BK-2026</t>
        </is>
      </c>
      <c r="C22" s="9" t="inlineStr">
        <is>
          <t>Bùi Đình Khánh</t>
        </is>
      </c>
      <c r="D22" s="9" t="inlineStr">
        <is>
          <t>Tăng Nhơn Phú</t>
        </is>
      </c>
      <c r="E22" s="9" t="inlineStr">
        <is>
          <t>Công Ty</t>
        </is>
      </c>
      <c r="F22" s="9" t="inlineStr">
        <is>
          <t>Võ Tứ Hợp</t>
        </is>
      </c>
      <c r="G22" s="9" t="inlineStr">
        <is>
          <t>Không cần</t>
        </is>
      </c>
      <c r="H22" s="9" t="inlineStr">
        <is>
          <t>Xin phép xây dựng</t>
        </is>
      </c>
      <c r="I22" s="55" t="n">
        <v>46091</v>
      </c>
      <c r="J22" s="9" t="inlineStr">
        <is>
          <t>Hủy</t>
        </is>
      </c>
    </row>
    <row r="23" ht="15.75" customHeight="1" s="56">
      <c r="A23" s="55" t="n">
        <v>46087.65157898148</v>
      </c>
      <c r="B23" s="9" t="inlineStr">
        <is>
          <t>106/BK-2026</t>
        </is>
      </c>
      <c r="C23" s="9" t="inlineStr">
        <is>
          <t>Trần Phi Long</t>
        </is>
      </c>
      <c r="D23" s="9" t="inlineStr">
        <is>
          <t>Tam Bình</t>
        </is>
      </c>
      <c r="E23" s="9" t="inlineStr">
        <is>
          <t>Công Ty</t>
        </is>
      </c>
      <c r="F23" s="9" t="inlineStr">
        <is>
          <t>Lê Văn Xây</t>
        </is>
      </c>
      <c r="G23" s="9" t="inlineStr">
        <is>
          <t>Võ Tứ Hợp</t>
        </is>
      </c>
      <c r="H23" s="9" t="inlineStr">
        <is>
          <t>Hoàn công</t>
        </is>
      </c>
      <c r="I23" s="55" t="n">
        <v>46090</v>
      </c>
      <c r="J23" s="9" t="inlineStr">
        <is>
          <t>Nộp thành công - Chờ kết quả</t>
        </is>
      </c>
    </row>
    <row r="24" ht="15.75" customHeight="1" s="56">
      <c r="A24" s="55" t="n">
        <v>46086.40096439815</v>
      </c>
      <c r="B24" s="9" t="inlineStr">
        <is>
          <t>105/BK-2026</t>
        </is>
      </c>
      <c r="C24" s="9" t="inlineStr">
        <is>
          <t>Phạm Thị Giao Linh</t>
        </is>
      </c>
      <c r="D24" s="9" t="inlineStr">
        <is>
          <t>Bình Trưng</t>
        </is>
      </c>
      <c r="E24" s="9" t="inlineStr">
        <is>
          <t>Tùng Huế DV</t>
        </is>
      </c>
      <c r="F24" s="9" t="inlineStr">
        <is>
          <t>Lê Văn Dựng</t>
        </is>
      </c>
      <c r="G24" s="9" t="inlineStr">
        <is>
          <t>Võ Tứ Hợp</t>
        </is>
      </c>
      <c r="H24" s="9" t="inlineStr">
        <is>
          <t>Cắm mốc</t>
        </is>
      </c>
      <c r="I24" s="55" t="n">
        <v>46089</v>
      </c>
      <c r="J24" s="9" t="inlineStr">
        <is>
          <t>Hoàn thành</t>
        </is>
      </c>
    </row>
    <row r="25" ht="15.75" customHeight="1" s="56">
      <c r="A25" s="55" t="n">
        <v>46085.69783217592</v>
      </c>
      <c r="B25" s="9" t="inlineStr">
        <is>
          <t>104/BK-2026</t>
        </is>
      </c>
      <c r="C25" s="9" t="inlineStr">
        <is>
          <t>Trương Quế Phương</t>
        </is>
      </c>
      <c r="D25" s="9" t="inlineStr">
        <is>
          <t>Hiệp Bình</t>
        </is>
      </c>
      <c r="E25" s="9" t="inlineStr">
        <is>
          <t>Công Ty</t>
        </is>
      </c>
      <c r="F25" s="9" t="inlineStr">
        <is>
          <t>Trương Tấn Quốc</t>
        </is>
      </c>
      <c r="G25" s="9" t="inlineStr">
        <is>
          <t>Võ Tứ Hợp</t>
        </is>
      </c>
      <c r="H25" s="9" t="inlineStr">
        <is>
          <t>Cấp sổ lần đầu</t>
        </is>
      </c>
      <c r="I25" s="55" t="n">
        <v>46088</v>
      </c>
      <c r="J25" s="9" t="inlineStr">
        <is>
          <t>Hoàn thành</t>
        </is>
      </c>
      <c r="K25" s="9" t="inlineStr">
        <is>
          <t>Lúc trước đã hủy, giờ vẽ nộp phường</t>
        </is>
      </c>
    </row>
    <row r="26" ht="15.75" customHeight="1" s="56">
      <c r="A26" s="55" t="n">
        <v>46085.67115841435</v>
      </c>
      <c r="B26" s="9" t="inlineStr">
        <is>
          <t>103/BK-2026</t>
        </is>
      </c>
      <c r="C26" s="9" t="inlineStr">
        <is>
          <t>Đỗ Thị Trang</t>
        </is>
      </c>
      <c r="D26" s="9" t="inlineStr">
        <is>
          <t>Tam Bình</t>
        </is>
      </c>
      <c r="E26" s="9" t="inlineStr">
        <is>
          <t>Công Ty</t>
        </is>
      </c>
      <c r="F26" s="9" t="inlineStr">
        <is>
          <t>Lê Văn Dựng</t>
        </is>
      </c>
      <c r="G26" s="9" t="inlineStr">
        <is>
          <t>Võ Tứ Hợp</t>
        </is>
      </c>
      <c r="H26" s="9" t="inlineStr">
        <is>
          <t>Cắm mốc</t>
        </is>
      </c>
      <c r="I26" s="55" t="n">
        <v>46088</v>
      </c>
      <c r="J26" s="9" t="inlineStr">
        <is>
          <t>Hoàn thành</t>
        </is>
      </c>
    </row>
    <row r="27" ht="15.75" customHeight="1" s="56">
      <c r="A27" s="55" t="n">
        <v>46085.48682413194</v>
      </c>
      <c r="B27" s="9" t="inlineStr">
        <is>
          <t>102/BK-2026</t>
        </is>
      </c>
      <c r="C27" s="9" t="inlineStr">
        <is>
          <t>Bùi Đình Khánh-Nguyễn Thị Kim Quyên</t>
        </is>
      </c>
      <c r="D27" s="9" t="inlineStr">
        <is>
          <t>Tăng Nhơn Phú</t>
        </is>
      </c>
      <c r="E27" s="9" t="inlineStr">
        <is>
          <t>Công Ty</t>
        </is>
      </c>
      <c r="F27" s="9" t="inlineStr">
        <is>
          <t>Trương Tấn Quốc</t>
        </is>
      </c>
      <c r="G27" s="9" t="inlineStr">
        <is>
          <t>Không cần</t>
        </is>
      </c>
      <c r="H27" s="9" t="inlineStr">
        <is>
          <t>Xác định diện tích</t>
        </is>
      </c>
      <c r="I27" s="55" t="n">
        <v>46088</v>
      </c>
      <c r="J27" s="9" t="inlineStr">
        <is>
          <t>Hoàn thành</t>
        </is>
      </c>
    </row>
    <row r="28" ht="15.75" customHeight="1" s="56">
      <c r="A28" s="55" t="n">
        <v>46085.477828125</v>
      </c>
      <c r="B28" s="9" t="inlineStr">
        <is>
          <t>101/BK-2026</t>
        </is>
      </c>
      <c r="C28" s="9" t="inlineStr">
        <is>
          <t>Lê Quang Thạnh</t>
        </is>
      </c>
      <c r="D28" s="9" t="inlineStr">
        <is>
          <t>Bình Trưng</t>
        </is>
      </c>
      <c r="E28" s="9" t="inlineStr">
        <is>
          <t>Công Ty</t>
        </is>
      </c>
      <c r="F28" s="9" t="inlineStr">
        <is>
          <t>Lê Văn Dựng</t>
        </is>
      </c>
      <c r="G28" s="9" t="inlineStr">
        <is>
          <t>Không cần</t>
        </is>
      </c>
      <c r="H28" s="9" t="inlineStr">
        <is>
          <t>Xác định diện tích</t>
        </is>
      </c>
      <c r="I28" s="55" t="n">
        <v>46088</v>
      </c>
      <c r="J28" s="9" t="inlineStr">
        <is>
          <t>Hoàn thành</t>
        </is>
      </c>
      <c r="K28" s="9" t="inlineStr">
        <is>
          <t>hồ sơ cấp đổi lấn thửa chủ nhà yêu cầu vẽ XDDT để đưa lên phường trình bày</t>
        </is>
      </c>
    </row>
    <row r="29" ht="15.75" customHeight="1" s="56">
      <c r="A29" s="55" t="n">
        <v>46085.46546380787</v>
      </c>
      <c r="B29" s="9" t="inlineStr">
        <is>
          <t>100/BK-2026</t>
        </is>
      </c>
      <c r="C29" s="9" t="inlineStr">
        <is>
          <t>Tô Thị MỸ Nương</t>
        </is>
      </c>
      <c r="D29" s="9" t="inlineStr">
        <is>
          <t>Cát Lái</t>
        </is>
      </c>
      <c r="E29" s="9" t="inlineStr">
        <is>
          <t>Tuấn Lộc</t>
        </is>
      </c>
      <c r="F29" s="9" t="inlineStr">
        <is>
          <t>Tạ Khắc Tập</t>
        </is>
      </c>
      <c r="G29" s="9" t="inlineStr">
        <is>
          <t>Võ Tứ Hợp</t>
        </is>
      </c>
      <c r="H29" s="9" t="inlineStr">
        <is>
          <t>Hoàn công</t>
        </is>
      </c>
      <c r="I29" s="55" t="n">
        <v>46088</v>
      </c>
      <c r="J29" s="9" t="inlineStr">
        <is>
          <t>Nộp thành công - Chờ kết quả</t>
        </is>
      </c>
    </row>
    <row r="30" ht="15.75" customHeight="1" s="56">
      <c r="A30" s="55" t="n">
        <v>46085.46424842592</v>
      </c>
      <c r="B30" s="9" t="inlineStr">
        <is>
          <t>099/BK-2026</t>
        </is>
      </c>
      <c r="C30" s="9" t="inlineStr">
        <is>
          <t>Phan Trong Quang</t>
        </is>
      </c>
      <c r="D30" s="9" t="inlineStr">
        <is>
          <t>Long Phước</t>
        </is>
      </c>
      <c r="E30" s="9" t="inlineStr">
        <is>
          <t>Công Ty</t>
        </is>
      </c>
      <c r="F30" s="9" t="inlineStr">
        <is>
          <t>Tạ Khắc Tập</t>
        </is>
      </c>
      <c r="G30" s="9" t="inlineStr">
        <is>
          <t>Võ Tứ Hợp</t>
        </is>
      </c>
      <c r="H30" s="9" t="inlineStr">
        <is>
          <t>Hoàn công</t>
        </is>
      </c>
      <c r="I30" s="55" t="n">
        <v>46088</v>
      </c>
    </row>
    <row r="31" ht="15.75" customHeight="1" s="56">
      <c r="A31" s="55" t="n">
        <v>46085.3810962037</v>
      </c>
      <c r="B31" s="9" t="inlineStr">
        <is>
          <t>098/BK-2026</t>
        </is>
      </c>
      <c r="C31" s="9" t="inlineStr">
        <is>
          <t>Nguyễn Thị Cẩm Vân</t>
        </is>
      </c>
      <c r="D31" s="9" t="inlineStr">
        <is>
          <t>Long Phước</t>
        </is>
      </c>
      <c r="E31" s="9" t="inlineStr">
        <is>
          <t>Công Ty</t>
        </is>
      </c>
      <c r="F31" s="9" t="inlineStr">
        <is>
          <t>Lê Văn Dựng</t>
        </is>
      </c>
      <c r="G31" s="9" t="inlineStr">
        <is>
          <t>Không cần</t>
        </is>
      </c>
      <c r="H31" s="9" t="inlineStr">
        <is>
          <t>Cắm mốc</t>
        </is>
      </c>
      <c r="I31" s="55" t="n">
        <v>46088</v>
      </c>
      <c r="J31" s="9" t="inlineStr">
        <is>
          <t>Hoàn thành</t>
        </is>
      </c>
    </row>
    <row r="32" ht="15.75" customHeight="1" s="56">
      <c r="A32" s="55" t="n">
        <v>46084.40153834491</v>
      </c>
      <c r="B32" s="9" t="inlineStr">
        <is>
          <t>097/BK-2026</t>
        </is>
      </c>
      <c r="C32" s="9" t="inlineStr">
        <is>
          <t>Nguyễn Thị Ngọc Thuận</t>
        </is>
      </c>
      <c r="D32" s="9" t="inlineStr">
        <is>
          <t>Long Trường</t>
        </is>
      </c>
      <c r="E32" s="9" t="inlineStr">
        <is>
          <t>Tuấn Lộc</t>
        </is>
      </c>
      <c r="F32" s="9" t="inlineStr">
        <is>
          <t>Lê Văn Xây</t>
        </is>
      </c>
      <c r="G32" s="9" t="inlineStr">
        <is>
          <t>Võ Tứ Hợp</t>
        </is>
      </c>
      <c r="H32" s="9" t="inlineStr">
        <is>
          <t>Hoàn công</t>
        </is>
      </c>
      <c r="I32" s="55" t="n">
        <v>46087</v>
      </c>
    </row>
    <row r="33" ht="15.75" customHeight="1" s="56">
      <c r="A33" s="55" t="n">
        <v>46084.39602810185</v>
      </c>
      <c r="B33" s="9" t="inlineStr">
        <is>
          <t>096/BK-2026</t>
        </is>
      </c>
      <c r="C33" s="9" t="inlineStr">
        <is>
          <t>Nguyễn Quốc Chiến-Trần Thị Thu Hương</t>
        </is>
      </c>
      <c r="D33" s="9" t="inlineStr">
        <is>
          <t>An Khánh</t>
        </is>
      </c>
      <c r="E33" s="9" t="inlineStr">
        <is>
          <t>Công Ty</t>
        </is>
      </c>
      <c r="F33" s="9" t="inlineStr">
        <is>
          <t>Trương Tấn Quốc</t>
        </is>
      </c>
      <c r="G33" s="9" t="inlineStr">
        <is>
          <t>Võ Tứ Hợp</t>
        </is>
      </c>
      <c r="H33" s="9" t="inlineStr">
        <is>
          <t>Cấp đổi</t>
        </is>
      </c>
      <c r="I33" s="55" t="n">
        <v>46087</v>
      </c>
      <c r="J33" s="9" t="inlineStr">
        <is>
          <t>Nộp thành công - Chờ kết quả</t>
        </is>
      </c>
    </row>
    <row r="34" ht="15.75" customHeight="1" s="56">
      <c r="A34" s="55" t="n">
        <v>46083.41458892361</v>
      </c>
      <c r="B34" s="9" t="inlineStr">
        <is>
          <t>095/BK-2026</t>
        </is>
      </c>
      <c r="C34" s="9" t="inlineStr">
        <is>
          <t>Nguyễn Hoàng Tấn</t>
        </is>
      </c>
      <c r="D34" s="9" t="inlineStr">
        <is>
          <t>Hiệp Bình</t>
        </is>
      </c>
      <c r="E34" s="9" t="inlineStr">
        <is>
          <t>Nguyễn Tâm DV</t>
        </is>
      </c>
      <c r="F34" s="9" t="inlineStr">
        <is>
          <t>Tạ Khắc Tập</t>
        </is>
      </c>
      <c r="G34" s="9" t="inlineStr">
        <is>
          <t>Lê Tấn Đạt</t>
        </is>
      </c>
      <c r="H34" s="9" t="inlineStr">
        <is>
          <t>Cấp sổ lần đầu</t>
        </is>
      </c>
      <c r="I34" s="55" t="n">
        <v>46086</v>
      </c>
      <c r="J34" s="9" t="inlineStr">
        <is>
          <t>Hoàn thành</t>
        </is>
      </c>
    </row>
    <row r="35" ht="15.75" customHeight="1" s="56">
      <c r="A35" s="55" t="n">
        <v>46080.66982883102</v>
      </c>
      <c r="B35" s="9" t="inlineStr">
        <is>
          <t>094/BK-2026</t>
        </is>
      </c>
      <c r="C35" s="9" t="inlineStr">
        <is>
          <t>Lê Quang Thạnh</t>
        </is>
      </c>
      <c r="D35" s="9" t="inlineStr">
        <is>
          <t>Bình Trưng</t>
        </is>
      </c>
      <c r="E35" s="9" t="inlineStr">
        <is>
          <t>Công Ty</t>
        </is>
      </c>
      <c r="F35" s="9" t="inlineStr">
        <is>
          <t>Lê Văn Dựng</t>
        </is>
      </c>
      <c r="G35" s="9" t="inlineStr">
        <is>
          <t>Võ Tứ Hợp</t>
        </is>
      </c>
      <c r="H35" s="9" t="inlineStr">
        <is>
          <t>Cấp đổi</t>
        </is>
      </c>
      <c r="I35" s="55" t="n">
        <v>46083</v>
      </c>
      <c r="K35" s="9" t="inlineStr">
        <is>
          <t>Đợi chủ nhà đập hàng rào</t>
        </is>
      </c>
    </row>
    <row r="36" ht="15.75" customHeight="1" s="56">
      <c r="A36" s="55" t="n">
        <v>46080.66769961805</v>
      </c>
      <c r="B36" s="9" t="inlineStr">
        <is>
          <t>093/BK-2026</t>
        </is>
      </c>
      <c r="C36" s="9" t="inlineStr">
        <is>
          <t>Thái Thị Bích Vân</t>
        </is>
      </c>
      <c r="D36" s="9" t="inlineStr">
        <is>
          <t>Hiệp Bình</t>
        </is>
      </c>
      <c r="E36" s="9" t="inlineStr">
        <is>
          <t>Anh Duẩn DV</t>
        </is>
      </c>
      <c r="F36" s="9" t="inlineStr">
        <is>
          <t>Lê Văn Dựng</t>
        </is>
      </c>
      <c r="G36" s="9" t="inlineStr">
        <is>
          <t>Võ Tứ Hợp</t>
        </is>
      </c>
      <c r="H36" s="9" t="inlineStr">
        <is>
          <t>Cắm mốc</t>
        </is>
      </c>
      <c r="I36" s="55" t="n">
        <v>46083</v>
      </c>
      <c r="J36" s="9" t="inlineStr">
        <is>
          <t>Hoàn thành</t>
        </is>
      </c>
    </row>
    <row r="37" ht="15.75" customHeight="1" s="56">
      <c r="A37" s="55" t="n">
        <v>46080.61243451389</v>
      </c>
      <c r="B37" s="9" t="inlineStr">
        <is>
          <t>092/BK-2026</t>
        </is>
      </c>
      <c r="C37" s="9" t="inlineStr">
        <is>
          <t>Phạm Thị Giao Linh</t>
        </is>
      </c>
      <c r="D37" s="9" t="inlineStr">
        <is>
          <t>Bình Trưng</t>
        </is>
      </c>
      <c r="E37" s="9" t="inlineStr">
        <is>
          <t>Tùng Huế DV</t>
        </is>
      </c>
      <c r="F37" s="9" t="inlineStr">
        <is>
          <t>Trương Tấn Quốc</t>
        </is>
      </c>
      <c r="G37" s="9" t="inlineStr">
        <is>
          <t>Không cần</t>
        </is>
      </c>
      <c r="H37" s="9" t="inlineStr">
        <is>
          <t>Điều chỉnh bản vẽ</t>
        </is>
      </c>
      <c r="I37" s="55" t="n">
        <v>46083</v>
      </c>
      <c r="J37" s="9" t="inlineStr">
        <is>
          <t>Nộp thành công - Chờ kết quả</t>
        </is>
      </c>
      <c r="K37" s="9" t="inlineStr">
        <is>
          <t>Cần cắm lại trụ</t>
        </is>
      </c>
    </row>
    <row r="38" ht="15.75" customHeight="1" s="56">
      <c r="A38" s="55" t="n">
        <v>46080.4685796412</v>
      </c>
      <c r="B38" s="9" t="inlineStr">
        <is>
          <t>091/BK-2026</t>
        </is>
      </c>
      <c r="C38" s="9" t="inlineStr">
        <is>
          <t>Tôn Phượng Nga</t>
        </is>
      </c>
      <c r="D38" s="9" t="inlineStr">
        <is>
          <t>Long Phước</t>
        </is>
      </c>
      <c r="E38" s="9" t="inlineStr">
        <is>
          <t>Công Ty</t>
        </is>
      </c>
      <c r="F38" s="9" t="inlineStr">
        <is>
          <t>Trương Tấn Quốc</t>
        </is>
      </c>
      <c r="G38" s="9" t="inlineStr">
        <is>
          <t>Không cần</t>
        </is>
      </c>
      <c r="H38" s="9" t="inlineStr">
        <is>
          <t>Điều chỉnh bản vẽ</t>
        </is>
      </c>
      <c r="I38" s="55" t="n">
        <v>46083</v>
      </c>
      <c r="K38" s="9" t="inlineStr">
        <is>
          <t>Cần cắm lại trụ</t>
        </is>
      </c>
    </row>
    <row r="39" ht="15.75" customHeight="1" s="56">
      <c r="A39" s="55" t="n">
        <v>46062.7025265162</v>
      </c>
      <c r="B39" s="9" t="inlineStr">
        <is>
          <t>090/BK-2026</t>
        </is>
      </c>
      <c r="C39" s="9" t="inlineStr">
        <is>
          <t>Ngô Thị Việt Hà - Nguyễn Văn Hoàng</t>
        </is>
      </c>
      <c r="D39" s="9" t="inlineStr">
        <is>
          <t>Cát Lái</t>
        </is>
      </c>
      <c r="E39" s="9" t="inlineStr">
        <is>
          <t>Công Ty</t>
        </is>
      </c>
      <c r="F39" s="9" t="inlineStr">
        <is>
          <t>Võ Thành Minh</t>
        </is>
      </c>
      <c r="G39" s="9" t="inlineStr">
        <is>
          <t>Không cần</t>
        </is>
      </c>
      <c r="H39" s="9" t="inlineStr">
        <is>
          <t>Xin phép xây dựng</t>
        </is>
      </c>
      <c r="I39" s="55" t="n">
        <v>46065</v>
      </c>
      <c r="J39" s="9" t="inlineStr">
        <is>
          <t>Nộp thành công - Chờ kết quả</t>
        </is>
      </c>
      <c r="K39" s="9" t="inlineStr">
        <is>
          <t>Đợi chủ nhà trích lục bản vẽ sơ đồ vị trí</t>
        </is>
      </c>
    </row>
    <row r="40" ht="15.75" customHeight="1" s="56">
      <c r="A40" s="55" t="n">
        <v>46060.36946087963</v>
      </c>
      <c r="B40" s="9" t="inlineStr">
        <is>
          <t>089/BK-2026</t>
        </is>
      </c>
      <c r="C40" s="9" t="inlineStr">
        <is>
          <t>Phan Xuân Phước-Nguyễn Thị Bích Thủy</t>
        </is>
      </c>
      <c r="D40" s="9" t="inlineStr">
        <is>
          <t>Thủ Đức</t>
        </is>
      </c>
      <c r="E40" s="9" t="inlineStr">
        <is>
          <t>Công Ty</t>
        </is>
      </c>
      <c r="F40" s="9" t="inlineStr">
        <is>
          <t>Trương Tấn Quốc</t>
        </is>
      </c>
      <c r="G40" s="9" t="inlineStr">
        <is>
          <t>Võ Tứ Hợp</t>
        </is>
      </c>
      <c r="H40" s="9" t="inlineStr">
        <is>
          <t>Hoàn công</t>
        </is>
      </c>
      <c r="I40" s="55" t="n">
        <v>46063</v>
      </c>
      <c r="J40" s="9" t="inlineStr">
        <is>
          <t>Hoàn thành</t>
        </is>
      </c>
    </row>
    <row r="41" ht="15.75" customHeight="1" s="56">
      <c r="A41" s="55" t="n">
        <v>46059.3863867824</v>
      </c>
      <c r="B41" s="9" t="inlineStr">
        <is>
          <t>088/BK-2026</t>
        </is>
      </c>
      <c r="C41" s="9" t="inlineStr">
        <is>
          <t>Nguyễn Quỳnh Lê- Nguyễn Thảo Linh</t>
        </is>
      </c>
      <c r="D41" s="9" t="inlineStr">
        <is>
          <t>Cát Lái</t>
        </is>
      </c>
      <c r="E41" s="9" t="inlineStr">
        <is>
          <t>Công Ty</t>
        </is>
      </c>
      <c r="F41" s="9" t="inlineStr">
        <is>
          <t>Tạ Khắc Tập</t>
        </is>
      </c>
      <c r="G41" s="9" t="inlineStr">
        <is>
          <t>Võ Tứ Hợp</t>
        </is>
      </c>
      <c r="H41" s="9" t="inlineStr">
        <is>
          <t>Cắm mốc</t>
        </is>
      </c>
      <c r="I41" s="55" t="n">
        <v>46062</v>
      </c>
      <c r="J41" s="9" t="inlineStr">
        <is>
          <t>Hoàn thành</t>
        </is>
      </c>
      <c r="K41" s="9" t="inlineStr">
        <is>
          <t>( Xây+Tâp)-Hơp</t>
        </is>
      </c>
    </row>
    <row r="42" ht="15.75" customHeight="1" s="56">
      <c r="A42" s="55" t="n">
        <v>46059.38212143518</v>
      </c>
      <c r="B42" s="9" t="inlineStr">
        <is>
          <t>087/BK-2026</t>
        </is>
      </c>
      <c r="C42" s="9" t="inlineStr">
        <is>
          <t>Đỗ Thị Trang</t>
        </is>
      </c>
      <c r="D42" s="9" t="inlineStr">
        <is>
          <t>Tam Bình</t>
        </is>
      </c>
      <c r="E42" s="9" t="inlineStr">
        <is>
          <t>Công Ty</t>
        </is>
      </c>
      <c r="F42" s="9" t="inlineStr">
        <is>
          <t>Tạ Khắc Tập</t>
        </is>
      </c>
      <c r="G42" s="9" t="inlineStr">
        <is>
          <t>Võ Tứ Hợp</t>
        </is>
      </c>
      <c r="H42" s="9" t="inlineStr">
        <is>
          <t>Cắm mốc</t>
        </is>
      </c>
      <c r="I42" s="55" t="n">
        <v>46062</v>
      </c>
      <c r="J42" s="9" t="inlineStr">
        <is>
          <t>Hoàn thành</t>
        </is>
      </c>
    </row>
    <row r="43" ht="15.75" customHeight="1" s="56">
      <c r="A43" s="55" t="n">
        <v>46059.38066015046</v>
      </c>
      <c r="B43" s="9" t="inlineStr">
        <is>
          <t>086/BK-2026</t>
        </is>
      </c>
      <c r="C43" s="9" t="inlineStr">
        <is>
          <t>Đỗ Thị Trang</t>
        </is>
      </c>
      <c r="D43" s="9" t="inlineStr">
        <is>
          <t>Tam Bình</t>
        </is>
      </c>
      <c r="E43" s="9" t="inlineStr">
        <is>
          <t>Công Ty</t>
        </is>
      </c>
      <c r="F43" s="9" t="inlineStr">
        <is>
          <t>Tạ Khắc Tập</t>
        </is>
      </c>
      <c r="G43" s="9" t="inlineStr">
        <is>
          <t>Võ Tứ Hợp</t>
        </is>
      </c>
      <c r="H43" s="9" t="inlineStr">
        <is>
          <t>Cắm mốc</t>
        </is>
      </c>
      <c r="I43" s="55" t="n">
        <v>46062</v>
      </c>
      <c r="J43" s="9" t="inlineStr">
        <is>
          <t>Hoàn thành</t>
        </is>
      </c>
    </row>
    <row r="44" ht="15.75" customHeight="1" s="56">
      <c r="A44" s="55" t="n">
        <v>46058.75035353009</v>
      </c>
      <c r="B44" s="9" t="inlineStr">
        <is>
          <t>085/BK-2026</t>
        </is>
      </c>
      <c r="C44" s="9" t="inlineStr">
        <is>
          <t>Lê Tiến Nhật Minh</t>
        </is>
      </c>
      <c r="D44" s="9" t="inlineStr">
        <is>
          <t>Hiệp Bình</t>
        </is>
      </c>
      <c r="E44" s="9" t="inlineStr">
        <is>
          <t>Công Ty</t>
        </is>
      </c>
      <c r="F44" s="9" t="inlineStr">
        <is>
          <t>Trương Tấn Quốc</t>
        </is>
      </c>
      <c r="G44" s="9" t="inlineStr">
        <is>
          <t>Không cần</t>
        </is>
      </c>
      <c r="H44" s="9" t="inlineStr">
        <is>
          <t>Xác định diện tích</t>
        </is>
      </c>
      <c r="I44" s="55" t="n">
        <v>46061</v>
      </c>
      <c r="J44" s="9" t="inlineStr">
        <is>
          <t>Hoàn thành</t>
        </is>
      </c>
      <c r="K44" s="9" t="inlineStr">
        <is>
          <t>Đã hoàn thành</t>
        </is>
      </c>
    </row>
    <row r="45" ht="15.75" customHeight="1" s="56">
      <c r="A45" s="55" t="n">
        <v>46057.64603446759</v>
      </c>
      <c r="B45" s="9" t="inlineStr">
        <is>
          <t>084/BK-2026</t>
        </is>
      </c>
      <c r="C45" s="9" t="inlineStr">
        <is>
          <t>Đinh Văn Hòa</t>
        </is>
      </c>
      <c r="D45" s="9" t="inlineStr">
        <is>
          <t>Cát Lái</t>
        </is>
      </c>
      <c r="E45" s="9" t="inlineStr">
        <is>
          <t>Anh Tùng Bất Động Sản</t>
        </is>
      </c>
      <c r="F45" s="9" t="inlineStr">
        <is>
          <t>Võ Thành Minh</t>
        </is>
      </c>
      <c r="G45" s="9" t="inlineStr">
        <is>
          <t>Không cần</t>
        </is>
      </c>
      <c r="H45" s="9" t="inlineStr">
        <is>
          <t>Xin phép xây dựng</t>
        </is>
      </c>
      <c r="I45" s="55" t="n">
        <v>46060</v>
      </c>
      <c r="J45" s="9" t="inlineStr">
        <is>
          <t>Hủy</t>
        </is>
      </c>
    </row>
    <row r="46" ht="15.75" customHeight="1" s="56">
      <c r="A46" s="55" t="n">
        <v>46057.51848432871</v>
      </c>
      <c r="B46" s="9" t="inlineStr">
        <is>
          <t>083/BK-2026</t>
        </is>
      </c>
      <c r="C46" s="9" t="inlineStr">
        <is>
          <t>Vũ Thị Thùy Trang</t>
        </is>
      </c>
      <c r="D46" s="9" t="inlineStr">
        <is>
          <t>Hiệp Bình</t>
        </is>
      </c>
      <c r="E46" s="9" t="inlineStr">
        <is>
          <t>Công Ty</t>
        </is>
      </c>
      <c r="F46" s="9" t="inlineStr">
        <is>
          <t>Tạ Khắc Tập</t>
        </is>
      </c>
      <c r="G46" s="9" t="inlineStr">
        <is>
          <t>Võ Tứ Hợp</t>
        </is>
      </c>
      <c r="H46" s="9" t="inlineStr">
        <is>
          <t>Cấp đổi</t>
        </is>
      </c>
      <c r="I46" s="55" t="n">
        <v>46060</v>
      </c>
      <c r="J46" s="9" t="inlineStr">
        <is>
          <t>Hủy</t>
        </is>
      </c>
    </row>
    <row r="47" ht="15.75" customHeight="1" s="56">
      <c r="A47" s="55" t="n">
        <v>46057.51694818287</v>
      </c>
      <c r="B47" s="9" t="inlineStr">
        <is>
          <t>082/BK-2026</t>
        </is>
      </c>
      <c r="C47" s="9" t="inlineStr">
        <is>
          <t>Nguyễn Thị Hồng Trâm</t>
        </is>
      </c>
      <c r="D47" s="9" t="inlineStr">
        <is>
          <t>Hiệp Bình</t>
        </is>
      </c>
      <c r="E47" s="9" t="inlineStr">
        <is>
          <t>Cô Hoa</t>
        </is>
      </c>
      <c r="F47" s="9" t="inlineStr">
        <is>
          <t>Tạ Khắc Tập</t>
        </is>
      </c>
      <c r="G47" s="9" t="inlineStr">
        <is>
          <t>Võ Tứ Hợp</t>
        </is>
      </c>
      <c r="H47" s="9" t="inlineStr">
        <is>
          <t>Cấp đổi</t>
        </is>
      </c>
      <c r="I47" s="55" t="n">
        <v>46060</v>
      </c>
      <c r="J47" s="9" t="inlineStr">
        <is>
          <t>Nộp thành công - Chờ kết quả</t>
        </is>
      </c>
    </row>
    <row r="48" ht="15.75" customHeight="1" s="56">
      <c r="A48" s="55" t="n">
        <v>46057.51594277778</v>
      </c>
      <c r="B48" s="9" t="inlineStr">
        <is>
          <t>081/BK-2026</t>
        </is>
      </c>
      <c r="C48" s="9" t="inlineStr">
        <is>
          <t>La Thị Thanh Duyên</t>
        </is>
      </c>
      <c r="D48" s="9" t="inlineStr">
        <is>
          <t>Tam Bình</t>
        </is>
      </c>
      <c r="E48" s="9" t="inlineStr">
        <is>
          <t>Công Ty</t>
        </is>
      </c>
      <c r="F48" s="9" t="inlineStr">
        <is>
          <t>Tạ Khắc Tập</t>
        </is>
      </c>
      <c r="G48" s="9" t="inlineStr">
        <is>
          <t>Võ Tứ Hợp</t>
        </is>
      </c>
      <c r="H48" s="9" t="inlineStr">
        <is>
          <t>Cắm mốc</t>
        </is>
      </c>
      <c r="I48" s="55" t="n">
        <v>46060</v>
      </c>
      <c r="J48" s="9" t="inlineStr">
        <is>
          <t>Hoàn thành</t>
        </is>
      </c>
    </row>
    <row r="49" ht="15.75" customHeight="1" s="56">
      <c r="A49" s="55" t="n">
        <v>46057.51480253472</v>
      </c>
      <c r="B49" s="9" t="inlineStr">
        <is>
          <t>080/BK-2026</t>
        </is>
      </c>
      <c r="C49" s="9" t="inlineStr">
        <is>
          <t>Nguyễn Thị Ngọc Thảo</t>
        </is>
      </c>
      <c r="D49" s="9" t="inlineStr">
        <is>
          <t>Phước Long</t>
        </is>
      </c>
      <c r="E49" s="9" t="inlineStr">
        <is>
          <t>Đạt Việt Phát Land</t>
        </is>
      </c>
      <c r="F49" s="9" t="inlineStr">
        <is>
          <t>Tạ Khắc Tập</t>
        </is>
      </c>
      <c r="G49" s="9" t="inlineStr">
        <is>
          <t>Không cần</t>
        </is>
      </c>
      <c r="H49" s="9" t="inlineStr">
        <is>
          <t>Cắm mốc</t>
        </is>
      </c>
      <c r="I49" s="55" t="n">
        <v>46060</v>
      </c>
      <c r="J49" s="9" t="inlineStr">
        <is>
          <t>Hoàn thành</t>
        </is>
      </c>
    </row>
    <row r="50" ht="15.75" customHeight="1" s="56">
      <c r="A50" s="55" t="n">
        <v>46057.420201875</v>
      </c>
      <c r="B50" s="9" t="inlineStr">
        <is>
          <t>079/BK-2026</t>
        </is>
      </c>
      <c r="C50" s="9" t="inlineStr">
        <is>
          <t>Nguyễn Quỳnh Lê</t>
        </is>
      </c>
      <c r="D50" s="9" t="inlineStr">
        <is>
          <t>Cát Lái</t>
        </is>
      </c>
      <c r="E50" s="9" t="inlineStr">
        <is>
          <t>Công Ty</t>
        </is>
      </c>
      <c r="F50" s="9" t="inlineStr">
        <is>
          <t>Lê Văn Xây</t>
        </is>
      </c>
      <c r="G50" s="9" t="inlineStr">
        <is>
          <t>Võ Tứ Hợp</t>
        </is>
      </c>
      <c r="H50" s="9" t="inlineStr">
        <is>
          <t>Cấp đổi</t>
        </is>
      </c>
      <c r="I50" s="55" t="n">
        <v>46060</v>
      </c>
      <c r="J50" s="9" t="inlineStr">
        <is>
          <t>Hoàn thành</t>
        </is>
      </c>
    </row>
    <row r="51" ht="15.75" customHeight="1" s="56">
      <c r="A51" s="55" t="n">
        <v>46057.41771206018</v>
      </c>
      <c r="B51" s="9" t="inlineStr">
        <is>
          <t>078/BK-2026</t>
        </is>
      </c>
      <c r="C51" s="9" t="inlineStr">
        <is>
          <t>Lê Minh Thạnh</t>
        </is>
      </c>
      <c r="D51" s="9" t="inlineStr">
        <is>
          <t>Tam Bình</t>
        </is>
      </c>
      <c r="E51" s="9" t="inlineStr">
        <is>
          <t>Công Ty</t>
        </is>
      </c>
      <c r="F51" s="9" t="inlineStr">
        <is>
          <t>Lê Văn Xây</t>
        </is>
      </c>
      <c r="G51" s="9" t="inlineStr">
        <is>
          <t>Võ Tứ Hợp</t>
        </is>
      </c>
      <c r="H51" s="9" t="inlineStr">
        <is>
          <t>Cấp đổi</t>
        </is>
      </c>
      <c r="I51" s="55" t="n">
        <v>46060</v>
      </c>
      <c r="J51" s="9" t="inlineStr">
        <is>
          <t>Hoàn thành</t>
        </is>
      </c>
    </row>
    <row r="52" ht="15.75" customHeight="1" s="56">
      <c r="A52" s="55" t="n">
        <v>46056.57294920139</v>
      </c>
      <c r="B52" s="9" t="inlineStr">
        <is>
          <t>077/BK-2026</t>
        </is>
      </c>
      <c r="C52" s="9" t="inlineStr">
        <is>
          <t>Nguyễn Phạm Hoài Vy</t>
        </is>
      </c>
      <c r="D52" s="9" t="inlineStr">
        <is>
          <t>Hiệp Bình</t>
        </is>
      </c>
      <c r="E52" s="9" t="inlineStr">
        <is>
          <t>Anh Long PCT</t>
        </is>
      </c>
      <c r="F52" s="9" t="inlineStr">
        <is>
          <t>Lê Văn Dựng</t>
        </is>
      </c>
      <c r="G52" s="9" t="inlineStr">
        <is>
          <t>Không cần</t>
        </is>
      </c>
      <c r="H52" s="9" t="inlineStr">
        <is>
          <t>Xác định diện tích</t>
        </is>
      </c>
      <c r="I52" s="55" t="n">
        <v>46059</v>
      </c>
      <c r="J52" s="9" t="inlineStr">
        <is>
          <t>Hoàn thành</t>
        </is>
      </c>
    </row>
    <row r="53" ht="15.75" customHeight="1" s="56">
      <c r="A53" s="55" t="n">
        <v>46056.57240847222</v>
      </c>
      <c r="B53" s="9" t="inlineStr">
        <is>
          <t>076/BK-2026</t>
        </is>
      </c>
      <c r="C53" s="9" t="inlineStr">
        <is>
          <t>Phan Thị Tố Như</t>
        </is>
      </c>
      <c r="D53" s="9" t="inlineStr">
        <is>
          <t>Hiệp Bình</t>
        </is>
      </c>
      <c r="E53" s="9" t="inlineStr">
        <is>
          <t>Anh Long PCT</t>
        </is>
      </c>
      <c r="F53" s="9" t="inlineStr">
        <is>
          <t>Lê Văn Dựng</t>
        </is>
      </c>
      <c r="G53" s="9" t="inlineStr">
        <is>
          <t>Không cần</t>
        </is>
      </c>
      <c r="H53" s="9" t="inlineStr">
        <is>
          <t>Xác định diện tích</t>
        </is>
      </c>
      <c r="I53" s="55" t="n">
        <v>46059</v>
      </c>
      <c r="J53" s="9" t="inlineStr">
        <is>
          <t>Hoàn thành</t>
        </is>
      </c>
    </row>
    <row r="54" ht="15.75" customHeight="1" s="56">
      <c r="A54" s="55" t="n">
        <v>46056.47124886574</v>
      </c>
      <c r="B54" s="9" t="inlineStr">
        <is>
          <t>075/BK-2026</t>
        </is>
      </c>
      <c r="C54" s="9" t="inlineStr">
        <is>
          <t>Hoàng Thị Cúc</t>
        </is>
      </c>
      <c r="D54" s="9" t="inlineStr">
        <is>
          <t>Phước Long</t>
        </is>
      </c>
      <c r="E54" s="9" t="inlineStr">
        <is>
          <t>Công Ty</t>
        </is>
      </c>
      <c r="F54" s="9" t="inlineStr">
        <is>
          <t>Trương Tấn Quốc</t>
        </is>
      </c>
      <c r="G54" s="9" t="inlineStr">
        <is>
          <t>Không cần</t>
        </is>
      </c>
      <c r="H54" s="9" t="inlineStr">
        <is>
          <t>Điều chỉnh bản vẽ</t>
        </is>
      </c>
      <c r="I54" s="55" t="n">
        <v>46059</v>
      </c>
      <c r="J54" s="9" t="inlineStr">
        <is>
          <t>Nộp thành công - Chờ kết quả</t>
        </is>
      </c>
      <c r="K54" s="9" t="inlineStr">
        <is>
          <t>Chưa bổ sung bản vẽ xin phép</t>
        </is>
      </c>
    </row>
    <row r="55" ht="15.75" customHeight="1" s="56">
      <c r="A55" s="55" t="n">
        <v>46055.58106116898</v>
      </c>
      <c r="B55" s="9" t="inlineStr">
        <is>
          <t>074/BK-2026</t>
        </is>
      </c>
      <c r="C55" s="9" t="inlineStr">
        <is>
          <t>Nguyễn Hoàng Phong</t>
        </is>
      </c>
      <c r="D55" s="9" t="inlineStr">
        <is>
          <t>Thủ Đức</t>
        </is>
      </c>
      <c r="E55" s="9" t="inlineStr">
        <is>
          <t>Đạt Việt Phát Land</t>
        </is>
      </c>
      <c r="F55" s="9" t="inlineStr">
        <is>
          <t>Lê Văn Xây</t>
        </is>
      </c>
      <c r="G55" s="9" t="inlineStr">
        <is>
          <t>Võ Tứ Hợp</t>
        </is>
      </c>
      <c r="H55" s="9" t="inlineStr">
        <is>
          <t>Xác định diện tích</t>
        </is>
      </c>
      <c r="I55" s="55" t="n">
        <v>46058</v>
      </c>
      <c r="J55" s="9" t="inlineStr">
        <is>
          <t>Hoàn thành</t>
        </is>
      </c>
    </row>
    <row r="56" ht="15.75" customHeight="1" s="56">
      <c r="A56" s="55" t="n">
        <v>46055.57987210648</v>
      </c>
      <c r="B56" s="9" t="inlineStr">
        <is>
          <t>073/BK-2026</t>
        </is>
      </c>
      <c r="C56" s="9" t="inlineStr">
        <is>
          <t>Đào Thị Hòa</t>
        </is>
      </c>
      <c r="D56" s="9" t="inlineStr">
        <is>
          <t>Thủ Đức</t>
        </is>
      </c>
      <c r="E56" s="9" t="inlineStr">
        <is>
          <t>Chị Xuân DV</t>
        </is>
      </c>
      <c r="F56" s="9" t="inlineStr">
        <is>
          <t>Lê Văn Xây</t>
        </is>
      </c>
      <c r="G56" s="9" t="inlineStr">
        <is>
          <t>Võ Tứ Hợp</t>
        </is>
      </c>
      <c r="H56" s="9" t="inlineStr">
        <is>
          <t>Cấp đổi</t>
        </is>
      </c>
      <c r="I56" s="55" t="n">
        <v>46058</v>
      </c>
      <c r="J56" s="9" t="inlineStr">
        <is>
          <t>Hoàn thành</t>
        </is>
      </c>
    </row>
    <row r="57" ht="15.75" customHeight="1" s="56">
      <c r="A57" s="55" t="n">
        <v>46053.65752282408</v>
      </c>
      <c r="B57" s="9" t="inlineStr">
        <is>
          <t>072/BK-2026</t>
        </is>
      </c>
      <c r="C57" s="9" t="inlineStr">
        <is>
          <t>Nguyễn Đình Phan- Nguyễn Thị Sa</t>
        </is>
      </c>
      <c r="D57" s="9" t="inlineStr">
        <is>
          <t>Tam Bình</t>
        </is>
      </c>
      <c r="E57" s="9" t="inlineStr">
        <is>
          <t>Công Ty</t>
        </is>
      </c>
      <c r="F57" s="9" t="inlineStr">
        <is>
          <t>Tạ Khắc Tập</t>
        </is>
      </c>
      <c r="G57" s="9" t="inlineStr">
        <is>
          <t>Võ Tứ Hợp</t>
        </is>
      </c>
      <c r="H57" s="9" t="inlineStr">
        <is>
          <t>Tách Thửa</t>
        </is>
      </c>
      <c r="I57" s="55" t="n">
        <v>46056</v>
      </c>
    </row>
    <row r="58" ht="15.75" customHeight="1" s="56">
      <c r="A58" s="55" t="n">
        <v>46052.71768907407</v>
      </c>
      <c r="B58" s="9" t="inlineStr">
        <is>
          <t>071/BK-2026</t>
        </is>
      </c>
      <c r="C58" s="9" t="inlineStr">
        <is>
          <t>Nguyễn Kim Chi</t>
        </is>
      </c>
      <c r="D58" s="9" t="inlineStr">
        <is>
          <t>An Khánh</t>
        </is>
      </c>
      <c r="E58" s="9" t="inlineStr">
        <is>
          <t>Công Ty</t>
        </is>
      </c>
      <c r="F58" s="9" t="inlineStr">
        <is>
          <t>Võ Thành Minh</t>
        </is>
      </c>
      <c r="G58" s="9" t="inlineStr">
        <is>
          <t>Không cần</t>
        </is>
      </c>
      <c r="H58" s="9" t="inlineStr">
        <is>
          <t>Xin phép xây dựng</t>
        </is>
      </c>
      <c r="I58" s="55" t="n">
        <v>46055</v>
      </c>
      <c r="J58" s="9" t="inlineStr">
        <is>
          <t>Nộp thành công - Chờ kết quả</t>
        </is>
      </c>
    </row>
    <row r="59" ht="15.75" customHeight="1" s="56">
      <c r="A59" s="55" t="n">
        <v>46052.71522818287</v>
      </c>
      <c r="B59" s="9" t="inlineStr">
        <is>
          <t>070/BK-2026</t>
        </is>
      </c>
      <c r="C59" s="9" t="inlineStr">
        <is>
          <t>Đinh Gia Trí</t>
        </is>
      </c>
      <c r="D59" s="9" t="inlineStr">
        <is>
          <t>Bình Trưng</t>
        </is>
      </c>
      <c r="E59" s="9" t="inlineStr">
        <is>
          <t>Công Ty</t>
        </is>
      </c>
      <c r="F59" s="9" t="inlineStr">
        <is>
          <t>Võ Thành Minh</t>
        </is>
      </c>
      <c r="G59" s="9" t="inlineStr">
        <is>
          <t>Không cần</t>
        </is>
      </c>
      <c r="H59" s="9" t="inlineStr">
        <is>
          <t>Xin phép xây dựng</t>
        </is>
      </c>
      <c r="I59" s="55" t="n">
        <v>46055</v>
      </c>
      <c r="J59" s="9" t="inlineStr">
        <is>
          <t>Nộp thành công - Chờ kết quả</t>
        </is>
      </c>
    </row>
    <row r="60" ht="15.75" customHeight="1" s="56">
      <c r="A60" s="55" t="n">
        <v>46052.60028152778</v>
      </c>
      <c r="B60" s="9" t="inlineStr">
        <is>
          <t>069/BK-2026</t>
        </is>
      </c>
      <c r="C60" s="9" t="inlineStr">
        <is>
          <t>Nguyễn Hữu Cường</t>
        </is>
      </c>
      <c r="D60" s="9" t="inlineStr">
        <is>
          <t>An Khánh</t>
        </is>
      </c>
      <c r="E60" s="9" t="inlineStr">
        <is>
          <t>Công Ty</t>
        </is>
      </c>
      <c r="F60" s="9" t="inlineStr">
        <is>
          <t>Lê Văn Dựng</t>
        </is>
      </c>
      <c r="G60" s="9" t="inlineStr">
        <is>
          <t>Không cần</t>
        </is>
      </c>
      <c r="H60" s="9" t="inlineStr">
        <is>
          <t>Đo GPS</t>
        </is>
      </c>
      <c r="I60" s="55" t="n">
        <v>46055</v>
      </c>
      <c r="J60" s="9" t="inlineStr">
        <is>
          <t>Hoàn thành</t>
        </is>
      </c>
    </row>
    <row r="61" ht="15.75" customHeight="1" s="56">
      <c r="A61" s="55" t="n">
        <v>46052.51217467593</v>
      </c>
      <c r="B61" s="9" t="inlineStr">
        <is>
          <t>068/BK-2026</t>
        </is>
      </c>
      <c r="C61" s="9" t="inlineStr">
        <is>
          <t>Đặng Văn Lẹ</t>
        </is>
      </c>
      <c r="D61" s="9" t="inlineStr">
        <is>
          <t>Long Phước</t>
        </is>
      </c>
      <c r="E61" s="9" t="inlineStr">
        <is>
          <t>Anh Long PCT</t>
        </is>
      </c>
      <c r="F61" s="9" t="inlineStr">
        <is>
          <t>Tạ Khắc Tập</t>
        </is>
      </c>
      <c r="G61" s="9" t="inlineStr">
        <is>
          <t>Võ Tứ Hợp</t>
        </is>
      </c>
      <c r="H61" s="9" t="inlineStr">
        <is>
          <t>Cắm mốc</t>
        </is>
      </c>
      <c r="I61" s="55" t="n">
        <v>46055</v>
      </c>
      <c r="J61" s="9" t="inlineStr">
        <is>
          <t>Hoàn thành</t>
        </is>
      </c>
    </row>
    <row r="62" ht="15.75" customHeight="1" s="56">
      <c r="A62" s="55" t="n">
        <v>46052.39840899305</v>
      </c>
      <c r="B62" s="9" t="inlineStr">
        <is>
          <t>067/BK-2026</t>
        </is>
      </c>
      <c r="C62" s="9" t="inlineStr">
        <is>
          <t>Đặng Văn Lẹ</t>
        </is>
      </c>
      <c r="D62" s="9" t="inlineStr">
        <is>
          <t>Long Phước</t>
        </is>
      </c>
      <c r="E62" s="9" t="inlineStr">
        <is>
          <t>Anh Long PCT</t>
        </is>
      </c>
      <c r="F62" s="9" t="inlineStr">
        <is>
          <t>Lê Văn Dựng</t>
        </is>
      </c>
      <c r="G62" s="9" t="inlineStr">
        <is>
          <t>Không cần</t>
        </is>
      </c>
      <c r="H62" s="9" t="inlineStr">
        <is>
          <t>Đo GPS</t>
        </is>
      </c>
      <c r="I62" s="55" t="n">
        <v>46055</v>
      </c>
      <c r="J62" s="9" t="inlineStr">
        <is>
          <t>Hoàn thành</t>
        </is>
      </c>
    </row>
    <row r="63" ht="15.75" customHeight="1" s="56">
      <c r="A63" s="55" t="n">
        <v>46051.66495225694</v>
      </c>
      <c r="B63" s="9" t="inlineStr">
        <is>
          <t>066/BK-2026</t>
        </is>
      </c>
      <c r="C63" s="9" t="inlineStr">
        <is>
          <t>Trần Thị Phước</t>
        </is>
      </c>
      <c r="D63" s="9" t="inlineStr">
        <is>
          <t>Hiệp Bình</t>
        </is>
      </c>
      <c r="E63" s="9" t="inlineStr">
        <is>
          <t>Chị Phấn DV</t>
        </is>
      </c>
      <c r="F63" s="9" t="inlineStr">
        <is>
          <t>Tạ Khắc Tập</t>
        </is>
      </c>
      <c r="G63" s="9" t="inlineStr">
        <is>
          <t>Võ Tứ Hợp</t>
        </is>
      </c>
      <c r="H63" s="9" t="inlineStr">
        <is>
          <t>Cấp sổ lần đầu</t>
        </is>
      </c>
      <c r="I63" s="55" t="n">
        <v>46054</v>
      </c>
      <c r="J63" s="9" t="inlineStr">
        <is>
          <t>Hoàn thành</t>
        </is>
      </c>
    </row>
    <row r="64" ht="15.75" customHeight="1" s="56">
      <c r="A64" s="55" t="n">
        <v>46051.66405135416</v>
      </c>
      <c r="B64" s="9" t="inlineStr">
        <is>
          <t>065/BK-2026</t>
        </is>
      </c>
      <c r="C64" s="9" t="inlineStr">
        <is>
          <t>Phạm Thị Ngọc Điệp</t>
        </is>
      </c>
      <c r="D64" s="9" t="inlineStr">
        <is>
          <t>Ngoài Thủ Đức</t>
        </is>
      </c>
      <c r="E64" s="9" t="inlineStr">
        <is>
          <t>Công Ty</t>
        </is>
      </c>
      <c r="F64" s="9" t="inlineStr">
        <is>
          <t>Tạ Khắc Tập</t>
        </is>
      </c>
      <c r="G64" s="9" t="inlineStr">
        <is>
          <t>Võ Tứ Hợp</t>
        </is>
      </c>
      <c r="H64" s="9" t="inlineStr">
        <is>
          <t>Cắm mốc</t>
        </is>
      </c>
      <c r="I64" s="55" t="n">
        <v>46052</v>
      </c>
      <c r="J64" s="9" t="inlineStr">
        <is>
          <t>Hoàn thành</t>
        </is>
      </c>
    </row>
    <row r="65" ht="15.75" customHeight="1" s="56">
      <c r="A65" s="55" t="n">
        <v>46050.64327971065</v>
      </c>
      <c r="B65" s="9" t="inlineStr">
        <is>
          <t>064/BK-2026</t>
        </is>
      </c>
      <c r="C65" s="9" t="inlineStr">
        <is>
          <t>Lê Xuân Hưng - Nguyễn Thị Kim Yến</t>
        </is>
      </c>
      <c r="D65" s="9" t="inlineStr">
        <is>
          <t>Bình Trưng</t>
        </is>
      </c>
      <c r="E65" s="9" t="inlineStr">
        <is>
          <t>Công Ty</t>
        </is>
      </c>
      <c r="F65" s="9" t="inlineStr">
        <is>
          <t>Trương Tấn Quốc</t>
        </is>
      </c>
      <c r="G65" s="9" t="inlineStr">
        <is>
          <t>Không cần</t>
        </is>
      </c>
      <c r="H65" s="9" t="inlineStr">
        <is>
          <t>Cấp sổ lần đầu</t>
        </is>
      </c>
      <c r="I65" s="55" t="n">
        <v>46053</v>
      </c>
      <c r="J65" s="9" t="inlineStr">
        <is>
          <t>Hoàn thành</t>
        </is>
      </c>
    </row>
    <row r="66" ht="15.75" customHeight="1" s="56">
      <c r="A66" s="55" t="n">
        <v>46050.57849796296</v>
      </c>
      <c r="B66" s="9" t="inlineStr">
        <is>
          <t>063/BK-2026</t>
        </is>
      </c>
      <c r="C66" s="9" t="inlineStr">
        <is>
          <t>Dương Ngọc Sinh</t>
        </is>
      </c>
      <c r="D66" s="9" t="inlineStr">
        <is>
          <t>Tam Bình</t>
        </is>
      </c>
      <c r="E66" s="9" t="inlineStr">
        <is>
          <t>Anh Trường LS</t>
        </is>
      </c>
      <c r="F66" s="9" t="inlineStr">
        <is>
          <t>Lê Văn Xây</t>
        </is>
      </c>
      <c r="G66" s="9" t="inlineStr">
        <is>
          <t>Võ Tứ Hợp</t>
        </is>
      </c>
      <c r="H66" s="9" t="inlineStr">
        <is>
          <t>Tách Thửa</t>
        </is>
      </c>
      <c r="I66" s="55" t="n">
        <v>46053</v>
      </c>
      <c r="J66" s="9" t="inlineStr">
        <is>
          <t>Hủy</t>
        </is>
      </c>
    </row>
    <row r="67" ht="15.75" customHeight="1" s="56">
      <c r="A67" s="55" t="n">
        <v>46050.51825018519</v>
      </c>
      <c r="B67" s="9" t="inlineStr">
        <is>
          <t>062/BK-2026</t>
        </is>
      </c>
      <c r="C67" s="9" t="inlineStr">
        <is>
          <t>Nguyễn Thị Hương</t>
        </is>
      </c>
      <c r="D67" s="9" t="inlineStr">
        <is>
          <t>Linh Xuân</t>
        </is>
      </c>
      <c r="E67" s="9" t="inlineStr">
        <is>
          <t>Công Ty</t>
        </is>
      </c>
      <c r="F67" s="9" t="inlineStr">
        <is>
          <t>Tạ Khắc Tập</t>
        </is>
      </c>
      <c r="G67" s="9" t="inlineStr">
        <is>
          <t>Võ Thành Minh</t>
        </is>
      </c>
      <c r="H67" s="9" t="inlineStr">
        <is>
          <t>Hoàn công</t>
        </is>
      </c>
      <c r="I67" s="55" t="n">
        <v>46053</v>
      </c>
      <c r="J67" s="9" t="inlineStr">
        <is>
          <t>Nộp thành công - Chờ kết quả</t>
        </is>
      </c>
    </row>
    <row r="68" ht="15.75" customHeight="1" s="56">
      <c r="A68" s="55" t="n">
        <v>46049.48272611111</v>
      </c>
      <c r="B68" s="9" t="inlineStr">
        <is>
          <t>061-2/BK-2026</t>
        </is>
      </c>
      <c r="C68" s="9" t="inlineStr">
        <is>
          <t>Bùi Đình Khánh</t>
        </is>
      </c>
      <c r="D68" s="9" t="inlineStr">
        <is>
          <t>Tăng Nhơn Phú</t>
        </is>
      </c>
      <c r="E68" s="9" t="inlineStr">
        <is>
          <t>Công Ty</t>
        </is>
      </c>
      <c r="F68" s="9" t="inlineStr">
        <is>
          <t>Lê Văn Xây</t>
        </is>
      </c>
      <c r="G68" s="9" t="inlineStr">
        <is>
          <t>Không cần</t>
        </is>
      </c>
      <c r="H68" s="9" t="inlineStr">
        <is>
          <t>Tách Thửa</t>
        </is>
      </c>
      <c r="I68" s="55" t="n">
        <v>46052</v>
      </c>
      <c r="J68" s="9" t="inlineStr">
        <is>
          <t>Nộp thành công - Chờ kết quả</t>
        </is>
      </c>
    </row>
    <row r="69" ht="15.75" customHeight="1" s="56">
      <c r="A69" s="55" t="n">
        <v>46049.48156478009</v>
      </c>
      <c r="B69" s="9" t="inlineStr">
        <is>
          <t>061-1/BK-2026</t>
        </is>
      </c>
      <c r="C69" s="9" t="inlineStr">
        <is>
          <t>Bùi Đình Khánh</t>
        </is>
      </c>
      <c r="D69" s="9" t="inlineStr">
        <is>
          <t>Tăng Nhơn Phú</t>
        </is>
      </c>
      <c r="E69" s="9" t="inlineStr">
        <is>
          <t>Công Ty</t>
        </is>
      </c>
      <c r="F69" s="9" t="inlineStr">
        <is>
          <t>Lê Văn Xây</t>
        </is>
      </c>
      <c r="G69" s="9" t="inlineStr">
        <is>
          <t>Võ Tứ Hợp</t>
        </is>
      </c>
      <c r="H69" s="9" t="inlineStr">
        <is>
          <t>Tách Thửa</t>
        </is>
      </c>
      <c r="I69" s="55" t="n">
        <v>46052</v>
      </c>
      <c r="J69" s="9" t="inlineStr">
        <is>
          <t>Nộp thành công - Chờ kết quả</t>
        </is>
      </c>
    </row>
    <row r="70" ht="15.75" customHeight="1" s="56">
      <c r="A70" s="55" t="n">
        <v>46049.37126989583</v>
      </c>
      <c r="B70" s="9" t="inlineStr">
        <is>
          <t>060/BK-2026</t>
        </is>
      </c>
      <c r="C70" s="9" t="inlineStr">
        <is>
          <t>Đặng Văn Lẹ</t>
        </is>
      </c>
      <c r="D70" s="9" t="inlineStr">
        <is>
          <t>Long Phước</t>
        </is>
      </c>
      <c r="E70" s="9" t="inlineStr">
        <is>
          <t>Anh Long PCT</t>
        </is>
      </c>
      <c r="F70" s="9" t="inlineStr">
        <is>
          <t>Tạ Khắc Tập</t>
        </is>
      </c>
      <c r="G70" s="9" t="inlineStr">
        <is>
          <t>Võ Tứ Hợp</t>
        </is>
      </c>
      <c r="H70" s="9" t="inlineStr">
        <is>
          <t>Chuyển mục đích</t>
        </is>
      </c>
      <c r="I70" s="55" t="n">
        <v>46052</v>
      </c>
      <c r="J70" s="9" t="inlineStr">
        <is>
          <t>Nộp thành công - Chờ kết quả</t>
        </is>
      </c>
    </row>
    <row r="71" ht="15.75" customHeight="1" s="56">
      <c r="A71" s="55" t="n">
        <v>46049.37067488426</v>
      </c>
      <c r="B71" s="9" t="inlineStr">
        <is>
          <t>059/BK-2026</t>
        </is>
      </c>
      <c r="C71" s="9" t="inlineStr">
        <is>
          <t>Đặng Văn Lẹ</t>
        </is>
      </c>
      <c r="D71" s="9" t="inlineStr">
        <is>
          <t>Long Phước</t>
        </is>
      </c>
      <c r="E71" s="9" t="inlineStr">
        <is>
          <t>Anh Long PCT</t>
        </is>
      </c>
      <c r="F71" s="9" t="inlineStr">
        <is>
          <t>Tạ Khắc Tập</t>
        </is>
      </c>
      <c r="G71" s="9" t="inlineStr">
        <is>
          <t>Võ Tứ Hợp</t>
        </is>
      </c>
      <c r="H71" s="9" t="inlineStr">
        <is>
          <t>Cắm mốc</t>
        </is>
      </c>
      <c r="I71" s="55" t="n">
        <v>46052</v>
      </c>
      <c r="J71" s="9" t="inlineStr">
        <is>
          <t>Hoàn thành</t>
        </is>
      </c>
    </row>
    <row r="72" ht="15.75" customHeight="1" s="56">
      <c r="A72" s="55" t="n">
        <v>46048.43340393518</v>
      </c>
      <c r="B72" s="9" t="inlineStr">
        <is>
          <t>058/BK-2026</t>
        </is>
      </c>
      <c r="C72" s="9" t="inlineStr">
        <is>
          <t>Lưu Sanh Đạt</t>
        </is>
      </c>
      <c r="D72" s="9" t="inlineStr">
        <is>
          <t>Tăng Nhơn Phú</t>
        </is>
      </c>
      <c r="E72" s="9" t="inlineStr">
        <is>
          <t>Đạt Việt Phát Land</t>
        </is>
      </c>
      <c r="F72" s="9" t="inlineStr">
        <is>
          <t>Võ Thành Minh</t>
        </is>
      </c>
      <c r="G72" s="9" t="inlineStr">
        <is>
          <t>Không cần</t>
        </is>
      </c>
      <c r="H72" s="9" t="inlineStr">
        <is>
          <t>Xin phép xây dựng</t>
        </is>
      </c>
      <c r="I72" s="55" t="n">
        <v>46051</v>
      </c>
      <c r="J72" s="9" t="inlineStr">
        <is>
          <t>Hoàn thành</t>
        </is>
      </c>
    </row>
    <row r="73" ht="15.75" customHeight="1" s="56">
      <c r="A73" s="55" t="n">
        <v>46048.43260553241</v>
      </c>
      <c r="B73" s="9" t="inlineStr">
        <is>
          <t>052/BK-2026</t>
        </is>
      </c>
      <c r="C73" s="9" t="inlineStr">
        <is>
          <t>Lê Thị Thu Hiền</t>
        </is>
      </c>
      <c r="D73" s="9" t="inlineStr">
        <is>
          <t>Thủ Đức</t>
        </is>
      </c>
      <c r="E73" s="9" t="inlineStr">
        <is>
          <t>Công Ty</t>
        </is>
      </c>
      <c r="F73" s="9" t="inlineStr">
        <is>
          <t>Võ Thành Minh</t>
        </is>
      </c>
      <c r="G73" s="9" t="inlineStr">
        <is>
          <t>Không cần</t>
        </is>
      </c>
      <c r="H73" s="9" t="inlineStr">
        <is>
          <t>Xin phép xây dựng</t>
        </is>
      </c>
      <c r="I73" s="55" t="n">
        <v>46051</v>
      </c>
      <c r="J73" s="9" t="inlineStr">
        <is>
          <t>Nộp thành công - Chờ kết quả</t>
        </is>
      </c>
    </row>
    <row r="74" ht="15.75" customHeight="1" s="56">
      <c r="A74" s="55" t="n">
        <v>46048.43145847222</v>
      </c>
      <c r="B74" s="9" t="inlineStr">
        <is>
          <t>056/BK-2026</t>
        </is>
      </c>
      <c r="C74" s="9" t="inlineStr">
        <is>
          <t>Đào Thị Huyền Nhung</t>
        </is>
      </c>
      <c r="D74" s="9" t="inlineStr">
        <is>
          <t>Hiệp Bình</t>
        </is>
      </c>
      <c r="E74" s="9" t="inlineStr">
        <is>
          <t>Đạt Việt Phát Land</t>
        </is>
      </c>
      <c r="F74" s="9" t="inlineStr">
        <is>
          <t>Võ Thành Minh</t>
        </is>
      </c>
      <c r="G74" s="9" t="inlineStr">
        <is>
          <t>Không cần</t>
        </is>
      </c>
      <c r="H74" s="9" t="inlineStr">
        <is>
          <t>Xin phép xây dựng</t>
        </is>
      </c>
      <c r="I74" s="55" t="n">
        <v>46051</v>
      </c>
      <c r="J74" s="9" t="inlineStr">
        <is>
          <t>Hoàn thành</t>
        </is>
      </c>
    </row>
    <row r="75" ht="15.75" customHeight="1" s="56">
      <c r="A75" s="55" t="n">
        <v>46046.42414761574</v>
      </c>
      <c r="B75" s="9" t="inlineStr">
        <is>
          <t>055/BK-2026</t>
        </is>
      </c>
      <c r="C75" s="9" t="inlineStr">
        <is>
          <t>Đỗ Hoàng Sang</t>
        </is>
      </c>
      <c r="D75" s="9" t="inlineStr">
        <is>
          <t>Hiệp Bình</t>
        </is>
      </c>
      <c r="E75" s="9" t="inlineStr">
        <is>
          <t>Công Ty</t>
        </is>
      </c>
      <c r="F75" s="9" t="inlineStr">
        <is>
          <t>Trương Tấn Quốc</t>
        </is>
      </c>
      <c r="G75" s="9" t="inlineStr">
        <is>
          <t>Không cần</t>
        </is>
      </c>
      <c r="H75" s="9" t="inlineStr">
        <is>
          <t>Điều chỉnh bản vẽ</t>
        </is>
      </c>
      <c r="I75" s="55" t="n">
        <v>46049</v>
      </c>
      <c r="J75" s="9" t="inlineStr">
        <is>
          <t>Nộp thành công - Chờ kết quả</t>
        </is>
      </c>
    </row>
    <row r="76" ht="15.75" customHeight="1" s="56">
      <c r="A76" s="55" t="n">
        <v>46046.36613375</v>
      </c>
      <c r="B76" s="9" t="inlineStr">
        <is>
          <t>054/BK-2026</t>
        </is>
      </c>
      <c r="C76" s="9" t="inlineStr">
        <is>
          <t>Trần Thị Ngọc Minh</t>
        </is>
      </c>
      <c r="D76" s="9" t="inlineStr">
        <is>
          <t>Long Phước</t>
        </is>
      </c>
      <c r="E76" s="9" t="inlineStr">
        <is>
          <t>Anh Tùng Bất Động Sản</t>
        </is>
      </c>
      <c r="F76" s="9" t="inlineStr">
        <is>
          <t>Trương Tấn Quốc</t>
        </is>
      </c>
      <c r="G76" s="9" t="inlineStr">
        <is>
          <t>Võ Tứ Hợp</t>
        </is>
      </c>
      <c r="H76" s="9" t="inlineStr">
        <is>
          <t>Cấp đổi</t>
        </is>
      </c>
      <c r="I76" s="55" t="n">
        <v>46049</v>
      </c>
      <c r="J76" s="9" t="inlineStr">
        <is>
          <t>Hủy</t>
        </is>
      </c>
      <c r="K76" s="9" t="inlineStr">
        <is>
          <t>Đợi trao đổi phương án vs dịch vụ</t>
        </is>
      </c>
    </row>
    <row r="77" ht="15.75" customHeight="1" s="56">
      <c r="A77" s="55" t="n">
        <v>46045.70519208333</v>
      </c>
      <c r="B77" s="9" t="inlineStr">
        <is>
          <t>053/BK-2026</t>
        </is>
      </c>
      <c r="C77" s="9" t="inlineStr">
        <is>
          <t>Nguyễn Hữu Cường</t>
        </is>
      </c>
      <c r="D77" s="9" t="inlineStr">
        <is>
          <t>An Khánh</t>
        </is>
      </c>
      <c r="E77" s="9" t="inlineStr">
        <is>
          <t>Công Ty</t>
        </is>
      </c>
      <c r="F77" s="9" t="inlineStr">
        <is>
          <t>Lê Văn Dựng</t>
        </is>
      </c>
      <c r="G77" s="9" t="inlineStr">
        <is>
          <t>Không cần</t>
        </is>
      </c>
      <c r="H77" s="9" t="inlineStr">
        <is>
          <t>Cấp đổi</t>
        </is>
      </c>
      <c r="I77" s="55" t="n">
        <v>46048</v>
      </c>
      <c r="J77" s="9" t="inlineStr">
        <is>
          <t>Nộp thành công - Chờ kết quả</t>
        </is>
      </c>
      <c r="K77" s="9" t="inlineStr">
        <is>
          <t>hồ sơ chưa xử lý được do khu đất có ao sâu không thể chôn trụ xi măng được,chờ khách hàng san lấp</t>
        </is>
      </c>
    </row>
    <row r="78" ht="15.75" customHeight="1" s="56">
      <c r="A78" s="55" t="n">
        <v>46045.47915606482</v>
      </c>
      <c r="B78" s="9" t="inlineStr">
        <is>
          <t>057/BK-2026</t>
        </is>
      </c>
      <c r="C78" s="9" t="inlineStr">
        <is>
          <t>Nguyễn Thị Phượng</t>
        </is>
      </c>
      <c r="D78" s="9" t="inlineStr">
        <is>
          <t>Thủ Đức</t>
        </is>
      </c>
      <c r="E78" s="9" t="inlineStr">
        <is>
          <t>Chị Phấn DV</t>
        </is>
      </c>
      <c r="F78" s="9" t="inlineStr">
        <is>
          <t>Tạ Khắc Tập</t>
        </is>
      </c>
      <c r="G78" s="9" t="inlineStr">
        <is>
          <t>Không cần</t>
        </is>
      </c>
      <c r="H78" s="9" t="inlineStr">
        <is>
          <t>Điều chỉnh bản vẽ</t>
        </is>
      </c>
      <c r="I78" s="55" t="n">
        <v>46048</v>
      </c>
      <c r="J78" s="9" t="inlineStr">
        <is>
          <t>Hoàn thành</t>
        </is>
      </c>
    </row>
    <row r="79" ht="15.75" customHeight="1" s="56">
      <c r="A79" s="55" t="n">
        <v>46045.41687758102</v>
      </c>
      <c r="B79" s="9" t="inlineStr">
        <is>
          <t>051/BK-2026</t>
        </is>
      </c>
      <c r="C79" s="9" t="inlineStr">
        <is>
          <t>Đinh Văn Hòa</t>
        </is>
      </c>
      <c r="D79" s="9" t="inlineStr">
        <is>
          <t>Cát Lái</t>
        </is>
      </c>
      <c r="E79" s="9" t="inlineStr">
        <is>
          <t>Anh Tùng Bất Động Sản</t>
        </is>
      </c>
      <c r="F79" s="9" t="inlineStr">
        <is>
          <t>Tạ Khắc Tập</t>
        </is>
      </c>
      <c r="G79" s="9" t="inlineStr">
        <is>
          <t>Võ Tứ Hợp</t>
        </is>
      </c>
      <c r="H79" s="9" t="inlineStr">
        <is>
          <t>Cắm mốc</t>
        </is>
      </c>
      <c r="I79" s="55" t="n">
        <v>46048</v>
      </c>
      <c r="J79" s="9" t="inlineStr">
        <is>
          <t>Hoàn thành</t>
        </is>
      </c>
    </row>
    <row r="80" ht="15.75" customHeight="1" s="56">
      <c r="A80" s="55" t="n">
        <v>46044.71444444444</v>
      </c>
      <c r="B80" s="9" t="inlineStr">
        <is>
          <t>050/BK-2026</t>
        </is>
      </c>
      <c r="C80" s="9" t="inlineStr">
        <is>
          <t>Đinh Văn Hòa</t>
        </is>
      </c>
      <c r="D80" s="9" t="inlineStr">
        <is>
          <t>Cát Lái</t>
        </is>
      </c>
      <c r="E80" s="9" t="inlineStr">
        <is>
          <t>Anh Tùng Bất Động Sản</t>
        </is>
      </c>
      <c r="F80" s="9" t="inlineStr">
        <is>
          <t>Trương Tấn Quốc</t>
        </is>
      </c>
      <c r="G80" s="9" t="inlineStr">
        <is>
          <t>Võ Tứ Hợp</t>
        </is>
      </c>
      <c r="H80" s="9" t="inlineStr">
        <is>
          <t>Cấp đổi</t>
        </is>
      </c>
      <c r="I80" s="55" t="n">
        <v>46047</v>
      </c>
      <c r="J80" s="9" t="inlineStr">
        <is>
          <t>Hoàn thành</t>
        </is>
      </c>
      <c r="K80" s="9" t="inlineStr">
        <is>
          <t>Chưa cắm trụ (4 trụ)</t>
        </is>
      </c>
    </row>
    <row r="81" ht="15.75" customHeight="1" s="56">
      <c r="A81" s="55" t="n">
        <v>46043.714444375</v>
      </c>
      <c r="B81" s="9" t="inlineStr">
        <is>
          <t>049/BK-2026</t>
        </is>
      </c>
      <c r="C81" s="9" t="inlineStr">
        <is>
          <t>Tống Thị Mỹ Trang</t>
        </is>
      </c>
      <c r="D81" s="9" t="inlineStr">
        <is>
          <t>Long Trường</t>
        </is>
      </c>
      <c r="E81" s="9" t="inlineStr">
        <is>
          <t>Đạt Việt Phát Land</t>
        </is>
      </c>
      <c r="F81" s="9" t="inlineStr">
        <is>
          <t>Lê Văn Xây</t>
        </is>
      </c>
      <c r="G81" s="9" t="inlineStr">
        <is>
          <t>Võ Tứ Hợp</t>
        </is>
      </c>
      <c r="H81" s="9" t="inlineStr">
        <is>
          <t>Hoàn công</t>
        </is>
      </c>
      <c r="I81" s="55" t="n">
        <v>46046</v>
      </c>
      <c r="J81" s="9" t="inlineStr">
        <is>
          <t>Nộp thành công - Chờ kết quả</t>
        </is>
      </c>
    </row>
    <row r="82" ht="15.75" customHeight="1" s="56">
      <c r="A82" s="55" t="n">
        <v>46043.49146232639</v>
      </c>
      <c r="B82" s="9" t="inlineStr">
        <is>
          <t>048/BK-2026</t>
        </is>
      </c>
      <c r="C82" s="9" t="inlineStr">
        <is>
          <t>Phạm Thị Giao Linh</t>
        </is>
      </c>
      <c r="D82" s="9" t="inlineStr">
        <is>
          <t>Phước Long</t>
        </is>
      </c>
      <c r="E82" s="9" t="inlineStr">
        <is>
          <t>Tùng Huế DV</t>
        </is>
      </c>
      <c r="F82" s="9" t="inlineStr">
        <is>
          <t>Tạ Khắc Tập</t>
        </is>
      </c>
      <c r="G82" s="9" t="inlineStr">
        <is>
          <t>Không cần</t>
        </is>
      </c>
      <c r="H82" s="9" t="inlineStr">
        <is>
          <t>Cắm mốc</t>
        </is>
      </c>
      <c r="I82" s="55" t="n">
        <v>46046</v>
      </c>
      <c r="J82" s="9" t="inlineStr">
        <is>
          <t>Hoàn thành</t>
        </is>
      </c>
    </row>
    <row r="83" ht="15.75" customHeight="1" s="56">
      <c r="A83" s="55" t="n">
        <v>46043.49049340278</v>
      </c>
      <c r="B83" s="9" t="inlineStr">
        <is>
          <t>047/BK-2026</t>
        </is>
      </c>
      <c r="C83" s="9" t="inlineStr">
        <is>
          <t>Đặng Thị Kim Thiện</t>
        </is>
      </c>
      <c r="D83" s="9" t="inlineStr">
        <is>
          <t>Phước Long</t>
        </is>
      </c>
      <c r="E83" s="9" t="inlineStr">
        <is>
          <t>Chị Phấn DV</t>
        </is>
      </c>
      <c r="F83" s="9" t="inlineStr">
        <is>
          <t>Tạ Khắc Tập</t>
        </is>
      </c>
      <c r="G83" s="9" t="inlineStr">
        <is>
          <t>Không cần</t>
        </is>
      </c>
      <c r="H83" s="9" t="inlineStr">
        <is>
          <t>Cấp đổi</t>
        </is>
      </c>
      <c r="I83" s="55" t="n">
        <v>46046</v>
      </c>
      <c r="J83" s="9" t="inlineStr">
        <is>
          <t>Hoàn thành</t>
        </is>
      </c>
    </row>
    <row r="84" ht="15.75" customHeight="1" s="56">
      <c r="A84" s="55" t="n">
        <v>46042.39198221065</v>
      </c>
      <c r="B84" s="9" t="inlineStr">
        <is>
          <t>046/BK-2026</t>
        </is>
      </c>
      <c r="C84" s="9" t="inlineStr">
        <is>
          <t>Nguyễn Tiến Quân</t>
        </is>
      </c>
      <c r="D84" s="9" t="inlineStr">
        <is>
          <t>Linh Xuân</t>
        </is>
      </c>
      <c r="E84" s="9" t="inlineStr">
        <is>
          <t>Hoàng Cương BĐS</t>
        </is>
      </c>
      <c r="F84" s="9" t="inlineStr">
        <is>
          <t>Tạ Khắc Tập</t>
        </is>
      </c>
      <c r="G84" s="9" t="inlineStr">
        <is>
          <t>Võ Tứ Hợp</t>
        </is>
      </c>
      <c r="H84" s="9" t="inlineStr">
        <is>
          <t>Cấp đổi</t>
        </is>
      </c>
      <c r="I84" s="55" t="n">
        <v>46045</v>
      </c>
    </row>
    <row r="85" ht="15.75" customHeight="1" s="56">
      <c r="A85" s="55" t="n">
        <v>46042.39082291667</v>
      </c>
      <c r="B85" s="9" t="inlineStr">
        <is>
          <t>045/BK-2026</t>
        </is>
      </c>
      <c r="C85" s="9" t="inlineStr">
        <is>
          <t>Phan Thanh Phong</t>
        </is>
      </c>
      <c r="D85" s="9" t="inlineStr">
        <is>
          <t>Hiệp Bình</t>
        </is>
      </c>
      <c r="E85" s="9" t="inlineStr">
        <is>
          <t>Anh Long PCT</t>
        </is>
      </c>
      <c r="F85" s="9" t="inlineStr">
        <is>
          <t>Tạ Khắc Tập</t>
        </is>
      </c>
      <c r="G85" s="9" t="inlineStr">
        <is>
          <t>Võ Tứ Hợp</t>
        </is>
      </c>
      <c r="H85" s="9" t="inlineStr">
        <is>
          <t>Xác định diện tích</t>
        </is>
      </c>
      <c r="I85" s="55" t="n">
        <v>46045</v>
      </c>
      <c r="J85" s="9" t="inlineStr">
        <is>
          <t>Hoàn thành</t>
        </is>
      </c>
    </row>
    <row r="86" ht="15.75" customHeight="1" s="56">
      <c r="A86" s="55" t="n">
        <v>46041.67059346065</v>
      </c>
      <c r="B86" s="9" t="inlineStr">
        <is>
          <t>044/BK-2026</t>
        </is>
      </c>
      <c r="C86" s="9" t="inlineStr">
        <is>
          <t>Lê Quang Đạo</t>
        </is>
      </c>
      <c r="D86" s="9" t="inlineStr">
        <is>
          <t>Cát Lái</t>
        </is>
      </c>
      <c r="E86" s="9" t="inlineStr">
        <is>
          <t>Chị Phấn DV</t>
        </is>
      </c>
      <c r="F86" s="9" t="inlineStr">
        <is>
          <t>Trương Tấn Quốc</t>
        </is>
      </c>
      <c r="G86" s="9" t="inlineStr">
        <is>
          <t>Không cần</t>
        </is>
      </c>
      <c r="H86" s="9" t="inlineStr">
        <is>
          <t>Hoàn công</t>
        </is>
      </c>
      <c r="I86" s="55" t="n">
        <v>46044</v>
      </c>
      <c r="J86" s="9" t="inlineStr">
        <is>
          <t>Nộp thành công - Chờ kết quả</t>
        </is>
      </c>
    </row>
    <row r="87" ht="15.75" customHeight="1" s="56">
      <c r="A87" s="55" t="n">
        <v>46041.62824574074</v>
      </c>
      <c r="B87" s="9" t="inlineStr">
        <is>
          <t>043/BK-2026</t>
        </is>
      </c>
      <c r="C87" s="9" t="inlineStr">
        <is>
          <t>Võ Văn Hoa</t>
        </is>
      </c>
      <c r="D87" s="9" t="inlineStr">
        <is>
          <t>Hiệp Bình</t>
        </is>
      </c>
      <c r="E87" s="9" t="inlineStr">
        <is>
          <t>Công Ty</t>
        </is>
      </c>
      <c r="F87" s="9" t="inlineStr">
        <is>
          <t>Trương Tấn Quốc</t>
        </is>
      </c>
      <c r="G87" s="9" t="inlineStr">
        <is>
          <t>Không cần</t>
        </is>
      </c>
      <c r="H87" s="9" t="inlineStr">
        <is>
          <t>Xác định diện tích</t>
        </is>
      </c>
      <c r="I87" s="55" t="n">
        <v>46044</v>
      </c>
      <c r="J87" s="9" t="inlineStr">
        <is>
          <t>Hoàn thành</t>
        </is>
      </c>
      <c r="K87" s="9" t="inlineStr">
        <is>
          <t>Vẽ mẫu CMĐ gửi phường</t>
        </is>
      </c>
    </row>
    <row r="88" ht="15.75" customHeight="1" s="56">
      <c r="A88" s="55" t="n">
        <v>46041.59598487269</v>
      </c>
      <c r="B88" s="9" t="inlineStr">
        <is>
          <t>042/BK-2026</t>
        </is>
      </c>
      <c r="C88" s="9" t="inlineStr">
        <is>
          <t>Lê Thị Nguyệt</t>
        </is>
      </c>
      <c r="D88" s="9" t="inlineStr">
        <is>
          <t>Tăng Nhơn Phú</t>
        </is>
      </c>
      <c r="E88" s="9" t="inlineStr">
        <is>
          <t>Đạt Việt Phát Land</t>
        </is>
      </c>
      <c r="F88" s="9" t="inlineStr">
        <is>
          <t>Lê Văn Xây</t>
        </is>
      </c>
      <c r="G88" s="9" t="inlineStr">
        <is>
          <t>Không cần</t>
        </is>
      </c>
      <c r="H88" s="9" t="inlineStr">
        <is>
          <t>Xác định diện tích</t>
        </is>
      </c>
      <c r="I88" s="55" t="n">
        <v>46044</v>
      </c>
      <c r="J88" s="9" t="inlineStr">
        <is>
          <t>Hoàn thành</t>
        </is>
      </c>
    </row>
    <row r="89" ht="15.75" customHeight="1" s="56">
      <c r="A89" s="55" t="n">
        <v>46041.45257814815</v>
      </c>
      <c r="B89" s="9" t="inlineStr">
        <is>
          <t>041/BK-2026</t>
        </is>
      </c>
      <c r="C89" s="9" t="inlineStr">
        <is>
          <t>Đinh Văn Long</t>
        </is>
      </c>
      <c r="D89" s="9" t="inlineStr">
        <is>
          <t>Thủ Đức</t>
        </is>
      </c>
      <c r="E89" s="9" t="inlineStr">
        <is>
          <t>Đạt Việt Phát Land</t>
        </is>
      </c>
      <c r="F89" s="9" t="inlineStr">
        <is>
          <t>Lê Văn Xây</t>
        </is>
      </c>
      <c r="G89" s="9" t="inlineStr">
        <is>
          <t>Võ Tứ Hợp</t>
        </is>
      </c>
      <c r="H89" s="9" t="inlineStr">
        <is>
          <t>Hoàn công</t>
        </is>
      </c>
      <c r="I89" s="55" t="n">
        <v>46044</v>
      </c>
      <c r="J89" s="9" t="inlineStr">
        <is>
          <t>Nộp thành công - Chờ kết quả</t>
        </is>
      </c>
    </row>
    <row r="90" ht="15.75" customHeight="1" s="56">
      <c r="A90" s="55" t="n">
        <v>46040.48284827546</v>
      </c>
      <c r="B90" s="9" t="inlineStr">
        <is>
          <t>040/BK-2026</t>
        </is>
      </c>
      <c r="C90" s="9" t="inlineStr">
        <is>
          <t>Cắm mốc Tuấn BK</t>
        </is>
      </c>
      <c r="D90" s="9" t="inlineStr">
        <is>
          <t>Phước Long</t>
        </is>
      </c>
      <c r="E90" s="9" t="inlineStr">
        <is>
          <t>Tuấn Lộc</t>
        </is>
      </c>
      <c r="F90" s="9" t="inlineStr">
        <is>
          <t>Lê Văn Dựng</t>
        </is>
      </c>
      <c r="G90" s="9" t="inlineStr">
        <is>
          <t>Võ Tứ Hợp</t>
        </is>
      </c>
      <c r="H90" s="9" t="inlineStr">
        <is>
          <t>Cắm mốc</t>
        </is>
      </c>
      <c r="I90" s="55" t="n">
        <v>46043</v>
      </c>
      <c r="J90" s="9" t="inlineStr">
        <is>
          <t>Hoàn thành</t>
        </is>
      </c>
      <c r="K90" s="9" t="inlineStr">
        <is>
          <t>Cắm mốc,Chôn trụ xi măng đã chốt khách hàng 4 triệu (chưa thanh toán)</t>
        </is>
      </c>
    </row>
    <row r="91" ht="15.75" customHeight="1" s="56">
      <c r="A91" s="55" t="n">
        <v>46039.90995527778</v>
      </c>
      <c r="B91" s="9" t="inlineStr">
        <is>
          <t>039/BK-2026</t>
        </is>
      </c>
      <c r="C91" s="9" t="inlineStr">
        <is>
          <t>Trương Thị Ngọc Mai</t>
        </is>
      </c>
      <c r="D91" s="9" t="inlineStr">
        <is>
          <t>Tam Bình</t>
        </is>
      </c>
      <c r="E91" s="9" t="inlineStr">
        <is>
          <t>Công Ty</t>
        </is>
      </c>
      <c r="F91" s="9" t="inlineStr">
        <is>
          <t>Lê Văn Xây</t>
        </is>
      </c>
      <c r="G91" s="9" t="inlineStr">
        <is>
          <t>Võ Tứ Hợp</t>
        </is>
      </c>
      <c r="H91" s="9" t="inlineStr">
        <is>
          <t>Cắm mốc</t>
        </is>
      </c>
      <c r="I91" s="55" t="n">
        <v>46042</v>
      </c>
      <c r="J91" s="9" t="inlineStr">
        <is>
          <t>Hoàn thành</t>
        </is>
      </c>
    </row>
    <row r="92" ht="15.75" customHeight="1" s="56">
      <c r="A92" s="55" t="n">
        <v>46039.40143900463</v>
      </c>
      <c r="B92" s="9" t="inlineStr">
        <is>
          <t>038/BK-2026</t>
        </is>
      </c>
      <c r="C92" s="9" t="inlineStr">
        <is>
          <t>Nguyễn Thị Cẩm Vân</t>
        </is>
      </c>
      <c r="D92" s="9" t="inlineStr">
        <is>
          <t>Long Phước</t>
        </is>
      </c>
      <c r="E92" s="9" t="inlineStr">
        <is>
          <t>Công Ty</t>
        </is>
      </c>
      <c r="F92" s="9" t="inlineStr">
        <is>
          <t>Lê Văn Dựng</t>
        </is>
      </c>
      <c r="G92" s="9" t="inlineStr">
        <is>
          <t>Không cần</t>
        </is>
      </c>
      <c r="H92" s="9" t="inlineStr">
        <is>
          <t>Cấp đổi</t>
        </is>
      </c>
      <c r="I92" s="55" t="n">
        <v>46042</v>
      </c>
      <c r="K92" s="9" t="inlineStr">
        <is>
          <t>Đã đo chờ trao đổi với khách hàng do giảm diện tích</t>
        </is>
      </c>
    </row>
    <row r="93" ht="15.75" customHeight="1" s="56">
      <c r="A93" s="55" t="n">
        <v>46037.69414760417</v>
      </c>
      <c r="B93" s="9" t="inlineStr">
        <is>
          <t>037/BK-2026</t>
        </is>
      </c>
      <c r="C93" s="9" t="inlineStr">
        <is>
          <t>Nguyễn Thị An</t>
        </is>
      </c>
      <c r="D93" s="9" t="inlineStr">
        <is>
          <t>Bình Trưng</t>
        </is>
      </c>
      <c r="E93" s="9" t="inlineStr">
        <is>
          <t>Công Ty</t>
        </is>
      </c>
      <c r="F93" s="9" t="inlineStr">
        <is>
          <t>Lê Văn Dựng</t>
        </is>
      </c>
      <c r="G93" s="9" t="inlineStr">
        <is>
          <t>Võ Tứ Hợp</t>
        </is>
      </c>
      <c r="H93" s="9" t="inlineStr">
        <is>
          <t>Hoàn công</t>
        </is>
      </c>
      <c r="I93" s="55" t="n">
        <v>46040</v>
      </c>
      <c r="J93" s="9" t="inlineStr">
        <is>
          <t>Nộp thành công - Chờ kết quả</t>
        </is>
      </c>
    </row>
    <row r="94" ht="15.75" customHeight="1" s="56">
      <c r="A94" s="55" t="n">
        <v>46037.65579221065</v>
      </c>
      <c r="B94" s="9" t="inlineStr">
        <is>
          <t>036/BK-2026</t>
        </is>
      </c>
      <c r="C94" s="9" t="inlineStr">
        <is>
          <t>Phạm Thị Trang</t>
        </is>
      </c>
      <c r="D94" s="9" t="inlineStr">
        <is>
          <t>Tam Bình</t>
        </is>
      </c>
      <c r="E94" s="9" t="inlineStr">
        <is>
          <t>Cô Hoa</t>
        </is>
      </c>
      <c r="F94" s="9" t="inlineStr">
        <is>
          <t>Lê Văn Dựng</t>
        </is>
      </c>
      <c r="G94" s="9" t="inlineStr">
        <is>
          <t>Không cần</t>
        </is>
      </c>
      <c r="H94" s="9" t="inlineStr">
        <is>
          <t>Đo GPS</t>
        </is>
      </c>
      <c r="I94" s="55" t="n">
        <v>46040</v>
      </c>
      <c r="J94" s="9" t="inlineStr">
        <is>
          <t>Hoàn thành</t>
        </is>
      </c>
    </row>
    <row r="95" ht="15.75" customHeight="1" s="56">
      <c r="A95" s="55" t="n">
        <v>46037.65544269676</v>
      </c>
      <c r="B95" s="9" t="inlineStr">
        <is>
          <t>035/BK-2026</t>
        </is>
      </c>
      <c r="C95" s="9" t="inlineStr">
        <is>
          <t>Nguyễn Thị Trúc Thanh-Hoàng Phi Hải</t>
        </is>
      </c>
      <c r="D95" s="9" t="inlineStr">
        <is>
          <t>Thủ Đức</t>
        </is>
      </c>
      <c r="E95" s="9" t="inlineStr">
        <is>
          <t>Nguyễn Hương DV</t>
        </is>
      </c>
      <c r="F95" s="9" t="inlineStr">
        <is>
          <t>Trương Tấn Quốc</t>
        </is>
      </c>
      <c r="G95" s="9" t="inlineStr">
        <is>
          <t>Võ Tứ Hợp</t>
        </is>
      </c>
      <c r="H95" s="9" t="inlineStr">
        <is>
          <t>Cấp đổi</t>
        </is>
      </c>
      <c r="I95" s="55" t="n">
        <v>46040</v>
      </c>
      <c r="J95" s="9" t="inlineStr">
        <is>
          <t>Nộp thành công - Chờ kết quả</t>
        </is>
      </c>
    </row>
    <row r="96" ht="15.75" customHeight="1" s="56">
      <c r="A96" s="55" t="n">
        <v>46037.65439653935</v>
      </c>
      <c r="B96" s="9" t="inlineStr">
        <is>
          <t>034/BK-2026</t>
        </is>
      </c>
      <c r="C96" s="9" t="inlineStr">
        <is>
          <t>Đỗ Thị Mười</t>
        </is>
      </c>
      <c r="D96" s="9" t="inlineStr">
        <is>
          <t>Hiệp Bình</t>
        </is>
      </c>
      <c r="E96" s="9" t="inlineStr">
        <is>
          <t>Công Ty</t>
        </is>
      </c>
      <c r="F96" s="9" t="inlineStr">
        <is>
          <t>Trương Tấn Quốc</t>
        </is>
      </c>
      <c r="G96" s="9" t="inlineStr">
        <is>
          <t>Không cần</t>
        </is>
      </c>
      <c r="H96" s="9" t="inlineStr">
        <is>
          <t>Điều chỉnh bản vẽ</t>
        </is>
      </c>
      <c r="I96" s="55" t="n">
        <v>46040</v>
      </c>
      <c r="J96" s="9" t="inlineStr">
        <is>
          <t>Hoàn thành</t>
        </is>
      </c>
    </row>
    <row r="97" ht="15.75" customHeight="1" s="56">
      <c r="A97" s="55" t="n">
        <v>46037.6540707176</v>
      </c>
      <c r="B97" s="9" t="inlineStr">
        <is>
          <t>033/BK-2026</t>
        </is>
      </c>
      <c r="C97" s="9" t="inlineStr">
        <is>
          <t>Lê Văn Mạnh</t>
        </is>
      </c>
      <c r="D97" s="9" t="inlineStr">
        <is>
          <t>Hiệp Bình</t>
        </is>
      </c>
      <c r="E97" s="9" t="inlineStr">
        <is>
          <t>Công Ty</t>
        </is>
      </c>
      <c r="F97" s="9" t="inlineStr">
        <is>
          <t>Trương Tấn Quốc</t>
        </is>
      </c>
      <c r="G97" s="9" t="inlineStr">
        <is>
          <t>Không cần</t>
        </is>
      </c>
      <c r="H97" s="9" t="inlineStr">
        <is>
          <t>Điều chỉnh bản vẽ</t>
        </is>
      </c>
      <c r="I97" s="55" t="n">
        <v>46040</v>
      </c>
      <c r="J97" s="9" t="inlineStr">
        <is>
          <t>Hoàn thành</t>
        </is>
      </c>
    </row>
    <row r="98" ht="15.75" customHeight="1" s="56">
      <c r="A98" s="55" t="n">
        <v>46037.64814880787</v>
      </c>
      <c r="B98" s="9" t="inlineStr">
        <is>
          <t>032/BK-2026</t>
        </is>
      </c>
      <c r="C98" s="9" t="inlineStr">
        <is>
          <t>Nguyễn Khắc Thọ-Nguyễn Thị Hồng</t>
        </is>
      </c>
      <c r="D98" s="9" t="inlineStr">
        <is>
          <t>An Khánh</t>
        </is>
      </c>
      <c r="E98" s="9" t="inlineStr">
        <is>
          <t>Tạ Khắc Tập</t>
        </is>
      </c>
      <c r="F98" s="9" t="inlineStr">
        <is>
          <t>Trương Tấn Quốc</t>
        </is>
      </c>
      <c r="G98" s="9" t="inlineStr">
        <is>
          <t>Võ Tứ Hợp</t>
        </is>
      </c>
      <c r="H98" s="9" t="inlineStr">
        <is>
          <t>Hoàn công</t>
        </is>
      </c>
      <c r="I98" s="55" t="n">
        <v>46040</v>
      </c>
      <c r="J98" s="9" t="inlineStr">
        <is>
          <t>Hoàn thành</t>
        </is>
      </c>
      <c r="K98" s="9" t="inlineStr">
        <is>
          <t>Đợi sửa chửa đúng hiện trạng</t>
        </is>
      </c>
    </row>
    <row r="99" ht="15.75" customHeight="1" s="56">
      <c r="A99" s="55" t="n">
        <v>46037.64097332176</v>
      </c>
      <c r="B99" s="9" t="inlineStr">
        <is>
          <t>031/BK-2026</t>
        </is>
      </c>
      <c r="C99" s="9" t="inlineStr">
        <is>
          <t>Trần Đình Sỹ Tấn</t>
        </is>
      </c>
      <c r="D99" s="9" t="inlineStr">
        <is>
          <t>Hiệp Bình</t>
        </is>
      </c>
      <c r="E99" s="9" t="inlineStr">
        <is>
          <t>Công Ty</t>
        </is>
      </c>
      <c r="F99" s="9" t="inlineStr">
        <is>
          <t>Trương Tấn Quốc</t>
        </is>
      </c>
      <c r="G99" s="9" t="inlineStr">
        <is>
          <t>Võ Tứ Hợp</t>
        </is>
      </c>
      <c r="H99" s="9" t="inlineStr">
        <is>
          <t>Hoàn công</t>
        </is>
      </c>
      <c r="I99" s="55" t="n">
        <v>46040</v>
      </c>
      <c r="J99" s="9" t="inlineStr">
        <is>
          <t>Nộp thành công - Chờ kết quả</t>
        </is>
      </c>
      <c r="K99" s="9" t="inlineStr">
        <is>
          <t>Đang hoàn thiện công trình</t>
        </is>
      </c>
    </row>
    <row r="100" ht="15.75" customHeight="1" s="56">
      <c r="A100" s="55" t="n">
        <v>46036.61572377315</v>
      </c>
      <c r="B100" s="9" t="inlineStr">
        <is>
          <t>030/BK-2026</t>
        </is>
      </c>
      <c r="C100" s="9" t="inlineStr">
        <is>
          <t>Trần Đức Phú</t>
        </is>
      </c>
      <c r="D100" s="9" t="inlineStr">
        <is>
          <t>Long Phước</t>
        </is>
      </c>
      <c r="E100" s="9" t="inlineStr">
        <is>
          <t>Hoàng Quân</t>
        </is>
      </c>
      <c r="F100" s="9" t="inlineStr">
        <is>
          <t>Lê Văn Dựng</t>
        </is>
      </c>
      <c r="G100" s="9" t="inlineStr">
        <is>
          <t>Không cần</t>
        </is>
      </c>
      <c r="H100" s="9" t="inlineStr">
        <is>
          <t>Cắm mốc</t>
        </is>
      </c>
      <c r="I100" s="55" t="n">
        <v>46039</v>
      </c>
      <c r="J100" s="9" t="inlineStr">
        <is>
          <t>Hoàn thành</t>
        </is>
      </c>
    </row>
    <row r="101" ht="15.75" customHeight="1" s="56">
      <c r="A101" s="55" t="n">
        <v>46036.42237108796</v>
      </c>
      <c r="B101" s="9" t="inlineStr">
        <is>
          <t>029/BK-2026</t>
        </is>
      </c>
      <c r="C101" s="9" t="inlineStr">
        <is>
          <t>Nguyễn Văn Trung</t>
        </is>
      </c>
      <c r="D101" s="9" t="inlineStr">
        <is>
          <t>Hiệp Bình</t>
        </is>
      </c>
      <c r="E101" s="9" t="inlineStr">
        <is>
          <t>Cô Hoa</t>
        </is>
      </c>
      <c r="F101" s="9" t="inlineStr">
        <is>
          <t>Tạ Khắc Tập</t>
        </is>
      </c>
      <c r="G101" s="9" t="inlineStr">
        <is>
          <t>Võ Tứ Hợp</t>
        </is>
      </c>
      <c r="H101" s="9" t="inlineStr">
        <is>
          <t>Hoàn công</t>
        </is>
      </c>
      <c r="I101" s="55" t="n">
        <v>46039</v>
      </c>
    </row>
    <row r="102" ht="15.75" customHeight="1" s="56">
      <c r="A102" s="55" t="n">
        <v>46036.42117640046</v>
      </c>
      <c r="B102" s="9" t="inlineStr">
        <is>
          <t>028/BK-2026</t>
        </is>
      </c>
      <c r="C102" s="9" t="inlineStr">
        <is>
          <t>Phạm Hồng Sỹ</t>
        </is>
      </c>
      <c r="D102" s="9" t="inlineStr">
        <is>
          <t>Hiệp Bình</t>
        </is>
      </c>
      <c r="E102" s="9" t="inlineStr">
        <is>
          <t>Tuấn Lộc</t>
        </is>
      </c>
      <c r="F102" s="9" t="inlineStr">
        <is>
          <t>Tạ Khắc Tập</t>
        </is>
      </c>
      <c r="G102" s="9" t="inlineStr">
        <is>
          <t>Võ Tứ Hợp</t>
        </is>
      </c>
      <c r="H102" s="9" t="inlineStr">
        <is>
          <t>Hoàn công</t>
        </is>
      </c>
      <c r="I102" s="55" t="n">
        <v>46039</v>
      </c>
      <c r="J102" s="9" t="inlineStr">
        <is>
          <t>Hoàn thành</t>
        </is>
      </c>
    </row>
    <row r="103" ht="15.75" customHeight="1" s="56">
      <c r="A103" s="55" t="n">
        <v>46036.42053128472</v>
      </c>
      <c r="B103" s="9" t="inlineStr">
        <is>
          <t>027/BK-2026</t>
        </is>
      </c>
      <c r="C103" s="9" t="inlineStr">
        <is>
          <t>Vũ Thị Nhuần</t>
        </is>
      </c>
      <c r="D103" s="9" t="inlineStr">
        <is>
          <t>Hiệp Bình</t>
        </is>
      </c>
      <c r="E103" s="9" t="inlineStr">
        <is>
          <t>Công Ty</t>
        </is>
      </c>
      <c r="F103" s="9" t="inlineStr">
        <is>
          <t>Tạ Khắc Tập</t>
        </is>
      </c>
      <c r="G103" s="9" t="inlineStr">
        <is>
          <t>Võ Tứ Hợp</t>
        </is>
      </c>
      <c r="H103" s="9" t="inlineStr">
        <is>
          <t>Hoàn công</t>
        </is>
      </c>
      <c r="I103" s="55" t="n">
        <v>46039</v>
      </c>
      <c r="J103" s="9" t="inlineStr">
        <is>
          <t>Nộp thành công - Chờ kết quả</t>
        </is>
      </c>
    </row>
    <row r="104" ht="15.75" customHeight="1" s="56">
      <c r="A104" s="55" t="n">
        <v>46036.41916875</v>
      </c>
      <c r="B104" s="9" t="inlineStr">
        <is>
          <t>026/BK-2026</t>
        </is>
      </c>
      <c r="C104" s="9" t="inlineStr">
        <is>
          <t>Phạm Thị Trang</t>
        </is>
      </c>
      <c r="D104" s="9" t="inlineStr">
        <is>
          <t>Tam Bình</t>
        </is>
      </c>
      <c r="E104" s="9" t="inlineStr">
        <is>
          <t>Cô Hoa</t>
        </is>
      </c>
      <c r="F104" s="9" t="inlineStr">
        <is>
          <t>Tạ Khắc Tập</t>
        </is>
      </c>
      <c r="G104" s="9" t="inlineStr">
        <is>
          <t>Võ Tứ Hợp</t>
        </is>
      </c>
      <c r="H104" s="9" t="inlineStr">
        <is>
          <t>Cắm mốc</t>
        </is>
      </c>
      <c r="I104" s="55" t="n">
        <v>46039</v>
      </c>
      <c r="J104" s="9" t="inlineStr">
        <is>
          <t>Hoàn thành</t>
        </is>
      </c>
    </row>
    <row r="105" ht="15.75" customHeight="1" s="56">
      <c r="A105" s="55" t="n">
        <v>46035.47914478009</v>
      </c>
      <c r="B105" s="9" t="inlineStr">
        <is>
          <t>025/BK-2026</t>
        </is>
      </c>
      <c r="C105" s="9" t="inlineStr">
        <is>
          <t>Lê Thị Nguyệt</t>
        </is>
      </c>
      <c r="D105" s="9" t="inlineStr">
        <is>
          <t>Tăng Nhơn Phú</t>
        </is>
      </c>
      <c r="E105" s="9" t="inlineStr">
        <is>
          <t>Đạt Việt Phát Land</t>
        </is>
      </c>
      <c r="F105" s="9" t="inlineStr">
        <is>
          <t>Lê Văn Dựng</t>
        </is>
      </c>
      <c r="G105" s="9" t="inlineStr">
        <is>
          <t>Không cần</t>
        </is>
      </c>
      <c r="H105" s="9" t="inlineStr">
        <is>
          <t>Xác định diện tích</t>
        </is>
      </c>
      <c r="I105" s="55" t="n">
        <v>46038</v>
      </c>
      <c r="J105" s="9" t="inlineStr">
        <is>
          <t>Hoàn thành</t>
        </is>
      </c>
    </row>
    <row r="106" ht="15.75" customHeight="1" s="56">
      <c r="A106" s="55" t="n">
        <v>46035.41013079861</v>
      </c>
      <c r="B106" s="9" t="inlineStr">
        <is>
          <t>024/BK-2026</t>
        </is>
      </c>
      <c r="C106" s="9" t="inlineStr">
        <is>
          <t>Phạm Thị Giao Linh</t>
        </is>
      </c>
      <c r="D106" s="9" t="inlineStr">
        <is>
          <t>Bình Trưng</t>
        </is>
      </c>
      <c r="E106" s="9" t="inlineStr">
        <is>
          <t>Tùng Huế DV</t>
        </is>
      </c>
      <c r="F106" s="9" t="inlineStr">
        <is>
          <t>Lê Văn Dựng</t>
        </is>
      </c>
      <c r="G106" s="9" t="inlineStr">
        <is>
          <t>Không cần</t>
        </is>
      </c>
      <c r="H106" s="9" t="inlineStr">
        <is>
          <t>Đo GPS</t>
        </is>
      </c>
      <c r="I106" s="55" t="n">
        <v>46038</v>
      </c>
      <c r="J106" s="9" t="inlineStr">
        <is>
          <t>Hoàn thành</t>
        </is>
      </c>
    </row>
    <row r="107" ht="15.75" customHeight="1" s="56">
      <c r="A107" s="55" t="n">
        <v>46034.44285255787</v>
      </c>
      <c r="B107" s="9" t="inlineStr">
        <is>
          <t>023/BK-2026</t>
        </is>
      </c>
      <c r="C107" s="9" t="inlineStr">
        <is>
          <t>Lê Quý</t>
        </is>
      </c>
      <c r="D107" s="9" t="inlineStr">
        <is>
          <t>Long Trường</t>
        </is>
      </c>
      <c r="E107" s="9" t="inlineStr">
        <is>
          <t>Đạt Việt Phát Land</t>
        </is>
      </c>
      <c r="F107" s="9" t="inlineStr">
        <is>
          <t>Lê Văn Xây</t>
        </is>
      </c>
      <c r="G107" s="9" t="inlineStr">
        <is>
          <t>Võ Tứ Hợp</t>
        </is>
      </c>
      <c r="H107" s="9" t="inlineStr">
        <is>
          <t>Hoàn công</t>
        </is>
      </c>
      <c r="I107" s="55" t="n">
        <v>46037</v>
      </c>
      <c r="J107" s="9" t="inlineStr">
        <is>
          <t>Hoàn thành</t>
        </is>
      </c>
    </row>
    <row r="108" ht="15.75" customHeight="1" s="56">
      <c r="A108" s="55" t="n">
        <v>46034.43125230324</v>
      </c>
      <c r="B108" s="9" t="inlineStr">
        <is>
          <t>022/BK-2026</t>
        </is>
      </c>
      <c r="C108" s="9" t="inlineStr">
        <is>
          <t>Nguyễn Thanh Tùng</t>
        </is>
      </c>
      <c r="D108" s="9" t="inlineStr">
        <is>
          <t>Long Phước</t>
        </is>
      </c>
      <c r="E108" s="9" t="inlineStr">
        <is>
          <t>Công Ty</t>
        </is>
      </c>
      <c r="F108" s="9" t="inlineStr">
        <is>
          <t>Lê Văn Dựng</t>
        </is>
      </c>
      <c r="G108" s="9" t="inlineStr">
        <is>
          <t>Không cần</t>
        </is>
      </c>
      <c r="H108" s="9" t="inlineStr">
        <is>
          <t>Cắm mốc</t>
        </is>
      </c>
      <c r="I108" s="55" t="n">
        <v>46037</v>
      </c>
      <c r="J108" s="9" t="inlineStr">
        <is>
          <t>Hoàn thành</t>
        </is>
      </c>
    </row>
    <row r="109" ht="15.75" customHeight="1" s="56">
      <c r="A109" s="55" t="n">
        <v>46031.76662013889</v>
      </c>
      <c r="B109" s="9" t="inlineStr">
        <is>
          <t>021/BK-2026</t>
        </is>
      </c>
      <c r="C109" s="9" t="inlineStr">
        <is>
          <t>Nguyễn Trần Ngọc Khoa</t>
        </is>
      </c>
      <c r="D109" s="9" t="inlineStr">
        <is>
          <t>Linh Xuân</t>
        </is>
      </c>
      <c r="E109" s="9" t="inlineStr">
        <is>
          <t>Công Ty</t>
        </is>
      </c>
      <c r="F109" s="9" t="inlineStr">
        <is>
          <t>Lê Văn Xây</t>
        </is>
      </c>
      <c r="G109" s="9" t="inlineStr">
        <is>
          <t>Võ Tứ Hợp</t>
        </is>
      </c>
      <c r="H109" s="9" t="inlineStr">
        <is>
          <t>Cấp đổi</t>
        </is>
      </c>
      <c r="I109" s="55" t="n">
        <v>46034</v>
      </c>
      <c r="J109" s="9" t="inlineStr">
        <is>
          <t>Hoàn thành</t>
        </is>
      </c>
    </row>
    <row r="110" ht="15.75" customHeight="1" s="56">
      <c r="A110" s="55" t="n">
        <v>46031.76054689815</v>
      </c>
      <c r="B110" s="9" t="inlineStr">
        <is>
          <t>020/BK-2026</t>
        </is>
      </c>
      <c r="C110" s="9" t="inlineStr">
        <is>
          <t>Nguyễn Thị Hà</t>
        </is>
      </c>
      <c r="D110" s="9" t="inlineStr">
        <is>
          <t>Hiệp Bình</t>
        </is>
      </c>
      <c r="E110" s="9" t="inlineStr">
        <is>
          <t>Công Ty</t>
        </is>
      </c>
      <c r="F110" s="9" t="inlineStr">
        <is>
          <t>Lê Văn Dựng</t>
        </is>
      </c>
      <c r="G110" s="9" t="inlineStr">
        <is>
          <t>Võ Tứ Hợp</t>
        </is>
      </c>
      <c r="H110" s="9" t="inlineStr">
        <is>
          <t>Cấp đổi</t>
        </is>
      </c>
      <c r="I110" s="55" t="n">
        <v>46034</v>
      </c>
      <c r="J110" s="9" t="inlineStr">
        <is>
          <t>Hủy</t>
        </is>
      </c>
    </row>
    <row r="111" ht="15.75" customHeight="1" s="56">
      <c r="A111" s="55" t="n">
        <v>46031.75845408565</v>
      </c>
      <c r="B111" s="9" t="inlineStr">
        <is>
          <t>019/BK-2026</t>
        </is>
      </c>
      <c r="C111" s="9" t="inlineStr">
        <is>
          <t>Nguyễn Thị Xuân Lan</t>
        </is>
      </c>
      <c r="D111" s="9" t="inlineStr">
        <is>
          <t>Hiệp Bình</t>
        </is>
      </c>
      <c r="E111" s="9" t="inlineStr">
        <is>
          <t>Công Ty</t>
        </is>
      </c>
      <c r="F111" s="9" t="inlineStr">
        <is>
          <t>Lê Văn Dựng</t>
        </is>
      </c>
      <c r="G111" s="9" t="inlineStr">
        <is>
          <t>Võ Tứ Hợp</t>
        </is>
      </c>
      <c r="H111" s="9" t="inlineStr">
        <is>
          <t>Cắm mốc</t>
        </is>
      </c>
      <c r="I111" s="55" t="n">
        <v>46034</v>
      </c>
      <c r="J111" s="9" t="inlineStr">
        <is>
          <t>Hoàn thành</t>
        </is>
      </c>
      <c r="K111" s="9" t="inlineStr">
        <is>
          <t>khách hàng yêu cầu chôn 4 trụ xi măng (hiện trạng thực tế chỉ chôn được 2 trụ sau)</t>
        </is>
      </c>
    </row>
    <row r="112" ht="15.75" customHeight="1" s="56">
      <c r="A112" s="55" t="n">
        <v>46031.7551471875</v>
      </c>
      <c r="B112" s="9" t="inlineStr">
        <is>
          <t>018/BK-2026</t>
        </is>
      </c>
      <c r="C112" s="9" t="inlineStr">
        <is>
          <t>Huỳnh Thị Bích Hồng</t>
        </is>
      </c>
      <c r="D112" s="9" t="inlineStr">
        <is>
          <t>Thủ Đức</t>
        </is>
      </c>
      <c r="E112" s="9" t="inlineStr">
        <is>
          <t>Anh Chiến KTS</t>
        </is>
      </c>
      <c r="F112" s="9" t="inlineStr">
        <is>
          <t>Lê Văn Dựng</t>
        </is>
      </c>
      <c r="G112" s="9" t="inlineStr">
        <is>
          <t>Võ Tứ Hợp</t>
        </is>
      </c>
      <c r="H112" s="9" t="inlineStr">
        <is>
          <t>Cắm mốc</t>
        </is>
      </c>
      <c r="I112" s="55" t="n">
        <v>46034</v>
      </c>
      <c r="J112" s="9" t="inlineStr">
        <is>
          <t>Hoàn thành</t>
        </is>
      </c>
    </row>
    <row r="113" ht="15.75" customHeight="1" s="56">
      <c r="A113" s="55" t="n">
        <v>46031.3964578588</v>
      </c>
      <c r="B113" s="9" t="inlineStr">
        <is>
          <t>011/BK-2026</t>
        </is>
      </c>
      <c r="C113" s="9" t="inlineStr">
        <is>
          <t>Hồng Thế Phương</t>
        </is>
      </c>
      <c r="D113" s="9" t="inlineStr">
        <is>
          <t>Tam Bình</t>
        </is>
      </c>
      <c r="E113" s="9" t="inlineStr">
        <is>
          <t>Cô Hoa</t>
        </is>
      </c>
      <c r="F113" s="9" t="inlineStr">
        <is>
          <t>Tạ Khắc Tập</t>
        </is>
      </c>
      <c r="G113" s="9" t="inlineStr">
        <is>
          <t>Võ Tứ Hợp</t>
        </is>
      </c>
      <c r="H113" s="9" t="inlineStr">
        <is>
          <t>Kiểm tra hiện trạng</t>
        </is>
      </c>
      <c r="I113" s="55" t="n">
        <v>46034</v>
      </c>
      <c r="J113" s="9" t="inlineStr">
        <is>
          <t>Hoàn thành</t>
        </is>
      </c>
    </row>
    <row r="114" ht="15.75" customHeight="1" s="56">
      <c r="A114" s="55" t="n">
        <v>46031.39558278935</v>
      </c>
      <c r="B114" s="9" t="inlineStr">
        <is>
          <t>010/BK-2026</t>
        </is>
      </c>
      <c r="C114" s="9" t="inlineStr">
        <is>
          <t>Hồng Thế Phương</t>
        </is>
      </c>
      <c r="D114" s="9" t="inlineStr">
        <is>
          <t>Tam Bình</t>
        </is>
      </c>
      <c r="E114" s="9" t="inlineStr">
        <is>
          <t>Cô Hoa</t>
        </is>
      </c>
      <c r="F114" s="9" t="inlineStr">
        <is>
          <t>Tạ Khắc Tập</t>
        </is>
      </c>
      <c r="G114" s="9" t="inlineStr">
        <is>
          <t>Võ Tứ Hợp</t>
        </is>
      </c>
      <c r="H114" s="9" t="inlineStr">
        <is>
          <t>Kiểm tra hiện trạng</t>
        </is>
      </c>
      <c r="I114" s="55" t="n">
        <v>46034</v>
      </c>
      <c r="J114" s="9" t="inlineStr">
        <is>
          <t>Hoàn thành</t>
        </is>
      </c>
    </row>
    <row r="115" ht="15.75" customHeight="1" s="56">
      <c r="A115" s="55" t="n">
        <v>46030.59979403935</v>
      </c>
      <c r="B115" s="9" t="inlineStr">
        <is>
          <t>017/BK-2026</t>
        </is>
      </c>
      <c r="C115" s="9" t="inlineStr">
        <is>
          <t>Cao Viết Trọng</t>
        </is>
      </c>
      <c r="D115" s="9" t="inlineStr">
        <is>
          <t>Hiệp Bình</t>
        </is>
      </c>
      <c r="E115" s="9" t="inlineStr">
        <is>
          <t>Tùng Mập</t>
        </is>
      </c>
      <c r="F115" s="9" t="inlineStr">
        <is>
          <t>Lê Văn Xây</t>
        </is>
      </c>
      <c r="G115" s="9" t="inlineStr">
        <is>
          <t>Võ Tứ Hợp</t>
        </is>
      </c>
      <c r="H115" s="9" t="inlineStr">
        <is>
          <t>Hoàn công</t>
        </is>
      </c>
      <c r="I115" s="55" t="n">
        <v>46033</v>
      </c>
      <c r="J115" s="9" t="inlineStr">
        <is>
          <t>Hoàn thành</t>
        </is>
      </c>
    </row>
    <row r="116" ht="15.75" customHeight="1" s="56">
      <c r="A116" s="55" t="n">
        <v>46030.59726342592</v>
      </c>
      <c r="B116" s="9" t="inlineStr">
        <is>
          <t>016/BK-2026</t>
        </is>
      </c>
      <c r="C116" s="9" t="inlineStr">
        <is>
          <t>Nguyễn Trung Thông</t>
        </is>
      </c>
      <c r="D116" s="9" t="inlineStr">
        <is>
          <t>Thủ Đức</t>
        </is>
      </c>
      <c r="E116" s="9" t="inlineStr">
        <is>
          <t>Cô Hoa</t>
        </is>
      </c>
      <c r="F116" s="9" t="inlineStr">
        <is>
          <t>Lê Văn Xây</t>
        </is>
      </c>
      <c r="G116" s="9" t="inlineStr">
        <is>
          <t>Võ Tứ Hợp</t>
        </is>
      </c>
      <c r="H116" s="9" t="inlineStr">
        <is>
          <t>Cấp đổi</t>
        </is>
      </c>
      <c r="I116" s="55" t="n">
        <v>46033</v>
      </c>
      <c r="J116" s="9" t="inlineStr">
        <is>
          <t>Hoàn thành</t>
        </is>
      </c>
    </row>
    <row r="117" ht="15.75" customHeight="1" s="56">
      <c r="A117" s="55" t="n">
        <v>46030.59356585648</v>
      </c>
      <c r="B117" s="9" t="inlineStr">
        <is>
          <t>015/BK-2026</t>
        </is>
      </c>
      <c r="C117" s="9" t="inlineStr">
        <is>
          <t>Nguyễn Trần Ngọc Khoa</t>
        </is>
      </c>
      <c r="D117" s="9" t="inlineStr">
        <is>
          <t>Linh Xuân</t>
        </is>
      </c>
      <c r="E117" s="9" t="inlineStr">
        <is>
          <t>Công Ty</t>
        </is>
      </c>
      <c r="F117" s="9" t="inlineStr">
        <is>
          <t>Lê Văn Dựng</t>
        </is>
      </c>
      <c r="G117" s="9" t="inlineStr">
        <is>
          <t>Võ Tứ Hợp</t>
        </is>
      </c>
      <c r="H117" s="9" t="inlineStr">
        <is>
          <t>Kiểm tra hiện trạng</t>
        </is>
      </c>
      <c r="I117" s="55" t="n">
        <v>46033</v>
      </c>
      <c r="J117" s="9" t="inlineStr">
        <is>
          <t>Hoàn thành</t>
        </is>
      </c>
    </row>
    <row r="118" ht="15.75" customHeight="1" s="56">
      <c r="A118" s="55" t="n">
        <v>46030.58030228009</v>
      </c>
      <c r="B118" s="9" t="inlineStr">
        <is>
          <t>014/BK-2026</t>
        </is>
      </c>
      <c r="C118" s="9" t="inlineStr">
        <is>
          <t>Nguyễn Thanh Tùng</t>
        </is>
      </c>
      <c r="D118" s="9" t="inlineStr">
        <is>
          <t>Long Phước</t>
        </is>
      </c>
      <c r="E118" s="9" t="inlineStr">
        <is>
          <t>Công Ty</t>
        </is>
      </c>
      <c r="F118" s="9" t="inlineStr">
        <is>
          <t>Lê Văn Dựng</t>
        </is>
      </c>
      <c r="G118" s="9" t="inlineStr">
        <is>
          <t>Không cần</t>
        </is>
      </c>
      <c r="H118" s="9" t="inlineStr">
        <is>
          <t>Đo GPS</t>
        </is>
      </c>
      <c r="I118" s="55" t="n">
        <v>46033</v>
      </c>
      <c r="J118" s="9" t="inlineStr">
        <is>
          <t>Hoàn thành</t>
        </is>
      </c>
    </row>
    <row r="119" ht="15.75" customHeight="1" s="56">
      <c r="A119" s="55" t="n">
        <v>46030.58019497685</v>
      </c>
      <c r="B119" s="9" t="inlineStr">
        <is>
          <t>013/BK-2026</t>
        </is>
      </c>
      <c r="C119" s="9" t="inlineStr">
        <is>
          <t>Nguyễn Thanh Tùng</t>
        </is>
      </c>
      <c r="D119" s="9" t="inlineStr">
        <is>
          <t>Long Phước</t>
        </is>
      </c>
      <c r="E119" s="9" t="inlineStr">
        <is>
          <t>Công Ty</t>
        </is>
      </c>
      <c r="F119" s="9" t="inlineStr">
        <is>
          <t>Lê Văn Dựng</t>
        </is>
      </c>
      <c r="G119" s="9" t="inlineStr">
        <is>
          <t>Không cần</t>
        </is>
      </c>
      <c r="H119" s="9" t="inlineStr">
        <is>
          <t>Cấp đổi</t>
        </is>
      </c>
      <c r="I119" s="55" t="n">
        <v>46033</v>
      </c>
      <c r="J119" s="9" t="inlineStr">
        <is>
          <t>Nộp thành công - Chờ kết quả</t>
        </is>
      </c>
    </row>
    <row r="120" ht="15.75" customHeight="1" s="56">
      <c r="A120" s="55" t="n">
        <v>46030.44297177083</v>
      </c>
      <c r="B120" s="9" t="inlineStr">
        <is>
          <t>012/BK-2026</t>
        </is>
      </c>
      <c r="C120" s="9" t="inlineStr">
        <is>
          <t>Phạm Thị Trang</t>
        </is>
      </c>
      <c r="D120" s="9" t="inlineStr">
        <is>
          <t>Tam Bình</t>
        </is>
      </c>
      <c r="E120" s="9" t="inlineStr">
        <is>
          <t>Cô Hoa</t>
        </is>
      </c>
      <c r="F120" s="9" t="inlineStr">
        <is>
          <t>Tạ Khắc Tập</t>
        </is>
      </c>
      <c r="G120" s="9" t="inlineStr">
        <is>
          <t>Võ Tứ Hợp</t>
        </is>
      </c>
      <c r="H120" s="9" t="inlineStr">
        <is>
          <t>Cấp đổi</t>
        </is>
      </c>
      <c r="I120" s="55" t="n">
        <v>46033</v>
      </c>
      <c r="J120" s="9" t="inlineStr">
        <is>
          <t>Nộp thành công - Chờ kết quả</t>
        </is>
      </c>
    </row>
    <row r="121" ht="15.75" customHeight="1" s="56">
      <c r="A121" s="55" t="n">
        <v>46029.50544039352</v>
      </c>
      <c r="B121" s="9" t="inlineStr">
        <is>
          <t>008/BK-2026</t>
        </is>
      </c>
      <c r="C121" s="9" t="inlineStr">
        <is>
          <t>Thái Văn Nghĩa</t>
        </is>
      </c>
      <c r="D121" s="9" t="inlineStr">
        <is>
          <t>Hiệp Bình</t>
        </is>
      </c>
      <c r="E121" s="9" t="inlineStr">
        <is>
          <t>Công Ty</t>
        </is>
      </c>
      <c r="F121" s="9" t="inlineStr">
        <is>
          <t>Lê Văn Dựng</t>
        </is>
      </c>
      <c r="G121" s="9" t="inlineStr">
        <is>
          <t>Võ Tứ Hợp</t>
        </is>
      </c>
      <c r="H121" s="9" t="inlineStr">
        <is>
          <t>Cắm mốc</t>
        </is>
      </c>
      <c r="I121" s="55" t="n">
        <v>46032</v>
      </c>
      <c r="J121" s="9" t="inlineStr">
        <is>
          <t>Hoàn thành</t>
        </is>
      </c>
    </row>
    <row r="122" ht="15.75" customHeight="1" s="56">
      <c r="A122" s="55" t="n">
        <v>46029.50544039352</v>
      </c>
      <c r="B122" s="9" t="inlineStr">
        <is>
          <t>009/BK-2026</t>
        </is>
      </c>
      <c r="C122" s="9" t="inlineStr">
        <is>
          <t>Đào Văn Duy</t>
        </is>
      </c>
      <c r="D122" s="9" t="inlineStr">
        <is>
          <t>Bình Trưng</t>
        </is>
      </c>
      <c r="E122" s="9" t="inlineStr">
        <is>
          <t>Đạt Việt Phát Land</t>
        </is>
      </c>
      <c r="F122" s="9" t="inlineStr">
        <is>
          <t>Lê Văn Xây</t>
        </is>
      </c>
      <c r="G122" s="9" t="inlineStr">
        <is>
          <t>Võ Tứ Hợp</t>
        </is>
      </c>
      <c r="H122" s="9" t="inlineStr">
        <is>
          <t>Cấp đổi</t>
        </is>
      </c>
      <c r="I122" s="55" t="n">
        <v>46032</v>
      </c>
      <c r="J122" s="9" t="inlineStr">
        <is>
          <t>Hoàn thành</t>
        </is>
      </c>
    </row>
    <row r="123" ht="15.75" customHeight="1" s="56">
      <c r="A123" s="55" t="n">
        <v>46028.70374885417</v>
      </c>
      <c r="B123" s="9" t="inlineStr">
        <is>
          <t>007/BK-2026</t>
        </is>
      </c>
      <c r="C123" s="9" t="inlineStr">
        <is>
          <t>Nguyễn Đế Hiếu</t>
        </is>
      </c>
      <c r="D123" s="9" t="inlineStr">
        <is>
          <t>Hiệp Bình</t>
        </is>
      </c>
      <c r="E123" s="9" t="inlineStr">
        <is>
          <t>Hoàng Cương BĐS</t>
        </is>
      </c>
      <c r="F123" s="9" t="inlineStr">
        <is>
          <t>Lê Văn Xây</t>
        </is>
      </c>
      <c r="G123" s="9" t="inlineStr">
        <is>
          <t>Võ Tứ Hợp</t>
        </is>
      </c>
      <c r="H123" s="9" t="inlineStr">
        <is>
          <t>Hoàn công</t>
        </is>
      </c>
      <c r="I123" s="55" t="n">
        <v>46031</v>
      </c>
      <c r="J123" s="9" t="inlineStr">
        <is>
          <t>Hoàn thành</t>
        </is>
      </c>
    </row>
    <row r="124" ht="15.75" customHeight="1" s="56">
      <c r="A124" s="55" t="n">
        <v>46028.70280019676</v>
      </c>
      <c r="B124" s="9" t="inlineStr">
        <is>
          <t>006/BK-2026</t>
        </is>
      </c>
      <c r="C124" s="9" t="inlineStr">
        <is>
          <t>Nguyễn Đế Hiếu</t>
        </is>
      </c>
      <c r="D124" s="9" t="inlineStr">
        <is>
          <t>Hiệp Bình</t>
        </is>
      </c>
      <c r="E124" s="9" t="inlineStr">
        <is>
          <t>Hoàng Cương BĐS</t>
        </is>
      </c>
      <c r="F124" s="9" t="inlineStr">
        <is>
          <t>Lê Văn Xây</t>
        </is>
      </c>
      <c r="G124" s="9" t="inlineStr">
        <is>
          <t>Võ Tứ Hợp</t>
        </is>
      </c>
      <c r="H124" s="9" t="inlineStr">
        <is>
          <t>Hoàn công</t>
        </is>
      </c>
      <c r="I124" s="55" t="n">
        <v>46031</v>
      </c>
      <c r="J124" s="9" t="inlineStr">
        <is>
          <t>Hoàn thành</t>
        </is>
      </c>
    </row>
    <row r="125" ht="15.75" customHeight="1" s="56">
      <c r="A125" s="55" t="n">
        <v>46028.70167719907</v>
      </c>
      <c r="B125" s="9" t="inlineStr">
        <is>
          <t>005/BK-2026</t>
        </is>
      </c>
      <c r="C125" s="9" t="inlineStr">
        <is>
          <t>Nguyễn Bắc Nam</t>
        </is>
      </c>
      <c r="D125" s="9" t="inlineStr">
        <is>
          <t>Linh Xuân</t>
        </is>
      </c>
      <c r="E125" s="9" t="inlineStr">
        <is>
          <t>Công Ty</t>
        </is>
      </c>
      <c r="F125" s="9" t="inlineStr">
        <is>
          <t>Trương Tấn Quốc</t>
        </is>
      </c>
      <c r="G125" s="9" t="inlineStr">
        <is>
          <t>Võ Tứ Hợp</t>
        </is>
      </c>
      <c r="H125" s="9" t="inlineStr">
        <is>
          <t>Hoàn công</t>
        </is>
      </c>
      <c r="I125" s="55" t="n">
        <v>46031</v>
      </c>
      <c r="J125" s="9" t="inlineStr">
        <is>
          <t>Hủy</t>
        </is>
      </c>
    </row>
    <row r="126" ht="15.75" customHeight="1" s="56">
      <c r="A126" s="55" t="n">
        <v>46028.69852483796</v>
      </c>
      <c r="B126" s="9" t="inlineStr">
        <is>
          <t>004/BK-2026</t>
        </is>
      </c>
      <c r="C126" s="9" t="inlineStr">
        <is>
          <t>Nguyễn Minh Trung - Nguyễn Thị Phương Thúy</t>
        </is>
      </c>
      <c r="D126" s="9" t="inlineStr">
        <is>
          <t>Thủ Đức</t>
        </is>
      </c>
      <c r="E126" s="9" t="inlineStr">
        <is>
          <t>Công Ty</t>
        </is>
      </c>
      <c r="F126" s="9" t="inlineStr">
        <is>
          <t>Trương Tấn Quốc</t>
        </is>
      </c>
      <c r="G126" s="9" t="inlineStr">
        <is>
          <t>Võ Tứ Hợp</t>
        </is>
      </c>
      <c r="H126" s="9" t="inlineStr">
        <is>
          <t>Cấp đổi</t>
        </is>
      </c>
      <c r="I126" s="55" t="n">
        <v>46031</v>
      </c>
      <c r="J126" s="9" t="inlineStr">
        <is>
          <t>Hoàn thành</t>
        </is>
      </c>
    </row>
    <row r="127" ht="15.75" customHeight="1" s="56">
      <c r="A127" s="55" t="n">
        <v>46028.5748234375</v>
      </c>
      <c r="B127" s="9" t="inlineStr">
        <is>
          <t>003/BK-2026</t>
        </is>
      </c>
      <c r="C127" s="9" t="inlineStr">
        <is>
          <t>Đoàn Vân Anh</t>
        </is>
      </c>
      <c r="D127" s="9" t="inlineStr">
        <is>
          <t>Long Phước</t>
        </is>
      </c>
      <c r="E127" s="9" t="inlineStr">
        <is>
          <t>Công Ty</t>
        </is>
      </c>
      <c r="F127" s="9" t="inlineStr">
        <is>
          <t>Lê Văn Dựng</t>
        </is>
      </c>
      <c r="G127" s="9" t="inlineStr">
        <is>
          <t>Không cần</t>
        </is>
      </c>
      <c r="H127" s="9" t="inlineStr">
        <is>
          <t>Đo GPS</t>
        </is>
      </c>
      <c r="I127" s="55" t="n">
        <v>46031</v>
      </c>
      <c r="J127" s="9" t="inlineStr">
        <is>
          <t>Hoàn thành</t>
        </is>
      </c>
    </row>
    <row r="128" ht="15.75" customHeight="1" s="56">
      <c r="A128" s="55" t="n">
        <v>46028.57437766204</v>
      </c>
      <c r="B128" s="9" t="inlineStr">
        <is>
          <t>002/BK-2026</t>
        </is>
      </c>
      <c r="C128" s="9" t="inlineStr">
        <is>
          <t>Đoàn Vân Anh</t>
        </is>
      </c>
      <c r="D128" s="9" t="inlineStr">
        <is>
          <t>Long Phước</t>
        </is>
      </c>
      <c r="E128" s="9" t="inlineStr">
        <is>
          <t>Công Ty</t>
        </is>
      </c>
      <c r="F128" s="9" t="inlineStr">
        <is>
          <t>Lê Văn Dựng</t>
        </is>
      </c>
      <c r="G128" s="9" t="inlineStr">
        <is>
          <t>Không cần</t>
        </is>
      </c>
      <c r="H128" s="9" t="inlineStr">
        <is>
          <t>Cắm mốc</t>
        </is>
      </c>
      <c r="I128" s="55" t="n">
        <v>46031</v>
      </c>
      <c r="J128" s="9" t="inlineStr">
        <is>
          <t>Hoàn thành</t>
        </is>
      </c>
    </row>
    <row r="129" ht="15.75" customHeight="1" s="56">
      <c r="A129" s="55" t="n">
        <v>46028.57327877315</v>
      </c>
      <c r="B129" s="9" t="inlineStr">
        <is>
          <t>001/BK-2026</t>
        </is>
      </c>
      <c r="C129" s="9" t="inlineStr">
        <is>
          <t>Đoàn Vân Anh</t>
        </is>
      </c>
      <c r="D129" s="9" t="inlineStr">
        <is>
          <t>Long Phước</t>
        </is>
      </c>
      <c r="E129" s="9" t="inlineStr">
        <is>
          <t>Công Ty</t>
        </is>
      </c>
      <c r="F129" s="9" t="inlineStr">
        <is>
          <t>Lê Văn Dựng</t>
        </is>
      </c>
      <c r="G129" s="9" t="inlineStr">
        <is>
          <t>Không cần</t>
        </is>
      </c>
      <c r="H129" s="9" t="inlineStr">
        <is>
          <t>Cấp đổi</t>
        </is>
      </c>
      <c r="I129" s="55" t="n">
        <v>46031</v>
      </c>
      <c r="J129" s="9" t="inlineStr">
        <is>
          <t>Hoàn thành</t>
        </is>
      </c>
    </row>
    <row r="130" ht="15.75" customHeight="1" s="56">
      <c r="A130" s="55" t="n">
        <v>46021.69777340278</v>
      </c>
      <c r="B130" s="9" t="inlineStr">
        <is>
          <t>678/BK-2025</t>
        </is>
      </c>
      <c r="C130" s="9" t="inlineStr">
        <is>
          <t>Từ Thị Lai</t>
        </is>
      </c>
      <c r="D130" s="9" t="inlineStr">
        <is>
          <t>Hiệp Bình</t>
        </is>
      </c>
      <c r="E130" s="9" t="inlineStr">
        <is>
          <t>Công Ty</t>
        </is>
      </c>
      <c r="F130" s="9" t="inlineStr">
        <is>
          <t>Lê Văn Xây</t>
        </is>
      </c>
      <c r="G130" s="9" t="inlineStr">
        <is>
          <t>Không cần</t>
        </is>
      </c>
      <c r="H130" s="9" t="inlineStr">
        <is>
          <t>Xác định diện tích</t>
        </is>
      </c>
      <c r="I130" s="55" t="n">
        <v>46024</v>
      </c>
      <c r="J130" s="9" t="inlineStr">
        <is>
          <t>Hoàn thành</t>
        </is>
      </c>
    </row>
    <row r="131" ht="15.75" customHeight="1" s="56">
      <c r="A131" s="55" t="n">
        <v>46021.6768946412</v>
      </c>
      <c r="B131" s="9" t="inlineStr">
        <is>
          <t>395-DC/BK-2025</t>
        </is>
      </c>
      <c r="C131" s="9" t="inlineStr">
        <is>
          <t>Nghiêm Uy Lân</t>
        </is>
      </c>
      <c r="D131" s="9" t="inlineStr">
        <is>
          <t>Long Phước</t>
        </is>
      </c>
      <c r="E131" s="9" t="inlineStr">
        <is>
          <t>Công Ty</t>
        </is>
      </c>
      <c r="F131" s="9" t="inlineStr">
        <is>
          <t>Tạ Khắc Tập</t>
        </is>
      </c>
      <c r="G131" s="9" t="inlineStr">
        <is>
          <t>Không cần</t>
        </is>
      </c>
      <c r="H131" s="9" t="inlineStr">
        <is>
          <t>Điều chỉnh bản vẽ</t>
        </is>
      </c>
      <c r="I131" s="55" t="n">
        <v>46024</v>
      </c>
      <c r="J131" s="9" t="inlineStr">
        <is>
          <t>Hoàn thành</t>
        </is>
      </c>
    </row>
    <row r="132" ht="15.75" customHeight="1" s="56">
      <c r="A132" s="55" t="n">
        <v>46021.67077659722</v>
      </c>
      <c r="B132" s="9" t="inlineStr">
        <is>
          <t>677/BK-2025</t>
        </is>
      </c>
      <c r="C132" s="9" t="inlineStr">
        <is>
          <t>Phạm Thị Vân</t>
        </is>
      </c>
      <c r="D132" s="9" t="inlineStr">
        <is>
          <t>Long Trường</t>
        </is>
      </c>
      <c r="E132" s="9" t="inlineStr">
        <is>
          <t>Công Ty</t>
        </is>
      </c>
      <c r="F132" s="9" t="inlineStr">
        <is>
          <t>Tạ Khắc Tập</t>
        </is>
      </c>
      <c r="G132" s="9" t="inlineStr">
        <is>
          <t>Không cần</t>
        </is>
      </c>
      <c r="H132" s="9" t="inlineStr">
        <is>
          <t>Cấp đổi</t>
        </is>
      </c>
      <c r="I132" s="55" t="n">
        <v>46024</v>
      </c>
      <c r="J132" s="9" t="inlineStr">
        <is>
          <t>Hủy</t>
        </is>
      </c>
    </row>
    <row r="133" ht="15.75" customHeight="1" s="56">
      <c r="A133" s="55" t="n">
        <v>46021.66926773148</v>
      </c>
      <c r="B133" s="9" t="inlineStr">
        <is>
          <t>676/BK-2025</t>
        </is>
      </c>
      <c r="C133" s="9" t="inlineStr">
        <is>
          <t>Phạm Thị Giao Linh</t>
        </is>
      </c>
      <c r="D133" s="9" t="inlineStr">
        <is>
          <t>Bình Trưng</t>
        </is>
      </c>
      <c r="E133" s="9" t="inlineStr">
        <is>
          <t>Tùng Huế DV</t>
        </is>
      </c>
      <c r="F133" s="9" t="inlineStr">
        <is>
          <t>Lê Văn Dựng</t>
        </is>
      </c>
      <c r="G133" s="9" t="inlineStr">
        <is>
          <t>Võ Tứ Hợp</t>
        </is>
      </c>
      <c r="H133" s="9" t="inlineStr">
        <is>
          <t>Cấp đổi</t>
        </is>
      </c>
      <c r="I133" s="55" t="n">
        <v>46024</v>
      </c>
      <c r="J133" s="9" t="inlineStr">
        <is>
          <t>Hoàn thành</t>
        </is>
      </c>
    </row>
    <row r="134" ht="15.75" customHeight="1" s="56">
      <c r="A134" s="55" t="n">
        <v>46021.66856855324</v>
      </c>
      <c r="B134" s="9" t="inlineStr">
        <is>
          <t>675/BK-2025</t>
        </is>
      </c>
      <c r="C134" s="9" t="inlineStr">
        <is>
          <t>Vũ Anh Tuấn</t>
        </is>
      </c>
      <c r="D134" s="9" t="inlineStr">
        <is>
          <t>Cát Lái</t>
        </is>
      </c>
      <c r="E134" s="9" t="inlineStr">
        <is>
          <t>Công Ty</t>
        </is>
      </c>
      <c r="F134" s="9" t="inlineStr">
        <is>
          <t>Lê Văn Dựng</t>
        </is>
      </c>
      <c r="G134" s="9" t="inlineStr">
        <is>
          <t>Võ Tứ Hợp</t>
        </is>
      </c>
      <c r="H134" s="9" t="inlineStr">
        <is>
          <t>Cắm mốc</t>
        </is>
      </c>
      <c r="I134" s="55" t="n">
        <v>46024</v>
      </c>
      <c r="J134" s="9" t="inlineStr">
        <is>
          <t>Hoàn thành</t>
        </is>
      </c>
    </row>
    <row r="135" ht="15.75" customHeight="1" s="56">
      <c r="A135" s="55" t="n">
        <v>46021.66399820602</v>
      </c>
      <c r="B135" s="9" t="inlineStr">
        <is>
          <t>674/BK-2025</t>
        </is>
      </c>
      <c r="C135" s="9" t="inlineStr">
        <is>
          <t>Nguyễn Văn Hải</t>
        </is>
      </c>
      <c r="D135" s="9" t="inlineStr">
        <is>
          <t>Tam Bình</t>
        </is>
      </c>
      <c r="E135" s="9" t="inlineStr">
        <is>
          <t>Cô Hoa</t>
        </is>
      </c>
      <c r="F135" s="9" t="inlineStr">
        <is>
          <t>Trương Tấn Quốc</t>
        </is>
      </c>
      <c r="G135" s="9" t="inlineStr">
        <is>
          <t>Không cần</t>
        </is>
      </c>
      <c r="H135" s="9" t="inlineStr">
        <is>
          <t>Điều chỉnh bản vẽ</t>
        </is>
      </c>
      <c r="I135" s="55" t="n">
        <v>46024</v>
      </c>
      <c r="J135" s="9" t="inlineStr">
        <is>
          <t>Hoàn thành</t>
        </is>
      </c>
    </row>
    <row r="136" ht="15.75" customHeight="1" s="56">
      <c r="A136" s="55" t="n">
        <v>46020.68291960648</v>
      </c>
      <c r="B136" s="9" t="inlineStr">
        <is>
          <t>632-DC/BK-2025</t>
        </is>
      </c>
      <c r="C136" s="9" t="inlineStr">
        <is>
          <t>Nguyễn Minh Chữ</t>
        </is>
      </c>
      <c r="D136" s="9" t="inlineStr">
        <is>
          <t>Hiệp Bình</t>
        </is>
      </c>
      <c r="E136" s="9" t="inlineStr">
        <is>
          <t>Chú Loan DV</t>
        </is>
      </c>
      <c r="F136" s="9" t="inlineStr">
        <is>
          <t>Tạ Khắc Tập</t>
        </is>
      </c>
      <c r="G136" s="9" t="inlineStr">
        <is>
          <t>Không cần</t>
        </is>
      </c>
      <c r="H136" s="9" t="inlineStr">
        <is>
          <t>Điều chỉnh bản vẽ</t>
        </is>
      </c>
      <c r="I136" s="55" t="n">
        <v>46023</v>
      </c>
      <c r="J136" s="9" t="inlineStr">
        <is>
          <t>Hủy</t>
        </is>
      </c>
    </row>
    <row r="137" ht="15.75" customHeight="1" s="56">
      <c r="A137" s="55" t="n">
        <v>46020.47024898148</v>
      </c>
      <c r="B137" s="9" t="inlineStr">
        <is>
          <t>659-1/BK-2025</t>
        </is>
      </c>
      <c r="C137" s="9" t="inlineStr">
        <is>
          <t>Chu Trần Trọng</t>
        </is>
      </c>
      <c r="D137" s="9" t="inlineStr">
        <is>
          <t>Hiệp Bình</t>
        </is>
      </c>
      <c r="E137" s="9" t="inlineStr">
        <is>
          <t>Công Ty</t>
        </is>
      </c>
      <c r="F137" s="9" t="inlineStr">
        <is>
          <t>Lê Văn Dựng</t>
        </is>
      </c>
      <c r="G137" s="9" t="inlineStr">
        <is>
          <t>Không cần</t>
        </is>
      </c>
      <c r="H137" s="9" t="inlineStr">
        <is>
          <t>Đo GPS</t>
        </is>
      </c>
      <c r="I137" s="55" t="n">
        <v>46023</v>
      </c>
      <c r="J137" s="9" t="inlineStr">
        <is>
          <t>Hoàn thành</t>
        </is>
      </c>
    </row>
    <row r="138" ht="15.75" customHeight="1" s="56">
      <c r="A138" s="55" t="n">
        <v>46020.44636925926</v>
      </c>
      <c r="B138" s="9" t="inlineStr">
        <is>
          <t>673/BK-2025</t>
        </is>
      </c>
      <c r="C138" s="9" t="inlineStr">
        <is>
          <t>Phạm Thị Trang</t>
        </is>
      </c>
      <c r="D138" s="9" t="inlineStr">
        <is>
          <t>Long Bình</t>
        </is>
      </c>
      <c r="E138" s="9" t="inlineStr">
        <is>
          <t>Công Ty</t>
        </is>
      </c>
      <c r="F138" s="9" t="inlineStr">
        <is>
          <t>Lê Văn Dựng</t>
        </is>
      </c>
      <c r="G138" s="9" t="inlineStr">
        <is>
          <t>Không cần</t>
        </is>
      </c>
      <c r="H138" s="9" t="inlineStr">
        <is>
          <t>Hoàn công</t>
        </is>
      </c>
      <c r="I138" s="55" t="n">
        <v>46023</v>
      </c>
      <c r="J138" s="9" t="inlineStr">
        <is>
          <t>Hoàn thành</t>
        </is>
      </c>
    </row>
    <row r="139" ht="15.75" customHeight="1" s="56">
      <c r="A139" s="55" t="n">
        <v>46020.38819791667</v>
      </c>
      <c r="B139" s="9" t="inlineStr">
        <is>
          <t>672/BK-2025</t>
        </is>
      </c>
      <c r="C139" s="9" t="inlineStr">
        <is>
          <t>Nguyễn Văn Trưởng - Nguyễn Thị Thúy</t>
        </is>
      </c>
      <c r="D139" s="9" t="inlineStr">
        <is>
          <t>Long Trường</t>
        </is>
      </c>
      <c r="E139" s="9" t="inlineStr">
        <is>
          <t>Công Ty</t>
        </is>
      </c>
      <c r="F139" s="9" t="inlineStr">
        <is>
          <t>Trương Tấn Quốc</t>
        </is>
      </c>
      <c r="G139" s="9" t="inlineStr">
        <is>
          <t>Võ Thành Minh</t>
        </is>
      </c>
      <c r="H139" s="9" t="inlineStr">
        <is>
          <t>Cấp đổi</t>
        </is>
      </c>
      <c r="I139" s="55" t="n">
        <v>46023</v>
      </c>
      <c r="J139" s="9" t="inlineStr">
        <is>
          <t>Hoàn thành</t>
        </is>
      </c>
    </row>
    <row r="140" ht="15.75" customHeight="1" s="56">
      <c r="A140" s="55" t="n">
        <v>46020.38564935185</v>
      </c>
      <c r="B140" s="9" t="inlineStr">
        <is>
          <t>671/BK-2025</t>
        </is>
      </c>
      <c r="C140" s="9" t="inlineStr">
        <is>
          <t>Nguyễn Thị Xuân Lan</t>
        </is>
      </c>
      <c r="D140" s="9" t="inlineStr">
        <is>
          <t>Hiệp Bình</t>
        </is>
      </c>
      <c r="E140" s="9" t="inlineStr">
        <is>
          <t>Công Ty</t>
        </is>
      </c>
      <c r="F140" s="9" t="inlineStr">
        <is>
          <t>Lê Văn Xây</t>
        </is>
      </c>
      <c r="G140" s="9" t="inlineStr">
        <is>
          <t>Võ Tứ Hợp</t>
        </is>
      </c>
      <c r="H140" s="9" t="inlineStr">
        <is>
          <t>Hợp thửa</t>
        </is>
      </c>
      <c r="I140" s="55" t="n">
        <v>46023</v>
      </c>
      <c r="J140" s="9" t="inlineStr">
        <is>
          <t>Nộp thành công - Chờ kết quả</t>
        </is>
      </c>
    </row>
    <row r="141" ht="15.75" customHeight="1" s="56">
      <c r="A141" s="55" t="n">
        <v>46020.38489873843</v>
      </c>
      <c r="B141" s="9" t="inlineStr">
        <is>
          <t>670/BK-2025</t>
        </is>
      </c>
      <c r="C141" s="9" t="inlineStr">
        <is>
          <t>Hồ Trọng Dũng</t>
        </is>
      </c>
      <c r="D141" s="9" t="inlineStr">
        <is>
          <t>Hiệp Bình</t>
        </is>
      </c>
      <c r="E141" s="9" t="inlineStr">
        <is>
          <t>Công Ty</t>
        </is>
      </c>
      <c r="F141" s="9" t="inlineStr">
        <is>
          <t>Lê Văn Xây</t>
        </is>
      </c>
      <c r="G141" s="9" t="inlineStr">
        <is>
          <t>Võ Tứ Hợp</t>
        </is>
      </c>
      <c r="H141" s="9" t="inlineStr">
        <is>
          <t>Hợp thửa</t>
        </is>
      </c>
      <c r="I141" s="55" t="n">
        <v>46023</v>
      </c>
      <c r="J141" s="9" t="inlineStr">
        <is>
          <t>Hoàn thành</t>
        </is>
      </c>
    </row>
    <row r="142" ht="15.75" customHeight="1" s="56">
      <c r="A142" s="55" t="n">
        <v>46020.38404693287</v>
      </c>
      <c r="B142" s="9" t="inlineStr">
        <is>
          <t>669/BK-2025</t>
        </is>
      </c>
      <c r="C142" s="9" t="inlineStr">
        <is>
          <t>Phan Ngọc Bắc</t>
        </is>
      </c>
      <c r="D142" s="9" t="inlineStr">
        <is>
          <t>Hiệp Bình</t>
        </is>
      </c>
      <c r="E142" s="9" t="inlineStr">
        <is>
          <t>Tùng Mập</t>
        </is>
      </c>
      <c r="F142" s="9" t="inlineStr">
        <is>
          <t>Lê Văn Xây</t>
        </is>
      </c>
      <c r="G142" s="9" t="inlineStr">
        <is>
          <t>Võ Tứ Hợp</t>
        </is>
      </c>
      <c r="H142" s="9" t="inlineStr">
        <is>
          <t>Hoàn công</t>
        </is>
      </c>
      <c r="I142" s="55" t="n">
        <v>46023</v>
      </c>
      <c r="J142" s="9" t="inlineStr">
        <is>
          <t>Hoàn thành</t>
        </is>
      </c>
    </row>
    <row r="143" ht="15.75" customHeight="1" s="56">
      <c r="A143" s="55" t="n">
        <v>46020.38337866898</v>
      </c>
      <c r="B143" s="9" t="inlineStr">
        <is>
          <t>668/BK-2025</t>
        </is>
      </c>
      <c r="C143" s="9" t="inlineStr">
        <is>
          <t>Phạm Thị Minh Uyên</t>
        </is>
      </c>
      <c r="D143" s="9" t="inlineStr">
        <is>
          <t>Tam Bình</t>
        </is>
      </c>
      <c r="E143" s="9" t="inlineStr">
        <is>
          <t>Công Ty</t>
        </is>
      </c>
      <c r="F143" s="9" t="inlineStr">
        <is>
          <t>Lê Văn Xây</t>
        </is>
      </c>
      <c r="G143" s="9" t="inlineStr">
        <is>
          <t>Võ Tứ Hợp</t>
        </is>
      </c>
      <c r="H143" s="9" t="inlineStr">
        <is>
          <t>Cấp đổi</t>
        </is>
      </c>
      <c r="I143" s="55" t="n">
        <v>46023</v>
      </c>
      <c r="J143" s="9" t="inlineStr">
        <is>
          <t>Hoàn thành</t>
        </is>
      </c>
    </row>
    <row r="144" ht="15.75" customHeight="1" s="56">
      <c r="A144" s="55" t="n">
        <v>46017.68213486111</v>
      </c>
      <c r="B144" s="9" t="inlineStr">
        <is>
          <t>667/BK-2025</t>
        </is>
      </c>
      <c r="C144" s="9" t="inlineStr">
        <is>
          <t>Nguyễn Văn Biên</t>
        </is>
      </c>
      <c r="D144" s="9" t="inlineStr">
        <is>
          <t>Tam Bình</t>
        </is>
      </c>
      <c r="E144" s="9" t="inlineStr">
        <is>
          <t>Công Ty</t>
        </is>
      </c>
      <c r="F144" s="9" t="inlineStr">
        <is>
          <t>Lê Văn Xây</t>
        </is>
      </c>
      <c r="G144" s="9" t="inlineStr">
        <is>
          <t>Võ Tứ Hợp</t>
        </is>
      </c>
      <c r="H144" s="9" t="inlineStr">
        <is>
          <t>Cấp đổi</t>
        </is>
      </c>
      <c r="I144" s="55" t="n">
        <v>46020</v>
      </c>
      <c r="J144" s="9" t="inlineStr">
        <is>
          <t>Hoàn thành</t>
        </is>
      </c>
    </row>
    <row r="145" ht="15.75" customHeight="1" s="56">
      <c r="A145" s="55" t="n">
        <v>46017.65294538195</v>
      </c>
      <c r="B145" s="9" t="inlineStr">
        <is>
          <t>XĐDT 116/BK-2025</t>
        </is>
      </c>
      <c r="C145" s="9" t="inlineStr">
        <is>
          <t>Lại Quốc Huy</t>
        </is>
      </c>
      <c r="D145" s="9" t="inlineStr">
        <is>
          <t>Hiệp Bình</t>
        </is>
      </c>
      <c r="E145" s="9" t="inlineStr">
        <is>
          <t>Công Ty</t>
        </is>
      </c>
      <c r="F145" s="9" t="inlineStr">
        <is>
          <t>Trương Tấn Quốc</t>
        </is>
      </c>
      <c r="G145" s="9" t="inlineStr">
        <is>
          <t>Không cần</t>
        </is>
      </c>
      <c r="H145" s="9" t="inlineStr">
        <is>
          <t>Xác định diện tích</t>
        </is>
      </c>
      <c r="I145" s="55" t="n">
        <v>46020</v>
      </c>
      <c r="J145" s="9" t="inlineStr">
        <is>
          <t>Hoàn thành</t>
        </is>
      </c>
    </row>
    <row r="146" ht="15.75" customHeight="1" s="56">
      <c r="A146" s="55" t="n">
        <v>46017.6514599537</v>
      </c>
      <c r="B146" s="9" t="inlineStr">
        <is>
          <t>652-5/BK-2025</t>
        </is>
      </c>
      <c r="C146" s="9" t="inlineStr">
        <is>
          <t>Nguyễn Thanh Hải - Nguyễn Thị Bé Năm</t>
        </is>
      </c>
      <c r="D146" s="9" t="inlineStr">
        <is>
          <t>Tăng Nhơn Phú</t>
        </is>
      </c>
      <c r="E146" s="9" t="inlineStr">
        <is>
          <t>Chị Xuân DV</t>
        </is>
      </c>
      <c r="F146" s="9" t="inlineStr">
        <is>
          <t>Tạ Khắc Tập</t>
        </is>
      </c>
      <c r="G146" s="9" t="inlineStr">
        <is>
          <t>Lê Văn Dựng</t>
        </is>
      </c>
      <c r="H146" s="9" t="inlineStr">
        <is>
          <t>Cắm mốc</t>
        </is>
      </c>
      <c r="I146" s="55" t="n">
        <v>46020</v>
      </c>
      <c r="J146" s="9" t="inlineStr">
        <is>
          <t>Hoàn thành</t>
        </is>
      </c>
    </row>
    <row r="147" ht="15.75" customHeight="1" s="56">
      <c r="A147" s="55" t="n">
        <v>46016.44799251157</v>
      </c>
      <c r="B147" s="9" t="inlineStr">
        <is>
          <t>666/BK-2025</t>
        </is>
      </c>
      <c r="C147" s="9" t="inlineStr">
        <is>
          <t>XDDT Anh Đạt</t>
        </is>
      </c>
      <c r="D147" s="9" t="inlineStr">
        <is>
          <t>Thủ Đức</t>
        </is>
      </c>
      <c r="E147" s="9" t="inlineStr">
        <is>
          <t>Đạt Việt Phát Land</t>
        </is>
      </c>
      <c r="F147" s="9" t="inlineStr">
        <is>
          <t>Tạ Khắc Tập</t>
        </is>
      </c>
      <c r="G147" s="9" t="inlineStr">
        <is>
          <t>Võ Tứ Hợp</t>
        </is>
      </c>
      <c r="H147" s="9" t="inlineStr">
        <is>
          <t>Xác định diện tích</t>
        </is>
      </c>
      <c r="I147" s="55" t="n">
        <v>46019</v>
      </c>
      <c r="J147" s="9" t="inlineStr">
        <is>
          <t>Hoàn thành</t>
        </is>
      </c>
    </row>
    <row r="148" ht="15.75" customHeight="1" s="56">
      <c r="A148" s="55" t="n">
        <v>46015.69497505787</v>
      </c>
      <c r="B148" s="9" t="inlineStr">
        <is>
          <t>665-2/BK-2025</t>
        </is>
      </c>
      <c r="C148" s="9" t="inlineStr">
        <is>
          <t>Hộ Lê Huỳnh</t>
        </is>
      </c>
      <c r="D148" s="9" t="inlineStr">
        <is>
          <t>Long Bình</t>
        </is>
      </c>
      <c r="E148" s="9" t="inlineStr">
        <is>
          <t>Công Ty</t>
        </is>
      </c>
      <c r="F148" s="9" t="inlineStr">
        <is>
          <t>Lê Văn Dựng</t>
        </is>
      </c>
      <c r="G148" s="9" t="inlineStr">
        <is>
          <t>Võ Tứ Hợp</t>
        </is>
      </c>
      <c r="H148" s="9" t="inlineStr">
        <is>
          <t>Cắm mốc</t>
        </is>
      </c>
      <c r="I148" s="55" t="n">
        <v>46016</v>
      </c>
      <c r="J148" s="9" t="inlineStr">
        <is>
          <t>Hoàn thành</t>
        </is>
      </c>
    </row>
    <row r="149" ht="15.75" customHeight="1" s="56">
      <c r="A149" s="55" t="n">
        <v>46015.69429818287</v>
      </c>
      <c r="B149" s="9" t="inlineStr">
        <is>
          <t>665-1/BK-2025</t>
        </is>
      </c>
      <c r="C149" s="9" t="inlineStr">
        <is>
          <t>Hộ Lê Huỳnh</t>
        </is>
      </c>
      <c r="D149" s="9" t="inlineStr">
        <is>
          <t>Long Bình</t>
        </is>
      </c>
      <c r="E149" s="9" t="inlineStr">
        <is>
          <t>Công Ty</t>
        </is>
      </c>
      <c r="F149" s="9" t="inlineStr">
        <is>
          <t>Lê Văn Dựng</t>
        </is>
      </c>
      <c r="G149" s="9" t="inlineStr">
        <is>
          <t>Không cần</t>
        </is>
      </c>
      <c r="H149" s="9" t="inlineStr">
        <is>
          <t>Đo GPS</t>
        </is>
      </c>
      <c r="I149" s="55" t="n">
        <v>46018</v>
      </c>
      <c r="J149" s="9" t="inlineStr">
        <is>
          <t>Hoàn thành</t>
        </is>
      </c>
    </row>
    <row r="150" ht="15.75" customHeight="1" s="56">
      <c r="A150" s="55" t="n">
        <v>46015.69380208333</v>
      </c>
      <c r="B150" s="9" t="inlineStr">
        <is>
          <t>665/BK-2025</t>
        </is>
      </c>
      <c r="C150" s="9" t="inlineStr">
        <is>
          <t>Hộ Lê Huỳnh</t>
        </is>
      </c>
      <c r="D150" s="9" t="inlineStr">
        <is>
          <t>Long Bình</t>
        </is>
      </c>
      <c r="E150" s="9" t="inlineStr">
        <is>
          <t>Công Ty</t>
        </is>
      </c>
      <c r="F150" s="9" t="inlineStr">
        <is>
          <t>Lê Văn Dựng</t>
        </is>
      </c>
      <c r="G150" s="9" t="inlineStr">
        <is>
          <t>Không cần</t>
        </is>
      </c>
      <c r="H150" s="9" t="inlineStr">
        <is>
          <t>Cấp đổi</t>
        </is>
      </c>
      <c r="I150" s="55" t="n">
        <v>46018</v>
      </c>
      <c r="J150" s="9" t="inlineStr">
        <is>
          <t>Hủy</t>
        </is>
      </c>
    </row>
    <row r="151" ht="15.75" customHeight="1" s="56">
      <c r="A151" s="55" t="n">
        <v>46015.68865068287</v>
      </c>
      <c r="B151" s="9" t="inlineStr">
        <is>
          <t>658-1/BK-2025</t>
        </is>
      </c>
      <c r="C151" s="9" t="inlineStr">
        <is>
          <t>Nguyễn Lưu Như Ý</t>
        </is>
      </c>
      <c r="D151" s="9" t="inlineStr">
        <is>
          <t>Tăng Nhơn Phú</t>
        </is>
      </c>
      <c r="E151" s="9" t="inlineStr">
        <is>
          <t>Công Ty</t>
        </is>
      </c>
      <c r="F151" s="9" t="inlineStr">
        <is>
          <t>Lê Văn Dựng</t>
        </is>
      </c>
      <c r="G151" s="9" t="inlineStr">
        <is>
          <t>Không cần</t>
        </is>
      </c>
      <c r="H151" s="9" t="inlineStr">
        <is>
          <t>Đo GPS</t>
        </is>
      </c>
      <c r="I151" s="55" t="n">
        <v>46018</v>
      </c>
      <c r="J151" s="9" t="inlineStr">
        <is>
          <t>Hoàn thành</t>
        </is>
      </c>
    </row>
    <row r="152" ht="15.75" customHeight="1" s="56">
      <c r="A152" s="55" t="n">
        <v>46015.57678545139</v>
      </c>
      <c r="B152" s="9" t="inlineStr">
        <is>
          <t>574-DC/BK-2025</t>
        </is>
      </c>
      <c r="C152" s="9" t="inlineStr">
        <is>
          <t>Bùi Hà Anh</t>
        </is>
      </c>
      <c r="D152" s="9" t="inlineStr">
        <is>
          <t>Bình Trưng</t>
        </is>
      </c>
      <c r="E152" s="9" t="inlineStr">
        <is>
          <t>Công Ty</t>
        </is>
      </c>
      <c r="F152" s="9" t="inlineStr">
        <is>
          <t>Tạ Khắc Tập</t>
        </is>
      </c>
      <c r="G152" s="9" t="inlineStr">
        <is>
          <t>Không cần</t>
        </is>
      </c>
      <c r="H152" s="9" t="inlineStr">
        <is>
          <t>Điều chỉnh bản vẽ</t>
        </is>
      </c>
      <c r="I152" s="55" t="n">
        <v>46018</v>
      </c>
      <c r="J152" s="9" t="inlineStr">
        <is>
          <t>Hoàn thành</t>
        </is>
      </c>
    </row>
    <row r="153" ht="15.75" customHeight="1" s="56">
      <c r="A153" s="55" t="n">
        <v>46014.72668734954</v>
      </c>
      <c r="B153" s="9" t="inlineStr">
        <is>
          <t>664/BK-2025</t>
        </is>
      </c>
      <c r="C153" s="9" t="inlineStr">
        <is>
          <t>Trương Thị Thu Hằng</t>
        </is>
      </c>
      <c r="D153" s="9" t="inlineStr">
        <is>
          <t>Linh Xuân</t>
        </is>
      </c>
      <c r="E153" s="9" t="inlineStr">
        <is>
          <t>Nguyễn Hương DV</t>
        </is>
      </c>
      <c r="F153" s="9" t="inlineStr">
        <is>
          <t>Lê Văn Dựng</t>
        </is>
      </c>
      <c r="G153" s="9" t="inlineStr">
        <is>
          <t>Võ Tứ Hợp</t>
        </is>
      </c>
      <c r="H153" s="9" t="inlineStr">
        <is>
          <t>Cấp đổi</t>
        </is>
      </c>
      <c r="I153" s="55" t="n">
        <v>46017</v>
      </c>
      <c r="J153" s="9" t="inlineStr">
        <is>
          <t>Hủy</t>
        </is>
      </c>
    </row>
    <row r="154" ht="15.75" customHeight="1" s="56">
      <c r="A154" s="55" t="n">
        <v>46014.72561884259</v>
      </c>
      <c r="B154" s="9" t="inlineStr">
        <is>
          <t>663/BK-2025</t>
        </is>
      </c>
      <c r="C154" s="9" t="inlineStr">
        <is>
          <t>Nguyễn Hồng Xuân</t>
        </is>
      </c>
      <c r="D154" s="9" t="inlineStr">
        <is>
          <t>Hiệp Bình</t>
        </is>
      </c>
      <c r="E154" s="9" t="inlineStr">
        <is>
          <t>Nguyễn Hương DV</t>
        </is>
      </c>
      <c r="F154" s="9" t="inlineStr">
        <is>
          <t>Lê Văn Dựng</t>
        </is>
      </c>
      <c r="G154" s="9" t="inlineStr">
        <is>
          <t>Võ Tứ Hợp</t>
        </is>
      </c>
      <c r="H154" s="9" t="inlineStr">
        <is>
          <t>Xác định diện tích</t>
        </is>
      </c>
      <c r="I154" s="55" t="n">
        <v>46017</v>
      </c>
      <c r="J154" s="9" t="inlineStr">
        <is>
          <t>Hoàn thành</t>
        </is>
      </c>
    </row>
    <row r="155" ht="15.75" customHeight="1" s="56">
      <c r="A155" s="55" t="n">
        <v>46014.72344994213</v>
      </c>
      <c r="B155" s="9" t="inlineStr">
        <is>
          <t>662/BK-2025</t>
        </is>
      </c>
      <c r="C155" s="9" t="inlineStr">
        <is>
          <t>Anh Tiếp (Dragon)</t>
        </is>
      </c>
      <c r="D155" s="9" t="inlineStr">
        <is>
          <t>Ngoài Thủ Đức</t>
        </is>
      </c>
      <c r="E155" s="9" t="inlineStr">
        <is>
          <t>Công Ty</t>
        </is>
      </c>
      <c r="F155" s="9" t="inlineStr">
        <is>
          <t>Lê Văn Dựng</t>
        </is>
      </c>
      <c r="G155" s="9" t="inlineStr">
        <is>
          <t>Võ Tứ Hợp</t>
        </is>
      </c>
      <c r="H155" s="9" t="inlineStr">
        <is>
          <t>Cắm mốc</t>
        </is>
      </c>
      <c r="I155" s="55" t="n">
        <v>46015</v>
      </c>
      <c r="J155" s="9" t="inlineStr">
        <is>
          <t>Hoàn thành</t>
        </is>
      </c>
      <c r="K155" s="9" t="inlineStr">
        <is>
          <t>Quận 7</t>
        </is>
      </c>
    </row>
    <row r="156" ht="15.75" customHeight="1" s="56">
      <c r="A156" s="55" t="n">
        <v>46014.5102252662</v>
      </c>
      <c r="B156" s="9" t="inlineStr">
        <is>
          <t>518-3/BK-2025</t>
        </is>
      </c>
      <c r="C156" s="9" t="inlineStr">
        <is>
          <t>Nguyễn Thanh Hải - Nguyễn Thị Bé</t>
        </is>
      </c>
      <c r="D156" s="9" t="inlineStr">
        <is>
          <t>Tăng Nhơn Phú</t>
        </is>
      </c>
      <c r="E156" s="9" t="inlineStr">
        <is>
          <t>Chị Xuân DV</t>
        </is>
      </c>
      <c r="F156" s="9" t="inlineStr">
        <is>
          <t>Tạ Khắc Tập</t>
        </is>
      </c>
      <c r="G156" s="9" t="inlineStr">
        <is>
          <t>Võ Tứ Hợp</t>
        </is>
      </c>
      <c r="H156" s="9" t="inlineStr">
        <is>
          <t>Cắm mốc</t>
        </is>
      </c>
      <c r="I156" s="55" t="n">
        <v>46017</v>
      </c>
      <c r="J156" s="9" t="inlineStr">
        <is>
          <t>Hoàn thành</t>
        </is>
      </c>
      <c r="K156" s="9" t="inlineStr">
        <is>
          <t>6 lô</t>
        </is>
      </c>
    </row>
    <row r="157" ht="15.75" customHeight="1" s="56">
      <c r="A157" s="55" t="n">
        <v>46014.50894854167</v>
      </c>
      <c r="B157" s="9" t="inlineStr">
        <is>
          <t>508-1/BK-2025</t>
        </is>
      </c>
      <c r="C157" s="9" t="inlineStr">
        <is>
          <t>Trần Nguyễn Uyên Thanh Aka Tran Vivian</t>
        </is>
      </c>
      <c r="D157" s="9" t="inlineStr">
        <is>
          <t>Long Phước</t>
        </is>
      </c>
      <c r="E157" s="9" t="inlineStr">
        <is>
          <t>Công Ty</t>
        </is>
      </c>
      <c r="F157" s="9" t="inlineStr">
        <is>
          <t>Tạ Khắc Tập</t>
        </is>
      </c>
      <c r="G157" s="9" t="inlineStr">
        <is>
          <t>Không cần</t>
        </is>
      </c>
      <c r="H157" s="9" t="inlineStr">
        <is>
          <t>Cắm mốc</t>
        </is>
      </c>
      <c r="I157" s="55" t="n">
        <v>46017</v>
      </c>
      <c r="J157" s="9" t="inlineStr">
        <is>
          <t>Hoàn thành</t>
        </is>
      </c>
    </row>
    <row r="158" ht="15.75" customHeight="1" s="56">
      <c r="A158" s="55" t="n">
        <v>46011.5505732176</v>
      </c>
      <c r="B158" s="9" t="inlineStr">
        <is>
          <t>661/BK-2025</t>
        </is>
      </c>
      <c r="C158" s="9" t="inlineStr">
        <is>
          <t>Nguyễn Văn Quân</t>
        </is>
      </c>
      <c r="D158" s="9" t="inlineStr">
        <is>
          <t>Long Trường</t>
        </is>
      </c>
      <c r="E158" s="9" t="inlineStr">
        <is>
          <t>Công Ty</t>
        </is>
      </c>
      <c r="F158" s="9" t="inlineStr">
        <is>
          <t>Tạ Khắc Tập</t>
        </is>
      </c>
      <c r="G158" s="9" t="inlineStr">
        <is>
          <t>Võ Tứ Hợp</t>
        </is>
      </c>
      <c r="H158" s="9" t="inlineStr">
        <is>
          <t>Cấp đổi</t>
        </is>
      </c>
      <c r="I158" s="55" t="n">
        <v>46014</v>
      </c>
      <c r="J158" s="9" t="inlineStr">
        <is>
          <t>Hoàn thành</t>
        </is>
      </c>
    </row>
    <row r="159" ht="15.75" customHeight="1" s="56">
      <c r="A159" s="55" t="n">
        <v>46011.54932046296</v>
      </c>
      <c r="B159" s="9" t="inlineStr">
        <is>
          <t>660/BK-2025</t>
        </is>
      </c>
      <c r="C159" s="9" t="inlineStr">
        <is>
          <t>Nguyễn Hữu Nam</t>
        </is>
      </c>
      <c r="D159" s="9" t="inlineStr">
        <is>
          <t>Thủ Đức</t>
        </is>
      </c>
      <c r="E159" s="9" t="inlineStr">
        <is>
          <t>Đạt Việt Phát Land</t>
        </is>
      </c>
      <c r="F159" s="9" t="inlineStr">
        <is>
          <t>Tạ Khắc Tập</t>
        </is>
      </c>
      <c r="G159" s="9" t="inlineStr">
        <is>
          <t>Võ Tứ Hợp</t>
        </is>
      </c>
      <c r="H159" s="9" t="inlineStr">
        <is>
          <t>Cấp đổi</t>
        </is>
      </c>
      <c r="I159" s="55" t="n">
        <v>46014</v>
      </c>
      <c r="J159" s="9" t="inlineStr">
        <is>
          <t>Hủy</t>
        </is>
      </c>
    </row>
    <row r="160" ht="15.75" customHeight="1" s="56">
      <c r="A160" s="55" t="n">
        <v>46010.62244893519</v>
      </c>
      <c r="B160" s="9" t="inlineStr">
        <is>
          <t>651-1/BK-2025</t>
        </is>
      </c>
      <c r="C160" s="9" t="inlineStr">
        <is>
          <t>Võ Thị Thanh</t>
        </is>
      </c>
      <c r="D160" s="9" t="inlineStr">
        <is>
          <t>Tam Bình</t>
        </is>
      </c>
      <c r="E160" s="9" t="inlineStr">
        <is>
          <t>Công Ty</t>
        </is>
      </c>
      <c r="F160" s="9" t="inlineStr">
        <is>
          <t>Lê Văn Dựng</t>
        </is>
      </c>
      <c r="G160" s="9" t="inlineStr">
        <is>
          <t>Không cần</t>
        </is>
      </c>
      <c r="H160" s="9" t="inlineStr">
        <is>
          <t>Cắm mốc</t>
        </is>
      </c>
      <c r="I160" s="55" t="n">
        <v>46013</v>
      </c>
      <c r="J160" s="9" t="inlineStr">
        <is>
          <t>Hoàn thành</t>
        </is>
      </c>
    </row>
    <row r="161" ht="15.75" customHeight="1" s="56">
      <c r="A161" s="55" t="n">
        <v>46009.59088619213</v>
      </c>
      <c r="B161" s="9" t="inlineStr">
        <is>
          <t>597-1/BK-2025</t>
        </is>
      </c>
      <c r="C161" s="9" t="inlineStr">
        <is>
          <t>Trần Thuỳ Giang</t>
        </is>
      </c>
      <c r="D161" s="9" t="inlineStr">
        <is>
          <t>Tăng Nhơn Phú</t>
        </is>
      </c>
      <c r="E161" s="9" t="inlineStr">
        <is>
          <t>Công Ty</t>
        </is>
      </c>
      <c r="F161" s="9" t="inlineStr">
        <is>
          <t>Tạ Khắc Tập</t>
        </is>
      </c>
      <c r="G161" s="9" t="inlineStr">
        <is>
          <t>Trương Tấn Quốc</t>
        </is>
      </c>
      <c r="H161" s="9" t="inlineStr">
        <is>
          <t>Cắm mốc</t>
        </is>
      </c>
      <c r="I161" s="55" t="n">
        <v>46012</v>
      </c>
      <c r="J161" s="9" t="inlineStr">
        <is>
          <t>Hoàn thành</t>
        </is>
      </c>
    </row>
    <row r="162" ht="15.75" customHeight="1" s="56">
      <c r="A162" s="55" t="n">
        <v>46009.58908158565</v>
      </c>
      <c r="B162" s="9" t="inlineStr">
        <is>
          <t>659/BK-2025</t>
        </is>
      </c>
      <c r="C162" s="9" t="inlineStr">
        <is>
          <t>Chu Trần Trọng</t>
        </is>
      </c>
      <c r="D162" s="9" t="inlineStr">
        <is>
          <t>Hiệp Bình</t>
        </is>
      </c>
      <c r="E162" s="9" t="inlineStr">
        <is>
          <t>Công Ty</t>
        </is>
      </c>
      <c r="F162" s="9" t="inlineStr">
        <is>
          <t>Tạ Khắc Tập</t>
        </is>
      </c>
      <c r="G162" s="9" t="inlineStr">
        <is>
          <t>Võ Tứ Hợp</t>
        </is>
      </c>
      <c r="H162" s="9" t="inlineStr">
        <is>
          <t>Cấp đổi</t>
        </is>
      </c>
      <c r="I162" s="55" t="n">
        <v>46012</v>
      </c>
      <c r="J162" s="9" t="inlineStr">
        <is>
          <t>Hoàn thành</t>
        </is>
      </c>
    </row>
    <row r="163" ht="15.75" customHeight="1" s="56">
      <c r="A163" s="55" t="n">
        <v>46009.56633337963</v>
      </c>
      <c r="B163" s="9" t="inlineStr">
        <is>
          <t>658/BK-2025</t>
        </is>
      </c>
      <c r="C163" s="9" t="inlineStr">
        <is>
          <t>Nguyễn Lưu Như Ý</t>
        </is>
      </c>
      <c r="D163" s="9" t="inlineStr">
        <is>
          <t>Tăng Nhơn Phú</t>
        </is>
      </c>
      <c r="E163" s="9" t="inlineStr">
        <is>
          <t>Công Ty</t>
        </is>
      </c>
      <c r="F163" s="9" t="inlineStr">
        <is>
          <t>Tạ Khắc Tập</t>
        </is>
      </c>
      <c r="G163" s="9" t="inlineStr">
        <is>
          <t>Võ Tứ Hợp</t>
        </is>
      </c>
      <c r="H163" s="9" t="inlineStr">
        <is>
          <t>Cấp đổi</t>
        </is>
      </c>
      <c r="I163" s="55" t="n">
        <v>46012</v>
      </c>
      <c r="J163" s="9" t="inlineStr">
        <is>
          <t>Nộp thành công - Chờ kết quả</t>
        </is>
      </c>
    </row>
    <row r="164" ht="15.75" customHeight="1" s="56">
      <c r="A164" s="55" t="n">
        <v>46009.51868797454</v>
      </c>
      <c r="B164" s="9" t="inlineStr">
        <is>
          <t>657/BK-2025</t>
        </is>
      </c>
      <c r="C164" s="9" t="inlineStr">
        <is>
          <t>Chung Thị Kim Anh</t>
        </is>
      </c>
      <c r="D164" s="9" t="inlineStr">
        <is>
          <t>Tăng Nhơn Phú</t>
        </is>
      </c>
      <c r="E164" s="9" t="inlineStr">
        <is>
          <t>Đạt Việt Phát Land</t>
        </is>
      </c>
      <c r="F164" s="9" t="inlineStr">
        <is>
          <t>Trương Tấn Quốc</t>
        </is>
      </c>
      <c r="G164" s="9" t="inlineStr">
        <is>
          <t>Tạ Khắc Tập</t>
        </is>
      </c>
      <c r="H164" s="9" t="inlineStr">
        <is>
          <t>Cấp sổ lần đầu</t>
        </is>
      </c>
      <c r="I164" s="55" t="n">
        <v>46012</v>
      </c>
      <c r="J164" s="9" t="inlineStr">
        <is>
          <t>Hoàn thành</t>
        </is>
      </c>
    </row>
    <row r="165" ht="15.75" customHeight="1" s="56">
      <c r="A165" s="55" t="n">
        <v>46009.5171234838</v>
      </c>
      <c r="B165" s="9" t="inlineStr">
        <is>
          <t>656/BK-2025</t>
        </is>
      </c>
      <c r="C165" s="9" t="inlineStr">
        <is>
          <t>Nguyễn Trương - Nguyễn Thị Ba</t>
        </is>
      </c>
      <c r="D165" s="9" t="inlineStr">
        <is>
          <t>Thủ Đức</t>
        </is>
      </c>
      <c r="E165" s="9" t="inlineStr">
        <is>
          <t>Công Ty</t>
        </is>
      </c>
      <c r="F165" s="9" t="inlineStr">
        <is>
          <t>Lê Văn Xây</t>
        </is>
      </c>
      <c r="G165" s="9" t="inlineStr">
        <is>
          <t>Không cần</t>
        </is>
      </c>
      <c r="H165" s="9" t="inlineStr">
        <is>
          <t>Hoàn công</t>
        </is>
      </c>
      <c r="I165" s="55" t="n">
        <v>46012</v>
      </c>
      <c r="J165" s="9" t="inlineStr">
        <is>
          <t>Nộp thành công - Chờ kết quả</t>
        </is>
      </c>
    </row>
    <row r="166" ht="15.75" customHeight="1" s="56">
      <c r="A166" s="55" t="n">
        <v>46007.71564291666</v>
      </c>
      <c r="B166" s="9" t="inlineStr">
        <is>
          <t>305-2/BK-2025</t>
        </is>
      </c>
      <c r="C166" s="9" t="inlineStr">
        <is>
          <t>Đoàn Trọng Ân</t>
        </is>
      </c>
      <c r="D166" s="9" t="inlineStr">
        <is>
          <t>Linh Xuân</t>
        </is>
      </c>
      <c r="E166" s="9" t="inlineStr">
        <is>
          <t>Công Ty</t>
        </is>
      </c>
      <c r="F166" s="9" t="inlineStr">
        <is>
          <t>Lê Văn Xây</t>
        </is>
      </c>
      <c r="G166" s="9" t="inlineStr">
        <is>
          <t>Lê Tấn Đạt</t>
        </is>
      </c>
      <c r="H166" s="9" t="inlineStr">
        <is>
          <t>Tách Thửa</t>
        </is>
      </c>
      <c r="I166" s="55" t="n">
        <v>46010</v>
      </c>
      <c r="J166" s="9" t="inlineStr">
        <is>
          <t>Hoàn thành</t>
        </is>
      </c>
    </row>
    <row r="167" ht="15.75" customHeight="1" s="56">
      <c r="A167" s="55" t="n">
        <v>46006.47336582176</v>
      </c>
      <c r="B167" s="9" t="inlineStr">
        <is>
          <t>655/BK-2025</t>
        </is>
      </c>
      <c r="C167" s="9" t="inlineStr">
        <is>
          <t>Bùi Quý Thành - Lưu Vân Trang</t>
        </is>
      </c>
      <c r="D167" s="9" t="inlineStr">
        <is>
          <t>An Khánh</t>
        </is>
      </c>
      <c r="E167" s="9" t="inlineStr">
        <is>
          <t>Công Ty</t>
        </is>
      </c>
      <c r="F167" s="9" t="inlineStr">
        <is>
          <t>Lê Văn Dựng</t>
        </is>
      </c>
      <c r="G167" s="9" t="inlineStr">
        <is>
          <t>Võ Tứ Hợp</t>
        </is>
      </c>
      <c r="H167" s="9" t="inlineStr">
        <is>
          <t>Hoàn công</t>
        </is>
      </c>
      <c r="I167" s="55" t="n">
        <v>46009</v>
      </c>
      <c r="J167" s="9" t="inlineStr">
        <is>
          <t>Nộp thành công - Chờ kết quả</t>
        </is>
      </c>
    </row>
    <row r="168" ht="15.75" customHeight="1" s="56">
      <c r="A168" s="55" t="n">
        <v>46006.47155892361</v>
      </c>
      <c r="B168" s="9" t="inlineStr">
        <is>
          <t>653/BK-2025</t>
        </is>
      </c>
      <c r="C168" s="9" t="inlineStr">
        <is>
          <t>Lê Thị Thu Sương</t>
        </is>
      </c>
      <c r="D168" s="9" t="inlineStr">
        <is>
          <t>Hiệp Bình</t>
        </is>
      </c>
      <c r="E168" s="9" t="inlineStr">
        <is>
          <t>Tùng Mập</t>
        </is>
      </c>
      <c r="F168" s="9" t="inlineStr">
        <is>
          <t>Lê Văn Dựng</t>
        </is>
      </c>
      <c r="G168" s="9" t="inlineStr">
        <is>
          <t>Võ Tứ Hợp</t>
        </is>
      </c>
      <c r="H168" s="9" t="inlineStr">
        <is>
          <t>Hoàn công</t>
        </is>
      </c>
      <c r="I168" s="55" t="n">
        <v>46009</v>
      </c>
      <c r="J168" s="9" t="inlineStr">
        <is>
          <t>Nộp thành công - Chờ kết quả</t>
        </is>
      </c>
    </row>
    <row r="169" ht="15.75" customHeight="1" s="56">
      <c r="A169" s="55" t="n">
        <v>46003.66289590278</v>
      </c>
      <c r="B169" s="9" t="inlineStr">
        <is>
          <t>652-4/BK-2025</t>
        </is>
      </c>
      <c r="C169" s="9" t="inlineStr">
        <is>
          <t>Nguyễn Thanh Hải - Nguyễn Thị Bé Năm</t>
        </is>
      </c>
      <c r="D169" s="9" t="inlineStr">
        <is>
          <t>Tăng Nhơn Phú</t>
        </is>
      </c>
      <c r="E169" s="9" t="inlineStr">
        <is>
          <t>Chị Xuân DV</t>
        </is>
      </c>
      <c r="F169" s="9" t="inlineStr">
        <is>
          <t>Trương Tấn Quốc</t>
        </is>
      </c>
      <c r="G169" s="9" t="inlineStr">
        <is>
          <t>Không cần</t>
        </is>
      </c>
      <c r="H169" s="9" t="inlineStr">
        <is>
          <t>Tách Thửa</t>
        </is>
      </c>
      <c r="I169" s="55" t="n">
        <v>46006</v>
      </c>
      <c r="J169" s="9" t="inlineStr">
        <is>
          <t>Hoàn thành</t>
        </is>
      </c>
    </row>
    <row r="170" ht="15.75" customHeight="1" s="56">
      <c r="A170" s="55" t="n">
        <v>46003.66245908564</v>
      </c>
      <c r="B170" s="9" t="inlineStr">
        <is>
          <t>652-3/BK-2025</t>
        </is>
      </c>
      <c r="C170" s="9" t="inlineStr">
        <is>
          <t>Nguyễn Thanh Hải - Nguyễn Thị Bé Năm</t>
        </is>
      </c>
      <c r="D170" s="9" t="inlineStr">
        <is>
          <t>Tăng Nhơn Phú</t>
        </is>
      </c>
      <c r="E170" s="9" t="inlineStr">
        <is>
          <t>Chị Xuân DV</t>
        </is>
      </c>
      <c r="F170" s="9" t="inlineStr">
        <is>
          <t>Trương Tấn Quốc</t>
        </is>
      </c>
      <c r="G170" s="9" t="inlineStr">
        <is>
          <t>Không cần</t>
        </is>
      </c>
      <c r="H170" s="9" t="inlineStr">
        <is>
          <t>Tách Thửa</t>
        </is>
      </c>
      <c r="I170" s="55" t="n">
        <v>46006</v>
      </c>
      <c r="J170" s="9" t="inlineStr">
        <is>
          <t>Hoàn thành</t>
        </is>
      </c>
    </row>
    <row r="171" ht="15.75" customHeight="1" s="56">
      <c r="A171" s="55" t="n">
        <v>46003.66203346065</v>
      </c>
      <c r="B171" s="9" t="inlineStr">
        <is>
          <t>652-2/BK-2025</t>
        </is>
      </c>
      <c r="C171" s="9" t="inlineStr">
        <is>
          <t>Nguyễn Thanh Hải - Nguyễn Thị Bé Năm</t>
        </is>
      </c>
      <c r="D171" s="9" t="inlineStr">
        <is>
          <t>Tăng Nhơn Phú</t>
        </is>
      </c>
      <c r="E171" s="9" t="inlineStr">
        <is>
          <t>Chị Xuân DV</t>
        </is>
      </c>
      <c r="F171" s="9" t="inlineStr">
        <is>
          <t>Trương Tấn Quốc</t>
        </is>
      </c>
      <c r="G171" s="9" t="inlineStr">
        <is>
          <t>Không cần</t>
        </is>
      </c>
      <c r="H171" s="9" t="inlineStr">
        <is>
          <t>Tách Thửa</t>
        </is>
      </c>
      <c r="I171" s="55" t="n">
        <v>46006</v>
      </c>
      <c r="J171" s="9" t="inlineStr">
        <is>
          <t>Hoàn thành</t>
        </is>
      </c>
    </row>
    <row r="172" ht="15.75" customHeight="1" s="56">
      <c r="A172" s="55" t="n">
        <v>46003.66158049768</v>
      </c>
      <c r="B172" s="9" t="inlineStr">
        <is>
          <t>652-1/BK-2025</t>
        </is>
      </c>
      <c r="C172" s="9" t="inlineStr">
        <is>
          <t>Nguyễn Thanh Hải - Nguyễn Thị Bé Năm</t>
        </is>
      </c>
      <c r="D172" s="9" t="inlineStr">
        <is>
          <t>Tăng Nhơn Phú</t>
        </is>
      </c>
      <c r="E172" s="9" t="inlineStr">
        <is>
          <t>Chị Xuân DV</t>
        </is>
      </c>
      <c r="F172" s="9" t="inlineStr">
        <is>
          <t>Trương Tấn Quốc</t>
        </is>
      </c>
      <c r="G172" s="9" t="inlineStr">
        <is>
          <t>Không cần</t>
        </is>
      </c>
      <c r="H172" s="9" t="inlineStr">
        <is>
          <t>Tách Thửa</t>
        </is>
      </c>
      <c r="I172" s="55" t="n">
        <v>46006</v>
      </c>
      <c r="J172" s="9" t="inlineStr">
        <is>
          <t>Hoàn thành</t>
        </is>
      </c>
    </row>
    <row r="173" ht="15.75" customHeight="1" s="56">
      <c r="A173" s="55" t="n">
        <v>46003.66031814815</v>
      </c>
      <c r="B173" s="9" t="inlineStr">
        <is>
          <t>651/BK-2025</t>
        </is>
      </c>
      <c r="C173" s="9" t="inlineStr">
        <is>
          <t>Võ Thị Thanh</t>
        </is>
      </c>
      <c r="D173" s="9" t="inlineStr">
        <is>
          <t>Tam Bình</t>
        </is>
      </c>
      <c r="E173" s="9" t="inlineStr">
        <is>
          <t>Công Ty</t>
        </is>
      </c>
      <c r="F173" s="9" t="inlineStr">
        <is>
          <t>Lê Văn Dựng</t>
        </is>
      </c>
      <c r="G173" s="9" t="inlineStr">
        <is>
          <t>Võ Tứ Hợp</t>
        </is>
      </c>
      <c r="H173" s="9" t="inlineStr">
        <is>
          <t>Cấp đổi</t>
        </is>
      </c>
      <c r="I173" s="55" t="n">
        <v>46006</v>
      </c>
      <c r="J173" s="9" t="inlineStr">
        <is>
          <t>Hoàn thành</t>
        </is>
      </c>
    </row>
    <row r="174" ht="15.75" customHeight="1" s="56">
      <c r="A174" s="55" t="n">
        <v>46003.65855751158</v>
      </c>
      <c r="B174" s="9" t="inlineStr">
        <is>
          <t>650/BK-2025</t>
        </is>
      </c>
      <c r="C174" s="9" t="inlineStr">
        <is>
          <t>Nguyễn Xuân Đức</t>
        </is>
      </c>
      <c r="D174" s="9" t="inlineStr">
        <is>
          <t>Linh Xuân</t>
        </is>
      </c>
      <c r="E174" s="9" t="inlineStr">
        <is>
          <t>Công Ty</t>
        </is>
      </c>
      <c r="F174" s="9" t="inlineStr">
        <is>
          <t>Tạ Khắc Tập</t>
        </is>
      </c>
      <c r="G174" s="9" t="inlineStr">
        <is>
          <t>Võ Tứ Hợp</t>
        </is>
      </c>
      <c r="H174" s="9" t="inlineStr">
        <is>
          <t>Kiểm tra hiện trạng</t>
        </is>
      </c>
      <c r="I174" s="55" t="n">
        <v>46006</v>
      </c>
      <c r="J174" s="9" t="inlineStr">
        <is>
          <t>Hoàn thành</t>
        </is>
      </c>
    </row>
    <row r="175" ht="15.75" customHeight="1" s="56">
      <c r="A175" s="55" t="n">
        <v>46003.59405407408</v>
      </c>
      <c r="B175" s="9" t="inlineStr">
        <is>
          <t>649/BK-2025</t>
        </is>
      </c>
      <c r="C175" s="9" t="inlineStr">
        <is>
          <t>Nguyễn Quang Hoàn</t>
        </is>
      </c>
      <c r="D175" s="9" t="inlineStr">
        <is>
          <t>Long Bình</t>
        </is>
      </c>
      <c r="E175" s="9" t="inlineStr">
        <is>
          <t>Công Ty</t>
        </is>
      </c>
      <c r="F175" s="9" t="inlineStr">
        <is>
          <t>Lê Văn Dựng</t>
        </is>
      </c>
      <c r="G175" s="9" t="inlineStr">
        <is>
          <t>Không cần</t>
        </is>
      </c>
      <c r="H175" s="9" t="inlineStr">
        <is>
          <t>Chuyển mục đích</t>
        </is>
      </c>
      <c r="I175" s="55" t="n">
        <v>46006</v>
      </c>
      <c r="J175" s="9" t="inlineStr">
        <is>
          <t>Nộp thành công - Chờ kết quả</t>
        </is>
      </c>
    </row>
    <row r="176" ht="15.75" customHeight="1" s="56">
      <c r="A176" s="55" t="n">
        <v>46002.54770820602</v>
      </c>
      <c r="B176" s="9" t="inlineStr">
        <is>
          <t>648/BK-2025</t>
        </is>
      </c>
      <c r="C176" s="9" t="inlineStr">
        <is>
          <t>Vũ Phạm Minh Tú</t>
        </is>
      </c>
      <c r="D176" s="9" t="inlineStr">
        <is>
          <t>Bình Trưng</t>
        </is>
      </c>
      <c r="E176" s="9" t="inlineStr">
        <is>
          <t>Công Ty</t>
        </is>
      </c>
      <c r="F176" s="9" t="inlineStr">
        <is>
          <t>Lê Văn Dựng</t>
        </is>
      </c>
      <c r="G176" s="9" t="inlineStr">
        <is>
          <t>Võ Tứ Hợp</t>
        </is>
      </c>
      <c r="H176" s="9" t="inlineStr">
        <is>
          <t>Cấp đổi</t>
        </is>
      </c>
      <c r="I176" s="55" t="n">
        <v>46005</v>
      </c>
      <c r="J176" s="9" t="inlineStr">
        <is>
          <t>Hoàn thành</t>
        </is>
      </c>
    </row>
    <row r="177" ht="15.75" customHeight="1" s="56">
      <c r="A177" s="55" t="n">
        <v>46002.54668262731</v>
      </c>
      <c r="B177" s="9" t="inlineStr">
        <is>
          <t>647/BK-2025</t>
        </is>
      </c>
      <c r="C177" s="9" t="inlineStr">
        <is>
          <t>Vũ Kiều Sa</t>
        </is>
      </c>
      <c r="D177" s="9" t="inlineStr">
        <is>
          <t>Linh Xuân</t>
        </is>
      </c>
      <c r="E177" s="9" t="inlineStr">
        <is>
          <t>Đạt Việt Phát Land</t>
        </is>
      </c>
      <c r="F177" s="9" t="inlineStr">
        <is>
          <t>Lê Văn Dựng</t>
        </is>
      </c>
      <c r="G177" s="9" t="inlineStr">
        <is>
          <t>Võ Tứ Hợp</t>
        </is>
      </c>
      <c r="H177" s="9" t="inlineStr">
        <is>
          <t>Cắm mốc</t>
        </is>
      </c>
      <c r="I177" s="55" t="n">
        <v>46005</v>
      </c>
      <c r="J177" s="9" t="inlineStr">
        <is>
          <t>Hoàn thành</t>
        </is>
      </c>
    </row>
    <row r="178" ht="15.75" customHeight="1" s="56">
      <c r="A178" s="55" t="n">
        <v>46002.48581487269</v>
      </c>
      <c r="B178" s="9" t="inlineStr">
        <is>
          <t>646/BK-2025</t>
        </is>
      </c>
      <c r="C178" s="9" t="inlineStr">
        <is>
          <t>Nguyễn Tuấn Nghiêm</t>
        </is>
      </c>
      <c r="D178" s="9" t="inlineStr">
        <is>
          <t>Linh Xuân</t>
        </is>
      </c>
      <c r="E178" s="9" t="inlineStr">
        <is>
          <t>Anh Long PCT</t>
        </is>
      </c>
      <c r="F178" s="9" t="inlineStr">
        <is>
          <t>Tạ Khắc Tập</t>
        </is>
      </c>
      <c r="G178" s="9" t="inlineStr">
        <is>
          <t>Võ Tứ Hợp</t>
        </is>
      </c>
      <c r="H178" s="9" t="inlineStr">
        <is>
          <t>Cấp sổ lần đầu</t>
        </is>
      </c>
      <c r="I178" s="55" t="n">
        <v>46005</v>
      </c>
      <c r="J178" s="9" t="inlineStr">
        <is>
          <t>Hoàn thành</t>
        </is>
      </c>
    </row>
    <row r="179" ht="15.75" customHeight="1" s="56">
      <c r="A179" s="55" t="n">
        <v>46002.48523943287</v>
      </c>
      <c r="B179" s="9" t="inlineStr">
        <is>
          <t>645/BK-2025</t>
        </is>
      </c>
      <c r="C179" s="9" t="inlineStr">
        <is>
          <t>Dương Thị Thanh Tâm</t>
        </is>
      </c>
      <c r="D179" s="9" t="inlineStr">
        <is>
          <t>Hiệp Bình</t>
        </is>
      </c>
      <c r="E179" s="9" t="inlineStr">
        <is>
          <t>Anh Long PCT</t>
        </is>
      </c>
      <c r="F179" s="9" t="inlineStr">
        <is>
          <t>Tạ Khắc Tập</t>
        </is>
      </c>
      <c r="G179" s="9" t="inlineStr">
        <is>
          <t>Võ Tứ Hợp</t>
        </is>
      </c>
      <c r="H179" s="9" t="inlineStr">
        <is>
          <t>Cấp đổi</t>
        </is>
      </c>
      <c r="I179" s="55" t="n">
        <v>46005</v>
      </c>
      <c r="J179" s="9" t="inlineStr">
        <is>
          <t>Nộp thành công - Chờ kết quả</t>
        </is>
      </c>
    </row>
    <row r="180" ht="15.75" customHeight="1" s="56">
      <c r="A180" s="55" t="n">
        <v>46002.43975547454</v>
      </c>
      <c r="B180" s="9" t="inlineStr">
        <is>
          <t>644/BK-2025</t>
        </is>
      </c>
      <c r="C180" s="9" t="inlineStr">
        <is>
          <t>Huỳnh Thị Ngọc Châu</t>
        </is>
      </c>
      <c r="D180" s="9" t="inlineStr">
        <is>
          <t>Thủ Đức</t>
        </is>
      </c>
      <c r="E180" s="9" t="inlineStr">
        <is>
          <t>Anh Cường Sài Gòn DV</t>
        </is>
      </c>
      <c r="F180" s="9" t="inlineStr">
        <is>
          <t>Tạ Khắc Tập</t>
        </is>
      </c>
      <c r="G180" s="9" t="inlineStr">
        <is>
          <t>Võ Tứ Hợp</t>
        </is>
      </c>
      <c r="H180" s="9" t="inlineStr">
        <is>
          <t>Cấp đổi</t>
        </is>
      </c>
      <c r="I180" s="55" t="n">
        <v>46005</v>
      </c>
    </row>
    <row r="181" ht="15.75" customHeight="1" s="56">
      <c r="A181" s="55" t="n">
        <v>46002.43864914352</v>
      </c>
      <c r="B181" s="9" t="inlineStr">
        <is>
          <t>643/BK-2025</t>
        </is>
      </c>
      <c r="C181" s="9" t="inlineStr">
        <is>
          <t>Nguyễn Hữu Thịnh</t>
        </is>
      </c>
      <c r="D181" s="9" t="inlineStr">
        <is>
          <t>Tam Bình</t>
        </is>
      </c>
      <c r="E181" s="9" t="inlineStr">
        <is>
          <t>Công Ty</t>
        </is>
      </c>
      <c r="F181" s="9" t="inlineStr">
        <is>
          <t>Lê Văn Xây</t>
        </is>
      </c>
      <c r="G181" s="9" t="inlineStr">
        <is>
          <t>Võ Tứ Hợp</t>
        </is>
      </c>
      <c r="H181" s="9" t="inlineStr">
        <is>
          <t>Hoàn công</t>
        </is>
      </c>
      <c r="I181" s="55" t="n">
        <v>46005</v>
      </c>
      <c r="J181" s="9" t="inlineStr">
        <is>
          <t>Hoàn thành</t>
        </is>
      </c>
    </row>
    <row r="182" ht="15.75" customHeight="1" s="56">
      <c r="A182" s="55" t="n">
        <v>46002.43796870371</v>
      </c>
      <c r="B182" s="9" t="inlineStr">
        <is>
          <t>642/BK-2025</t>
        </is>
      </c>
      <c r="C182" s="9" t="inlineStr">
        <is>
          <t>Hứa Thu Phụng</t>
        </is>
      </c>
      <c r="D182" s="9" t="inlineStr">
        <is>
          <t>Long Trường</t>
        </is>
      </c>
      <c r="E182" s="9" t="inlineStr">
        <is>
          <t>Công Ty</t>
        </is>
      </c>
      <c r="F182" s="9" t="inlineStr">
        <is>
          <t>Lê Văn Xây</t>
        </is>
      </c>
      <c r="G182" s="9" t="inlineStr">
        <is>
          <t>Võ Tứ Hợp</t>
        </is>
      </c>
      <c r="H182" s="9" t="inlineStr">
        <is>
          <t>Hoàn công</t>
        </is>
      </c>
      <c r="I182" s="55" t="n">
        <v>46005</v>
      </c>
      <c r="J182" s="9" t="inlineStr">
        <is>
          <t>Nộp thành công - Chờ kết quả</t>
        </is>
      </c>
    </row>
    <row r="183" ht="15.75" customHeight="1" s="56">
      <c r="A183" s="55" t="n">
        <v>46001.66977126157</v>
      </c>
      <c r="B183" s="9" t="inlineStr">
        <is>
          <t>641/BK-2025</t>
        </is>
      </c>
      <c r="C183" s="9" t="inlineStr">
        <is>
          <t>Nguyễn Thị Kim Ngọc</t>
        </is>
      </c>
      <c r="D183" s="9" t="inlineStr">
        <is>
          <t>Linh Xuân</t>
        </is>
      </c>
      <c r="E183" s="9" t="inlineStr">
        <is>
          <t>Chị Xuân DV</t>
        </is>
      </c>
      <c r="F183" s="9" t="inlineStr">
        <is>
          <t>Lê Văn Xây</t>
        </is>
      </c>
      <c r="G183" s="9" t="inlineStr">
        <is>
          <t>Võ Tứ Hợp</t>
        </is>
      </c>
      <c r="H183" s="9" t="inlineStr">
        <is>
          <t>Cấp đổi</t>
        </is>
      </c>
      <c r="I183" s="55" t="n">
        <v>46004</v>
      </c>
      <c r="J183" s="9" t="inlineStr">
        <is>
          <t>Hoàn thành</t>
        </is>
      </c>
    </row>
    <row r="184" ht="15.75" customHeight="1" s="56">
      <c r="A184" s="55" t="n">
        <v>46001.35067619213</v>
      </c>
      <c r="B184" s="9" t="inlineStr">
        <is>
          <t>640/BK-2025</t>
        </is>
      </c>
      <c r="C184" s="9" t="inlineStr">
        <is>
          <t>Công ty Cổ phần Sài Gòn Riverview</t>
        </is>
      </c>
      <c r="D184" s="9" t="inlineStr">
        <is>
          <t>Hiệp Bình</t>
        </is>
      </c>
      <c r="E184" s="9" t="inlineStr">
        <is>
          <t>Công Ty</t>
        </is>
      </c>
      <c r="F184" s="9" t="inlineStr">
        <is>
          <t>Trương Tấn Quốc</t>
        </is>
      </c>
      <c r="G184" s="9" t="inlineStr">
        <is>
          <t>Không cần</t>
        </is>
      </c>
      <c r="H184" s="9" t="inlineStr">
        <is>
          <t>Xác định diện tích</t>
        </is>
      </c>
      <c r="I184" s="55" t="n">
        <v>46004</v>
      </c>
      <c r="J184" s="9" t="inlineStr">
        <is>
          <t>Hoàn thành</t>
        </is>
      </c>
    </row>
    <row r="185" ht="15.75" customHeight="1" s="56">
      <c r="A185" s="55" t="n">
        <v>46001.34877180555</v>
      </c>
      <c r="B185" s="9" t="inlineStr">
        <is>
          <t>639/BK-2025</t>
        </is>
      </c>
      <c r="C185" s="9" t="inlineStr">
        <is>
          <t>Công ty Cổ phần Đầu tư và Phát Triển Thành phố Hồ Chí Minh</t>
        </is>
      </c>
      <c r="D185" s="9" t="inlineStr">
        <is>
          <t>Hiệp Bình</t>
        </is>
      </c>
      <c r="E185" s="9" t="inlineStr">
        <is>
          <t>Công Ty</t>
        </is>
      </c>
      <c r="F185" s="9" t="inlineStr">
        <is>
          <t>Trương Tấn Quốc</t>
        </is>
      </c>
      <c r="G185" s="9" t="inlineStr">
        <is>
          <t>Không cần</t>
        </is>
      </c>
      <c r="H185" s="9" t="inlineStr">
        <is>
          <t>Xác định diện tích</t>
        </is>
      </c>
      <c r="I185" s="55" t="n">
        <v>46004</v>
      </c>
      <c r="J185" s="9" t="inlineStr">
        <is>
          <t>Hoàn thành</t>
        </is>
      </c>
    </row>
    <row r="186" ht="15.75" customHeight="1" s="56">
      <c r="A186" s="55" t="n">
        <v>46001.34356795139</v>
      </c>
      <c r="B186" s="9" t="inlineStr">
        <is>
          <t>638/BK-2025</t>
        </is>
      </c>
      <c r="C186" s="9" t="inlineStr">
        <is>
          <t>Công ty TNHH MTV EPIC LAND</t>
        </is>
      </c>
      <c r="D186" s="9" t="inlineStr">
        <is>
          <t>Hiệp Bình</t>
        </is>
      </c>
      <c r="E186" s="9" t="inlineStr">
        <is>
          <t>Công Ty</t>
        </is>
      </c>
      <c r="F186" s="9" t="inlineStr">
        <is>
          <t>Trương Tấn Quốc</t>
        </is>
      </c>
      <c r="G186" s="9" t="inlineStr">
        <is>
          <t>Không cần</t>
        </is>
      </c>
      <c r="H186" s="9" t="inlineStr">
        <is>
          <t>Xác định diện tích</t>
        </is>
      </c>
      <c r="I186" s="55" t="n">
        <v>46004</v>
      </c>
      <c r="J186" s="9" t="inlineStr">
        <is>
          <t>Hoàn thành</t>
        </is>
      </c>
    </row>
    <row r="187" ht="15.75" customHeight="1" s="56">
      <c r="A187" s="55" t="n">
        <v>46001.3425574537</v>
      </c>
      <c r="B187" s="9" t="inlineStr">
        <is>
          <t>637/BK-2025</t>
        </is>
      </c>
      <c r="C187" s="9" t="inlineStr">
        <is>
          <t>Công ty Cổ phần Đầu tư Dầu khí Thăng Long</t>
        </is>
      </c>
      <c r="D187" s="9" t="inlineStr">
        <is>
          <t>Phước Long</t>
        </is>
      </c>
      <c r="E187" s="9" t="inlineStr">
        <is>
          <t>Công Ty</t>
        </is>
      </c>
      <c r="F187" s="9" t="inlineStr">
        <is>
          <t>Trương Tấn Quốc</t>
        </is>
      </c>
      <c r="G187" s="9" t="inlineStr">
        <is>
          <t>Không cần</t>
        </is>
      </c>
      <c r="H187" s="9" t="inlineStr">
        <is>
          <t>Xác định diện tích</t>
        </is>
      </c>
      <c r="I187" s="55" t="n">
        <v>46004</v>
      </c>
      <c r="J187" s="9" t="inlineStr">
        <is>
          <t>Hoàn thành</t>
        </is>
      </c>
    </row>
    <row r="188" ht="15.75" customHeight="1" s="56">
      <c r="A188" s="55" t="n">
        <v>46000.61535354167</v>
      </c>
      <c r="B188" s="9" t="inlineStr">
        <is>
          <t>464-1/BK-2025</t>
        </is>
      </c>
      <c r="C188" s="9" t="inlineStr">
        <is>
          <t>Đặng Thị Kim Thiện</t>
        </is>
      </c>
      <c r="D188" s="9" t="inlineStr">
        <is>
          <t>Phước Long</t>
        </is>
      </c>
      <c r="E188" s="9" t="inlineStr">
        <is>
          <t>Chị Phấn DV</t>
        </is>
      </c>
      <c r="F188" s="9" t="inlineStr">
        <is>
          <t>Tạ Khắc Tập</t>
        </is>
      </c>
      <c r="G188" s="9" t="inlineStr">
        <is>
          <t>Không cần</t>
        </is>
      </c>
      <c r="H188" s="9" t="inlineStr">
        <is>
          <t>Kiểm tra hiện trạng</t>
        </is>
      </c>
      <c r="I188" s="55" t="n">
        <v>46003</v>
      </c>
      <c r="J188" s="9" t="inlineStr">
        <is>
          <t>Hoàn thành</t>
        </is>
      </c>
    </row>
    <row r="189" ht="15.75" customHeight="1" s="56">
      <c r="A189" s="55" t="n">
        <v>46000.51049738426</v>
      </c>
      <c r="B189" s="9" t="inlineStr">
        <is>
          <t>618-1/BK-2025</t>
        </is>
      </c>
      <c r="C189" s="9" t="inlineStr">
        <is>
          <t>Đinh Thị Hằng</t>
        </is>
      </c>
      <c r="D189" s="9" t="inlineStr">
        <is>
          <t>An Khánh</t>
        </is>
      </c>
      <c r="E189" s="9" t="inlineStr">
        <is>
          <t>Công Ty</t>
        </is>
      </c>
      <c r="F189" s="9" t="inlineStr">
        <is>
          <t>Lê Văn Xây</t>
        </is>
      </c>
      <c r="G189" s="9" t="inlineStr">
        <is>
          <t>Võ Tứ Hợp</t>
        </is>
      </c>
      <c r="H189" s="9" t="inlineStr">
        <is>
          <t>Cắm mốc</t>
        </is>
      </c>
      <c r="I189" s="55" t="n">
        <v>46003</v>
      </c>
      <c r="J189" s="9" t="inlineStr">
        <is>
          <t>Hoàn thành</t>
        </is>
      </c>
    </row>
    <row r="190" ht="15.75" customHeight="1" s="56">
      <c r="A190" s="55" t="n">
        <v>46000.47772152778</v>
      </c>
      <c r="B190" s="9" t="inlineStr">
        <is>
          <t>636/BK-2025</t>
        </is>
      </c>
      <c r="C190" s="9" t="inlineStr">
        <is>
          <t>Trịnh Thị Sinh</t>
        </is>
      </c>
      <c r="D190" s="9" t="inlineStr">
        <is>
          <t>Hiệp Bình</t>
        </is>
      </c>
      <c r="E190" s="9" t="inlineStr">
        <is>
          <t>Công Ty</t>
        </is>
      </c>
      <c r="F190" s="9" t="inlineStr">
        <is>
          <t>Tạ Khắc Tập</t>
        </is>
      </c>
      <c r="G190" s="9" t="inlineStr">
        <is>
          <t>Võ Tứ Hợp</t>
        </is>
      </c>
      <c r="H190" s="9" t="inlineStr">
        <is>
          <t>Cấp đổi</t>
        </is>
      </c>
      <c r="I190" s="55" t="n">
        <v>46003</v>
      </c>
      <c r="J190" s="9" t="inlineStr">
        <is>
          <t>Hủy</t>
        </is>
      </c>
    </row>
    <row r="191" ht="15.75" customHeight="1" s="56">
      <c r="A191" s="55" t="n">
        <v>46000.4700041088</v>
      </c>
      <c r="B191" s="9" t="inlineStr">
        <is>
          <t>635/BK-2025</t>
        </is>
      </c>
      <c r="C191" s="9" t="inlineStr">
        <is>
          <t>Nguyễn Văn Quang</t>
        </is>
      </c>
      <c r="D191" s="9" t="inlineStr">
        <is>
          <t>Hiệp Bình</t>
        </is>
      </c>
      <c r="E191" s="9" t="inlineStr">
        <is>
          <t>Anh Long PCT</t>
        </is>
      </c>
      <c r="F191" s="9" t="inlineStr">
        <is>
          <t>Tạ Khắc Tập</t>
        </is>
      </c>
      <c r="G191" s="9" t="inlineStr">
        <is>
          <t>Võ Tứ Hợp</t>
        </is>
      </c>
      <c r="H191" s="9" t="inlineStr">
        <is>
          <t>Cấp sổ lần đầu</t>
        </is>
      </c>
      <c r="I191" s="55" t="n">
        <v>46003</v>
      </c>
      <c r="J191" s="9" t="inlineStr">
        <is>
          <t>Nộp thành công - Chờ kết quả</t>
        </is>
      </c>
    </row>
    <row r="192" ht="15.75" customHeight="1" s="56">
      <c r="A192" s="55" t="n">
        <v>46000.46897996528</v>
      </c>
      <c r="B192" s="9" t="inlineStr">
        <is>
          <t>634/BK-2025</t>
        </is>
      </c>
      <c r="C192" s="9" t="inlineStr">
        <is>
          <t>Vũ Sơn Lâm</t>
        </is>
      </c>
      <c r="D192" s="9" t="inlineStr">
        <is>
          <t>Tam Bình</t>
        </is>
      </c>
      <c r="E192" s="9" t="inlineStr">
        <is>
          <t>Công Ty</t>
        </is>
      </c>
      <c r="F192" s="9" t="inlineStr">
        <is>
          <t>Tạ Khắc Tập</t>
        </is>
      </c>
      <c r="G192" s="9" t="inlineStr">
        <is>
          <t>Võ Tứ Hợp</t>
        </is>
      </c>
      <c r="H192" s="9" t="inlineStr">
        <is>
          <t>Cấp đổi</t>
        </is>
      </c>
      <c r="I192" s="55" t="n">
        <v>46003</v>
      </c>
      <c r="J192" s="9" t="inlineStr">
        <is>
          <t>Hủy</t>
        </is>
      </c>
    </row>
    <row r="193" ht="15.75" customHeight="1" s="56">
      <c r="A193" s="55" t="n">
        <v>46000.44680605324</v>
      </c>
      <c r="B193" s="9" t="inlineStr">
        <is>
          <t>16-1/BK-2025</t>
        </is>
      </c>
      <c r="C193" s="9" t="inlineStr">
        <is>
          <t>Bùi Ngọc Minh</t>
        </is>
      </c>
      <c r="D193" s="9" t="inlineStr">
        <is>
          <t>Long Phước</t>
        </is>
      </c>
      <c r="E193" s="9" t="inlineStr">
        <is>
          <t>Công Ty</t>
        </is>
      </c>
      <c r="F193" s="9" t="inlineStr">
        <is>
          <t>Lê Văn Dựng</t>
        </is>
      </c>
      <c r="G193" s="9" t="inlineStr">
        <is>
          <t>Không cần</t>
        </is>
      </c>
      <c r="H193" s="9" t="inlineStr">
        <is>
          <t>Cắm mốc</t>
        </is>
      </c>
      <c r="I193" s="55" t="n">
        <v>46003</v>
      </c>
      <c r="J193" s="9" t="inlineStr">
        <is>
          <t>Hoàn thành</t>
        </is>
      </c>
    </row>
    <row r="194" ht="15.75" customHeight="1" s="56">
      <c r="A194" s="55" t="n">
        <v>46000.40536717592</v>
      </c>
      <c r="B194" s="9" t="inlineStr">
        <is>
          <t>633-2/BK-2025</t>
        </is>
      </c>
      <c r="C194" s="9" t="inlineStr">
        <is>
          <t>Trần Quang Vinh</t>
        </is>
      </c>
      <c r="D194" s="9" t="inlineStr">
        <is>
          <t>Long Phước</t>
        </is>
      </c>
      <c r="E194" s="9" t="inlineStr">
        <is>
          <t>Hoàng Quân</t>
        </is>
      </c>
      <c r="F194" s="9" t="inlineStr">
        <is>
          <t>Lê Văn Dựng</t>
        </is>
      </c>
      <c r="G194" s="9" t="inlineStr">
        <is>
          <t>Không cần</t>
        </is>
      </c>
      <c r="H194" s="9" t="inlineStr">
        <is>
          <t>Đo GPS</t>
        </is>
      </c>
      <c r="I194" s="55" t="n">
        <v>46003</v>
      </c>
      <c r="J194" s="9" t="inlineStr">
        <is>
          <t>Hoàn thành</t>
        </is>
      </c>
    </row>
    <row r="195" ht="15.75" customHeight="1" s="56">
      <c r="A195" s="55" t="n">
        <v>46000.40480819444</v>
      </c>
      <c r="B195" s="9" t="inlineStr">
        <is>
          <t>633-1/BK-2025</t>
        </is>
      </c>
      <c r="C195" s="9" t="inlineStr">
        <is>
          <t>Trần Quang Vinh</t>
        </is>
      </c>
      <c r="D195" s="9" t="inlineStr">
        <is>
          <t>Long Phước</t>
        </is>
      </c>
      <c r="E195" s="9" t="inlineStr">
        <is>
          <t>Hoàng Quân</t>
        </is>
      </c>
      <c r="F195" s="9" t="inlineStr">
        <is>
          <t>Lê Văn Dựng</t>
        </is>
      </c>
      <c r="G195" s="9" t="inlineStr">
        <is>
          <t>Không cần</t>
        </is>
      </c>
      <c r="H195" s="9" t="inlineStr">
        <is>
          <t>Cắm mốc</t>
        </is>
      </c>
      <c r="I195" s="55" t="n">
        <v>46003</v>
      </c>
      <c r="J195" s="9" t="inlineStr">
        <is>
          <t>Hoàn thành</t>
        </is>
      </c>
    </row>
    <row r="196" ht="15.75" customHeight="1" s="56">
      <c r="A196" s="55" t="n">
        <v>46000.40282547454</v>
      </c>
      <c r="B196" s="9" t="inlineStr">
        <is>
          <t>633/BK-2025</t>
        </is>
      </c>
      <c r="C196" s="9" t="inlineStr">
        <is>
          <t>Trần Quang Vinh</t>
        </is>
      </c>
      <c r="D196" s="9" t="inlineStr">
        <is>
          <t>Long Phước</t>
        </is>
      </c>
      <c r="E196" s="9" t="inlineStr">
        <is>
          <t>Hoàng Quân</t>
        </is>
      </c>
      <c r="F196" s="9" t="inlineStr">
        <is>
          <t>Lê Văn Dựng</t>
        </is>
      </c>
      <c r="G196" s="9" t="inlineStr">
        <is>
          <t>Không cần</t>
        </is>
      </c>
      <c r="H196" s="9" t="inlineStr">
        <is>
          <t>Cấp đổi</t>
        </is>
      </c>
      <c r="I196" s="55" t="n">
        <v>46003</v>
      </c>
      <c r="J196" s="9" t="inlineStr">
        <is>
          <t>Hoàn thành</t>
        </is>
      </c>
    </row>
    <row r="197" ht="15.75" customHeight="1" s="56">
      <c r="A197" s="55" t="n">
        <v>46000.40072283565</v>
      </c>
      <c r="B197" s="9" t="inlineStr">
        <is>
          <t>632/BK-2025</t>
        </is>
      </c>
      <c r="C197" s="9" t="inlineStr">
        <is>
          <t>Nguyễn Minh Chữ</t>
        </is>
      </c>
      <c r="D197" s="9" t="inlineStr">
        <is>
          <t>Hiệp Bình</t>
        </is>
      </c>
      <c r="E197" s="9" t="inlineStr">
        <is>
          <t>Chú Loan DV</t>
        </is>
      </c>
      <c r="F197" s="9" t="inlineStr">
        <is>
          <t>Tạ Khắc Tập</t>
        </is>
      </c>
      <c r="G197" s="9" t="inlineStr">
        <is>
          <t>Không cần</t>
        </is>
      </c>
      <c r="H197" s="9" t="inlineStr">
        <is>
          <t>Chuyển mục đích</t>
        </is>
      </c>
      <c r="I197" s="55" t="n">
        <v>46003</v>
      </c>
      <c r="J197" s="9" t="inlineStr">
        <is>
          <t>Hoàn thành</t>
        </is>
      </c>
    </row>
    <row r="198" ht="15.75" customHeight="1" s="56">
      <c r="A198" s="55" t="n">
        <v>45997.58489518519</v>
      </c>
      <c r="B198" s="9" t="inlineStr">
        <is>
          <t>631/BK-2025</t>
        </is>
      </c>
      <c r="C198" s="9" t="inlineStr">
        <is>
          <t>Nguyễn Thị Bích Trâm</t>
        </is>
      </c>
      <c r="D198" s="9" t="inlineStr">
        <is>
          <t>Linh Xuân</t>
        </is>
      </c>
      <c r="E198" s="9" t="inlineStr">
        <is>
          <t>Chị Xuân DV</t>
        </is>
      </c>
      <c r="F198" s="9" t="inlineStr">
        <is>
          <t>Tạ Khắc Tập</t>
        </is>
      </c>
      <c r="G198" s="9" t="inlineStr">
        <is>
          <t>Võ Tứ Hợp</t>
        </is>
      </c>
      <c r="H198" s="9" t="inlineStr">
        <is>
          <t>Cấp đổi</t>
        </is>
      </c>
      <c r="I198" s="55" t="n">
        <v>46000</v>
      </c>
      <c r="J198" s="9" t="inlineStr">
        <is>
          <t>Hoàn thành</t>
        </is>
      </c>
    </row>
    <row r="199" ht="15.75" customHeight="1" s="56">
      <c r="A199" s="55" t="n">
        <v>45996.70182957176</v>
      </c>
      <c r="B199" s="9" t="inlineStr">
        <is>
          <t>630/BK-2025</t>
        </is>
      </c>
      <c r="C199" s="9" t="inlineStr">
        <is>
          <t>Lê Tiến Hòa</t>
        </is>
      </c>
      <c r="D199" s="9" t="inlineStr">
        <is>
          <t>Hiệp Bình</t>
        </is>
      </c>
      <c r="E199" s="9" t="inlineStr">
        <is>
          <t>Nguyễn Hương DV</t>
        </is>
      </c>
      <c r="F199" s="9" t="inlineStr">
        <is>
          <t>Lê Văn Xây</t>
        </is>
      </c>
      <c r="G199" s="9" t="inlineStr">
        <is>
          <t>Không cần</t>
        </is>
      </c>
      <c r="H199" s="9" t="inlineStr">
        <is>
          <t>Chuyển mục đích</t>
        </is>
      </c>
      <c r="I199" s="55" t="n">
        <v>45999</v>
      </c>
      <c r="J199" s="9" t="inlineStr">
        <is>
          <t>Nộp thành công - Chờ kết quả</t>
        </is>
      </c>
    </row>
    <row r="200" ht="15.75" customHeight="1" s="56">
      <c r="A200" s="55" t="n">
        <v>45996.42868731482</v>
      </c>
      <c r="B200" s="9" t="inlineStr">
        <is>
          <t>629/BK-2025</t>
        </is>
      </c>
      <c r="C200" s="9" t="inlineStr">
        <is>
          <t>Lô Bằng Giang</t>
        </is>
      </c>
      <c r="D200" s="9" t="inlineStr">
        <is>
          <t>An Khánh</t>
        </is>
      </c>
      <c r="E200" s="9" t="inlineStr">
        <is>
          <t>Công Ty</t>
        </is>
      </c>
      <c r="F200" s="9" t="inlineStr">
        <is>
          <t>Lê Văn Dựng</t>
        </is>
      </c>
      <c r="G200" s="9" t="inlineStr">
        <is>
          <t>Không cần</t>
        </is>
      </c>
      <c r="H200" s="9" t="inlineStr">
        <is>
          <t>Chuyển mục đích</t>
        </is>
      </c>
      <c r="I200" s="55" t="n">
        <v>45999</v>
      </c>
      <c r="J200" s="9" t="inlineStr">
        <is>
          <t>Hoàn thành</t>
        </is>
      </c>
    </row>
    <row r="201" ht="15.75" customHeight="1" s="56">
      <c r="A201" s="55" t="n">
        <v>45996.42779842592</v>
      </c>
      <c r="B201" s="9" t="inlineStr">
        <is>
          <t>628/BK-2025</t>
        </is>
      </c>
      <c r="C201" s="9" t="inlineStr">
        <is>
          <t>Lô Bằng Giang</t>
        </is>
      </c>
      <c r="D201" s="9" t="inlineStr">
        <is>
          <t>An Khánh</t>
        </is>
      </c>
      <c r="E201" s="9" t="inlineStr">
        <is>
          <t>Công Ty</t>
        </is>
      </c>
      <c r="F201" s="9" t="inlineStr">
        <is>
          <t>Lê Văn Dựng</t>
        </is>
      </c>
      <c r="G201" s="9" t="inlineStr">
        <is>
          <t>Không cần</t>
        </is>
      </c>
      <c r="H201" s="9" t="inlineStr">
        <is>
          <t>Chuyển mục đích</t>
        </is>
      </c>
      <c r="I201" s="55" t="n">
        <v>45999</v>
      </c>
      <c r="J201" s="9" t="inlineStr">
        <is>
          <t>Hoàn thành</t>
        </is>
      </c>
    </row>
    <row r="202" ht="15.75" customHeight="1" s="56">
      <c r="A202" s="55" t="n">
        <v>45996.38351018519</v>
      </c>
      <c r="B202" s="9" t="inlineStr">
        <is>
          <t>627/BK-2025</t>
        </is>
      </c>
      <c r="C202" s="9" t="inlineStr">
        <is>
          <t>Trần Thị Hạnh</t>
        </is>
      </c>
      <c r="D202" s="9" t="inlineStr">
        <is>
          <t>Long Trường</t>
        </is>
      </c>
      <c r="E202" s="9" t="inlineStr">
        <is>
          <t>Nguyễn Khoa DV</t>
        </is>
      </c>
      <c r="F202" s="9" t="inlineStr">
        <is>
          <t>Tạ Khắc Tập</t>
        </is>
      </c>
      <c r="G202" s="9" t="inlineStr">
        <is>
          <t>Võ Tứ Hợp</t>
        </is>
      </c>
      <c r="H202" s="9" t="inlineStr">
        <is>
          <t>Cấp đổi</t>
        </is>
      </c>
      <c r="I202" s="55" t="n">
        <v>45999</v>
      </c>
      <c r="J202" s="9" t="inlineStr">
        <is>
          <t>Hoàn thành</t>
        </is>
      </c>
    </row>
    <row r="203" ht="15.75" customHeight="1" s="56">
      <c r="A203" s="55" t="n">
        <v>45996.37987378472</v>
      </c>
      <c r="B203" s="9" t="inlineStr">
        <is>
          <t>626/BK-2025</t>
        </is>
      </c>
      <c r="C203" s="9" t="inlineStr">
        <is>
          <t>Bùi Nam Giang</t>
        </is>
      </c>
      <c r="D203" s="9" t="inlineStr">
        <is>
          <t>Long Trường</t>
        </is>
      </c>
      <c r="E203" s="9" t="inlineStr">
        <is>
          <t>Công Ty</t>
        </is>
      </c>
      <c r="F203" s="9" t="inlineStr">
        <is>
          <t>Tạ Khắc Tập</t>
        </is>
      </c>
      <c r="G203" s="9" t="inlineStr">
        <is>
          <t>Võ Tứ Hợp</t>
        </is>
      </c>
      <c r="H203" s="9" t="inlineStr">
        <is>
          <t>Xác định diện tích</t>
        </is>
      </c>
      <c r="I203" s="55" t="n">
        <v>45999</v>
      </c>
      <c r="J203" s="9" t="inlineStr">
        <is>
          <t>Hoàn thành</t>
        </is>
      </c>
    </row>
    <row r="204" ht="15.75" customHeight="1" s="56">
      <c r="A204" s="55" t="n">
        <v>45996.37823306713</v>
      </c>
      <c r="B204" s="9" t="inlineStr">
        <is>
          <t>353-1/BK-2025</t>
        </is>
      </c>
      <c r="C204" s="9" t="inlineStr">
        <is>
          <t>Đặng Đức Ý</t>
        </is>
      </c>
      <c r="D204" s="9" t="inlineStr">
        <is>
          <t>Tăng Nhơn Phú</t>
        </is>
      </c>
      <c r="E204" s="9" t="inlineStr">
        <is>
          <t>Đạt Việt Phát Land</t>
        </is>
      </c>
      <c r="F204" s="9" t="inlineStr">
        <is>
          <t>Lê Văn Dựng</t>
        </is>
      </c>
      <c r="G204" s="9" t="inlineStr">
        <is>
          <t>Không cần</t>
        </is>
      </c>
      <c r="H204" s="9" t="inlineStr">
        <is>
          <t>Cấp đổi</t>
        </is>
      </c>
      <c r="I204" s="55" t="n">
        <v>45999</v>
      </c>
      <c r="J204" s="9" t="inlineStr">
        <is>
          <t>Nộp thành công - Chờ kết quả</t>
        </is>
      </c>
    </row>
    <row r="205" ht="15.75" customHeight="1" s="56">
      <c r="A205" s="55" t="n">
        <v>45995.66664837963</v>
      </c>
      <c r="B205" s="9" t="inlineStr">
        <is>
          <t>625/BK-2025</t>
        </is>
      </c>
      <c r="C205" s="9" t="inlineStr">
        <is>
          <t>Lô Bằng Giang</t>
        </is>
      </c>
      <c r="D205" s="9" t="inlineStr">
        <is>
          <t>An Khánh</t>
        </is>
      </c>
      <c r="E205" s="9" t="inlineStr">
        <is>
          <t>Công Ty</t>
        </is>
      </c>
      <c r="F205" s="9" t="inlineStr">
        <is>
          <t>Trương Tấn Quốc</t>
        </is>
      </c>
      <c r="G205" s="9" t="inlineStr">
        <is>
          <t>Tạ Khắc Tập</t>
        </is>
      </c>
      <c r="H205" s="9" t="inlineStr">
        <is>
          <t>Xác định diện tích</t>
        </is>
      </c>
      <c r="I205" s="55" t="n">
        <v>45996</v>
      </c>
      <c r="J205" s="9" t="inlineStr">
        <is>
          <t>Hoàn thành</t>
        </is>
      </c>
    </row>
    <row r="206" ht="15.75" customHeight="1" s="56">
      <c r="A206" s="55" t="n">
        <v>45995.66613324074</v>
      </c>
      <c r="B206" s="9" t="inlineStr">
        <is>
          <t>624/BK-2025</t>
        </is>
      </c>
      <c r="C206" s="9" t="inlineStr">
        <is>
          <t>Lô Bằng Giang</t>
        </is>
      </c>
      <c r="D206" s="9" t="inlineStr">
        <is>
          <t>An Khánh</t>
        </is>
      </c>
      <c r="E206" s="9" t="inlineStr">
        <is>
          <t>Công Ty</t>
        </is>
      </c>
      <c r="F206" s="9" t="inlineStr">
        <is>
          <t>Trương Tấn Quốc</t>
        </is>
      </c>
      <c r="G206" s="9" t="inlineStr">
        <is>
          <t>Tạ Khắc Tập</t>
        </is>
      </c>
      <c r="H206" s="9" t="inlineStr">
        <is>
          <t>Xác định diện tích</t>
        </is>
      </c>
      <c r="I206" s="55" t="n">
        <v>45996</v>
      </c>
      <c r="J206" s="9" t="inlineStr">
        <is>
          <t>Hoàn thành</t>
        </is>
      </c>
    </row>
    <row r="207" ht="15.75" customHeight="1" s="56">
      <c r="A207" s="55" t="n">
        <v>45995.34977541667</v>
      </c>
      <c r="B207" s="9" t="inlineStr">
        <is>
          <t>623/BK-2025</t>
        </is>
      </c>
      <c r="C207" s="9" t="inlineStr">
        <is>
          <t>Nguyễn Văn Quỳnh</t>
        </is>
      </c>
      <c r="D207" s="9" t="inlineStr">
        <is>
          <t>Hiệp Bình</t>
        </is>
      </c>
      <c r="E207" s="9" t="inlineStr">
        <is>
          <t>Cô Hoa</t>
        </is>
      </c>
      <c r="F207" s="9" t="inlineStr">
        <is>
          <t>Lê Văn Dựng</t>
        </is>
      </c>
      <c r="G207" s="9" t="inlineStr">
        <is>
          <t>Võ Tứ Hợp</t>
        </is>
      </c>
      <c r="H207" s="9" t="inlineStr">
        <is>
          <t>Hoàn công</t>
        </is>
      </c>
      <c r="I207" s="55" t="n">
        <v>45998</v>
      </c>
      <c r="J207" s="9" t="inlineStr">
        <is>
          <t>Hoàn thành</t>
        </is>
      </c>
    </row>
    <row r="208" ht="15.75" customHeight="1" s="56">
      <c r="A208" s="55" t="n">
        <v>45995.3493480787</v>
      </c>
      <c r="B208" s="9" t="inlineStr">
        <is>
          <t>622/BK-2025</t>
        </is>
      </c>
      <c r="C208" s="9" t="inlineStr">
        <is>
          <t>Nguyễn Thị Mến</t>
        </is>
      </c>
      <c r="D208" s="9" t="inlineStr">
        <is>
          <t>Hiệp Bình</t>
        </is>
      </c>
      <c r="E208" s="9" t="inlineStr">
        <is>
          <t>Cô Hoa</t>
        </is>
      </c>
      <c r="F208" s="9" t="inlineStr">
        <is>
          <t>Lê Văn Dựng</t>
        </is>
      </c>
      <c r="G208" s="9" t="inlineStr">
        <is>
          <t>Võ Tứ Hợp</t>
        </is>
      </c>
      <c r="H208" s="9" t="inlineStr">
        <is>
          <t>Hoàn công</t>
        </is>
      </c>
      <c r="I208" s="55" t="n">
        <v>45998</v>
      </c>
      <c r="J208" s="9" t="inlineStr">
        <is>
          <t>Hoàn thành</t>
        </is>
      </c>
    </row>
    <row r="209" ht="15.75" customHeight="1" s="56">
      <c r="A209" s="55" t="n">
        <v>45994.72741608796</v>
      </c>
      <c r="B209" s="9" t="inlineStr">
        <is>
          <t>ĐC 116/BK-2025</t>
        </is>
      </c>
      <c r="C209" s="9" t="inlineStr">
        <is>
          <t>Lại Quốc Huy</t>
        </is>
      </c>
      <c r="D209" s="9" t="inlineStr">
        <is>
          <t>Hiệp Bình</t>
        </is>
      </c>
      <c r="E209" s="9" t="inlineStr">
        <is>
          <t>Công Ty</t>
        </is>
      </c>
      <c r="F209" s="9" t="inlineStr">
        <is>
          <t>Lê Văn Dựng</t>
        </is>
      </c>
      <c r="G209" s="9" t="inlineStr">
        <is>
          <t>Không cần</t>
        </is>
      </c>
      <c r="H209" s="9" t="inlineStr">
        <is>
          <t>Điều chỉnh bản vẽ</t>
        </is>
      </c>
      <c r="I209" s="55" t="n">
        <v>45997</v>
      </c>
      <c r="J209" s="9" t="inlineStr">
        <is>
          <t>Hoàn thành</t>
        </is>
      </c>
    </row>
    <row r="210" ht="15.75" customHeight="1" s="56">
      <c r="A210" s="55" t="n">
        <v>45994.4497062963</v>
      </c>
      <c r="B210" s="9" t="inlineStr">
        <is>
          <t>620/BK-2025</t>
        </is>
      </c>
      <c r="C210" s="9" t="inlineStr">
        <is>
          <t>Lê Thị Nguyệt</t>
        </is>
      </c>
      <c r="D210" s="9" t="inlineStr">
        <is>
          <t>Tăng Nhơn Phú</t>
        </is>
      </c>
      <c r="E210" s="9" t="inlineStr">
        <is>
          <t>Đạt Việt Phát Land</t>
        </is>
      </c>
      <c r="F210" s="9" t="inlineStr">
        <is>
          <t>Lê Văn Xây</t>
        </is>
      </c>
      <c r="G210" s="9" t="inlineStr">
        <is>
          <t>Võ Tứ Hợp</t>
        </is>
      </c>
      <c r="H210" s="9" t="inlineStr">
        <is>
          <t>Cấp đổi</t>
        </is>
      </c>
      <c r="I210" s="55" t="n">
        <v>45997</v>
      </c>
      <c r="J210" s="9" t="inlineStr">
        <is>
          <t>Hoàn thành</t>
        </is>
      </c>
    </row>
    <row r="211" ht="15.75" customHeight="1" s="56">
      <c r="A211" s="55" t="n">
        <v>45993.76536332176</v>
      </c>
      <c r="B211" s="9" t="inlineStr">
        <is>
          <t>619/BK-2025</t>
        </is>
      </c>
      <c r="C211" s="9" t="inlineStr">
        <is>
          <t>Đinh Gia Trí</t>
        </is>
      </c>
      <c r="D211" s="9" t="inlineStr">
        <is>
          <t>Bình Trưng</t>
        </is>
      </c>
      <c r="E211" s="9" t="inlineStr">
        <is>
          <t>Công Ty</t>
        </is>
      </c>
      <c r="F211" s="9" t="inlineStr">
        <is>
          <t>Võ Thành Minh</t>
        </is>
      </c>
      <c r="G211" s="9" t="inlineStr">
        <is>
          <t>Không cần</t>
        </is>
      </c>
      <c r="H211" s="9" t="inlineStr">
        <is>
          <t>Xin phép xây dựng</t>
        </is>
      </c>
      <c r="I211" s="55" t="n">
        <v>45996</v>
      </c>
      <c r="J211" s="9" t="inlineStr">
        <is>
          <t>Hoàn thành</t>
        </is>
      </c>
    </row>
    <row r="212" ht="15.75" customHeight="1" s="56">
      <c r="A212" s="55" t="n">
        <v>45993.76475525463</v>
      </c>
      <c r="B212" s="9" t="inlineStr">
        <is>
          <t>618/BK-2025</t>
        </is>
      </c>
      <c r="C212" s="9" t="inlineStr">
        <is>
          <t>Đinh Thị Hằng</t>
        </is>
      </c>
      <c r="D212" s="9" t="inlineStr">
        <is>
          <t>An Khánh</t>
        </is>
      </c>
      <c r="E212" s="9" t="inlineStr">
        <is>
          <t>Công Ty</t>
        </is>
      </c>
      <c r="F212" s="9" t="inlineStr">
        <is>
          <t>Võ Thành Minh</t>
        </is>
      </c>
      <c r="G212" s="9" t="inlineStr">
        <is>
          <t>Không cần</t>
        </is>
      </c>
      <c r="H212" s="9" t="inlineStr">
        <is>
          <t>Xin phép xây dựng</t>
        </is>
      </c>
      <c r="I212" s="55" t="n">
        <v>45996</v>
      </c>
      <c r="J212" s="9" t="inlineStr">
        <is>
          <t>Hoàn thành</t>
        </is>
      </c>
    </row>
    <row r="213" ht="15.75" customHeight="1" s="56">
      <c r="A213" s="55" t="n">
        <v>45993.76392811343</v>
      </c>
      <c r="B213" s="9" t="inlineStr">
        <is>
          <t>617/BK-2025</t>
        </is>
      </c>
      <c r="C213" s="9" t="inlineStr">
        <is>
          <t>Hàn Ngọc Pho</t>
        </is>
      </c>
      <c r="D213" s="9" t="inlineStr">
        <is>
          <t>Linh Xuân</t>
        </is>
      </c>
      <c r="E213" s="9" t="inlineStr">
        <is>
          <t>Đạt Việt Phát Land</t>
        </is>
      </c>
      <c r="F213" s="9" t="inlineStr">
        <is>
          <t>Võ Thành Minh</t>
        </is>
      </c>
      <c r="G213" s="9" t="inlineStr">
        <is>
          <t>Không cần</t>
        </is>
      </c>
      <c r="H213" s="9" t="inlineStr">
        <is>
          <t>Xin phép xây dựng</t>
        </is>
      </c>
      <c r="I213" s="55" t="n">
        <v>45996</v>
      </c>
      <c r="J213" s="9" t="inlineStr">
        <is>
          <t>Hoàn thành</t>
        </is>
      </c>
    </row>
    <row r="214" ht="15.75" customHeight="1" s="56">
      <c r="A214" s="55" t="n">
        <v>45993.47755664352</v>
      </c>
      <c r="B214" s="9" t="inlineStr">
        <is>
          <t>616/BK-2025</t>
        </is>
      </c>
      <c r="C214" s="9" t="inlineStr">
        <is>
          <t>Vũ Thị Phương</t>
        </is>
      </c>
      <c r="D214" s="9" t="inlineStr">
        <is>
          <t>Tam Bình</t>
        </is>
      </c>
      <c r="E214" s="9" t="inlineStr">
        <is>
          <t>Cô Hải Dịch Vụ</t>
        </is>
      </c>
      <c r="F214" s="9" t="inlineStr">
        <is>
          <t>Lê Văn Xây</t>
        </is>
      </c>
      <c r="G214" s="9" t="inlineStr">
        <is>
          <t>Không cần</t>
        </is>
      </c>
      <c r="H214" s="9" t="inlineStr">
        <is>
          <t>Xác định diện tích</t>
        </is>
      </c>
      <c r="I214" s="55" t="n">
        <v>45996</v>
      </c>
      <c r="J214" s="9" t="inlineStr">
        <is>
          <t>Hoàn thành</t>
        </is>
      </c>
    </row>
    <row r="215" ht="15.75" customHeight="1" s="56">
      <c r="A215" s="55" t="n">
        <v>45993.47671806713</v>
      </c>
      <c r="B215" s="9" t="inlineStr">
        <is>
          <t>615/BK-2025</t>
        </is>
      </c>
      <c r="C215" s="9" t="inlineStr">
        <is>
          <t>Đoàn Ngọc Hải</t>
        </is>
      </c>
      <c r="D215" s="9" t="inlineStr">
        <is>
          <t>Tam Bình</t>
        </is>
      </c>
      <c r="E215" s="9" t="inlineStr">
        <is>
          <t>Cô Hải Dịch Vụ</t>
        </is>
      </c>
      <c r="F215" s="9" t="inlineStr">
        <is>
          <t>Lê Văn Xây</t>
        </is>
      </c>
      <c r="G215" s="9" t="inlineStr">
        <is>
          <t>Không cần</t>
        </is>
      </c>
      <c r="H215" s="9" t="inlineStr">
        <is>
          <t>Xác định diện tích</t>
        </is>
      </c>
      <c r="I215" s="55" t="n">
        <v>45996</v>
      </c>
      <c r="J215" s="9" t="inlineStr">
        <is>
          <t>Hoàn thành</t>
        </is>
      </c>
    </row>
    <row r="216" ht="15.75" customHeight="1" s="56">
      <c r="A216" s="55" t="n">
        <v>45993.46041575231</v>
      </c>
      <c r="B216" s="9" t="inlineStr">
        <is>
          <t>614/BK-2025</t>
        </is>
      </c>
      <c r="C216" s="9" t="inlineStr">
        <is>
          <t>Dương Hồng Cẩm</t>
        </is>
      </c>
      <c r="D216" s="9" t="inlineStr">
        <is>
          <t>Hiệp Bình</t>
        </is>
      </c>
      <c r="E216" s="9" t="inlineStr">
        <is>
          <t>Công Ty</t>
        </is>
      </c>
      <c r="F216" s="9" t="inlineStr">
        <is>
          <t>Trương Tấn Quốc</t>
        </is>
      </c>
      <c r="G216" s="9" t="inlineStr">
        <is>
          <t>Không cần</t>
        </is>
      </c>
      <c r="H216" s="9" t="inlineStr">
        <is>
          <t>Hoàn công</t>
        </is>
      </c>
      <c r="I216" s="55" t="n">
        <v>45996</v>
      </c>
      <c r="J216" s="9" t="inlineStr">
        <is>
          <t>Hoàn thành</t>
        </is>
      </c>
    </row>
    <row r="217" ht="15.75" customHeight="1" s="56">
      <c r="A217" s="55" t="n">
        <v>45993.34452333333</v>
      </c>
      <c r="B217" s="9" t="inlineStr">
        <is>
          <t>613/BK-2025</t>
        </is>
      </c>
      <c r="C217" s="9" t="inlineStr">
        <is>
          <t>Nguyễn Trọng Nghĩa</t>
        </is>
      </c>
      <c r="D217" s="9" t="inlineStr">
        <is>
          <t>Linh Xuân</t>
        </is>
      </c>
      <c r="E217" s="9" t="inlineStr">
        <is>
          <t>Đạt Việt Phát Land</t>
        </is>
      </c>
      <c r="F217" s="9" t="inlineStr">
        <is>
          <t>Tạ Khắc Tập</t>
        </is>
      </c>
      <c r="G217" s="9" t="inlineStr">
        <is>
          <t>Võ Tứ Hợp</t>
        </is>
      </c>
      <c r="H217" s="9" t="inlineStr">
        <is>
          <t>Hoàn công</t>
        </is>
      </c>
      <c r="I217" s="55" t="n">
        <v>45996</v>
      </c>
      <c r="J217" s="9" t="inlineStr">
        <is>
          <t>Hoàn thành</t>
        </is>
      </c>
    </row>
    <row r="218" ht="15.75" customHeight="1" s="56">
      <c r="A218" s="55" t="n">
        <v>45992.39268185185</v>
      </c>
      <c r="B218" s="9" t="inlineStr">
        <is>
          <t>612/BK-2025</t>
        </is>
      </c>
      <c r="C218" s="9" t="inlineStr">
        <is>
          <t>Lê Thị Nguyệt</t>
        </is>
      </c>
      <c r="D218" s="9" t="inlineStr">
        <is>
          <t>Ngoài Thủ Đức</t>
        </is>
      </c>
      <c r="E218" s="9" t="inlineStr">
        <is>
          <t>Công Ty</t>
        </is>
      </c>
      <c r="F218" s="9" t="inlineStr">
        <is>
          <t>Lê Văn Dựng</t>
        </is>
      </c>
      <c r="G218" s="9" t="inlineStr">
        <is>
          <t>Không cần</t>
        </is>
      </c>
      <c r="H218" s="9" t="inlineStr">
        <is>
          <t>Đo GPS</t>
        </is>
      </c>
      <c r="I218" s="55" t="n">
        <v>45995</v>
      </c>
      <c r="J218" s="9" t="inlineStr">
        <is>
          <t>Hoàn thành</t>
        </is>
      </c>
    </row>
    <row r="219" ht="15.75" customHeight="1" s="56">
      <c r="A219" s="55" t="n">
        <v>45992.39127805555</v>
      </c>
      <c r="B219" s="9" t="inlineStr">
        <is>
          <t>611/BK-2025</t>
        </is>
      </c>
      <c r="C219" s="9" t="inlineStr">
        <is>
          <t>Trần Đức Phú</t>
        </is>
      </c>
      <c r="D219" s="9" t="inlineStr">
        <is>
          <t>Long Phước</t>
        </is>
      </c>
      <c r="E219" s="9" t="inlineStr">
        <is>
          <t>Hoàng Quân</t>
        </is>
      </c>
      <c r="F219" s="9" t="inlineStr">
        <is>
          <t>Lê Văn Dựng</t>
        </is>
      </c>
      <c r="G219" s="9" t="inlineStr">
        <is>
          <t>Không cần</t>
        </is>
      </c>
      <c r="H219" s="9" t="inlineStr">
        <is>
          <t>Cắm mốc</t>
        </is>
      </c>
      <c r="I219" s="55" t="n">
        <v>45995</v>
      </c>
      <c r="J219" s="9" t="inlineStr">
        <is>
          <t>Hoàn thành</t>
        </is>
      </c>
      <c r="K219" s="9" t="inlineStr">
        <is>
          <t>shd cũ 136/BK-2025</t>
        </is>
      </c>
    </row>
    <row r="220" ht="15.75" customHeight="1" s="56">
      <c r="A220" s="55" t="n">
        <v>45990.63940592593</v>
      </c>
      <c r="B220" s="9" t="inlineStr">
        <is>
          <t>610-2/BK-2025</t>
        </is>
      </c>
      <c r="C220" s="9" t="inlineStr">
        <is>
          <t>Trần Đức Phú</t>
        </is>
      </c>
      <c r="D220" s="9" t="inlineStr">
        <is>
          <t>Long Phước</t>
        </is>
      </c>
      <c r="E220" s="9" t="inlineStr">
        <is>
          <t>Hoàng Quân</t>
        </is>
      </c>
      <c r="F220" s="9" t="inlineStr">
        <is>
          <t>Lê Văn Dựng</t>
        </is>
      </c>
      <c r="G220" s="9" t="inlineStr">
        <is>
          <t>Không cần</t>
        </is>
      </c>
      <c r="H220" s="9" t="inlineStr">
        <is>
          <t>Đo GPS</t>
        </is>
      </c>
      <c r="I220" s="55" t="n">
        <v>45993</v>
      </c>
      <c r="J220" s="9" t="inlineStr">
        <is>
          <t>Hoàn thành</t>
        </is>
      </c>
    </row>
    <row r="221" ht="15.75" customHeight="1" s="56">
      <c r="A221" s="55" t="n">
        <v>45990.63903239583</v>
      </c>
      <c r="B221" s="9" t="inlineStr">
        <is>
          <t>610-1/BK-2025</t>
        </is>
      </c>
      <c r="C221" s="9" t="inlineStr">
        <is>
          <t>Trần Đức Phú</t>
        </is>
      </c>
      <c r="D221" s="9" t="inlineStr">
        <is>
          <t>Long Phước</t>
        </is>
      </c>
      <c r="E221" s="9" t="inlineStr">
        <is>
          <t>Hoàng Quân</t>
        </is>
      </c>
      <c r="F221" s="9" t="inlineStr">
        <is>
          <t>Lê Văn Dựng</t>
        </is>
      </c>
      <c r="G221" s="9" t="inlineStr">
        <is>
          <t>Không cần</t>
        </is>
      </c>
      <c r="H221" s="9" t="inlineStr">
        <is>
          <t>Cắm mốc</t>
        </is>
      </c>
      <c r="I221" s="55" t="n">
        <v>45993</v>
      </c>
      <c r="J221" s="9" t="inlineStr">
        <is>
          <t>Hoàn thành</t>
        </is>
      </c>
    </row>
    <row r="222" ht="15.75" customHeight="1" s="56">
      <c r="A222" s="55" t="n">
        <v>45990.63783201389</v>
      </c>
      <c r="B222" s="9" t="inlineStr">
        <is>
          <t>610/BK-2025</t>
        </is>
      </c>
      <c r="C222" s="9" t="inlineStr">
        <is>
          <t>Trần Đức Phú</t>
        </is>
      </c>
      <c r="D222" s="9" t="inlineStr">
        <is>
          <t>Long Phước</t>
        </is>
      </c>
      <c r="E222" s="9" t="inlineStr">
        <is>
          <t>Hoàng Quân</t>
        </is>
      </c>
      <c r="F222" s="9" t="inlineStr">
        <is>
          <t>Lê Văn Dựng</t>
        </is>
      </c>
      <c r="G222" s="9" t="inlineStr">
        <is>
          <t>Không cần</t>
        </is>
      </c>
      <c r="H222" s="9" t="inlineStr">
        <is>
          <t>Cấp đổi</t>
        </is>
      </c>
      <c r="I222" s="55" t="n">
        <v>45993</v>
      </c>
      <c r="J222" s="9" t="inlineStr">
        <is>
          <t>Hoàn thành</t>
        </is>
      </c>
    </row>
    <row r="223" ht="15.75" customHeight="1" s="56">
      <c r="A223" s="55" t="n">
        <v>45990.63734042824</v>
      </c>
      <c r="B223" s="9" t="inlineStr">
        <is>
          <t>609-2/BK-2025</t>
        </is>
      </c>
      <c r="C223" s="9" t="inlineStr">
        <is>
          <t>Trần Quang Vinh</t>
        </is>
      </c>
      <c r="D223" s="9" t="inlineStr">
        <is>
          <t>Long Phước</t>
        </is>
      </c>
      <c r="E223" s="9" t="inlineStr">
        <is>
          <t>Hoàng Quân</t>
        </is>
      </c>
      <c r="F223" s="9" t="inlineStr">
        <is>
          <t>Lê Văn Dựng</t>
        </is>
      </c>
      <c r="G223" s="9" t="inlineStr">
        <is>
          <t>Không cần</t>
        </is>
      </c>
      <c r="H223" s="9" t="inlineStr">
        <is>
          <t>Đo GPS</t>
        </is>
      </c>
      <c r="I223" s="55" t="n">
        <v>45993</v>
      </c>
      <c r="J223" s="9" t="inlineStr">
        <is>
          <t>Hoàn thành</t>
        </is>
      </c>
    </row>
    <row r="224" ht="15.75" customHeight="1" s="56">
      <c r="A224" s="55" t="n">
        <v>45990.63692697917</v>
      </c>
      <c r="B224" s="9" t="inlineStr">
        <is>
          <t>609-1/BK-2025</t>
        </is>
      </c>
      <c r="C224" s="9" t="inlineStr">
        <is>
          <t>Trần Quang Vinh</t>
        </is>
      </c>
      <c r="D224" s="9" t="inlineStr">
        <is>
          <t>Long Phước</t>
        </is>
      </c>
      <c r="E224" s="9" t="inlineStr">
        <is>
          <t>Hoàng Quân</t>
        </is>
      </c>
      <c r="F224" s="9" t="inlineStr">
        <is>
          <t>Lê Văn Dựng</t>
        </is>
      </c>
      <c r="G224" s="9" t="inlineStr">
        <is>
          <t>Không cần</t>
        </is>
      </c>
      <c r="H224" s="9" t="inlineStr">
        <is>
          <t>Cắm mốc</t>
        </is>
      </c>
      <c r="I224" s="55" t="n">
        <v>45993</v>
      </c>
      <c r="J224" s="9" t="inlineStr">
        <is>
          <t>Hoàn thành</t>
        </is>
      </c>
    </row>
    <row r="225" ht="15.75" customHeight="1" s="56">
      <c r="A225" s="55" t="n">
        <v>45990.63577837963</v>
      </c>
      <c r="B225" s="9" t="inlineStr">
        <is>
          <t>609/BK-2025</t>
        </is>
      </c>
      <c r="C225" s="9" t="inlineStr">
        <is>
          <t>Trần Quang Vinh</t>
        </is>
      </c>
      <c r="D225" s="9" t="inlineStr">
        <is>
          <t>Long Phước</t>
        </is>
      </c>
      <c r="E225" s="9" t="inlineStr">
        <is>
          <t>Hoàng Quân</t>
        </is>
      </c>
      <c r="F225" s="9" t="inlineStr">
        <is>
          <t>Lê Văn Dựng</t>
        </is>
      </c>
      <c r="G225" s="9" t="inlineStr">
        <is>
          <t>Không cần</t>
        </is>
      </c>
      <c r="H225" s="9" t="inlineStr">
        <is>
          <t>Cấp đổi</t>
        </is>
      </c>
      <c r="I225" s="55" t="n">
        <v>45993</v>
      </c>
      <c r="J225" s="9" t="inlineStr">
        <is>
          <t>Nộp thành công - Chờ kết quả</t>
        </is>
      </c>
    </row>
    <row r="226" ht="15.75" customHeight="1" s="56">
      <c r="A226" s="55" t="n">
        <v>45990.63536358796</v>
      </c>
      <c r="B226" s="9" t="inlineStr">
        <is>
          <t>608-2/BK-2025</t>
        </is>
      </c>
      <c r="C226" s="9" t="inlineStr">
        <is>
          <t>Trần Quang Vinh</t>
        </is>
      </c>
      <c r="D226" s="9" t="inlineStr">
        <is>
          <t>Long Phước</t>
        </is>
      </c>
      <c r="E226" s="9" t="inlineStr">
        <is>
          <t>Hoàng Quân</t>
        </is>
      </c>
      <c r="F226" s="9" t="inlineStr">
        <is>
          <t>Lê Văn Dựng</t>
        </is>
      </c>
      <c r="G226" s="9" t="inlineStr">
        <is>
          <t>Không cần</t>
        </is>
      </c>
      <c r="H226" s="9" t="inlineStr">
        <is>
          <t>Đo GPS</t>
        </is>
      </c>
      <c r="I226" s="55" t="n">
        <v>45993</v>
      </c>
      <c r="J226" s="9" t="inlineStr">
        <is>
          <t>Hoàn thành</t>
        </is>
      </c>
    </row>
    <row r="227" ht="15.75" customHeight="1" s="56">
      <c r="A227" s="55" t="n">
        <v>45990.6349549537</v>
      </c>
      <c r="B227" s="9" t="inlineStr">
        <is>
          <t>608-1/BK-2025</t>
        </is>
      </c>
      <c r="C227" s="9" t="inlineStr">
        <is>
          <t>Trần Quang Vinh</t>
        </is>
      </c>
      <c r="D227" s="9" t="inlineStr">
        <is>
          <t>Long Phước</t>
        </is>
      </c>
      <c r="E227" s="9" t="inlineStr">
        <is>
          <t>Hoàng Quân</t>
        </is>
      </c>
      <c r="F227" s="9" t="inlineStr">
        <is>
          <t>Lê Văn Dựng</t>
        </is>
      </c>
      <c r="G227" s="9" t="inlineStr">
        <is>
          <t>Không cần</t>
        </is>
      </c>
      <c r="H227" s="9" t="inlineStr">
        <is>
          <t>Cắm mốc</t>
        </is>
      </c>
      <c r="I227" s="55" t="n">
        <v>45993</v>
      </c>
      <c r="J227" s="9" t="inlineStr">
        <is>
          <t>Hoàn thành</t>
        </is>
      </c>
    </row>
    <row r="228" ht="15.75" customHeight="1" s="56">
      <c r="A228" s="55" t="n">
        <v>45990.63019304398</v>
      </c>
      <c r="B228" s="9" t="inlineStr">
        <is>
          <t>608/BK-2025</t>
        </is>
      </c>
      <c r="C228" s="9" t="inlineStr">
        <is>
          <t>Trần Quang Vinh</t>
        </is>
      </c>
      <c r="D228" s="9" t="inlineStr">
        <is>
          <t>Long Phước</t>
        </is>
      </c>
      <c r="E228" s="9" t="inlineStr">
        <is>
          <t>Hoàng Quân</t>
        </is>
      </c>
      <c r="F228" s="9" t="inlineStr">
        <is>
          <t>Lê Văn Dựng</t>
        </is>
      </c>
      <c r="G228" s="9" t="inlineStr">
        <is>
          <t>Không cần</t>
        </is>
      </c>
      <c r="H228" s="9" t="inlineStr">
        <is>
          <t>Cấp đổi</t>
        </is>
      </c>
      <c r="I228" s="55" t="n">
        <v>45993</v>
      </c>
      <c r="J228" s="9" t="inlineStr">
        <is>
          <t>Hoàn thành</t>
        </is>
      </c>
    </row>
    <row r="229" ht="15.75" customHeight="1" s="56">
      <c r="A229" s="55" t="n">
        <v>45990.6005366088</v>
      </c>
      <c r="B229" s="9" t="inlineStr">
        <is>
          <t>607/BK-2025</t>
        </is>
      </c>
      <c r="C229" s="9" t="inlineStr">
        <is>
          <t>Phan Văn Truyền-Nguyễn Thị Quy</t>
        </is>
      </c>
      <c r="D229" s="9" t="inlineStr">
        <is>
          <t>Tam Bình</t>
        </is>
      </c>
      <c r="E229" s="9" t="inlineStr">
        <is>
          <t>Đạt Việt Phát Land</t>
        </is>
      </c>
      <c r="F229" s="9" t="inlineStr">
        <is>
          <t>Trương Tấn Quốc</t>
        </is>
      </c>
      <c r="G229" s="9" t="inlineStr">
        <is>
          <t>Võ Tứ Hợp</t>
        </is>
      </c>
      <c r="H229" s="9" t="inlineStr">
        <is>
          <t>Hoàn công</t>
        </is>
      </c>
      <c r="I229" s="55" t="n">
        <v>45993</v>
      </c>
      <c r="J229" s="9" t="inlineStr">
        <is>
          <t>Hủy</t>
        </is>
      </c>
    </row>
    <row r="230" ht="15.75" customHeight="1" s="56">
      <c r="A230" s="55" t="n">
        <v>45989.69276092593</v>
      </c>
      <c r="B230" s="9" t="inlineStr">
        <is>
          <t>605/BK-2025</t>
        </is>
      </c>
      <c r="C230" s="9" t="inlineStr">
        <is>
          <t>Trần Lâm</t>
        </is>
      </c>
      <c r="D230" s="9" t="inlineStr">
        <is>
          <t>Phước Long</t>
        </is>
      </c>
      <c r="E230" s="9" t="inlineStr">
        <is>
          <t>Công Ty</t>
        </is>
      </c>
      <c r="F230" s="9" t="inlineStr">
        <is>
          <t>Tạ Khắc Tập</t>
        </is>
      </c>
      <c r="G230" s="9" t="inlineStr">
        <is>
          <t>Võ Tứ Hợp</t>
        </is>
      </c>
      <c r="H230" s="9" t="inlineStr">
        <is>
          <t>Hoàn công</t>
        </is>
      </c>
      <c r="I230" s="55" t="n">
        <v>45992</v>
      </c>
      <c r="J230" s="9" t="inlineStr">
        <is>
          <t>Hủy</t>
        </is>
      </c>
    </row>
    <row r="231" ht="15.75" customHeight="1" s="56">
      <c r="A231" s="55" t="n">
        <v>45989.68072259259</v>
      </c>
      <c r="B231" s="9" t="inlineStr">
        <is>
          <t>526-1/BK-2025</t>
        </is>
      </c>
      <c r="C231" s="9" t="inlineStr">
        <is>
          <t>Nguyễn Khánh Lộc</t>
        </is>
      </c>
      <c r="D231" s="9" t="inlineStr">
        <is>
          <t>Linh Xuân</t>
        </is>
      </c>
      <c r="E231" s="9" t="inlineStr">
        <is>
          <t>Nguyễn Tâm DV</t>
        </is>
      </c>
      <c r="F231" s="9" t="inlineStr">
        <is>
          <t>Lê Văn Dựng</t>
        </is>
      </c>
      <c r="G231" s="9" t="inlineStr">
        <is>
          <t>Võ Tứ Hợp</t>
        </is>
      </c>
      <c r="H231" s="9" t="inlineStr">
        <is>
          <t>Cắm mốc</t>
        </is>
      </c>
      <c r="I231" s="55" t="n">
        <v>45992</v>
      </c>
      <c r="J231" s="9" t="inlineStr">
        <is>
          <t>Hoàn thành</t>
        </is>
      </c>
    </row>
    <row r="232" ht="15.75" customHeight="1" s="56">
      <c r="A232" s="55" t="n">
        <v>45989.66555689815</v>
      </c>
      <c r="B232" s="9" t="inlineStr">
        <is>
          <t>604/BK-2025</t>
        </is>
      </c>
      <c r="C232" s="9" t="inlineStr">
        <is>
          <t>Anh Lộc</t>
        </is>
      </c>
      <c r="D232" s="9" t="inlineStr">
        <is>
          <t>Hiệp Bình</t>
        </is>
      </c>
      <c r="E232" s="9" t="inlineStr">
        <is>
          <t>Đạt Việt Phát Land</t>
        </is>
      </c>
      <c r="F232" s="9" t="inlineStr">
        <is>
          <t>Tạ Khắc Tập</t>
        </is>
      </c>
      <c r="G232" s="9" t="inlineStr">
        <is>
          <t>Võ Tứ Hợp</t>
        </is>
      </c>
      <c r="H232" s="9" t="inlineStr">
        <is>
          <t>Kiểm tra hiện trạng</t>
        </is>
      </c>
      <c r="I232" s="55" t="n">
        <v>45992</v>
      </c>
      <c r="J232" s="9" t="inlineStr">
        <is>
          <t>Hoàn thành</t>
        </is>
      </c>
      <c r="K232" s="9" t="inlineStr">
        <is>
          <t>đã bàn giao biên bản</t>
        </is>
      </c>
    </row>
    <row r="233" ht="15.75" customHeight="1" s="56">
      <c r="A233" s="55" t="n">
        <v>45989.61662361111</v>
      </c>
      <c r="B233" s="9" t="inlineStr">
        <is>
          <t>504-DC/BK-2025</t>
        </is>
      </c>
      <c r="C233" s="9" t="inlineStr">
        <is>
          <t>Trần Thị Ngọc Dung</t>
        </is>
      </c>
      <c r="D233" s="9" t="inlineStr">
        <is>
          <t>Linh Xuân</t>
        </is>
      </c>
      <c r="E233" s="9" t="inlineStr">
        <is>
          <t>Cô Hoa</t>
        </is>
      </c>
      <c r="F233" s="9" t="inlineStr">
        <is>
          <t>Trương Tấn Quốc</t>
        </is>
      </c>
      <c r="G233" s="9" t="inlineStr">
        <is>
          <t>Không cần</t>
        </is>
      </c>
      <c r="H233" s="9" t="inlineStr">
        <is>
          <t>Điều chỉnh bản vẽ</t>
        </is>
      </c>
      <c r="I233" s="55" t="n">
        <v>45992</v>
      </c>
      <c r="J233" s="9" t="inlineStr">
        <is>
          <t>Hoàn thành</t>
        </is>
      </c>
    </row>
    <row r="234" ht="15.75" customHeight="1" s="56">
      <c r="A234" s="55" t="n">
        <v>45989.61431912037</v>
      </c>
      <c r="B234" s="9" t="inlineStr">
        <is>
          <t>603-2/BK-2025</t>
        </is>
      </c>
      <c r="C234" s="9" t="inlineStr">
        <is>
          <t>Trần Đức Phú</t>
        </is>
      </c>
      <c r="D234" s="9" t="inlineStr">
        <is>
          <t>Long Phước</t>
        </is>
      </c>
      <c r="E234" s="9" t="inlineStr">
        <is>
          <t>Hoàng Quân</t>
        </is>
      </c>
      <c r="F234" s="9" t="inlineStr">
        <is>
          <t>Lê Văn Dựng</t>
        </is>
      </c>
      <c r="G234" s="9" t="inlineStr">
        <is>
          <t>Không cần</t>
        </is>
      </c>
      <c r="H234" s="9" t="inlineStr">
        <is>
          <t>Đo GPS</t>
        </is>
      </c>
      <c r="I234" s="55" t="n">
        <v>45992</v>
      </c>
      <c r="J234" s="9" t="inlineStr">
        <is>
          <t>Hoàn thành</t>
        </is>
      </c>
    </row>
    <row r="235" ht="15.75" customHeight="1" s="56">
      <c r="A235" s="55" t="n">
        <v>45989.61356520833</v>
      </c>
      <c r="B235" s="9" t="inlineStr">
        <is>
          <t>603-1/BK-2025</t>
        </is>
      </c>
      <c r="C235" s="9" t="inlineStr">
        <is>
          <t>Trần Đức Phú</t>
        </is>
      </c>
      <c r="D235" s="9" t="inlineStr">
        <is>
          <t>Long Phước</t>
        </is>
      </c>
      <c r="E235" s="9" t="inlineStr">
        <is>
          <t>Hoàng Quân</t>
        </is>
      </c>
      <c r="F235" s="9" t="inlineStr">
        <is>
          <t>Lê Văn Dựng</t>
        </is>
      </c>
      <c r="G235" s="9" t="inlineStr">
        <is>
          <t>Không cần</t>
        </is>
      </c>
      <c r="H235" s="9" t="inlineStr">
        <is>
          <t>Cắm mốc</t>
        </is>
      </c>
      <c r="I235" s="55" t="n">
        <v>45992</v>
      </c>
      <c r="J235" s="9" t="inlineStr">
        <is>
          <t>Hoàn thành</t>
        </is>
      </c>
    </row>
    <row r="236" ht="15.75" customHeight="1" s="56">
      <c r="A236" s="55" t="n">
        <v>45989.6118403588</v>
      </c>
      <c r="B236" s="9" t="inlineStr">
        <is>
          <t>603/BK-2025</t>
        </is>
      </c>
      <c r="C236" s="9" t="inlineStr">
        <is>
          <t>Trần Đức Phú</t>
        </is>
      </c>
      <c r="D236" s="9" t="inlineStr">
        <is>
          <t>Long Phước</t>
        </is>
      </c>
      <c r="E236" s="9" t="inlineStr">
        <is>
          <t>Hoàng Quân</t>
        </is>
      </c>
      <c r="F236" s="9" t="inlineStr">
        <is>
          <t>Lê Văn Dựng</t>
        </is>
      </c>
      <c r="G236" s="9" t="inlineStr">
        <is>
          <t>Không cần</t>
        </is>
      </c>
      <c r="H236" s="9" t="inlineStr">
        <is>
          <t>Cấp đổi</t>
        </is>
      </c>
      <c r="I236" s="55" t="n">
        <v>45992</v>
      </c>
      <c r="J236" s="9" t="inlineStr">
        <is>
          <t>Hoàn thành</t>
        </is>
      </c>
    </row>
    <row r="237" ht="15.75" customHeight="1" s="56">
      <c r="A237" s="55" t="n">
        <v>45989.61016122685</v>
      </c>
      <c r="B237" s="9" t="inlineStr">
        <is>
          <t>458-1/BK-2025</t>
        </is>
      </c>
      <c r="C237" s="9" t="inlineStr">
        <is>
          <t>Trần Quang Vinh</t>
        </is>
      </c>
      <c r="D237" s="9" t="inlineStr">
        <is>
          <t>Long Phước</t>
        </is>
      </c>
      <c r="E237" s="9" t="inlineStr">
        <is>
          <t>Hoàng Quân</t>
        </is>
      </c>
      <c r="F237" s="9" t="inlineStr">
        <is>
          <t>Lê Văn Dựng</t>
        </is>
      </c>
      <c r="G237" s="9" t="inlineStr">
        <is>
          <t>Không cần</t>
        </is>
      </c>
      <c r="H237" s="9" t="inlineStr">
        <is>
          <t>Cắm mốc</t>
        </is>
      </c>
      <c r="I237" s="55" t="n">
        <v>45992</v>
      </c>
      <c r="J237" s="9" t="inlineStr">
        <is>
          <t>Hoàn thành</t>
        </is>
      </c>
    </row>
    <row r="238" ht="15.75" customHeight="1" s="56">
      <c r="A238" s="55" t="n">
        <v>45989.4779996875</v>
      </c>
      <c r="B238" s="9" t="inlineStr">
        <is>
          <t>384-DC/BK-2025</t>
        </is>
      </c>
      <c r="C238" s="9" t="inlineStr">
        <is>
          <t>Lâm Văn Thanh</t>
        </is>
      </c>
      <c r="D238" s="9" t="inlineStr">
        <is>
          <t>Hiệp Bình</t>
        </is>
      </c>
      <c r="E238" s="9" t="inlineStr">
        <is>
          <t>Công Ty</t>
        </is>
      </c>
      <c r="F238" s="9" t="inlineStr">
        <is>
          <t>Trương Tấn Quốc</t>
        </is>
      </c>
      <c r="G238" s="9" t="inlineStr">
        <is>
          <t>Không cần</t>
        </is>
      </c>
      <c r="H238" s="9" t="inlineStr">
        <is>
          <t>Điều chỉnh bản vẽ</t>
        </is>
      </c>
      <c r="I238" s="55" t="n">
        <v>45992</v>
      </c>
      <c r="J238" s="9" t="inlineStr">
        <is>
          <t>Hoàn thành</t>
        </is>
      </c>
    </row>
    <row r="239" ht="15.75" customHeight="1" s="56">
      <c r="A239" s="55" t="n">
        <v>45988.73579518519</v>
      </c>
      <c r="B239" s="9" t="inlineStr">
        <is>
          <t>602/BK-2025</t>
        </is>
      </c>
      <c r="C239" s="9" t="inlineStr">
        <is>
          <t>Vũ Quang Tịnh</t>
        </is>
      </c>
      <c r="D239" s="9" t="inlineStr">
        <is>
          <t>Linh Xuân</t>
        </is>
      </c>
      <c r="E239" s="9" t="inlineStr">
        <is>
          <t>Công Ty</t>
        </is>
      </c>
      <c r="F239" s="9" t="inlineStr">
        <is>
          <t>Lê Văn Xây</t>
        </is>
      </c>
      <c r="G239" s="9" t="inlineStr">
        <is>
          <t>Võ Tứ Hợp</t>
        </is>
      </c>
      <c r="H239" s="9" t="inlineStr">
        <is>
          <t>Cấp đổi</t>
        </is>
      </c>
      <c r="I239" s="55" t="n">
        <v>45991</v>
      </c>
      <c r="J239" s="9" t="inlineStr">
        <is>
          <t>Hoàn thành</t>
        </is>
      </c>
    </row>
    <row r="240" ht="15.75" customHeight="1" s="56">
      <c r="A240" s="55" t="n">
        <v>45988.73445708333</v>
      </c>
      <c r="B240" s="9" t="inlineStr">
        <is>
          <t>601/BK-2025</t>
        </is>
      </c>
      <c r="C240" s="9" t="inlineStr">
        <is>
          <t>Vương Thị Minh</t>
        </is>
      </c>
      <c r="D240" s="9" t="inlineStr">
        <is>
          <t>Linh Xuân</t>
        </is>
      </c>
      <c r="E240" s="9" t="inlineStr">
        <is>
          <t>Công Ty</t>
        </is>
      </c>
      <c r="F240" s="9" t="inlineStr">
        <is>
          <t>Lê Văn Xây</t>
        </is>
      </c>
      <c r="G240" s="9" t="inlineStr">
        <is>
          <t>Võ Tứ Hợp</t>
        </is>
      </c>
      <c r="H240" s="9" t="inlineStr">
        <is>
          <t>Cấp đổi</t>
        </is>
      </c>
      <c r="I240" s="55" t="n">
        <v>45991</v>
      </c>
      <c r="J240" s="9" t="inlineStr">
        <is>
          <t>Hoàn thành</t>
        </is>
      </c>
    </row>
    <row r="241" ht="15.75" customHeight="1" s="56">
      <c r="A241" s="55" t="n">
        <v>45988.72806427084</v>
      </c>
      <c r="B241" s="9" t="inlineStr">
        <is>
          <t>595-1/BK-2025</t>
        </is>
      </c>
      <c r="C241" s="9" t="inlineStr">
        <is>
          <t>Nguyễn Mạnh Hùng-Nguyễn Trần Huyền Trang</t>
        </is>
      </c>
      <c r="D241" s="9" t="inlineStr">
        <is>
          <t>Phước Long</t>
        </is>
      </c>
      <c r="E241" s="9" t="inlineStr">
        <is>
          <t>Nguyễn Hương DV</t>
        </is>
      </c>
      <c r="F241" s="9" t="inlineStr">
        <is>
          <t>Tạ Khắc Tập</t>
        </is>
      </c>
      <c r="G241" s="9" t="inlineStr">
        <is>
          <t>Võ Tứ Hợp</t>
        </is>
      </c>
      <c r="H241" s="9" t="inlineStr">
        <is>
          <t>Cắm mốc</t>
        </is>
      </c>
      <c r="I241" s="55" t="n">
        <v>45991</v>
      </c>
      <c r="J241" s="9" t="inlineStr">
        <is>
          <t>Hoàn thành</t>
        </is>
      </c>
    </row>
    <row r="242" ht="15.75" customHeight="1" s="56">
      <c r="A242" s="55" t="n">
        <v>45988.60743377315</v>
      </c>
      <c r="B242" s="9" t="inlineStr">
        <is>
          <t>400-DC-1/BK-2025</t>
        </is>
      </c>
      <c r="C242" s="9" t="inlineStr">
        <is>
          <t>Nguyễn Nhật Bằng</t>
        </is>
      </c>
      <c r="D242" s="9" t="inlineStr">
        <is>
          <t>Tam Bình</t>
        </is>
      </c>
      <c r="E242" s="9" t="inlineStr">
        <is>
          <t>Công Ty</t>
        </is>
      </c>
      <c r="F242" s="9" t="inlineStr">
        <is>
          <t>Trương Tấn Quốc</t>
        </is>
      </c>
      <c r="G242" s="9" t="inlineStr">
        <is>
          <t>Không cần</t>
        </is>
      </c>
      <c r="H242" s="9" t="inlineStr">
        <is>
          <t>Điều chỉnh bản vẽ</t>
        </is>
      </c>
      <c r="I242" s="55" t="n">
        <v>45991</v>
      </c>
      <c r="J242" s="9" t="inlineStr">
        <is>
          <t>Hoàn thành</t>
        </is>
      </c>
    </row>
    <row r="243" ht="15.75" customHeight="1" s="56">
      <c r="A243" s="55" t="n">
        <v>45988.47415815972</v>
      </c>
      <c r="B243" s="9" t="inlineStr">
        <is>
          <t>600/BK-2025</t>
        </is>
      </c>
      <c r="C243" s="9" t="inlineStr">
        <is>
          <t>Phan Thị Tố Như</t>
        </is>
      </c>
      <c r="D243" s="9" t="inlineStr">
        <is>
          <t>Hiệp Bình</t>
        </is>
      </c>
      <c r="E243" s="9" t="inlineStr">
        <is>
          <t>Anh Long PCT</t>
        </is>
      </c>
      <c r="F243" s="9" t="inlineStr">
        <is>
          <t>Lê Văn Dựng</t>
        </is>
      </c>
      <c r="G243" s="9" t="inlineStr">
        <is>
          <t>Không cần</t>
        </is>
      </c>
      <c r="H243" s="9" t="inlineStr">
        <is>
          <t>Xác định diện tích</t>
        </is>
      </c>
      <c r="I243" s="55" t="n">
        <v>45991</v>
      </c>
      <c r="J243" s="9" t="inlineStr">
        <is>
          <t>Nộp thành công - Chờ kết quả</t>
        </is>
      </c>
    </row>
    <row r="244" ht="15.75" customHeight="1" s="56">
      <c r="A244" s="55" t="n">
        <v>45988.47131143518</v>
      </c>
      <c r="B244" s="9" t="inlineStr">
        <is>
          <t>599/BK-2025</t>
        </is>
      </c>
      <c r="C244" s="9" t="inlineStr">
        <is>
          <t>Nguyễn Phạm Hoài Vy</t>
        </is>
      </c>
      <c r="D244" s="9" t="inlineStr">
        <is>
          <t>Hiệp Bình</t>
        </is>
      </c>
      <c r="E244" s="9" t="inlineStr">
        <is>
          <t>Anh Long PCT</t>
        </is>
      </c>
      <c r="F244" s="9" t="inlineStr">
        <is>
          <t>Lê Văn Dựng</t>
        </is>
      </c>
      <c r="G244" s="9" t="inlineStr">
        <is>
          <t>Không cần</t>
        </is>
      </c>
      <c r="H244" s="9" t="inlineStr">
        <is>
          <t>Xác định diện tích</t>
        </is>
      </c>
      <c r="I244" s="55" t="n">
        <v>45991</v>
      </c>
      <c r="J244" s="9" t="inlineStr">
        <is>
          <t>Nộp thành công - Chờ kết quả</t>
        </is>
      </c>
    </row>
    <row r="245" ht="15.75" customHeight="1" s="56">
      <c r="A245" s="55" t="n">
        <v>45988.46688400463</v>
      </c>
      <c r="B245" s="9" t="inlineStr">
        <is>
          <t>598/BK-2025</t>
        </is>
      </c>
      <c r="C245" s="9" t="inlineStr">
        <is>
          <t>Trần Văn Quang</t>
        </is>
      </c>
      <c r="D245" s="9" t="inlineStr">
        <is>
          <t>Bình Trưng</t>
        </is>
      </c>
      <c r="E245" s="9" t="inlineStr">
        <is>
          <t>Tuấn Lộc</t>
        </is>
      </c>
      <c r="F245" s="9" t="inlineStr">
        <is>
          <t>Lê Văn Xây</t>
        </is>
      </c>
      <c r="G245" s="9" t="inlineStr">
        <is>
          <t>Võ Tứ Hợp</t>
        </is>
      </c>
      <c r="H245" s="9" t="inlineStr">
        <is>
          <t>Cắm mốc</t>
        </is>
      </c>
      <c r="I245" s="55" t="n">
        <v>45991</v>
      </c>
      <c r="J245" s="9" t="inlineStr">
        <is>
          <t>Hoàn thành</t>
        </is>
      </c>
    </row>
    <row r="246" ht="15.75" customHeight="1" s="56">
      <c r="A246" s="55" t="n">
        <v>45987.70487234954</v>
      </c>
      <c r="B246" s="9" t="inlineStr">
        <is>
          <t>597/BK-2025</t>
        </is>
      </c>
      <c r="C246" s="9" t="inlineStr">
        <is>
          <t>Trần Thuỳ Giang</t>
        </is>
      </c>
      <c r="D246" s="9" t="inlineStr">
        <is>
          <t>Tăng Nhơn Phú</t>
        </is>
      </c>
      <c r="E246" s="9" t="inlineStr">
        <is>
          <t>Công Ty</t>
        </is>
      </c>
      <c r="F246" s="9" t="inlineStr">
        <is>
          <t>Tạ Khắc Tập</t>
        </is>
      </c>
      <c r="G246" s="9" t="inlineStr">
        <is>
          <t>Võ Tứ Hợp</t>
        </is>
      </c>
      <c r="H246" s="9" t="inlineStr">
        <is>
          <t>Cấp đổi</t>
        </is>
      </c>
      <c r="I246" s="55" t="n">
        <v>45990</v>
      </c>
      <c r="J246" s="9" t="inlineStr">
        <is>
          <t>Hoàn thành</t>
        </is>
      </c>
    </row>
    <row r="247" ht="15.75" customHeight="1" s="56">
      <c r="A247" s="55" t="n">
        <v>45987.51966996528</v>
      </c>
      <c r="B247" s="9" t="inlineStr">
        <is>
          <t>596/BK-2025</t>
        </is>
      </c>
      <c r="C247" s="9" t="inlineStr">
        <is>
          <t>Nguyễn Mạnh Hùng-Nguyễn Trần Huyền Trang</t>
        </is>
      </c>
      <c r="D247" s="9" t="inlineStr">
        <is>
          <t>Phước Long</t>
        </is>
      </c>
      <c r="E247" s="9" t="inlineStr">
        <is>
          <t>Nguyễn Hương DV</t>
        </is>
      </c>
      <c r="F247" s="9" t="inlineStr">
        <is>
          <t>Trương Tấn Quốc</t>
        </is>
      </c>
      <c r="G247" s="9" t="inlineStr">
        <is>
          <t>Võ Tứ Hợp</t>
        </is>
      </c>
      <c r="H247" s="9" t="inlineStr">
        <is>
          <t>Cấp đổi</t>
        </is>
      </c>
      <c r="I247" s="55" t="n">
        <v>45990</v>
      </c>
      <c r="J247" s="9" t="inlineStr">
        <is>
          <t>Hoàn thành</t>
        </is>
      </c>
    </row>
    <row r="248" ht="15.75" customHeight="1" s="56">
      <c r="A248" s="55" t="n">
        <v>45987.51791917824</v>
      </c>
      <c r="B248" s="9" t="inlineStr">
        <is>
          <t>595/BK-2025</t>
        </is>
      </c>
      <c r="C248" s="9" t="inlineStr">
        <is>
          <t>Nguyễn Mạnh Hùng-Nguyễn Trần Huyền Trang</t>
        </is>
      </c>
      <c r="D248" s="9" t="inlineStr">
        <is>
          <t>Phước Long</t>
        </is>
      </c>
      <c r="E248" s="9" t="inlineStr">
        <is>
          <t>Nguyễn Hương DV</t>
        </is>
      </c>
      <c r="F248" s="9" t="inlineStr">
        <is>
          <t>Trương Tấn Quốc</t>
        </is>
      </c>
      <c r="G248" s="9" t="inlineStr">
        <is>
          <t>Võ Tứ Hợp</t>
        </is>
      </c>
      <c r="H248" s="9" t="inlineStr">
        <is>
          <t>Cấp đổi</t>
        </is>
      </c>
      <c r="I248" s="55" t="n">
        <v>45990</v>
      </c>
      <c r="J248" s="9" t="inlineStr">
        <is>
          <t>Hoàn thành</t>
        </is>
      </c>
    </row>
    <row r="249" ht="15.75" customHeight="1" s="56">
      <c r="A249" s="55" t="n">
        <v>45986.43080734953</v>
      </c>
      <c r="B249" s="9" t="inlineStr">
        <is>
          <t>594/BK-2025</t>
        </is>
      </c>
      <c r="C249" s="9" t="inlineStr">
        <is>
          <t>Nguyễn Hồng Xuân</t>
        </is>
      </c>
      <c r="D249" s="9" t="inlineStr">
        <is>
          <t>Hiệp Bình</t>
        </is>
      </c>
      <c r="E249" s="9" t="inlineStr">
        <is>
          <t>Nguyễn Hương DV</t>
        </is>
      </c>
      <c r="F249" s="9" t="inlineStr">
        <is>
          <t>Trương Tấn Quốc</t>
        </is>
      </c>
      <c r="G249" s="9" t="inlineStr">
        <is>
          <t>Không cần</t>
        </is>
      </c>
      <c r="H249" s="9" t="inlineStr">
        <is>
          <t>Cấp đổi</t>
        </is>
      </c>
      <c r="I249" s="55" t="n">
        <v>45989</v>
      </c>
      <c r="J249" s="9" t="inlineStr">
        <is>
          <t>Hoàn thành</t>
        </is>
      </c>
    </row>
    <row r="250" ht="15.75" customHeight="1" s="56">
      <c r="A250" s="55" t="n">
        <v>45986.43013026621</v>
      </c>
      <c r="B250" s="9" t="inlineStr">
        <is>
          <t>593/BK-2025</t>
        </is>
      </c>
      <c r="C250" s="9" t="inlineStr">
        <is>
          <t>Nguyễn Thị À</t>
        </is>
      </c>
      <c r="D250" s="9" t="inlineStr">
        <is>
          <t>Thủ Đức</t>
        </is>
      </c>
      <c r="E250" s="9" t="inlineStr">
        <is>
          <t>Anh Long PCT</t>
        </is>
      </c>
      <c r="F250" s="9" t="inlineStr">
        <is>
          <t>Trương Tấn Quốc</t>
        </is>
      </c>
      <c r="G250" s="9" t="inlineStr">
        <is>
          <t>Võ Tứ Hợp</t>
        </is>
      </c>
      <c r="H250" s="9" t="inlineStr">
        <is>
          <t>Cấp sổ lần đầu</t>
        </is>
      </c>
      <c r="I250" s="55" t="n">
        <v>45989</v>
      </c>
      <c r="J250" s="9" t="inlineStr">
        <is>
          <t>Hoàn thành</t>
        </is>
      </c>
    </row>
    <row r="251" ht="15.75" customHeight="1" s="56">
      <c r="A251" s="55" t="n">
        <v>45986.42904140046</v>
      </c>
      <c r="B251" s="9" t="inlineStr">
        <is>
          <t>592/BK-2025</t>
        </is>
      </c>
      <c r="C251" s="9" t="inlineStr">
        <is>
          <t>Nguyễn Thị Đẹp</t>
        </is>
      </c>
      <c r="D251" s="9" t="inlineStr">
        <is>
          <t>Thủ Đức</t>
        </is>
      </c>
      <c r="E251" s="9" t="inlineStr">
        <is>
          <t>Anh Long PCT</t>
        </is>
      </c>
      <c r="F251" s="9" t="inlineStr">
        <is>
          <t>Trương Tấn Quốc</t>
        </is>
      </c>
      <c r="G251" s="9" t="inlineStr">
        <is>
          <t>Võ Tứ Hợp</t>
        </is>
      </c>
      <c r="H251" s="9" t="inlineStr">
        <is>
          <t>Cấp sổ lần đầu</t>
        </is>
      </c>
      <c r="I251" s="55" t="n">
        <v>45989</v>
      </c>
      <c r="J251" s="9" t="inlineStr">
        <is>
          <t>Hoàn thành</t>
        </is>
      </c>
    </row>
    <row r="252" ht="15.75" customHeight="1" s="56">
      <c r="A252" s="55" t="n">
        <v>45983.3661365162</v>
      </c>
      <c r="B252" s="9" t="inlineStr">
        <is>
          <t>591/BK-2025</t>
        </is>
      </c>
      <c r="C252" s="9" t="inlineStr">
        <is>
          <t>Phạm Thị Vân</t>
        </is>
      </c>
      <c r="D252" s="9" t="inlineStr">
        <is>
          <t>Long Bình</t>
        </is>
      </c>
      <c r="E252" s="9" t="inlineStr">
        <is>
          <t>Tùng Huế DV</t>
        </is>
      </c>
      <c r="F252" s="9" t="inlineStr">
        <is>
          <t>Tạ Khắc Tập</t>
        </is>
      </c>
      <c r="G252" s="9" t="inlineStr">
        <is>
          <t>Võ Tứ Hợp</t>
        </is>
      </c>
      <c r="H252" s="9" t="inlineStr">
        <is>
          <t>Cấp đổi</t>
        </is>
      </c>
      <c r="I252" s="55" t="n">
        <v>45986</v>
      </c>
      <c r="J252" s="9" t="inlineStr">
        <is>
          <t>Hủy</t>
        </is>
      </c>
    </row>
    <row r="253" ht="15.75" customHeight="1" s="56">
      <c r="A253" s="55" t="n">
        <v>45983.36471275463</v>
      </c>
      <c r="B253" s="9" t="inlineStr">
        <is>
          <t>590/BK-2025</t>
        </is>
      </c>
      <c r="C253" s="9" t="inlineStr">
        <is>
          <t>Trần Đức Cường</t>
        </is>
      </c>
      <c r="D253" s="9" t="inlineStr">
        <is>
          <t>Tam Bình</t>
        </is>
      </c>
      <c r="E253" s="9" t="inlineStr">
        <is>
          <t>Anh Chiến KTS</t>
        </is>
      </c>
      <c r="F253" s="9" t="inlineStr">
        <is>
          <t>Tạ Khắc Tập</t>
        </is>
      </c>
      <c r="G253" s="9" t="inlineStr">
        <is>
          <t>Võ Tứ Hợp</t>
        </is>
      </c>
      <c r="H253" s="9" t="inlineStr">
        <is>
          <t>Cắm mốc</t>
        </is>
      </c>
      <c r="I253" s="55" t="n">
        <v>45986</v>
      </c>
      <c r="J253" s="9" t="inlineStr">
        <is>
          <t>Hoàn thành</t>
        </is>
      </c>
    </row>
    <row r="254" ht="15.75" customHeight="1" s="56">
      <c r="A254" s="55" t="n">
        <v>45981.48626413194</v>
      </c>
      <c r="B254" s="9" t="inlineStr">
        <is>
          <t>589/BK-2025</t>
        </is>
      </c>
      <c r="C254" s="9" t="inlineStr">
        <is>
          <t>Nguyễn Thị Thanh Tâm</t>
        </is>
      </c>
      <c r="D254" s="9" t="inlineStr">
        <is>
          <t>Hiệp Bình</t>
        </is>
      </c>
      <c r="E254" s="9" t="inlineStr">
        <is>
          <t>Anh Long PCT</t>
        </is>
      </c>
      <c r="F254" s="9" t="inlineStr">
        <is>
          <t>Lê Văn Xây</t>
        </is>
      </c>
      <c r="G254" s="9" t="inlineStr">
        <is>
          <t>Võ Tứ Hợp</t>
        </is>
      </c>
      <c r="H254" s="9" t="inlineStr">
        <is>
          <t>Hoàn công</t>
        </is>
      </c>
      <c r="I254" s="55" t="n">
        <v>45984</v>
      </c>
      <c r="J254" s="9" t="inlineStr">
        <is>
          <t>Hoàn thành</t>
        </is>
      </c>
    </row>
    <row r="255" ht="15.75" customHeight="1" s="56">
      <c r="A255" s="55" t="n">
        <v>45981.48378430556</v>
      </c>
      <c r="B255" s="9" t="inlineStr">
        <is>
          <t>588-3/BK-2025</t>
        </is>
      </c>
      <c r="C255" s="9" t="inlineStr">
        <is>
          <t>Nguyễn Thanh Hải-Nguyễn Thị Bé Năm</t>
        </is>
      </c>
      <c r="D255" s="9" t="inlineStr">
        <is>
          <t>Tăng Nhơn Phú</t>
        </is>
      </c>
      <c r="E255" s="9" t="inlineStr">
        <is>
          <t>Chị Xuân DV</t>
        </is>
      </c>
      <c r="F255" s="9" t="inlineStr">
        <is>
          <t>Trương Tấn Quốc</t>
        </is>
      </c>
      <c r="G255" s="9" t="inlineStr">
        <is>
          <t>Không cần</t>
        </is>
      </c>
      <c r="H255" s="9" t="inlineStr">
        <is>
          <t>Tách Thửa</t>
        </is>
      </c>
      <c r="I255" s="55" t="n">
        <v>45984</v>
      </c>
      <c r="J255" s="9" t="inlineStr">
        <is>
          <t>Hoàn thành</t>
        </is>
      </c>
    </row>
    <row r="256" ht="15.75" customHeight="1" s="56">
      <c r="A256" s="55" t="n">
        <v>45981.48326171297</v>
      </c>
      <c r="B256" s="9" t="inlineStr">
        <is>
          <t>588-2/BK-2025</t>
        </is>
      </c>
      <c r="C256" s="9" t="inlineStr">
        <is>
          <t>Nguyễn Thanh Hải-Nguyễn Thị Bé Năm</t>
        </is>
      </c>
      <c r="D256" s="9" t="inlineStr">
        <is>
          <t>Tăng Nhơn Phú</t>
        </is>
      </c>
      <c r="E256" s="9" t="inlineStr">
        <is>
          <t>Chị Xuân DV</t>
        </is>
      </c>
      <c r="F256" s="9" t="inlineStr">
        <is>
          <t>Trương Tấn Quốc</t>
        </is>
      </c>
      <c r="G256" s="9" t="inlineStr">
        <is>
          <t>Không cần</t>
        </is>
      </c>
      <c r="H256" s="9" t="inlineStr">
        <is>
          <t>Tách Thửa</t>
        </is>
      </c>
      <c r="I256" s="55" t="n">
        <v>45984</v>
      </c>
      <c r="J256" s="9" t="inlineStr">
        <is>
          <t>Hoàn thành</t>
        </is>
      </c>
    </row>
    <row r="257" ht="15.75" customHeight="1" s="56">
      <c r="A257" s="55" t="n">
        <v>45981.4827984838</v>
      </c>
      <c r="B257" s="9" t="inlineStr">
        <is>
          <t>588-1/BK-2025</t>
        </is>
      </c>
      <c r="C257" s="9" t="inlineStr">
        <is>
          <t>Nguyễn Thanh Hải-Nguyễn Thị Bé Năm</t>
        </is>
      </c>
      <c r="D257" s="9" t="inlineStr">
        <is>
          <t>Tăng Nhơn Phú</t>
        </is>
      </c>
      <c r="E257" s="9" t="inlineStr">
        <is>
          <t>Chị Xuân DV</t>
        </is>
      </c>
      <c r="F257" s="9" t="inlineStr">
        <is>
          <t>Trương Tấn Quốc</t>
        </is>
      </c>
      <c r="G257" s="9" t="inlineStr">
        <is>
          <t>Không cần</t>
        </is>
      </c>
      <c r="H257" s="9" t="inlineStr">
        <is>
          <t>Tách Thửa</t>
        </is>
      </c>
      <c r="I257" s="55" t="n">
        <v>45984</v>
      </c>
      <c r="J257" s="9" t="inlineStr">
        <is>
          <t>Hoàn thành</t>
        </is>
      </c>
    </row>
    <row r="258" ht="15.75" customHeight="1" s="56">
      <c r="A258" s="55" t="n">
        <v>45980.57164953704</v>
      </c>
      <c r="B258" s="9" t="inlineStr">
        <is>
          <t>587/BK-2025</t>
        </is>
      </c>
      <c r="C258" s="9" t="inlineStr">
        <is>
          <t>Vũ Xuân Thao</t>
        </is>
      </c>
      <c r="D258" s="9" t="inlineStr">
        <is>
          <t>Hiệp Bình</t>
        </is>
      </c>
      <c r="E258" s="9" t="inlineStr">
        <is>
          <t>Tuấn Lộc</t>
        </is>
      </c>
      <c r="F258" s="9" t="inlineStr">
        <is>
          <t>Lê Văn Xây</t>
        </is>
      </c>
      <c r="G258" s="9" t="inlineStr">
        <is>
          <t>Võ Tứ Hợp</t>
        </is>
      </c>
      <c r="H258" s="9" t="inlineStr">
        <is>
          <t>Hoàn công</t>
        </is>
      </c>
      <c r="I258" s="55" t="n">
        <v>45983</v>
      </c>
      <c r="J258" s="9" t="inlineStr">
        <is>
          <t>Hoàn thành</t>
        </is>
      </c>
    </row>
    <row r="259" ht="15.75" customHeight="1" s="56">
      <c r="A259" s="55" t="n">
        <v>45980.569115</v>
      </c>
      <c r="B259" s="9" t="inlineStr">
        <is>
          <t>586/BK-2025</t>
        </is>
      </c>
      <c r="C259" s="9" t="inlineStr">
        <is>
          <t>Thái Hội Hiền</t>
        </is>
      </c>
      <c r="D259" s="9" t="inlineStr">
        <is>
          <t>Long Trường</t>
        </is>
      </c>
      <c r="E259" s="9" t="inlineStr">
        <is>
          <t>Công Ty</t>
        </is>
      </c>
      <c r="F259" s="9" t="inlineStr">
        <is>
          <t>Lê Văn Xây</t>
        </is>
      </c>
      <c r="G259" s="9" t="inlineStr">
        <is>
          <t>Võ Tứ Hợp</t>
        </is>
      </c>
      <c r="H259" s="9" t="inlineStr">
        <is>
          <t>Cấp đổi</t>
        </is>
      </c>
      <c r="I259" s="55" t="n">
        <v>45983</v>
      </c>
      <c r="J259" s="9" t="inlineStr">
        <is>
          <t>Hoàn thành</t>
        </is>
      </c>
    </row>
    <row r="260" ht="15.75" customHeight="1" s="56">
      <c r="A260" s="55" t="n">
        <v>45980.55774282407</v>
      </c>
      <c r="B260" s="9" t="inlineStr">
        <is>
          <t>565-DC/BK-2025</t>
        </is>
      </c>
      <c r="C260" s="9" t="inlineStr">
        <is>
          <t>Hoàng Anh Tú</t>
        </is>
      </c>
      <c r="D260" s="9" t="inlineStr">
        <is>
          <t>Long Phước</t>
        </is>
      </c>
      <c r="E260" s="9" t="inlineStr">
        <is>
          <t>Anh Long PCT</t>
        </is>
      </c>
      <c r="F260" s="9" t="inlineStr">
        <is>
          <t>Trương Tấn Quốc</t>
        </is>
      </c>
      <c r="G260" s="9" t="inlineStr">
        <is>
          <t>Không cần</t>
        </is>
      </c>
      <c r="H260" s="9" t="inlineStr">
        <is>
          <t>Điều chỉnh bản vẽ</t>
        </is>
      </c>
      <c r="I260" s="55" t="n">
        <v>45983</v>
      </c>
      <c r="J260" s="9" t="inlineStr">
        <is>
          <t>Hoàn thành</t>
        </is>
      </c>
    </row>
    <row r="261" ht="15.75" customHeight="1" s="56">
      <c r="A261" s="55" t="n">
        <v>45979.44090695602</v>
      </c>
      <c r="B261" s="9" t="inlineStr">
        <is>
          <t>585/BK-2025</t>
        </is>
      </c>
      <c r="C261" s="9" t="inlineStr">
        <is>
          <t>Nguyễn Thị Chữ</t>
        </is>
      </c>
      <c r="D261" s="9" t="inlineStr">
        <is>
          <t>Long Trường</t>
        </is>
      </c>
      <c r="E261" s="9" t="inlineStr">
        <is>
          <t>Công Ty</t>
        </is>
      </c>
      <c r="F261" s="9" t="inlineStr">
        <is>
          <t>Tạ Khắc Tập</t>
        </is>
      </c>
      <c r="G261" s="9" t="inlineStr">
        <is>
          <t>Võ Tứ Hợp</t>
        </is>
      </c>
      <c r="H261" s="9" t="inlineStr">
        <is>
          <t>Hoàn công</t>
        </is>
      </c>
      <c r="I261" s="55" t="n">
        <v>45982</v>
      </c>
      <c r="J261" s="9" t="inlineStr">
        <is>
          <t>Hủy</t>
        </is>
      </c>
    </row>
    <row r="262" ht="15.75" customHeight="1" s="56">
      <c r="A262" s="55" t="n">
        <v>45979.4399653125</v>
      </c>
      <c r="B262" s="9" t="inlineStr">
        <is>
          <t>584/BK-2025</t>
        </is>
      </c>
      <c r="C262" s="9" t="inlineStr">
        <is>
          <t>Nguyễn Thị Nhàn</t>
        </is>
      </c>
      <c r="D262" s="9" t="inlineStr">
        <is>
          <t>Thủ Đức</t>
        </is>
      </c>
      <c r="E262" s="9" t="inlineStr">
        <is>
          <t>Công Ty</t>
        </is>
      </c>
      <c r="F262" s="9" t="inlineStr">
        <is>
          <t>Tạ Khắc Tập</t>
        </is>
      </c>
      <c r="G262" s="9" t="inlineStr">
        <is>
          <t>Võ Tứ Hợp</t>
        </is>
      </c>
      <c r="H262" s="9" t="inlineStr">
        <is>
          <t>Cấp sổ lần đầu</t>
        </is>
      </c>
      <c r="I262" s="55" t="n">
        <v>45982</v>
      </c>
      <c r="J262" s="9" t="inlineStr">
        <is>
          <t>Hoàn thành</t>
        </is>
      </c>
    </row>
    <row r="263" ht="15.75" customHeight="1" s="56">
      <c r="A263" s="55" t="n">
        <v>45979.43811350694</v>
      </c>
      <c r="B263" s="9" t="inlineStr">
        <is>
          <t>580-1/BK-2025</t>
        </is>
      </c>
      <c r="C263" s="9" t="inlineStr">
        <is>
          <t>Bùi Văn Hoàng</t>
        </is>
      </c>
      <c r="D263" s="9" t="inlineStr">
        <is>
          <t>Long Trường</t>
        </is>
      </c>
      <c r="E263" s="9" t="inlineStr">
        <is>
          <t>Anh Hoàng Nhà Đầu Tư</t>
        </is>
      </c>
      <c r="F263" s="9" t="inlineStr">
        <is>
          <t>Tạ Khắc Tập</t>
        </is>
      </c>
      <c r="G263" s="9" t="inlineStr">
        <is>
          <t>Võ Tứ Hợp</t>
        </is>
      </c>
      <c r="H263" s="9" t="inlineStr">
        <is>
          <t>Cắm mốc</t>
        </is>
      </c>
      <c r="I263" s="55" t="n">
        <v>45982</v>
      </c>
      <c r="J263" s="9" t="inlineStr">
        <is>
          <t>Hoàn thành</t>
        </is>
      </c>
    </row>
    <row r="264" ht="15.75" customHeight="1" s="56">
      <c r="A264" s="55" t="n">
        <v>45979.4374075463</v>
      </c>
      <c r="B264" s="9" t="inlineStr">
        <is>
          <t>579-1/BK-2025</t>
        </is>
      </c>
      <c r="C264" s="9" t="inlineStr">
        <is>
          <t>Bùi Văn Hoàng</t>
        </is>
      </c>
      <c r="D264" s="9" t="inlineStr">
        <is>
          <t>Long Trường</t>
        </is>
      </c>
      <c r="E264" s="9" t="inlineStr">
        <is>
          <t>Anh Hoàng Nhà Đầu Tư</t>
        </is>
      </c>
      <c r="F264" s="9" t="inlineStr">
        <is>
          <t>Tạ Khắc Tập</t>
        </is>
      </c>
      <c r="G264" s="9" t="inlineStr">
        <is>
          <t>Võ Tứ Hợp</t>
        </is>
      </c>
      <c r="H264" s="9" t="inlineStr">
        <is>
          <t>Cắm mốc</t>
        </is>
      </c>
      <c r="I264" s="55" t="n">
        <v>45982</v>
      </c>
      <c r="J264" s="9" t="inlineStr">
        <is>
          <t>Hoàn thành</t>
        </is>
      </c>
    </row>
    <row r="265" ht="15.75" customHeight="1" s="56">
      <c r="A265" s="55" t="n">
        <v>45975.65471692129</v>
      </c>
      <c r="B265" s="9" t="inlineStr">
        <is>
          <t>583/BK-2025</t>
        </is>
      </c>
      <c r="C265" s="9" t="inlineStr">
        <is>
          <t>Trần Tuấn Anh</t>
        </is>
      </c>
      <c r="D265" s="9" t="inlineStr">
        <is>
          <t>Long Bình</t>
        </is>
      </c>
      <c r="E265" s="9" t="inlineStr">
        <is>
          <t>Cô Hoa</t>
        </is>
      </c>
      <c r="F265" s="9" t="inlineStr">
        <is>
          <t>Lê Văn Xây</t>
        </is>
      </c>
      <c r="G265" s="9" t="inlineStr">
        <is>
          <t>Võ Tứ Hợp</t>
        </is>
      </c>
      <c r="H265" s="9" t="inlineStr">
        <is>
          <t>Cấp đổi</t>
        </is>
      </c>
      <c r="I265" s="55" t="n">
        <v>45978</v>
      </c>
      <c r="J265" s="9" t="inlineStr">
        <is>
          <t>Hủy</t>
        </is>
      </c>
    </row>
    <row r="266" ht="15.75" customHeight="1" s="56">
      <c r="A266" s="55" t="n">
        <v>45975.65416549768</v>
      </c>
      <c r="B266" s="9" t="inlineStr">
        <is>
          <t>582/BK-2025</t>
        </is>
      </c>
      <c r="C266" s="9" t="inlineStr">
        <is>
          <t>Nguyễn Trọng Khoa</t>
        </is>
      </c>
      <c r="D266" s="9" t="inlineStr">
        <is>
          <t>Long Bình</t>
        </is>
      </c>
      <c r="E266" s="9" t="inlineStr">
        <is>
          <t>Cô Hoa</t>
        </is>
      </c>
      <c r="F266" s="9" t="inlineStr">
        <is>
          <t>Lê Văn Xây</t>
        </is>
      </c>
      <c r="G266" s="9" t="inlineStr">
        <is>
          <t>Võ Tứ Hợp</t>
        </is>
      </c>
      <c r="H266" s="9" t="inlineStr">
        <is>
          <t>Cấp đổi</t>
        </is>
      </c>
      <c r="I266" s="55" t="n">
        <v>45978</v>
      </c>
      <c r="J266" s="9" t="inlineStr">
        <is>
          <t>Hủy</t>
        </is>
      </c>
    </row>
    <row r="267" ht="15.75" customHeight="1" s="56">
      <c r="A267" s="55" t="n">
        <v>45975.42548444444</v>
      </c>
      <c r="B267" s="9" t="inlineStr">
        <is>
          <t>579/BK-2025</t>
        </is>
      </c>
      <c r="C267" s="9" t="inlineStr">
        <is>
          <t>Bùi Văn Hoàng</t>
        </is>
      </c>
      <c r="D267" s="9" t="inlineStr">
        <is>
          <t>Long Trường</t>
        </is>
      </c>
      <c r="E267" s="9" t="inlineStr">
        <is>
          <t>Anh Hoàng Nhà Đầu Tư</t>
        </is>
      </c>
      <c r="F267" s="9" t="inlineStr">
        <is>
          <t>Trương Tấn Quốc</t>
        </is>
      </c>
      <c r="G267" s="9" t="inlineStr">
        <is>
          <t>Không cần</t>
        </is>
      </c>
      <c r="H267" s="9" t="inlineStr">
        <is>
          <t>Cấp đổi</t>
        </is>
      </c>
      <c r="I267" s="55" t="n">
        <v>45978</v>
      </c>
      <c r="J267" s="9" t="inlineStr">
        <is>
          <t>Hoàn thành</t>
        </is>
      </c>
    </row>
    <row r="268" ht="15.75" customHeight="1" s="56">
      <c r="A268" s="55" t="n">
        <v>45974.60309288195</v>
      </c>
      <c r="B268" s="9" t="inlineStr">
        <is>
          <t>578/BK-2025</t>
        </is>
      </c>
      <c r="C268" s="9" t="inlineStr">
        <is>
          <t>Nguyễn Văn Sơn</t>
        </is>
      </c>
      <c r="D268" s="9" t="inlineStr">
        <is>
          <t>Linh Xuân</t>
        </is>
      </c>
      <c r="E268" s="9" t="inlineStr">
        <is>
          <t>Công Ty</t>
        </is>
      </c>
      <c r="F268" s="9" t="inlineStr">
        <is>
          <t>Tạ Khắc Tập</t>
        </is>
      </c>
      <c r="G268" s="9" t="inlineStr">
        <is>
          <t>Võ Tứ Hợp</t>
        </is>
      </c>
      <c r="H268" s="9" t="inlineStr">
        <is>
          <t>Cấp đổi</t>
        </is>
      </c>
      <c r="I268" s="55" t="n">
        <v>45975</v>
      </c>
      <c r="J268" s="9" t="inlineStr">
        <is>
          <t>Hoàn thành</t>
        </is>
      </c>
    </row>
    <row r="269" ht="15.75" customHeight="1" s="56">
      <c r="A269" s="55" t="n">
        <v>45974.47726274306</v>
      </c>
      <c r="B269" s="9" t="inlineStr">
        <is>
          <t>577/BK-2025</t>
        </is>
      </c>
      <c r="C269" s="9" t="inlineStr">
        <is>
          <t>Nguyễn Bảo Trị</t>
        </is>
      </c>
      <c r="D269" s="9" t="inlineStr">
        <is>
          <t>Hiệp Bình</t>
        </is>
      </c>
      <c r="E269" s="9" t="inlineStr">
        <is>
          <t>Tùng Mập</t>
        </is>
      </c>
      <c r="F269" s="9" t="inlineStr">
        <is>
          <t>Trương Tấn Quốc</t>
        </is>
      </c>
      <c r="G269" s="9" t="inlineStr">
        <is>
          <t>Tạ Khắc Tập</t>
        </is>
      </c>
      <c r="H269" s="9" t="inlineStr">
        <is>
          <t>Hoàn công</t>
        </is>
      </c>
      <c r="I269" s="55" t="n">
        <v>45977</v>
      </c>
      <c r="J269" s="9" t="inlineStr">
        <is>
          <t>Nộp thành công - Chờ kết quả</t>
        </is>
      </c>
    </row>
    <row r="270" ht="15.75" customHeight="1" s="56">
      <c r="A270" s="55" t="n">
        <v>45973.43077414352</v>
      </c>
      <c r="B270" s="9" t="inlineStr">
        <is>
          <t>576/BK-2025</t>
        </is>
      </c>
      <c r="C270" s="9" t="inlineStr">
        <is>
          <t>Bùi Ngọc Minh</t>
        </is>
      </c>
      <c r="D270" s="9" t="inlineStr">
        <is>
          <t>Long Phước</t>
        </is>
      </c>
      <c r="E270" s="9" t="inlineStr">
        <is>
          <t>Công Ty</t>
        </is>
      </c>
      <c r="F270" s="9" t="inlineStr">
        <is>
          <t>Lê Văn Dựng</t>
        </is>
      </c>
      <c r="G270" s="9" t="inlineStr">
        <is>
          <t>Không cần</t>
        </is>
      </c>
      <c r="H270" s="9" t="inlineStr">
        <is>
          <t>Cấp đổi</t>
        </is>
      </c>
      <c r="I270" s="55" t="n">
        <v>45976</v>
      </c>
      <c r="J270" s="9" t="inlineStr">
        <is>
          <t>Hoàn thành</t>
        </is>
      </c>
    </row>
    <row r="271" ht="15.75" customHeight="1" s="56">
      <c r="A271" s="55" t="n">
        <v>45972.5882753125</v>
      </c>
      <c r="B271" s="9" t="inlineStr">
        <is>
          <t>575/BK-2025</t>
        </is>
      </c>
      <c r="C271" s="9" t="inlineStr">
        <is>
          <t>Nguyễn Thị Huyền Vy</t>
        </is>
      </c>
      <c r="D271" s="9" t="inlineStr">
        <is>
          <t>Tăng Nhơn Phú</t>
        </is>
      </c>
      <c r="E271" s="9" t="inlineStr">
        <is>
          <t>Tùng Mập</t>
        </is>
      </c>
      <c r="F271" s="9" t="inlineStr">
        <is>
          <t>Trương Tấn Quốc</t>
        </is>
      </c>
      <c r="G271" s="9" t="inlineStr">
        <is>
          <t>Tạ Khắc Tập</t>
        </is>
      </c>
      <c r="H271" s="9" t="inlineStr">
        <is>
          <t>Hoàn công</t>
        </is>
      </c>
      <c r="I271" s="55" t="n">
        <v>45975</v>
      </c>
      <c r="J271" s="9" t="inlineStr">
        <is>
          <t>Nộp thành công - Chờ kết quả</t>
        </is>
      </c>
    </row>
    <row r="272" ht="15.75" customHeight="1" s="56">
      <c r="A272" s="55" t="n">
        <v>45972.55646505787</v>
      </c>
      <c r="B272" s="9" t="inlineStr">
        <is>
          <t>574/BK-2025</t>
        </is>
      </c>
      <c r="C272" s="9" t="inlineStr">
        <is>
          <t>Nguyễn Thị Quỳnh Lan</t>
        </is>
      </c>
      <c r="D272" s="9" t="inlineStr">
        <is>
          <t>Bình Trưng</t>
        </is>
      </c>
      <c r="E272" s="9" t="inlineStr">
        <is>
          <t>Công Ty</t>
        </is>
      </c>
      <c r="F272" s="9" t="inlineStr">
        <is>
          <t>Tạ Khắc Tập</t>
        </is>
      </c>
      <c r="G272" s="9" t="inlineStr">
        <is>
          <t>Võ Tứ Hợp</t>
        </is>
      </c>
      <c r="H272" s="9" t="inlineStr">
        <is>
          <t>Cấp đổi</t>
        </is>
      </c>
      <c r="I272" s="55" t="n">
        <v>45975</v>
      </c>
      <c r="J272" s="9" t="inlineStr">
        <is>
          <t>Hoàn thành</t>
        </is>
      </c>
    </row>
    <row r="273" ht="15.75" customHeight="1" s="56">
      <c r="A273" s="55" t="n">
        <v>45971.71712197916</v>
      </c>
      <c r="B273" s="9" t="inlineStr">
        <is>
          <t>573/BK-2025</t>
        </is>
      </c>
      <c r="C273" s="9" t="inlineStr">
        <is>
          <t>Trần Đức Phú</t>
        </is>
      </c>
      <c r="D273" s="9" t="inlineStr">
        <is>
          <t>Long Phước</t>
        </is>
      </c>
      <c r="E273" s="9" t="inlineStr">
        <is>
          <t>Hoàng Quân</t>
        </is>
      </c>
      <c r="F273" s="9" t="inlineStr">
        <is>
          <t>Lê Văn Dựng</t>
        </is>
      </c>
      <c r="G273" s="9" t="inlineStr">
        <is>
          <t>Không cần</t>
        </is>
      </c>
      <c r="H273" s="9" t="inlineStr">
        <is>
          <t>Xác định diện tích</t>
        </is>
      </c>
      <c r="I273" s="55" t="n">
        <v>45974</v>
      </c>
      <c r="J273" s="9" t="inlineStr">
        <is>
          <t>Hoàn thành</t>
        </is>
      </c>
      <c r="K273" s="9" t="inlineStr">
        <is>
          <t>4 sổ</t>
        </is>
      </c>
    </row>
    <row r="274" ht="15.75" customHeight="1" s="56">
      <c r="A274" s="55" t="n">
        <v>45971.71656450231</v>
      </c>
      <c r="B274" s="9" t="inlineStr">
        <is>
          <t>572/BK-2025</t>
        </is>
      </c>
      <c r="C274" s="9" t="inlineStr">
        <is>
          <t>Trần Quang Vinh</t>
        </is>
      </c>
      <c r="D274" s="9" t="inlineStr">
        <is>
          <t>Long Phước</t>
        </is>
      </c>
      <c r="E274" s="9" t="inlineStr">
        <is>
          <t>Hoàng Quân</t>
        </is>
      </c>
      <c r="F274" s="9" t="inlineStr">
        <is>
          <t>Lê Văn Dựng</t>
        </is>
      </c>
      <c r="G274" s="9" t="inlineStr">
        <is>
          <t>Không cần</t>
        </is>
      </c>
      <c r="H274" s="9" t="inlineStr">
        <is>
          <t>Xác định diện tích</t>
        </is>
      </c>
      <c r="I274" s="55" t="n">
        <v>45974</v>
      </c>
      <c r="J274" s="9" t="inlineStr">
        <is>
          <t>Hoàn thành</t>
        </is>
      </c>
      <c r="K274" s="9" t="inlineStr">
        <is>
          <t>3 sổ</t>
        </is>
      </c>
    </row>
    <row r="275" ht="15.75" customHeight="1" s="56">
      <c r="A275" s="55" t="n">
        <v>45971.71495872685</v>
      </c>
      <c r="B275" s="9" t="inlineStr">
        <is>
          <t>571/BK-2025</t>
        </is>
      </c>
      <c r="C275" s="9" t="inlineStr">
        <is>
          <t>Trần Đức Phú</t>
        </is>
      </c>
      <c r="D275" s="9" t="inlineStr">
        <is>
          <t>Long Phước</t>
        </is>
      </c>
      <c r="E275" s="9" t="inlineStr">
        <is>
          <t>Hoàng Quân</t>
        </is>
      </c>
      <c r="F275" s="9" t="inlineStr">
        <is>
          <t>Lê Văn Dựng</t>
        </is>
      </c>
      <c r="G275" s="9" t="inlineStr">
        <is>
          <t>Không cần</t>
        </is>
      </c>
      <c r="H275" s="9" t="inlineStr">
        <is>
          <t>Xác định diện tích</t>
        </is>
      </c>
      <c r="I275" s="55" t="n">
        <v>45974</v>
      </c>
      <c r="J275" s="9" t="inlineStr">
        <is>
          <t>Hoàn thành</t>
        </is>
      </c>
    </row>
    <row r="276" ht="15.75" customHeight="1" s="56">
      <c r="A276" s="55" t="n">
        <v>45971.69402819445</v>
      </c>
      <c r="B276" s="9" t="inlineStr">
        <is>
          <t>570/BK-2025</t>
        </is>
      </c>
      <c r="C276" s="9" t="inlineStr">
        <is>
          <t>Quang Hào</t>
        </is>
      </c>
      <c r="D276" s="9" t="inlineStr">
        <is>
          <t>Long Phước</t>
        </is>
      </c>
      <c r="E276" s="9" t="inlineStr">
        <is>
          <t>Công Ty</t>
        </is>
      </c>
      <c r="F276" s="9" t="inlineStr">
        <is>
          <t>Lê Văn Dựng</t>
        </is>
      </c>
      <c r="G276" s="9" t="inlineStr">
        <is>
          <t>Võ Tứ Hợp</t>
        </is>
      </c>
      <c r="H276" s="9" t="inlineStr">
        <is>
          <t>Cắm mốc</t>
        </is>
      </c>
      <c r="I276" s="55" t="n">
        <v>45974</v>
      </c>
      <c r="J276" s="9" t="inlineStr">
        <is>
          <t>Hoàn thành</t>
        </is>
      </c>
    </row>
    <row r="277" ht="15.75" customHeight="1" s="56">
      <c r="A277" s="55" t="n">
        <v>45971.5735217824</v>
      </c>
      <c r="B277" s="9" t="inlineStr">
        <is>
          <t>568/BK-2025</t>
        </is>
      </c>
      <c r="C277" s="9" t="inlineStr">
        <is>
          <t>Nguyễn Văn Trường</t>
        </is>
      </c>
      <c r="D277" s="9" t="inlineStr">
        <is>
          <t>Hiệp Bình</t>
        </is>
      </c>
      <c r="E277" s="9" t="inlineStr">
        <is>
          <t>Công Ty</t>
        </is>
      </c>
      <c r="F277" s="9" t="inlineStr">
        <is>
          <t>Nguyễn Minh Thông</t>
        </is>
      </c>
      <c r="G277" s="9" t="inlineStr">
        <is>
          <t>Không cần</t>
        </is>
      </c>
      <c r="H277" s="9" t="inlineStr">
        <is>
          <t>Chuyển mục đích</t>
        </is>
      </c>
      <c r="I277" s="55" t="n">
        <v>45974</v>
      </c>
      <c r="J277" s="9" t="inlineStr">
        <is>
          <t>Nộp thành công - Chờ kết quả</t>
        </is>
      </c>
    </row>
    <row r="278" ht="15.75" customHeight="1" s="56">
      <c r="A278" s="55" t="n">
        <v>45971.56985023148</v>
      </c>
      <c r="B278" s="9" t="inlineStr">
        <is>
          <t>567/BK-2025</t>
        </is>
      </c>
      <c r="C278" s="9" t="inlineStr">
        <is>
          <t>Nguyễn Thị Kim Cúc</t>
        </is>
      </c>
      <c r="D278" s="9" t="inlineStr">
        <is>
          <t>Thủ Đức</t>
        </is>
      </c>
      <c r="E278" s="9" t="inlineStr">
        <is>
          <t>Đạt Việt Phát Land</t>
        </is>
      </c>
      <c r="F278" s="9" t="inlineStr">
        <is>
          <t>Trương Tấn Quốc</t>
        </is>
      </c>
      <c r="G278" s="9" t="inlineStr">
        <is>
          <t>Võ Tứ Hợp</t>
        </is>
      </c>
      <c r="H278" s="9" t="inlineStr">
        <is>
          <t>Cấp sổ lần đầu</t>
        </is>
      </c>
      <c r="I278" s="55" t="n">
        <v>45974</v>
      </c>
      <c r="J278" s="9" t="inlineStr">
        <is>
          <t>Hoàn thành</t>
        </is>
      </c>
    </row>
    <row r="279" ht="15.75" customHeight="1" s="56">
      <c r="A279" s="55" t="n">
        <v>45969.49603597222</v>
      </c>
      <c r="B279" s="9" t="inlineStr">
        <is>
          <t>285-2/BK-2025</t>
        </is>
      </c>
      <c r="C279" s="9" t="inlineStr">
        <is>
          <t>Nguyễn Văn Cơ</t>
        </is>
      </c>
      <c r="D279" s="9" t="inlineStr">
        <is>
          <t>Hiệp Bình</t>
        </is>
      </c>
      <c r="E279" s="9" t="inlineStr">
        <is>
          <t>Anh Minh DV HBP</t>
        </is>
      </c>
      <c r="F279" s="9" t="inlineStr">
        <is>
          <t>Lê Văn Dựng</t>
        </is>
      </c>
      <c r="G279" s="9" t="inlineStr">
        <is>
          <t>Võ Tứ Hợp</t>
        </is>
      </c>
      <c r="H279" s="9" t="inlineStr">
        <is>
          <t>Cắm mốc</t>
        </is>
      </c>
      <c r="I279" s="55" t="n">
        <v>45972</v>
      </c>
      <c r="J279" s="9" t="inlineStr">
        <is>
          <t>Hoàn thành</t>
        </is>
      </c>
    </row>
    <row r="280" ht="15.75" customHeight="1" s="56">
      <c r="A280" s="55" t="n">
        <v>45969.49451370371</v>
      </c>
      <c r="B280" s="9" t="inlineStr">
        <is>
          <t>285-1/BK-2025</t>
        </is>
      </c>
      <c r="C280" s="9" t="inlineStr">
        <is>
          <t>Nguyễn Văn Cơ</t>
        </is>
      </c>
      <c r="D280" s="9" t="inlineStr">
        <is>
          <t>Hiệp Bình</t>
        </is>
      </c>
      <c r="E280" s="9" t="inlineStr">
        <is>
          <t>Anh Minh DV HBP</t>
        </is>
      </c>
      <c r="F280" s="9" t="inlineStr">
        <is>
          <t>Lê Văn Dựng</t>
        </is>
      </c>
      <c r="G280" s="9" t="inlineStr">
        <is>
          <t>Không cần</t>
        </is>
      </c>
      <c r="H280" s="9" t="inlineStr">
        <is>
          <t>Đo GPS</t>
        </is>
      </c>
      <c r="I280" s="55" t="n">
        <v>45972</v>
      </c>
      <c r="J280" s="9" t="inlineStr">
        <is>
          <t>Hoàn thành</t>
        </is>
      </c>
    </row>
    <row r="281" ht="15.75" customHeight="1" s="56">
      <c r="A281" s="55" t="n">
        <v>45968.69159927083</v>
      </c>
      <c r="B281" s="9" t="inlineStr">
        <is>
          <t>566/BK-2025</t>
        </is>
      </c>
      <c r="C281" s="9" t="inlineStr">
        <is>
          <t>Nguyễn Văn Phúc</t>
        </is>
      </c>
      <c r="D281" s="9" t="inlineStr">
        <is>
          <t>Ngoài Thủ Đức</t>
        </is>
      </c>
      <c r="E281" s="9" t="inlineStr">
        <is>
          <t>Công Ty</t>
        </is>
      </c>
      <c r="F281" s="9" t="inlineStr">
        <is>
          <t>Tạ Khắc Tập</t>
        </is>
      </c>
      <c r="G281" s="9" t="inlineStr">
        <is>
          <t>Võ Tứ Hợp</t>
        </is>
      </c>
      <c r="H281" s="9" t="inlineStr">
        <is>
          <t>Cắm mốc</t>
        </is>
      </c>
      <c r="I281" s="55" t="n">
        <v>45969</v>
      </c>
      <c r="J281" s="9" t="inlineStr">
        <is>
          <t>Hoàn thành</t>
        </is>
      </c>
      <c r="K281" s="9" t="inlineStr">
        <is>
          <t>Quận Tân Bình - Hồ sơ xa</t>
        </is>
      </c>
    </row>
    <row r="282" ht="15.75" customHeight="1" s="56">
      <c r="A282" s="55" t="n">
        <v>45967.71674357639</v>
      </c>
      <c r="B282" s="9" t="inlineStr">
        <is>
          <t>565/BK-2025</t>
        </is>
      </c>
      <c r="C282" s="9" t="inlineStr">
        <is>
          <t>Hoàng Anh Tú</t>
        </is>
      </c>
      <c r="D282" s="9" t="inlineStr">
        <is>
          <t>Long Phước</t>
        </is>
      </c>
      <c r="E282" s="9" t="inlineStr">
        <is>
          <t>Anh Long PCT</t>
        </is>
      </c>
      <c r="F282" s="9" t="inlineStr">
        <is>
          <t>Nguyễn Minh Thông</t>
        </is>
      </c>
      <c r="G282" s="9" t="inlineStr">
        <is>
          <t>Không cần</t>
        </is>
      </c>
      <c r="H282" s="9" t="inlineStr">
        <is>
          <t>Chuyển mục đích</t>
        </is>
      </c>
      <c r="I282" s="55" t="n">
        <v>45970</v>
      </c>
      <c r="J282" s="9" t="inlineStr">
        <is>
          <t>Hoàn thành</t>
        </is>
      </c>
    </row>
    <row r="283" ht="15.75" customHeight="1" s="56">
      <c r="A283" s="55" t="n">
        <v>45967.69269826389</v>
      </c>
      <c r="B283" s="9" t="inlineStr">
        <is>
          <t>355-1/BK-2025</t>
        </is>
      </c>
      <c r="C283" s="9" t="inlineStr">
        <is>
          <t>Nguyễn Thị Vinh</t>
        </is>
      </c>
      <c r="D283" s="9" t="inlineStr">
        <is>
          <t>Long Phước</t>
        </is>
      </c>
      <c r="E283" s="9" t="inlineStr">
        <is>
          <t>Công Ty</t>
        </is>
      </c>
      <c r="F283" s="9" t="inlineStr">
        <is>
          <t>Tạ Khắc Tập</t>
        </is>
      </c>
      <c r="G283" s="9" t="inlineStr">
        <is>
          <t>Võ Tứ Hợp</t>
        </is>
      </c>
      <c r="H283" s="9" t="inlineStr">
        <is>
          <t>Cắm mốc</t>
        </is>
      </c>
      <c r="I283" s="55" t="n">
        <v>45970</v>
      </c>
      <c r="J283" s="9" t="inlineStr">
        <is>
          <t>Hoàn thành</t>
        </is>
      </c>
    </row>
    <row r="284" ht="15.75" customHeight="1" s="56">
      <c r="A284" s="55" t="n">
        <v>45967.68909723379</v>
      </c>
      <c r="B284" s="9" t="inlineStr">
        <is>
          <t>564/BK-2025</t>
        </is>
      </c>
      <c r="C284" s="9" t="inlineStr">
        <is>
          <t>Phạm Gia Minh</t>
        </is>
      </c>
      <c r="D284" s="9" t="inlineStr">
        <is>
          <t>Hiệp Bình</t>
        </is>
      </c>
      <c r="E284" s="9" t="inlineStr">
        <is>
          <t>Anh Long PCT</t>
        </is>
      </c>
      <c r="F284" s="9" t="inlineStr">
        <is>
          <t>Nguyễn Minh Thông</t>
        </is>
      </c>
      <c r="G284" s="9" t="inlineStr">
        <is>
          <t>Võ Tứ Hợp</t>
        </is>
      </c>
      <c r="H284" s="9" t="inlineStr">
        <is>
          <t>Hoàn công</t>
        </is>
      </c>
      <c r="I284" s="55" t="n">
        <v>45970</v>
      </c>
      <c r="J284" s="9" t="inlineStr">
        <is>
          <t>Nộp thành công - Chờ kết quả</t>
        </is>
      </c>
    </row>
    <row r="285" ht="15.75" customHeight="1" s="56">
      <c r="A285" s="55" t="n">
        <v>45967.44887831018</v>
      </c>
      <c r="B285" s="9" t="inlineStr">
        <is>
          <t>558-1/BK-2025</t>
        </is>
      </c>
      <c r="C285" s="9" t="inlineStr">
        <is>
          <t>Trương Yến Chi</t>
        </is>
      </c>
      <c r="D285" s="9" t="inlineStr">
        <is>
          <t>Long Trường</t>
        </is>
      </c>
      <c r="E285" s="9" t="inlineStr">
        <is>
          <t>Công Ty</t>
        </is>
      </c>
      <c r="F285" s="9" t="inlineStr">
        <is>
          <t>Nguyễn Minh Thông</t>
        </is>
      </c>
      <c r="G285" s="9" t="inlineStr">
        <is>
          <t>Võ Tứ Hợp</t>
        </is>
      </c>
      <c r="H285" s="9" t="inlineStr">
        <is>
          <t>Cắm mốc</t>
        </is>
      </c>
      <c r="I285" s="55" t="n">
        <v>45970</v>
      </c>
      <c r="J285" s="9" t="inlineStr">
        <is>
          <t>Hoàn thành</t>
        </is>
      </c>
    </row>
    <row r="286" ht="15.75" customHeight="1" s="56">
      <c r="A286" s="55" t="n">
        <v>45967.40591872685</v>
      </c>
      <c r="B286" s="9" t="inlineStr">
        <is>
          <t>563-2/BK-2025</t>
        </is>
      </c>
      <c r="C286" s="9" t="inlineStr">
        <is>
          <t>Đặng Minh Hoà</t>
        </is>
      </c>
      <c r="D286" s="9" t="inlineStr">
        <is>
          <t>Linh Xuân</t>
        </is>
      </c>
      <c r="E286" s="9" t="inlineStr">
        <is>
          <t>Chinh Đen</t>
        </is>
      </c>
      <c r="F286" s="9" t="inlineStr">
        <is>
          <t>Tạ Khắc Tập</t>
        </is>
      </c>
      <c r="G286" s="9" t="inlineStr">
        <is>
          <t>Không cần</t>
        </is>
      </c>
      <c r="H286" s="9" t="inlineStr">
        <is>
          <t>Tách Thửa</t>
        </is>
      </c>
      <c r="I286" s="55" t="n">
        <v>45970</v>
      </c>
      <c r="J286" s="9" t="inlineStr">
        <is>
          <t>Hoàn thành</t>
        </is>
      </c>
    </row>
    <row r="287" ht="15.75" customHeight="1" s="56">
      <c r="A287" s="55" t="n">
        <v>45967.40541079861</v>
      </c>
      <c r="B287" s="9" t="inlineStr">
        <is>
          <t>563-1/BK-2025</t>
        </is>
      </c>
      <c r="C287" s="9" t="inlineStr">
        <is>
          <t>Đặng Minh Hoà</t>
        </is>
      </c>
      <c r="D287" s="9" t="inlineStr">
        <is>
          <t>Linh Xuân</t>
        </is>
      </c>
      <c r="E287" s="9" t="inlineStr">
        <is>
          <t>Chinh Đen</t>
        </is>
      </c>
      <c r="F287" s="9" t="inlineStr">
        <is>
          <t>Tạ Khắc Tập</t>
        </is>
      </c>
      <c r="G287" s="9" t="inlineStr">
        <is>
          <t>Võ Tứ Hợp</t>
        </is>
      </c>
      <c r="H287" s="9" t="inlineStr">
        <is>
          <t>Tách Thửa</t>
        </is>
      </c>
      <c r="I287" s="55" t="n">
        <v>45970</v>
      </c>
      <c r="J287" s="9" t="inlineStr">
        <is>
          <t>Hoàn thành</t>
        </is>
      </c>
    </row>
    <row r="288" ht="15.75" customHeight="1" s="56">
      <c r="A288" s="55" t="n">
        <v>45967.40378908565</v>
      </c>
      <c r="B288" s="9" t="inlineStr">
        <is>
          <t>562/BK-2025</t>
        </is>
      </c>
      <c r="C288" s="9" t="inlineStr">
        <is>
          <t>Lê Thị Nguyệt</t>
        </is>
      </c>
      <c r="D288" s="9" t="inlineStr">
        <is>
          <t>Ngoài Thủ Đức</t>
        </is>
      </c>
      <c r="E288" s="9" t="inlineStr">
        <is>
          <t>Công Ty</t>
        </is>
      </c>
      <c r="F288" s="9" t="inlineStr">
        <is>
          <t>Tạ Khắc Tập</t>
        </is>
      </c>
      <c r="G288" s="9" t="inlineStr">
        <is>
          <t>Trương Tấn Quốc</t>
        </is>
      </c>
      <c r="H288" s="9" t="inlineStr">
        <is>
          <t>Xác định diện tích</t>
        </is>
      </c>
      <c r="I288" s="55" t="n">
        <v>45968</v>
      </c>
      <c r="J288" s="9" t="inlineStr">
        <is>
          <t>Hoàn thành</t>
        </is>
      </c>
      <c r="K288" s="9" t="inlineStr">
        <is>
          <t>Quận Tân Phú - Hồ sơ xa</t>
        </is>
      </c>
    </row>
    <row r="289" ht="15.75" customHeight="1" s="56">
      <c r="A289" s="55" t="n">
        <v>45964.67190833333</v>
      </c>
      <c r="B289" s="9" t="inlineStr">
        <is>
          <t>561/BK-2025</t>
        </is>
      </c>
      <c r="C289" s="9" t="inlineStr">
        <is>
          <t>Dragon</t>
        </is>
      </c>
      <c r="D289" s="9" t="inlineStr">
        <is>
          <t>Ngoài Thủ Đức</t>
        </is>
      </c>
      <c r="E289" s="9" t="inlineStr">
        <is>
          <t>Công Ty</t>
        </is>
      </c>
      <c r="F289" s="9" t="inlineStr">
        <is>
          <t>Lê Văn Dựng</t>
        </is>
      </c>
      <c r="G289" s="9" t="inlineStr">
        <is>
          <t>Võ Tứ Hợp</t>
        </is>
      </c>
      <c r="H289" s="9" t="inlineStr">
        <is>
          <t>Cắm mốc</t>
        </is>
      </c>
      <c r="I289" s="55" t="n">
        <v>45967</v>
      </c>
      <c r="J289" s="9" t="inlineStr">
        <is>
          <t>Hoàn thành</t>
        </is>
      </c>
      <c r="K289" s="9" t="inlineStr">
        <is>
          <t>Địa chỉ: Quận Q7</t>
        </is>
      </c>
    </row>
    <row r="290" ht="15.75" customHeight="1" s="56">
      <c r="A290" s="55" t="n">
        <v>45964.66101009259</v>
      </c>
      <c r="B290" s="9" t="inlineStr">
        <is>
          <t>560/BK-2025</t>
        </is>
      </c>
      <c r="C290" s="9" t="inlineStr">
        <is>
          <t>Lương Chí Thìn</t>
        </is>
      </c>
      <c r="D290" s="9" t="inlineStr">
        <is>
          <t>Hiệp Bình</t>
        </is>
      </c>
      <c r="E290" s="9" t="inlineStr">
        <is>
          <t>Công Ty</t>
        </is>
      </c>
      <c r="F290" s="9" t="inlineStr">
        <is>
          <t>Nguyễn Minh Thông</t>
        </is>
      </c>
      <c r="G290" s="9" t="inlineStr">
        <is>
          <t>Không cần</t>
        </is>
      </c>
      <c r="H290" s="9" t="inlineStr">
        <is>
          <t>Xác định diện tích</t>
        </is>
      </c>
      <c r="I290" s="55" t="n">
        <v>45967</v>
      </c>
      <c r="J290" s="9" t="inlineStr">
        <is>
          <t>Hoàn thành</t>
        </is>
      </c>
    </row>
    <row r="291" ht="15.75" customHeight="1" s="56">
      <c r="A291" s="55" t="n">
        <v>45964.64634337963</v>
      </c>
      <c r="B291" s="9" t="inlineStr">
        <is>
          <t>559/BK-2025</t>
        </is>
      </c>
      <c r="C291" s="9" t="inlineStr">
        <is>
          <t>Hà Đăng Hiền</t>
        </is>
      </c>
      <c r="D291" s="9" t="inlineStr">
        <is>
          <t>Hiệp Bình</t>
        </is>
      </c>
      <c r="E291" s="9" t="inlineStr">
        <is>
          <t>Công Ty</t>
        </is>
      </c>
      <c r="F291" s="9" t="inlineStr">
        <is>
          <t>Tạ Khắc Tập</t>
        </is>
      </c>
      <c r="G291" s="9" t="inlineStr">
        <is>
          <t>Không cần</t>
        </is>
      </c>
      <c r="H291" s="9" t="inlineStr">
        <is>
          <t>Điều chỉnh bản vẽ</t>
        </is>
      </c>
      <c r="I291" s="55" t="n">
        <v>45967</v>
      </c>
      <c r="J291" s="9" t="inlineStr">
        <is>
          <t>Hoàn thành</t>
        </is>
      </c>
    </row>
    <row r="292" ht="15.75" customHeight="1" s="56">
      <c r="A292" s="55" t="n">
        <v>45964.43060935185</v>
      </c>
      <c r="B292" s="9" t="inlineStr">
        <is>
          <t>558/BK-2025</t>
        </is>
      </c>
      <c r="C292" s="9" t="inlineStr">
        <is>
          <t>Trương Yến Chi</t>
        </is>
      </c>
      <c r="D292" s="9" t="inlineStr">
        <is>
          <t>Long Trường</t>
        </is>
      </c>
      <c r="E292" s="9" t="inlineStr">
        <is>
          <t>Công Ty</t>
        </is>
      </c>
      <c r="F292" s="9" t="inlineStr">
        <is>
          <t>Nguyễn Minh Thông</t>
        </is>
      </c>
      <c r="G292" s="9" t="inlineStr">
        <is>
          <t>Võ Tứ Hợp</t>
        </is>
      </c>
      <c r="H292" s="9" t="inlineStr">
        <is>
          <t>Cấp đổi</t>
        </is>
      </c>
      <c r="I292" s="55" t="n">
        <v>45967</v>
      </c>
      <c r="J292" s="9" t="inlineStr">
        <is>
          <t>Hoàn thành</t>
        </is>
      </c>
    </row>
    <row r="293" ht="15.75" customHeight="1" s="56">
      <c r="A293" s="55" t="n">
        <v>45964.36118280092</v>
      </c>
      <c r="B293" s="9" t="inlineStr">
        <is>
          <t>557/BK-2025</t>
        </is>
      </c>
      <c r="C293" s="9" t="inlineStr">
        <is>
          <t>Trần Thị San</t>
        </is>
      </c>
      <c r="D293" s="9" t="inlineStr">
        <is>
          <t>Tam Bình</t>
        </is>
      </c>
      <c r="E293" s="9" t="inlineStr">
        <is>
          <t>Cô Hoa</t>
        </is>
      </c>
      <c r="F293" s="9" t="inlineStr">
        <is>
          <t>Tạ Khắc Tập</t>
        </is>
      </c>
      <c r="G293" s="9" t="inlineStr">
        <is>
          <t>Võ Tứ Hợp</t>
        </is>
      </c>
      <c r="H293" s="9" t="inlineStr">
        <is>
          <t>Cấp đổi</t>
        </is>
      </c>
      <c r="I293" s="55" t="n">
        <v>45967</v>
      </c>
      <c r="J293" s="9" t="inlineStr">
        <is>
          <t>Hoàn thành</t>
        </is>
      </c>
    </row>
    <row r="294" ht="15.75" customHeight="1" s="56">
      <c r="A294" s="55" t="n">
        <v>45961.45502703704</v>
      </c>
      <c r="B294" s="9" t="inlineStr">
        <is>
          <t>553/BK-2025</t>
        </is>
      </c>
      <c r="C294" s="9" t="inlineStr">
        <is>
          <t>Nguyễn Văn Đạo</t>
        </is>
      </c>
      <c r="D294" s="9" t="inlineStr">
        <is>
          <t>Long Phước</t>
        </is>
      </c>
      <c r="E294" s="9" t="inlineStr">
        <is>
          <t>Hoàng Quân</t>
        </is>
      </c>
      <c r="F294" s="9" t="inlineStr">
        <is>
          <t>Lê Văn Dựng</t>
        </is>
      </c>
      <c r="G294" s="9" t="inlineStr">
        <is>
          <t>Không cần</t>
        </is>
      </c>
      <c r="H294" s="9" t="inlineStr">
        <is>
          <t>Cắm mốc</t>
        </is>
      </c>
      <c r="I294" s="55" t="n">
        <v>45962</v>
      </c>
      <c r="J294" s="9" t="inlineStr">
        <is>
          <t>Hoàn thành</t>
        </is>
      </c>
    </row>
    <row r="295" ht="15.75" customHeight="1" s="56">
      <c r="A295" s="55" t="n">
        <v>45961.45255046296</v>
      </c>
      <c r="B295" s="9" t="inlineStr">
        <is>
          <t>552/BK-2025</t>
        </is>
      </c>
      <c r="C295" s="9" t="inlineStr">
        <is>
          <t>Phùng Như Hòa- Lương Thị Bộ</t>
        </is>
      </c>
      <c r="D295" s="9" t="inlineStr">
        <is>
          <t>Long Bình</t>
        </is>
      </c>
      <c r="E295" s="9" t="inlineStr">
        <is>
          <t>Công Ty</t>
        </is>
      </c>
      <c r="F295" s="9" t="inlineStr">
        <is>
          <t>Tạ Khắc Tập</t>
        </is>
      </c>
      <c r="G295" s="9" t="inlineStr">
        <is>
          <t>Võ Tứ Hợp</t>
        </is>
      </c>
      <c r="H295" s="9" t="inlineStr">
        <is>
          <t>Hoàn công</t>
        </is>
      </c>
      <c r="I295" s="55" t="n">
        <v>45964</v>
      </c>
      <c r="J295" s="9" t="inlineStr">
        <is>
          <t>Nộp thành công - Chờ kết quả</t>
        </is>
      </c>
      <c r="K295" s="9" t="inlineStr">
        <is>
          <t>Anh Hảo bạn Anh Dựng</t>
        </is>
      </c>
    </row>
    <row r="296" ht="15.75" customHeight="1" s="56">
      <c r="A296" s="55" t="n">
        <v>45960.39453871528</v>
      </c>
      <c r="B296" s="9" t="inlineStr">
        <is>
          <t>551-1/BK-2025</t>
        </is>
      </c>
      <c r="C296" s="9" t="inlineStr">
        <is>
          <t>Lưu Thành Công</t>
        </is>
      </c>
      <c r="D296" s="9" t="inlineStr">
        <is>
          <t>Long Trường</t>
        </is>
      </c>
      <c r="E296" s="9" t="inlineStr">
        <is>
          <t>Công Ty</t>
        </is>
      </c>
      <c r="F296" s="9" t="inlineStr">
        <is>
          <t>Nguyễn Minh Thông</t>
        </is>
      </c>
      <c r="G296" s="9" t="inlineStr">
        <is>
          <t>Võ Tứ Hợp</t>
        </is>
      </c>
      <c r="H296" s="9" t="inlineStr">
        <is>
          <t>Cắm mốc</t>
        </is>
      </c>
      <c r="I296" s="55" t="n">
        <v>45963</v>
      </c>
      <c r="J296" s="9" t="inlineStr">
        <is>
          <t>Hoàn thành</t>
        </is>
      </c>
      <c r="K296" s="9" t="inlineStr">
        <is>
          <t>Dịch vụ Anh Xây Công ty</t>
        </is>
      </c>
    </row>
    <row r="297" ht="15.75" customHeight="1" s="56">
      <c r="A297" s="55" t="n">
        <v>45960.39320611111</v>
      </c>
      <c r="B297" s="9" t="inlineStr">
        <is>
          <t>551/BK-2025</t>
        </is>
      </c>
      <c r="C297" s="9" t="inlineStr">
        <is>
          <t>Lưu Thành Công</t>
        </is>
      </c>
      <c r="D297" s="9" t="inlineStr">
        <is>
          <t>Long Trường</t>
        </is>
      </c>
      <c r="E297" s="9" t="inlineStr">
        <is>
          <t>Công Ty</t>
        </is>
      </c>
      <c r="F297" s="9" t="inlineStr">
        <is>
          <t>Nguyễn Minh Thông</t>
        </is>
      </c>
      <c r="G297" s="9" t="inlineStr">
        <is>
          <t>Võ Tứ Hợp</t>
        </is>
      </c>
      <c r="H297" s="9" t="inlineStr">
        <is>
          <t>Cấp đổi</t>
        </is>
      </c>
      <c r="I297" s="55" t="n">
        <v>45963</v>
      </c>
      <c r="J297" s="9" t="inlineStr">
        <is>
          <t>Hoàn thành</t>
        </is>
      </c>
    </row>
    <row r="298" ht="15.75" customHeight="1" s="56">
      <c r="A298" s="55" t="n">
        <v>45960.39120680556</v>
      </c>
      <c r="B298" s="9" t="inlineStr">
        <is>
          <t>550/BK-2025</t>
        </is>
      </c>
      <c r="C298" s="9" t="inlineStr">
        <is>
          <t>Nguyễn Minh Chữ</t>
        </is>
      </c>
      <c r="D298" s="9" t="inlineStr">
        <is>
          <t>Hiệp Bình</t>
        </is>
      </c>
      <c r="E298" s="9" t="inlineStr">
        <is>
          <t>Chú Loan DV</t>
        </is>
      </c>
      <c r="F298" s="9" t="inlineStr">
        <is>
          <t>Nguyễn Minh Thông</t>
        </is>
      </c>
      <c r="G298" s="9" t="inlineStr">
        <is>
          <t>Võ Tứ Hợp</t>
        </is>
      </c>
      <c r="H298" s="9" t="inlineStr">
        <is>
          <t>Cắm mốc</t>
        </is>
      </c>
      <c r="I298" s="55" t="n">
        <v>45963</v>
      </c>
      <c r="J298" s="9" t="inlineStr">
        <is>
          <t>Hoàn thành</t>
        </is>
      </c>
    </row>
    <row r="299" ht="15.75" customHeight="1" s="56">
      <c r="A299" s="55" t="n">
        <v>45958.49447927083</v>
      </c>
      <c r="B299" s="9" t="inlineStr">
        <is>
          <t>384-1/BK-2025</t>
        </is>
      </c>
      <c r="C299" s="9" t="inlineStr">
        <is>
          <t>Trần Phước Vân</t>
        </is>
      </c>
      <c r="D299" s="9" t="inlineStr">
        <is>
          <t>Cát Lái</t>
        </is>
      </c>
      <c r="E299" s="9" t="inlineStr">
        <is>
          <t>Tuấn Đen</t>
        </is>
      </c>
      <c r="F299" s="9" t="inlineStr">
        <is>
          <t>Tạ Khắc Tập</t>
        </is>
      </c>
      <c r="G299" s="9" t="inlineStr">
        <is>
          <t>Võ Tứ Hợp</t>
        </is>
      </c>
      <c r="H299" s="9" t="inlineStr">
        <is>
          <t>Cắm mốc</t>
        </is>
      </c>
      <c r="I299" s="55" t="n">
        <v>45961</v>
      </c>
      <c r="J299" s="9" t="inlineStr">
        <is>
          <t>Hoàn thành</t>
        </is>
      </c>
      <c r="K299" s="9" t="inlineStr">
        <is>
          <t>(cắm 3 lô shđ 384, 385, 386)</t>
        </is>
      </c>
    </row>
    <row r="300" ht="15.75" customHeight="1" s="56">
      <c r="A300" s="55" t="n">
        <v>45957.7358102662</v>
      </c>
      <c r="B300" s="9" t="inlineStr">
        <is>
          <t>540-2/BK-2025</t>
        </is>
      </c>
      <c r="C300" s="9" t="inlineStr">
        <is>
          <t>Phạm Thị Phương</t>
        </is>
      </c>
      <c r="D300" s="9" t="inlineStr">
        <is>
          <t>Long Trường</t>
        </is>
      </c>
      <c r="E300" s="9" t="inlineStr">
        <is>
          <t>Nguyễn Khoa DV</t>
        </is>
      </c>
      <c r="F300" s="9" t="inlineStr">
        <is>
          <t>Tạ Khắc Tập</t>
        </is>
      </c>
      <c r="G300" s="9" t="inlineStr">
        <is>
          <t>Võ Tứ Hợp</t>
        </is>
      </c>
      <c r="H300" s="9" t="inlineStr">
        <is>
          <t>Xác định diện tích</t>
        </is>
      </c>
      <c r="I300" s="55" t="n">
        <v>45960</v>
      </c>
      <c r="J300" s="9" t="inlineStr">
        <is>
          <t>Hoàn thành</t>
        </is>
      </c>
      <c r="K300" s="9" t="inlineStr">
        <is>
          <t>Phát cỏ</t>
        </is>
      </c>
    </row>
    <row r="301" ht="15.75" customHeight="1" s="56">
      <c r="A301" s="55" t="n">
        <v>45957.73189024306</v>
      </c>
      <c r="B301" s="9" t="inlineStr">
        <is>
          <t>540-1/BK-2025</t>
        </is>
      </c>
      <c r="C301" s="9" t="inlineStr">
        <is>
          <t>Phạm Thị Phương</t>
        </is>
      </c>
      <c r="D301" s="9" t="inlineStr">
        <is>
          <t>Long Trường</t>
        </is>
      </c>
      <c r="E301" s="9" t="inlineStr">
        <is>
          <t>Nguyễn Khoa DV</t>
        </is>
      </c>
      <c r="F301" s="9" t="inlineStr">
        <is>
          <t>Tạ Khắc Tập</t>
        </is>
      </c>
      <c r="G301" s="9" t="inlineStr">
        <is>
          <t>Võ Tứ Hợp</t>
        </is>
      </c>
      <c r="H301" s="9" t="inlineStr">
        <is>
          <t>Cắm mốc</t>
        </is>
      </c>
      <c r="I301" s="55" t="n">
        <v>45960</v>
      </c>
      <c r="J301" s="9" t="inlineStr">
        <is>
          <t>Hoàn thành</t>
        </is>
      </c>
    </row>
    <row r="302" ht="15.75" customHeight="1" s="56">
      <c r="A302" s="55" t="n">
        <v>45957.63038756944</v>
      </c>
      <c r="B302" s="9" t="inlineStr">
        <is>
          <t>549/BK-2025</t>
        </is>
      </c>
      <c r="C302" s="9" t="inlineStr">
        <is>
          <t>Lý Thị Mỹ Phượng</t>
        </is>
      </c>
      <c r="D302" s="9" t="inlineStr">
        <is>
          <t>Linh Xuân</t>
        </is>
      </c>
      <c r="E302" s="9" t="inlineStr">
        <is>
          <t>Tấn Hiếu DV</t>
        </is>
      </c>
      <c r="F302" s="9" t="inlineStr">
        <is>
          <t>Trương Tấn Quốc</t>
        </is>
      </c>
      <c r="G302" s="9" t="inlineStr">
        <is>
          <t>Võ Tứ Hợp</t>
        </is>
      </c>
      <c r="H302" s="9" t="inlineStr">
        <is>
          <t>Hoàn công</t>
        </is>
      </c>
      <c r="I302" s="55" t="n">
        <v>45960</v>
      </c>
      <c r="J302" s="9" t="inlineStr">
        <is>
          <t>Hủy</t>
        </is>
      </c>
      <c r="K302" s="9" t="inlineStr">
        <is>
          <t>nhà sai hiện trạng, đợi phương án</t>
        </is>
      </c>
    </row>
    <row r="303" ht="15.75" customHeight="1" s="56">
      <c r="A303" s="55" t="n">
        <v>45957.49102990741</v>
      </c>
      <c r="B303" s="9" t="inlineStr">
        <is>
          <t>535-2/BK-2025</t>
        </is>
      </c>
      <c r="C303" s="9" t="inlineStr">
        <is>
          <t>Võ Văn Ninh</t>
        </is>
      </c>
      <c r="D303" s="9" t="inlineStr">
        <is>
          <t>Long Trường</t>
        </is>
      </c>
      <c r="E303" s="9" t="inlineStr">
        <is>
          <t>Công Ty</t>
        </is>
      </c>
      <c r="F303" s="9" t="inlineStr">
        <is>
          <t>Lê Văn Dựng</t>
        </is>
      </c>
      <c r="G303" s="9" t="inlineStr">
        <is>
          <t>Tạ Khắc Tập</t>
        </is>
      </c>
      <c r="H303" s="9" t="inlineStr">
        <is>
          <t>Cắm mốc</t>
        </is>
      </c>
      <c r="I303" s="55" t="n">
        <v>45960</v>
      </c>
      <c r="J303" s="9" t="inlineStr">
        <is>
          <t>Hoàn thành</t>
        </is>
      </c>
    </row>
    <row r="304" ht="15.75" customHeight="1" s="56">
      <c r="A304" s="55" t="n">
        <v>45957.48786923611</v>
      </c>
      <c r="B304" s="9" t="inlineStr">
        <is>
          <t>548-1/BK-2025</t>
        </is>
      </c>
      <c r="C304" s="9" t="inlineStr">
        <is>
          <t>Ngô Thanh Quyền</t>
        </is>
      </c>
      <c r="D304" s="9" t="inlineStr">
        <is>
          <t>Long Phước</t>
        </is>
      </c>
      <c r="E304" s="9" t="inlineStr">
        <is>
          <t>Nguyễn Hương DV</t>
        </is>
      </c>
      <c r="F304" s="9" t="inlineStr">
        <is>
          <t>Lê Văn Dựng</t>
        </is>
      </c>
      <c r="G304" s="9" t="inlineStr">
        <is>
          <t>Tạ Khắc Tập</t>
        </is>
      </c>
      <c r="H304" s="9" t="inlineStr">
        <is>
          <t>Cắm mốc</t>
        </is>
      </c>
      <c r="I304" s="55" t="n">
        <v>45960</v>
      </c>
      <c r="J304" s="9" t="inlineStr">
        <is>
          <t>Hoàn thành</t>
        </is>
      </c>
    </row>
    <row r="305" ht="15.75" customHeight="1" s="56">
      <c r="A305" s="55" t="n">
        <v>45955.47522646991</v>
      </c>
      <c r="B305" s="9" t="inlineStr">
        <is>
          <t>548/BK-2025</t>
        </is>
      </c>
      <c r="C305" s="9" t="inlineStr">
        <is>
          <t>Ngô Thanh Quyền</t>
        </is>
      </c>
      <c r="D305" s="9" t="inlineStr">
        <is>
          <t>Long Phước</t>
        </is>
      </c>
      <c r="E305" s="9" t="inlineStr">
        <is>
          <t>Nguyễn Hương DV</t>
        </is>
      </c>
      <c r="F305" s="9" t="inlineStr">
        <is>
          <t>Nguyễn Minh Thông</t>
        </is>
      </c>
      <c r="G305" s="9" t="inlineStr">
        <is>
          <t>Không cần</t>
        </is>
      </c>
      <c r="H305" s="9" t="inlineStr">
        <is>
          <t>Cấp đổi</t>
        </is>
      </c>
      <c r="I305" s="55" t="n">
        <v>45958</v>
      </c>
      <c r="J305" s="9" t="inlineStr">
        <is>
          <t>Hoàn thành</t>
        </is>
      </c>
      <c r="K305" s="9" t="inlineStr">
        <is>
          <t>Hồ sơ anh Dựng đo</t>
        </is>
      </c>
    </row>
    <row r="306" ht="15.75" customHeight="1" s="56">
      <c r="A306" s="55" t="n">
        <v>45954.55947886574</v>
      </c>
      <c r="B306" s="9" t="inlineStr">
        <is>
          <t>547/BK-2025</t>
        </is>
      </c>
      <c r="C306" s="9" t="inlineStr">
        <is>
          <t>Trần Quang Vinh</t>
        </is>
      </c>
      <c r="D306" s="9" t="inlineStr">
        <is>
          <t>Long Phước</t>
        </is>
      </c>
      <c r="E306" s="9" t="inlineStr">
        <is>
          <t>Hoàng Quân</t>
        </is>
      </c>
      <c r="F306" s="9" t="inlineStr">
        <is>
          <t>Lê Văn Dựng</t>
        </is>
      </c>
      <c r="G306" s="9" t="inlineStr">
        <is>
          <t>Không cần</t>
        </is>
      </c>
      <c r="H306" s="9" t="inlineStr">
        <is>
          <t>Cắm mốc</t>
        </is>
      </c>
      <c r="I306" s="55" t="n">
        <v>45957</v>
      </c>
      <c r="J306" s="9" t="inlineStr">
        <is>
          <t>Hoàn thành</t>
        </is>
      </c>
    </row>
    <row r="307" ht="15.75" customHeight="1" s="56">
      <c r="A307" s="55" t="n">
        <v>45954.55854215278</v>
      </c>
      <c r="B307" s="9" t="inlineStr">
        <is>
          <t>546/BK-2025</t>
        </is>
      </c>
      <c r="C307" s="9" t="inlineStr">
        <is>
          <t>Trần Quang Vinh</t>
        </is>
      </c>
      <c r="D307" s="9" t="inlineStr">
        <is>
          <t>Long Phước</t>
        </is>
      </c>
      <c r="E307" s="9" t="inlineStr">
        <is>
          <t>Hoàng Quân</t>
        </is>
      </c>
      <c r="F307" s="9" t="inlineStr">
        <is>
          <t>Lê Văn Dựng</t>
        </is>
      </c>
      <c r="G307" s="9" t="inlineStr">
        <is>
          <t>Không cần</t>
        </is>
      </c>
      <c r="H307" s="9" t="inlineStr">
        <is>
          <t>Cắm mốc</t>
        </is>
      </c>
      <c r="I307" s="55" t="n">
        <v>45957</v>
      </c>
      <c r="J307" s="9" t="inlineStr">
        <is>
          <t>Hoàn thành</t>
        </is>
      </c>
    </row>
    <row r="308" ht="15.75" customHeight="1" s="56">
      <c r="A308" s="55" t="n">
        <v>45954.55796972222</v>
      </c>
      <c r="B308" s="9" t="inlineStr">
        <is>
          <t>545/BK-2025</t>
        </is>
      </c>
      <c r="C308" s="9" t="inlineStr">
        <is>
          <t>Trần Quang Vinh</t>
        </is>
      </c>
      <c r="D308" s="9" t="inlineStr">
        <is>
          <t>Long Phước</t>
        </is>
      </c>
      <c r="E308" s="9" t="inlineStr">
        <is>
          <t>Hoàng Quân</t>
        </is>
      </c>
      <c r="F308" s="9" t="inlineStr">
        <is>
          <t>Lê Văn Dựng</t>
        </is>
      </c>
      <c r="G308" s="9" t="inlineStr">
        <is>
          <t>Không cần</t>
        </is>
      </c>
      <c r="H308" s="9" t="inlineStr">
        <is>
          <t>Cắm mốc</t>
        </is>
      </c>
      <c r="I308" s="55" t="n">
        <v>45957</v>
      </c>
      <c r="J308" s="9" t="inlineStr">
        <is>
          <t>Hoàn thành</t>
        </is>
      </c>
    </row>
    <row r="309" ht="15.75" customHeight="1" s="56">
      <c r="A309" s="55" t="n">
        <v>45954.55712753472</v>
      </c>
      <c r="B309" s="9" t="inlineStr">
        <is>
          <t>544-2/BK-2025</t>
        </is>
      </c>
      <c r="C309" s="9" t="inlineStr">
        <is>
          <t>Trần Đức Phú</t>
        </is>
      </c>
      <c r="D309" s="9" t="inlineStr">
        <is>
          <t>Long Phước</t>
        </is>
      </c>
      <c r="E309" s="9" t="inlineStr">
        <is>
          <t>Hoàng Quân</t>
        </is>
      </c>
      <c r="F309" s="9" t="inlineStr">
        <is>
          <t>Lê Văn Dựng</t>
        </is>
      </c>
      <c r="G309" s="9" t="inlineStr">
        <is>
          <t>Không cần</t>
        </is>
      </c>
      <c r="H309" s="9" t="inlineStr">
        <is>
          <t>Đo GPS</t>
        </is>
      </c>
      <c r="I309" s="55" t="n">
        <v>45957</v>
      </c>
      <c r="J309" s="9" t="inlineStr">
        <is>
          <t>Hoàn thành</t>
        </is>
      </c>
    </row>
    <row r="310" ht="15.75" customHeight="1" s="56">
      <c r="A310" s="55" t="n">
        <v>45954.55617790509</v>
      </c>
      <c r="B310" s="9" t="inlineStr">
        <is>
          <t>544-1/BK-2025</t>
        </is>
      </c>
      <c r="C310" s="9" t="inlineStr">
        <is>
          <t>Trần Đức Phú</t>
        </is>
      </c>
      <c r="D310" s="9" t="inlineStr">
        <is>
          <t>Long Phước</t>
        </is>
      </c>
      <c r="E310" s="9" t="inlineStr">
        <is>
          <t>Hoàng Quân</t>
        </is>
      </c>
      <c r="F310" s="9" t="inlineStr">
        <is>
          <t>Lê Văn Dựng</t>
        </is>
      </c>
      <c r="G310" s="9" t="inlineStr">
        <is>
          <t>Không cần</t>
        </is>
      </c>
      <c r="H310" s="9" t="inlineStr">
        <is>
          <t>Cắm mốc</t>
        </is>
      </c>
      <c r="I310" s="55" t="n">
        <v>45957</v>
      </c>
      <c r="J310" s="9" t="inlineStr">
        <is>
          <t>Hoàn thành</t>
        </is>
      </c>
    </row>
    <row r="311" ht="15.75" customHeight="1" s="56">
      <c r="A311" s="55" t="n">
        <v>45954.55487520833</v>
      </c>
      <c r="B311" s="9" t="inlineStr">
        <is>
          <t>544/BK-2025</t>
        </is>
      </c>
      <c r="C311" s="9" t="inlineStr">
        <is>
          <t>Trần Đức Phú</t>
        </is>
      </c>
      <c r="D311" s="9" t="inlineStr">
        <is>
          <t>Long Phước</t>
        </is>
      </c>
      <c r="E311" s="9" t="inlineStr">
        <is>
          <t>Hoàng Quân</t>
        </is>
      </c>
      <c r="F311" s="9" t="inlineStr">
        <is>
          <t>Lê Văn Dựng</t>
        </is>
      </c>
      <c r="G311" s="9" t="inlineStr">
        <is>
          <t>Không cần</t>
        </is>
      </c>
      <c r="H311" s="9" t="inlineStr">
        <is>
          <t>Cấp đổi</t>
        </is>
      </c>
      <c r="I311" s="55" t="n">
        <v>45957</v>
      </c>
      <c r="J311" s="9" t="inlineStr">
        <is>
          <t>Hoàn thành</t>
        </is>
      </c>
    </row>
    <row r="312" ht="15.75" customHeight="1" s="56">
      <c r="A312" s="55" t="n">
        <v>45954.55400612269</v>
      </c>
      <c r="B312" s="9" t="inlineStr">
        <is>
          <t>543-2/BK-2025</t>
        </is>
      </c>
      <c r="C312" s="9" t="inlineStr">
        <is>
          <t>Trần Đức Phú</t>
        </is>
      </c>
      <c r="D312" s="9" t="inlineStr">
        <is>
          <t>Long Phước</t>
        </is>
      </c>
      <c r="E312" s="9" t="inlineStr">
        <is>
          <t>Hoàng Quân</t>
        </is>
      </c>
      <c r="F312" s="9" t="inlineStr">
        <is>
          <t>Lê Văn Dựng</t>
        </is>
      </c>
      <c r="G312" s="9" t="inlineStr">
        <is>
          <t>Không cần</t>
        </is>
      </c>
      <c r="H312" s="9" t="inlineStr">
        <is>
          <t>Đo GPS</t>
        </is>
      </c>
      <c r="I312" s="55" t="n">
        <v>45957</v>
      </c>
      <c r="J312" s="9" t="inlineStr">
        <is>
          <t>Hoàn thành</t>
        </is>
      </c>
    </row>
    <row r="313" ht="15.75" customHeight="1" s="56">
      <c r="A313" s="55" t="n">
        <v>45954.55342590278</v>
      </c>
      <c r="B313" s="9" t="inlineStr">
        <is>
          <t>543-1/BK-2025</t>
        </is>
      </c>
      <c r="C313" s="9" t="inlineStr">
        <is>
          <t>Trần Đức Phú</t>
        </is>
      </c>
      <c r="D313" s="9" t="inlineStr">
        <is>
          <t>Long Phước</t>
        </is>
      </c>
      <c r="E313" s="9" t="inlineStr">
        <is>
          <t>Hoàng Quân</t>
        </is>
      </c>
      <c r="F313" s="9" t="inlineStr">
        <is>
          <t>Lê Văn Dựng</t>
        </is>
      </c>
      <c r="G313" s="9" t="inlineStr">
        <is>
          <t>Không cần</t>
        </is>
      </c>
      <c r="H313" s="9" t="inlineStr">
        <is>
          <t>Cắm mốc</t>
        </is>
      </c>
      <c r="I313" s="55" t="n">
        <v>45957</v>
      </c>
      <c r="J313" s="9" t="inlineStr">
        <is>
          <t>Hoàn thành</t>
        </is>
      </c>
    </row>
    <row r="314" ht="15.75" customHeight="1" s="56">
      <c r="A314" s="55" t="n">
        <v>45954.55085018519</v>
      </c>
      <c r="B314" s="9" t="inlineStr">
        <is>
          <t>543/BK-2025</t>
        </is>
      </c>
      <c r="C314" s="9" t="inlineStr">
        <is>
          <t>Trần Đức Phú</t>
        </is>
      </c>
      <c r="D314" s="9" t="inlineStr">
        <is>
          <t>Long Phước</t>
        </is>
      </c>
      <c r="E314" s="9" t="inlineStr">
        <is>
          <t>Hoàng Quân</t>
        </is>
      </c>
      <c r="F314" s="9" t="inlineStr">
        <is>
          <t>Lê Văn Dựng</t>
        </is>
      </c>
      <c r="G314" s="9" t="inlineStr">
        <is>
          <t>Không cần</t>
        </is>
      </c>
      <c r="H314" s="9" t="inlineStr">
        <is>
          <t>Cấp đổi</t>
        </is>
      </c>
      <c r="I314" s="55" t="n">
        <v>45957</v>
      </c>
      <c r="J314" s="9" t="inlineStr">
        <is>
          <t>Nộp thành công - Chờ kết quả</t>
        </is>
      </c>
    </row>
    <row r="315" ht="15.75" customHeight="1" s="56">
      <c r="A315" s="55" t="n">
        <v>45954.46551864583</v>
      </c>
      <c r="B315" s="9" t="inlineStr">
        <is>
          <t>540/BK-2025</t>
        </is>
      </c>
      <c r="C315" s="9" t="inlineStr">
        <is>
          <t>Phạm Thị Phương</t>
        </is>
      </c>
      <c r="D315" s="9" t="inlineStr">
        <is>
          <t>Long Trường</t>
        </is>
      </c>
      <c r="E315" s="9" t="inlineStr">
        <is>
          <t>Nguyễn Khoa DV</t>
        </is>
      </c>
      <c r="F315" s="9" t="inlineStr">
        <is>
          <t>Trương Tấn Quốc</t>
        </is>
      </c>
      <c r="G315" s="9" t="inlineStr">
        <is>
          <t>Võ Tứ Hợp</t>
        </is>
      </c>
      <c r="H315" s="9" t="inlineStr">
        <is>
          <t>Cấp đổi</t>
        </is>
      </c>
      <c r="I315" s="55" t="n">
        <v>45957</v>
      </c>
      <c r="J315" s="9" t="inlineStr">
        <is>
          <t>Hoàn thành</t>
        </is>
      </c>
    </row>
    <row r="316" ht="15.75" customHeight="1" s="56">
      <c r="A316" s="55" t="n">
        <v>45953.71136813657</v>
      </c>
      <c r="B316" s="9" t="inlineStr">
        <is>
          <t>542/BK-2025</t>
        </is>
      </c>
      <c r="C316" s="9" t="inlineStr">
        <is>
          <t>Nguyễn Tấn Thanh</t>
        </is>
      </c>
      <c r="D316" s="9" t="inlineStr">
        <is>
          <t>Thủ Đức</t>
        </is>
      </c>
      <c r="E316" s="9" t="inlineStr">
        <is>
          <t>Chị Xuân DV</t>
        </is>
      </c>
      <c r="F316" s="9" t="inlineStr">
        <is>
          <t>Trương Tấn Quốc</t>
        </is>
      </c>
      <c r="G316" s="9" t="inlineStr">
        <is>
          <t>Không cần</t>
        </is>
      </c>
      <c r="H316" s="9" t="inlineStr">
        <is>
          <t>Tách Thửa</t>
        </is>
      </c>
      <c r="I316" s="55" t="n">
        <v>45956</v>
      </c>
      <c r="J316" s="9" t="inlineStr">
        <is>
          <t>Hoàn thành</t>
        </is>
      </c>
    </row>
    <row r="317" ht="15.75" customHeight="1" s="56">
      <c r="A317" s="55" t="n">
        <v>45953.71084555556</v>
      </c>
      <c r="B317" s="9" t="inlineStr">
        <is>
          <t>541/BK-2025</t>
        </is>
      </c>
      <c r="C317" s="9" t="inlineStr">
        <is>
          <t>Nguyễn Tấn Thanh</t>
        </is>
      </c>
      <c r="D317" s="9" t="inlineStr">
        <is>
          <t>Thủ Đức</t>
        </is>
      </c>
      <c r="E317" s="9" t="inlineStr">
        <is>
          <t>Chị Xuân DV</t>
        </is>
      </c>
      <c r="F317" s="9" t="inlineStr">
        <is>
          <t>Trương Tấn Quốc</t>
        </is>
      </c>
      <c r="G317" s="9" t="inlineStr">
        <is>
          <t>Không cần</t>
        </is>
      </c>
      <c r="H317" s="9" t="inlineStr">
        <is>
          <t>Tách Thửa</t>
        </is>
      </c>
      <c r="I317" s="55" t="n">
        <v>45956</v>
      </c>
      <c r="J317" s="9" t="inlineStr">
        <is>
          <t>Hoàn thành</t>
        </is>
      </c>
    </row>
    <row r="318" ht="15.75" customHeight="1" s="56">
      <c r="A318" s="55" t="n">
        <v>45953.63905736111</v>
      </c>
      <c r="B318" s="9" t="inlineStr">
        <is>
          <t>539/BK-2025</t>
        </is>
      </c>
      <c r="C318" s="9" t="inlineStr">
        <is>
          <t>Vũ Thị Hương Giang</t>
        </is>
      </c>
      <c r="D318" s="9" t="inlineStr">
        <is>
          <t>Thủ Đức</t>
        </is>
      </c>
      <c r="E318" s="9" t="inlineStr">
        <is>
          <t>Công Ty</t>
        </is>
      </c>
      <c r="F318" s="9" t="inlineStr">
        <is>
          <t>Nguyễn Minh Thông</t>
        </is>
      </c>
      <c r="G318" s="9" t="inlineStr">
        <is>
          <t>Võ Tứ Hợp</t>
        </is>
      </c>
      <c r="H318" s="9" t="inlineStr">
        <is>
          <t>Hoàn công</t>
        </is>
      </c>
      <c r="I318" s="55" t="n">
        <v>45956</v>
      </c>
      <c r="J318" s="9" t="inlineStr">
        <is>
          <t>Hoàn thành</t>
        </is>
      </c>
    </row>
    <row r="319" ht="15.75" customHeight="1" s="56">
      <c r="A319" s="55" t="n">
        <v>45951.69290971065</v>
      </c>
      <c r="B319" s="9" t="inlineStr">
        <is>
          <t>538/BK-2025</t>
        </is>
      </c>
      <c r="C319" s="9" t="inlineStr">
        <is>
          <t>TRương Quế Phương</t>
        </is>
      </c>
      <c r="D319" s="9" t="inlineStr">
        <is>
          <t>Tam Bình</t>
        </is>
      </c>
      <c r="E319" s="9" t="inlineStr">
        <is>
          <t>Anh Chiến KTS</t>
        </is>
      </c>
      <c r="F319" s="9" t="inlineStr">
        <is>
          <t>Nguyễn Minh Thông</t>
        </is>
      </c>
      <c r="G319" s="9" t="inlineStr">
        <is>
          <t>Võ Tứ Hợp</t>
        </is>
      </c>
      <c r="H319" s="9" t="inlineStr">
        <is>
          <t>Cắm mốc</t>
        </is>
      </c>
      <c r="I319" s="55" t="n">
        <v>45954</v>
      </c>
      <c r="J319" s="9" t="inlineStr">
        <is>
          <t>Hoàn thành</t>
        </is>
      </c>
    </row>
    <row r="320" ht="15.75" customHeight="1" s="56">
      <c r="A320" s="55" t="n">
        <v>45951.60245402778</v>
      </c>
      <c r="B320" s="9" t="inlineStr">
        <is>
          <t>537/BK-2025</t>
        </is>
      </c>
      <c r="C320" s="9" t="inlineStr">
        <is>
          <t>Nguyễn Thanh Vũ</t>
        </is>
      </c>
      <c r="D320" s="9" t="inlineStr">
        <is>
          <t>An Khánh</t>
        </is>
      </c>
      <c r="E320" s="9" t="inlineStr">
        <is>
          <t>Công Ty</t>
        </is>
      </c>
      <c r="F320" s="9" t="inlineStr">
        <is>
          <t>Lê Văn Dựng</t>
        </is>
      </c>
      <c r="G320" s="9" t="inlineStr">
        <is>
          <t>Võ Tứ Hợp</t>
        </is>
      </c>
      <c r="H320" s="9" t="inlineStr">
        <is>
          <t>Cấp đổi</t>
        </is>
      </c>
      <c r="I320" s="55" t="n">
        <v>45954</v>
      </c>
      <c r="J320" s="9" t="inlineStr">
        <is>
          <t>Hoàn thành</t>
        </is>
      </c>
    </row>
    <row r="321" ht="15.75" customHeight="1" s="56">
      <c r="A321" s="55" t="n">
        <v>45951.47949337963</v>
      </c>
      <c r="B321" s="9" t="inlineStr">
        <is>
          <t>488-2/BK-2025</t>
        </is>
      </c>
      <c r="C321" s="9" t="inlineStr">
        <is>
          <t>Nguyễn Hoàng Quân</t>
        </is>
      </c>
      <c r="D321" s="9" t="inlineStr">
        <is>
          <t>Long Phước</t>
        </is>
      </c>
      <c r="E321" s="9" t="inlineStr">
        <is>
          <t>Hoàng Quân</t>
        </is>
      </c>
      <c r="F321" s="9" t="inlineStr">
        <is>
          <t>Lê Văn Dựng</t>
        </is>
      </c>
      <c r="G321" s="9" t="inlineStr">
        <is>
          <t>Không cần</t>
        </is>
      </c>
      <c r="H321" s="9" t="inlineStr">
        <is>
          <t>Đo GPS</t>
        </is>
      </c>
      <c r="I321" s="55" t="n">
        <v>45954</v>
      </c>
      <c r="J321" s="9" t="inlineStr">
        <is>
          <t>Hoàn thành</t>
        </is>
      </c>
    </row>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H321"/>
  <sheetViews>
    <sheetView workbookViewId="0">
      <selection activeCell="A1" sqref="A1"/>
    </sheetView>
  </sheetViews>
  <sheetFormatPr baseColWidth="8" defaultColWidth="14.43" defaultRowHeight="15" customHeight="1"/>
  <cols>
    <col width="18" customWidth="1" style="56" min="1" max="3"/>
    <col width="22" customWidth="1" style="56" min="4" max="8"/>
    <col width="8.710000000000001" customWidth="1" style="56" min="9" max="26"/>
  </cols>
  <sheetData>
    <row r="1">
      <c r="A1" s="22" t="inlineStr">
        <is>
          <t>Mã hợp đồng</t>
        </is>
      </c>
      <c r="B1" s="22" t="inlineStr">
        <is>
          <t>Khách hàng</t>
        </is>
      </c>
      <c r="C1" s="22" t="inlineStr">
        <is>
          <t>Hạng mục</t>
        </is>
      </c>
      <c r="D1" s="22" t="inlineStr">
        <is>
          <t>Ngày ký</t>
        </is>
      </c>
      <c r="E1" s="22" t="inlineStr">
        <is>
          <t>Giá trị HĐ</t>
        </is>
      </c>
      <c r="F1" s="22" t="inlineStr">
        <is>
          <t>Đã thanh toán</t>
        </is>
      </c>
      <c r="G1" s="22" t="inlineStr">
        <is>
          <t>Công nợ</t>
        </is>
      </c>
      <c r="H1" s="22" t="inlineStr">
        <is>
          <t>Sale</t>
        </is>
      </c>
    </row>
    <row r="2">
      <c r="A2" s="9" t="inlineStr">
        <is>
          <t>488-2/BK-2025</t>
        </is>
      </c>
      <c r="B2" s="9" t="inlineStr">
        <is>
          <t>Nguyễn Hoàng Quân</t>
        </is>
      </c>
      <c r="C2" s="9" t="inlineStr">
        <is>
          <t>Đo GPS</t>
        </is>
      </c>
      <c r="D2" s="55" t="n">
        <v>45954</v>
      </c>
      <c r="E2" s="9" t="n">
        <v>1</v>
      </c>
      <c r="F2" s="9" t="n">
        <v>1</v>
      </c>
      <c r="G2" s="9" t="n">
        <v>0</v>
      </c>
      <c r="H2" s="9" t="inlineStr">
        <is>
          <t>Hoàng Quân</t>
        </is>
      </c>
    </row>
    <row r="3">
      <c r="A3" s="9" t="inlineStr">
        <is>
          <t>537/BK-2025</t>
        </is>
      </c>
      <c r="B3" s="9" t="inlineStr">
        <is>
          <t>Nguyễn Thanh Vũ</t>
        </is>
      </c>
      <c r="C3" s="9" t="inlineStr">
        <is>
          <t>Cấp đổi</t>
        </is>
      </c>
      <c r="D3" s="55" t="n">
        <v>45954</v>
      </c>
      <c r="E3" s="9" t="n">
        <v>39639491</v>
      </c>
      <c r="F3" s="9" t="n">
        <v>39639491</v>
      </c>
      <c r="G3" s="9" t="n">
        <v>0</v>
      </c>
      <c r="H3" s="9" t="inlineStr">
        <is>
          <t>Công Ty</t>
        </is>
      </c>
    </row>
    <row r="4">
      <c r="A4" s="9" t="inlineStr">
        <is>
          <t>538/BK-2025</t>
        </is>
      </c>
      <c r="B4" s="9" t="inlineStr">
        <is>
          <t>TRương Quế Phương</t>
        </is>
      </c>
      <c r="C4" s="9" t="inlineStr">
        <is>
          <t>Cắm mốc</t>
        </is>
      </c>
      <c r="D4" s="55" t="n">
        <v>45954</v>
      </c>
      <c r="E4" s="9" t="n">
        <v>2500000</v>
      </c>
      <c r="F4" s="9" t="n">
        <v>2500000</v>
      </c>
      <c r="G4" s="9" t="n">
        <v>0</v>
      </c>
      <c r="H4" s="9" t="inlineStr">
        <is>
          <t>Anh Chiến KTS</t>
        </is>
      </c>
    </row>
    <row r="5">
      <c r="A5" s="9" t="inlineStr">
        <is>
          <t>539/BK-2025</t>
        </is>
      </c>
      <c r="B5" s="9" t="inlineStr">
        <is>
          <t>Vũ Thị Hương Giang</t>
        </is>
      </c>
      <c r="C5" s="9" t="inlineStr">
        <is>
          <t>Hoàn công</t>
        </is>
      </c>
      <c r="D5" s="55" t="n">
        <v>45956</v>
      </c>
      <c r="E5" s="9" t="n">
        <v>35000000</v>
      </c>
      <c r="F5" s="9" t="n">
        <v>35000000</v>
      </c>
      <c r="G5" s="9" t="n">
        <v>0</v>
      </c>
      <c r="H5" s="9" t="inlineStr">
        <is>
          <t>Công Ty</t>
        </is>
      </c>
    </row>
    <row r="6">
      <c r="A6" s="9" t="inlineStr">
        <is>
          <t>541/BK-2025</t>
        </is>
      </c>
      <c r="B6" s="9" t="inlineStr">
        <is>
          <t>Nguyễn Tấn Thanh</t>
        </is>
      </c>
      <c r="C6" s="9" t="inlineStr">
        <is>
          <t>Tách Thửa</t>
        </is>
      </c>
      <c r="D6" s="55" t="n">
        <v>45956</v>
      </c>
      <c r="E6" s="9" t="n">
        <v>8000000</v>
      </c>
      <c r="F6" s="9" t="n">
        <v>8000000</v>
      </c>
      <c r="G6" s="9" t="n">
        <v>0</v>
      </c>
      <c r="H6" s="9" t="inlineStr">
        <is>
          <t>Chị Xuân DV</t>
        </is>
      </c>
    </row>
    <row r="7">
      <c r="A7" s="9" t="inlineStr">
        <is>
          <t>542/BK-2025</t>
        </is>
      </c>
      <c r="B7" s="9" t="inlineStr">
        <is>
          <t>Nguyễn Tấn Thanh</t>
        </is>
      </c>
      <c r="C7" s="9" t="inlineStr">
        <is>
          <t>Tách Thửa</t>
        </is>
      </c>
      <c r="D7" s="55" t="n">
        <v>45956</v>
      </c>
      <c r="E7" s="9" t="n">
        <v>8000000</v>
      </c>
      <c r="F7" s="9" t="n">
        <v>8000000</v>
      </c>
      <c r="G7" s="9" t="n">
        <v>0</v>
      </c>
      <c r="H7" s="9" t="inlineStr">
        <is>
          <t>Chị Xuân DV</t>
        </is>
      </c>
    </row>
    <row r="8">
      <c r="A8" s="9" t="inlineStr">
        <is>
          <t>540/BK-2025</t>
        </is>
      </c>
      <c r="B8" s="9" t="inlineStr">
        <is>
          <t>Phạm Thị Phương</t>
        </is>
      </c>
      <c r="C8" s="9" t="inlineStr">
        <is>
          <t>Cấp đổi</t>
        </is>
      </c>
      <c r="D8" s="55" t="n">
        <v>45957</v>
      </c>
      <c r="E8" s="9" t="n">
        <v>10000000</v>
      </c>
      <c r="F8" s="9" t="n">
        <v>10000000</v>
      </c>
      <c r="G8" s="9" t="n">
        <v>0</v>
      </c>
      <c r="H8" s="9" t="inlineStr">
        <is>
          <t>Nguyễn Khoa DV</t>
        </is>
      </c>
    </row>
    <row r="9">
      <c r="A9" s="9" t="inlineStr">
        <is>
          <t>543/BK-2025</t>
        </is>
      </c>
      <c r="B9" s="9" t="inlineStr">
        <is>
          <t>Trần Đức Phú</t>
        </is>
      </c>
      <c r="C9" s="9" t="inlineStr">
        <is>
          <t>Cấp đổi</t>
        </is>
      </c>
      <c r="D9" s="55" t="n">
        <v>45957</v>
      </c>
      <c r="F9" s="9" t="n">
        <v>0</v>
      </c>
      <c r="H9" s="9" t="inlineStr">
        <is>
          <t>Hoàng Quân</t>
        </is>
      </c>
    </row>
    <row r="10">
      <c r="A10" s="9" t="inlineStr">
        <is>
          <t>543-1/BK-2025</t>
        </is>
      </c>
      <c r="B10" s="9" t="inlineStr">
        <is>
          <t>Trần Đức Phú</t>
        </is>
      </c>
      <c r="C10" s="9" t="inlineStr">
        <is>
          <t>Cắm mốc</t>
        </is>
      </c>
      <c r="D10" s="55" t="n">
        <v>45957</v>
      </c>
      <c r="E10" s="9" t="n">
        <v>3600000</v>
      </c>
      <c r="F10" s="9" t="n">
        <v>3600000</v>
      </c>
      <c r="G10" s="9" t="n">
        <v>0</v>
      </c>
      <c r="H10" s="9" t="inlineStr">
        <is>
          <t>Hoàng Quân</t>
        </is>
      </c>
    </row>
    <row r="11">
      <c r="A11" s="9" t="inlineStr">
        <is>
          <t>543-2/BK-2025</t>
        </is>
      </c>
      <c r="B11" s="9" t="inlineStr">
        <is>
          <t>Trần Đức Phú</t>
        </is>
      </c>
      <c r="C11" s="9" t="inlineStr">
        <is>
          <t>Đo GPS</t>
        </is>
      </c>
      <c r="D11" s="55" t="n">
        <v>45957</v>
      </c>
      <c r="E11" s="9" t="n">
        <v>1</v>
      </c>
      <c r="F11" s="9" t="n">
        <v>1</v>
      </c>
      <c r="G11" s="9" t="n">
        <v>0</v>
      </c>
      <c r="H11" s="9" t="inlineStr">
        <is>
          <t>Hoàng Quân</t>
        </is>
      </c>
    </row>
    <row r="12">
      <c r="A12" s="9" t="inlineStr">
        <is>
          <t>544/BK-2025</t>
        </is>
      </c>
      <c r="B12" s="9" t="inlineStr">
        <is>
          <t>Trần Đức Phú</t>
        </is>
      </c>
      <c r="C12" s="9" t="inlineStr">
        <is>
          <t>Cấp đổi</t>
        </is>
      </c>
      <c r="D12" s="55" t="n">
        <v>45957</v>
      </c>
      <c r="E12" s="9" t="n">
        <v>25000000</v>
      </c>
      <c r="F12" s="9" t="n">
        <v>0</v>
      </c>
      <c r="G12" s="9" t="n">
        <v>25000000</v>
      </c>
      <c r="H12" s="9" t="inlineStr">
        <is>
          <t>Hoàng Quân</t>
        </is>
      </c>
    </row>
    <row r="13">
      <c r="A13" s="9" t="inlineStr">
        <is>
          <t>544-1/BK-2025</t>
        </is>
      </c>
      <c r="B13" s="9" t="inlineStr">
        <is>
          <t>Trần Đức Phú</t>
        </is>
      </c>
      <c r="C13" s="9" t="inlineStr">
        <is>
          <t>Cắm mốc</t>
        </is>
      </c>
      <c r="D13" s="55" t="n">
        <v>45957</v>
      </c>
      <c r="E13" s="9" t="n">
        <v>3900000</v>
      </c>
      <c r="F13" s="9" t="n">
        <v>3900000</v>
      </c>
      <c r="G13" s="9" t="n">
        <v>0</v>
      </c>
      <c r="H13" s="9" t="inlineStr">
        <is>
          <t>Hoàng Quân</t>
        </is>
      </c>
    </row>
    <row r="14">
      <c r="A14" s="9" t="inlineStr">
        <is>
          <t>544-2/BK-2025</t>
        </is>
      </c>
      <c r="B14" s="9" t="inlineStr">
        <is>
          <t>Trần Đức Phú</t>
        </is>
      </c>
      <c r="C14" s="9" t="inlineStr">
        <is>
          <t>Đo GPS</t>
        </is>
      </c>
      <c r="D14" s="55" t="n">
        <v>45957</v>
      </c>
      <c r="E14" s="9" t="n">
        <v>1</v>
      </c>
      <c r="F14" s="9" t="n">
        <v>1</v>
      </c>
      <c r="G14" s="9" t="n">
        <v>0</v>
      </c>
      <c r="H14" s="9" t="inlineStr">
        <is>
          <t>Hoàng Quân</t>
        </is>
      </c>
    </row>
    <row r="15">
      <c r="A15" s="9" t="inlineStr">
        <is>
          <t>545/BK-2025</t>
        </is>
      </c>
      <c r="B15" s="9" t="inlineStr">
        <is>
          <t>Trần Quang Vinh</t>
        </is>
      </c>
      <c r="C15" s="9" t="inlineStr">
        <is>
          <t>Cắm mốc</t>
        </is>
      </c>
      <c r="D15" s="55" t="n">
        <v>45957</v>
      </c>
      <c r="E15" s="9" t="n">
        <v>3000000</v>
      </c>
      <c r="F15" s="9" t="n">
        <v>3000000</v>
      </c>
      <c r="G15" s="9" t="n">
        <v>0</v>
      </c>
      <c r="H15" s="9" t="inlineStr">
        <is>
          <t>Hoàng Quân</t>
        </is>
      </c>
    </row>
    <row r="16">
      <c r="A16" s="9" t="inlineStr">
        <is>
          <t>546/BK-2025</t>
        </is>
      </c>
      <c r="B16" s="9" t="inlineStr">
        <is>
          <t>Trần Quang Vinh</t>
        </is>
      </c>
      <c r="C16" s="9" t="inlineStr">
        <is>
          <t>Cắm mốc</t>
        </is>
      </c>
      <c r="D16" s="55" t="n">
        <v>45957</v>
      </c>
      <c r="E16" s="9" t="n">
        <v>3000000</v>
      </c>
      <c r="F16" s="9" t="n">
        <v>3000000</v>
      </c>
      <c r="G16" s="9" t="n">
        <v>0</v>
      </c>
      <c r="H16" s="9" t="inlineStr">
        <is>
          <t>Hoàng Quân</t>
        </is>
      </c>
    </row>
    <row r="17">
      <c r="A17" s="9" t="inlineStr">
        <is>
          <t>547/BK-2025</t>
        </is>
      </c>
      <c r="B17" s="9" t="inlineStr">
        <is>
          <t>Trần Quang Vinh</t>
        </is>
      </c>
      <c r="C17" s="9" t="inlineStr">
        <is>
          <t>Cắm mốc</t>
        </is>
      </c>
      <c r="D17" s="55" t="n">
        <v>45957</v>
      </c>
      <c r="E17" s="9" t="n">
        <v>3000000</v>
      </c>
      <c r="F17" s="9" t="n">
        <v>3000000</v>
      </c>
      <c r="G17" s="9" t="n">
        <v>0</v>
      </c>
      <c r="H17" s="9" t="inlineStr">
        <is>
          <t>Hoàng Quân</t>
        </is>
      </c>
    </row>
    <row r="18">
      <c r="A18" s="9" t="inlineStr">
        <is>
          <t>548/BK-2025</t>
        </is>
      </c>
      <c r="B18" s="9" t="inlineStr">
        <is>
          <t>Ngô Thanh Quyền</t>
        </is>
      </c>
      <c r="C18" s="9" t="inlineStr">
        <is>
          <t>Cấp đổi</t>
        </is>
      </c>
      <c r="D18" s="55" t="n">
        <v>45958</v>
      </c>
      <c r="E18" s="9" t="n">
        <v>18000000</v>
      </c>
      <c r="F18" s="9" t="n">
        <v>18000000</v>
      </c>
      <c r="G18" s="9" t="n">
        <v>0</v>
      </c>
      <c r="H18" s="9" t="inlineStr">
        <is>
          <t>Nguyễn Hương DV</t>
        </is>
      </c>
    </row>
    <row r="19">
      <c r="A19" s="9" t="inlineStr">
        <is>
          <t>548-1/BK-2025</t>
        </is>
      </c>
      <c r="B19" s="9" t="inlineStr">
        <is>
          <t>Ngô Thanh Quyền</t>
        </is>
      </c>
      <c r="C19" s="9" t="inlineStr">
        <is>
          <t>Cắm mốc</t>
        </is>
      </c>
      <c r="D19" s="55" t="n">
        <v>45960</v>
      </c>
      <c r="E19" s="9" t="n">
        <v>1</v>
      </c>
      <c r="F19" s="9" t="n">
        <v>1</v>
      </c>
      <c r="G19" s="9" t="n">
        <v>0</v>
      </c>
      <c r="H19" s="9" t="inlineStr">
        <is>
          <t>Nguyễn Hương DV</t>
        </is>
      </c>
    </row>
    <row r="20">
      <c r="A20" s="9" t="inlineStr">
        <is>
          <t>535-2/BK-2025</t>
        </is>
      </c>
      <c r="B20" s="9" t="inlineStr">
        <is>
          <t>Võ Văn Ninh</t>
        </is>
      </c>
      <c r="C20" s="9" t="inlineStr">
        <is>
          <t>Cắm mốc</t>
        </is>
      </c>
      <c r="D20" s="55" t="n">
        <v>45960</v>
      </c>
      <c r="E20" s="9" t="n">
        <v>15000000</v>
      </c>
      <c r="F20" s="9" t="n">
        <v>15000000</v>
      </c>
      <c r="G20" s="9" t="n">
        <v>0</v>
      </c>
      <c r="H20" s="9" t="inlineStr">
        <is>
          <t>Công Ty</t>
        </is>
      </c>
    </row>
    <row r="21" ht="15.75" customHeight="1" s="56">
      <c r="A21" s="9" t="inlineStr">
        <is>
          <t>549/BK-2025</t>
        </is>
      </c>
      <c r="B21" s="9" t="inlineStr">
        <is>
          <t>Lý Thị Mỹ Phượng</t>
        </is>
      </c>
      <c r="C21" s="9" t="inlineStr">
        <is>
          <t>Hoàn công</t>
        </is>
      </c>
      <c r="D21" s="55" t="n">
        <v>45960</v>
      </c>
      <c r="E21" s="9" t="n">
        <v>1</v>
      </c>
      <c r="F21" s="9" t="n">
        <v>1</v>
      </c>
      <c r="G21" s="9" t="n">
        <v>0</v>
      </c>
      <c r="H21" s="9" t="inlineStr">
        <is>
          <t>Tấn Hiếu DV</t>
        </is>
      </c>
    </row>
    <row r="22" ht="15.75" customHeight="1" s="56">
      <c r="A22" s="9" t="inlineStr">
        <is>
          <t>540-1/BK-2025</t>
        </is>
      </c>
      <c r="B22" s="9" t="inlineStr">
        <is>
          <t>Phạm Thị Phương</t>
        </is>
      </c>
      <c r="C22" s="9" t="inlineStr">
        <is>
          <t>Cắm mốc</t>
        </is>
      </c>
      <c r="D22" s="55" t="n">
        <v>45960</v>
      </c>
      <c r="E22" s="9" t="n">
        <v>3400000</v>
      </c>
      <c r="F22" s="9" t="n">
        <v>3400000</v>
      </c>
      <c r="G22" s="9" t="n">
        <v>0</v>
      </c>
      <c r="H22" s="9" t="inlineStr">
        <is>
          <t>Nguyễn Khoa DV</t>
        </is>
      </c>
    </row>
    <row r="23" ht="15.75" customHeight="1" s="56">
      <c r="A23" s="9" t="inlineStr">
        <is>
          <t>540-2/BK-2025</t>
        </is>
      </c>
      <c r="B23" s="9" t="inlineStr">
        <is>
          <t>Phạm Thị Phương</t>
        </is>
      </c>
      <c r="C23" s="9" t="inlineStr">
        <is>
          <t>Xác định diện tích</t>
        </is>
      </c>
      <c r="D23" s="55" t="n">
        <v>45960</v>
      </c>
      <c r="E23" s="9" t="n">
        <v>1</v>
      </c>
      <c r="F23" s="9" t="n">
        <v>1</v>
      </c>
      <c r="G23" s="9" t="n">
        <v>0</v>
      </c>
      <c r="H23" s="9" t="inlineStr">
        <is>
          <t>Nguyễn Khoa DV</t>
        </is>
      </c>
    </row>
    <row r="24" ht="15.75" customHeight="1" s="56">
      <c r="A24" s="9" t="inlineStr">
        <is>
          <t>384-1/BK-2025</t>
        </is>
      </c>
      <c r="B24" s="9" t="inlineStr">
        <is>
          <t>Trần Phước Vân</t>
        </is>
      </c>
      <c r="C24" s="9" t="inlineStr">
        <is>
          <t>Cắm mốc</t>
        </is>
      </c>
      <c r="D24" s="55" t="n">
        <v>45961</v>
      </c>
      <c r="E24" s="9" t="n">
        <v>3000000</v>
      </c>
      <c r="F24" s="9" t="n">
        <v>3000000</v>
      </c>
      <c r="G24" s="9" t="n">
        <v>0</v>
      </c>
      <c r="H24" s="9" t="inlineStr">
        <is>
          <t>Tuấn Đen</t>
        </is>
      </c>
    </row>
    <row r="25" ht="15.75" customHeight="1" s="56">
      <c r="A25" s="9" t="inlineStr">
        <is>
          <t>550/BK-2025</t>
        </is>
      </c>
      <c r="B25" s="9" t="inlineStr">
        <is>
          <t>Nguyễn Minh Chữ</t>
        </is>
      </c>
      <c r="C25" s="9" t="inlineStr">
        <is>
          <t>Cắm mốc</t>
        </is>
      </c>
      <c r="D25" s="55" t="n">
        <v>45963</v>
      </c>
      <c r="E25" s="9" t="n">
        <v>2500000</v>
      </c>
      <c r="F25" s="9" t="n">
        <v>2500000</v>
      </c>
      <c r="G25" s="9" t="n">
        <v>0</v>
      </c>
      <c r="H25" s="9" t="inlineStr">
        <is>
          <t>Chú Loan DV</t>
        </is>
      </c>
    </row>
    <row r="26" ht="15.75" customHeight="1" s="56">
      <c r="A26" s="9" t="inlineStr">
        <is>
          <t>551/BK-2025</t>
        </is>
      </c>
      <c r="B26" s="9" t="inlineStr">
        <is>
          <t>Lưu Thành Công</t>
        </is>
      </c>
      <c r="C26" s="9" t="inlineStr">
        <is>
          <t>Cấp đổi</t>
        </is>
      </c>
      <c r="D26" s="55" t="n">
        <v>45963</v>
      </c>
      <c r="E26" s="9" t="n">
        <v>11000000</v>
      </c>
      <c r="F26" s="9" t="n">
        <v>11000000</v>
      </c>
      <c r="G26" s="9" t="n">
        <v>0</v>
      </c>
      <c r="H26" s="9" t="inlineStr">
        <is>
          <t>Công Ty</t>
        </is>
      </c>
    </row>
    <row r="27" ht="15.75" customHeight="1" s="56">
      <c r="A27" s="9" t="inlineStr">
        <is>
          <t>551-1/BK-2025</t>
        </is>
      </c>
      <c r="B27" s="9" t="inlineStr">
        <is>
          <t>Lưu Thành Công</t>
        </is>
      </c>
      <c r="C27" s="9" t="inlineStr">
        <is>
          <t>Cắm mốc</t>
        </is>
      </c>
      <c r="D27" s="55" t="n">
        <v>45963</v>
      </c>
      <c r="E27" s="9" t="n">
        <v>3000000</v>
      </c>
      <c r="F27" s="9" t="n">
        <v>3000000</v>
      </c>
      <c r="G27" s="9" t="n">
        <v>0</v>
      </c>
      <c r="H27" s="9" t="inlineStr">
        <is>
          <t>Công Ty</t>
        </is>
      </c>
    </row>
    <row r="28" ht="15.75" customHeight="1" s="56">
      <c r="A28" s="9" t="inlineStr">
        <is>
          <t>552/BK-2025</t>
        </is>
      </c>
      <c r="B28" s="9" t="inlineStr">
        <is>
          <t>Phùng Như Hòa- Lương Thị Bộ</t>
        </is>
      </c>
      <c r="C28" s="9" t="inlineStr">
        <is>
          <t>Hoàn công</t>
        </is>
      </c>
      <c r="D28" s="55" t="n">
        <v>45964</v>
      </c>
      <c r="E28" s="9" t="n">
        <v>18000000</v>
      </c>
      <c r="F28" s="9" t="n">
        <v>18000000</v>
      </c>
      <c r="G28" s="9" t="n">
        <v>0</v>
      </c>
      <c r="H28" s="9" t="inlineStr">
        <is>
          <t>Công Ty</t>
        </is>
      </c>
    </row>
    <row r="29" ht="15.75" customHeight="1" s="56">
      <c r="A29" s="9" t="inlineStr">
        <is>
          <t>553/BK-2025</t>
        </is>
      </c>
      <c r="B29" s="9" t="inlineStr">
        <is>
          <t>Nguyễn Văn Đạo</t>
        </is>
      </c>
      <c r="C29" s="9" t="inlineStr">
        <is>
          <t>Cắm mốc</t>
        </is>
      </c>
      <c r="D29" s="55" t="n">
        <v>45962</v>
      </c>
      <c r="E29" s="9" t="n">
        <v>3000000</v>
      </c>
      <c r="F29" s="9" t="n">
        <v>3000000</v>
      </c>
      <c r="G29" s="9" t="n">
        <v>0</v>
      </c>
      <c r="H29" s="9" t="inlineStr">
        <is>
          <t>Hoàng Quân</t>
        </is>
      </c>
    </row>
    <row r="30" ht="15.75" customHeight="1" s="56">
      <c r="A30" s="9" t="inlineStr">
        <is>
          <t>557/BK-2025</t>
        </is>
      </c>
      <c r="B30" s="9" t="inlineStr">
        <is>
          <t>Trần Thị San</t>
        </is>
      </c>
      <c r="C30" s="9" t="inlineStr">
        <is>
          <t>Cấp đổi</t>
        </is>
      </c>
      <c r="D30" s="55" t="n">
        <v>45967</v>
      </c>
      <c r="E30" s="9" t="n">
        <v>25000000</v>
      </c>
      <c r="F30" s="9" t="n">
        <v>25000000</v>
      </c>
      <c r="G30" s="9" t="n">
        <v>0</v>
      </c>
      <c r="H30" s="9" t="inlineStr">
        <is>
          <t>Cô Hoa</t>
        </is>
      </c>
    </row>
    <row r="31" ht="15.75" customHeight="1" s="56">
      <c r="A31" s="9" t="inlineStr">
        <is>
          <t>558/BK-2025</t>
        </is>
      </c>
      <c r="B31" s="9" t="inlineStr">
        <is>
          <t>Trương Yến Chi</t>
        </is>
      </c>
      <c r="C31" s="9" t="inlineStr">
        <is>
          <t>Cấp đổi</t>
        </is>
      </c>
      <c r="D31" s="55" t="n">
        <v>45967</v>
      </c>
      <c r="E31" s="9" t="n">
        <v>14000000</v>
      </c>
      <c r="F31" s="9" t="n">
        <v>14000000</v>
      </c>
      <c r="G31" s="9" t="n">
        <v>0</v>
      </c>
      <c r="H31" s="9" t="inlineStr">
        <is>
          <t>Công Ty</t>
        </is>
      </c>
    </row>
    <row r="32" ht="15.75" customHeight="1" s="56">
      <c r="A32" s="9" t="inlineStr">
        <is>
          <t>559/BK-2025</t>
        </is>
      </c>
      <c r="B32" s="9" t="inlineStr">
        <is>
          <t>Hà Đăng Hiền</t>
        </is>
      </c>
      <c r="C32" s="9" t="inlineStr">
        <is>
          <t>Điều chỉnh bản vẽ</t>
        </is>
      </c>
      <c r="D32" s="55" t="n">
        <v>45967</v>
      </c>
      <c r="E32" s="9" t="n">
        <v>2000000</v>
      </c>
      <c r="F32" s="9" t="n">
        <v>2000000</v>
      </c>
      <c r="G32" s="9" t="n">
        <v>0</v>
      </c>
      <c r="H32" s="9" t="inlineStr">
        <is>
          <t>Công Ty</t>
        </is>
      </c>
    </row>
    <row r="33" ht="15.75" customHeight="1" s="56">
      <c r="A33" s="9" t="inlineStr">
        <is>
          <t>560/BK-2025</t>
        </is>
      </c>
      <c r="B33" s="9" t="inlineStr">
        <is>
          <t>Lương Chí Thìn</t>
        </is>
      </c>
      <c r="C33" s="9" t="inlineStr">
        <is>
          <t>Xác định diện tích</t>
        </is>
      </c>
      <c r="D33" s="55" t="n">
        <v>45967</v>
      </c>
      <c r="E33" s="9" t="n">
        <v>10000000</v>
      </c>
      <c r="F33" s="9" t="n">
        <v>10000000</v>
      </c>
      <c r="G33" s="9" t="n">
        <v>0</v>
      </c>
      <c r="H33" s="9" t="inlineStr">
        <is>
          <t>Công Ty</t>
        </is>
      </c>
    </row>
    <row r="34" ht="15.75" customHeight="1" s="56">
      <c r="A34" s="9" t="inlineStr">
        <is>
          <t>561/BK-2025</t>
        </is>
      </c>
      <c r="B34" s="9" t="inlineStr">
        <is>
          <t>Dragon</t>
        </is>
      </c>
      <c r="C34" s="9" t="inlineStr">
        <is>
          <t>Cắm mốc</t>
        </is>
      </c>
      <c r="D34" s="55" t="n">
        <v>45967</v>
      </c>
      <c r="E34" s="9" t="n">
        <v>3500000</v>
      </c>
      <c r="F34" s="9" t="n">
        <v>3500000</v>
      </c>
      <c r="G34" s="9" t="n">
        <v>0</v>
      </c>
      <c r="H34" s="9" t="inlineStr">
        <is>
          <t>Công Ty</t>
        </is>
      </c>
    </row>
    <row r="35" ht="15.75" customHeight="1" s="56">
      <c r="A35" s="9" t="inlineStr">
        <is>
          <t>562/BK-2025</t>
        </is>
      </c>
      <c r="B35" s="9" t="inlineStr">
        <is>
          <t>Lê Thị Nguyệt</t>
        </is>
      </c>
      <c r="C35" s="9" t="inlineStr">
        <is>
          <t>Xác định diện tích</t>
        </is>
      </c>
      <c r="D35" s="55" t="n">
        <v>45968</v>
      </c>
      <c r="E35" s="9" t="n">
        <v>5000000</v>
      </c>
      <c r="F35" s="9" t="n">
        <v>5000000</v>
      </c>
      <c r="G35" s="9" t="n">
        <v>0</v>
      </c>
      <c r="H35" s="9" t="inlineStr">
        <is>
          <t>Công Ty</t>
        </is>
      </c>
    </row>
    <row r="36" ht="15.75" customHeight="1" s="56">
      <c r="A36" s="9" t="inlineStr">
        <is>
          <t>563-1/BK-2025</t>
        </is>
      </c>
      <c r="B36" s="9" t="inlineStr">
        <is>
          <t>Đặng Minh Hoà</t>
        </is>
      </c>
      <c r="C36" s="9" t="inlineStr">
        <is>
          <t>Tách Thửa</t>
        </is>
      </c>
      <c r="D36" s="55" t="n">
        <v>45970</v>
      </c>
      <c r="E36" s="9" t="n">
        <v>10000000</v>
      </c>
      <c r="F36" s="9" t="n">
        <v>10000000</v>
      </c>
      <c r="G36" s="9" t="n">
        <v>0</v>
      </c>
      <c r="H36" s="9" t="inlineStr">
        <is>
          <t>Chinh Đen</t>
        </is>
      </c>
    </row>
    <row r="37" ht="15.75" customHeight="1" s="56">
      <c r="A37" s="9" t="inlineStr">
        <is>
          <t>563-2/BK-2025</t>
        </is>
      </c>
      <c r="B37" s="9" t="inlineStr">
        <is>
          <t>Đặng Minh Hoà</t>
        </is>
      </c>
      <c r="C37" s="9" t="inlineStr">
        <is>
          <t>Tách Thửa</t>
        </is>
      </c>
      <c r="D37" s="55" t="n">
        <v>45970</v>
      </c>
      <c r="E37" s="9" t="n">
        <v>10000000</v>
      </c>
      <c r="F37" s="9" t="n">
        <v>10000000</v>
      </c>
      <c r="G37" s="9" t="n">
        <v>0</v>
      </c>
      <c r="H37" s="9" t="inlineStr">
        <is>
          <t>Chinh Đen</t>
        </is>
      </c>
    </row>
    <row r="38" ht="15.75" customHeight="1" s="56">
      <c r="A38" s="9" t="inlineStr">
        <is>
          <t>558-1/BK-2025</t>
        </is>
      </c>
      <c r="B38" s="9" t="inlineStr">
        <is>
          <t>Trương Yến Chi</t>
        </is>
      </c>
      <c r="C38" s="9" t="inlineStr">
        <is>
          <t>Cắm mốc</t>
        </is>
      </c>
      <c r="D38" s="55" t="n">
        <v>45970</v>
      </c>
      <c r="E38" s="9" t="n">
        <v>3000000</v>
      </c>
      <c r="F38" s="9" t="n">
        <v>3000000</v>
      </c>
      <c r="G38" s="9" t="n">
        <v>0</v>
      </c>
      <c r="H38" s="9" t="inlineStr">
        <is>
          <t>Công Ty</t>
        </is>
      </c>
    </row>
    <row r="39" ht="15.75" customHeight="1" s="56">
      <c r="A39" s="9" t="inlineStr">
        <is>
          <t>564/BK-2025</t>
        </is>
      </c>
      <c r="B39" s="9" t="inlineStr">
        <is>
          <t>Phạm Gia Minh</t>
        </is>
      </c>
      <c r="C39" s="9" t="inlineStr">
        <is>
          <t>Hoàn công</t>
        </is>
      </c>
      <c r="D39" s="55" t="n">
        <v>45970</v>
      </c>
      <c r="F39" s="9" t="n">
        <v>0</v>
      </c>
      <c r="H39" s="9" t="inlineStr">
        <is>
          <t>Anh Long PCT</t>
        </is>
      </c>
    </row>
    <row r="40" ht="15.75" customHeight="1" s="56">
      <c r="A40" s="9" t="inlineStr">
        <is>
          <t>355-1/BK-2025</t>
        </is>
      </c>
      <c r="B40" s="9" t="inlineStr">
        <is>
          <t>Nguyễn Thị Vinh</t>
        </is>
      </c>
      <c r="C40" s="9" t="inlineStr">
        <is>
          <t>Cắm mốc</t>
        </is>
      </c>
      <c r="D40" s="55" t="n">
        <v>45970</v>
      </c>
      <c r="E40" s="9" t="n">
        <v>1</v>
      </c>
      <c r="F40" s="9" t="n">
        <v>1</v>
      </c>
      <c r="G40" s="9" t="n">
        <v>0</v>
      </c>
      <c r="H40" s="9" t="inlineStr">
        <is>
          <t>Công Ty</t>
        </is>
      </c>
    </row>
    <row r="41" ht="15.75" customHeight="1" s="56">
      <c r="A41" s="9" t="inlineStr">
        <is>
          <t>565/BK-2025</t>
        </is>
      </c>
      <c r="B41" s="9" t="inlineStr">
        <is>
          <t>Hoàng Anh Tú</t>
        </is>
      </c>
      <c r="C41" s="9" t="inlineStr">
        <is>
          <t>Chuyển mục đích</t>
        </is>
      </c>
      <c r="D41" s="55" t="n">
        <v>45970</v>
      </c>
      <c r="E41" s="9" t="n">
        <v>20000000</v>
      </c>
      <c r="F41" s="9" t="n">
        <v>20000000</v>
      </c>
      <c r="G41" s="9" t="n">
        <v>0</v>
      </c>
      <c r="H41" s="9" t="inlineStr">
        <is>
          <t>Anh Long PCT</t>
        </is>
      </c>
    </row>
    <row r="42" ht="15.75" customHeight="1" s="56">
      <c r="A42" s="9" t="inlineStr">
        <is>
          <t>566/BK-2025</t>
        </is>
      </c>
      <c r="B42" s="9" t="inlineStr">
        <is>
          <t>Nguyễn Văn Phúc</t>
        </is>
      </c>
      <c r="C42" s="9" t="inlineStr">
        <is>
          <t>Cắm mốc</t>
        </is>
      </c>
      <c r="D42" s="55" t="n">
        <v>45969</v>
      </c>
      <c r="E42" s="9" t="n">
        <v>4000000</v>
      </c>
      <c r="F42" s="9" t="n">
        <v>4000000</v>
      </c>
      <c r="G42" s="9" t="n">
        <v>0</v>
      </c>
      <c r="H42" s="9" t="inlineStr">
        <is>
          <t>Công Ty</t>
        </is>
      </c>
    </row>
    <row r="43" ht="15.75" customHeight="1" s="56">
      <c r="A43" s="9" t="inlineStr">
        <is>
          <t>285-1/BK-2025</t>
        </is>
      </c>
      <c r="B43" s="9" t="inlineStr">
        <is>
          <t>Nguyễn Văn Cơ</t>
        </is>
      </c>
      <c r="C43" s="9" t="inlineStr">
        <is>
          <t>Đo GPS</t>
        </is>
      </c>
      <c r="D43" s="55" t="n">
        <v>45972</v>
      </c>
      <c r="E43" s="9" t="n">
        <v>2</v>
      </c>
      <c r="F43" s="9" t="n">
        <v>2</v>
      </c>
      <c r="G43" s="9" t="n">
        <v>0</v>
      </c>
      <c r="H43" s="9" t="inlineStr">
        <is>
          <t>Anh Minh DV HBP</t>
        </is>
      </c>
    </row>
    <row r="44" ht="15.75" customHeight="1" s="56">
      <c r="A44" s="9" t="inlineStr">
        <is>
          <t>285-2/BK-2025</t>
        </is>
      </c>
      <c r="B44" s="9" t="inlineStr">
        <is>
          <t>Nguyễn Văn Cơ</t>
        </is>
      </c>
      <c r="C44" s="9" t="inlineStr">
        <is>
          <t>Cắm mốc</t>
        </is>
      </c>
      <c r="D44" s="55" t="n">
        <v>45972</v>
      </c>
      <c r="E44" s="9" t="n">
        <v>3000000</v>
      </c>
      <c r="F44" s="9" t="n">
        <v>0</v>
      </c>
      <c r="G44" s="9" t="n">
        <v>3000000</v>
      </c>
      <c r="H44" s="9" t="inlineStr">
        <is>
          <t>Anh Minh DV HBP</t>
        </is>
      </c>
    </row>
    <row r="45" ht="15.75" customHeight="1" s="56">
      <c r="A45" s="9" t="inlineStr">
        <is>
          <t>567/BK-2025</t>
        </is>
      </c>
      <c r="B45" s="9" t="inlineStr">
        <is>
          <t>Nguyễn Thị Kim Cúc</t>
        </is>
      </c>
      <c r="C45" s="9" t="inlineStr">
        <is>
          <t>Cấp sổ lần đầu</t>
        </is>
      </c>
      <c r="D45" s="55" t="n">
        <v>45974</v>
      </c>
      <c r="E45" s="9" t="n">
        <v>10000000</v>
      </c>
      <c r="F45" s="9" t="n">
        <v>10000000</v>
      </c>
      <c r="G45" s="9" t="n">
        <v>0</v>
      </c>
      <c r="H45" s="9" t="inlineStr">
        <is>
          <t>Đạt Việt Phát Land</t>
        </is>
      </c>
    </row>
    <row r="46" ht="15.75" customHeight="1" s="56">
      <c r="A46" s="9" t="inlineStr">
        <is>
          <t>568/BK-2025</t>
        </is>
      </c>
      <c r="B46" s="9" t="inlineStr">
        <is>
          <t>Nguyễn Văn Trường</t>
        </is>
      </c>
      <c r="C46" s="9" t="inlineStr">
        <is>
          <t>Chuyển mục đích</t>
        </is>
      </c>
      <c r="D46" s="55" t="n">
        <v>45974</v>
      </c>
      <c r="E46" s="9" t="n">
        <v>9000000</v>
      </c>
      <c r="F46" s="9" t="n">
        <v>9000000</v>
      </c>
      <c r="G46" s="9" t="n">
        <v>0</v>
      </c>
      <c r="H46" s="9" t="inlineStr">
        <is>
          <t>Công Ty</t>
        </is>
      </c>
    </row>
    <row r="47" ht="15.75" customHeight="1" s="56">
      <c r="A47" s="9" t="inlineStr">
        <is>
          <t>570/BK-2025</t>
        </is>
      </c>
      <c r="B47" s="9" t="inlineStr">
        <is>
          <t>Quang Hào</t>
        </is>
      </c>
      <c r="C47" s="9" t="inlineStr">
        <is>
          <t>Cắm mốc</t>
        </is>
      </c>
      <c r="D47" s="55" t="n">
        <v>45974</v>
      </c>
      <c r="E47" s="9" t="n">
        <v>3000000</v>
      </c>
      <c r="F47" s="9" t="n">
        <v>3000000</v>
      </c>
      <c r="G47" s="9" t="n">
        <v>0</v>
      </c>
      <c r="H47" s="9" t="inlineStr">
        <is>
          <t>Công Ty</t>
        </is>
      </c>
    </row>
    <row r="48" ht="15.75" customHeight="1" s="56">
      <c r="A48" s="9" t="inlineStr">
        <is>
          <t>571/BK-2025</t>
        </is>
      </c>
      <c r="B48" s="9" t="inlineStr">
        <is>
          <t>Trần Đức Phú</t>
        </is>
      </c>
      <c r="C48" s="9" t="inlineStr">
        <is>
          <t>Xác định diện tích</t>
        </is>
      </c>
      <c r="D48" s="55" t="n">
        <v>45974</v>
      </c>
      <c r="E48" s="9" t="n">
        <v>3000000</v>
      </c>
      <c r="F48" s="9" t="n">
        <v>0</v>
      </c>
      <c r="G48" s="9" t="n">
        <v>3000000</v>
      </c>
      <c r="H48" s="9" t="inlineStr">
        <is>
          <t>Hoàng Quân</t>
        </is>
      </c>
    </row>
    <row r="49" ht="15.75" customHeight="1" s="56">
      <c r="A49" s="9" t="inlineStr">
        <is>
          <t>572/BK-2025</t>
        </is>
      </c>
      <c r="B49" s="9" t="inlineStr">
        <is>
          <t>Trần Quang Vinh</t>
        </is>
      </c>
      <c r="C49" s="9" t="inlineStr">
        <is>
          <t>Xác định diện tích</t>
        </is>
      </c>
      <c r="D49" s="55" t="n">
        <v>45974</v>
      </c>
      <c r="E49" s="9" t="n">
        <v>3000000</v>
      </c>
      <c r="F49" s="9" t="n">
        <v>0</v>
      </c>
      <c r="G49" s="9" t="n">
        <v>3000000</v>
      </c>
      <c r="H49" s="9" t="inlineStr">
        <is>
          <t>Hoàng Quân</t>
        </is>
      </c>
    </row>
    <row r="50" ht="15.75" customHeight="1" s="56">
      <c r="A50" s="9" t="inlineStr">
        <is>
          <t>573/BK-2025</t>
        </is>
      </c>
      <c r="B50" s="9" t="inlineStr">
        <is>
          <t>Trần Đức Phú</t>
        </is>
      </c>
      <c r="C50" s="9" t="inlineStr">
        <is>
          <t>Xác định diện tích</t>
        </is>
      </c>
      <c r="D50" s="55" t="n">
        <v>45974</v>
      </c>
      <c r="E50" s="9" t="n">
        <v>3000000</v>
      </c>
      <c r="F50" s="9" t="n">
        <v>0</v>
      </c>
      <c r="G50" s="9" t="n">
        <v>3000000</v>
      </c>
      <c r="H50" s="9" t="inlineStr">
        <is>
          <t>Hoàng Quân</t>
        </is>
      </c>
    </row>
    <row r="51" ht="15.75" customHeight="1" s="56">
      <c r="A51" s="9" t="inlineStr">
        <is>
          <t>574/BK-2025</t>
        </is>
      </c>
      <c r="B51" s="9" t="inlineStr">
        <is>
          <t>Nguyễn Thị Quỳnh Lan</t>
        </is>
      </c>
      <c r="C51" s="9" t="inlineStr">
        <is>
          <t>Cấp đổi</t>
        </is>
      </c>
      <c r="D51" s="55" t="n">
        <v>45975</v>
      </c>
      <c r="E51" s="9" t="n">
        <v>15000000</v>
      </c>
      <c r="F51" s="9" t="n">
        <v>15000000</v>
      </c>
      <c r="G51" s="9" t="n">
        <v>0</v>
      </c>
      <c r="H51" s="9" t="inlineStr">
        <is>
          <t>Công Ty</t>
        </is>
      </c>
    </row>
    <row r="52" ht="15.75" customHeight="1" s="56">
      <c r="A52" s="9" t="inlineStr">
        <is>
          <t>575/BK-2025</t>
        </is>
      </c>
      <c r="B52" s="9" t="inlineStr">
        <is>
          <t>Nguyễn Thị Huyền Vy</t>
        </is>
      </c>
      <c r="C52" s="9" t="inlineStr">
        <is>
          <t>Hoàn công</t>
        </is>
      </c>
      <c r="D52" s="55" t="n">
        <v>45975</v>
      </c>
      <c r="E52" s="9" t="n">
        <v>50000000</v>
      </c>
      <c r="F52" s="9" t="n">
        <v>3000000</v>
      </c>
      <c r="G52" s="9" t="n">
        <v>47000000</v>
      </c>
      <c r="H52" s="9" t="inlineStr">
        <is>
          <t>Tùng Mập</t>
        </is>
      </c>
    </row>
    <row r="53" ht="15.75" customHeight="1" s="56">
      <c r="A53" s="9" t="inlineStr">
        <is>
          <t>576/BK-2025</t>
        </is>
      </c>
      <c r="B53" s="9" t="inlineStr">
        <is>
          <t>Bùi Ngọc Minh</t>
        </is>
      </c>
      <c r="C53" s="9" t="inlineStr">
        <is>
          <t>Cấp đổi</t>
        </is>
      </c>
      <c r="D53" s="55" t="n">
        <v>45976</v>
      </c>
      <c r="E53" s="9" t="n">
        <v>5000000</v>
      </c>
      <c r="F53" s="9" t="n">
        <v>5000000</v>
      </c>
      <c r="G53" s="9" t="n">
        <v>0</v>
      </c>
      <c r="H53" s="9" t="inlineStr">
        <is>
          <t>Công Ty</t>
        </is>
      </c>
    </row>
    <row r="54" ht="15.75" customHeight="1" s="56">
      <c r="A54" s="9" t="inlineStr">
        <is>
          <t>577/BK-2025</t>
        </is>
      </c>
      <c r="B54" s="9" t="inlineStr">
        <is>
          <t>Nguyễn Bảo Trị</t>
        </is>
      </c>
      <c r="C54" s="9" t="inlineStr">
        <is>
          <t>Hoàn công</t>
        </is>
      </c>
      <c r="D54" s="55" t="n">
        <v>45977</v>
      </c>
      <c r="E54" s="9" t="n">
        <v>70000000</v>
      </c>
      <c r="F54" s="9" t="n">
        <v>9000000</v>
      </c>
      <c r="G54" s="9" t="n">
        <v>61000000</v>
      </c>
      <c r="H54" s="9" t="inlineStr">
        <is>
          <t>Tùng Mập</t>
        </is>
      </c>
    </row>
    <row r="55" ht="15.75" customHeight="1" s="56">
      <c r="A55" s="9" t="inlineStr">
        <is>
          <t>578/BK-2025</t>
        </is>
      </c>
      <c r="B55" s="9" t="inlineStr">
        <is>
          <t>Nguyễn Văn Sơn</t>
        </is>
      </c>
      <c r="C55" s="9" t="inlineStr">
        <is>
          <t>Cấp đổi</t>
        </is>
      </c>
      <c r="D55" s="55" t="n">
        <v>45975</v>
      </c>
      <c r="E55" s="9" t="n">
        <v>80000000</v>
      </c>
      <c r="F55" s="9" t="n">
        <v>80000000</v>
      </c>
      <c r="G55" s="9" t="n">
        <v>0</v>
      </c>
      <c r="H55" s="9" t="inlineStr">
        <is>
          <t>Công Ty</t>
        </is>
      </c>
    </row>
    <row r="56" ht="15.75" customHeight="1" s="56">
      <c r="A56" s="9" t="inlineStr">
        <is>
          <t>579/BK-2025</t>
        </is>
      </c>
      <c r="B56" s="9" t="inlineStr">
        <is>
          <t>Bùi Văn Hoàng</t>
        </is>
      </c>
      <c r="C56" s="9" t="inlineStr">
        <is>
          <t>Cấp đổi</t>
        </is>
      </c>
      <c r="D56" s="55" t="n">
        <v>45978</v>
      </c>
      <c r="E56" s="9" t="n">
        <v>35000000</v>
      </c>
      <c r="F56" s="9" t="n">
        <v>35000000</v>
      </c>
      <c r="G56" s="9" t="n">
        <v>0</v>
      </c>
      <c r="H56" s="9" t="inlineStr">
        <is>
          <t>Anh Hoàng Nhà Đầu Tư</t>
        </is>
      </c>
    </row>
    <row r="57" ht="15.75" customHeight="1" s="56">
      <c r="A57" s="9" t="inlineStr">
        <is>
          <t>582/BK-2025</t>
        </is>
      </c>
      <c r="B57" s="9" t="inlineStr">
        <is>
          <t>Nguyễn Trọng Khoa</t>
        </is>
      </c>
      <c r="C57" s="9" t="inlineStr">
        <is>
          <t>Cấp đổi</t>
        </is>
      </c>
      <c r="D57" s="55" t="n">
        <v>45978</v>
      </c>
      <c r="F57" s="9" t="n">
        <v>0</v>
      </c>
      <c r="H57" s="9" t="inlineStr">
        <is>
          <t>Cô Hoa</t>
        </is>
      </c>
    </row>
    <row r="58" ht="15.75" customHeight="1" s="56">
      <c r="A58" s="9" t="inlineStr">
        <is>
          <t>583/BK-2025</t>
        </is>
      </c>
      <c r="B58" s="9" t="inlineStr">
        <is>
          <t>Trần Tuấn Anh</t>
        </is>
      </c>
      <c r="C58" s="9" t="inlineStr">
        <is>
          <t>Cấp đổi</t>
        </is>
      </c>
      <c r="D58" s="55" t="n">
        <v>45978</v>
      </c>
      <c r="F58" s="9" t="n">
        <v>0</v>
      </c>
      <c r="H58" s="9" t="inlineStr">
        <is>
          <t>Cô Hoa</t>
        </is>
      </c>
    </row>
    <row r="59" ht="15.75" customHeight="1" s="56">
      <c r="A59" s="9" t="inlineStr">
        <is>
          <t>579-1/BK-2025</t>
        </is>
      </c>
      <c r="B59" s="9" t="inlineStr">
        <is>
          <t>Bùi Văn Hoàng</t>
        </is>
      </c>
      <c r="C59" s="9" t="inlineStr">
        <is>
          <t>Cắm mốc</t>
        </is>
      </c>
      <c r="D59" s="55" t="n">
        <v>45982</v>
      </c>
      <c r="E59" s="9" t="n">
        <v>3000000</v>
      </c>
      <c r="F59" s="9" t="n">
        <v>3000000</v>
      </c>
      <c r="G59" s="9" t="n">
        <v>0</v>
      </c>
      <c r="H59" s="9" t="inlineStr">
        <is>
          <t>Anh Hoàng Nhà Đầu Tư</t>
        </is>
      </c>
    </row>
    <row r="60" ht="15.75" customHeight="1" s="56">
      <c r="A60" s="9" t="inlineStr">
        <is>
          <t>580-1/BK-2025</t>
        </is>
      </c>
      <c r="B60" s="9" t="inlineStr">
        <is>
          <t>Bùi Văn Hoàng</t>
        </is>
      </c>
      <c r="C60" s="9" t="inlineStr">
        <is>
          <t>Cắm mốc</t>
        </is>
      </c>
      <c r="D60" s="55" t="n">
        <v>45982</v>
      </c>
      <c r="E60" s="9" t="n">
        <v>3000000</v>
      </c>
      <c r="F60" s="9" t="n">
        <v>3000000</v>
      </c>
      <c r="G60" s="9" t="n">
        <v>0</v>
      </c>
      <c r="H60" s="9" t="inlineStr">
        <is>
          <t>Anh Hoàng Nhà Đầu Tư</t>
        </is>
      </c>
    </row>
    <row r="61" ht="15.75" customHeight="1" s="56">
      <c r="A61" s="9" t="inlineStr">
        <is>
          <t>584/BK-2025</t>
        </is>
      </c>
      <c r="B61" s="9" t="inlineStr">
        <is>
          <t>Nguyễn Thị Nhàn</t>
        </is>
      </c>
      <c r="C61" s="9" t="inlineStr">
        <is>
          <t>Cấp sổ lần đầu</t>
        </is>
      </c>
      <c r="D61" s="55" t="n">
        <v>45982</v>
      </c>
      <c r="E61" s="9" t="n">
        <v>12000000</v>
      </c>
      <c r="F61" s="9" t="n">
        <v>12000000</v>
      </c>
      <c r="G61" s="9" t="n">
        <v>0</v>
      </c>
      <c r="H61" s="9" t="inlineStr">
        <is>
          <t>Công Ty</t>
        </is>
      </c>
    </row>
    <row r="62" ht="15.75" customHeight="1" s="56">
      <c r="A62" s="9" t="inlineStr">
        <is>
          <t>585/BK-2025</t>
        </is>
      </c>
      <c r="B62" s="9" t="inlineStr">
        <is>
          <t>Nguyễn Thị Chữ</t>
        </is>
      </c>
      <c r="C62" s="9" t="inlineStr">
        <is>
          <t>Hoàn công</t>
        </is>
      </c>
      <c r="D62" s="55" t="n">
        <v>45982</v>
      </c>
      <c r="F62" s="9" t="n">
        <v>0</v>
      </c>
      <c r="H62" s="9" t="inlineStr">
        <is>
          <t>Công Ty</t>
        </is>
      </c>
    </row>
    <row r="63" ht="15.75" customHeight="1" s="56">
      <c r="A63" s="9" t="inlineStr">
        <is>
          <t>565-DC/BK-2025</t>
        </is>
      </c>
      <c r="B63" s="9" t="inlineStr">
        <is>
          <t>Hoàng Anh Tú</t>
        </is>
      </c>
      <c r="C63" s="9" t="inlineStr">
        <is>
          <t>Điều chỉnh bản vẽ</t>
        </is>
      </c>
      <c r="D63" s="55" t="n">
        <v>45983</v>
      </c>
      <c r="E63" s="9" t="n">
        <v>3000000</v>
      </c>
      <c r="F63" s="9" t="n">
        <v>3000000</v>
      </c>
      <c r="G63" s="9" t="n">
        <v>0</v>
      </c>
      <c r="H63" s="9" t="inlineStr">
        <is>
          <t>Anh Long PCT</t>
        </is>
      </c>
    </row>
    <row r="64" ht="15.75" customHeight="1" s="56">
      <c r="A64" s="9" t="inlineStr">
        <is>
          <t>586/BK-2025</t>
        </is>
      </c>
      <c r="B64" s="9" t="inlineStr">
        <is>
          <t>Thái Hội Hiền</t>
        </is>
      </c>
      <c r="C64" s="9" t="inlineStr">
        <is>
          <t>Cấp đổi</t>
        </is>
      </c>
      <c r="D64" s="55" t="n">
        <v>45983</v>
      </c>
      <c r="E64" s="9" t="n">
        <v>41000000</v>
      </c>
      <c r="F64" s="9" t="n">
        <v>41000000</v>
      </c>
      <c r="G64" s="9" t="n">
        <v>0</v>
      </c>
      <c r="H64" s="9" t="inlineStr">
        <is>
          <t>Công Ty</t>
        </is>
      </c>
    </row>
    <row r="65" ht="15.75" customHeight="1" s="56">
      <c r="A65" s="9" t="inlineStr">
        <is>
          <t>587/BK-2025</t>
        </is>
      </c>
      <c r="B65" s="9" t="inlineStr">
        <is>
          <t>Vũ Xuân Thao</t>
        </is>
      </c>
      <c r="C65" s="9" t="inlineStr">
        <is>
          <t>Hoàn công</t>
        </is>
      </c>
      <c r="D65" s="55" t="n">
        <v>45983</v>
      </c>
      <c r="E65" s="9" t="n">
        <v>8000000</v>
      </c>
      <c r="F65" s="9" t="n">
        <v>8000000</v>
      </c>
      <c r="G65" s="9" t="n">
        <v>0</v>
      </c>
      <c r="H65" s="9" t="inlineStr">
        <is>
          <t>Tuấn Lộc</t>
        </is>
      </c>
    </row>
    <row r="66" ht="15.75" customHeight="1" s="56">
      <c r="A66" s="9" t="inlineStr">
        <is>
          <t>588-1/BK-2025</t>
        </is>
      </c>
      <c r="B66" s="9" t="inlineStr">
        <is>
          <t>Nguyễn Thanh Hải-Nguyễn Thị Bé Năm</t>
        </is>
      </c>
      <c r="C66" s="9" t="inlineStr">
        <is>
          <t>Tách Thửa</t>
        </is>
      </c>
      <c r="D66" s="55" t="n">
        <v>45984</v>
      </c>
      <c r="E66" s="9" t="n">
        <v>8000000</v>
      </c>
      <c r="F66" s="9" t="n">
        <v>8000000</v>
      </c>
      <c r="G66" s="9" t="n">
        <v>0</v>
      </c>
      <c r="H66" s="9" t="inlineStr">
        <is>
          <t>Chị Xuân DV</t>
        </is>
      </c>
    </row>
    <row r="67" ht="15.75" customHeight="1" s="56">
      <c r="A67" s="9" t="inlineStr">
        <is>
          <t>588-2/BK-2025</t>
        </is>
      </c>
      <c r="B67" s="9" t="inlineStr">
        <is>
          <t>Nguyễn Thanh Hải-Nguyễn Thị Bé Năm</t>
        </is>
      </c>
      <c r="C67" s="9" t="inlineStr">
        <is>
          <t>Tách Thửa</t>
        </is>
      </c>
      <c r="D67" s="55" t="n">
        <v>45984</v>
      </c>
      <c r="E67" s="9" t="n">
        <v>8000000</v>
      </c>
      <c r="F67" s="9" t="n">
        <v>8000000</v>
      </c>
      <c r="G67" s="9" t="n">
        <v>0</v>
      </c>
      <c r="H67" s="9" t="inlineStr">
        <is>
          <t>Chị Xuân DV</t>
        </is>
      </c>
    </row>
    <row r="68" ht="15.75" customHeight="1" s="56">
      <c r="A68" s="9" t="inlineStr">
        <is>
          <t>588-3/BK-2025</t>
        </is>
      </c>
      <c r="B68" s="9" t="inlineStr">
        <is>
          <t>Nguyễn Thanh Hải-Nguyễn Thị Bé Năm</t>
        </is>
      </c>
      <c r="C68" s="9" t="inlineStr">
        <is>
          <t>Tách Thửa</t>
        </is>
      </c>
      <c r="D68" s="55" t="n">
        <v>45984</v>
      </c>
      <c r="E68" s="9" t="n">
        <v>8000000</v>
      </c>
      <c r="F68" s="9" t="n">
        <v>8000000</v>
      </c>
      <c r="G68" s="9" t="n">
        <v>0</v>
      </c>
      <c r="H68" s="9" t="inlineStr">
        <is>
          <t>Chị Xuân DV</t>
        </is>
      </c>
    </row>
    <row r="69" ht="15.75" customHeight="1" s="56">
      <c r="A69" s="9" t="inlineStr">
        <is>
          <t>589/BK-2025</t>
        </is>
      </c>
      <c r="B69" s="9" t="inlineStr">
        <is>
          <t>Nguyễn Thị Thanh Tâm</t>
        </is>
      </c>
      <c r="C69" s="9" t="inlineStr">
        <is>
          <t>Hoàn công</t>
        </is>
      </c>
      <c r="D69" s="55" t="n">
        <v>45984</v>
      </c>
      <c r="E69" s="9" t="n">
        <v>35000000</v>
      </c>
      <c r="F69" s="9" t="n">
        <v>35000000</v>
      </c>
      <c r="G69" s="9" t="n">
        <v>0</v>
      </c>
      <c r="H69" s="9" t="inlineStr">
        <is>
          <t>Anh Long PCT</t>
        </is>
      </c>
    </row>
    <row r="70" ht="15.75" customHeight="1" s="56">
      <c r="A70" s="9" t="inlineStr">
        <is>
          <t>590/BK-2025</t>
        </is>
      </c>
      <c r="B70" s="9" t="inlineStr">
        <is>
          <t>Trần Đức Cường</t>
        </is>
      </c>
      <c r="C70" s="9" t="inlineStr">
        <is>
          <t>Cắm mốc</t>
        </is>
      </c>
      <c r="D70" s="55" t="n">
        <v>45986</v>
      </c>
      <c r="E70" s="9" t="n">
        <v>3000000</v>
      </c>
      <c r="F70" s="9" t="n">
        <v>3000000</v>
      </c>
      <c r="G70" s="9" t="n">
        <v>0</v>
      </c>
      <c r="H70" s="9" t="inlineStr">
        <is>
          <t>Anh Chiến KTS</t>
        </is>
      </c>
    </row>
    <row r="71" ht="15.75" customHeight="1" s="56">
      <c r="A71" s="9" t="inlineStr">
        <is>
          <t>591/BK-2025</t>
        </is>
      </c>
      <c r="B71" s="9" t="inlineStr">
        <is>
          <t>Phạm Thị Vân</t>
        </is>
      </c>
      <c r="C71" s="9" t="inlineStr">
        <is>
          <t>Cấp đổi</t>
        </is>
      </c>
      <c r="D71" s="55" t="n">
        <v>45986</v>
      </c>
      <c r="F71" s="9" t="n">
        <v>0</v>
      </c>
      <c r="H71" s="9" t="inlineStr">
        <is>
          <t>Tùng Huế DV</t>
        </is>
      </c>
    </row>
    <row r="72" ht="15.75" customHeight="1" s="56">
      <c r="A72" s="9" t="inlineStr">
        <is>
          <t>592/BK-2025</t>
        </is>
      </c>
      <c r="B72" s="9" t="inlineStr">
        <is>
          <t>Nguyễn Thị Đẹp</t>
        </is>
      </c>
      <c r="C72" s="9" t="inlineStr">
        <is>
          <t>Cấp sổ lần đầu</t>
        </is>
      </c>
      <c r="D72" s="55" t="n">
        <v>45989</v>
      </c>
      <c r="E72" s="9" t="n">
        <v>9000000</v>
      </c>
      <c r="F72" s="9" t="n">
        <v>9000000</v>
      </c>
      <c r="G72" s="9" t="n">
        <v>0</v>
      </c>
      <c r="H72" s="9" t="inlineStr">
        <is>
          <t>Anh Long PCT</t>
        </is>
      </c>
    </row>
    <row r="73" ht="15.75" customHeight="1" s="56">
      <c r="A73" s="9" t="inlineStr">
        <is>
          <t>593/BK-2025</t>
        </is>
      </c>
      <c r="B73" s="9" t="inlineStr">
        <is>
          <t>Nguyễn Thị À</t>
        </is>
      </c>
      <c r="C73" s="9" t="inlineStr">
        <is>
          <t>Cấp sổ lần đầu</t>
        </is>
      </c>
      <c r="D73" s="55" t="n">
        <v>45989</v>
      </c>
      <c r="E73" s="9" t="n">
        <v>9000000</v>
      </c>
      <c r="F73" s="9" t="n">
        <v>9000000</v>
      </c>
      <c r="G73" s="9" t="n">
        <v>0</v>
      </c>
      <c r="H73" s="9" t="inlineStr">
        <is>
          <t>Anh Long PCT</t>
        </is>
      </c>
    </row>
    <row r="74" ht="15.75" customHeight="1" s="56">
      <c r="A74" s="9" t="inlineStr">
        <is>
          <t>594/BK-2025</t>
        </is>
      </c>
      <c r="B74" s="9" t="inlineStr">
        <is>
          <t>Nguyễn Hồng Xuân</t>
        </is>
      </c>
      <c r="C74" s="9" t="inlineStr">
        <is>
          <t>Cấp đổi</t>
        </is>
      </c>
      <c r="D74" s="55" t="n">
        <v>45989</v>
      </c>
      <c r="E74" s="9" t="n">
        <v>1</v>
      </c>
      <c r="F74" s="9" t="n">
        <v>0</v>
      </c>
      <c r="G74" s="9" t="n">
        <v>1</v>
      </c>
      <c r="H74" s="9" t="inlineStr">
        <is>
          <t>Nguyễn Hương DV</t>
        </is>
      </c>
    </row>
    <row r="75" ht="15.75" customHeight="1" s="56">
      <c r="A75" s="9" t="inlineStr">
        <is>
          <t>595/BK-2025</t>
        </is>
      </c>
      <c r="B75" s="9" t="inlineStr">
        <is>
          <t>Nguyễn Mạnh Hùng-Nguyễn Trần Huyền Trang</t>
        </is>
      </c>
      <c r="C75" s="9" t="inlineStr">
        <is>
          <t>Cấp đổi</t>
        </is>
      </c>
      <c r="D75" s="55" t="n">
        <v>45990</v>
      </c>
      <c r="E75" s="9" t="n">
        <v>12000000</v>
      </c>
      <c r="F75" s="9" t="n">
        <v>10000000</v>
      </c>
      <c r="G75" s="9" t="n">
        <v>2000000</v>
      </c>
      <c r="H75" s="9" t="inlineStr">
        <is>
          <t>Nguyễn Hương DV</t>
        </is>
      </c>
    </row>
    <row r="76" ht="15.75" customHeight="1" s="56">
      <c r="A76" s="9" t="inlineStr">
        <is>
          <t>596/BK-2025</t>
        </is>
      </c>
      <c r="B76" s="9" t="inlineStr">
        <is>
          <t>Nguyễn Mạnh Hùng-Nguyễn Trần Huyền Trang</t>
        </is>
      </c>
      <c r="C76" s="9" t="inlineStr">
        <is>
          <t>Cấp đổi</t>
        </is>
      </c>
      <c r="D76" s="55" t="n">
        <v>45990</v>
      </c>
      <c r="E76" s="9" t="n">
        <v>12000000</v>
      </c>
      <c r="F76" s="9" t="n">
        <v>10000000</v>
      </c>
      <c r="G76" s="9" t="n">
        <v>2000000</v>
      </c>
      <c r="H76" s="9" t="inlineStr">
        <is>
          <t>Nguyễn Hương DV</t>
        </is>
      </c>
    </row>
    <row r="77" ht="15.75" customHeight="1" s="56">
      <c r="A77" s="9" t="inlineStr">
        <is>
          <t>597/BK-2025</t>
        </is>
      </c>
      <c r="B77" s="9" t="inlineStr">
        <is>
          <t>Trần Thuỳ Giang</t>
        </is>
      </c>
      <c r="C77" s="9" t="inlineStr">
        <is>
          <t>Cấp đổi</t>
        </is>
      </c>
      <c r="D77" s="55" t="n">
        <v>45990</v>
      </c>
      <c r="E77" s="9" t="n">
        <v>40000000</v>
      </c>
      <c r="F77" s="9" t="n">
        <v>40000000</v>
      </c>
      <c r="G77" s="9" t="n">
        <v>0</v>
      </c>
      <c r="H77" s="9" t="inlineStr">
        <is>
          <t>Công Ty</t>
        </is>
      </c>
    </row>
    <row r="78" ht="15.75" customHeight="1" s="56">
      <c r="A78" s="9" t="inlineStr">
        <is>
          <t>598/BK-2025</t>
        </is>
      </c>
      <c r="B78" s="9" t="inlineStr">
        <is>
          <t>Trần Văn Quang</t>
        </is>
      </c>
      <c r="C78" s="9" t="inlineStr">
        <is>
          <t>Cắm mốc</t>
        </is>
      </c>
      <c r="D78" s="55" t="n">
        <v>45991</v>
      </c>
      <c r="E78" s="9" t="n">
        <v>2500000</v>
      </c>
      <c r="F78" s="9" t="n">
        <v>2500000</v>
      </c>
      <c r="G78" s="9" t="n">
        <v>0</v>
      </c>
      <c r="H78" s="9" t="inlineStr">
        <is>
          <t>Tuấn Lộc</t>
        </is>
      </c>
    </row>
    <row r="79" ht="15.75" customHeight="1" s="56">
      <c r="A79" s="9" t="inlineStr">
        <is>
          <t>599/BK-2025</t>
        </is>
      </c>
      <c r="B79" s="9" t="inlineStr">
        <is>
          <t>Nguyễn Phạm Hoài Vy</t>
        </is>
      </c>
      <c r="C79" s="9" t="inlineStr">
        <is>
          <t>Xác định diện tích</t>
        </is>
      </c>
      <c r="D79" s="55" t="n">
        <v>45991</v>
      </c>
      <c r="E79" s="9" t="n">
        <v>1</v>
      </c>
      <c r="F79" s="9" t="n">
        <v>1</v>
      </c>
      <c r="G79" s="9" t="n">
        <v>0</v>
      </c>
      <c r="H79" s="9" t="inlineStr">
        <is>
          <t>Anh Long PCT</t>
        </is>
      </c>
    </row>
    <row r="80" ht="15.75" customHeight="1" s="56">
      <c r="A80" s="9" t="inlineStr">
        <is>
          <t>600/BK-2025</t>
        </is>
      </c>
      <c r="B80" s="9" t="inlineStr">
        <is>
          <t>Phan Thị Tố Như</t>
        </is>
      </c>
      <c r="C80" s="9" t="inlineStr">
        <is>
          <t>Xác định diện tích</t>
        </is>
      </c>
      <c r="D80" s="55" t="n">
        <v>45991</v>
      </c>
      <c r="E80" s="9" t="n">
        <v>1</v>
      </c>
      <c r="F80" s="9" t="n">
        <v>1</v>
      </c>
      <c r="G80" s="9" t="n">
        <v>0</v>
      </c>
      <c r="H80" s="9" t="inlineStr">
        <is>
          <t>Anh Long PCT</t>
        </is>
      </c>
    </row>
    <row r="81" ht="15.75" customHeight="1" s="56">
      <c r="A81" s="9" t="inlineStr">
        <is>
          <t>400-DC-1/BK-2025</t>
        </is>
      </c>
      <c r="B81" s="9" t="inlineStr">
        <is>
          <t>Nguyễn Nhật Bằng</t>
        </is>
      </c>
      <c r="C81" s="9" t="inlineStr">
        <is>
          <t>Điều chỉnh bản vẽ</t>
        </is>
      </c>
      <c r="D81" s="55" t="n">
        <v>45991</v>
      </c>
      <c r="E81" s="9" t="n">
        <v>10000000</v>
      </c>
      <c r="F81" s="9" t="n">
        <v>10000000</v>
      </c>
      <c r="G81" s="9" t="n">
        <v>0</v>
      </c>
      <c r="H81" s="9" t="inlineStr">
        <is>
          <t>Công Ty</t>
        </is>
      </c>
    </row>
    <row r="82" ht="15.75" customHeight="1" s="56">
      <c r="A82" s="9" t="inlineStr">
        <is>
          <t>595-1/BK-2025</t>
        </is>
      </c>
      <c r="B82" s="9" t="inlineStr">
        <is>
          <t>Nguyễn Mạnh Hùng-Nguyễn Trần Huyền Trang</t>
        </is>
      </c>
      <c r="C82" s="9" t="inlineStr">
        <is>
          <t>Cắm mốc</t>
        </is>
      </c>
      <c r="D82" s="55" t="n">
        <v>45991</v>
      </c>
      <c r="E82" s="9" t="n">
        <v>3000000</v>
      </c>
      <c r="F82" s="9" t="n">
        <v>0</v>
      </c>
      <c r="G82" s="9" t="n">
        <v>3000000</v>
      </c>
      <c r="H82" s="9" t="inlineStr">
        <is>
          <t>Nguyễn Hương DV</t>
        </is>
      </c>
    </row>
    <row r="83" ht="15.75" customHeight="1" s="56">
      <c r="A83" s="9" t="inlineStr">
        <is>
          <t>601/BK-2025</t>
        </is>
      </c>
      <c r="B83" s="9" t="inlineStr">
        <is>
          <t>Vương Thị Minh</t>
        </is>
      </c>
      <c r="C83" s="9" t="inlineStr">
        <is>
          <t>Cấp đổi</t>
        </is>
      </c>
      <c r="D83" s="55" t="n">
        <v>45991</v>
      </c>
      <c r="E83" s="9" t="n">
        <v>85000000</v>
      </c>
      <c r="F83" s="9" t="n">
        <v>20000000</v>
      </c>
      <c r="G83" s="9" t="n">
        <v>65000000</v>
      </c>
      <c r="H83" s="9" t="inlineStr">
        <is>
          <t>Công Ty</t>
        </is>
      </c>
    </row>
    <row r="84" ht="15.75" customHeight="1" s="56">
      <c r="A84" s="9" t="inlineStr">
        <is>
          <t>602/BK-2025</t>
        </is>
      </c>
      <c r="B84" s="9" t="inlineStr">
        <is>
          <t>Vũ Quang Tịnh</t>
        </is>
      </c>
      <c r="C84" s="9" t="inlineStr">
        <is>
          <t>Cấp đổi</t>
        </is>
      </c>
      <c r="D84" s="55" t="n">
        <v>45991</v>
      </c>
      <c r="E84" s="9" t="n">
        <v>9000000</v>
      </c>
      <c r="F84" s="9" t="n">
        <v>9000000</v>
      </c>
      <c r="G84" s="9" t="n">
        <v>0</v>
      </c>
      <c r="H84" s="9" t="inlineStr">
        <is>
          <t>Công Ty</t>
        </is>
      </c>
    </row>
    <row r="85" ht="15.75" customHeight="1" s="56">
      <c r="A85" s="9" t="inlineStr">
        <is>
          <t>384-DC/BK-2025</t>
        </is>
      </c>
      <c r="B85" s="9" t="inlineStr">
        <is>
          <t>Lâm Văn Thanh</t>
        </is>
      </c>
      <c r="C85" s="9" t="inlineStr">
        <is>
          <t>Điều chỉnh bản vẽ</t>
        </is>
      </c>
      <c r="D85" s="55" t="n">
        <v>45992</v>
      </c>
      <c r="E85" s="9" t="n">
        <v>6000000</v>
      </c>
      <c r="F85" s="9" t="n">
        <v>6000000</v>
      </c>
      <c r="G85" s="9" t="n">
        <v>0</v>
      </c>
      <c r="H85" s="9" t="inlineStr">
        <is>
          <t>Công Ty</t>
        </is>
      </c>
    </row>
    <row r="86" ht="15.75" customHeight="1" s="56">
      <c r="A86" s="9" t="inlineStr">
        <is>
          <t>458-1/BK-2025</t>
        </is>
      </c>
      <c r="B86" s="9" t="inlineStr">
        <is>
          <t>Trần Quang Vinh</t>
        </is>
      </c>
      <c r="C86" s="9" t="inlineStr">
        <is>
          <t>Cắm mốc</t>
        </is>
      </c>
      <c r="D86" s="55" t="n">
        <v>45992</v>
      </c>
      <c r="E86" s="9" t="n">
        <v>3000000</v>
      </c>
      <c r="F86" s="9" t="n">
        <v>0</v>
      </c>
      <c r="G86" s="9" t="n">
        <v>3000000</v>
      </c>
      <c r="H86" s="9" t="inlineStr">
        <is>
          <t>Hoàng Quân</t>
        </is>
      </c>
    </row>
    <row r="87" ht="15.75" customHeight="1" s="56">
      <c r="A87" s="9" t="inlineStr">
        <is>
          <t>603/BK-2025</t>
        </is>
      </c>
      <c r="B87" s="9" t="inlineStr">
        <is>
          <t>Trần Đức Phú</t>
        </is>
      </c>
      <c r="C87" s="9" t="inlineStr">
        <is>
          <t>Cấp đổi</t>
        </is>
      </c>
      <c r="D87" s="55" t="n">
        <v>45992</v>
      </c>
      <c r="E87" s="9" t="n">
        <v>20000000</v>
      </c>
      <c r="F87" s="9" t="n">
        <v>0</v>
      </c>
      <c r="G87" s="9" t="n">
        <v>20000000</v>
      </c>
      <c r="H87" s="9" t="inlineStr">
        <is>
          <t>Hoàng Quân</t>
        </is>
      </c>
    </row>
    <row r="88" ht="15.75" customHeight="1" s="56">
      <c r="A88" s="9" t="inlineStr">
        <is>
          <t>603-1/BK-2025</t>
        </is>
      </c>
      <c r="B88" s="9" t="inlineStr">
        <is>
          <t>Trần Đức Phú</t>
        </is>
      </c>
      <c r="C88" s="9" t="inlineStr">
        <is>
          <t>Cắm mốc</t>
        </is>
      </c>
      <c r="D88" s="55" t="n">
        <v>45992</v>
      </c>
      <c r="E88" s="9" t="n">
        <v>3000000</v>
      </c>
      <c r="F88" s="9" t="n">
        <v>0</v>
      </c>
      <c r="G88" s="9" t="n">
        <v>3000000</v>
      </c>
      <c r="H88" s="9" t="inlineStr">
        <is>
          <t>Hoàng Quân</t>
        </is>
      </c>
    </row>
    <row r="89" ht="15.75" customHeight="1" s="56">
      <c r="A89" s="9" t="inlineStr">
        <is>
          <t>603-2/BK-2025</t>
        </is>
      </c>
      <c r="B89" s="9" t="inlineStr">
        <is>
          <t>Trần Đức Phú</t>
        </is>
      </c>
      <c r="C89" s="9" t="inlineStr">
        <is>
          <t>Đo GPS</t>
        </is>
      </c>
      <c r="D89" s="55" t="n">
        <v>45992</v>
      </c>
      <c r="F89" s="9" t="n">
        <v>0</v>
      </c>
      <c r="H89" s="9" t="inlineStr">
        <is>
          <t>Hoàng Quân</t>
        </is>
      </c>
    </row>
    <row r="90" ht="15.75" customHeight="1" s="56">
      <c r="A90" s="9" t="inlineStr">
        <is>
          <t>504-DC/BK-2025</t>
        </is>
      </c>
      <c r="B90" s="9" t="inlineStr">
        <is>
          <t>Trần Thị Ngọc Dung</t>
        </is>
      </c>
      <c r="C90" s="9" t="inlineStr">
        <is>
          <t>Điều chỉnh bản vẽ</t>
        </is>
      </c>
      <c r="D90" s="55" t="n">
        <v>45992</v>
      </c>
      <c r="E90" s="9" t="n">
        <v>1</v>
      </c>
      <c r="F90" s="9" t="n">
        <v>1</v>
      </c>
      <c r="G90" s="9" t="n">
        <v>0</v>
      </c>
      <c r="H90" s="9" t="inlineStr">
        <is>
          <t>Cô Hoa</t>
        </is>
      </c>
    </row>
    <row r="91" ht="15.75" customHeight="1" s="56">
      <c r="A91" s="9" t="inlineStr">
        <is>
          <t>604/BK-2025</t>
        </is>
      </c>
      <c r="B91" s="9" t="inlineStr">
        <is>
          <t>Anh Lộc</t>
        </is>
      </c>
      <c r="C91" s="9" t="inlineStr">
        <is>
          <t>Kiểm tra hiện trạng</t>
        </is>
      </c>
      <c r="D91" s="55" t="n">
        <v>45992</v>
      </c>
      <c r="E91" s="9" t="n">
        <v>1</v>
      </c>
      <c r="F91" s="9" t="n">
        <v>1</v>
      </c>
      <c r="G91" s="9" t="n">
        <v>0</v>
      </c>
      <c r="H91" s="9" t="inlineStr">
        <is>
          <t>Đạt Việt Phát Land</t>
        </is>
      </c>
    </row>
    <row r="92" ht="15.75" customHeight="1" s="56">
      <c r="A92" s="9" t="inlineStr">
        <is>
          <t>526-1/BK-2025</t>
        </is>
      </c>
      <c r="B92" s="9" t="inlineStr">
        <is>
          <t>Nguyễn Khánh Lộc</t>
        </is>
      </c>
      <c r="C92" s="9" t="inlineStr">
        <is>
          <t>Cắm mốc</t>
        </is>
      </c>
      <c r="D92" s="55" t="n">
        <v>45992</v>
      </c>
      <c r="E92" s="9" t="n">
        <v>3000000</v>
      </c>
      <c r="F92" s="9" t="n">
        <v>0</v>
      </c>
      <c r="G92" s="9" t="n">
        <v>3000000</v>
      </c>
      <c r="H92" s="9" t="inlineStr">
        <is>
          <t>Nguyễn Tâm DV</t>
        </is>
      </c>
    </row>
    <row r="93" ht="15.75" customHeight="1" s="56">
      <c r="A93" s="9" t="inlineStr">
        <is>
          <t>605/BK-2025</t>
        </is>
      </c>
      <c r="B93" s="9" t="inlineStr">
        <is>
          <t>Trần Lâm</t>
        </is>
      </c>
      <c r="C93" s="9" t="inlineStr">
        <is>
          <t>Hoàn công</t>
        </is>
      </c>
      <c r="D93" s="55" t="n">
        <v>45992</v>
      </c>
      <c r="F93" s="9" t="n">
        <v>0</v>
      </c>
      <c r="H93" s="9" t="inlineStr">
        <is>
          <t>Công Ty</t>
        </is>
      </c>
    </row>
    <row r="94" ht="15.75" customHeight="1" s="56">
      <c r="A94" s="9" t="inlineStr">
        <is>
          <t>607/BK-2025</t>
        </is>
      </c>
      <c r="B94" s="9" t="inlineStr">
        <is>
          <t>Phan Văn Truyền-Nguyễn Thị Quy</t>
        </is>
      </c>
      <c r="C94" s="9" t="inlineStr">
        <is>
          <t>Hoàn công</t>
        </is>
      </c>
      <c r="D94" s="55" t="n">
        <v>45993</v>
      </c>
      <c r="E94" s="9" t="n">
        <v>1</v>
      </c>
      <c r="F94" s="9" t="n">
        <v>1</v>
      </c>
      <c r="G94" s="9" t="n">
        <v>0</v>
      </c>
      <c r="H94" s="9" t="inlineStr">
        <is>
          <t>Đạt Việt Phát Land</t>
        </is>
      </c>
    </row>
    <row r="95" ht="15.75" customHeight="1" s="56">
      <c r="A95" s="9" t="inlineStr">
        <is>
          <t>608/BK-2025</t>
        </is>
      </c>
      <c r="B95" s="9" t="inlineStr">
        <is>
          <t>Trần Quang Vinh</t>
        </is>
      </c>
      <c r="C95" s="9" t="inlineStr">
        <is>
          <t>Cấp đổi</t>
        </is>
      </c>
      <c r="D95" s="55" t="n">
        <v>45993</v>
      </c>
      <c r="E95" s="9" t="n">
        <v>15000000</v>
      </c>
      <c r="F95" s="9" t="n">
        <v>0</v>
      </c>
      <c r="G95" s="9" t="n">
        <v>15000000</v>
      </c>
      <c r="H95" s="9" t="inlineStr">
        <is>
          <t>Hoàng Quân</t>
        </is>
      </c>
    </row>
    <row r="96" ht="15.75" customHeight="1" s="56">
      <c r="A96" s="9" t="inlineStr">
        <is>
          <t>608-1/BK-2025</t>
        </is>
      </c>
      <c r="B96" s="9" t="inlineStr">
        <is>
          <t>Trần Quang Vinh</t>
        </is>
      </c>
      <c r="C96" s="9" t="inlineStr">
        <is>
          <t>Cắm mốc</t>
        </is>
      </c>
      <c r="D96" s="55" t="n">
        <v>45993</v>
      </c>
      <c r="E96" s="9" t="n">
        <v>4500000</v>
      </c>
      <c r="F96" s="9" t="n">
        <v>0</v>
      </c>
      <c r="G96" s="9" t="n">
        <v>4500000</v>
      </c>
      <c r="H96" s="9" t="inlineStr">
        <is>
          <t>Hoàng Quân</t>
        </is>
      </c>
    </row>
    <row r="97" ht="15.75" customHeight="1" s="56">
      <c r="A97" s="9" t="inlineStr">
        <is>
          <t>608-2/BK-2025</t>
        </is>
      </c>
      <c r="B97" s="9" t="inlineStr">
        <is>
          <t>Trần Quang Vinh</t>
        </is>
      </c>
      <c r="C97" s="9" t="inlineStr">
        <is>
          <t>Đo GPS</t>
        </is>
      </c>
      <c r="D97" s="55" t="n">
        <v>45993</v>
      </c>
      <c r="F97" s="9" t="n">
        <v>0</v>
      </c>
      <c r="H97" s="9" t="inlineStr">
        <is>
          <t>Hoàng Quân</t>
        </is>
      </c>
    </row>
    <row r="98" ht="15.75" customHeight="1" s="56">
      <c r="A98" s="9" t="inlineStr">
        <is>
          <t>609/BK-2025</t>
        </is>
      </c>
      <c r="B98" s="9" t="inlineStr">
        <is>
          <t>Trần Quang Vinh</t>
        </is>
      </c>
      <c r="C98" s="9" t="inlineStr">
        <is>
          <t>Cấp đổi</t>
        </is>
      </c>
      <c r="D98" s="55" t="n">
        <v>45993</v>
      </c>
      <c r="F98" s="9" t="n">
        <v>0</v>
      </c>
      <c r="H98" s="9" t="inlineStr">
        <is>
          <t>Hoàng Quân</t>
        </is>
      </c>
    </row>
    <row r="99" ht="15.75" customHeight="1" s="56">
      <c r="A99" s="9" t="inlineStr">
        <is>
          <t>609-1/BK-2025</t>
        </is>
      </c>
      <c r="B99" s="9" t="inlineStr">
        <is>
          <t>Trần Quang Vinh</t>
        </is>
      </c>
      <c r="C99" s="9" t="inlineStr">
        <is>
          <t>Cắm mốc</t>
        </is>
      </c>
      <c r="D99" s="55" t="n">
        <v>45993</v>
      </c>
      <c r="E99" s="9" t="n">
        <v>3000000</v>
      </c>
      <c r="F99" s="9" t="n">
        <v>0</v>
      </c>
      <c r="G99" s="9" t="n">
        <v>3000000</v>
      </c>
      <c r="H99" s="9" t="inlineStr">
        <is>
          <t>Hoàng Quân</t>
        </is>
      </c>
    </row>
    <row r="100" ht="15.75" customHeight="1" s="56">
      <c r="A100" s="9" t="inlineStr">
        <is>
          <t>609-2/BK-2025</t>
        </is>
      </c>
      <c r="B100" s="9" t="inlineStr">
        <is>
          <t>Trần Quang Vinh</t>
        </is>
      </c>
      <c r="C100" s="9" t="inlineStr">
        <is>
          <t>Đo GPS</t>
        </is>
      </c>
      <c r="D100" s="55" t="n">
        <v>45993</v>
      </c>
      <c r="F100" s="9" t="n">
        <v>0</v>
      </c>
      <c r="H100" s="9" t="inlineStr">
        <is>
          <t>Hoàng Quân</t>
        </is>
      </c>
    </row>
    <row r="101" ht="15.75" customHeight="1" s="56">
      <c r="A101" s="9" t="inlineStr">
        <is>
          <t>610/BK-2025</t>
        </is>
      </c>
      <c r="B101" s="9" t="inlineStr">
        <is>
          <t>Trần Đức Phú</t>
        </is>
      </c>
      <c r="C101" s="9" t="inlineStr">
        <is>
          <t>Cấp đổi</t>
        </is>
      </c>
      <c r="D101" s="55" t="n">
        <v>45993</v>
      </c>
      <c r="E101" s="9" t="n">
        <v>25000000</v>
      </c>
      <c r="F101" s="9" t="n">
        <v>0</v>
      </c>
      <c r="G101" s="9" t="n">
        <v>25000000</v>
      </c>
      <c r="H101" s="9" t="inlineStr">
        <is>
          <t>Hoàng Quân</t>
        </is>
      </c>
    </row>
    <row r="102" ht="15.75" customHeight="1" s="56">
      <c r="A102" s="9" t="inlineStr">
        <is>
          <t>610-1/BK-2025</t>
        </is>
      </c>
      <c r="B102" s="9" t="inlineStr">
        <is>
          <t>Trần Đức Phú</t>
        </is>
      </c>
      <c r="C102" s="9" t="inlineStr">
        <is>
          <t>Cắm mốc</t>
        </is>
      </c>
      <c r="D102" s="55" t="n">
        <v>45993</v>
      </c>
      <c r="E102" s="9" t="n">
        <v>12000000</v>
      </c>
      <c r="F102" s="9" t="n">
        <v>0</v>
      </c>
      <c r="G102" s="9" t="n">
        <v>12000000</v>
      </c>
      <c r="H102" s="9" t="inlineStr">
        <is>
          <t>Hoàng Quân</t>
        </is>
      </c>
    </row>
    <row r="103" ht="15.75" customHeight="1" s="56">
      <c r="A103" s="9" t="inlineStr">
        <is>
          <t>610-2/BK-2025</t>
        </is>
      </c>
      <c r="B103" s="9" t="inlineStr">
        <is>
          <t>Trần Đức Phú</t>
        </is>
      </c>
      <c r="C103" s="9" t="inlineStr">
        <is>
          <t>Đo GPS</t>
        </is>
      </c>
      <c r="D103" s="55" t="n">
        <v>45993</v>
      </c>
      <c r="F103" s="9" t="n">
        <v>0</v>
      </c>
      <c r="H103" s="9" t="inlineStr">
        <is>
          <t>Hoàng Quân</t>
        </is>
      </c>
    </row>
    <row r="104" ht="15.75" customHeight="1" s="56">
      <c r="A104" s="9" t="inlineStr">
        <is>
          <t>611/BK-2025</t>
        </is>
      </c>
      <c r="B104" s="9" t="inlineStr">
        <is>
          <t>Trần Đức Phú</t>
        </is>
      </c>
      <c r="C104" s="9" t="inlineStr">
        <is>
          <t>Cắm mốc</t>
        </is>
      </c>
      <c r="D104" s="55" t="n">
        <v>45995</v>
      </c>
      <c r="E104" s="9" t="n">
        <v>3000000</v>
      </c>
      <c r="F104" s="9" t="n">
        <v>0</v>
      </c>
      <c r="G104" s="9" t="n">
        <v>3000000</v>
      </c>
      <c r="H104" s="9" t="inlineStr">
        <is>
          <t>Hoàng Quân</t>
        </is>
      </c>
    </row>
    <row r="105" ht="15.75" customHeight="1" s="56">
      <c r="A105" s="9" t="inlineStr">
        <is>
          <t>612/BK-2025</t>
        </is>
      </c>
      <c r="B105" s="9" t="inlineStr">
        <is>
          <t>Lê Thị Nguyệt</t>
        </is>
      </c>
      <c r="C105" s="9" t="inlineStr">
        <is>
          <t>Đo GPS</t>
        </is>
      </c>
      <c r="D105" s="55" t="n">
        <v>45995</v>
      </c>
      <c r="E105" s="9" t="n">
        <v>1</v>
      </c>
      <c r="F105" s="9" t="n">
        <v>0</v>
      </c>
      <c r="G105" s="9" t="n">
        <v>1</v>
      </c>
      <c r="H105" s="9" t="inlineStr">
        <is>
          <t>Công Ty</t>
        </is>
      </c>
    </row>
    <row r="106" ht="15.75" customHeight="1" s="56">
      <c r="A106" s="9" t="inlineStr">
        <is>
          <t>613/BK-2025</t>
        </is>
      </c>
      <c r="B106" s="9" t="inlineStr">
        <is>
          <t>Nguyễn Trọng Nghĩa</t>
        </is>
      </c>
      <c r="C106" s="9" t="inlineStr">
        <is>
          <t>Hoàn công</t>
        </is>
      </c>
      <c r="D106" s="55" t="n">
        <v>45996</v>
      </c>
      <c r="E106" s="9" t="n">
        <v>20000000</v>
      </c>
      <c r="F106" s="9" t="n">
        <v>10000000</v>
      </c>
      <c r="G106" s="9" t="n">
        <v>10000000</v>
      </c>
      <c r="H106" s="9" t="inlineStr">
        <is>
          <t>Đạt Việt Phát Land</t>
        </is>
      </c>
    </row>
    <row r="107" ht="15.75" customHeight="1" s="56">
      <c r="A107" s="9" t="inlineStr">
        <is>
          <t>614/BK-2025</t>
        </is>
      </c>
      <c r="B107" s="9" t="inlineStr">
        <is>
          <t>Dương Hồng Cẩm</t>
        </is>
      </c>
      <c r="C107" s="9" t="inlineStr">
        <is>
          <t>Hoàn công</t>
        </is>
      </c>
      <c r="D107" s="55" t="n">
        <v>45996</v>
      </c>
      <c r="E107" s="9" t="n">
        <v>170000000</v>
      </c>
      <c r="F107" s="9" t="n">
        <v>170000000</v>
      </c>
      <c r="G107" s="9" t="n">
        <v>0</v>
      </c>
      <c r="H107" s="9" t="inlineStr">
        <is>
          <t>Công Ty</t>
        </is>
      </c>
    </row>
    <row r="108" ht="15.75" customHeight="1" s="56">
      <c r="A108" s="9" t="inlineStr">
        <is>
          <t>615/BK-2025</t>
        </is>
      </c>
      <c r="B108" s="9" t="inlineStr">
        <is>
          <t>Đoàn Ngọc Hải</t>
        </is>
      </c>
      <c r="C108" s="9" t="inlineStr">
        <is>
          <t>Xác định diện tích</t>
        </is>
      </c>
      <c r="D108" s="55" t="n">
        <v>45996</v>
      </c>
      <c r="E108" s="9" t="n">
        <v>1500000</v>
      </c>
      <c r="F108" s="9" t="n">
        <v>1000000</v>
      </c>
      <c r="G108" s="9" t="n">
        <v>500000</v>
      </c>
      <c r="H108" s="9" t="inlineStr">
        <is>
          <t>Cô Hải Dịch Vụ</t>
        </is>
      </c>
    </row>
    <row r="109" ht="15.75" customHeight="1" s="56">
      <c r="A109" s="9" t="inlineStr">
        <is>
          <t>616/BK-2025</t>
        </is>
      </c>
      <c r="B109" s="9" t="inlineStr">
        <is>
          <t>Vũ Thị Phương</t>
        </is>
      </c>
      <c r="C109" s="9" t="inlineStr">
        <is>
          <t>Xác định diện tích</t>
        </is>
      </c>
      <c r="D109" s="55" t="n">
        <v>45996</v>
      </c>
      <c r="E109" s="9" t="n">
        <v>1500000</v>
      </c>
      <c r="F109" s="9" t="n">
        <v>1000000</v>
      </c>
      <c r="G109" s="9" t="n">
        <v>500000</v>
      </c>
      <c r="H109" s="9" t="inlineStr">
        <is>
          <t>Cô Hải Dịch Vụ</t>
        </is>
      </c>
    </row>
    <row r="110" ht="15.75" customHeight="1" s="56">
      <c r="A110" s="9" t="inlineStr">
        <is>
          <t>617/BK-2025</t>
        </is>
      </c>
      <c r="B110" s="9" t="inlineStr">
        <is>
          <t>Hàn Ngọc Pho</t>
        </is>
      </c>
      <c r="C110" s="9" t="inlineStr">
        <is>
          <t>Xin phép xây dựng</t>
        </is>
      </c>
      <c r="D110" s="55" t="n">
        <v>45996</v>
      </c>
      <c r="E110" s="9" t="n">
        <v>11000000</v>
      </c>
      <c r="F110" s="9" t="n">
        <v>11000000</v>
      </c>
      <c r="G110" s="9" t="n">
        <v>0</v>
      </c>
      <c r="H110" s="9" t="inlineStr">
        <is>
          <t>Đạt Việt Phát Land</t>
        </is>
      </c>
    </row>
    <row r="111" ht="15.75" customHeight="1" s="56">
      <c r="A111" s="9" t="inlineStr">
        <is>
          <t>618/BK-2025</t>
        </is>
      </c>
      <c r="B111" s="9" t="inlineStr">
        <is>
          <t>Đinh Thị Hằng</t>
        </is>
      </c>
      <c r="C111" s="9" t="inlineStr">
        <is>
          <t>Xin phép xây dựng</t>
        </is>
      </c>
      <c r="D111" s="55" t="n">
        <v>45996</v>
      </c>
      <c r="E111" s="9" t="n">
        <v>25000000</v>
      </c>
      <c r="F111" s="9" t="n">
        <v>25000000</v>
      </c>
      <c r="G111" s="9" t="n">
        <v>0</v>
      </c>
      <c r="H111" s="9" t="inlineStr">
        <is>
          <t>Công Ty</t>
        </is>
      </c>
    </row>
    <row r="112" ht="15.75" customHeight="1" s="56">
      <c r="A112" s="9" t="inlineStr">
        <is>
          <t>619/BK-2025</t>
        </is>
      </c>
      <c r="B112" s="9" t="inlineStr">
        <is>
          <t>Đinh Gia Trí</t>
        </is>
      </c>
      <c r="C112" s="9" t="inlineStr">
        <is>
          <t>Xin phép xây dựng</t>
        </is>
      </c>
      <c r="D112" s="55" t="n">
        <v>45996</v>
      </c>
      <c r="E112" s="9" t="n">
        <v>15000000</v>
      </c>
      <c r="F112" s="9" t="n">
        <v>15000000</v>
      </c>
      <c r="G112" s="9" t="n">
        <v>0</v>
      </c>
      <c r="H112" s="9" t="inlineStr">
        <is>
          <t>Công Ty</t>
        </is>
      </c>
    </row>
    <row r="113" ht="15.75" customHeight="1" s="56">
      <c r="A113" s="9" t="inlineStr">
        <is>
          <t>620/BK-2025</t>
        </is>
      </c>
      <c r="B113" s="9" t="inlineStr">
        <is>
          <t>Lê Thị Nguyệt</t>
        </is>
      </c>
      <c r="C113" s="9" t="inlineStr">
        <is>
          <t>Cấp đổi</t>
        </is>
      </c>
      <c r="D113" s="55" t="n">
        <v>45997</v>
      </c>
      <c r="E113" s="9" t="n">
        <v>15</v>
      </c>
      <c r="F113" s="9" t="n">
        <v>0</v>
      </c>
      <c r="G113" s="9" t="n">
        <v>15</v>
      </c>
      <c r="H113" s="9" t="inlineStr">
        <is>
          <t>Đạt Việt Phát Land</t>
        </is>
      </c>
    </row>
    <row r="114" ht="15.75" customHeight="1" s="56">
      <c r="A114" s="9" t="inlineStr">
        <is>
          <t>ĐC 116/BK-2025</t>
        </is>
      </c>
      <c r="B114" s="9" t="inlineStr">
        <is>
          <t>Lại Quốc Huy</t>
        </is>
      </c>
      <c r="C114" s="9" t="inlineStr">
        <is>
          <t>Điều chỉnh bản vẽ</t>
        </is>
      </c>
      <c r="D114" s="55" t="n">
        <v>45997</v>
      </c>
      <c r="E114" s="9" t="n">
        <v>180000000</v>
      </c>
      <c r="F114" s="9" t="n">
        <v>100000000</v>
      </c>
      <c r="G114" s="9" t="n">
        <v>80000000</v>
      </c>
      <c r="H114" s="9" t="inlineStr">
        <is>
          <t>Công Ty</t>
        </is>
      </c>
    </row>
    <row r="115" ht="15.75" customHeight="1" s="56">
      <c r="A115" s="9" t="inlineStr">
        <is>
          <t>622/BK-2025</t>
        </is>
      </c>
      <c r="B115" s="9" t="inlineStr">
        <is>
          <t>Nguyễn Thị Mến</t>
        </is>
      </c>
      <c r="C115" s="9" t="inlineStr">
        <is>
          <t>Hoàn công</t>
        </is>
      </c>
      <c r="D115" s="55" t="n">
        <v>45998</v>
      </c>
      <c r="E115" s="9" t="n">
        <v>34000000</v>
      </c>
      <c r="F115" s="9" t="n">
        <v>0</v>
      </c>
      <c r="G115" s="9" t="n">
        <v>34000000</v>
      </c>
      <c r="H115" s="9" t="inlineStr">
        <is>
          <t>Cô Hoa</t>
        </is>
      </c>
    </row>
    <row r="116" ht="15.75" customHeight="1" s="56">
      <c r="A116" s="9" t="inlineStr">
        <is>
          <t>623/BK-2025</t>
        </is>
      </c>
      <c r="B116" s="9" t="inlineStr">
        <is>
          <t>Nguyễn Văn Quỳnh</t>
        </is>
      </c>
      <c r="C116" s="9" t="inlineStr">
        <is>
          <t>Hoàn công</t>
        </is>
      </c>
      <c r="D116" s="55" t="n">
        <v>45998</v>
      </c>
      <c r="F116" s="9" t="n">
        <v>0</v>
      </c>
      <c r="H116" s="9" t="inlineStr">
        <is>
          <t>Cô Hoa</t>
        </is>
      </c>
    </row>
    <row r="117" ht="15.75" customHeight="1" s="56">
      <c r="A117" s="9" t="inlineStr">
        <is>
          <t>624/BK-2025</t>
        </is>
      </c>
      <c r="B117" s="9" t="inlineStr">
        <is>
          <t>Lô Bằng Giang</t>
        </is>
      </c>
      <c r="C117" s="9" t="inlineStr">
        <is>
          <t>Xác định diện tích</t>
        </is>
      </c>
      <c r="D117" s="55" t="n">
        <v>45996</v>
      </c>
      <c r="E117" s="9" t="n">
        <v>1</v>
      </c>
      <c r="F117" s="9" t="n">
        <v>1</v>
      </c>
      <c r="G117" s="9" t="n">
        <v>0</v>
      </c>
      <c r="H117" s="9" t="inlineStr">
        <is>
          <t>Công Ty</t>
        </is>
      </c>
    </row>
    <row r="118" ht="15.75" customHeight="1" s="56">
      <c r="A118" s="9" t="inlineStr">
        <is>
          <t>625/BK-2025</t>
        </is>
      </c>
      <c r="B118" s="9" t="inlineStr">
        <is>
          <t>Lô Bằng Giang</t>
        </is>
      </c>
      <c r="C118" s="9" t="inlineStr">
        <is>
          <t>Xác định diện tích</t>
        </is>
      </c>
      <c r="D118" s="55" t="n">
        <v>45996</v>
      </c>
      <c r="E118" s="9" t="n">
        <v>1</v>
      </c>
      <c r="F118" s="9" t="n">
        <v>1</v>
      </c>
      <c r="G118" s="9" t="n">
        <v>0</v>
      </c>
      <c r="H118" s="9" t="inlineStr">
        <is>
          <t>Công Ty</t>
        </is>
      </c>
    </row>
    <row r="119" ht="15.75" customHeight="1" s="56">
      <c r="A119" s="9" t="inlineStr">
        <is>
          <t>353-1/BK-2025</t>
        </is>
      </c>
      <c r="B119" s="9" t="inlineStr">
        <is>
          <t>Đặng Đức Ý</t>
        </is>
      </c>
      <c r="C119" s="9" t="inlineStr">
        <is>
          <t>Cấp đổi</t>
        </is>
      </c>
      <c r="D119" s="55" t="n">
        <v>45999</v>
      </c>
      <c r="F119" s="9" t="n">
        <v>0</v>
      </c>
      <c r="H119" s="9" t="inlineStr">
        <is>
          <t>Đạt Việt Phát Land</t>
        </is>
      </c>
    </row>
    <row r="120" ht="15.75" customHeight="1" s="56">
      <c r="A120" s="9" t="inlineStr">
        <is>
          <t>626/BK-2025</t>
        </is>
      </c>
      <c r="B120" s="9" t="inlineStr">
        <is>
          <t>Bùi Nam Giang</t>
        </is>
      </c>
      <c r="C120" s="9" t="inlineStr">
        <is>
          <t>Xác định diện tích</t>
        </is>
      </c>
      <c r="D120" s="55" t="n">
        <v>45999</v>
      </c>
      <c r="E120" s="9" t="n">
        <v>5000000</v>
      </c>
      <c r="F120" s="9" t="n">
        <v>5000000</v>
      </c>
      <c r="G120" s="9" t="n">
        <v>0</v>
      </c>
      <c r="H120" s="9" t="inlineStr">
        <is>
          <t>Công Ty</t>
        </is>
      </c>
    </row>
    <row r="121" ht="15.75" customHeight="1" s="56">
      <c r="A121" s="9" t="inlineStr">
        <is>
          <t>627/BK-2025</t>
        </is>
      </c>
      <c r="B121" s="9" t="inlineStr">
        <is>
          <t>Trần Thị Hạnh</t>
        </is>
      </c>
      <c r="C121" s="9" t="inlineStr">
        <is>
          <t>Cấp đổi</t>
        </is>
      </c>
      <c r="D121" s="55" t="n">
        <v>45999</v>
      </c>
      <c r="E121" s="9" t="n">
        <v>10000000</v>
      </c>
      <c r="F121" s="9" t="n">
        <v>10000000</v>
      </c>
      <c r="G121" s="9" t="n">
        <v>0</v>
      </c>
      <c r="H121" s="9" t="inlineStr">
        <is>
          <t>Nguyễn Khoa DV</t>
        </is>
      </c>
    </row>
    <row r="122" ht="15.75" customHeight="1" s="56">
      <c r="A122" s="9" t="inlineStr">
        <is>
          <t>628/BK-2025</t>
        </is>
      </c>
      <c r="B122" s="9" t="inlineStr">
        <is>
          <t>Lô Bằng Giang</t>
        </is>
      </c>
      <c r="C122" s="9" t="inlineStr">
        <is>
          <t>Chuyển mục đích</t>
        </is>
      </c>
      <c r="D122" s="55" t="n">
        <v>45999</v>
      </c>
      <c r="E122" s="9" t="n">
        <v>15000000</v>
      </c>
      <c r="F122" s="9" t="n">
        <v>15000000</v>
      </c>
      <c r="G122" s="9" t="n">
        <v>0</v>
      </c>
      <c r="H122" s="9" t="inlineStr">
        <is>
          <t>Công Ty</t>
        </is>
      </c>
    </row>
    <row r="123" ht="15.75" customHeight="1" s="56">
      <c r="A123" s="9" t="inlineStr">
        <is>
          <t>629/BK-2025</t>
        </is>
      </c>
      <c r="B123" s="9" t="inlineStr">
        <is>
          <t>Lô Bằng Giang</t>
        </is>
      </c>
      <c r="C123" s="9" t="inlineStr">
        <is>
          <t>Chuyển mục đích</t>
        </is>
      </c>
      <c r="D123" s="55" t="n">
        <v>45999</v>
      </c>
      <c r="E123" s="9" t="n">
        <v>15000000</v>
      </c>
      <c r="F123" s="9" t="n">
        <v>15000000</v>
      </c>
      <c r="G123" s="9" t="n">
        <v>0</v>
      </c>
      <c r="H123" s="9" t="inlineStr">
        <is>
          <t>Công Ty</t>
        </is>
      </c>
    </row>
    <row r="124" ht="15.75" customHeight="1" s="56">
      <c r="A124" s="9" t="inlineStr">
        <is>
          <t>630/BK-2025</t>
        </is>
      </c>
      <c r="B124" s="9" t="inlineStr">
        <is>
          <t>Lê Tiến Hòa</t>
        </is>
      </c>
      <c r="C124" s="9" t="inlineStr">
        <is>
          <t>Chuyển mục đích</t>
        </is>
      </c>
      <c r="D124" s="55" t="n">
        <v>45999</v>
      </c>
      <c r="E124" s="9" t="n">
        <v>1</v>
      </c>
      <c r="F124" s="9" t="n">
        <v>1</v>
      </c>
      <c r="G124" s="9" t="n">
        <v>0</v>
      </c>
      <c r="H124" s="9" t="inlineStr">
        <is>
          <t>Nguyễn Hương DV</t>
        </is>
      </c>
    </row>
    <row r="125" ht="15.75" customHeight="1" s="56">
      <c r="A125" s="9" t="inlineStr">
        <is>
          <t>631/BK-2025</t>
        </is>
      </c>
      <c r="B125" s="9" t="inlineStr">
        <is>
          <t>Nguyễn Thị Bích Trâm</t>
        </is>
      </c>
      <c r="C125" s="9" t="inlineStr">
        <is>
          <t>Cấp đổi</t>
        </is>
      </c>
      <c r="D125" s="55" t="n">
        <v>46000</v>
      </c>
      <c r="E125" s="9" t="n">
        <v>120000000</v>
      </c>
      <c r="F125" s="9" t="n">
        <v>120000000</v>
      </c>
      <c r="G125" s="9" t="n">
        <v>0</v>
      </c>
      <c r="H125" s="9" t="inlineStr">
        <is>
          <t>Chị Xuân DV</t>
        </is>
      </c>
    </row>
    <row r="126" ht="15.75" customHeight="1" s="56">
      <c r="A126" s="9" t="inlineStr">
        <is>
          <t>632/BK-2025</t>
        </is>
      </c>
      <c r="B126" s="9" t="inlineStr">
        <is>
          <t>Nguyễn Minh Chữ</t>
        </is>
      </c>
      <c r="C126" s="9" t="inlineStr">
        <is>
          <t>Chuyển mục đích</t>
        </is>
      </c>
      <c r="D126" s="55" t="n">
        <v>46003</v>
      </c>
      <c r="E126" s="9" t="n">
        <v>7000000</v>
      </c>
      <c r="F126" s="9" t="n">
        <v>7000000</v>
      </c>
      <c r="G126" s="9" t="n">
        <v>0</v>
      </c>
      <c r="H126" s="9" t="inlineStr">
        <is>
          <t>Chú Loan DV</t>
        </is>
      </c>
    </row>
    <row r="127" ht="15.75" customHeight="1" s="56">
      <c r="A127" s="9" t="inlineStr">
        <is>
          <t>633/BK-2025</t>
        </is>
      </c>
      <c r="B127" s="9" t="inlineStr">
        <is>
          <t>Trần Quang Vinh</t>
        </is>
      </c>
      <c r="C127" s="9" t="inlineStr">
        <is>
          <t>Cấp đổi</t>
        </is>
      </c>
      <c r="D127" s="55" t="n">
        <v>46003</v>
      </c>
      <c r="E127" s="9" t="n">
        <v>12000000</v>
      </c>
      <c r="F127" s="9" t="n">
        <v>0</v>
      </c>
      <c r="G127" s="9" t="n">
        <v>12000000</v>
      </c>
      <c r="H127" s="9" t="inlineStr">
        <is>
          <t>Hoàng Quân</t>
        </is>
      </c>
    </row>
    <row r="128" ht="15.75" customHeight="1" s="56">
      <c r="A128" s="9" t="inlineStr">
        <is>
          <t>633-1/BK-2025</t>
        </is>
      </c>
      <c r="B128" s="9" t="inlineStr">
        <is>
          <t>Trần Quang Vinh</t>
        </is>
      </c>
      <c r="C128" s="9" t="inlineStr">
        <is>
          <t>Cắm mốc</t>
        </is>
      </c>
      <c r="D128" s="55" t="n">
        <v>46003</v>
      </c>
      <c r="E128" s="9" t="n">
        <v>3000000</v>
      </c>
      <c r="F128" s="9" t="n">
        <v>0</v>
      </c>
      <c r="G128" s="9" t="n">
        <v>3000000</v>
      </c>
      <c r="H128" s="9" t="inlineStr">
        <is>
          <t>Hoàng Quân</t>
        </is>
      </c>
    </row>
    <row r="129" ht="15.75" customHeight="1" s="56">
      <c r="A129" s="9" t="inlineStr">
        <is>
          <t>633-2/BK-2025</t>
        </is>
      </c>
      <c r="B129" s="9" t="inlineStr">
        <is>
          <t>Trần Quang Vinh</t>
        </is>
      </c>
      <c r="C129" s="9" t="inlineStr">
        <is>
          <t>Đo GPS</t>
        </is>
      </c>
      <c r="D129" s="55" t="n">
        <v>46003</v>
      </c>
      <c r="E129" s="9" t="n">
        <v>1</v>
      </c>
      <c r="F129" s="9" t="n">
        <v>1</v>
      </c>
      <c r="G129" s="9" t="n">
        <v>0</v>
      </c>
      <c r="H129" s="9" t="inlineStr">
        <is>
          <t>Hoàng Quân</t>
        </is>
      </c>
    </row>
    <row r="130" ht="15.75" customHeight="1" s="56">
      <c r="A130" s="9" t="inlineStr">
        <is>
          <t>16-1/BK-2025</t>
        </is>
      </c>
      <c r="B130" s="9" t="inlineStr">
        <is>
          <t>Bùi Ngọc Minh</t>
        </is>
      </c>
      <c r="C130" s="9" t="inlineStr">
        <is>
          <t>Cắm mốc</t>
        </is>
      </c>
      <c r="D130" s="55" t="n">
        <v>46003</v>
      </c>
      <c r="E130" s="9" t="n">
        <v>1</v>
      </c>
      <c r="F130" s="9" t="n">
        <v>1</v>
      </c>
      <c r="G130" s="9" t="n">
        <v>0</v>
      </c>
      <c r="H130" s="9" t="inlineStr">
        <is>
          <t>Công Ty</t>
        </is>
      </c>
    </row>
    <row r="131" ht="15.75" customHeight="1" s="56">
      <c r="A131" s="9" t="inlineStr">
        <is>
          <t>634/BK-2025</t>
        </is>
      </c>
      <c r="B131" s="9" t="inlineStr">
        <is>
          <t>Vũ Sơn Lâm</t>
        </is>
      </c>
      <c r="C131" s="9" t="inlineStr">
        <is>
          <t>Cấp đổi</t>
        </is>
      </c>
      <c r="D131" s="55" t="n">
        <v>46003</v>
      </c>
      <c r="E131" s="9" t="n">
        <v>1000000</v>
      </c>
      <c r="F131" s="9" t="n">
        <v>1000000</v>
      </c>
      <c r="G131" s="9" t="n">
        <v>0</v>
      </c>
      <c r="H131" s="9" t="inlineStr">
        <is>
          <t>Công Ty</t>
        </is>
      </c>
    </row>
    <row r="132" ht="15.75" customHeight="1" s="56">
      <c r="A132" s="9" t="inlineStr">
        <is>
          <t>635/BK-2025</t>
        </is>
      </c>
      <c r="B132" s="9" t="inlineStr">
        <is>
          <t>Nguyễn Văn Quang</t>
        </is>
      </c>
      <c r="C132" s="9" t="inlineStr">
        <is>
          <t>Cấp sổ lần đầu</t>
        </is>
      </c>
      <c r="D132" s="55" t="n">
        <v>46003</v>
      </c>
      <c r="E132" s="9" t="n">
        <v>13000000</v>
      </c>
      <c r="F132" s="9" t="n">
        <v>0</v>
      </c>
      <c r="G132" s="9" t="n">
        <v>13000000</v>
      </c>
      <c r="H132" s="9" t="inlineStr">
        <is>
          <t>Anh Long PCT</t>
        </is>
      </c>
    </row>
    <row r="133" ht="15.75" customHeight="1" s="56">
      <c r="A133" s="9" t="inlineStr">
        <is>
          <t>636/BK-2025</t>
        </is>
      </c>
      <c r="B133" s="9" t="inlineStr">
        <is>
          <t>Trịnh Thị Sinh</t>
        </is>
      </c>
      <c r="C133" s="9" t="inlineStr">
        <is>
          <t>Cấp đổi</t>
        </is>
      </c>
      <c r="D133" s="55" t="n">
        <v>46003</v>
      </c>
      <c r="F133" s="9" t="n">
        <v>0</v>
      </c>
      <c r="H133" s="9" t="inlineStr">
        <is>
          <t>Công Ty</t>
        </is>
      </c>
    </row>
    <row r="134" ht="15.75" customHeight="1" s="56">
      <c r="A134" s="9" t="inlineStr">
        <is>
          <t>618-1/BK-2025</t>
        </is>
      </c>
      <c r="B134" s="9" t="inlineStr">
        <is>
          <t>Đinh Thị Hằng</t>
        </is>
      </c>
      <c r="C134" s="9" t="inlineStr">
        <is>
          <t>Cắm mốc</t>
        </is>
      </c>
      <c r="D134" s="55" t="n">
        <v>46003</v>
      </c>
      <c r="E134" s="9" t="n">
        <v>2000000</v>
      </c>
      <c r="F134" s="9" t="n">
        <v>2000000</v>
      </c>
      <c r="G134" s="9" t="n">
        <v>0</v>
      </c>
      <c r="H134" s="9" t="inlineStr">
        <is>
          <t>Công Ty</t>
        </is>
      </c>
    </row>
    <row r="135" ht="15.75" customHeight="1" s="56">
      <c r="A135" s="9" t="inlineStr">
        <is>
          <t>464-1/BK-2025</t>
        </is>
      </c>
      <c r="B135" s="9" t="inlineStr">
        <is>
          <t>Đặng Thị Kim Thiện</t>
        </is>
      </c>
      <c r="C135" s="9" t="inlineStr">
        <is>
          <t>Kiểm tra hiện trạng</t>
        </is>
      </c>
      <c r="D135" s="55" t="n">
        <v>46003</v>
      </c>
      <c r="E135" s="9" t="n">
        <v>1</v>
      </c>
      <c r="F135" s="9" t="n">
        <v>1</v>
      </c>
      <c r="G135" s="9" t="n">
        <v>0</v>
      </c>
      <c r="H135" s="9" t="inlineStr">
        <is>
          <t>Chị Phấn DV</t>
        </is>
      </c>
    </row>
    <row r="136" ht="15.75" customHeight="1" s="56">
      <c r="A136" s="9" t="inlineStr">
        <is>
          <t>637/BK-2025</t>
        </is>
      </c>
      <c r="B136" s="9" t="inlineStr">
        <is>
          <t>Công ty Cổ phần Đầu tư Dầu khí Thăng Long</t>
        </is>
      </c>
      <c r="C136" s="9" t="inlineStr">
        <is>
          <t>Xác định diện tích</t>
        </is>
      </c>
      <c r="D136" s="55" t="n">
        <v>46004</v>
      </c>
      <c r="E136" s="9" t="n">
        <v>2500000</v>
      </c>
      <c r="F136" s="9" t="n">
        <v>2500000</v>
      </c>
      <c r="G136" s="9" t="n">
        <v>0</v>
      </c>
      <c r="H136" s="9" t="inlineStr">
        <is>
          <t>Công Ty</t>
        </is>
      </c>
    </row>
    <row r="137" ht="15.75" customHeight="1" s="56">
      <c r="A137" s="9" t="inlineStr">
        <is>
          <t>638/BK-2025</t>
        </is>
      </c>
      <c r="B137" s="9" t="inlineStr">
        <is>
          <t>Công ty TNHH MTV EPIC LAND</t>
        </is>
      </c>
      <c r="C137" s="9" t="inlineStr">
        <is>
          <t>Xác định diện tích</t>
        </is>
      </c>
      <c r="D137" s="55" t="n">
        <v>46004</v>
      </c>
      <c r="E137" s="9" t="n">
        <v>2500000</v>
      </c>
      <c r="F137" s="9" t="n">
        <v>2500000</v>
      </c>
      <c r="G137" s="9" t="n">
        <v>0</v>
      </c>
      <c r="H137" s="9" t="inlineStr">
        <is>
          <t>Công Ty</t>
        </is>
      </c>
    </row>
    <row r="138" ht="15.75" customHeight="1" s="56">
      <c r="A138" s="9" t="inlineStr">
        <is>
          <t>639/BK-2025</t>
        </is>
      </c>
      <c r="B138" s="9" t="inlineStr">
        <is>
          <t>Công ty Cổ phần Đầu tư và Phát Triển Thành phố Hồ Chí Minh</t>
        </is>
      </c>
      <c r="C138" s="9" t="inlineStr">
        <is>
          <t>Xác định diện tích</t>
        </is>
      </c>
      <c r="D138" s="55" t="n">
        <v>46004</v>
      </c>
      <c r="E138" s="9" t="n">
        <v>2500000</v>
      </c>
      <c r="F138" s="9" t="n">
        <v>2500000</v>
      </c>
      <c r="G138" s="9" t="n">
        <v>0</v>
      </c>
      <c r="H138" s="9" t="inlineStr">
        <is>
          <t>Công Ty</t>
        </is>
      </c>
    </row>
    <row r="139" ht="15.75" customHeight="1" s="56">
      <c r="A139" s="9" t="inlineStr">
        <is>
          <t>640/BK-2025</t>
        </is>
      </c>
      <c r="B139" s="9" t="inlineStr">
        <is>
          <t>Công ty Cổ phần Sài Gòn Riverview</t>
        </is>
      </c>
      <c r="C139" s="9" t="inlineStr">
        <is>
          <t>Xác định diện tích</t>
        </is>
      </c>
      <c r="D139" s="55" t="n">
        <v>46004</v>
      </c>
      <c r="E139" s="9" t="n">
        <v>2500000</v>
      </c>
      <c r="F139" s="9" t="n">
        <v>2500000</v>
      </c>
      <c r="G139" s="9" t="n">
        <v>0</v>
      </c>
      <c r="H139" s="9" t="inlineStr">
        <is>
          <t>Công Ty</t>
        </is>
      </c>
    </row>
    <row r="140" ht="15.75" customHeight="1" s="56">
      <c r="A140" s="9" t="inlineStr">
        <is>
          <t>641/BK-2025</t>
        </is>
      </c>
      <c r="B140" s="9" t="inlineStr">
        <is>
          <t>Nguyễn Thị Kim Ngọc</t>
        </is>
      </c>
      <c r="C140" s="9" t="inlineStr">
        <is>
          <t>Cấp đổi</t>
        </is>
      </c>
      <c r="D140" s="55" t="n">
        <v>46004</v>
      </c>
      <c r="E140" s="9" t="n">
        <v>90000000</v>
      </c>
      <c r="F140" s="9" t="n">
        <v>9</v>
      </c>
      <c r="G140" s="9" t="n">
        <v>89999991</v>
      </c>
      <c r="H140" s="9" t="inlineStr">
        <is>
          <t>Chị Xuân DV</t>
        </is>
      </c>
    </row>
    <row r="141" ht="15.75" customHeight="1" s="56">
      <c r="A141" s="9" t="inlineStr">
        <is>
          <t>642/BK-2025</t>
        </is>
      </c>
      <c r="B141" s="9" t="inlineStr">
        <is>
          <t>Hứa Thu Phụng</t>
        </is>
      </c>
      <c r="C141" s="9" t="inlineStr">
        <is>
          <t>Hoàn công</t>
        </is>
      </c>
      <c r="D141" s="55" t="n">
        <v>46005</v>
      </c>
      <c r="F141" s="9" t="n">
        <v>0</v>
      </c>
      <c r="H141" s="9" t="inlineStr">
        <is>
          <t>Công Ty</t>
        </is>
      </c>
    </row>
    <row r="142" ht="15.75" customHeight="1" s="56">
      <c r="A142" s="9" t="inlineStr">
        <is>
          <t>643/BK-2025</t>
        </is>
      </c>
      <c r="B142" s="9" t="inlineStr">
        <is>
          <t>Nguyễn Hữu Thịnh</t>
        </is>
      </c>
      <c r="C142" s="9" t="inlineStr">
        <is>
          <t>Hoàn công</t>
        </is>
      </c>
      <c r="D142" s="55" t="n">
        <v>46005</v>
      </c>
      <c r="E142" s="9" t="n">
        <v>40000000</v>
      </c>
      <c r="F142" s="9" t="n">
        <v>40000000</v>
      </c>
      <c r="G142" s="9" t="n">
        <v>0</v>
      </c>
      <c r="H142" s="9" t="inlineStr">
        <is>
          <t>Công Ty</t>
        </is>
      </c>
    </row>
    <row r="143" ht="15.75" customHeight="1" s="56">
      <c r="A143" s="9" t="inlineStr">
        <is>
          <t>644/BK-2025</t>
        </is>
      </c>
      <c r="B143" s="9" t="inlineStr">
        <is>
          <t>Huỳnh Thị Ngọc Châu</t>
        </is>
      </c>
      <c r="C143" s="9" t="inlineStr">
        <is>
          <t>Cấp đổi</t>
        </is>
      </c>
      <c r="D143" s="55" t="n">
        <v>46005</v>
      </c>
      <c r="E143" s="9" t="n">
        <v>9000000</v>
      </c>
      <c r="F143" s="9" t="n">
        <v>0</v>
      </c>
      <c r="G143" s="9" t="n">
        <v>9000000</v>
      </c>
      <c r="H143" s="9" t="inlineStr">
        <is>
          <t>Anh Cường Sài Gòn DV</t>
        </is>
      </c>
    </row>
    <row r="144" ht="15.75" customHeight="1" s="56">
      <c r="A144" s="9" t="inlineStr">
        <is>
          <t>645/BK-2025</t>
        </is>
      </c>
      <c r="B144" s="9" t="inlineStr">
        <is>
          <t>Dương Thị Thanh Tâm</t>
        </is>
      </c>
      <c r="C144" s="9" t="inlineStr">
        <is>
          <t>Cấp đổi</t>
        </is>
      </c>
      <c r="D144" s="55" t="n">
        <v>46005</v>
      </c>
      <c r="E144" s="9" t="n">
        <v>3000000</v>
      </c>
      <c r="F144" s="9" t="n">
        <v>0</v>
      </c>
      <c r="G144" s="9" t="n">
        <v>3000000</v>
      </c>
      <c r="H144" s="9" t="inlineStr">
        <is>
          <t>Anh Long PCT</t>
        </is>
      </c>
    </row>
    <row r="145" ht="15.75" customHeight="1" s="56">
      <c r="A145" s="9" t="inlineStr">
        <is>
          <t>646/BK-2025</t>
        </is>
      </c>
      <c r="B145" s="9" t="inlineStr">
        <is>
          <t>Nguyễn Tuấn Nghiêm</t>
        </is>
      </c>
      <c r="C145" s="9" t="inlineStr">
        <is>
          <t>Cấp sổ lần đầu</t>
        </is>
      </c>
      <c r="D145" s="55" t="n">
        <v>46005</v>
      </c>
      <c r="E145" s="9" t="n">
        <v>9000000</v>
      </c>
      <c r="F145" s="9" t="n">
        <v>9000000</v>
      </c>
      <c r="G145" s="9" t="n">
        <v>0</v>
      </c>
      <c r="H145" s="9" t="inlineStr">
        <is>
          <t>Anh Long PCT</t>
        </is>
      </c>
    </row>
    <row r="146" ht="15.75" customHeight="1" s="56">
      <c r="A146" s="9" t="inlineStr">
        <is>
          <t>647/BK-2025</t>
        </is>
      </c>
      <c r="B146" s="9" t="inlineStr">
        <is>
          <t>Vũ Kiều Sa</t>
        </is>
      </c>
      <c r="C146" s="9" t="inlineStr">
        <is>
          <t>Cắm mốc</t>
        </is>
      </c>
      <c r="D146" s="55" t="n">
        <v>46005</v>
      </c>
      <c r="E146" s="9" t="n">
        <v>3000000</v>
      </c>
      <c r="F146" s="9" t="n">
        <v>3000000</v>
      </c>
      <c r="G146" s="9" t="n">
        <v>0</v>
      </c>
      <c r="H146" s="9" t="inlineStr">
        <is>
          <t>Đạt Việt Phát Land</t>
        </is>
      </c>
    </row>
    <row r="147" ht="15.75" customHeight="1" s="56">
      <c r="A147" s="9" t="inlineStr">
        <is>
          <t>648/BK-2025</t>
        </is>
      </c>
      <c r="B147" s="9" t="inlineStr">
        <is>
          <t>Vũ Phạm Minh Tú</t>
        </is>
      </c>
      <c r="C147" s="9" t="inlineStr">
        <is>
          <t>Cấp đổi</t>
        </is>
      </c>
      <c r="D147" s="55" t="n">
        <v>46005</v>
      </c>
      <c r="E147" s="9" t="n">
        <v>34000000</v>
      </c>
      <c r="F147" s="9" t="n">
        <v>34000000</v>
      </c>
      <c r="G147" s="9" t="n">
        <v>0</v>
      </c>
      <c r="H147" s="9" t="inlineStr">
        <is>
          <t>Công Ty</t>
        </is>
      </c>
    </row>
    <row r="148" ht="15.75" customHeight="1" s="56">
      <c r="A148" s="9" t="inlineStr">
        <is>
          <t>649/BK-2025</t>
        </is>
      </c>
      <c r="B148" s="9" t="inlineStr">
        <is>
          <t>Nguyễn Quang Hoàn</t>
        </is>
      </c>
      <c r="C148" s="9" t="inlineStr">
        <is>
          <t>Chuyển mục đích</t>
        </is>
      </c>
      <c r="D148" s="55" t="n">
        <v>46006</v>
      </c>
      <c r="E148" s="9" t="n">
        <v>10000000</v>
      </c>
      <c r="F148" s="9" t="n">
        <v>10000000</v>
      </c>
      <c r="G148" s="9" t="n">
        <v>0</v>
      </c>
      <c r="H148" s="9" t="inlineStr">
        <is>
          <t>Công Ty</t>
        </is>
      </c>
    </row>
    <row r="149" ht="15.75" customHeight="1" s="56">
      <c r="A149" s="9" t="inlineStr">
        <is>
          <t>650/BK-2025</t>
        </is>
      </c>
      <c r="B149" s="9" t="inlineStr">
        <is>
          <t>Nguyễn Xuân Đức</t>
        </is>
      </c>
      <c r="C149" s="9" t="inlineStr">
        <is>
          <t>Kiểm tra hiện trạng</t>
        </is>
      </c>
      <c r="D149" s="55" t="n">
        <v>46006</v>
      </c>
      <c r="F149" s="9" t="n">
        <v>0</v>
      </c>
      <c r="H149" s="9" t="inlineStr">
        <is>
          <t>Công Ty</t>
        </is>
      </c>
    </row>
    <row r="150" ht="15.75" customHeight="1" s="56">
      <c r="A150" s="9" t="inlineStr">
        <is>
          <t>651/BK-2025</t>
        </is>
      </c>
      <c r="B150" s="9" t="inlineStr">
        <is>
          <t>Võ Thị Thanh</t>
        </is>
      </c>
      <c r="C150" s="9" t="inlineStr">
        <is>
          <t>Cấp đổi</t>
        </is>
      </c>
      <c r="D150" s="55" t="n">
        <v>46006</v>
      </c>
      <c r="E150" s="9" t="n">
        <v>39000000</v>
      </c>
      <c r="F150" s="9" t="n">
        <v>39000000</v>
      </c>
      <c r="G150" s="9" t="n">
        <v>0</v>
      </c>
      <c r="H150" s="9" t="inlineStr">
        <is>
          <t>Công Ty</t>
        </is>
      </c>
    </row>
    <row r="151" ht="15.75" customHeight="1" s="56">
      <c r="A151" s="9" t="inlineStr">
        <is>
          <t>652-1/BK-2025</t>
        </is>
      </c>
      <c r="B151" s="9" t="inlineStr">
        <is>
          <t>Nguyễn Thanh Hải - Nguyễn Thị Bé Năm</t>
        </is>
      </c>
      <c r="C151" s="9" t="inlineStr">
        <is>
          <t>Tách Thửa</t>
        </is>
      </c>
      <c r="D151" s="55" t="n">
        <v>46006</v>
      </c>
      <c r="E151" s="9" t="n">
        <v>8000000</v>
      </c>
      <c r="F151" s="9" t="n">
        <v>8000000</v>
      </c>
      <c r="G151" s="9" t="n">
        <v>0</v>
      </c>
      <c r="H151" s="9" t="inlineStr">
        <is>
          <t>Chị Xuân DV</t>
        </is>
      </c>
    </row>
    <row r="152" ht="15.75" customHeight="1" s="56">
      <c r="A152" s="9" t="inlineStr">
        <is>
          <t>652-2/BK-2025</t>
        </is>
      </c>
      <c r="B152" s="9" t="inlineStr">
        <is>
          <t>Nguyễn Thanh Hải - Nguyễn Thị Bé Năm</t>
        </is>
      </c>
      <c r="C152" s="9" t="inlineStr">
        <is>
          <t>Tách Thửa</t>
        </is>
      </c>
      <c r="D152" s="55" t="n">
        <v>46006</v>
      </c>
      <c r="E152" s="9" t="n">
        <v>8000000</v>
      </c>
      <c r="F152" s="9" t="n">
        <v>8000000</v>
      </c>
      <c r="G152" s="9" t="n">
        <v>0</v>
      </c>
      <c r="H152" s="9" t="inlineStr">
        <is>
          <t>Chị Xuân DV</t>
        </is>
      </c>
    </row>
    <row r="153" ht="15.75" customHeight="1" s="56">
      <c r="A153" s="9" t="inlineStr">
        <is>
          <t>652-3/BK-2025</t>
        </is>
      </c>
      <c r="B153" s="9" t="inlineStr">
        <is>
          <t>Nguyễn Thanh Hải - Nguyễn Thị Bé Năm</t>
        </is>
      </c>
      <c r="C153" s="9" t="inlineStr">
        <is>
          <t>Tách Thửa</t>
        </is>
      </c>
      <c r="D153" s="55" t="n">
        <v>46006</v>
      </c>
      <c r="E153" s="9" t="n">
        <v>7000000</v>
      </c>
      <c r="F153" s="9" t="n">
        <v>7000000</v>
      </c>
      <c r="G153" s="9" t="n">
        <v>0</v>
      </c>
      <c r="H153" s="9" t="inlineStr">
        <is>
          <t>Chị Xuân DV</t>
        </is>
      </c>
    </row>
    <row r="154" ht="15.75" customHeight="1" s="56">
      <c r="A154" s="9" t="inlineStr">
        <is>
          <t>652-4/BK-2025</t>
        </is>
      </c>
      <c r="B154" s="9" t="inlineStr">
        <is>
          <t>Nguyễn Thanh Hải - Nguyễn Thị Bé Năm</t>
        </is>
      </c>
      <c r="C154" s="9" t="inlineStr">
        <is>
          <t>Tách Thửa</t>
        </is>
      </c>
      <c r="D154" s="55" t="n">
        <v>46006</v>
      </c>
      <c r="E154" s="9" t="n">
        <v>7000000</v>
      </c>
      <c r="F154" s="9" t="n">
        <v>7000000</v>
      </c>
      <c r="G154" s="9" t="n">
        <v>0</v>
      </c>
      <c r="H154" s="9" t="inlineStr">
        <is>
          <t>Chị Xuân DV</t>
        </is>
      </c>
    </row>
    <row r="155" ht="15.75" customHeight="1" s="56">
      <c r="A155" s="9" t="inlineStr">
        <is>
          <t>653/BK-2025</t>
        </is>
      </c>
      <c r="B155" s="9" t="inlineStr">
        <is>
          <t>Lê Thị Thu Sương</t>
        </is>
      </c>
      <c r="C155" s="9" t="inlineStr">
        <is>
          <t>Hoàn công</t>
        </is>
      </c>
      <c r="D155" s="55" t="n">
        <v>46009</v>
      </c>
      <c r="E155" s="9" t="n">
        <v>120000000</v>
      </c>
      <c r="F155" s="9" t="n">
        <v>1</v>
      </c>
      <c r="G155" s="9" t="n">
        <v>119999999</v>
      </c>
      <c r="H155" s="9" t="inlineStr">
        <is>
          <t>Tùng Mập</t>
        </is>
      </c>
    </row>
    <row r="156" ht="15.75" customHeight="1" s="56">
      <c r="A156" s="9" t="inlineStr">
        <is>
          <t>655/BK-2025</t>
        </is>
      </c>
      <c r="B156" s="9" t="inlineStr">
        <is>
          <t>Bùi Quý Thành - Lưu Vân Trang</t>
        </is>
      </c>
      <c r="C156" s="9" t="inlineStr">
        <is>
          <t>Hoàn công</t>
        </is>
      </c>
      <c r="D156" s="55" t="n">
        <v>46009</v>
      </c>
      <c r="E156" s="9" t="n">
        <v>40000000</v>
      </c>
      <c r="F156" s="9" t="n">
        <v>20000000</v>
      </c>
      <c r="G156" s="9" t="n">
        <v>20000000</v>
      </c>
      <c r="H156" s="9" t="inlineStr">
        <is>
          <t>Công Ty</t>
        </is>
      </c>
    </row>
    <row r="157" ht="15.75" customHeight="1" s="56">
      <c r="A157" s="9" t="inlineStr">
        <is>
          <t>305-2/BK-2025</t>
        </is>
      </c>
      <c r="B157" s="9" t="inlineStr">
        <is>
          <t>Đoàn Trọng Ân</t>
        </is>
      </c>
      <c r="C157" s="9" t="inlineStr">
        <is>
          <t>Tách Thửa</t>
        </is>
      </c>
      <c r="D157" s="55" t="n">
        <v>46010</v>
      </c>
      <c r="E157" s="9" t="n">
        <v>24000000</v>
      </c>
      <c r="F157" s="9" t="n">
        <v>12000000</v>
      </c>
      <c r="G157" s="9" t="n">
        <v>12000000</v>
      </c>
      <c r="H157" s="9" t="inlineStr">
        <is>
          <t>Công Ty</t>
        </is>
      </c>
    </row>
    <row r="158" ht="15.75" customHeight="1" s="56">
      <c r="A158" s="9" t="inlineStr">
        <is>
          <t>656/BK-2025</t>
        </is>
      </c>
      <c r="B158" s="9" t="inlineStr">
        <is>
          <t>Nguyễn Trương - Nguyễn Thị Ba</t>
        </is>
      </c>
      <c r="C158" s="9" t="inlineStr">
        <is>
          <t>Hoàn công</t>
        </is>
      </c>
      <c r="D158" s="55" t="n">
        <v>46012</v>
      </c>
      <c r="E158" s="9" t="n">
        <v>10000000</v>
      </c>
      <c r="F158" s="9" t="n">
        <v>5000000</v>
      </c>
      <c r="G158" s="9" t="n">
        <v>5000000</v>
      </c>
      <c r="H158" s="9" t="inlineStr">
        <is>
          <t>Công Ty</t>
        </is>
      </c>
    </row>
    <row r="159" ht="15.75" customHeight="1" s="56">
      <c r="A159" s="9" t="inlineStr">
        <is>
          <t>657/BK-2025</t>
        </is>
      </c>
      <c r="B159" s="9" t="inlineStr">
        <is>
          <t>Chung Thị Kim Anh</t>
        </is>
      </c>
      <c r="C159" s="9" t="inlineStr">
        <is>
          <t>Cấp sổ lần đầu</t>
        </is>
      </c>
      <c r="D159" s="55" t="n">
        <v>46012</v>
      </c>
      <c r="E159" s="9" t="n">
        <v>9000000</v>
      </c>
      <c r="F159" s="9" t="n">
        <v>9000000</v>
      </c>
      <c r="G159" s="9" t="n">
        <v>0</v>
      </c>
      <c r="H159" s="9" t="inlineStr">
        <is>
          <t>Đạt Việt Phát Land</t>
        </is>
      </c>
    </row>
    <row r="160" ht="15.75" customHeight="1" s="56">
      <c r="A160" s="9" t="inlineStr">
        <is>
          <t>658/BK-2025</t>
        </is>
      </c>
      <c r="B160" s="9" t="inlineStr">
        <is>
          <t>Nguyễn Lưu Như Ý</t>
        </is>
      </c>
      <c r="C160" s="9" t="inlineStr">
        <is>
          <t>Cấp đổi</t>
        </is>
      </c>
      <c r="D160" s="55" t="n">
        <v>46012</v>
      </c>
      <c r="E160" s="9" t="n">
        <v>10000000</v>
      </c>
      <c r="F160" s="9" t="n">
        <v>5000000</v>
      </c>
      <c r="G160" s="9" t="n">
        <v>5000000</v>
      </c>
      <c r="H160" s="9" t="inlineStr">
        <is>
          <t>Công Ty</t>
        </is>
      </c>
    </row>
    <row r="161" ht="15.75" customHeight="1" s="56">
      <c r="A161" s="9" t="inlineStr">
        <is>
          <t>659/BK-2025</t>
        </is>
      </c>
      <c r="B161" s="9" t="inlineStr">
        <is>
          <t>Chu Trần Trọng</t>
        </is>
      </c>
      <c r="C161" s="9" t="inlineStr">
        <is>
          <t>Cấp đổi</t>
        </is>
      </c>
      <c r="D161" s="55" t="n">
        <v>46012</v>
      </c>
      <c r="E161" s="9" t="n">
        <v>12000000</v>
      </c>
      <c r="F161" s="9" t="n">
        <v>12000000</v>
      </c>
      <c r="G161" s="9" t="n">
        <v>0</v>
      </c>
      <c r="H161" s="9" t="inlineStr">
        <is>
          <t>Công Ty</t>
        </is>
      </c>
    </row>
    <row r="162" ht="15.75" customHeight="1" s="56">
      <c r="A162" s="9" t="inlineStr">
        <is>
          <t>597-1/BK-2025</t>
        </is>
      </c>
      <c r="B162" s="9" t="inlineStr">
        <is>
          <t>Trần Thuỳ Giang</t>
        </is>
      </c>
      <c r="C162" s="9" t="inlineStr">
        <is>
          <t>Cắm mốc</t>
        </is>
      </c>
      <c r="D162" s="55" t="n">
        <v>46012</v>
      </c>
      <c r="E162" s="9" t="n">
        <v>1</v>
      </c>
      <c r="F162" s="9" t="n">
        <v>1</v>
      </c>
      <c r="G162" s="9" t="n">
        <v>0</v>
      </c>
      <c r="H162" s="9" t="inlineStr">
        <is>
          <t>Công Ty</t>
        </is>
      </c>
    </row>
    <row r="163" ht="15.75" customHeight="1" s="56">
      <c r="A163" s="9" t="inlineStr">
        <is>
          <t>651-1/BK-2025</t>
        </is>
      </c>
      <c r="B163" s="9" t="inlineStr">
        <is>
          <t>Võ Thị Thanh</t>
        </is>
      </c>
      <c r="C163" s="9" t="inlineStr">
        <is>
          <t>Cắm mốc</t>
        </is>
      </c>
      <c r="D163" s="55" t="n">
        <v>46013</v>
      </c>
      <c r="E163" s="9" t="n">
        <v>1</v>
      </c>
      <c r="F163" s="9" t="n">
        <v>1</v>
      </c>
      <c r="G163" s="9" t="n">
        <v>0</v>
      </c>
      <c r="H163" s="9" t="inlineStr">
        <is>
          <t>Công Ty</t>
        </is>
      </c>
    </row>
    <row r="164" ht="15.75" customHeight="1" s="56">
      <c r="A164" s="9" t="inlineStr">
        <is>
          <t>660/BK-2025</t>
        </is>
      </c>
      <c r="B164" s="9" t="inlineStr">
        <is>
          <t>Nguyễn Hữu Nam</t>
        </is>
      </c>
      <c r="C164" s="9" t="inlineStr">
        <is>
          <t>Cấp đổi</t>
        </is>
      </c>
      <c r="D164" s="55" t="n">
        <v>46014</v>
      </c>
      <c r="E164" s="9" t="n">
        <v>1000000</v>
      </c>
      <c r="F164" s="9" t="n">
        <v>0</v>
      </c>
      <c r="G164" s="9" t="n">
        <v>1000000</v>
      </c>
      <c r="H164" s="9" t="inlineStr">
        <is>
          <t>Đạt Việt Phát Land</t>
        </is>
      </c>
    </row>
    <row r="165" ht="15.75" customHeight="1" s="56">
      <c r="A165" s="9" t="inlineStr">
        <is>
          <t>661/BK-2025</t>
        </is>
      </c>
      <c r="B165" s="9" t="inlineStr">
        <is>
          <t>Nguyễn Văn Quân</t>
        </is>
      </c>
      <c r="C165" s="9" t="inlineStr">
        <is>
          <t>Cấp đổi</t>
        </is>
      </c>
      <c r="D165" s="55" t="n">
        <v>46014</v>
      </c>
      <c r="E165" s="9" t="n">
        <v>10000000</v>
      </c>
      <c r="F165" s="9" t="n">
        <v>5000000</v>
      </c>
      <c r="G165" s="9" t="n">
        <v>5000000</v>
      </c>
      <c r="H165" s="9" t="inlineStr">
        <is>
          <t>Công Ty</t>
        </is>
      </c>
    </row>
    <row r="166" ht="15.75" customHeight="1" s="56">
      <c r="A166" s="9" t="inlineStr">
        <is>
          <t>508-1/BK-2025</t>
        </is>
      </c>
      <c r="B166" s="9" t="inlineStr">
        <is>
          <t>Trần Nguyễn Uyên Thanh Aka Tran Vivian</t>
        </is>
      </c>
      <c r="C166" s="9" t="inlineStr">
        <is>
          <t>Cắm mốc</t>
        </is>
      </c>
      <c r="D166" s="55" t="n">
        <v>46017</v>
      </c>
      <c r="E166" s="9" t="n">
        <v>7000000</v>
      </c>
      <c r="F166" s="9" t="n">
        <v>7000000</v>
      </c>
      <c r="G166" s="9" t="n">
        <v>0</v>
      </c>
      <c r="H166" s="9" t="inlineStr">
        <is>
          <t>Công Ty</t>
        </is>
      </c>
    </row>
    <row r="167" ht="15.75" customHeight="1" s="56">
      <c r="A167" s="9" t="inlineStr">
        <is>
          <t>518-3/BK-2025</t>
        </is>
      </c>
      <c r="B167" s="9" t="inlineStr">
        <is>
          <t>Nguyễn Thanh Hải - Nguyễn Thị Bé</t>
        </is>
      </c>
      <c r="C167" s="9" t="inlineStr">
        <is>
          <t>Cắm mốc</t>
        </is>
      </c>
      <c r="D167" s="55" t="n">
        <v>46017</v>
      </c>
      <c r="E167" s="9" t="n">
        <v>2700000</v>
      </c>
      <c r="F167" s="9" t="n">
        <v>2700000</v>
      </c>
      <c r="G167" s="9" t="n">
        <v>0</v>
      </c>
      <c r="H167" s="9" t="inlineStr">
        <is>
          <t>Chị Xuân DV</t>
        </is>
      </c>
    </row>
    <row r="168" ht="15.75" customHeight="1" s="56">
      <c r="A168" s="9" t="inlineStr">
        <is>
          <t>662/BK-2025</t>
        </is>
      </c>
      <c r="B168" s="9" t="inlineStr">
        <is>
          <t>Anh Tiếp (Dragon)</t>
        </is>
      </c>
      <c r="C168" s="9" t="inlineStr">
        <is>
          <t>Cắm mốc</t>
        </is>
      </c>
      <c r="D168" s="55" t="n">
        <v>46015</v>
      </c>
      <c r="E168" s="9" t="n">
        <v>3500000</v>
      </c>
      <c r="F168" s="9" t="n">
        <v>3500000</v>
      </c>
      <c r="G168" s="9" t="n">
        <v>0</v>
      </c>
      <c r="H168" s="9" t="inlineStr">
        <is>
          <t>Công Ty</t>
        </is>
      </c>
    </row>
    <row r="169" ht="15.75" customHeight="1" s="56">
      <c r="A169" s="9" t="inlineStr">
        <is>
          <t>663/BK-2025</t>
        </is>
      </c>
      <c r="B169" s="9" t="inlineStr">
        <is>
          <t>Nguyễn Hồng Xuân</t>
        </is>
      </c>
      <c r="C169" s="9" t="inlineStr">
        <is>
          <t>Xác định diện tích</t>
        </is>
      </c>
      <c r="D169" s="55" t="n">
        <v>46017</v>
      </c>
      <c r="E169" s="9" t="n">
        <v>1</v>
      </c>
      <c r="F169" s="9" t="n">
        <v>0</v>
      </c>
      <c r="G169" s="9" t="n">
        <v>1</v>
      </c>
      <c r="H169" s="9" t="inlineStr">
        <is>
          <t>Nguyễn Hương DV</t>
        </is>
      </c>
    </row>
    <row r="170" ht="15.75" customHeight="1" s="56">
      <c r="A170" s="9" t="inlineStr">
        <is>
          <t>664/BK-2025</t>
        </is>
      </c>
      <c r="B170" s="9" t="inlineStr">
        <is>
          <t>Trương Thị Thu Hằng</t>
        </is>
      </c>
      <c r="C170" s="9" t="inlineStr">
        <is>
          <t>Cấp đổi</t>
        </is>
      </c>
      <c r="D170" s="55" t="n">
        <v>46017</v>
      </c>
      <c r="E170" s="9" t="n">
        <v>1</v>
      </c>
      <c r="F170" s="9" t="n">
        <v>0</v>
      </c>
      <c r="G170" s="9" t="n">
        <v>1</v>
      </c>
      <c r="H170" s="9" t="inlineStr">
        <is>
          <t>Nguyễn Hương DV</t>
        </is>
      </c>
    </row>
    <row r="171" ht="15.75" customHeight="1" s="56">
      <c r="A171" s="9" t="inlineStr">
        <is>
          <t>574-DC/BK-2025</t>
        </is>
      </c>
      <c r="B171" s="9" t="inlineStr">
        <is>
          <t>Bùi Hà Anh</t>
        </is>
      </c>
      <c r="C171" s="9" t="inlineStr">
        <is>
          <t>Điều chỉnh bản vẽ</t>
        </is>
      </c>
      <c r="D171" s="55" t="n">
        <v>46018</v>
      </c>
      <c r="E171" s="9" t="n">
        <v>4500000</v>
      </c>
      <c r="F171" s="9" t="n">
        <v>4500000</v>
      </c>
      <c r="G171" s="9" t="n">
        <v>0</v>
      </c>
      <c r="H171" s="9" t="inlineStr">
        <is>
          <t>Công Ty</t>
        </is>
      </c>
    </row>
    <row r="172" ht="15.75" customHeight="1" s="56">
      <c r="A172" s="9" t="inlineStr">
        <is>
          <t>658-1/BK-2025</t>
        </is>
      </c>
      <c r="B172" s="9" t="inlineStr">
        <is>
          <t>Nguyễn Lưu Như Ý</t>
        </is>
      </c>
      <c r="C172" s="9" t="inlineStr">
        <is>
          <t>Đo GPS</t>
        </is>
      </c>
      <c r="D172" s="55" t="n">
        <v>46018</v>
      </c>
      <c r="E172" s="9" t="n">
        <v>1</v>
      </c>
      <c r="F172" s="9" t="n">
        <v>1</v>
      </c>
      <c r="G172" s="9" t="n">
        <v>0</v>
      </c>
      <c r="H172" s="9" t="inlineStr">
        <is>
          <t>Công Ty</t>
        </is>
      </c>
    </row>
    <row r="173" ht="15.75" customHeight="1" s="56">
      <c r="A173" s="9" t="inlineStr">
        <is>
          <t>665/BK-2025</t>
        </is>
      </c>
      <c r="B173" s="9" t="inlineStr">
        <is>
          <t>Hộ Lê Huỳnh</t>
        </is>
      </c>
      <c r="C173" s="9" t="inlineStr">
        <is>
          <t>Cấp đổi</t>
        </is>
      </c>
      <c r="D173" s="55" t="n">
        <v>46018</v>
      </c>
      <c r="E173" s="9" t="n">
        <v>15000000</v>
      </c>
      <c r="F173" s="9" t="n">
        <v>0</v>
      </c>
      <c r="G173" s="9" t="n">
        <v>15000000</v>
      </c>
      <c r="H173" s="9" t="inlineStr">
        <is>
          <t>Công Ty</t>
        </is>
      </c>
    </row>
    <row r="174" ht="15.75" customHeight="1" s="56">
      <c r="A174" s="9" t="inlineStr">
        <is>
          <t>665-1/BK-2025</t>
        </is>
      </c>
      <c r="B174" s="9" t="inlineStr">
        <is>
          <t>Hộ Lê Huỳnh</t>
        </is>
      </c>
      <c r="C174" s="9" t="inlineStr">
        <is>
          <t>Đo GPS</t>
        </is>
      </c>
      <c r="D174" s="55" t="n">
        <v>46018</v>
      </c>
      <c r="E174" s="9" t="n">
        <v>1</v>
      </c>
      <c r="F174" s="9" t="n">
        <v>1</v>
      </c>
      <c r="G174" s="9" t="n">
        <v>0</v>
      </c>
      <c r="H174" s="9" t="inlineStr">
        <is>
          <t>Công Ty</t>
        </is>
      </c>
    </row>
    <row r="175" ht="15.75" customHeight="1" s="56">
      <c r="A175" s="9" t="inlineStr">
        <is>
          <t>665-2/BK-2025</t>
        </is>
      </c>
      <c r="B175" s="9" t="inlineStr">
        <is>
          <t>Hộ Lê Huỳnh</t>
        </is>
      </c>
      <c r="C175" s="9" t="inlineStr">
        <is>
          <t>Cắm mốc</t>
        </is>
      </c>
      <c r="D175" s="55" t="n">
        <v>46016</v>
      </c>
      <c r="E175" s="9" t="n">
        <v>6400000</v>
      </c>
      <c r="F175" s="9" t="n">
        <v>0</v>
      </c>
      <c r="G175" s="9" t="n">
        <v>6400000</v>
      </c>
      <c r="H175" s="9" t="inlineStr">
        <is>
          <t>Công Ty</t>
        </is>
      </c>
    </row>
    <row r="176" ht="15.75" customHeight="1" s="56">
      <c r="A176" s="9" t="inlineStr">
        <is>
          <t>666/BK-2025</t>
        </is>
      </c>
      <c r="B176" s="9" t="inlineStr">
        <is>
          <t>XDDT Anh Đạt</t>
        </is>
      </c>
      <c r="C176" s="9" t="inlineStr">
        <is>
          <t>Xác định diện tích</t>
        </is>
      </c>
      <c r="D176" s="55" t="n">
        <v>46019</v>
      </c>
      <c r="E176" s="9" t="n">
        <v>3000000</v>
      </c>
      <c r="F176" s="9" t="n">
        <v>3000000</v>
      </c>
      <c r="G176" s="9" t="n">
        <v>0</v>
      </c>
      <c r="H176" s="9" t="inlineStr">
        <is>
          <t>Đạt Việt Phát Land</t>
        </is>
      </c>
    </row>
    <row r="177" ht="15.75" customHeight="1" s="56">
      <c r="A177" s="9" t="inlineStr">
        <is>
          <t>652-5/BK-2025</t>
        </is>
      </c>
      <c r="B177" s="9" t="inlineStr">
        <is>
          <t>Nguyễn Thanh Hải - Nguyễn Thị Bé Năm</t>
        </is>
      </c>
      <c r="C177" s="9" t="inlineStr">
        <is>
          <t>Cắm mốc</t>
        </is>
      </c>
      <c r="D177" s="55" t="n">
        <v>46020</v>
      </c>
      <c r="E177" s="9" t="n">
        <v>2000000</v>
      </c>
      <c r="F177" s="9" t="n">
        <v>2000000</v>
      </c>
      <c r="G177" s="9" t="n">
        <v>0</v>
      </c>
      <c r="H177" s="9" t="inlineStr">
        <is>
          <t>Chị Xuân DV</t>
        </is>
      </c>
    </row>
    <row r="178" ht="15.75" customHeight="1" s="56">
      <c r="A178" s="9" t="inlineStr">
        <is>
          <t>XĐDT 116/BK-2025</t>
        </is>
      </c>
      <c r="B178" s="9" t="inlineStr">
        <is>
          <t>Lại Quốc Huy</t>
        </is>
      </c>
      <c r="C178" s="9" t="inlineStr">
        <is>
          <t>Xác định diện tích</t>
        </is>
      </c>
      <c r="D178" s="55" t="n">
        <v>46020</v>
      </c>
      <c r="E178" s="9" t="n">
        <v>1</v>
      </c>
      <c r="F178" s="9" t="n">
        <v>1</v>
      </c>
      <c r="G178" s="9" t="n">
        <v>0</v>
      </c>
      <c r="H178" s="9" t="inlineStr">
        <is>
          <t>Công Ty</t>
        </is>
      </c>
    </row>
    <row r="179" ht="15.75" customHeight="1" s="56">
      <c r="A179" s="9" t="inlineStr">
        <is>
          <t>667/BK-2025</t>
        </is>
      </c>
      <c r="B179" s="9" t="inlineStr">
        <is>
          <t>Nguyễn Văn Biên</t>
        </is>
      </c>
      <c r="C179" s="9" t="inlineStr">
        <is>
          <t>Cấp đổi</t>
        </is>
      </c>
      <c r="D179" s="55" t="n">
        <v>46020</v>
      </c>
      <c r="E179" s="9" t="n">
        <v>45000000</v>
      </c>
      <c r="F179" s="9" t="n">
        <v>15000000</v>
      </c>
      <c r="G179" s="9" t="n">
        <v>30000000</v>
      </c>
      <c r="H179" s="9" t="inlineStr">
        <is>
          <t>Công Ty</t>
        </is>
      </c>
    </row>
    <row r="180" ht="15.75" customHeight="1" s="56">
      <c r="A180" s="9" t="inlineStr">
        <is>
          <t>668/BK-2025</t>
        </is>
      </c>
      <c r="B180" s="9" t="inlineStr">
        <is>
          <t>Phạm Thị Minh Uyên</t>
        </is>
      </c>
      <c r="C180" s="9" t="inlineStr">
        <is>
          <t>Cấp đổi</t>
        </is>
      </c>
      <c r="D180" s="55" t="n">
        <v>46023</v>
      </c>
      <c r="E180" s="9" t="n">
        <v>35000000</v>
      </c>
      <c r="F180" s="9" t="n">
        <v>0</v>
      </c>
      <c r="G180" s="9" t="n">
        <v>35000000</v>
      </c>
      <c r="H180" s="9" t="inlineStr">
        <is>
          <t>Công Ty</t>
        </is>
      </c>
    </row>
    <row r="181" ht="15.75" customHeight="1" s="56">
      <c r="A181" s="9" t="inlineStr">
        <is>
          <t>669/BK-2025</t>
        </is>
      </c>
      <c r="B181" s="9" t="inlineStr">
        <is>
          <t>Phan Ngọc Bắc</t>
        </is>
      </c>
      <c r="C181" s="9" t="inlineStr">
        <is>
          <t>Hoàn công</t>
        </is>
      </c>
      <c r="D181" s="55" t="n">
        <v>46023</v>
      </c>
      <c r="F181" s="9" t="n">
        <v>0</v>
      </c>
      <c r="H181" s="9" t="inlineStr">
        <is>
          <t>Tùng Mập</t>
        </is>
      </c>
    </row>
    <row r="182" ht="15.75" customHeight="1" s="56">
      <c r="A182" s="9" t="inlineStr">
        <is>
          <t>670/BK-2025</t>
        </is>
      </c>
      <c r="B182" s="9" t="inlineStr">
        <is>
          <t>Hồ Trọng Dũng</t>
        </is>
      </c>
      <c r="C182" s="9" t="inlineStr">
        <is>
          <t>Hợp thửa</t>
        </is>
      </c>
      <c r="D182" s="55" t="n">
        <v>46023</v>
      </c>
      <c r="E182" s="9" t="n">
        <v>140000000</v>
      </c>
      <c r="F182" s="9" t="n">
        <v>30000000</v>
      </c>
      <c r="G182" s="9" t="n">
        <v>110000000</v>
      </c>
      <c r="H182" s="9" t="inlineStr">
        <is>
          <t>Công Ty</t>
        </is>
      </c>
    </row>
    <row r="183" ht="15.75" customHeight="1" s="56">
      <c r="A183" s="9" t="inlineStr">
        <is>
          <t>671/BK-2025</t>
        </is>
      </c>
      <c r="B183" s="9" t="inlineStr">
        <is>
          <t>Nguyễn Thị Xuân Lan</t>
        </is>
      </c>
      <c r="C183" s="9" t="inlineStr">
        <is>
          <t>Hợp thửa</t>
        </is>
      </c>
      <c r="D183" s="55" t="n">
        <v>46023</v>
      </c>
      <c r="E183" s="9" t="n">
        <v>11000000</v>
      </c>
      <c r="F183" s="9" t="n">
        <v>3000000</v>
      </c>
      <c r="G183" s="9" t="n">
        <v>8000000</v>
      </c>
      <c r="H183" s="9" t="inlineStr">
        <is>
          <t>Công Ty</t>
        </is>
      </c>
    </row>
    <row r="184" ht="15.75" customHeight="1" s="56">
      <c r="A184" s="9" t="inlineStr">
        <is>
          <t>672/BK-2025</t>
        </is>
      </c>
      <c r="B184" s="9" t="inlineStr">
        <is>
          <t>Nguyễn Văn Trưởng - Nguyễn Thị Thúy</t>
        </is>
      </c>
      <c r="C184" s="9" t="inlineStr">
        <is>
          <t>Cấp đổi</t>
        </is>
      </c>
      <c r="D184" s="55" t="n">
        <v>46023</v>
      </c>
      <c r="E184" s="9" t="n">
        <v>10000000</v>
      </c>
      <c r="F184" s="9" t="n">
        <v>5000000</v>
      </c>
      <c r="G184" s="9" t="n">
        <v>5000000</v>
      </c>
      <c r="H184" s="9" t="inlineStr">
        <is>
          <t>Công Ty</t>
        </is>
      </c>
    </row>
    <row r="185" ht="15.75" customHeight="1" s="56">
      <c r="A185" s="9" t="inlineStr">
        <is>
          <t>673/BK-2025</t>
        </is>
      </c>
      <c r="B185" s="9" t="inlineStr">
        <is>
          <t>Phạm Thị Trang</t>
        </is>
      </c>
      <c r="C185" s="9" t="inlineStr">
        <is>
          <t>Hoàn công</t>
        </is>
      </c>
      <c r="D185" s="55" t="n">
        <v>46023</v>
      </c>
      <c r="E185" s="9" t="n">
        <v>55000000</v>
      </c>
      <c r="F185" s="9" t="n">
        <v>55000000</v>
      </c>
      <c r="G185" s="9" t="n">
        <v>0</v>
      </c>
      <c r="H185" s="9" t="inlineStr">
        <is>
          <t>Công Ty</t>
        </is>
      </c>
    </row>
    <row r="186" ht="15.75" customHeight="1" s="56">
      <c r="A186" s="9" t="inlineStr">
        <is>
          <t>659-1/BK-2025</t>
        </is>
      </c>
      <c r="B186" s="9" t="inlineStr">
        <is>
          <t>Chu Trần Trọng</t>
        </is>
      </c>
      <c r="C186" s="9" t="inlineStr">
        <is>
          <t>Đo GPS</t>
        </is>
      </c>
      <c r="D186" s="55" t="n">
        <v>46023</v>
      </c>
      <c r="E186" s="9" t="n">
        <v>1</v>
      </c>
      <c r="F186" s="9" t="n">
        <v>1</v>
      </c>
      <c r="G186" s="9" t="n">
        <v>0</v>
      </c>
      <c r="H186" s="9" t="inlineStr">
        <is>
          <t>Công Ty</t>
        </is>
      </c>
    </row>
    <row r="187" ht="15.75" customHeight="1" s="56">
      <c r="A187" s="9" t="inlineStr">
        <is>
          <t>632-DC/BK-2025</t>
        </is>
      </c>
      <c r="B187" s="9" t="inlineStr">
        <is>
          <t>Nguyễn Minh Chữ</t>
        </is>
      </c>
      <c r="C187" s="9" t="inlineStr">
        <is>
          <t>Điều chỉnh bản vẽ</t>
        </is>
      </c>
      <c r="D187" s="55" t="n">
        <v>46023</v>
      </c>
      <c r="E187" s="9" t="n">
        <v>1</v>
      </c>
      <c r="F187" s="9" t="n">
        <v>1</v>
      </c>
      <c r="G187" s="9" t="n">
        <v>0</v>
      </c>
      <c r="H187" s="9" t="inlineStr">
        <is>
          <t>Chú Loan DV</t>
        </is>
      </c>
    </row>
    <row r="188" ht="15.75" customHeight="1" s="56">
      <c r="A188" s="9" t="inlineStr">
        <is>
          <t>674/BK-2025</t>
        </is>
      </c>
      <c r="B188" s="9" t="inlineStr">
        <is>
          <t>Nguyễn Văn Hải</t>
        </is>
      </c>
      <c r="C188" s="9" t="inlineStr">
        <is>
          <t>Điều chỉnh bản vẽ</t>
        </is>
      </c>
      <c r="D188" s="55" t="n">
        <v>46024</v>
      </c>
      <c r="E188" s="9" t="n">
        <v>10000000</v>
      </c>
      <c r="F188" s="9" t="n">
        <v>1</v>
      </c>
      <c r="G188" s="9" t="n">
        <v>9999999</v>
      </c>
      <c r="H188" s="9" t="inlineStr">
        <is>
          <t>Cô Hoa</t>
        </is>
      </c>
    </row>
    <row r="189" ht="15.75" customHeight="1" s="56">
      <c r="A189" s="9" t="inlineStr">
        <is>
          <t>675/BK-2025</t>
        </is>
      </c>
      <c r="B189" s="9" t="inlineStr">
        <is>
          <t>Vũ Anh Tuấn</t>
        </is>
      </c>
      <c r="C189" s="9" t="inlineStr">
        <is>
          <t>Cắm mốc</t>
        </is>
      </c>
      <c r="D189" s="55" t="n">
        <v>46024</v>
      </c>
      <c r="E189" s="9" t="n">
        <v>3000000</v>
      </c>
      <c r="F189" s="9" t="n">
        <v>0</v>
      </c>
      <c r="G189" s="9" t="n">
        <v>3000000</v>
      </c>
      <c r="H189" s="9" t="inlineStr">
        <is>
          <t>Công Ty</t>
        </is>
      </c>
    </row>
    <row r="190" ht="15.75" customHeight="1" s="56">
      <c r="A190" s="9" t="inlineStr">
        <is>
          <t>676/BK-2025</t>
        </is>
      </c>
      <c r="B190" s="9" t="inlineStr">
        <is>
          <t>Phạm Thị Giao Linh</t>
        </is>
      </c>
      <c r="C190" s="9" t="inlineStr">
        <is>
          <t>Cấp đổi</t>
        </is>
      </c>
      <c r="D190" s="55" t="n">
        <v>46024</v>
      </c>
      <c r="E190" s="9" t="n">
        <v>13000000</v>
      </c>
      <c r="F190" s="9" t="n">
        <v>13000000</v>
      </c>
      <c r="G190" s="9" t="n">
        <v>0</v>
      </c>
      <c r="H190" s="9" t="inlineStr">
        <is>
          <t>Tùng Huế DV</t>
        </is>
      </c>
    </row>
    <row r="191" ht="15.75" customHeight="1" s="56">
      <c r="A191" s="9" t="inlineStr">
        <is>
          <t>677/BK-2025</t>
        </is>
      </c>
      <c r="B191" s="9" t="inlineStr">
        <is>
          <t>Phạm Thị Vân</t>
        </is>
      </c>
      <c r="C191" s="9" t="inlineStr">
        <is>
          <t>Cấp đổi</t>
        </is>
      </c>
      <c r="D191" s="55" t="n">
        <v>46024</v>
      </c>
      <c r="E191" s="9" t="n">
        <v>12000000</v>
      </c>
      <c r="F191" s="9" t="n">
        <v>6000000</v>
      </c>
      <c r="G191" s="9" t="n">
        <v>6000000</v>
      </c>
      <c r="H191" s="9" t="inlineStr">
        <is>
          <t>Công Ty</t>
        </is>
      </c>
    </row>
    <row r="192" ht="15.75" customHeight="1" s="56">
      <c r="A192" s="9" t="inlineStr">
        <is>
          <t>395-DC/BK-2025</t>
        </is>
      </c>
      <c r="B192" s="9" t="inlineStr">
        <is>
          <t>Nghiêm Uy Lân</t>
        </is>
      </c>
      <c r="C192" s="9" t="inlineStr">
        <is>
          <t>Điều chỉnh bản vẽ</t>
        </is>
      </c>
      <c r="D192" s="55" t="n">
        <v>46024</v>
      </c>
      <c r="E192" s="9" t="n">
        <v>4000000</v>
      </c>
      <c r="F192" s="9" t="n">
        <v>4000000</v>
      </c>
      <c r="G192" s="9" t="n">
        <v>0</v>
      </c>
      <c r="H192" s="9" t="inlineStr">
        <is>
          <t>Công Ty</t>
        </is>
      </c>
    </row>
    <row r="193" ht="15.75" customHeight="1" s="56">
      <c r="A193" s="9" t="inlineStr">
        <is>
          <t>678/BK-2025</t>
        </is>
      </c>
      <c r="B193" s="9" t="inlineStr">
        <is>
          <t>Từ Thị Lai</t>
        </is>
      </c>
      <c r="C193" s="9" t="inlineStr">
        <is>
          <t>Xác định diện tích</t>
        </is>
      </c>
      <c r="D193" s="55" t="n">
        <v>46024</v>
      </c>
      <c r="E193" s="9" t="n">
        <v>200000000</v>
      </c>
      <c r="F193" s="9" t="n">
        <v>40000000</v>
      </c>
      <c r="G193" s="9" t="n">
        <v>160000000</v>
      </c>
      <c r="H193" s="9" t="inlineStr">
        <is>
          <t>Công Ty</t>
        </is>
      </c>
    </row>
    <row r="194" ht="15.75" customHeight="1" s="56">
      <c r="A194" s="9" t="inlineStr">
        <is>
          <t>001/BK-2026</t>
        </is>
      </c>
      <c r="B194" s="9" t="inlineStr">
        <is>
          <t>Đoàn Vân Anh</t>
        </is>
      </c>
      <c r="C194" s="9" t="inlineStr">
        <is>
          <t>Cấp đổi</t>
        </is>
      </c>
      <c r="D194" s="55" t="n">
        <v>46031</v>
      </c>
      <c r="E194" s="9" t="n">
        <v>80000000</v>
      </c>
      <c r="F194" s="9" t="n">
        <v>10000000</v>
      </c>
      <c r="G194" s="9" t="n">
        <v>70000000</v>
      </c>
      <c r="H194" s="9" t="inlineStr">
        <is>
          <t>Công Ty</t>
        </is>
      </c>
    </row>
    <row r="195" ht="15.75" customHeight="1" s="56">
      <c r="A195" s="9" t="inlineStr">
        <is>
          <t>002/BK-2026</t>
        </is>
      </c>
      <c r="B195" s="9" t="inlineStr">
        <is>
          <t>Đoàn Vân Anh</t>
        </is>
      </c>
      <c r="C195" s="9" t="inlineStr">
        <is>
          <t>Cắm mốc</t>
        </is>
      </c>
      <c r="D195" s="55" t="n">
        <v>46031</v>
      </c>
      <c r="E195" s="9" t="n">
        <v>1</v>
      </c>
      <c r="F195" s="9" t="n">
        <v>1</v>
      </c>
      <c r="G195" s="9" t="n">
        <v>0</v>
      </c>
      <c r="H195" s="9" t="inlineStr">
        <is>
          <t>Công Ty</t>
        </is>
      </c>
    </row>
    <row r="196" ht="15.75" customHeight="1" s="56">
      <c r="A196" s="9" t="inlineStr">
        <is>
          <t>003/BK-2026</t>
        </is>
      </c>
      <c r="B196" s="9" t="inlineStr">
        <is>
          <t>Đoàn Vân Anh</t>
        </is>
      </c>
      <c r="C196" s="9" t="inlineStr">
        <is>
          <t>Đo GPS</t>
        </is>
      </c>
      <c r="D196" s="55" t="n">
        <v>46031</v>
      </c>
      <c r="E196" s="9" t="n">
        <v>1</v>
      </c>
      <c r="F196" s="9" t="n">
        <v>1</v>
      </c>
      <c r="G196" s="9" t="n">
        <v>0</v>
      </c>
      <c r="H196" s="9" t="inlineStr">
        <is>
          <t>Công Ty</t>
        </is>
      </c>
    </row>
    <row r="197" ht="15.75" customHeight="1" s="56">
      <c r="A197" s="9" t="inlineStr">
        <is>
          <t>004/BK-2026</t>
        </is>
      </c>
      <c r="B197" s="9" t="inlineStr">
        <is>
          <t>Nguyễn Minh Trung - Nguyễn Thị Phương Thúy</t>
        </is>
      </c>
      <c r="C197" s="9" t="inlineStr">
        <is>
          <t>Cấp đổi</t>
        </is>
      </c>
      <c r="D197" s="55" t="n">
        <v>46031</v>
      </c>
      <c r="E197" s="9" t="n">
        <v>12000000</v>
      </c>
      <c r="F197" s="9" t="n">
        <v>12000000</v>
      </c>
      <c r="G197" s="9" t="n">
        <v>0</v>
      </c>
      <c r="H197" s="9" t="inlineStr">
        <is>
          <t>Công Ty</t>
        </is>
      </c>
    </row>
    <row r="198" ht="15.75" customHeight="1" s="56">
      <c r="A198" s="9" t="inlineStr">
        <is>
          <t>005/BK-2026</t>
        </is>
      </c>
      <c r="B198" s="9" t="inlineStr">
        <is>
          <t>Nguyễn Bắc Nam</t>
        </is>
      </c>
      <c r="C198" s="9" t="inlineStr">
        <is>
          <t>Hoàn công</t>
        </is>
      </c>
      <c r="D198" s="55" t="n">
        <v>46031</v>
      </c>
      <c r="E198" s="9" t="n">
        <v>1</v>
      </c>
      <c r="F198" s="9" t="n">
        <v>1</v>
      </c>
      <c r="G198" s="9" t="n">
        <v>0</v>
      </c>
      <c r="H198" s="9" t="inlineStr">
        <is>
          <t>Công Ty</t>
        </is>
      </c>
    </row>
    <row r="199" ht="15.75" customHeight="1" s="56">
      <c r="A199" s="9" t="inlineStr">
        <is>
          <t>006/BK-2026</t>
        </is>
      </c>
      <c r="B199" s="9" t="inlineStr">
        <is>
          <t>Nguyễn Đế Hiếu</t>
        </is>
      </c>
      <c r="C199" s="9" t="inlineStr">
        <is>
          <t>Hoàn công</t>
        </is>
      </c>
      <c r="D199" s="55" t="n">
        <v>46031</v>
      </c>
      <c r="E199" s="9" t="n">
        <v>100000000</v>
      </c>
      <c r="F199" s="9" t="n">
        <v>50000000</v>
      </c>
      <c r="G199" s="9" t="n">
        <v>50000000</v>
      </c>
      <c r="H199" s="9" t="inlineStr">
        <is>
          <t>Hoàng Cương BĐS</t>
        </is>
      </c>
    </row>
    <row r="200" ht="15.75" customHeight="1" s="56">
      <c r="A200" s="9" t="inlineStr">
        <is>
          <t>007/BK-2026</t>
        </is>
      </c>
      <c r="B200" s="9" t="inlineStr">
        <is>
          <t>Nguyễn Đế Hiếu</t>
        </is>
      </c>
      <c r="C200" s="9" t="inlineStr">
        <is>
          <t>Hoàn công</t>
        </is>
      </c>
      <c r="D200" s="55" t="n">
        <v>46031</v>
      </c>
      <c r="E200" s="9" t="n">
        <v>70000000</v>
      </c>
      <c r="F200" s="9" t="n">
        <v>60000000</v>
      </c>
      <c r="G200" s="9" t="n">
        <v>10000000</v>
      </c>
      <c r="H200" s="9" t="inlineStr">
        <is>
          <t>Hoàng Cương BĐS</t>
        </is>
      </c>
    </row>
    <row r="201" ht="15.75" customHeight="1" s="56">
      <c r="A201" s="9" t="inlineStr">
        <is>
          <t>008/BK-2026</t>
        </is>
      </c>
      <c r="B201" s="9" t="inlineStr">
        <is>
          <t>Thái Văn Nghĩa</t>
        </is>
      </c>
      <c r="C201" s="9" t="inlineStr">
        <is>
          <t>Cắm mốc</t>
        </is>
      </c>
      <c r="D201" s="55" t="n">
        <v>46032</v>
      </c>
      <c r="E201" s="9" t="n">
        <v>3000000</v>
      </c>
      <c r="F201" s="9" t="n">
        <v>3000000</v>
      </c>
      <c r="G201" s="9" t="n">
        <v>0</v>
      </c>
      <c r="H201" s="9" t="inlineStr">
        <is>
          <t>Công Ty</t>
        </is>
      </c>
    </row>
    <row r="202" ht="15.75" customHeight="1" s="56">
      <c r="A202" s="9" t="inlineStr">
        <is>
          <t>009/BK-2026</t>
        </is>
      </c>
      <c r="B202" s="9" t="inlineStr">
        <is>
          <t>Đào Văn Duy</t>
        </is>
      </c>
      <c r="C202" s="9" t="inlineStr">
        <is>
          <t>Cấp đổi</t>
        </is>
      </c>
      <c r="D202" s="55" t="n">
        <v>46032</v>
      </c>
      <c r="E202" s="9" t="n">
        <v>8000000</v>
      </c>
      <c r="F202" s="9" t="n">
        <v>8000000</v>
      </c>
      <c r="G202" s="9" t="n">
        <v>0</v>
      </c>
      <c r="H202" s="9" t="inlineStr">
        <is>
          <t>Đạt Việt Phát Land</t>
        </is>
      </c>
    </row>
    <row r="203" ht="15.75" customHeight="1" s="56">
      <c r="A203" s="9" t="inlineStr">
        <is>
          <t>010/BK-2026</t>
        </is>
      </c>
      <c r="B203" s="9" t="inlineStr">
        <is>
          <t>Hồng Thế Phương</t>
        </is>
      </c>
      <c r="C203" s="9" t="inlineStr">
        <is>
          <t>Kiểm tra hiện trạng</t>
        </is>
      </c>
      <c r="D203" s="55" t="n">
        <v>46034</v>
      </c>
      <c r="E203" s="9" t="n">
        <v>50</v>
      </c>
      <c r="F203" s="9" t="n">
        <v>0</v>
      </c>
      <c r="G203" s="9" t="n">
        <v>50</v>
      </c>
      <c r="H203" s="9" t="inlineStr">
        <is>
          <t>Cô Hoa</t>
        </is>
      </c>
    </row>
    <row r="204" ht="15.75" customHeight="1" s="56">
      <c r="A204" s="9" t="inlineStr">
        <is>
          <t>011/BK-2026</t>
        </is>
      </c>
      <c r="B204" s="9" t="inlineStr">
        <is>
          <t>Hồng Thế Phương</t>
        </is>
      </c>
      <c r="C204" s="9" t="inlineStr">
        <is>
          <t>Kiểm tra hiện trạng</t>
        </is>
      </c>
      <c r="D204" s="55" t="n">
        <v>46034</v>
      </c>
      <c r="E204" s="9" t="n">
        <v>50</v>
      </c>
      <c r="F204" s="9" t="n">
        <v>0</v>
      </c>
      <c r="G204" s="9" t="n">
        <v>50</v>
      </c>
      <c r="H204" s="9" t="inlineStr">
        <is>
          <t>Cô Hoa</t>
        </is>
      </c>
    </row>
    <row r="205" ht="15.75" customHeight="1" s="56">
      <c r="A205" s="9" t="inlineStr">
        <is>
          <t>012/BK-2026</t>
        </is>
      </c>
      <c r="B205" s="9" t="inlineStr">
        <is>
          <t>Phạm Thị Trang</t>
        </is>
      </c>
      <c r="C205" s="9" t="inlineStr">
        <is>
          <t>Cấp đổi</t>
        </is>
      </c>
      <c r="D205" s="55" t="n">
        <v>46033</v>
      </c>
      <c r="E205" s="9" t="n">
        <v>40000000</v>
      </c>
      <c r="F205" s="9" t="n">
        <v>20000000</v>
      </c>
      <c r="G205" s="9" t="n">
        <v>20000000</v>
      </c>
      <c r="H205" s="9" t="inlineStr">
        <is>
          <t>Cô Hoa</t>
        </is>
      </c>
    </row>
    <row r="206" ht="15.75" customHeight="1" s="56">
      <c r="A206" s="9" t="inlineStr">
        <is>
          <t>013/BK-2026</t>
        </is>
      </c>
      <c r="B206" s="9" t="inlineStr">
        <is>
          <t>Nguyễn Thanh Tùng</t>
        </is>
      </c>
      <c r="C206" s="9" t="inlineStr">
        <is>
          <t>Cấp đổi</t>
        </is>
      </c>
      <c r="D206" s="55" t="n">
        <v>46033</v>
      </c>
      <c r="E206" s="9" t="n">
        <v>12000000</v>
      </c>
      <c r="F206" s="9" t="n">
        <v>5000000</v>
      </c>
      <c r="G206" s="9" t="n">
        <v>7000000</v>
      </c>
      <c r="H206" s="9" t="inlineStr">
        <is>
          <t>Công Ty</t>
        </is>
      </c>
    </row>
    <row r="207" ht="15.75" customHeight="1" s="56">
      <c r="A207" s="9" t="inlineStr">
        <is>
          <t>014/BK-2026</t>
        </is>
      </c>
      <c r="B207" s="9" t="inlineStr">
        <is>
          <t>Nguyễn Thanh Tùng</t>
        </is>
      </c>
      <c r="C207" s="9" t="inlineStr">
        <is>
          <t>Đo GPS</t>
        </is>
      </c>
      <c r="D207" s="55" t="n">
        <v>46033</v>
      </c>
      <c r="E207" s="9" t="n">
        <v>1</v>
      </c>
      <c r="F207" s="9" t="n">
        <v>1</v>
      </c>
      <c r="G207" s="9" t="n">
        <v>0</v>
      </c>
      <c r="H207" s="9" t="inlineStr">
        <is>
          <t>Công Ty</t>
        </is>
      </c>
    </row>
    <row r="208" ht="15.75" customHeight="1" s="56">
      <c r="A208" s="9" t="inlineStr">
        <is>
          <t>015/BK-2026</t>
        </is>
      </c>
      <c r="B208" s="9" t="inlineStr">
        <is>
          <t>Nguyễn Trần Ngọc Khoa</t>
        </is>
      </c>
      <c r="C208" s="9" t="inlineStr">
        <is>
          <t>Kiểm tra hiện trạng</t>
        </is>
      </c>
      <c r="D208" s="55" t="n">
        <v>46033</v>
      </c>
      <c r="E208" s="9" t="n">
        <v>1</v>
      </c>
      <c r="F208" s="9" t="n">
        <v>1</v>
      </c>
      <c r="G208" s="9" t="n">
        <v>0</v>
      </c>
      <c r="H208" s="9" t="inlineStr">
        <is>
          <t>Công Ty</t>
        </is>
      </c>
    </row>
    <row r="209" ht="15.75" customHeight="1" s="56">
      <c r="A209" s="9" t="inlineStr">
        <is>
          <t>016/BK-2026</t>
        </is>
      </c>
      <c r="B209" s="9" t="inlineStr">
        <is>
          <t>Nguyễn Trung Thông</t>
        </is>
      </c>
      <c r="C209" s="9" t="inlineStr">
        <is>
          <t>Cấp đổi</t>
        </is>
      </c>
      <c r="D209" s="55" t="n">
        <v>46033</v>
      </c>
      <c r="E209" s="9" t="n">
        <v>27000000</v>
      </c>
      <c r="F209" s="9" t="n">
        <v>27000000</v>
      </c>
      <c r="G209" s="9" t="n">
        <v>0</v>
      </c>
      <c r="H209" s="9" t="inlineStr">
        <is>
          <t>Cô Hoa</t>
        </is>
      </c>
    </row>
    <row r="210" ht="15.75" customHeight="1" s="56">
      <c r="A210" s="9" t="inlineStr">
        <is>
          <t>017/BK-2026</t>
        </is>
      </c>
      <c r="B210" s="9" t="inlineStr">
        <is>
          <t>Cao Viết Trọng</t>
        </is>
      </c>
      <c r="C210" s="9" t="inlineStr">
        <is>
          <t>Hoàn công</t>
        </is>
      </c>
      <c r="D210" s="55" t="n">
        <v>46033</v>
      </c>
      <c r="E210" s="9" t="n">
        <v>20000000</v>
      </c>
      <c r="F210" s="9" t="n">
        <v>20000000</v>
      </c>
      <c r="G210" s="9" t="n">
        <v>0</v>
      </c>
      <c r="H210" s="9" t="inlineStr">
        <is>
          <t>Tùng Mập</t>
        </is>
      </c>
    </row>
    <row r="211" ht="15.75" customHeight="1" s="56">
      <c r="A211" s="9" t="inlineStr">
        <is>
          <t>018/BK-2026</t>
        </is>
      </c>
      <c r="B211" s="9" t="inlineStr">
        <is>
          <t>Huỳnh Thị Bích Hồng</t>
        </is>
      </c>
      <c r="C211" s="9" t="inlineStr">
        <is>
          <t>Cắm mốc</t>
        </is>
      </c>
      <c r="D211" s="55" t="n">
        <v>46034</v>
      </c>
      <c r="E211" s="9" t="n">
        <v>2500000</v>
      </c>
      <c r="F211" s="9" t="n">
        <v>2500000</v>
      </c>
      <c r="G211" s="9" t="n">
        <v>0</v>
      </c>
      <c r="H211" s="9" t="inlineStr">
        <is>
          <t>Anh Chiến KTS</t>
        </is>
      </c>
    </row>
    <row r="212" ht="15.75" customHeight="1" s="56">
      <c r="A212" s="9" t="inlineStr">
        <is>
          <t>019/BK-2026</t>
        </is>
      </c>
      <c r="B212" s="9" t="inlineStr">
        <is>
          <t>Nguyễn Thị Xuân Lan</t>
        </is>
      </c>
      <c r="C212" s="9" t="inlineStr">
        <is>
          <t>Cắm mốc</t>
        </is>
      </c>
      <c r="D212" s="55" t="n">
        <v>46034</v>
      </c>
      <c r="F212" s="9" t="n">
        <v>0</v>
      </c>
      <c r="H212" s="9" t="inlineStr">
        <is>
          <t>Công Ty</t>
        </is>
      </c>
    </row>
    <row r="213" ht="15.75" customHeight="1" s="56">
      <c r="A213" s="9" t="inlineStr">
        <is>
          <t>020/BK-2026</t>
        </is>
      </c>
      <c r="B213" s="9" t="inlineStr">
        <is>
          <t>Nguyễn Thị Hà</t>
        </is>
      </c>
      <c r="C213" s="9" t="inlineStr">
        <is>
          <t>Cấp đổi</t>
        </is>
      </c>
      <c r="D213" s="55" t="n">
        <v>46034</v>
      </c>
      <c r="E213" s="9" t="n">
        <v>1</v>
      </c>
      <c r="F213" s="9" t="n">
        <v>0</v>
      </c>
      <c r="G213" s="9" t="n">
        <v>1</v>
      </c>
      <c r="H213" s="9" t="inlineStr">
        <is>
          <t>Công Ty</t>
        </is>
      </c>
    </row>
    <row r="214" ht="15.75" customHeight="1" s="56">
      <c r="A214" s="9" t="inlineStr">
        <is>
          <t>021/BK-2026</t>
        </is>
      </c>
      <c r="B214" s="9" t="inlineStr">
        <is>
          <t>Nguyễn Trần Ngọc Khoa</t>
        </is>
      </c>
      <c r="C214" s="9" t="inlineStr">
        <is>
          <t>Cấp đổi</t>
        </is>
      </c>
      <c r="D214" s="55" t="n">
        <v>46034</v>
      </c>
      <c r="E214" s="9" t="n">
        <v>65000000</v>
      </c>
      <c r="F214" s="9" t="n">
        <v>65000000</v>
      </c>
      <c r="G214" s="9" t="n">
        <v>0</v>
      </c>
      <c r="H214" s="9" t="inlineStr">
        <is>
          <t>Công Ty</t>
        </is>
      </c>
    </row>
    <row r="215" ht="15.75" customHeight="1" s="56">
      <c r="A215" s="9" t="inlineStr">
        <is>
          <t>022/BK-2026</t>
        </is>
      </c>
      <c r="B215" s="9" t="inlineStr">
        <is>
          <t>Nguyễn Thanh Tùng</t>
        </is>
      </c>
      <c r="C215" s="9" t="inlineStr">
        <is>
          <t>Cắm mốc</t>
        </is>
      </c>
      <c r="D215" s="55" t="n">
        <v>46037</v>
      </c>
      <c r="E215" s="9" t="n">
        <v>3000000</v>
      </c>
      <c r="F215" s="9" t="n">
        <v>0</v>
      </c>
      <c r="G215" s="9" t="n">
        <v>3000000</v>
      </c>
      <c r="H215" s="9" t="inlineStr">
        <is>
          <t>Công Ty</t>
        </is>
      </c>
    </row>
    <row r="216" ht="15.75" customHeight="1" s="56">
      <c r="A216" s="9" t="inlineStr">
        <is>
          <t>023/BK-2026</t>
        </is>
      </c>
      <c r="B216" s="9" t="inlineStr">
        <is>
          <t>Lê Quý</t>
        </is>
      </c>
      <c r="C216" s="9" t="inlineStr">
        <is>
          <t>Hoàn công</t>
        </is>
      </c>
      <c r="D216" s="55" t="n">
        <v>46037</v>
      </c>
      <c r="E216" s="9" t="n">
        <v>10</v>
      </c>
      <c r="F216" s="9" t="n">
        <v>0</v>
      </c>
      <c r="G216" s="9" t="n">
        <v>10</v>
      </c>
      <c r="H216" s="9" t="inlineStr">
        <is>
          <t>Đạt Việt Phát Land</t>
        </is>
      </c>
    </row>
    <row r="217" ht="15.75" customHeight="1" s="56">
      <c r="A217" s="9" t="inlineStr">
        <is>
          <t>024/BK-2026</t>
        </is>
      </c>
      <c r="B217" s="9" t="inlineStr">
        <is>
          <t>Phạm Thị Giao Linh</t>
        </is>
      </c>
      <c r="C217" s="9" t="inlineStr">
        <is>
          <t>Đo GPS</t>
        </is>
      </c>
      <c r="D217" s="55" t="n">
        <v>46038</v>
      </c>
      <c r="E217" s="9" t="n">
        <v>1</v>
      </c>
      <c r="F217" s="9" t="n">
        <v>0</v>
      </c>
      <c r="G217" s="9" t="n">
        <v>1</v>
      </c>
      <c r="H217" s="9" t="inlineStr">
        <is>
          <t>Tùng Huế DV</t>
        </is>
      </c>
    </row>
    <row r="218" ht="15.75" customHeight="1" s="56">
      <c r="A218" s="9" t="inlineStr">
        <is>
          <t>025/BK-2026</t>
        </is>
      </c>
      <c r="B218" s="9" t="inlineStr">
        <is>
          <t>Lê Thị Nguyệt</t>
        </is>
      </c>
      <c r="C218" s="9" t="inlineStr">
        <is>
          <t>Xác định diện tích</t>
        </is>
      </c>
      <c r="D218" s="55" t="n">
        <v>46038</v>
      </c>
      <c r="E218" s="9" t="n">
        <v>1</v>
      </c>
      <c r="F218" s="9" t="n">
        <v>1</v>
      </c>
      <c r="G218" s="9" t="n">
        <v>0</v>
      </c>
      <c r="H218" s="9" t="inlineStr">
        <is>
          <t>Đạt Việt Phát Land</t>
        </is>
      </c>
    </row>
    <row r="219" ht="15.75" customHeight="1" s="56">
      <c r="A219" s="9" t="inlineStr">
        <is>
          <t>026/BK-2026</t>
        </is>
      </c>
      <c r="B219" s="9" t="inlineStr">
        <is>
          <t>Phạm Thị Trang</t>
        </is>
      </c>
      <c r="C219" s="9" t="inlineStr">
        <is>
          <t>Cắm mốc</t>
        </is>
      </c>
      <c r="D219" s="55" t="n">
        <v>46039</v>
      </c>
      <c r="E219" s="9" t="n">
        <v>1</v>
      </c>
      <c r="F219" s="9" t="n">
        <v>1</v>
      </c>
      <c r="G219" s="9" t="n">
        <v>0</v>
      </c>
      <c r="H219" s="9" t="inlineStr">
        <is>
          <t>Cô Hoa</t>
        </is>
      </c>
    </row>
    <row r="220" ht="15.75" customHeight="1" s="56">
      <c r="A220" s="9" t="inlineStr">
        <is>
          <t>027/BK-2026</t>
        </is>
      </c>
      <c r="B220" s="9" t="inlineStr">
        <is>
          <t>Vũ Thị Nhuần</t>
        </is>
      </c>
      <c r="C220" s="9" t="inlineStr">
        <is>
          <t>Hoàn công</t>
        </is>
      </c>
      <c r="D220" s="55" t="n">
        <v>46039</v>
      </c>
      <c r="E220" s="9" t="n">
        <v>38258000</v>
      </c>
      <c r="F220" s="9" t="n">
        <v>38258000</v>
      </c>
      <c r="G220" s="9" t="n">
        <v>0</v>
      </c>
      <c r="H220" s="9" t="inlineStr">
        <is>
          <t>Công Ty</t>
        </is>
      </c>
    </row>
    <row r="221" ht="15.75" customHeight="1" s="56">
      <c r="A221" s="9" t="inlineStr">
        <is>
          <t>028/BK-2026</t>
        </is>
      </c>
      <c r="B221" s="9" t="inlineStr">
        <is>
          <t>Phạm Hồng Sỹ</t>
        </is>
      </c>
      <c r="C221" s="9" t="inlineStr">
        <is>
          <t>Hoàn công</t>
        </is>
      </c>
      <c r="D221" s="55" t="n">
        <v>46039</v>
      </c>
      <c r="E221" s="9" t="n">
        <v>8000000</v>
      </c>
      <c r="F221" s="9" t="n">
        <v>8000000</v>
      </c>
      <c r="G221" s="9" t="n">
        <v>0</v>
      </c>
      <c r="H221" s="9" t="inlineStr">
        <is>
          <t>Tuấn Lộc</t>
        </is>
      </c>
    </row>
    <row r="222" ht="15.75" customHeight="1" s="56">
      <c r="A222" s="9" t="inlineStr">
        <is>
          <t>029/BK-2026</t>
        </is>
      </c>
      <c r="B222" s="9" t="inlineStr">
        <is>
          <t>Nguyễn Văn Trung</t>
        </is>
      </c>
      <c r="C222" s="9" t="inlineStr">
        <is>
          <t>Hoàn công</t>
        </is>
      </c>
      <c r="D222" s="55" t="n">
        <v>46039</v>
      </c>
      <c r="F222" s="9" t="n">
        <v>5000000</v>
      </c>
      <c r="H222" s="9" t="inlineStr">
        <is>
          <t>Cô Hoa</t>
        </is>
      </c>
    </row>
    <row r="223" ht="15.75" customHeight="1" s="56">
      <c r="A223" s="9" t="inlineStr">
        <is>
          <t>030/BK-2026</t>
        </is>
      </c>
      <c r="B223" s="9" t="inlineStr">
        <is>
          <t>Trần Đức Phú</t>
        </is>
      </c>
      <c r="C223" s="9" t="inlineStr">
        <is>
          <t>Cắm mốc</t>
        </is>
      </c>
      <c r="D223" s="55" t="n">
        <v>46039</v>
      </c>
      <c r="E223" s="9" t="n">
        <v>1</v>
      </c>
      <c r="F223" s="9" t="n">
        <v>1</v>
      </c>
      <c r="G223" s="9" t="n">
        <v>0</v>
      </c>
      <c r="H223" s="9" t="inlineStr">
        <is>
          <t>Hoàng Quân</t>
        </is>
      </c>
    </row>
    <row r="224" ht="15.75" customHeight="1" s="56">
      <c r="A224" s="9" t="inlineStr">
        <is>
          <t>031/BK-2026</t>
        </is>
      </c>
      <c r="B224" s="9" t="inlineStr">
        <is>
          <t>Trần Đình Sỹ Tấn</t>
        </is>
      </c>
      <c r="C224" s="9" t="inlineStr">
        <is>
          <t>Hoàn công</t>
        </is>
      </c>
      <c r="D224" s="55" t="n">
        <v>46040</v>
      </c>
      <c r="E224" s="9" t="n">
        <v>35</v>
      </c>
      <c r="F224" s="9" t="n">
        <v>0</v>
      </c>
      <c r="G224" s="9" t="n">
        <v>35</v>
      </c>
      <c r="H224" s="9" t="inlineStr">
        <is>
          <t>Công Ty</t>
        </is>
      </c>
    </row>
    <row r="225" ht="15.75" customHeight="1" s="56">
      <c r="A225" s="9" t="inlineStr">
        <is>
          <t>032/BK-2026</t>
        </is>
      </c>
      <c r="B225" s="9" t="inlineStr">
        <is>
          <t>Nguyễn Khắc Thọ-Nguyễn Thị Hồng</t>
        </is>
      </c>
      <c r="C225" s="9" t="inlineStr">
        <is>
          <t>Hoàn công</t>
        </is>
      </c>
      <c r="D225" s="55" t="n">
        <v>46040</v>
      </c>
      <c r="E225" s="9" t="n">
        <v>40</v>
      </c>
      <c r="F225" s="9" t="n">
        <v>0</v>
      </c>
      <c r="G225" s="9" t="n">
        <v>40</v>
      </c>
      <c r="H225" s="9" t="inlineStr">
        <is>
          <t>Tạ Khắc Tập</t>
        </is>
      </c>
    </row>
    <row r="226" ht="15.75" customHeight="1" s="56">
      <c r="A226" s="9" t="inlineStr">
        <is>
          <t>033/BK-2026</t>
        </is>
      </c>
      <c r="B226" s="9" t="inlineStr">
        <is>
          <t>Lê Văn Mạnh</t>
        </is>
      </c>
      <c r="C226" s="9" t="inlineStr">
        <is>
          <t>Điều chỉnh bản vẽ</t>
        </is>
      </c>
      <c r="D226" s="55" t="n">
        <v>46040</v>
      </c>
      <c r="E226" s="9" t="n">
        <v>7000000</v>
      </c>
      <c r="F226" s="9" t="n">
        <v>0</v>
      </c>
      <c r="G226" s="9" t="n">
        <v>7000000</v>
      </c>
      <c r="H226" s="9" t="inlineStr">
        <is>
          <t>Công Ty</t>
        </is>
      </c>
    </row>
    <row r="227" ht="15.75" customHeight="1" s="56">
      <c r="A227" s="9" t="inlineStr">
        <is>
          <t>034/BK-2026</t>
        </is>
      </c>
      <c r="B227" s="9" t="inlineStr">
        <is>
          <t>Đỗ Thị Mười</t>
        </is>
      </c>
      <c r="C227" s="9" t="inlineStr">
        <is>
          <t>Điều chỉnh bản vẽ</t>
        </is>
      </c>
      <c r="D227" s="55" t="n">
        <v>46040</v>
      </c>
      <c r="E227" s="9" t="n">
        <v>7000000</v>
      </c>
      <c r="F227" s="9" t="n">
        <v>0</v>
      </c>
      <c r="G227" s="9" t="n">
        <v>7000000</v>
      </c>
      <c r="H227" s="9" t="inlineStr">
        <is>
          <t>Công Ty</t>
        </is>
      </c>
    </row>
    <row r="228" ht="15.75" customHeight="1" s="56">
      <c r="A228" s="9" t="inlineStr">
        <is>
          <t>035/BK-2026</t>
        </is>
      </c>
      <c r="B228" s="9" t="inlineStr">
        <is>
          <t>Nguyễn Thị Trúc Thanh-Hoàng Phi Hải</t>
        </is>
      </c>
      <c r="C228" s="9" t="inlineStr">
        <is>
          <t>Cấp đổi</t>
        </is>
      </c>
      <c r="D228" s="55" t="n">
        <v>46040</v>
      </c>
      <c r="E228" s="9" t="n">
        <v>75000000</v>
      </c>
      <c r="F228" s="9" t="n">
        <v>75000000</v>
      </c>
      <c r="G228" s="9" t="n">
        <v>0</v>
      </c>
      <c r="H228" s="9" t="inlineStr">
        <is>
          <t>Nguyễn Hương DV</t>
        </is>
      </c>
    </row>
    <row r="229" ht="15.75" customHeight="1" s="56">
      <c r="A229" s="9" t="inlineStr">
        <is>
          <t>036/BK-2026</t>
        </is>
      </c>
      <c r="B229" s="9" t="inlineStr">
        <is>
          <t>Phạm Thị Trang</t>
        </is>
      </c>
      <c r="C229" s="9" t="inlineStr">
        <is>
          <t>Đo GPS</t>
        </is>
      </c>
      <c r="D229" s="55" t="n">
        <v>46040</v>
      </c>
      <c r="E229" s="9" t="n">
        <v>1</v>
      </c>
      <c r="F229" s="9" t="n">
        <v>1</v>
      </c>
      <c r="G229" s="9" t="n">
        <v>0</v>
      </c>
      <c r="H229" s="9" t="inlineStr">
        <is>
          <t>Cô Hoa</t>
        </is>
      </c>
    </row>
    <row r="230" ht="15.75" customHeight="1" s="56">
      <c r="A230" s="9" t="inlineStr">
        <is>
          <t>037/BK-2026</t>
        </is>
      </c>
      <c r="B230" s="9" t="inlineStr">
        <is>
          <t>Nguyễn Thị An</t>
        </is>
      </c>
      <c r="C230" s="9" t="inlineStr">
        <is>
          <t>Hoàn công</t>
        </is>
      </c>
      <c r="D230" s="55" t="n">
        <v>46040</v>
      </c>
      <c r="E230" s="9" t="n">
        <v>29500000</v>
      </c>
      <c r="F230" s="9" t="n">
        <v>29500000</v>
      </c>
      <c r="G230" s="9" t="n">
        <v>0</v>
      </c>
      <c r="H230" s="9" t="inlineStr">
        <is>
          <t>Công Ty</t>
        </is>
      </c>
    </row>
    <row r="231" ht="15.75" customHeight="1" s="56">
      <c r="A231" s="9" t="inlineStr">
        <is>
          <t>038/BK-2026</t>
        </is>
      </c>
      <c r="B231" s="9" t="inlineStr">
        <is>
          <t>Nguyễn Thị Cẩm Vân</t>
        </is>
      </c>
      <c r="C231" s="9" t="inlineStr">
        <is>
          <t>Cấp đổi</t>
        </is>
      </c>
      <c r="D231" s="55" t="n">
        <v>46042</v>
      </c>
      <c r="E231" s="9" t="n">
        <v>20000000</v>
      </c>
      <c r="F231" s="9" t="n">
        <v>3</v>
      </c>
      <c r="G231" s="9" t="n">
        <v>19999997</v>
      </c>
      <c r="H231" s="9" t="inlineStr">
        <is>
          <t>Công Ty</t>
        </is>
      </c>
    </row>
    <row r="232" ht="15.75" customHeight="1" s="56">
      <c r="A232" s="9" t="inlineStr">
        <is>
          <t>039/BK-2026</t>
        </is>
      </c>
      <c r="B232" s="9" t="inlineStr">
        <is>
          <t>Trương Thị Ngọc Mai</t>
        </is>
      </c>
      <c r="C232" s="9" t="inlineStr">
        <is>
          <t>Cắm mốc</t>
        </is>
      </c>
      <c r="D232" s="55" t="n">
        <v>46042</v>
      </c>
      <c r="E232" s="9" t="n">
        <v>3000000</v>
      </c>
      <c r="F232" s="9" t="n">
        <v>3000000</v>
      </c>
      <c r="G232" s="9" t="n">
        <v>0</v>
      </c>
      <c r="H232" s="9" t="inlineStr">
        <is>
          <t>Công Ty</t>
        </is>
      </c>
    </row>
    <row r="233" ht="15.75" customHeight="1" s="56">
      <c r="A233" s="9" t="inlineStr">
        <is>
          <t>040/BK-2026</t>
        </is>
      </c>
      <c r="B233" s="9" t="inlineStr">
        <is>
          <t>Cắm mốc Tuấn BK</t>
        </is>
      </c>
      <c r="C233" s="9" t="inlineStr">
        <is>
          <t>Cắm mốc</t>
        </is>
      </c>
      <c r="D233" s="55" t="n">
        <v>46043</v>
      </c>
      <c r="E233" s="9" t="n">
        <v>3000000</v>
      </c>
      <c r="F233" s="9" t="n">
        <v>3000000</v>
      </c>
      <c r="G233" s="9" t="n">
        <v>0</v>
      </c>
      <c r="H233" s="9" t="inlineStr">
        <is>
          <t>Tuấn Lộc</t>
        </is>
      </c>
    </row>
    <row r="234" ht="15.75" customHeight="1" s="56">
      <c r="A234" s="9" t="inlineStr">
        <is>
          <t>041/BK-2026</t>
        </is>
      </c>
      <c r="B234" s="9" t="inlineStr">
        <is>
          <t>Đinh Văn Long</t>
        </is>
      </c>
      <c r="C234" s="9" t="inlineStr">
        <is>
          <t>Hoàn công</t>
        </is>
      </c>
      <c r="D234" s="55" t="n">
        <v>46044</v>
      </c>
      <c r="E234" s="9" t="n">
        <v>100</v>
      </c>
      <c r="F234" s="9" t="n">
        <v>0</v>
      </c>
      <c r="G234" s="9" t="n">
        <v>100</v>
      </c>
      <c r="H234" s="9" t="inlineStr">
        <is>
          <t>Đạt Việt Phát Land</t>
        </is>
      </c>
    </row>
    <row r="235" ht="15.75" customHeight="1" s="56">
      <c r="A235" s="9" t="inlineStr">
        <is>
          <t>042/BK-2026</t>
        </is>
      </c>
      <c r="B235" s="9" t="inlineStr">
        <is>
          <t>Lê Thị Nguyệt</t>
        </is>
      </c>
      <c r="C235" s="9" t="inlineStr">
        <is>
          <t>Xác định diện tích</t>
        </is>
      </c>
      <c r="D235" s="55" t="n">
        <v>46044</v>
      </c>
      <c r="E235" s="9" t="n">
        <v>1</v>
      </c>
      <c r="F235" s="9" t="n">
        <v>1</v>
      </c>
      <c r="G235" s="9" t="n">
        <v>0</v>
      </c>
      <c r="H235" s="9" t="inlineStr">
        <is>
          <t>Đạt Việt Phát Land</t>
        </is>
      </c>
    </row>
    <row r="236" ht="15.75" customHeight="1" s="56">
      <c r="A236" s="9" t="inlineStr">
        <is>
          <t>043/BK-2026</t>
        </is>
      </c>
      <c r="B236" s="9" t="inlineStr">
        <is>
          <t>Võ Văn Hoa</t>
        </is>
      </c>
      <c r="C236" s="9" t="inlineStr">
        <is>
          <t>Xác định diện tích</t>
        </is>
      </c>
      <c r="D236" s="55" t="n">
        <v>46044</v>
      </c>
      <c r="E236" s="9" t="n">
        <v>1</v>
      </c>
      <c r="F236" s="9" t="n">
        <v>1</v>
      </c>
      <c r="G236" s="9" t="n">
        <v>0</v>
      </c>
      <c r="H236" s="9" t="inlineStr">
        <is>
          <t>Công Ty</t>
        </is>
      </c>
    </row>
    <row r="237" ht="15.75" customHeight="1" s="56">
      <c r="A237" s="9" t="inlineStr">
        <is>
          <t>044/BK-2026</t>
        </is>
      </c>
      <c r="B237" s="9" t="inlineStr">
        <is>
          <t>Lê Quang Đạo</t>
        </is>
      </c>
      <c r="C237" s="9" t="inlineStr">
        <is>
          <t>Hoàn công</t>
        </is>
      </c>
      <c r="D237" s="55" t="n">
        <v>46044</v>
      </c>
      <c r="E237" s="9" t="n">
        <v>1</v>
      </c>
      <c r="F237" s="9" t="n">
        <v>1</v>
      </c>
      <c r="G237" s="9" t="n">
        <v>0</v>
      </c>
      <c r="H237" s="9" t="inlineStr">
        <is>
          <t>Chị Phấn DV</t>
        </is>
      </c>
    </row>
    <row r="238" ht="15.75" customHeight="1" s="56">
      <c r="A238" s="9" t="inlineStr">
        <is>
          <t>045/BK-2026</t>
        </is>
      </c>
      <c r="B238" s="9" t="inlineStr">
        <is>
          <t>Phan Thanh Phong</t>
        </is>
      </c>
      <c r="C238" s="9" t="inlineStr">
        <is>
          <t>Xác định diện tích</t>
        </is>
      </c>
      <c r="D238" s="55" t="n">
        <v>46045</v>
      </c>
      <c r="E238" s="9" t="n">
        <v>3000000</v>
      </c>
      <c r="F238" s="9" t="n">
        <v>3000000</v>
      </c>
      <c r="G238" s="9" t="n">
        <v>0</v>
      </c>
      <c r="H238" s="9" t="inlineStr">
        <is>
          <t>Anh Long PCT</t>
        </is>
      </c>
    </row>
    <row r="239" ht="15.75" customHeight="1" s="56">
      <c r="A239" s="9" t="inlineStr">
        <is>
          <t>046/BK-2026</t>
        </is>
      </c>
      <c r="B239" s="9" t="inlineStr">
        <is>
          <t>Nguyễn Tiến Quân</t>
        </is>
      </c>
      <c r="C239" s="9" t="inlineStr">
        <is>
          <t>Cấp đổi</t>
        </is>
      </c>
      <c r="D239" s="55" t="n">
        <v>46045</v>
      </c>
      <c r="F239" s="9" t="n">
        <v>0</v>
      </c>
      <c r="H239" s="9" t="inlineStr">
        <is>
          <t>Hoàng Cương BĐS</t>
        </is>
      </c>
    </row>
    <row r="240" ht="15.75" customHeight="1" s="56">
      <c r="A240" s="9" t="inlineStr">
        <is>
          <t>047/BK-2026</t>
        </is>
      </c>
      <c r="B240" s="9" t="inlineStr">
        <is>
          <t>Đặng Thị Kim Thiện</t>
        </is>
      </c>
      <c r="C240" s="9" t="inlineStr">
        <is>
          <t>Cấp đổi</t>
        </is>
      </c>
      <c r="D240" s="55" t="n">
        <v>46046</v>
      </c>
      <c r="E240" s="9" t="n">
        <v>45000000</v>
      </c>
      <c r="F240" s="9" t="n">
        <v>45000000</v>
      </c>
      <c r="G240" s="9" t="n">
        <v>0</v>
      </c>
      <c r="H240" s="9" t="inlineStr">
        <is>
          <t>Chị Phấn DV</t>
        </is>
      </c>
    </row>
    <row r="241" ht="15.75" customHeight="1" s="56">
      <c r="A241" s="9" t="inlineStr">
        <is>
          <t>048/BK-2026</t>
        </is>
      </c>
      <c r="B241" s="9" t="inlineStr">
        <is>
          <t>Phạm Thị Giao Linh</t>
        </is>
      </c>
      <c r="C241" s="9" t="inlineStr">
        <is>
          <t>Cắm mốc</t>
        </is>
      </c>
      <c r="D241" s="55" t="n">
        <v>46046</v>
      </c>
      <c r="E241" s="9" t="n">
        <v>3000000</v>
      </c>
      <c r="F241" s="9" t="n">
        <v>3000000</v>
      </c>
      <c r="G241" s="9" t="n">
        <v>0</v>
      </c>
      <c r="H241" s="9" t="inlineStr">
        <is>
          <t>Tùng Huế DV</t>
        </is>
      </c>
    </row>
    <row r="242" ht="15.75" customHeight="1" s="56">
      <c r="A242" s="9" t="inlineStr">
        <is>
          <t>049/BK-2026</t>
        </is>
      </c>
      <c r="B242" s="9" t="inlineStr">
        <is>
          <t>Tống Thị Mỹ Trang</t>
        </is>
      </c>
      <c r="C242" s="9" t="inlineStr">
        <is>
          <t>Hoàn công</t>
        </is>
      </c>
      <c r="D242" s="55" t="n">
        <v>46046</v>
      </c>
      <c r="E242" s="9" t="n">
        <v>10</v>
      </c>
      <c r="F242" s="9" t="n">
        <v>0</v>
      </c>
      <c r="G242" s="9" t="n">
        <v>10</v>
      </c>
      <c r="H242" s="9" t="inlineStr">
        <is>
          <t>Đạt Việt Phát Land</t>
        </is>
      </c>
    </row>
    <row r="243" ht="15.75" customHeight="1" s="56">
      <c r="A243" s="9" t="inlineStr">
        <is>
          <t>050/BK-2026</t>
        </is>
      </c>
      <c r="B243" s="9" t="inlineStr">
        <is>
          <t>Đinh Văn Hòa</t>
        </is>
      </c>
      <c r="C243" s="9" t="inlineStr">
        <is>
          <t>Cấp đổi</t>
        </is>
      </c>
      <c r="D243" s="55" t="n">
        <v>46047</v>
      </c>
      <c r="F243" s="9" t="n">
        <v>0</v>
      </c>
      <c r="H243" s="9" t="inlineStr">
        <is>
          <t>Anh Tùng Bất Động Sản</t>
        </is>
      </c>
    </row>
    <row r="244" ht="15.75" customHeight="1" s="56">
      <c r="A244" s="9" t="inlineStr">
        <is>
          <t>051/BK-2026</t>
        </is>
      </c>
      <c r="B244" s="9" t="inlineStr">
        <is>
          <t>Đinh Văn Hòa</t>
        </is>
      </c>
      <c r="C244" s="9" t="inlineStr">
        <is>
          <t>Cắm mốc</t>
        </is>
      </c>
      <c r="D244" s="55" t="n">
        <v>46048</v>
      </c>
      <c r="F244" s="9" t="n">
        <v>0</v>
      </c>
      <c r="H244" s="9" t="inlineStr">
        <is>
          <t>Anh Tùng Bất Động Sản</t>
        </is>
      </c>
    </row>
    <row r="245" ht="15.75" customHeight="1" s="56">
      <c r="A245" s="9" t="inlineStr">
        <is>
          <t>052/BK-2026</t>
        </is>
      </c>
      <c r="B245" s="9" t="inlineStr">
        <is>
          <t>Lê Thị Thu Hiền</t>
        </is>
      </c>
      <c r="C245" s="9" t="inlineStr">
        <is>
          <t>Xin phép xây dựng</t>
        </is>
      </c>
      <c r="D245" s="55" t="n">
        <v>46051</v>
      </c>
      <c r="F245" s="9" t="n">
        <v>0</v>
      </c>
      <c r="H245" s="9" t="inlineStr">
        <is>
          <t>Công Ty</t>
        </is>
      </c>
    </row>
    <row r="246" ht="15.75" customHeight="1" s="56">
      <c r="A246" s="9" t="inlineStr">
        <is>
          <t>053/BK-2026</t>
        </is>
      </c>
      <c r="B246" s="9" t="inlineStr">
        <is>
          <t>Nguyễn Hữu Cường</t>
        </is>
      </c>
      <c r="C246" s="9" t="inlineStr">
        <is>
          <t>Cấp đổi</t>
        </is>
      </c>
      <c r="D246" s="55" t="n">
        <v>46048</v>
      </c>
      <c r="E246" s="9" t="n">
        <v>12000000</v>
      </c>
      <c r="F246" s="9" t="n">
        <v>6000000</v>
      </c>
      <c r="G246" s="9" t="n">
        <v>6000000</v>
      </c>
      <c r="H246" s="9" t="inlineStr">
        <is>
          <t>Công Ty</t>
        </is>
      </c>
    </row>
    <row r="247" ht="15.75" customHeight="1" s="56">
      <c r="A247" s="9" t="inlineStr">
        <is>
          <t>054/BK-2026</t>
        </is>
      </c>
      <c r="B247" s="9" t="inlineStr">
        <is>
          <t>Trần Thị Ngọc Minh</t>
        </is>
      </c>
      <c r="C247" s="9" t="inlineStr">
        <is>
          <t>Cấp đổi</t>
        </is>
      </c>
      <c r="D247" s="55" t="n">
        <v>46049</v>
      </c>
      <c r="F247" s="9" t="n">
        <v>0</v>
      </c>
      <c r="H247" s="9" t="inlineStr">
        <is>
          <t>Anh Tùng Bất Động Sản</t>
        </is>
      </c>
    </row>
    <row r="248" ht="15.75" customHeight="1" s="56">
      <c r="A248" s="9" t="inlineStr">
        <is>
          <t>055/BK-2026</t>
        </is>
      </c>
      <c r="B248" s="9" t="inlineStr">
        <is>
          <t>Đỗ Hoàng Sang</t>
        </is>
      </c>
      <c r="C248" s="9" t="inlineStr">
        <is>
          <t>Điều chỉnh bản vẽ</t>
        </is>
      </c>
      <c r="D248" s="55" t="n">
        <v>46049</v>
      </c>
      <c r="E248" s="9" t="n">
        <v>8000000</v>
      </c>
      <c r="F248" s="9" t="n">
        <v>4000000</v>
      </c>
      <c r="G248" s="9" t="n">
        <v>4000000</v>
      </c>
      <c r="H248" s="9" t="inlineStr">
        <is>
          <t>Công Ty</t>
        </is>
      </c>
    </row>
    <row r="249" ht="15.75" customHeight="1" s="56">
      <c r="A249" s="9" t="inlineStr">
        <is>
          <t>056/BK-2026</t>
        </is>
      </c>
      <c r="B249" s="9" t="inlineStr">
        <is>
          <t>Đào Thị Huyền Nhung</t>
        </is>
      </c>
      <c r="C249" s="9" t="inlineStr">
        <is>
          <t>Xin phép xây dựng</t>
        </is>
      </c>
      <c r="D249" s="55" t="n">
        <v>46051</v>
      </c>
      <c r="E249" s="9" t="n">
        <v>11000000</v>
      </c>
      <c r="F249" s="9" t="n">
        <v>11000000</v>
      </c>
      <c r="G249" s="9" t="n">
        <v>0</v>
      </c>
      <c r="H249" s="9" t="inlineStr">
        <is>
          <t>Đạt Việt Phát Land</t>
        </is>
      </c>
    </row>
    <row r="250" ht="15.75" customHeight="1" s="56">
      <c r="A250" s="9" t="inlineStr">
        <is>
          <t>057/BK-2026</t>
        </is>
      </c>
      <c r="B250" s="9" t="inlineStr">
        <is>
          <t>Nguyễn Thị Phượng</t>
        </is>
      </c>
      <c r="C250" s="9" t="inlineStr">
        <is>
          <t>Điều chỉnh bản vẽ</t>
        </is>
      </c>
      <c r="D250" s="55" t="n">
        <v>46048</v>
      </c>
      <c r="E250" s="9" t="n">
        <v>50000000</v>
      </c>
      <c r="F250" s="9" t="n">
        <v>50000000</v>
      </c>
      <c r="G250" s="9" t="n">
        <v>0</v>
      </c>
      <c r="H250" s="9" t="inlineStr">
        <is>
          <t>Chị Phấn DV</t>
        </is>
      </c>
    </row>
    <row r="251" ht="15.75" customHeight="1" s="56">
      <c r="A251" s="9" t="inlineStr">
        <is>
          <t>058/BK-2026</t>
        </is>
      </c>
      <c r="B251" s="9" t="inlineStr">
        <is>
          <t>Lưu Sanh Đạt</t>
        </is>
      </c>
      <c r="C251" s="9" t="inlineStr">
        <is>
          <t>Xin phép xây dựng</t>
        </is>
      </c>
      <c r="D251" s="55" t="n">
        <v>46051</v>
      </c>
      <c r="F251" s="9" t="n">
        <v>0</v>
      </c>
      <c r="H251" s="9" t="inlineStr">
        <is>
          <t>Đạt Việt Phát Land</t>
        </is>
      </c>
    </row>
    <row r="252" ht="15.75" customHeight="1" s="56">
      <c r="A252" s="9" t="inlineStr">
        <is>
          <t>059/BK-2026</t>
        </is>
      </c>
      <c r="B252" s="9" t="inlineStr">
        <is>
          <t>Đặng Văn Lẹ</t>
        </is>
      </c>
      <c r="C252" s="9" t="inlineStr">
        <is>
          <t>Cắm mốc</t>
        </is>
      </c>
      <c r="D252" s="55" t="n">
        <v>46052</v>
      </c>
      <c r="E252" s="9" t="n">
        <v>2500000</v>
      </c>
      <c r="F252" s="9" t="n">
        <v>0</v>
      </c>
      <c r="G252" s="9" t="n">
        <v>2500000</v>
      </c>
      <c r="H252" s="9" t="inlineStr">
        <is>
          <t>Anh Long PCT</t>
        </is>
      </c>
    </row>
    <row r="253" ht="15.75" customHeight="1" s="56">
      <c r="A253" s="9" t="inlineStr">
        <is>
          <t>060/BK-2026</t>
        </is>
      </c>
      <c r="B253" s="9" t="inlineStr">
        <is>
          <t>Đặng Văn Lẹ</t>
        </is>
      </c>
      <c r="C253" s="9" t="inlineStr">
        <is>
          <t>Chuyển mục đích</t>
        </is>
      </c>
      <c r="D253" s="55" t="n">
        <v>46052</v>
      </c>
      <c r="E253" s="9" t="n">
        <v>18000000</v>
      </c>
      <c r="F253" s="9" t="n">
        <v>0</v>
      </c>
      <c r="G253" s="9" t="n">
        <v>18000000</v>
      </c>
      <c r="H253" s="9" t="inlineStr">
        <is>
          <t>Anh Long PCT</t>
        </is>
      </c>
    </row>
    <row r="254" ht="15.75" customHeight="1" s="56">
      <c r="A254" s="9" t="inlineStr">
        <is>
          <t>061-1/BK-2026</t>
        </is>
      </c>
      <c r="B254" s="9" t="inlineStr">
        <is>
          <t>Bùi Đình Khánh</t>
        </is>
      </c>
      <c r="C254" s="9" t="inlineStr">
        <is>
          <t>Tách Thửa</t>
        </is>
      </c>
      <c r="D254" s="55" t="n">
        <v>46052</v>
      </c>
      <c r="E254" s="9" t="n">
        <v>200</v>
      </c>
      <c r="F254" s="9" t="n">
        <v>0</v>
      </c>
      <c r="G254" s="9" t="n">
        <v>200</v>
      </c>
      <c r="H254" s="9" t="inlineStr">
        <is>
          <t>Công Ty</t>
        </is>
      </c>
    </row>
    <row r="255" ht="15.75" customHeight="1" s="56">
      <c r="A255" s="9" t="inlineStr">
        <is>
          <t>061-2/BK-2026</t>
        </is>
      </c>
      <c r="B255" s="9" t="inlineStr">
        <is>
          <t>Bùi Đình Khánh</t>
        </is>
      </c>
      <c r="C255" s="9" t="inlineStr">
        <is>
          <t>Tách Thửa</t>
        </is>
      </c>
      <c r="D255" s="55" t="n">
        <v>46052</v>
      </c>
      <c r="E255" s="9" t="n">
        <v>200</v>
      </c>
      <c r="F255" s="9" t="n">
        <v>0</v>
      </c>
      <c r="G255" s="9" t="n">
        <v>200</v>
      </c>
      <c r="H255" s="9" t="inlineStr">
        <is>
          <t>Công Ty</t>
        </is>
      </c>
    </row>
    <row r="256" ht="15.75" customHeight="1" s="56">
      <c r="A256" s="9" t="inlineStr">
        <is>
          <t>062/BK-2026</t>
        </is>
      </c>
      <c r="B256" s="9" t="inlineStr">
        <is>
          <t>Nguyễn Thị Hương</t>
        </is>
      </c>
      <c r="C256" s="9" t="inlineStr">
        <is>
          <t>Hoàn công</t>
        </is>
      </c>
      <c r="D256" s="55" t="n">
        <v>46053</v>
      </c>
      <c r="E256" s="9" t="n">
        <v>1</v>
      </c>
      <c r="F256" s="9" t="n">
        <v>1</v>
      </c>
      <c r="G256" s="9" t="n">
        <v>0</v>
      </c>
      <c r="H256" s="9" t="inlineStr">
        <is>
          <t>Công Ty</t>
        </is>
      </c>
    </row>
    <row r="257" ht="15.75" customHeight="1" s="56">
      <c r="A257" s="9" t="inlineStr">
        <is>
          <t>063/BK-2026</t>
        </is>
      </c>
      <c r="B257" s="9" t="inlineStr">
        <is>
          <t>Dương Ngọc Sinh</t>
        </is>
      </c>
      <c r="C257" s="9" t="inlineStr">
        <is>
          <t>Tách Thửa</t>
        </is>
      </c>
      <c r="D257" s="55" t="n">
        <v>46053</v>
      </c>
      <c r="E257" s="9" t="n">
        <v>500000</v>
      </c>
      <c r="F257" s="9" t="n">
        <v>500000</v>
      </c>
      <c r="G257" s="9" t="n">
        <v>0</v>
      </c>
      <c r="H257" s="9" t="inlineStr">
        <is>
          <t>Anh Trường LS</t>
        </is>
      </c>
    </row>
    <row r="258" ht="15.75" customHeight="1" s="56">
      <c r="A258" s="9" t="inlineStr">
        <is>
          <t>064/BK-2026</t>
        </is>
      </c>
      <c r="B258" s="9" t="inlineStr">
        <is>
          <t>Lê Xuân Hưng - Nguyễn Thị Kim Yến</t>
        </is>
      </c>
      <c r="C258" s="9" t="inlineStr">
        <is>
          <t>Cấp sổ lần đầu</t>
        </is>
      </c>
      <c r="D258" s="55" t="n">
        <v>46053</v>
      </c>
      <c r="E258" s="9" t="n">
        <v>350</v>
      </c>
      <c r="F258" s="9" t="n">
        <v>0</v>
      </c>
      <c r="G258" s="9" t="n">
        <v>350</v>
      </c>
      <c r="H258" s="9" t="inlineStr">
        <is>
          <t>Công Ty</t>
        </is>
      </c>
    </row>
    <row r="259" ht="15.75" customHeight="1" s="56">
      <c r="A259" s="9" t="inlineStr">
        <is>
          <t>065/BK-2026</t>
        </is>
      </c>
      <c r="B259" s="9" t="inlineStr">
        <is>
          <t>Phạm Thị Ngọc Điệp</t>
        </is>
      </c>
      <c r="C259" s="9" t="inlineStr">
        <is>
          <t>Cắm mốc</t>
        </is>
      </c>
      <c r="D259" s="55" t="n">
        <v>46052</v>
      </c>
      <c r="E259" s="9" t="n">
        <v>4000000</v>
      </c>
      <c r="F259" s="9" t="n">
        <v>0</v>
      </c>
      <c r="G259" s="9" t="n">
        <v>4000000</v>
      </c>
      <c r="H259" s="9" t="inlineStr">
        <is>
          <t>Công Ty</t>
        </is>
      </c>
    </row>
    <row r="260" ht="15.75" customHeight="1" s="56">
      <c r="A260" s="9" t="inlineStr">
        <is>
          <t>066/BK-2026</t>
        </is>
      </c>
      <c r="B260" s="9" t="inlineStr">
        <is>
          <t>Trần Thị Phước</t>
        </is>
      </c>
      <c r="C260" s="9" t="inlineStr">
        <is>
          <t>Cấp sổ lần đầu</t>
        </is>
      </c>
      <c r="D260" s="55" t="n">
        <v>46054</v>
      </c>
      <c r="F260" s="9" t="n">
        <v>0</v>
      </c>
      <c r="H260" s="9" t="inlineStr">
        <is>
          <t>Chị Phấn DV</t>
        </is>
      </c>
    </row>
    <row r="261" ht="15.75" customHeight="1" s="56">
      <c r="A261" s="9" t="inlineStr">
        <is>
          <t>067/BK-2026</t>
        </is>
      </c>
      <c r="B261" s="9" t="inlineStr">
        <is>
          <t>Đặng Văn Lẹ</t>
        </is>
      </c>
      <c r="C261" s="9" t="inlineStr">
        <is>
          <t>Đo GPS</t>
        </is>
      </c>
      <c r="D261" s="55" t="n">
        <v>46055</v>
      </c>
      <c r="E261" s="9" t="n">
        <v>1</v>
      </c>
      <c r="F261" s="9" t="n">
        <v>1</v>
      </c>
      <c r="G261" s="9" t="n">
        <v>0</v>
      </c>
      <c r="H261" s="9" t="inlineStr">
        <is>
          <t>Anh Long PCT</t>
        </is>
      </c>
    </row>
    <row r="262" ht="15.75" customHeight="1" s="56">
      <c r="A262" s="9" t="inlineStr">
        <is>
          <t>068/BK-2026</t>
        </is>
      </c>
      <c r="B262" s="9" t="inlineStr">
        <is>
          <t>Đặng Văn Lẹ</t>
        </is>
      </c>
      <c r="C262" s="9" t="inlineStr">
        <is>
          <t>Cắm mốc</t>
        </is>
      </c>
      <c r="D262" s="55" t="n">
        <v>46055</v>
      </c>
      <c r="F262" s="9" t="n">
        <v>0</v>
      </c>
      <c r="H262" s="9" t="inlineStr">
        <is>
          <t>Anh Long PCT</t>
        </is>
      </c>
    </row>
    <row r="263" ht="15.75" customHeight="1" s="56">
      <c r="A263" s="9" t="inlineStr">
        <is>
          <t>069/BK-2026</t>
        </is>
      </c>
      <c r="B263" s="9" t="inlineStr">
        <is>
          <t>Nguyễn Hữu Cường</t>
        </is>
      </c>
      <c r="C263" s="9" t="inlineStr">
        <is>
          <t>Đo GPS</t>
        </is>
      </c>
      <c r="D263" s="55" t="n">
        <v>46055</v>
      </c>
      <c r="E263" s="9" t="n">
        <v>1</v>
      </c>
      <c r="F263" s="9" t="n">
        <v>1</v>
      </c>
      <c r="G263" s="9" t="n">
        <v>0</v>
      </c>
      <c r="H263" s="9" t="inlineStr">
        <is>
          <t>Công Ty</t>
        </is>
      </c>
    </row>
    <row r="264" ht="15.75" customHeight="1" s="56">
      <c r="A264" s="9" t="inlineStr">
        <is>
          <t>070/BK-2026</t>
        </is>
      </c>
      <c r="B264" s="9" t="inlineStr">
        <is>
          <t>Đinh Gia Trí</t>
        </is>
      </c>
      <c r="C264" s="9" t="inlineStr">
        <is>
          <t>Xin phép xây dựng</t>
        </is>
      </c>
      <c r="D264" s="55" t="n">
        <v>46055</v>
      </c>
      <c r="E264" s="9" t="n">
        <v>10000000</v>
      </c>
      <c r="F264" s="9" t="n">
        <v>10000000</v>
      </c>
      <c r="G264" s="9" t="n">
        <v>0</v>
      </c>
      <c r="H264" s="9" t="inlineStr">
        <is>
          <t>Công Ty</t>
        </is>
      </c>
    </row>
    <row r="265" ht="15.75" customHeight="1" s="56">
      <c r="A265" s="9" t="inlineStr">
        <is>
          <t>071/BK-2026</t>
        </is>
      </c>
      <c r="B265" s="9" t="inlineStr">
        <is>
          <t>Nguyễn Kim Chi</t>
        </is>
      </c>
      <c r="C265" s="9" t="inlineStr">
        <is>
          <t>Xin phép xây dựng</t>
        </is>
      </c>
      <c r="D265" s="55" t="n">
        <v>46055</v>
      </c>
      <c r="E265" s="9" t="n">
        <v>43000000</v>
      </c>
      <c r="F265" s="9" t="n">
        <v>23000000</v>
      </c>
      <c r="G265" s="9" t="n">
        <v>20000000</v>
      </c>
      <c r="H265" s="9" t="inlineStr">
        <is>
          <t>Công Ty</t>
        </is>
      </c>
    </row>
    <row r="266" ht="15.75" customHeight="1" s="56">
      <c r="A266" s="9" t="inlineStr">
        <is>
          <t>072/BK-2026</t>
        </is>
      </c>
      <c r="B266" s="9" t="inlineStr">
        <is>
          <t>Nguyễn Đình Phan- Nguyễn Thị Sa</t>
        </is>
      </c>
      <c r="C266" s="9" t="inlineStr">
        <is>
          <t>Tách Thửa</t>
        </is>
      </c>
      <c r="D266" s="55" t="n">
        <v>46056</v>
      </c>
      <c r="F266" s="9" t="n">
        <v>0</v>
      </c>
      <c r="H266" s="9" t="inlineStr">
        <is>
          <t>Công Ty</t>
        </is>
      </c>
    </row>
    <row r="267" ht="15.75" customHeight="1" s="56">
      <c r="A267" s="9" t="inlineStr">
        <is>
          <t>073/BK-2026</t>
        </is>
      </c>
      <c r="B267" s="9" t="inlineStr">
        <is>
          <t>Đào Thị Hòa</t>
        </is>
      </c>
      <c r="C267" s="9" t="inlineStr">
        <is>
          <t>Cấp đổi</t>
        </is>
      </c>
      <c r="D267" s="55" t="n">
        <v>46058</v>
      </c>
      <c r="E267" s="9" t="n">
        <v>9000000</v>
      </c>
      <c r="F267" s="9" t="n">
        <v>9000000</v>
      </c>
      <c r="G267" s="9" t="n">
        <v>0</v>
      </c>
      <c r="H267" s="9" t="inlineStr">
        <is>
          <t>Chị Xuân DV</t>
        </is>
      </c>
    </row>
    <row r="268" ht="15.75" customHeight="1" s="56">
      <c r="A268" s="9" t="inlineStr">
        <is>
          <t>074/BK-2026</t>
        </is>
      </c>
      <c r="B268" s="9" t="inlineStr">
        <is>
          <t>Nguyễn Hoàng Phong</t>
        </is>
      </c>
      <c r="C268" s="9" t="inlineStr">
        <is>
          <t>Xác định diện tích</t>
        </is>
      </c>
      <c r="D268" s="55" t="n">
        <v>46058</v>
      </c>
      <c r="E268" s="9" t="n">
        <v>2500000</v>
      </c>
      <c r="F268" s="9" t="n">
        <v>0</v>
      </c>
      <c r="G268" s="9" t="n">
        <v>2500000</v>
      </c>
      <c r="H268" s="9" t="inlineStr">
        <is>
          <t>Đạt Việt Phát Land</t>
        </is>
      </c>
    </row>
    <row r="269" ht="15.75" customHeight="1" s="56">
      <c r="A269" s="9" t="inlineStr">
        <is>
          <t>075/BK-2026</t>
        </is>
      </c>
      <c r="B269" s="9" t="inlineStr">
        <is>
          <t>Hoàng Thị Cúc</t>
        </is>
      </c>
      <c r="C269" s="9" t="inlineStr">
        <is>
          <t>Điều chỉnh bản vẽ</t>
        </is>
      </c>
      <c r="D269" s="55" t="n">
        <v>46059</v>
      </c>
      <c r="E269" s="9" t="n">
        <v>8000000</v>
      </c>
      <c r="F269" s="9" t="n">
        <v>0</v>
      </c>
      <c r="G269" s="9" t="n">
        <v>8000000</v>
      </c>
      <c r="H269" s="9" t="inlineStr">
        <is>
          <t>Công Ty</t>
        </is>
      </c>
    </row>
    <row r="270" ht="15.75" customHeight="1" s="56">
      <c r="A270" s="9" t="inlineStr">
        <is>
          <t>076/BK-2026</t>
        </is>
      </c>
      <c r="B270" s="9" t="inlineStr">
        <is>
          <t>Phan Thị Tố Như</t>
        </is>
      </c>
      <c r="C270" s="9" t="inlineStr">
        <is>
          <t>Xác định diện tích</t>
        </is>
      </c>
      <c r="D270" s="55" t="n">
        <v>46059</v>
      </c>
      <c r="E270" s="9" t="n">
        <v>1</v>
      </c>
      <c r="F270" s="9" t="n">
        <v>1</v>
      </c>
      <c r="G270" s="9" t="n">
        <v>0</v>
      </c>
      <c r="H270" s="9" t="inlineStr">
        <is>
          <t>Anh Long PCT</t>
        </is>
      </c>
    </row>
    <row r="271" ht="15.75" customHeight="1" s="56">
      <c r="A271" s="9" t="inlineStr">
        <is>
          <t>077/BK-2026</t>
        </is>
      </c>
      <c r="B271" s="9" t="inlineStr">
        <is>
          <t>Nguyễn Phạm Hoài Vy</t>
        </is>
      </c>
      <c r="C271" s="9" t="inlineStr">
        <is>
          <t>Xác định diện tích</t>
        </is>
      </c>
      <c r="D271" s="55" t="n">
        <v>46059</v>
      </c>
      <c r="E271" s="9" t="n">
        <v>1</v>
      </c>
      <c r="F271" s="9" t="n">
        <v>1</v>
      </c>
      <c r="G271" s="9" t="n">
        <v>0</v>
      </c>
      <c r="H271" s="9" t="inlineStr">
        <is>
          <t>Anh Long PCT</t>
        </is>
      </c>
    </row>
    <row r="272" ht="15.75" customHeight="1" s="56">
      <c r="A272" s="9" t="inlineStr">
        <is>
          <t>078/BK-2026</t>
        </is>
      </c>
      <c r="B272" s="9" t="inlineStr">
        <is>
          <t>Lê Minh Thạnh</t>
        </is>
      </c>
      <c r="C272" s="9" t="inlineStr">
        <is>
          <t>Cấp đổi</t>
        </is>
      </c>
      <c r="D272" s="55" t="n">
        <v>46060</v>
      </c>
      <c r="E272" s="9" t="n">
        <v>12000000</v>
      </c>
      <c r="F272" s="9" t="n">
        <v>12000000</v>
      </c>
      <c r="G272" s="9" t="n">
        <v>0</v>
      </c>
      <c r="H272" s="9" t="inlineStr">
        <is>
          <t>Công Ty</t>
        </is>
      </c>
    </row>
    <row r="273" ht="15.75" customHeight="1" s="56">
      <c r="A273" s="9" t="inlineStr">
        <is>
          <t>079/BK-2026</t>
        </is>
      </c>
      <c r="B273" s="9" t="inlineStr">
        <is>
          <t>Nguyễn Quỳnh Lê</t>
        </is>
      </c>
      <c r="C273" s="9" t="inlineStr">
        <is>
          <t>Cấp đổi</t>
        </is>
      </c>
      <c r="D273" s="55" t="n">
        <v>46060</v>
      </c>
      <c r="E273" s="9" t="n">
        <v>16000000</v>
      </c>
      <c r="F273" s="9" t="n">
        <v>16000000</v>
      </c>
      <c r="G273" s="9" t="n">
        <v>0</v>
      </c>
      <c r="H273" s="9" t="inlineStr">
        <is>
          <t>Công Ty</t>
        </is>
      </c>
    </row>
    <row r="274" ht="15.75" customHeight="1" s="56">
      <c r="A274" s="9" t="inlineStr">
        <is>
          <t>080/BK-2026</t>
        </is>
      </c>
      <c r="B274" s="9" t="inlineStr">
        <is>
          <t>Nguyễn Thị Ngọc Thảo</t>
        </is>
      </c>
      <c r="C274" s="9" t="inlineStr">
        <is>
          <t>Cắm mốc</t>
        </is>
      </c>
      <c r="D274" s="55" t="n">
        <v>46060</v>
      </c>
      <c r="E274" s="9" t="n">
        <v>2000000</v>
      </c>
      <c r="F274" s="9" t="n">
        <v>0</v>
      </c>
      <c r="G274" s="9" t="n">
        <v>2000000</v>
      </c>
      <c r="H274" s="9" t="inlineStr">
        <is>
          <t>Đạt Việt Phát Land</t>
        </is>
      </c>
    </row>
    <row r="275" ht="15.75" customHeight="1" s="56">
      <c r="A275" s="9" t="inlineStr">
        <is>
          <t>081/BK-2026</t>
        </is>
      </c>
      <c r="B275" s="9" t="inlineStr">
        <is>
          <t>La Thị Thanh Duyên</t>
        </is>
      </c>
      <c r="C275" s="9" t="inlineStr">
        <is>
          <t>Cắm mốc</t>
        </is>
      </c>
      <c r="D275" s="55" t="n">
        <v>46060</v>
      </c>
      <c r="E275" s="9" t="n">
        <v>4000000</v>
      </c>
      <c r="F275" s="9" t="n">
        <v>4000000</v>
      </c>
      <c r="G275" s="9" t="n">
        <v>0</v>
      </c>
      <c r="H275" s="9" t="inlineStr">
        <is>
          <t>Công Ty</t>
        </is>
      </c>
    </row>
    <row r="276" ht="15.75" customHeight="1" s="56">
      <c r="A276" s="9" t="inlineStr">
        <is>
          <t>082/BK-2026</t>
        </is>
      </c>
      <c r="B276" s="9" t="inlineStr">
        <is>
          <t>Nguyễn Thị Hồng Trâm</t>
        </is>
      </c>
      <c r="C276" s="9" t="inlineStr">
        <is>
          <t>Cấp đổi</t>
        </is>
      </c>
      <c r="D276" s="55" t="n">
        <v>46060</v>
      </c>
      <c r="E276" s="9" t="n">
        <v>45000000</v>
      </c>
      <c r="F276" s="9" t="n">
        <v>10000000</v>
      </c>
      <c r="G276" s="9" t="n">
        <v>35000000</v>
      </c>
      <c r="H276" s="9" t="inlineStr">
        <is>
          <t>Cô Hoa</t>
        </is>
      </c>
    </row>
    <row r="277" ht="15.75" customHeight="1" s="56">
      <c r="A277" s="9" t="inlineStr">
        <is>
          <t>083/BK-2026</t>
        </is>
      </c>
      <c r="B277" s="9" t="inlineStr">
        <is>
          <t>Vũ Thị Thùy Trang</t>
        </is>
      </c>
      <c r="C277" s="9" t="inlineStr">
        <is>
          <t>Cấp đổi</t>
        </is>
      </c>
      <c r="D277" s="55" t="n">
        <v>46060</v>
      </c>
      <c r="E277" s="9" t="n">
        <v>500000</v>
      </c>
      <c r="F277" s="9" t="n">
        <v>500000</v>
      </c>
      <c r="G277" s="9" t="n">
        <v>0</v>
      </c>
      <c r="H277" s="9" t="inlineStr">
        <is>
          <t>Công Ty</t>
        </is>
      </c>
    </row>
    <row r="278" ht="15.75" customHeight="1" s="56">
      <c r="A278" s="9" t="inlineStr">
        <is>
          <t>084/BK-2026</t>
        </is>
      </c>
      <c r="B278" s="9" t="inlineStr">
        <is>
          <t>Đinh Văn Hòa</t>
        </is>
      </c>
      <c r="C278" s="9" t="inlineStr">
        <is>
          <t>Xin phép xây dựng</t>
        </is>
      </c>
      <c r="D278" s="55" t="n">
        <v>46060</v>
      </c>
      <c r="F278" s="9" t="n">
        <v>0</v>
      </c>
      <c r="H278" s="9" t="inlineStr">
        <is>
          <t>Anh Tùng Bất Động Sản</t>
        </is>
      </c>
    </row>
    <row r="279" ht="15.75" customHeight="1" s="56">
      <c r="A279" s="9" t="inlineStr">
        <is>
          <t>085/BK-2026</t>
        </is>
      </c>
      <c r="B279" s="9" t="inlineStr">
        <is>
          <t>Lê Tiến Nhật Minh</t>
        </is>
      </c>
      <c r="C279" s="9" t="inlineStr">
        <is>
          <t>Xác định diện tích</t>
        </is>
      </c>
      <c r="D279" s="55" t="n">
        <v>46061</v>
      </c>
      <c r="E279" s="9" t="n">
        <v>1</v>
      </c>
      <c r="F279" s="9" t="n">
        <v>1</v>
      </c>
      <c r="G279" s="9" t="n">
        <v>0</v>
      </c>
      <c r="H279" s="9" t="inlineStr">
        <is>
          <t>Công Ty</t>
        </is>
      </c>
    </row>
    <row r="280" ht="15.75" customHeight="1" s="56">
      <c r="A280" s="9" t="inlineStr">
        <is>
          <t>086/BK-2026</t>
        </is>
      </c>
      <c r="B280" s="9" t="inlineStr">
        <is>
          <t>Đỗ Thị Trang</t>
        </is>
      </c>
      <c r="C280" s="9" t="inlineStr">
        <is>
          <t>Cắm mốc</t>
        </is>
      </c>
      <c r="D280" s="55" t="n">
        <v>46062</v>
      </c>
      <c r="E280" s="9" t="n">
        <v>6000000</v>
      </c>
      <c r="F280" s="9" t="n">
        <v>6000000</v>
      </c>
      <c r="G280" s="9" t="n">
        <v>0</v>
      </c>
      <c r="H280" s="9" t="inlineStr">
        <is>
          <t>Công Ty</t>
        </is>
      </c>
    </row>
    <row r="281" ht="15.75" customHeight="1" s="56">
      <c r="A281" s="9" t="inlineStr">
        <is>
          <t>087/BK-2026</t>
        </is>
      </c>
      <c r="B281" s="9" t="inlineStr">
        <is>
          <t>Đỗ Thị Trang</t>
        </is>
      </c>
      <c r="C281" s="9" t="inlineStr">
        <is>
          <t>Cắm mốc</t>
        </is>
      </c>
      <c r="D281" s="55" t="n">
        <v>46062</v>
      </c>
      <c r="E281" s="9" t="n">
        <v>6000000</v>
      </c>
      <c r="F281" s="9" t="n">
        <v>6000000</v>
      </c>
      <c r="G281" s="9" t="n">
        <v>0</v>
      </c>
      <c r="H281" s="9" t="inlineStr">
        <is>
          <t>Công Ty</t>
        </is>
      </c>
    </row>
    <row r="282" ht="15.75" customHeight="1" s="56">
      <c r="A282" s="9" t="inlineStr">
        <is>
          <t>088/BK-2026</t>
        </is>
      </c>
      <c r="B282" s="9" t="inlineStr">
        <is>
          <t>Nguyễn Quỳnh Lê- Nguyễn Thảo Linh</t>
        </is>
      </c>
      <c r="C282" s="9" t="inlineStr">
        <is>
          <t>Cắm mốc</t>
        </is>
      </c>
      <c r="D282" s="55" t="n">
        <v>46062</v>
      </c>
      <c r="F282" s="9" t="n">
        <v>0</v>
      </c>
      <c r="H282" s="9" t="inlineStr">
        <is>
          <t>Công Ty</t>
        </is>
      </c>
    </row>
    <row r="283" ht="15.75" customHeight="1" s="56">
      <c r="A283" s="9" t="inlineStr">
        <is>
          <t>089/BK-2026</t>
        </is>
      </c>
      <c r="B283" s="9" t="inlineStr">
        <is>
          <t>Phan Xuân Phước-Nguyễn Thị Bích Thủy</t>
        </is>
      </c>
      <c r="C283" s="9" t="inlineStr">
        <is>
          <t>Hoàn công</t>
        </is>
      </c>
      <c r="D283" s="55" t="n">
        <v>46063</v>
      </c>
      <c r="E283" s="9" t="n">
        <v>110000000</v>
      </c>
      <c r="F283" s="9" t="n">
        <v>30000000</v>
      </c>
      <c r="G283" s="9" t="n">
        <v>80000000</v>
      </c>
      <c r="H283" s="9" t="inlineStr">
        <is>
          <t>Công Ty</t>
        </is>
      </c>
    </row>
    <row r="284" ht="15.75" customHeight="1" s="56">
      <c r="A284" s="9" t="inlineStr">
        <is>
          <t>090/BK-2026</t>
        </is>
      </c>
      <c r="B284" s="9" t="inlineStr">
        <is>
          <t>Ngô Thị Việt Hà - Nguyễn Văn Hoàng</t>
        </is>
      </c>
      <c r="C284" s="9" t="inlineStr">
        <is>
          <t>Xin phép xây dựng</t>
        </is>
      </c>
      <c r="D284" s="55" t="n">
        <v>46065</v>
      </c>
      <c r="E284" s="9" t="n">
        <v>15000000</v>
      </c>
      <c r="F284" s="9" t="n">
        <v>5000000</v>
      </c>
      <c r="G284" s="9" t="n">
        <v>10000000</v>
      </c>
      <c r="H284" s="9" t="inlineStr">
        <is>
          <t>Công Ty</t>
        </is>
      </c>
    </row>
    <row r="285" ht="15.75" customHeight="1" s="56">
      <c r="A285" s="9" t="inlineStr">
        <is>
          <t>091/BK-2026</t>
        </is>
      </c>
      <c r="B285" s="9" t="inlineStr">
        <is>
          <t>Tôn Phượng Nga</t>
        </is>
      </c>
      <c r="C285" s="9" t="inlineStr">
        <is>
          <t>Điều chỉnh bản vẽ</t>
        </is>
      </c>
      <c r="D285" s="55" t="n">
        <v>46083</v>
      </c>
      <c r="E285" s="9" t="n">
        <v>1</v>
      </c>
      <c r="F285" s="9" t="n">
        <v>1</v>
      </c>
      <c r="G285" s="9" t="n">
        <v>0</v>
      </c>
      <c r="H285" s="9" t="inlineStr">
        <is>
          <t>Công Ty</t>
        </is>
      </c>
    </row>
    <row r="286" ht="15.75" customHeight="1" s="56">
      <c r="A286" s="9" t="inlineStr">
        <is>
          <t>092/BK-2026</t>
        </is>
      </c>
      <c r="B286" s="9" t="inlineStr">
        <is>
          <t>Phạm Thị Giao Linh</t>
        </is>
      </c>
      <c r="C286" s="9" t="inlineStr">
        <is>
          <t>Điều chỉnh bản vẽ</t>
        </is>
      </c>
      <c r="D286" s="55" t="n">
        <v>46083</v>
      </c>
      <c r="E286" s="9" t="n">
        <v>1</v>
      </c>
      <c r="F286" s="9" t="n">
        <v>1</v>
      </c>
      <c r="G286" s="9" t="n">
        <v>0</v>
      </c>
      <c r="H286" s="9" t="inlineStr">
        <is>
          <t>Tùng Huế DV</t>
        </is>
      </c>
    </row>
    <row r="287" ht="15.75" customHeight="1" s="56">
      <c r="A287" s="9" t="inlineStr">
        <is>
          <t>093/BK-2026</t>
        </is>
      </c>
      <c r="B287" s="9" t="inlineStr">
        <is>
          <t>Thái Thị Bích Vân</t>
        </is>
      </c>
      <c r="C287" s="9" t="inlineStr">
        <is>
          <t>Cắm mốc</t>
        </is>
      </c>
      <c r="D287" s="55" t="n">
        <v>46083</v>
      </c>
      <c r="E287" s="9" t="n">
        <v>3000000</v>
      </c>
      <c r="F287" s="9" t="n">
        <v>0</v>
      </c>
      <c r="G287" s="9" t="n">
        <v>3000000</v>
      </c>
      <c r="H287" s="9" t="inlineStr">
        <is>
          <t>Anh Duẩn DV</t>
        </is>
      </c>
    </row>
    <row r="288" ht="15.75" customHeight="1" s="56">
      <c r="A288" s="9" t="inlineStr">
        <is>
          <t>094/BK-2026</t>
        </is>
      </c>
      <c r="B288" s="9" t="inlineStr">
        <is>
          <t>Lê Quang Thạnh</t>
        </is>
      </c>
      <c r="C288" s="9" t="inlineStr">
        <is>
          <t>Cấp đổi</t>
        </is>
      </c>
      <c r="D288" s="55" t="n">
        <v>46083</v>
      </c>
      <c r="E288" s="9" t="n">
        <v>10000000</v>
      </c>
      <c r="F288" s="9" t="n">
        <v>5000000</v>
      </c>
      <c r="G288" s="9" t="n">
        <v>5000000</v>
      </c>
      <c r="H288" s="9" t="inlineStr">
        <is>
          <t>Công Ty</t>
        </is>
      </c>
    </row>
    <row r="289" ht="15.75" customHeight="1" s="56">
      <c r="A289" s="9" t="inlineStr">
        <is>
          <t>095/BK-2026</t>
        </is>
      </c>
      <c r="B289" s="9" t="inlineStr">
        <is>
          <t>Nguyễn Hoàng Tấn</t>
        </is>
      </c>
      <c r="C289" s="9" t="inlineStr">
        <is>
          <t>Cấp sổ lần đầu</t>
        </is>
      </c>
      <c r="D289" s="55" t="n">
        <v>46086</v>
      </c>
      <c r="F289" s="9" t="n">
        <v>0</v>
      </c>
      <c r="H289" s="9" t="inlineStr">
        <is>
          <t>Nguyễn Tâm DV</t>
        </is>
      </c>
    </row>
    <row r="290" ht="15.75" customHeight="1" s="56">
      <c r="A290" s="9" t="inlineStr">
        <is>
          <t>096/BK-2026</t>
        </is>
      </c>
      <c r="B290" s="9" t="inlineStr">
        <is>
          <t>Nguyễn Quốc Chiến-Trần Thị Thu Hương</t>
        </is>
      </c>
      <c r="C290" s="9" t="inlineStr">
        <is>
          <t>Cấp đổi</t>
        </is>
      </c>
      <c r="D290" s="55" t="n">
        <v>46087</v>
      </c>
      <c r="E290" s="9" t="n">
        <v>10000000</v>
      </c>
      <c r="F290" s="9" t="n">
        <v>10000000</v>
      </c>
      <c r="G290" s="9" t="n">
        <v>0</v>
      </c>
      <c r="H290" s="9" t="inlineStr">
        <is>
          <t>Công Ty</t>
        </is>
      </c>
    </row>
    <row r="291" ht="15.75" customHeight="1" s="56">
      <c r="A291" s="9" t="inlineStr">
        <is>
          <t>097/BK-2026</t>
        </is>
      </c>
      <c r="B291" s="9" t="inlineStr">
        <is>
          <t>Nguyễn Thị Ngọc Thuận</t>
        </is>
      </c>
      <c r="C291" s="9" t="inlineStr">
        <is>
          <t>Hoàn công</t>
        </is>
      </c>
      <c r="D291" s="55" t="n">
        <v>46087</v>
      </c>
      <c r="E291" s="9" t="n">
        <v>8000000</v>
      </c>
      <c r="F291" s="9" t="n">
        <v>0</v>
      </c>
      <c r="G291" s="9" t="n">
        <v>8000000</v>
      </c>
      <c r="H291" s="9" t="inlineStr">
        <is>
          <t>Tuấn Lộc</t>
        </is>
      </c>
    </row>
    <row r="292" ht="15.75" customHeight="1" s="56">
      <c r="A292" s="9" t="inlineStr">
        <is>
          <t>098/BK-2026</t>
        </is>
      </c>
      <c r="B292" s="9" t="inlineStr">
        <is>
          <t>Nguyễn Thị Cẩm Vân</t>
        </is>
      </c>
      <c r="C292" s="9" t="inlineStr">
        <is>
          <t>Cắm mốc</t>
        </is>
      </c>
      <c r="D292" s="55" t="n">
        <v>46088</v>
      </c>
      <c r="F292" s="9" t="n">
        <v>0</v>
      </c>
      <c r="H292" s="9" t="inlineStr">
        <is>
          <t>Công Ty</t>
        </is>
      </c>
    </row>
    <row r="293" ht="15.75" customHeight="1" s="56">
      <c r="A293" s="9" t="inlineStr">
        <is>
          <t>099/BK-2026</t>
        </is>
      </c>
      <c r="B293" s="9" t="inlineStr">
        <is>
          <t>Phan Trong Quang</t>
        </is>
      </c>
      <c r="C293" s="9" t="inlineStr">
        <is>
          <t>Hoàn công</t>
        </is>
      </c>
      <c r="D293" s="55" t="n">
        <v>46088</v>
      </c>
      <c r="F293" s="9" t="n">
        <v>0</v>
      </c>
      <c r="H293" s="9" t="inlineStr">
        <is>
          <t>Công Ty</t>
        </is>
      </c>
    </row>
    <row r="294" ht="15.75" customHeight="1" s="56">
      <c r="A294" s="9" t="inlineStr">
        <is>
          <t>100/BK-2026</t>
        </is>
      </c>
      <c r="B294" s="9" t="inlineStr">
        <is>
          <t>Tô Thị MỸ Nương</t>
        </is>
      </c>
      <c r="C294" s="9" t="inlineStr">
        <is>
          <t>Hoàn công</t>
        </is>
      </c>
      <c r="D294" s="55" t="n">
        <v>46088</v>
      </c>
      <c r="E294" s="9" t="n">
        <v>44000000</v>
      </c>
      <c r="F294" s="9" t="n">
        <v>5000000</v>
      </c>
      <c r="G294" s="9" t="n">
        <v>39000000</v>
      </c>
      <c r="H294" s="9" t="inlineStr">
        <is>
          <t>Tuấn Lộc</t>
        </is>
      </c>
    </row>
    <row r="295" ht="15.75" customHeight="1" s="56">
      <c r="A295" s="9" t="inlineStr">
        <is>
          <t>101/BK-2026</t>
        </is>
      </c>
      <c r="B295" s="9" t="inlineStr">
        <is>
          <t>Lê Quang Thạnh</t>
        </is>
      </c>
      <c r="C295" s="9" t="inlineStr">
        <is>
          <t>Xác định diện tích</t>
        </is>
      </c>
      <c r="D295" s="55" t="n">
        <v>46088</v>
      </c>
      <c r="F295" s="9" t="n">
        <v>0</v>
      </c>
      <c r="H295" s="9" t="inlineStr">
        <is>
          <t>Công Ty</t>
        </is>
      </c>
    </row>
    <row r="296" ht="15.75" customHeight="1" s="56">
      <c r="A296" s="9" t="inlineStr">
        <is>
          <t>102/BK-2026</t>
        </is>
      </c>
      <c r="B296" s="9" t="inlineStr">
        <is>
          <t>Bùi Đình Khánh-Nguyễn Thị Kim Quyên</t>
        </is>
      </c>
      <c r="C296" s="9" t="inlineStr">
        <is>
          <t>Xác định diện tích</t>
        </is>
      </c>
      <c r="D296" s="55" t="n">
        <v>46088</v>
      </c>
      <c r="F296" s="9" t="n">
        <v>0</v>
      </c>
      <c r="H296" s="9" t="inlineStr">
        <is>
          <t>Công Ty</t>
        </is>
      </c>
    </row>
    <row r="297" ht="15.75" customHeight="1" s="56">
      <c r="A297" s="9" t="inlineStr">
        <is>
          <t>103/BK-2026</t>
        </is>
      </c>
      <c r="B297" s="9" t="inlineStr">
        <is>
          <t>Đỗ Thị Trang</t>
        </is>
      </c>
      <c r="C297" s="9" t="inlineStr">
        <is>
          <t>Cắm mốc</t>
        </is>
      </c>
      <c r="D297" s="55" t="n">
        <v>46088</v>
      </c>
      <c r="F297" s="9" t="n">
        <v>0</v>
      </c>
      <c r="H297" s="9" t="inlineStr">
        <is>
          <t>Công Ty</t>
        </is>
      </c>
    </row>
    <row r="298" ht="15.75" customHeight="1" s="56">
      <c r="A298" s="9" t="inlineStr">
        <is>
          <t>104/BK-2026</t>
        </is>
      </c>
      <c r="B298" s="9" t="inlineStr">
        <is>
          <t>Trương Quế Phương</t>
        </is>
      </c>
      <c r="C298" s="9" t="inlineStr">
        <is>
          <t>Cấp sổ lần đầu</t>
        </is>
      </c>
      <c r="D298" s="55" t="n">
        <v>46088</v>
      </c>
      <c r="E298" s="9" t="n">
        <v>5000000</v>
      </c>
      <c r="F298" s="9" t="n">
        <v>5000000</v>
      </c>
      <c r="G298" s="9" t="n">
        <v>0</v>
      </c>
      <c r="H298" s="9" t="inlineStr">
        <is>
          <t>Công Ty</t>
        </is>
      </c>
    </row>
    <row r="299" ht="15.75" customHeight="1" s="56">
      <c r="A299" s="9" t="inlineStr">
        <is>
          <t>105/BK-2026</t>
        </is>
      </c>
      <c r="B299" s="9" t="inlineStr">
        <is>
          <t>Phạm Thị Giao Linh</t>
        </is>
      </c>
      <c r="C299" s="9" t="inlineStr">
        <is>
          <t>Cắm mốc</t>
        </is>
      </c>
      <c r="D299" s="55" t="n">
        <v>46089</v>
      </c>
      <c r="E299" s="9" t="n">
        <v>3</v>
      </c>
      <c r="F299" s="9" t="n">
        <v>0</v>
      </c>
      <c r="G299" s="9" t="n">
        <v>3</v>
      </c>
      <c r="H299" s="9" t="inlineStr">
        <is>
          <t>Tùng Huế DV</t>
        </is>
      </c>
    </row>
    <row r="300" ht="15.75" customHeight="1" s="56">
      <c r="A300" s="9" t="inlineStr">
        <is>
          <t>106/BK-2026</t>
        </is>
      </c>
      <c r="B300" s="9" t="inlineStr">
        <is>
          <t>Trần Phi Long</t>
        </is>
      </c>
      <c r="C300" s="9" t="inlineStr">
        <is>
          <t>Hoàn công</t>
        </is>
      </c>
      <c r="D300" s="55" t="n">
        <v>46090</v>
      </c>
      <c r="E300" s="9" t="n">
        <v>12000000</v>
      </c>
      <c r="F300" s="9" t="n">
        <v>6000000</v>
      </c>
      <c r="G300" s="9" t="n">
        <v>6000000</v>
      </c>
      <c r="H300" s="9" t="inlineStr">
        <is>
          <t>Công Ty</t>
        </is>
      </c>
    </row>
    <row r="301" ht="15.75" customHeight="1" s="56">
      <c r="A301" s="9" t="inlineStr">
        <is>
          <t>107/BK-2026</t>
        </is>
      </c>
      <c r="B301" s="9" t="inlineStr">
        <is>
          <t>Bùi Đình Khánh</t>
        </is>
      </c>
      <c r="C301" s="9" t="inlineStr">
        <is>
          <t>Xin phép xây dựng</t>
        </is>
      </c>
      <c r="D301" s="55" t="n">
        <v>46091</v>
      </c>
      <c r="E301" s="9" t="n">
        <v>1</v>
      </c>
      <c r="F301" s="9" t="n">
        <v>0</v>
      </c>
      <c r="G301" s="9" t="n">
        <v>1</v>
      </c>
      <c r="H301" s="9" t="inlineStr">
        <is>
          <t>Công Ty</t>
        </is>
      </c>
    </row>
    <row r="302" ht="15.75" customHeight="1" s="56">
      <c r="A302" s="9" t="inlineStr">
        <is>
          <t>108/BK-2026</t>
        </is>
      </c>
      <c r="B302" s="9" t="inlineStr">
        <is>
          <t>Đỗ Bình Trọng</t>
        </is>
      </c>
      <c r="C302" s="9" t="inlineStr">
        <is>
          <t>Cấp đổi</t>
        </is>
      </c>
      <c r="D302" s="55" t="n">
        <v>46091</v>
      </c>
      <c r="E302" s="9" t="n">
        <v>50000000</v>
      </c>
      <c r="F302" s="9" t="n">
        <v>25000000</v>
      </c>
      <c r="G302" s="9" t="n">
        <v>25000000</v>
      </c>
      <c r="H302" s="9" t="inlineStr">
        <is>
          <t>Anh Hoàng Nhà Đầu Tư</t>
        </is>
      </c>
    </row>
    <row r="303" ht="15.75" customHeight="1" s="56">
      <c r="A303" s="9" t="inlineStr">
        <is>
          <t>109/BK-2026</t>
        </is>
      </c>
      <c r="B303" s="9" t="inlineStr">
        <is>
          <t>Đỗ Bình Trọng</t>
        </is>
      </c>
      <c r="C303" s="9" t="inlineStr">
        <is>
          <t>Đo GPS</t>
        </is>
      </c>
      <c r="D303" s="55" t="n">
        <v>46093</v>
      </c>
      <c r="F303" s="9" t="n">
        <v>0</v>
      </c>
      <c r="H303" s="9" t="inlineStr">
        <is>
          <t>Anh Hoàng nhà đầu tư</t>
        </is>
      </c>
    </row>
    <row r="304" ht="15.75" customHeight="1" s="56">
      <c r="A304" s="9" t="inlineStr">
        <is>
          <t>110/BK-2026</t>
        </is>
      </c>
      <c r="B304" s="9" t="inlineStr">
        <is>
          <t>Nguyễn Doãn Tuấn</t>
        </is>
      </c>
      <c r="C304" s="9" t="inlineStr">
        <is>
          <t>Cấp sổ lần đầu</t>
        </is>
      </c>
      <c r="D304" s="55" t="n">
        <v>46093</v>
      </c>
      <c r="E304" s="9" t="n">
        <v>12000000</v>
      </c>
      <c r="F304" s="9" t="n">
        <v>6000000</v>
      </c>
      <c r="G304" s="9" t="n">
        <v>6000000</v>
      </c>
      <c r="H304" s="9" t="inlineStr">
        <is>
          <t>Công Ty</t>
        </is>
      </c>
    </row>
    <row r="305" ht="15.75" customHeight="1" s="56">
      <c r="A305" s="9" t="inlineStr">
        <is>
          <t>111/BK-2026</t>
        </is>
      </c>
      <c r="B305" s="9" t="inlineStr">
        <is>
          <t>Nguyễn Doãn Tuấn</t>
        </is>
      </c>
      <c r="C305" s="9" t="inlineStr">
        <is>
          <t>Đo GPS</t>
        </is>
      </c>
      <c r="D305" s="55" t="n">
        <v>46093</v>
      </c>
      <c r="F305" s="9" t="n">
        <v>0</v>
      </c>
      <c r="H305" s="9" t="inlineStr">
        <is>
          <t>Công Ty</t>
        </is>
      </c>
    </row>
    <row r="306" ht="15.75" customHeight="1" s="56">
      <c r="A306" s="9" t="inlineStr">
        <is>
          <t>112/BK-2026</t>
        </is>
      </c>
      <c r="B306" s="9" t="inlineStr">
        <is>
          <t>Đỗ Thị Trang</t>
        </is>
      </c>
      <c r="C306" s="9" t="inlineStr">
        <is>
          <t>Xác định diện tích</t>
        </is>
      </c>
      <c r="D306" s="55" t="n">
        <v>46094</v>
      </c>
      <c r="E306" s="9" t="n">
        <v>1</v>
      </c>
      <c r="F306" s="9" t="n">
        <v>0</v>
      </c>
      <c r="G306" s="9" t="n">
        <v>1</v>
      </c>
      <c r="H306" s="9" t="inlineStr">
        <is>
          <t>Công Ty</t>
        </is>
      </c>
    </row>
    <row r="307" ht="15.75" customHeight="1" s="56">
      <c r="A307" s="9" t="inlineStr">
        <is>
          <t>113/BK-2026</t>
        </is>
      </c>
      <c r="B307" s="9" t="inlineStr">
        <is>
          <t>Đỗ Thị Trang</t>
        </is>
      </c>
      <c r="C307" s="9" t="inlineStr">
        <is>
          <t>Xác định diện tích</t>
        </is>
      </c>
      <c r="D307" s="55" t="n">
        <v>46094</v>
      </c>
      <c r="E307" s="9" t="n">
        <v>2000000</v>
      </c>
      <c r="F307" s="9" t="n">
        <v>2000000</v>
      </c>
      <c r="G307" s="9" t="n">
        <v>0</v>
      </c>
      <c r="H307" s="9" t="inlineStr">
        <is>
          <t>Công Ty</t>
        </is>
      </c>
    </row>
    <row r="308" ht="15.75" customHeight="1" s="56">
      <c r="A308" s="9" t="inlineStr">
        <is>
          <t>114/BK-2026</t>
        </is>
      </c>
      <c r="B308" s="9" t="inlineStr">
        <is>
          <t>Lê Quang Khoa</t>
        </is>
      </c>
      <c r="C308" s="9" t="inlineStr">
        <is>
          <t>Cắm mốc</t>
        </is>
      </c>
      <c r="D308" s="55" t="n">
        <v>46094</v>
      </c>
      <c r="E308" s="9" t="n">
        <v>2000000</v>
      </c>
      <c r="F308" s="9" t="n">
        <v>2000000</v>
      </c>
      <c r="G308" s="9" t="n">
        <v>0</v>
      </c>
      <c r="H308" s="9" t="inlineStr">
        <is>
          <t>Đạt Việt Phát Land</t>
        </is>
      </c>
    </row>
    <row r="309" ht="15.75" customHeight="1" s="56">
      <c r="A309" s="9" t="inlineStr">
        <is>
          <t>115/BK-2026</t>
        </is>
      </c>
      <c r="B309" s="9" t="inlineStr">
        <is>
          <t>Nguyễn Đức Mẫn</t>
        </is>
      </c>
      <c r="C309" s="9" t="inlineStr">
        <is>
          <t>Chuyển mục đích</t>
        </is>
      </c>
      <c r="D309" s="55" t="n">
        <v>46094</v>
      </c>
      <c r="E309" s="9" t="n">
        <v>100000000</v>
      </c>
      <c r="F309" s="9" t="n">
        <v>0</v>
      </c>
      <c r="G309" s="9" t="n">
        <v>100000000</v>
      </c>
      <c r="H309" s="9" t="inlineStr">
        <is>
          <t>Công Ty</t>
        </is>
      </c>
    </row>
    <row r="310" ht="15.75" customHeight="1" s="56">
      <c r="A310" s="9" t="inlineStr">
        <is>
          <t>116/BK-2026</t>
        </is>
      </c>
      <c r="B310" s="9" t="inlineStr">
        <is>
          <t>Trần Phước Vân</t>
        </is>
      </c>
      <c r="C310" s="9" t="inlineStr">
        <is>
          <t>Cắm mốc</t>
        </is>
      </c>
      <c r="D310" s="55" t="n">
        <v>46094</v>
      </c>
      <c r="E310" s="9" t="n">
        <v>2500000</v>
      </c>
      <c r="F310" s="9" t="n">
        <v>2500000</v>
      </c>
      <c r="G310" s="9" t="n">
        <v>0</v>
      </c>
      <c r="H310" s="9" t="inlineStr">
        <is>
          <t>Chinh Đen</t>
        </is>
      </c>
    </row>
    <row r="311" ht="15.75" customHeight="1" s="56">
      <c r="A311" s="9" t="inlineStr">
        <is>
          <t>117/BK-2026</t>
        </is>
      </c>
      <c r="B311" s="9" t="inlineStr">
        <is>
          <t>Đào Minh Quân</t>
        </is>
      </c>
      <c r="C311" s="9" t="inlineStr">
        <is>
          <t>Cấp đổi</t>
        </is>
      </c>
      <c r="D311" s="55" t="n">
        <v>46095</v>
      </c>
      <c r="E311" s="9" t="n">
        <v>12000000</v>
      </c>
      <c r="F311" s="9" t="n">
        <v>6000000</v>
      </c>
      <c r="G311" s="9" t="n">
        <v>6000000</v>
      </c>
      <c r="H311" s="9" t="inlineStr">
        <is>
          <t>Công Ty</t>
        </is>
      </c>
    </row>
    <row r="312" ht="15.75" customHeight="1" s="56">
      <c r="A312" s="9" t="inlineStr">
        <is>
          <t>119/BK-2026</t>
        </is>
      </c>
      <c r="B312" s="9" t="inlineStr">
        <is>
          <t>Đặng Quang Huy</t>
        </is>
      </c>
      <c r="C312" s="9" t="inlineStr">
        <is>
          <t>Hoàn công</t>
        </is>
      </c>
      <c r="D312" s="55" t="n">
        <v>46095</v>
      </c>
      <c r="F312" s="9" t="n">
        <v>0</v>
      </c>
      <c r="H312" s="9" t="inlineStr">
        <is>
          <t>Cô Hoa</t>
        </is>
      </c>
    </row>
    <row r="313" ht="15.75" customHeight="1" s="56">
      <c r="A313" s="9" t="inlineStr">
        <is>
          <t>120/BK-2026</t>
        </is>
      </c>
      <c r="B313" s="9" t="inlineStr">
        <is>
          <t>Nguyễn Xuân Hạnh</t>
        </is>
      </c>
      <c r="C313" s="9" t="inlineStr">
        <is>
          <t>Xác định diện tích</t>
        </is>
      </c>
      <c r="D313" s="55" t="n">
        <v>46095</v>
      </c>
      <c r="E313" s="9" t="n">
        <v>5000000</v>
      </c>
      <c r="F313" s="9" t="n">
        <v>0</v>
      </c>
      <c r="G313" s="9" t="n">
        <v>5000000</v>
      </c>
      <c r="H313" s="9" t="inlineStr">
        <is>
          <t>Công Ty</t>
        </is>
      </c>
    </row>
    <row r="314" ht="15.75" customHeight="1" s="56">
      <c r="A314" s="9" t="inlineStr">
        <is>
          <t>121/BK-2026</t>
        </is>
      </c>
      <c r="B314" s="9" t="inlineStr">
        <is>
          <t>Nguyễn Thị Hoa</t>
        </is>
      </c>
      <c r="C314" s="9" t="inlineStr">
        <is>
          <t>Hoàn công</t>
        </is>
      </c>
      <c r="D314" s="55" t="n">
        <v>46096</v>
      </c>
      <c r="F314" s="9" t="n">
        <v>0</v>
      </c>
      <c r="H314" s="9" t="inlineStr">
        <is>
          <t>Anh Chiến KTS</t>
        </is>
      </c>
    </row>
    <row r="315" ht="15.75" customHeight="1" s="56">
      <c r="A315" s="9" t="inlineStr">
        <is>
          <t>122/BK-2026</t>
        </is>
      </c>
      <c r="B315" s="9" t="inlineStr">
        <is>
          <t>Trần Thanh Khương</t>
        </is>
      </c>
      <c r="C315" s="9" t="inlineStr">
        <is>
          <t>Cấp đổi</t>
        </is>
      </c>
      <c r="D315" s="55" t="n">
        <v>46096</v>
      </c>
      <c r="E315" s="9" t="n">
        <v>2000000</v>
      </c>
      <c r="F315" s="9" t="n">
        <v>2000000</v>
      </c>
      <c r="G315" s="9" t="n">
        <v>0</v>
      </c>
      <c r="H315" s="9" t="inlineStr">
        <is>
          <t>Công Ty</t>
        </is>
      </c>
    </row>
    <row r="316" ht="15.75" customHeight="1" s="56">
      <c r="A316" s="9" t="inlineStr">
        <is>
          <t>123/BK-2026</t>
        </is>
      </c>
      <c r="B316" s="9" t="inlineStr">
        <is>
          <t>Đào Minh Quân</t>
        </is>
      </c>
      <c r="C316" s="9" t="inlineStr">
        <is>
          <t>Cắm mốc</t>
        </is>
      </c>
      <c r="D316" s="55" t="n">
        <v>46097</v>
      </c>
      <c r="E316" s="9" t="n">
        <v>2000000</v>
      </c>
      <c r="F316" s="9" t="n">
        <v>0</v>
      </c>
      <c r="G316" s="9" t="n">
        <v>2000000</v>
      </c>
      <c r="H316" s="9" t="inlineStr">
        <is>
          <t>Công Ty</t>
        </is>
      </c>
    </row>
    <row r="317" ht="15.75" customHeight="1" s="56">
      <c r="A317" s="9" t="inlineStr">
        <is>
          <t>124/BK-2026</t>
        </is>
      </c>
      <c r="B317" s="9" t="inlineStr">
        <is>
          <t>Đặng Khoa Học-Trần Ngọc Thùy Tiên</t>
        </is>
      </c>
      <c r="C317" s="9" t="inlineStr">
        <is>
          <t>Cấp đổi</t>
        </is>
      </c>
      <c r="D317" s="55" t="n">
        <v>46097</v>
      </c>
      <c r="E317" s="9" t="n">
        <v>8000000</v>
      </c>
      <c r="F317" s="9" t="n">
        <v>0</v>
      </c>
      <c r="G317" s="9" t="n">
        <v>8000000</v>
      </c>
      <c r="H317" s="9" t="inlineStr">
        <is>
          <t>Tuấn Lộc</t>
        </is>
      </c>
    </row>
    <row r="318" ht="15.75" customHeight="1" s="56">
      <c r="A318" s="9" t="inlineStr">
        <is>
          <t>125/BK-2026</t>
        </is>
      </c>
      <c r="B318" s="9" t="inlineStr">
        <is>
          <t>Nguyễn Văn Học</t>
        </is>
      </c>
      <c r="C318" s="9" t="inlineStr">
        <is>
          <t>Cấp đổi</t>
        </is>
      </c>
      <c r="D318" s="55" t="n">
        <v>46097</v>
      </c>
      <c r="E318" s="9" t="n">
        <v>12000000</v>
      </c>
      <c r="F318" s="9" t="n">
        <v>6000000</v>
      </c>
      <c r="G318" s="9" t="n">
        <v>6000000</v>
      </c>
      <c r="H318" s="9" t="inlineStr">
        <is>
          <t>Công Ty</t>
        </is>
      </c>
    </row>
    <row r="319" ht="15.75" customHeight="1" s="56">
      <c r="A319" s="9" t="inlineStr">
        <is>
          <t>126/BK-2026</t>
        </is>
      </c>
      <c r="B319" s="9" t="inlineStr">
        <is>
          <t>Trần Văn Giấy</t>
        </is>
      </c>
      <c r="C319" s="9" t="inlineStr">
        <is>
          <t>Hoàn công</t>
        </is>
      </c>
      <c r="D319" s="55" t="n">
        <v>46097</v>
      </c>
      <c r="F319" s="9" t="n">
        <v>0</v>
      </c>
      <c r="H319" s="9" t="inlineStr">
        <is>
          <t>Tuấn Lộc</t>
        </is>
      </c>
    </row>
    <row r="320" ht="15.75" customHeight="1" s="56">
      <c r="A320" s="9" t="inlineStr">
        <is>
          <t>127/BK-2026</t>
        </is>
      </c>
      <c r="B320" s="9" t="inlineStr">
        <is>
          <t>Lê Văn Hoàng</t>
        </is>
      </c>
      <c r="C320" s="9" t="inlineStr">
        <is>
          <t>Cấp đổi</t>
        </is>
      </c>
      <c r="D320" s="55" t="n">
        <v>46097</v>
      </c>
      <c r="F320" s="9" t="n">
        <v>0</v>
      </c>
      <c r="H320" s="9" t="inlineStr">
        <is>
          <t>Cô Hoa</t>
        </is>
      </c>
    </row>
    <row r="321" ht="15.75" customHeight="1" s="56">
      <c r="A321" s="9" t="inlineStr">
        <is>
          <t>128/BK-2026</t>
        </is>
      </c>
      <c r="B321" s="9" t="inlineStr">
        <is>
          <t>Hoàng Nam</t>
        </is>
      </c>
      <c r="C321" s="9" t="inlineStr">
        <is>
          <t>Xin phép xây dựng</t>
        </is>
      </c>
      <c r="D321" s="55" t="n">
        <v>46100</v>
      </c>
      <c r="F321" s="9" t="n">
        <v>0</v>
      </c>
      <c r="H321" s="9" t="inlineStr">
        <is>
          <t>Công Ty</t>
        </is>
      </c>
    </row>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I221"/>
  <sheetViews>
    <sheetView workbookViewId="0">
      <selection activeCell="A1" sqref="A1"/>
    </sheetView>
  </sheetViews>
  <sheetFormatPr baseColWidth="8" defaultColWidth="14.43" defaultRowHeight="15" customHeight="1"/>
  <cols>
    <col width="18" customWidth="1" style="56" min="1" max="3"/>
    <col width="22" customWidth="1" style="56" min="4" max="9"/>
    <col width="8.710000000000001" customWidth="1" style="56" min="10" max="26"/>
  </cols>
  <sheetData>
    <row r="1">
      <c r="A1" s="22" t="inlineStr">
        <is>
          <t>Ngày</t>
        </is>
      </c>
      <c r="B1" s="22" t="inlineStr">
        <is>
          <t>Số chứng từ</t>
        </is>
      </c>
      <c r="C1" s="22" t="inlineStr">
        <is>
          <t>Diễn giải</t>
        </is>
      </c>
      <c r="D1" s="22" t="inlineStr">
        <is>
          <t>Loại</t>
        </is>
      </c>
      <c r="E1" s="22" t="inlineStr">
        <is>
          <t>Hạng mục</t>
        </is>
      </c>
      <c r="F1" s="22" t="inlineStr">
        <is>
          <t>Phòng ban</t>
        </is>
      </c>
      <c r="G1" s="22" t="inlineStr">
        <is>
          <t>Người nhận/nộp</t>
        </is>
      </c>
      <c r="H1" s="22" t="inlineStr">
        <is>
          <t>Hình thức</t>
        </is>
      </c>
      <c r="I1" s="22" t="inlineStr">
        <is>
          <t>Số tiền</t>
        </is>
      </c>
    </row>
    <row r="2">
      <c r="A2" s="55" t="n">
        <v>46097</v>
      </c>
      <c r="B2" s="9" t="inlineStr">
        <is>
          <t>PC-03/2026-085</t>
        </is>
      </c>
      <c r="C2" s="9" t="inlineStr">
        <is>
          <t>Gửi bv bv Hoàng Thị Cúc</t>
        </is>
      </c>
      <c r="D2" s="9" t="inlineStr">
        <is>
          <t>Chi</t>
        </is>
      </c>
      <c r="E2" s="9" t="inlineStr">
        <is>
          <t>Chi bảo vệ</t>
        </is>
      </c>
      <c r="F2" s="9" t="inlineStr">
        <is>
          <t>Phòng Kế toán</t>
        </is>
      </c>
      <c r="G2" s="9" t="inlineStr">
        <is>
          <t>bảo vệ</t>
        </is>
      </c>
      <c r="H2" s="9" t="inlineStr">
        <is>
          <t>Tiền mặt</t>
        </is>
      </c>
      <c r="I2" s="9" t="n">
        <v>50000</v>
      </c>
    </row>
    <row r="3">
      <c r="A3" s="55" t="n">
        <v>46097</v>
      </c>
      <c r="B3" s="9" t="inlineStr">
        <is>
          <t>PC-03/2026-086</t>
        </is>
      </c>
      <c r="C3" s="9" t="inlineStr">
        <is>
          <t>thanh toán trích lục Lê Văn Hoàng</t>
        </is>
      </c>
      <c r="D3" s="9" t="inlineStr">
        <is>
          <t>Chi</t>
        </is>
      </c>
      <c r="E3" s="9" t="inlineStr">
        <is>
          <t>Lấy trích lục</t>
        </is>
      </c>
      <c r="F3" s="9" t="inlineStr">
        <is>
          <t>Phòng Kế toán</t>
        </is>
      </c>
      <c r="G3" s="9" t="inlineStr">
        <is>
          <t>Chi nhánh số 2</t>
        </is>
      </c>
      <c r="H3" s="9" t="inlineStr">
        <is>
          <t>Chuyển khoản</t>
        </is>
      </c>
      <c r="I3" s="9" t="n">
        <v>200000</v>
      </c>
    </row>
    <row r="4">
      <c r="A4" s="55" t="n">
        <v>46097</v>
      </c>
      <c r="B4" s="9" t="inlineStr">
        <is>
          <t>PC-03/2026-087</t>
        </is>
      </c>
      <c r="C4" s="9" t="inlineStr">
        <is>
          <t>gửi chị Huy nộp bản vẽ sáng 16/3</t>
        </is>
      </c>
      <c r="D4" s="9" t="inlineStr">
        <is>
          <t>Chi</t>
        </is>
      </c>
      <c r="E4" s="9" t="inlineStr">
        <is>
          <t>Chi quầy tiếp nhận</t>
        </is>
      </c>
      <c r="F4" s="9" t="inlineStr">
        <is>
          <t>Phòng Kế toán</t>
        </is>
      </c>
      <c r="G4" s="9" t="inlineStr">
        <is>
          <t>Chị Huy</t>
        </is>
      </c>
      <c r="H4" s="9" t="inlineStr">
        <is>
          <t>Tiền mặt</t>
        </is>
      </c>
      <c r="I4" s="9" t="n">
        <v>100000</v>
      </c>
    </row>
    <row r="5">
      <c r="A5" s="55" t="n">
        <v>46097</v>
      </c>
      <c r="B5" s="9" t="inlineStr">
        <is>
          <t>PC-03/2026-088</t>
        </is>
      </c>
      <c r="C5" s="9" t="inlineStr">
        <is>
          <t>Phan Xuân Phước (255)</t>
        </is>
      </c>
      <c r="D5" s="9" t="inlineStr">
        <is>
          <t>Chi</t>
        </is>
      </c>
      <c r="E5" s="9" t="inlineStr">
        <is>
          <t>Lấy bản vẽ</t>
        </is>
      </c>
      <c r="F5" s="9" t="inlineStr">
        <is>
          <t>Phòng Kế toán</t>
        </is>
      </c>
      <c r="G5" s="9" t="inlineStr">
        <is>
          <t>Chi nhánh số 2</t>
        </is>
      </c>
      <c r="H5" s="9" t="inlineStr">
        <is>
          <t>Chuyển khoản</t>
        </is>
      </c>
      <c r="I5" s="9" t="n">
        <v>130873</v>
      </c>
    </row>
    <row r="6">
      <c r="A6" s="55" t="n">
        <v>46097</v>
      </c>
      <c r="B6" s="9" t="inlineStr">
        <is>
          <t>PC-03/2026-089</t>
        </is>
      </c>
      <c r="C6" s="9" t="inlineStr">
        <is>
          <t>nộp hồ sơ tách thửa Trần Thị Ngọc Dung</t>
        </is>
      </c>
      <c r="D6" s="9" t="inlineStr">
        <is>
          <t>Chi</t>
        </is>
      </c>
      <c r="E6" s="9" t="inlineStr">
        <is>
          <t>Chi quầy tiếp nhận</t>
        </is>
      </c>
      <c r="F6" s="9" t="inlineStr">
        <is>
          <t>Phòng Kế toán</t>
        </is>
      </c>
      <c r="G6" s="9" t="inlineStr">
        <is>
          <t>quầy tiếp nhận</t>
        </is>
      </c>
      <c r="H6" s="9" t="inlineStr">
        <is>
          <t>Tiền mặt</t>
        </is>
      </c>
      <c r="I6" s="9" t="n">
        <v>200000</v>
      </c>
    </row>
    <row r="7">
      <c r="A7" s="55" t="n">
        <v>46097</v>
      </c>
      <c r="B7" s="9" t="inlineStr">
        <is>
          <t>PC-03/2026-090</t>
        </is>
      </c>
      <c r="C7" s="9" t="inlineStr">
        <is>
          <t>Đào Thị Hòa (235)</t>
        </is>
      </c>
      <c r="D7" s="9" t="inlineStr">
        <is>
          <t>Chi</t>
        </is>
      </c>
      <c r="E7" s="9" t="inlineStr">
        <is>
          <t>Lấy bản vẽ</t>
        </is>
      </c>
      <c r="F7" s="9" t="inlineStr">
        <is>
          <t>Phòng Kế toán</t>
        </is>
      </c>
      <c r="G7" s="9" t="inlineStr">
        <is>
          <t>Chi nhánh số 2</t>
        </is>
      </c>
      <c r="H7" s="9" t="inlineStr">
        <is>
          <t>Chuyển khoản</t>
        </is>
      </c>
      <c r="I7" s="9" t="n">
        <v>86900</v>
      </c>
    </row>
    <row r="8">
      <c r="A8" s="55" t="n">
        <v>46097</v>
      </c>
      <c r="B8" s="9" t="inlineStr">
        <is>
          <t>PC-03/2026-091</t>
        </is>
      </c>
      <c r="C8" s="9" t="inlineStr">
        <is>
          <t>gửi chị Huy lấy bản vẽ đạt 16/3</t>
        </is>
      </c>
      <c r="D8" s="9" t="inlineStr">
        <is>
          <t>Chi</t>
        </is>
      </c>
      <c r="E8" s="9" t="inlineStr">
        <is>
          <t>Chi quầy tiếp nhận</t>
        </is>
      </c>
      <c r="F8" s="9" t="inlineStr">
        <is>
          <t>Phòng Kế toán</t>
        </is>
      </c>
      <c r="G8" s="9" t="inlineStr">
        <is>
          <t>Chị Huy</t>
        </is>
      </c>
      <c r="H8" s="9" t="inlineStr">
        <is>
          <t>Tiền mặt</t>
        </is>
      </c>
      <c r="I8" s="9" t="n">
        <v>100000</v>
      </c>
    </row>
    <row r="9">
      <c r="A9" s="55" t="n">
        <v>46097</v>
      </c>
      <c r="B9" s="9" t="inlineStr">
        <is>
          <t>PC-03/2026-092</t>
        </is>
      </c>
      <c r="C9" s="9" t="inlineStr">
        <is>
          <t>nộp hs Phan Xuân Phước</t>
        </is>
      </c>
      <c r="D9" s="9" t="inlineStr">
        <is>
          <t>Chi</t>
        </is>
      </c>
      <c r="E9" s="9" t="inlineStr">
        <is>
          <t>Chi quầy tiếp nhận</t>
        </is>
      </c>
      <c r="F9" s="9" t="inlineStr">
        <is>
          <t>Phòng Kế toán</t>
        </is>
      </c>
      <c r="G9" s="9" t="inlineStr">
        <is>
          <t>quầy tiếp nhận</t>
        </is>
      </c>
      <c r="H9" s="9" t="inlineStr">
        <is>
          <t>Tiền mặt</t>
        </is>
      </c>
      <c r="I9" s="9" t="n">
        <v>100000</v>
      </c>
    </row>
    <row r="10">
      <c r="A10" s="55" t="n">
        <v>46097</v>
      </c>
      <c r="B10" s="9" t="inlineStr">
        <is>
          <t>PC-03/2026-093</t>
        </is>
      </c>
      <c r="C10" s="9" t="inlineStr">
        <is>
          <t>gửi hợp đồng cho anh Ý</t>
        </is>
      </c>
      <c r="D10" s="9" t="inlineStr">
        <is>
          <t>Chi</t>
        </is>
      </c>
      <c r="E10" s="9" t="inlineStr">
        <is>
          <t>Chuyển phát - Bưu chính-Grap</t>
        </is>
      </c>
      <c r="F10" s="9" t="inlineStr">
        <is>
          <t>Phòng Kế toán</t>
        </is>
      </c>
      <c r="G10" s="9" t="inlineStr">
        <is>
          <t>Anh Ý</t>
        </is>
      </c>
      <c r="H10" s="9" t="inlineStr">
        <is>
          <t>Chuyển khoản</t>
        </is>
      </c>
      <c r="I10" s="9" t="n">
        <v>41000</v>
      </c>
    </row>
    <row r="11">
      <c r="A11" s="55" t="n">
        <v>46097</v>
      </c>
      <c r="B11" s="9" t="inlineStr">
        <is>
          <t>PC-03/2026-094</t>
        </is>
      </c>
      <c r="C11" s="9" t="inlineStr">
        <is>
          <t>gửi phi nông nghiệp Phan Xuân Phước cho chị Trâm</t>
        </is>
      </c>
      <c r="D11" s="9" t="inlineStr">
        <is>
          <t>Chi</t>
        </is>
      </c>
      <c r="E11" s="9" t="inlineStr">
        <is>
          <t>Đóng thuế</t>
        </is>
      </c>
      <c r="F11" s="9" t="inlineStr">
        <is>
          <t>Phòng Kế toán</t>
        </is>
      </c>
      <c r="G11" s="9" t="inlineStr">
        <is>
          <t>Chị Trâm</t>
        </is>
      </c>
      <c r="H11" s="9" t="inlineStr">
        <is>
          <t>Tiền mặt</t>
        </is>
      </c>
      <c r="I11" s="9" t="n">
        <v>300000</v>
      </c>
    </row>
    <row r="12">
      <c r="A12" s="55" t="n">
        <v>46097</v>
      </c>
      <c r="B12" s="9" t="inlineStr">
        <is>
          <t>PC-03/2026-095</t>
        </is>
      </c>
      <c r="C12" s="9" t="inlineStr">
        <is>
          <t>đóng thuế phi NN Phan Xuân Phước</t>
        </is>
      </c>
      <c r="D12" s="9" t="inlineStr">
        <is>
          <t>Chi</t>
        </is>
      </c>
      <c r="E12" s="9" t="inlineStr">
        <is>
          <t>Đóng thuế</t>
        </is>
      </c>
      <c r="F12" s="9" t="inlineStr">
        <is>
          <t>Phòng Kế toán</t>
        </is>
      </c>
      <c r="G12" s="9" t="inlineStr">
        <is>
          <t>Agribank</t>
        </is>
      </c>
      <c r="H12" s="9" t="inlineStr">
        <is>
          <t>Tiền mặt</t>
        </is>
      </c>
      <c r="I12" s="9" t="n">
        <v>53000</v>
      </c>
    </row>
    <row r="13">
      <c r="A13" s="55" t="n">
        <v>46097</v>
      </c>
      <c r="B13" s="9" t="inlineStr">
        <is>
          <t>PC-03/2026-096</t>
        </is>
      </c>
      <c r="C13" s="9" t="inlineStr">
        <is>
          <t>gửi bv cho anh Xuất</t>
        </is>
      </c>
      <c r="D13" s="9" t="inlineStr">
        <is>
          <t>Chi</t>
        </is>
      </c>
      <c r="E13" s="9" t="inlineStr">
        <is>
          <t>Chi bảo vệ</t>
        </is>
      </c>
      <c r="F13" s="9" t="inlineStr">
        <is>
          <t>Phòng Kế toán</t>
        </is>
      </c>
      <c r="G13" s="9" t="inlineStr">
        <is>
          <t>bảo vệ</t>
        </is>
      </c>
      <c r="H13" s="9" t="inlineStr">
        <is>
          <t>Tiền mặt</t>
        </is>
      </c>
      <c r="I13" s="9" t="n">
        <v>50000</v>
      </c>
    </row>
    <row r="14">
      <c r="A14" s="55" t="n">
        <v>46095</v>
      </c>
      <c r="B14" s="9" t="inlineStr">
        <is>
          <t>PC-03/2026-083</t>
        </is>
      </c>
      <c r="C14" s="9" t="inlineStr">
        <is>
          <t>cắm mốc Đào Minh Quân</t>
        </is>
      </c>
      <c r="D14" s="9" t="inlineStr">
        <is>
          <t>Chi</t>
        </is>
      </c>
      <c r="E14" s="9" t="inlineStr">
        <is>
          <t>Công tác phí</t>
        </is>
      </c>
      <c r="F14" s="9" t="inlineStr">
        <is>
          <t>Phòng Kế toán</t>
        </is>
      </c>
      <c r="G14" s="9" t="inlineStr">
        <is>
          <t>Anh Tập</t>
        </is>
      </c>
      <c r="H14" s="9" t="inlineStr">
        <is>
          <t>Chuyển khoản</t>
        </is>
      </c>
      <c r="I14" s="9" t="n">
        <v>110000</v>
      </c>
    </row>
    <row r="15">
      <c r="A15" s="55" t="n">
        <v>46095</v>
      </c>
      <c r="B15" s="9" t="inlineStr">
        <is>
          <t>PC-03/2026-084</t>
        </is>
      </c>
      <c r="C15" s="9" t="inlineStr">
        <is>
          <t>đồ ăn trưa</t>
        </is>
      </c>
      <c r="D15" s="9" t="inlineStr">
        <is>
          <t>Chi</t>
        </is>
      </c>
      <c r="E15" s="9" t="inlineStr">
        <is>
          <t>Ăn uống</t>
        </is>
      </c>
      <c r="F15" s="9" t="inlineStr">
        <is>
          <t>Phòng Kế toán</t>
        </is>
      </c>
      <c r="G15" s="9" t="inlineStr">
        <is>
          <t>shipper</t>
        </is>
      </c>
      <c r="H15" s="9" t="inlineStr">
        <is>
          <t>Chuyển khoản</t>
        </is>
      </c>
      <c r="I15" s="9" t="n">
        <v>277000</v>
      </c>
    </row>
    <row r="16">
      <c r="A16" s="55" t="n">
        <v>46094</v>
      </c>
      <c r="B16" s="9" t="inlineStr">
        <is>
          <t>PC-03/2026-076</t>
        </is>
      </c>
      <c r="C16" s="9" t="inlineStr">
        <is>
          <t>GIÁM ĐỐC NỘP QUỸ L3 THÁNG 3</t>
        </is>
      </c>
      <c r="D16" s="9" t="inlineStr">
        <is>
          <t>Thu</t>
        </is>
      </c>
      <c r="E16" s="9" t="inlineStr">
        <is>
          <t>Bổ sung quỹ</t>
        </is>
      </c>
      <c r="F16" s="9" t="inlineStr">
        <is>
          <t>Phòng Kế toán</t>
        </is>
      </c>
      <c r="G16" s="9" t="inlineStr">
        <is>
          <t>GIÁM ĐỐC</t>
        </is>
      </c>
      <c r="H16" s="9" t="inlineStr">
        <is>
          <t>Chuyển khoản</t>
        </is>
      </c>
      <c r="I16" s="9" t="n">
        <v>10000000</v>
      </c>
    </row>
    <row r="17">
      <c r="A17" s="55" t="n">
        <v>46094</v>
      </c>
      <c r="B17" s="9" t="inlineStr">
        <is>
          <t>PC-03/2026-077</t>
        </is>
      </c>
      <c r="C17" s="9" t="inlineStr">
        <is>
          <t>089/BK-2026	Phan Xuân Phước-Nguyễn Thị Bích Thủy</t>
        </is>
      </c>
      <c r="D17" s="9" t="inlineStr">
        <is>
          <t>Chi</t>
        </is>
      </c>
      <c r="E17" s="9" t="inlineStr">
        <is>
          <t>Chi thụ lý bản vẽ</t>
        </is>
      </c>
      <c r="F17" s="9" t="inlineStr">
        <is>
          <t>Phòng Kế toán</t>
        </is>
      </c>
      <c r="G17" s="9" t="inlineStr">
        <is>
          <t>Anh Trung Kiên</t>
        </is>
      </c>
      <c r="H17" s="9" t="inlineStr">
        <is>
          <t>Tiền mặt</t>
        </is>
      </c>
      <c r="I17" s="9" t="n">
        <v>2000000</v>
      </c>
    </row>
    <row r="18">
      <c r="A18" s="55" t="n">
        <v>46094</v>
      </c>
      <c r="B18" s="9" t="inlineStr">
        <is>
          <t>PC-03/2026-078</t>
        </is>
      </c>
      <c r="C18" s="9" t="inlineStr">
        <is>
          <t>gửi bv bv Phan Xuân Phước</t>
        </is>
      </c>
      <c r="D18" s="9" t="inlineStr">
        <is>
          <t>Chi</t>
        </is>
      </c>
      <c r="E18" s="9" t="inlineStr">
        <is>
          <t>Chi bảo vệ</t>
        </is>
      </c>
      <c r="F18" s="9" t="inlineStr">
        <is>
          <t>Phòng Kế toán</t>
        </is>
      </c>
      <c r="G18" s="9" t="inlineStr">
        <is>
          <t>bảo vệ</t>
        </is>
      </c>
      <c r="H18" s="9" t="inlineStr">
        <is>
          <t>Tiền mặt</t>
        </is>
      </c>
      <c r="I18" s="9" t="n">
        <v>50000</v>
      </c>
    </row>
    <row r="19">
      <c r="A19" s="55" t="n">
        <v>46094</v>
      </c>
      <c r="B19" s="9" t="inlineStr">
        <is>
          <t>PC-03/2026-079</t>
        </is>
      </c>
      <c r="C19" s="9" t="inlineStr">
        <is>
          <t>nộp 2 hồ sơ hoàn công Nguyễn Đế Hiếu</t>
        </is>
      </c>
      <c r="D19" s="9" t="inlineStr">
        <is>
          <t>Chi</t>
        </is>
      </c>
      <c r="E19" s="9" t="inlineStr">
        <is>
          <t>Chi quầy tiếp nhận</t>
        </is>
      </c>
      <c r="F19" s="9" t="inlineStr">
        <is>
          <t>Phòng Kế toán</t>
        </is>
      </c>
      <c r="G19" s="9" t="inlineStr">
        <is>
          <t>quầy tiếp nhận</t>
        </is>
      </c>
      <c r="H19" s="9" t="inlineStr">
        <is>
          <t>Tiền mặt</t>
        </is>
      </c>
      <c r="I19" s="9" t="n">
        <v>200000</v>
      </c>
    </row>
    <row r="20">
      <c r="A20" s="55" t="n">
        <v>46094</v>
      </c>
      <c r="B20" s="9" t="inlineStr">
        <is>
          <t>PC-03/2026-080</t>
        </is>
      </c>
      <c r="C20" s="9" t="inlineStr">
        <is>
          <t>nộp hồ sơ Hồ Trọng Dũng</t>
        </is>
      </c>
      <c r="D20" s="9" t="inlineStr">
        <is>
          <t>Chi</t>
        </is>
      </c>
      <c r="E20" s="9" t="inlineStr">
        <is>
          <t>Chi quầy tiếp nhận</t>
        </is>
      </c>
      <c r="F20" s="9" t="inlineStr">
        <is>
          <t>Phòng Kế toán</t>
        </is>
      </c>
      <c r="G20" s="9" t="inlineStr">
        <is>
          <t>quầy tiếp nhận</t>
        </is>
      </c>
      <c r="H20" s="9" t="inlineStr">
        <is>
          <t>Tiền mặt</t>
        </is>
      </c>
      <c r="I20" s="9" t="n">
        <v>100000</v>
      </c>
    </row>
    <row r="21" ht="15.75" customHeight="1" s="56">
      <c r="A21" s="55" t="n">
        <v>46094</v>
      </c>
      <c r="B21" s="9" t="inlineStr">
        <is>
          <t>PC-03/2026-081</t>
        </is>
      </c>
      <c r="C21" s="9" t="inlineStr">
        <is>
          <t>gửi hđ tặng cho Trần Thị Ngọc Dung cho Cô Hoa</t>
        </is>
      </c>
      <c r="D21" s="9" t="inlineStr">
        <is>
          <t>Chi</t>
        </is>
      </c>
      <c r="E21" s="9" t="inlineStr">
        <is>
          <t>Chuyển phát - Bưu chính-Grap</t>
        </is>
      </c>
      <c r="F21" s="9" t="inlineStr">
        <is>
          <t>Phòng Kế toán</t>
        </is>
      </c>
      <c r="G21" s="9" t="inlineStr">
        <is>
          <t>Cô Hoa</t>
        </is>
      </c>
      <c r="H21" s="9" t="inlineStr">
        <is>
          <t>Chuyển khoản</t>
        </is>
      </c>
      <c r="I21" s="9" t="n">
        <v>66000</v>
      </c>
    </row>
    <row r="22" ht="15.75" customHeight="1" s="56">
      <c r="A22" s="55" t="n">
        <v>46094</v>
      </c>
      <c r="B22" s="9" t="inlineStr">
        <is>
          <t>PC-03/2026-082</t>
        </is>
      </c>
      <c r="C22" s="9" t="inlineStr">
        <is>
          <t>tiền cơm</t>
        </is>
      </c>
      <c r="D22" s="9" t="inlineStr">
        <is>
          <t>Chi</t>
        </is>
      </c>
      <c r="E22" s="9" t="inlineStr">
        <is>
          <t>Ăn uống</t>
        </is>
      </c>
      <c r="F22" s="9" t="inlineStr">
        <is>
          <t>Phòng Kế toán</t>
        </is>
      </c>
      <c r="G22" s="9" t="inlineStr">
        <is>
          <t>Anh Hùng</t>
        </is>
      </c>
      <c r="H22" s="9" t="inlineStr">
        <is>
          <t>Chuyển khoản</t>
        </is>
      </c>
      <c r="I22" s="9" t="n">
        <v>1450000</v>
      </c>
    </row>
    <row r="23" ht="15.75" customHeight="1" s="56">
      <c r="A23" s="55" t="n">
        <v>46093</v>
      </c>
      <c r="B23" s="9" t="inlineStr">
        <is>
          <t>PC-03/2026-069</t>
        </is>
      </c>
      <c r="C23" s="9" t="inlineStr">
        <is>
          <t>073/BK-2026	Đào Thị Hòa</t>
        </is>
      </c>
      <c r="D23" s="9" t="inlineStr">
        <is>
          <t>Chi</t>
        </is>
      </c>
      <c r="E23" s="9" t="inlineStr">
        <is>
          <t>Chi thụ lý bản vẽ</t>
        </is>
      </c>
      <c r="F23" s="9" t="inlineStr">
        <is>
          <t>Phòng Kế toán</t>
        </is>
      </c>
      <c r="G23" s="9" t="inlineStr">
        <is>
          <t>Anh Trung Kiên</t>
        </is>
      </c>
      <c r="H23" s="9" t="inlineStr">
        <is>
          <t>Tiền mặt</t>
        </is>
      </c>
      <c r="I23" s="9" t="n">
        <v>1500000</v>
      </c>
    </row>
    <row r="24" ht="15.75" customHeight="1" s="56">
      <c r="A24" s="55" t="n">
        <v>46093</v>
      </c>
      <c r="B24" s="9" t="inlineStr">
        <is>
          <t>PC-03/2026-070</t>
        </is>
      </c>
      <c r="C24" s="9" t="inlineStr">
        <is>
          <t>Gửi bv bv Đào Thị Hòa</t>
        </is>
      </c>
      <c r="D24" s="9" t="inlineStr">
        <is>
          <t>Chi</t>
        </is>
      </c>
      <c r="E24" s="9" t="inlineStr">
        <is>
          <t>Chi bảo vệ</t>
        </is>
      </c>
      <c r="F24" s="9" t="inlineStr">
        <is>
          <t>Phòng Kế toán</t>
        </is>
      </c>
      <c r="G24" s="9" t="inlineStr">
        <is>
          <t>bảo vệ</t>
        </is>
      </c>
      <c r="H24" s="9" t="inlineStr">
        <is>
          <t>Tiền mặt</t>
        </is>
      </c>
      <c r="I24" s="9" t="n">
        <v>50000</v>
      </c>
    </row>
    <row r="25" ht="15.75" customHeight="1" s="56">
      <c r="A25" s="55" t="n">
        <v>46093</v>
      </c>
      <c r="B25" s="9" t="inlineStr">
        <is>
          <t>PC-03/2026-071</t>
        </is>
      </c>
      <c r="C25" s="9" t="inlineStr">
        <is>
          <t>Nguyễn Đế Hiếu (669)</t>
        </is>
      </c>
      <c r="D25" s="9" t="inlineStr">
        <is>
          <t>Chi</t>
        </is>
      </c>
      <c r="E25" s="9" t="inlineStr">
        <is>
          <t>Lấy bản vẽ</t>
        </is>
      </c>
      <c r="F25" s="9" t="inlineStr">
        <is>
          <t>Phòng Kế toán</t>
        </is>
      </c>
      <c r="G25" s="9" t="inlineStr">
        <is>
          <t>Chi nhánh số 2</t>
        </is>
      </c>
      <c r="H25" s="9" t="inlineStr">
        <is>
          <t>Chuyển khoản</t>
        </is>
      </c>
      <c r="I25" s="9" t="n">
        <v>130022</v>
      </c>
    </row>
    <row r="26" ht="15.75" customHeight="1" s="56">
      <c r="A26" s="55" t="n">
        <v>46093</v>
      </c>
      <c r="B26" s="9" t="inlineStr">
        <is>
          <t>PC-03/2026-072</t>
        </is>
      </c>
      <c r="C26" s="9" t="inlineStr">
        <is>
          <t>Nguyễn Đế Hiếu (670)</t>
        </is>
      </c>
      <c r="D26" s="9" t="inlineStr">
        <is>
          <t>Chi</t>
        </is>
      </c>
      <c r="E26" s="9" t="inlineStr">
        <is>
          <t>Lấy bản vẽ</t>
        </is>
      </c>
      <c r="F26" s="9" t="inlineStr">
        <is>
          <t>Phòng Kế toán</t>
        </is>
      </c>
      <c r="G26" s="9" t="inlineStr">
        <is>
          <t>Chi nhánh số 2</t>
        </is>
      </c>
      <c r="H26" s="9" t="inlineStr">
        <is>
          <t>Chuyển khoản</t>
        </is>
      </c>
      <c r="I26" s="9" t="n">
        <v>129628</v>
      </c>
    </row>
    <row r="27" ht="15.75" customHeight="1" s="56">
      <c r="A27" s="55" t="n">
        <v>46093</v>
      </c>
      <c r="B27" s="9" t="inlineStr">
        <is>
          <t>PC-03/2026-073</t>
        </is>
      </c>
      <c r="C27" s="9" t="inlineStr">
        <is>
          <t>nhận cam kết Hồ Trọng Dũng</t>
        </is>
      </c>
      <c r="D27" s="9" t="inlineStr">
        <is>
          <t>Chi</t>
        </is>
      </c>
      <c r="E27" s="9" t="inlineStr">
        <is>
          <t>Chuyển phát - Bưu chính-Grap</t>
        </is>
      </c>
      <c r="F27" s="9" t="inlineStr">
        <is>
          <t>Phòng Kế toán</t>
        </is>
      </c>
      <c r="G27" s="9" t="inlineStr">
        <is>
          <t>shipper</t>
        </is>
      </c>
      <c r="H27" s="9" t="inlineStr">
        <is>
          <t>Tiền mặt</t>
        </is>
      </c>
      <c r="I27" s="9" t="n">
        <v>90000</v>
      </c>
    </row>
    <row r="28" ht="15.75" customHeight="1" s="56">
      <c r="A28" s="55" t="n">
        <v>46093</v>
      </c>
      <c r="B28" s="9" t="inlineStr">
        <is>
          <t>PC-03/2026-074</t>
        </is>
      </c>
      <c r="C28" s="9" t="inlineStr">
        <is>
          <t>lấy sổ Vũ Thúy Nhuần</t>
        </is>
      </c>
      <c r="D28" s="9" t="inlineStr">
        <is>
          <t>Chi</t>
        </is>
      </c>
      <c r="E28" s="9" t="inlineStr">
        <is>
          <t>Chi quầy tiếp nhận</t>
        </is>
      </c>
      <c r="F28" s="9" t="inlineStr">
        <is>
          <t>Phòng Kế toán</t>
        </is>
      </c>
      <c r="G28" s="9" t="inlineStr">
        <is>
          <t>quầy tiếp nhận</t>
        </is>
      </c>
      <c r="H28" s="9" t="inlineStr">
        <is>
          <t>Tiền mặt</t>
        </is>
      </c>
      <c r="I28" s="9" t="n">
        <v>100000</v>
      </c>
    </row>
    <row r="29" ht="15.75" customHeight="1" s="56">
      <c r="A29" s="55" t="n">
        <v>46093</v>
      </c>
      <c r="B29" s="9" t="inlineStr">
        <is>
          <t>PC-03/2026-075</t>
        </is>
      </c>
      <c r="C29" s="9" t="inlineStr">
        <is>
          <t>thanh toán trích lục Nguyễn Thị Phi</t>
        </is>
      </c>
      <c r="D29" s="9" t="inlineStr">
        <is>
          <t>Chi</t>
        </is>
      </c>
      <c r="E29" s="9" t="inlineStr">
        <is>
          <t>Lấy trích lục</t>
        </is>
      </c>
      <c r="F29" s="9" t="inlineStr">
        <is>
          <t>Phòng Kế toán</t>
        </is>
      </c>
      <c r="G29" s="9" t="inlineStr">
        <is>
          <t>Chi nhánh số 2</t>
        </is>
      </c>
      <c r="H29" s="9" t="inlineStr">
        <is>
          <t>Chuyển khoản</t>
        </is>
      </c>
      <c r="I29" s="9" t="n">
        <v>200000</v>
      </c>
    </row>
    <row r="30" ht="15.75" customHeight="1" s="56">
      <c r="A30" s="55" t="n">
        <v>46092</v>
      </c>
      <c r="B30" s="9" t="inlineStr">
        <is>
          <t>PC-03/2026-064</t>
        </is>
      </c>
      <c r="C30" s="9" t="inlineStr">
        <is>
          <t>cắm mốc hs Lê Quang Đạo, Trần Phước Vân</t>
        </is>
      </c>
      <c r="D30" s="9" t="inlineStr">
        <is>
          <t>Chi</t>
        </is>
      </c>
      <c r="E30" s="9" t="inlineStr">
        <is>
          <t>Công tác phí</t>
        </is>
      </c>
      <c r="F30" s="9" t="inlineStr">
        <is>
          <t>Phòng Kế toán</t>
        </is>
      </c>
      <c r="G30" s="9" t="inlineStr">
        <is>
          <t>Anh Tập</t>
        </is>
      </c>
      <c r="H30" s="9" t="inlineStr">
        <is>
          <t>Chuyển khoản</t>
        </is>
      </c>
      <c r="I30" s="9" t="n">
        <v>70000</v>
      </c>
    </row>
    <row r="31" ht="15.75" customHeight="1" s="56">
      <c r="A31" s="55" t="n">
        <v>46092</v>
      </c>
      <c r="B31" s="9" t="inlineStr">
        <is>
          <t>PC-03/2026-065</t>
        </is>
      </c>
      <c r="C31" s="9" t="inlineStr">
        <is>
          <t>sao y + sao y điện tử hồ sơ Hoàng Nam</t>
        </is>
      </c>
      <c r="D31" s="9" t="inlineStr">
        <is>
          <t>Chi</t>
        </is>
      </c>
      <c r="E31" s="9" t="inlineStr">
        <is>
          <t>Công chứng hồ sơ</t>
        </is>
      </c>
      <c r="F31" s="9" t="inlineStr">
        <is>
          <t>Phòng Kế toán</t>
        </is>
      </c>
      <c r="G31" s="9" t="inlineStr">
        <is>
          <t>VPCC Lê Ngọc Bích Ngân</t>
        </is>
      </c>
      <c r="H31" s="9" t="inlineStr">
        <is>
          <t>Chuyển khoản</t>
        </is>
      </c>
      <c r="I31" s="9" t="n">
        <v>120000</v>
      </c>
    </row>
    <row r="32" ht="15.75" customHeight="1" s="56">
      <c r="A32" s="55" t="n">
        <v>46092</v>
      </c>
      <c r="B32" s="9" t="inlineStr">
        <is>
          <t>PC-03/2026-066</t>
        </is>
      </c>
      <c r="C32" s="9" t="inlineStr">
        <is>
          <t>nhận card vist</t>
        </is>
      </c>
      <c r="D32" s="9" t="inlineStr">
        <is>
          <t>Chi</t>
        </is>
      </c>
      <c r="E32" s="9" t="inlineStr">
        <is>
          <t>Chuyển phát - Bưu chính-Grap</t>
        </is>
      </c>
      <c r="F32" s="9" t="inlineStr">
        <is>
          <t>Phòng Kế toán</t>
        </is>
      </c>
      <c r="G32" s="9" t="inlineStr">
        <is>
          <t>shipper</t>
        </is>
      </c>
      <c r="H32" s="9" t="inlineStr">
        <is>
          <t>Chuyển khoản</t>
        </is>
      </c>
      <c r="I32" s="9" t="n">
        <v>153000</v>
      </c>
    </row>
    <row r="33" ht="15.75" customHeight="1" s="56">
      <c r="A33" s="55" t="n">
        <v>46092</v>
      </c>
      <c r="B33" s="9" t="inlineStr">
        <is>
          <t>PC-03/2026-067</t>
        </is>
      </c>
      <c r="C33" s="9" t="inlineStr">
        <is>
          <t>giao biên bản cọc ranh Nguyễn Kim Ruộng</t>
        </is>
      </c>
      <c r="D33" s="9" t="inlineStr">
        <is>
          <t>Chi</t>
        </is>
      </c>
      <c r="E33" s="9" t="inlineStr">
        <is>
          <t>Chuyển phát - Bưu chính-Grap</t>
        </is>
      </c>
      <c r="F33" s="9" t="inlineStr">
        <is>
          <t>Phòng Kế toán</t>
        </is>
      </c>
      <c r="G33" s="9" t="inlineStr">
        <is>
          <t>Anh Duẩn</t>
        </is>
      </c>
      <c r="H33" s="9" t="inlineStr">
        <is>
          <t>Chuyển khoản</t>
        </is>
      </c>
      <c r="I33" s="9" t="n">
        <v>67000</v>
      </c>
    </row>
    <row r="34" ht="15.75" customHeight="1" s="56">
      <c r="A34" s="55" t="n">
        <v>46092</v>
      </c>
      <c r="B34" s="9" t="inlineStr">
        <is>
          <t>PC-03/2026-068</t>
        </is>
      </c>
      <c r="C34" s="9" t="inlineStr">
        <is>
          <t>nộp hồ sơ Nguyễn Thị An</t>
        </is>
      </c>
      <c r="D34" s="9" t="inlineStr">
        <is>
          <t>Chi</t>
        </is>
      </c>
      <c r="E34" s="9" t="inlineStr">
        <is>
          <t>Chi quầy tiếp nhận</t>
        </is>
      </c>
      <c r="F34" s="9" t="inlineStr">
        <is>
          <t>Phòng Kế toán</t>
        </is>
      </c>
      <c r="G34" s="9" t="inlineStr">
        <is>
          <t>quầy tiếp nhận</t>
        </is>
      </c>
      <c r="H34" s="9" t="inlineStr">
        <is>
          <t>Tiền mặt</t>
        </is>
      </c>
      <c r="I34" s="9" t="n">
        <v>100000</v>
      </c>
    </row>
    <row r="35" ht="15.75" customHeight="1" s="56">
      <c r="A35" s="55" t="n">
        <v>46091</v>
      </c>
      <c r="B35" s="9" t="inlineStr">
        <is>
          <t>PC-03/2026-060</t>
        </is>
      </c>
      <c r="C35" s="9" t="inlineStr">
        <is>
          <t>trái cây</t>
        </is>
      </c>
      <c r="D35" s="9" t="inlineStr">
        <is>
          <t>Chi</t>
        </is>
      </c>
      <c r="E35" s="9" t="inlineStr">
        <is>
          <t>Sinh hoạt gia đình</t>
        </is>
      </c>
      <c r="F35" s="9" t="inlineStr">
        <is>
          <t>Phòng Kế toán</t>
        </is>
      </c>
      <c r="G35" s="9" t="inlineStr">
        <is>
          <t>Hằng</t>
        </is>
      </c>
      <c r="H35" s="9" t="inlineStr">
        <is>
          <t>Tiền mặt</t>
        </is>
      </c>
      <c r="I35" s="9" t="n">
        <v>60000</v>
      </c>
    </row>
    <row r="36" ht="15.75" customHeight="1" s="56">
      <c r="A36" s="55" t="n">
        <v>46091</v>
      </c>
      <c r="B36" s="9" t="inlineStr">
        <is>
          <t>PC-03/2026-061</t>
        </is>
      </c>
      <c r="C36" s="9" t="inlineStr">
        <is>
          <t>cam</t>
        </is>
      </c>
      <c r="D36" s="9" t="inlineStr">
        <is>
          <t>Chi</t>
        </is>
      </c>
      <c r="E36" s="9" t="inlineStr">
        <is>
          <t>Sinh hoạt gia đình</t>
        </is>
      </c>
      <c r="F36" s="9" t="inlineStr">
        <is>
          <t>Phòng Kế toán</t>
        </is>
      </c>
      <c r="G36" s="9" t="inlineStr">
        <is>
          <t>Hằng</t>
        </is>
      </c>
      <c r="H36" s="9" t="inlineStr">
        <is>
          <t>Tiền mặt</t>
        </is>
      </c>
      <c r="I36" s="9" t="n">
        <v>50000</v>
      </c>
    </row>
    <row r="37" ht="15.75" customHeight="1" s="56">
      <c r="A37" s="55" t="n">
        <v>46091</v>
      </c>
      <c r="B37" s="9" t="inlineStr">
        <is>
          <t>PC-03/2026-062</t>
        </is>
      </c>
      <c r="C37" s="9" t="inlineStr">
        <is>
          <t>giao hợp đồng cho anh Đức Mẫn</t>
        </is>
      </c>
      <c r="D37" s="9" t="inlineStr">
        <is>
          <t>Chi</t>
        </is>
      </c>
      <c r="E37" s="9" t="inlineStr">
        <is>
          <t>Chuyển phát - Bưu chính-Grap</t>
        </is>
      </c>
      <c r="F37" s="9" t="inlineStr">
        <is>
          <t>Phòng Kế toán</t>
        </is>
      </c>
      <c r="G37" s="9" t="inlineStr">
        <is>
          <t>Anh Đức Mẫn</t>
        </is>
      </c>
      <c r="H37" s="9" t="inlineStr">
        <is>
          <t>Chuyển khoản</t>
        </is>
      </c>
      <c r="I37" s="9" t="n">
        <v>51000</v>
      </c>
    </row>
    <row r="38" ht="15.75" customHeight="1" s="56">
      <c r="A38" s="55" t="n">
        <v>46091</v>
      </c>
      <c r="B38" s="9" t="inlineStr">
        <is>
          <t>PC-03/2026-063</t>
        </is>
      </c>
      <c r="C38" s="9" t="inlineStr">
        <is>
          <t>Nguyễn Quốc Chiến (179)</t>
        </is>
      </c>
      <c r="D38" s="9" t="inlineStr">
        <is>
          <t>Chi</t>
        </is>
      </c>
      <c r="E38" s="9" t="inlineStr">
        <is>
          <t>Lấy bản vẽ</t>
        </is>
      </c>
      <c r="F38" s="9" t="inlineStr">
        <is>
          <t>Phòng Kế toán</t>
        </is>
      </c>
      <c r="G38" s="9" t="inlineStr">
        <is>
          <t>Chi nhánh số 2</t>
        </is>
      </c>
      <c r="H38" s="9" t="inlineStr">
        <is>
          <t>Chuyển khoản</t>
        </is>
      </c>
      <c r="I38" s="9" t="n">
        <v>273106</v>
      </c>
    </row>
    <row r="39" ht="15.75" customHeight="1" s="56">
      <c r="A39" s="55" t="n">
        <v>46090</v>
      </c>
      <c r="B39" s="9" t="inlineStr">
        <is>
          <t>PC-03/2026-049</t>
        </is>
      </c>
      <c r="C39" s="9" t="inlineStr">
        <is>
          <t>Hồ Trọng Dũng (616)</t>
        </is>
      </c>
      <c r="D39" s="9" t="inlineStr">
        <is>
          <t>Chi</t>
        </is>
      </c>
      <c r="E39" s="9" t="inlineStr">
        <is>
          <t>Lấy bản vẽ</t>
        </is>
      </c>
      <c r="F39" s="9" t="inlineStr">
        <is>
          <t>Phòng Kế toán</t>
        </is>
      </c>
      <c r="G39" s="9" t="inlineStr">
        <is>
          <t>Chi nhánh số 2</t>
        </is>
      </c>
      <c r="H39" s="9" t="inlineStr">
        <is>
          <t>Chuyển khoản</t>
        </is>
      </c>
      <c r="I39" s="9" t="n">
        <v>97928</v>
      </c>
    </row>
    <row r="40" ht="15.75" customHeight="1" s="56">
      <c r="A40" s="55" t="n">
        <v>46090</v>
      </c>
      <c r="B40" s="9" t="inlineStr">
        <is>
          <t>PC-03/2026-050</t>
        </is>
      </c>
      <c r="C40" s="9" t="inlineStr">
        <is>
          <t>La Thị Thanh Duyên (182)</t>
        </is>
      </c>
      <c r="D40" s="9" t="inlineStr">
        <is>
          <t>Chi</t>
        </is>
      </c>
      <c r="E40" s="9" t="inlineStr">
        <is>
          <t>Lấy bản vẽ</t>
        </is>
      </c>
      <c r="F40" s="9" t="inlineStr">
        <is>
          <t>Phòng Kế toán</t>
        </is>
      </c>
      <c r="G40" s="9" t="inlineStr">
        <is>
          <t>Chi nhánh số 2</t>
        </is>
      </c>
      <c r="H40" s="9" t="inlineStr">
        <is>
          <t>Chuyển khoản</t>
        </is>
      </c>
      <c r="I40" s="9" t="n">
        <v>79200</v>
      </c>
    </row>
    <row r="41" ht="15.75" customHeight="1" s="56">
      <c r="A41" s="55" t="n">
        <v>46090</v>
      </c>
      <c r="B41" s="9" t="inlineStr">
        <is>
          <t>PC-03/2026-051</t>
        </is>
      </c>
      <c r="C41" s="9" t="inlineStr">
        <is>
          <t>Tiền dừa</t>
        </is>
      </c>
      <c r="D41" s="9" t="inlineStr">
        <is>
          <t>Chi</t>
        </is>
      </c>
      <c r="E41" s="9" t="inlineStr">
        <is>
          <t>Quầy nước- cà phê</t>
        </is>
      </c>
      <c r="F41" s="9" t="inlineStr">
        <is>
          <t>Phòng Kế toán</t>
        </is>
      </c>
      <c r="G41" s="9" t="inlineStr">
        <is>
          <t>Chị Thùy</t>
        </is>
      </c>
      <c r="H41" s="9" t="inlineStr">
        <is>
          <t>Chuyển khoản</t>
        </is>
      </c>
      <c r="I41" s="9" t="n">
        <v>165000</v>
      </c>
    </row>
    <row r="42" ht="15.75" customHeight="1" s="56">
      <c r="A42" s="55" t="n">
        <v>46090</v>
      </c>
      <c r="B42" s="9" t="inlineStr">
        <is>
          <t>PC-03/2026-052</t>
        </is>
      </c>
      <c r="C42" s="9" t="inlineStr">
        <is>
          <t>096/BK-2026        Nguyễn Quốc Chiến-Trần Thị Thu Hương</t>
        </is>
      </c>
      <c r="D42" s="9" t="inlineStr">
        <is>
          <t>Chi</t>
        </is>
      </c>
      <c r="E42" s="9" t="inlineStr">
        <is>
          <t>Chi thụ lý bản vẽ</t>
        </is>
      </c>
      <c r="F42" s="9" t="inlineStr">
        <is>
          <t>Phòng Kế toán</t>
        </is>
      </c>
      <c r="G42" s="9" t="inlineStr">
        <is>
          <t>Anh Xuân Tiền</t>
        </is>
      </c>
      <c r="H42" s="9" t="inlineStr">
        <is>
          <t>Tiền mặt</t>
        </is>
      </c>
      <c r="I42" s="9" t="n">
        <v>1500000</v>
      </c>
    </row>
    <row r="43" ht="15.75" customHeight="1" s="56">
      <c r="A43" s="55" t="n">
        <v>46090</v>
      </c>
      <c r="B43" s="9" t="inlineStr">
        <is>
          <t>PC-03/2026-053</t>
        </is>
      </c>
      <c r="C43" s="9" t="inlineStr">
        <is>
          <t>gửi bv bv Nguyễn Quốc Chiến</t>
        </is>
      </c>
      <c r="D43" s="9" t="inlineStr">
        <is>
          <t>Chi</t>
        </is>
      </c>
      <c r="E43" s="9" t="inlineStr">
        <is>
          <t>Chi bảo vệ</t>
        </is>
      </c>
      <c r="F43" s="9" t="inlineStr">
        <is>
          <t>Phòng Kế toán</t>
        </is>
      </c>
      <c r="G43" s="9" t="inlineStr">
        <is>
          <t>bảo vệ</t>
        </is>
      </c>
      <c r="H43" s="9" t="inlineStr">
        <is>
          <t>Tiền mặt</t>
        </is>
      </c>
      <c r="I43" s="9" t="n">
        <v>50000</v>
      </c>
    </row>
    <row r="44" ht="15.75" customHeight="1" s="56">
      <c r="A44" s="55" t="n">
        <v>46090</v>
      </c>
      <c r="B44" s="9" t="inlineStr">
        <is>
          <t>PC-03/2026-054</t>
        </is>
      </c>
      <c r="C44" s="9" t="inlineStr">
        <is>
          <t>006/BK-2026	Nguyễn Đế Hiếu</t>
        </is>
      </c>
      <c r="D44" s="9" t="inlineStr">
        <is>
          <t>Chi</t>
        </is>
      </c>
      <c r="E44" s="9" t="inlineStr">
        <is>
          <t>Chi thụ lý bản vẽ</t>
        </is>
      </c>
      <c r="F44" s="9" t="inlineStr">
        <is>
          <t>Phòng Kế toán</t>
        </is>
      </c>
      <c r="G44" s="9" t="inlineStr">
        <is>
          <t>GĐ chi rồi</t>
        </is>
      </c>
      <c r="H44" s="9" t="inlineStr">
        <is>
          <t>Tiền mặt</t>
        </is>
      </c>
      <c r="I44" s="9" t="n">
        <v>0</v>
      </c>
    </row>
    <row r="45" ht="15.75" customHeight="1" s="56">
      <c r="A45" s="55" t="n">
        <v>46090</v>
      </c>
      <c r="B45" s="9" t="inlineStr">
        <is>
          <t>PC-03/2026-055</t>
        </is>
      </c>
      <c r="C45" s="9" t="inlineStr">
        <is>
          <t>007/BK-2026	Nguyễn Đế Hiếu</t>
        </is>
      </c>
      <c r="D45" s="9" t="inlineStr">
        <is>
          <t>Chi</t>
        </is>
      </c>
      <c r="E45" s="9" t="inlineStr">
        <is>
          <t>Chi thụ lý bản vẽ</t>
        </is>
      </c>
      <c r="F45" s="9" t="inlineStr">
        <is>
          <t>Phòng Kế toán</t>
        </is>
      </c>
      <c r="G45" s="9" t="inlineStr">
        <is>
          <t>GĐ chi rồi</t>
        </is>
      </c>
      <c r="H45" s="9" t="inlineStr">
        <is>
          <t>Tiền mặt</t>
        </is>
      </c>
      <c r="I45" s="9" t="n">
        <v>0</v>
      </c>
    </row>
    <row r="46" ht="15.75" customHeight="1" s="56">
      <c r="A46" s="55" t="n">
        <v>46090</v>
      </c>
      <c r="B46" s="9" t="inlineStr">
        <is>
          <t>PC-03/2026-056</t>
        </is>
      </c>
      <c r="C46" s="9" t="inlineStr">
        <is>
          <t>052/BK-2026	Nguyễn Thị Phượng</t>
        </is>
      </c>
      <c r="D46" s="9" t="inlineStr">
        <is>
          <t>Chi</t>
        </is>
      </c>
      <c r="E46" s="9" t="inlineStr">
        <is>
          <t>Chi thụ lý bản vẽ</t>
        </is>
      </c>
      <c r="F46" s="9" t="inlineStr">
        <is>
          <t>Phòng Kế toán</t>
        </is>
      </c>
      <c r="G46" s="9" t="inlineStr">
        <is>
          <t>GĐ chi rồi</t>
        </is>
      </c>
      <c r="H46" s="9" t="inlineStr">
        <is>
          <t>Tiền mặt</t>
        </is>
      </c>
      <c r="I46" s="9" t="n">
        <v>0</v>
      </c>
    </row>
    <row r="47" ht="15.75" customHeight="1" s="56">
      <c r="A47" s="55" t="n">
        <v>46090</v>
      </c>
      <c r="B47" s="9" t="inlineStr">
        <is>
          <t>PC-03/2026-057</t>
        </is>
      </c>
      <c r="C47" s="9" t="inlineStr">
        <is>
          <t>Lê Minh Thạnh (189)</t>
        </is>
      </c>
      <c r="D47" s="9" t="inlineStr">
        <is>
          <t>Chi</t>
        </is>
      </c>
      <c r="E47" s="9" t="inlineStr">
        <is>
          <t>Lấy bản vẽ</t>
        </is>
      </c>
      <c r="F47" s="9" t="inlineStr">
        <is>
          <t>Phòng Kế toán</t>
        </is>
      </c>
      <c r="G47" s="9" t="inlineStr">
        <is>
          <t>Chi nhánh số 2</t>
        </is>
      </c>
      <c r="H47" s="9" t="inlineStr">
        <is>
          <t>Chuyển khoản</t>
        </is>
      </c>
      <c r="I47" s="9" t="n">
        <v>114631</v>
      </c>
    </row>
    <row r="48" ht="15.75" customHeight="1" s="56">
      <c r="A48" s="55" t="n">
        <v>46090</v>
      </c>
      <c r="B48" s="9" t="inlineStr">
        <is>
          <t>PC-03/2026-058</t>
        </is>
      </c>
      <c r="C48" s="9" t="inlineStr">
        <is>
          <t>Nguyễn Thị Phượng (633)</t>
        </is>
      </c>
      <c r="D48" s="9" t="inlineStr">
        <is>
          <t>Chi</t>
        </is>
      </c>
      <c r="E48" s="9" t="inlineStr">
        <is>
          <t>Lấy bản vẽ</t>
        </is>
      </c>
      <c r="F48" s="9" t="inlineStr">
        <is>
          <t>Phòng Kế toán</t>
        </is>
      </c>
      <c r="G48" s="9" t="inlineStr">
        <is>
          <t>Chi nhánh số 2</t>
        </is>
      </c>
      <c r="H48" s="9" t="inlineStr">
        <is>
          <t>Chuyển khoản</t>
        </is>
      </c>
      <c r="I48" s="9" t="n">
        <v>87319</v>
      </c>
    </row>
    <row r="49" ht="15.75" customHeight="1" s="56">
      <c r="A49" s="55" t="n">
        <v>46090</v>
      </c>
      <c r="B49" s="9" t="inlineStr">
        <is>
          <t>PC-03/2026-059</t>
        </is>
      </c>
      <c r="C49" s="9" t="inlineStr">
        <is>
          <t>giao bản vẽ Trịng Thị Lan Viên</t>
        </is>
      </c>
      <c r="D49" s="9" t="inlineStr">
        <is>
          <t>Chi</t>
        </is>
      </c>
      <c r="E49" s="9" t="inlineStr">
        <is>
          <t>Chuyển phát - Bưu chính-Grap</t>
        </is>
      </c>
      <c r="F49" s="9" t="inlineStr">
        <is>
          <t>Phòng Kế toán</t>
        </is>
      </c>
      <c r="G49" s="9" t="inlineStr">
        <is>
          <t>Chị Lan Viên</t>
        </is>
      </c>
      <c r="H49" s="9" t="inlineStr">
        <is>
          <t>Chuyển khoản</t>
        </is>
      </c>
      <c r="I49" s="9" t="n">
        <v>41000</v>
      </c>
    </row>
    <row r="50" ht="15.75" customHeight="1" s="56">
      <c r="A50" s="55" t="n">
        <v>46088</v>
      </c>
      <c r="B50" s="9" t="inlineStr">
        <is>
          <t>PC-03/2026-044</t>
        </is>
      </c>
      <c r="C50" s="9" t="inlineStr">
        <is>
          <t>nộp bản vẽ sáng 7/3</t>
        </is>
      </c>
      <c r="D50" s="9" t="inlineStr">
        <is>
          <t>Chi</t>
        </is>
      </c>
      <c r="E50" s="9" t="inlineStr">
        <is>
          <t>Chi quầy tiếp nhận</t>
        </is>
      </c>
      <c r="F50" s="9" t="inlineStr">
        <is>
          <t>Phòng Kế toán</t>
        </is>
      </c>
      <c r="G50" s="9" t="inlineStr">
        <is>
          <t>Chị Vân</t>
        </is>
      </c>
      <c r="H50" s="9" t="inlineStr">
        <is>
          <t>Tiền mặt</t>
        </is>
      </c>
      <c r="I50" s="9" t="n">
        <v>100000</v>
      </c>
    </row>
    <row r="51" ht="15.75" customHeight="1" s="56">
      <c r="A51" s="55" t="n">
        <v>46088</v>
      </c>
      <c r="B51" s="9" t="inlineStr">
        <is>
          <t>PC-03/2026-045</t>
        </is>
      </c>
      <c r="C51" s="9" t="inlineStr">
        <is>
          <t>nộp hs chị Yến (Lê Xuân Hưng - Nguyễn Thị Kim Yến) có kẹp vào hs rồi</t>
        </is>
      </c>
      <c r="D51" s="9" t="inlineStr">
        <is>
          <t>Chi</t>
        </is>
      </c>
      <c r="E51" s="9" t="inlineStr">
        <is>
          <t>Chi quầy tiếp nhận</t>
        </is>
      </c>
      <c r="F51" s="9" t="inlineStr">
        <is>
          <t>Phòng Kế toán</t>
        </is>
      </c>
      <c r="G51" s="9" t="inlineStr">
        <is>
          <t>quầy tiếp nhận</t>
        </is>
      </c>
      <c r="H51" s="9" t="inlineStr">
        <is>
          <t>Tiền mặt</t>
        </is>
      </c>
      <c r="I51" s="9" t="n">
        <v>100000</v>
      </c>
    </row>
    <row r="52" ht="15.75" customHeight="1" s="56">
      <c r="A52" s="55" t="n">
        <v>46088</v>
      </c>
      <c r="B52" s="9" t="inlineStr">
        <is>
          <t>PC-03/2026-047</t>
        </is>
      </c>
      <c r="C52" s="9" t="inlineStr">
        <is>
          <t>tiền nước</t>
        </is>
      </c>
      <c r="D52" s="9" t="inlineStr">
        <is>
          <t>Chi</t>
        </is>
      </c>
      <c r="E52" s="9" t="inlineStr">
        <is>
          <t>Quầy nước- cà phê</t>
        </is>
      </c>
      <c r="F52" s="9" t="inlineStr">
        <is>
          <t>Phòng Kế toán</t>
        </is>
      </c>
      <c r="G52" s="9" t="inlineStr">
        <is>
          <t>Anh Chính (Nguyệt tạp hóa)</t>
        </is>
      </c>
      <c r="H52" s="9" t="inlineStr">
        <is>
          <t>Chuyển khoản</t>
        </is>
      </c>
      <c r="I52" s="9" t="n">
        <v>966000</v>
      </c>
    </row>
    <row r="53" ht="15.75" customHeight="1" s="56">
      <c r="A53" s="55" t="n">
        <v>46088</v>
      </c>
      <c r="B53" s="9" t="inlineStr">
        <is>
          <t>PC-03/2026-048</t>
        </is>
      </c>
      <c r="C53" s="9" t="inlineStr">
        <is>
          <t>đồ ăn trưa</t>
        </is>
      </c>
      <c r="D53" s="9" t="inlineStr">
        <is>
          <t>Chi</t>
        </is>
      </c>
      <c r="E53" s="9" t="inlineStr">
        <is>
          <t>Ăn uống</t>
        </is>
      </c>
      <c r="F53" s="9" t="inlineStr">
        <is>
          <t>Phòng Kế toán</t>
        </is>
      </c>
      <c r="G53" s="9" t="inlineStr">
        <is>
          <t>shipper</t>
        </is>
      </c>
      <c r="H53" s="9" t="inlineStr">
        <is>
          <t>Chuyển khoản</t>
        </is>
      </c>
      <c r="I53" s="9" t="n">
        <v>343000</v>
      </c>
    </row>
    <row r="54" ht="15.75" customHeight="1" s="56">
      <c r="A54" s="55" t="n">
        <v>46087</v>
      </c>
      <c r="B54" s="9" t="inlineStr">
        <is>
          <t>PC-03/2026-038</t>
        </is>
      </c>
      <c r="C54" s="9" t="inlineStr">
        <is>
          <t>gửi giấy tờ lên VPĐKĐĐ TP cho anh Tập</t>
        </is>
      </c>
      <c r="D54" s="9" t="inlineStr">
        <is>
          <t>Chi</t>
        </is>
      </c>
      <c r="E54" s="9" t="inlineStr">
        <is>
          <t>Chuyển phát - Bưu chính-Grap</t>
        </is>
      </c>
      <c r="F54" s="9" t="inlineStr">
        <is>
          <t>Phòng Kế toán</t>
        </is>
      </c>
      <c r="G54" s="9" t="inlineStr">
        <is>
          <t>Anh Tập</t>
        </is>
      </c>
      <c r="H54" s="9" t="inlineStr">
        <is>
          <t>Chuyển khoản</t>
        </is>
      </c>
      <c r="I54" s="9" t="n">
        <v>70000</v>
      </c>
    </row>
    <row r="55" ht="15.75" customHeight="1" s="56">
      <c r="A55" s="55" t="n">
        <v>46087</v>
      </c>
      <c r="B55" s="9" t="inlineStr">
        <is>
          <t>PC-03/2026-039</t>
        </is>
      </c>
      <c r="C55" s="9" t="inlineStr">
        <is>
          <t>nộp bản vẽ sáng 6/3</t>
        </is>
      </c>
      <c r="D55" s="9" t="inlineStr">
        <is>
          <t>Chi</t>
        </is>
      </c>
      <c r="E55" s="9" t="inlineStr">
        <is>
          <t>Chi quầy tiếp nhận</t>
        </is>
      </c>
      <c r="F55" s="9" t="inlineStr">
        <is>
          <t>Phòng Kế toán</t>
        </is>
      </c>
      <c r="G55" s="9" t="inlineStr">
        <is>
          <t>Chị Vân</t>
        </is>
      </c>
      <c r="H55" s="9" t="inlineStr">
        <is>
          <t>Tiền mặt</t>
        </is>
      </c>
      <c r="I55" s="9" t="n">
        <v>100000</v>
      </c>
    </row>
    <row r="56" ht="15.75" customHeight="1" s="56">
      <c r="A56" s="55" t="n">
        <v>46087</v>
      </c>
      <c r="B56" s="9" t="inlineStr">
        <is>
          <t>PC-03/2026-040</t>
        </is>
      </c>
      <c r="C56" s="9" t="inlineStr">
        <is>
          <t>GIÁM ĐỐC NỘP QUỸ L2 THÁNG 3</t>
        </is>
      </c>
      <c r="D56" s="9" t="inlineStr">
        <is>
          <t>Thu</t>
        </is>
      </c>
      <c r="E56" s="9" t="inlineStr">
        <is>
          <t>Bổ sung quỹ</t>
        </is>
      </c>
      <c r="F56" s="9" t="inlineStr">
        <is>
          <t>Phòng Kế toán</t>
        </is>
      </c>
      <c r="G56" s="9" t="inlineStr">
        <is>
          <t>GIÁM ĐỐC</t>
        </is>
      </c>
      <c r="H56" s="9" t="inlineStr">
        <is>
          <t>Tiền mặt</t>
        </is>
      </c>
      <c r="I56" s="9" t="n">
        <v>10000000</v>
      </c>
    </row>
    <row r="57" ht="15.75" customHeight="1" s="56">
      <c r="A57" s="55" t="n">
        <v>46087</v>
      </c>
      <c r="B57" s="9" t="inlineStr">
        <is>
          <t>PC-03/2026-041</t>
        </is>
      </c>
      <c r="C57" s="9" t="inlineStr">
        <is>
          <t>gửi giấy tờ lên VPĐKĐĐ TP cho anh Tập lần 2</t>
        </is>
      </c>
      <c r="D57" s="9" t="inlineStr">
        <is>
          <t>Chi</t>
        </is>
      </c>
      <c r="E57" s="9" t="inlineStr">
        <is>
          <t>Chuyển phát - Bưu chính-Grap</t>
        </is>
      </c>
      <c r="F57" s="9" t="inlineStr">
        <is>
          <t>Phòng Kế toán</t>
        </is>
      </c>
      <c r="G57" s="9" t="inlineStr">
        <is>
          <t>Anh Tập</t>
        </is>
      </c>
      <c r="H57" s="9" t="inlineStr">
        <is>
          <t>Chuyển khoản</t>
        </is>
      </c>
      <c r="I57" s="9" t="n">
        <v>58000</v>
      </c>
    </row>
    <row r="58" ht="15.75" customHeight="1" s="56">
      <c r="A58" s="55" t="n">
        <v>46087</v>
      </c>
      <c r="B58" s="9" t="inlineStr">
        <is>
          <t>PC-03/2026-042</t>
        </is>
      </c>
      <c r="C58" s="9" t="inlineStr">
        <is>
          <t>nộp hs bản vẽ Nguyễn Khắc Thọ trên VPĐKDĐ TP</t>
        </is>
      </c>
      <c r="D58" s="9" t="inlineStr">
        <is>
          <t>Chi</t>
        </is>
      </c>
      <c r="E58" s="9" t="inlineStr">
        <is>
          <t>Chi quầy tiếp nhận</t>
        </is>
      </c>
      <c r="F58" s="9" t="inlineStr">
        <is>
          <t>Phòng Kế toán</t>
        </is>
      </c>
      <c r="G58" s="9" t="inlineStr">
        <is>
          <t>Anh Tập</t>
        </is>
      </c>
      <c r="H58" s="9" t="inlineStr">
        <is>
          <t>Tiền mặt</t>
        </is>
      </c>
      <c r="I58" s="9" t="n">
        <v>300000</v>
      </c>
    </row>
    <row r="59" ht="15.75" customHeight="1" s="56">
      <c r="A59" s="55" t="n">
        <v>46087</v>
      </c>
      <c r="B59" s="9" t="inlineStr">
        <is>
          <t>PC-03/2026-043</t>
        </is>
      </c>
      <c r="C59" s="9" t="inlineStr">
        <is>
          <t>gửi bản vẽ Bùi Đình Khánh</t>
        </is>
      </c>
      <c r="D59" s="9" t="inlineStr">
        <is>
          <t>Chi</t>
        </is>
      </c>
      <c r="E59" s="9" t="inlineStr">
        <is>
          <t>Chuyển phát - Bưu chính-Grap</t>
        </is>
      </c>
      <c r="F59" s="9" t="inlineStr">
        <is>
          <t>Phòng Kế toán</t>
        </is>
      </c>
      <c r="G59" s="9" t="inlineStr">
        <is>
          <t>Anh Khánh</t>
        </is>
      </c>
      <c r="H59" s="9" t="inlineStr">
        <is>
          <t>Chuyển khoản</t>
        </is>
      </c>
      <c r="I59" s="9" t="n">
        <v>54000</v>
      </c>
    </row>
    <row r="60" ht="15.75" customHeight="1" s="56">
      <c r="A60" s="55" t="n">
        <v>46087</v>
      </c>
      <c r="B60" s="9" t="inlineStr">
        <is>
          <t>PC-03/2026-046</t>
        </is>
      </c>
      <c r="C60" s="9" t="inlineStr">
        <is>
          <t>tiền cơm 6/3</t>
        </is>
      </c>
      <c r="D60" s="9" t="inlineStr">
        <is>
          <t>Chi</t>
        </is>
      </c>
      <c r="E60" s="9" t="inlineStr">
        <is>
          <t>Ăn uống</t>
        </is>
      </c>
      <c r="F60" s="9" t="inlineStr">
        <is>
          <t>Phòng Kế toán</t>
        </is>
      </c>
      <c r="G60" s="9" t="inlineStr">
        <is>
          <t>Anh Hùng</t>
        </is>
      </c>
      <c r="H60" s="9" t="inlineStr">
        <is>
          <t>Chuyển khoản</t>
        </is>
      </c>
      <c r="I60" s="9" t="n">
        <v>1300000</v>
      </c>
    </row>
    <row r="61" ht="15.75" customHeight="1" s="56">
      <c r="A61" s="55" t="n">
        <v>46086</v>
      </c>
      <c r="B61" s="9" t="inlineStr">
        <is>
          <t>PC-03/2026-030</t>
        </is>
      </c>
      <c r="C61" s="9" t="inlineStr">
        <is>
          <t>cắm mốc hồ sơ Phạm Thị Giao Linh</t>
        </is>
      </c>
      <c r="D61" s="9" t="inlineStr">
        <is>
          <t>Chi</t>
        </is>
      </c>
      <c r="E61" s="9" t="inlineStr">
        <is>
          <t>Công tác phí</t>
        </is>
      </c>
      <c r="F61" s="9" t="inlineStr">
        <is>
          <t>Phòng Kế toán</t>
        </is>
      </c>
      <c r="G61" s="9" t="inlineStr">
        <is>
          <t>Anh Dựng</t>
        </is>
      </c>
      <c r="H61" s="9" t="inlineStr">
        <is>
          <t>Chuyển khoản</t>
        </is>
      </c>
      <c r="I61" s="9" t="n">
        <v>275000</v>
      </c>
    </row>
    <row r="62" ht="15.75" customHeight="1" s="56">
      <c r="A62" s="55" t="n">
        <v>46086</v>
      </c>
      <c r="B62" s="9" t="inlineStr">
        <is>
          <t>PC-03/2026-031</t>
        </is>
      </c>
      <c r="C62" s="9" t="inlineStr">
        <is>
          <t>nộp bản vẽ sáng 5/3</t>
        </is>
      </c>
      <c r="D62" s="9" t="inlineStr">
        <is>
          <t>Chi</t>
        </is>
      </c>
      <c r="E62" s="9" t="inlineStr">
        <is>
          <t>Chi quầy tiếp nhận</t>
        </is>
      </c>
      <c r="F62" s="9" t="inlineStr">
        <is>
          <t>Phòng Kế toán</t>
        </is>
      </c>
      <c r="G62" s="9" t="inlineStr">
        <is>
          <t>Chị Vân</t>
        </is>
      </c>
      <c r="H62" s="9" t="inlineStr">
        <is>
          <t>Tiền mặt</t>
        </is>
      </c>
      <c r="I62" s="9" t="n">
        <v>100000</v>
      </c>
    </row>
    <row r="63" ht="15.75" customHeight="1" s="56">
      <c r="A63" s="55" t="n">
        <v>46086</v>
      </c>
      <c r="B63" s="9" t="inlineStr">
        <is>
          <t>PC-03/2026-032</t>
        </is>
      </c>
      <c r="C63" s="9" t="inlineStr">
        <is>
          <t>giao hồ sơ cho anh Hòa</t>
        </is>
      </c>
      <c r="D63" s="9" t="inlineStr">
        <is>
          <t>Chi</t>
        </is>
      </c>
      <c r="E63" s="9" t="inlineStr">
        <is>
          <t>Chuyển phát - Bưu chính-Grap</t>
        </is>
      </c>
      <c r="F63" s="9" t="inlineStr">
        <is>
          <t>Phòng Kế toán</t>
        </is>
      </c>
      <c r="G63" s="9" t="inlineStr">
        <is>
          <t>Anh Hoà</t>
        </is>
      </c>
      <c r="H63" s="9" t="inlineStr">
        <is>
          <t>Chuyển khoản</t>
        </is>
      </c>
      <c r="I63" s="9" t="n">
        <v>95000</v>
      </c>
    </row>
    <row r="64" ht="15.75" customHeight="1" s="56">
      <c r="A64" s="55" t="n">
        <v>46086</v>
      </c>
      <c r="B64" s="9" t="inlineStr">
        <is>
          <t>PC-03/2026-033</t>
        </is>
      </c>
      <c r="C64" s="9" t="inlineStr">
        <is>
          <t>giao bản vẽ cho chị Trương Quế Phương</t>
        </is>
      </c>
      <c r="D64" s="9" t="inlineStr">
        <is>
          <t>Chi</t>
        </is>
      </c>
      <c r="E64" s="9" t="inlineStr">
        <is>
          <t>Chuyển phát - Bưu chính-Grap</t>
        </is>
      </c>
      <c r="F64" s="9" t="inlineStr">
        <is>
          <t>Phòng Kế toán</t>
        </is>
      </c>
      <c r="G64" s="9" t="inlineStr">
        <is>
          <t>Chị Phương</t>
        </is>
      </c>
      <c r="H64" s="9" t="inlineStr">
        <is>
          <t>Chuyển khoản</t>
        </is>
      </c>
      <c r="I64" s="9" t="n">
        <v>60000</v>
      </c>
    </row>
    <row r="65" ht="15.75" customHeight="1" s="56">
      <c r="A65" s="55" t="n">
        <v>46086</v>
      </c>
      <c r="B65" s="9" t="inlineStr">
        <is>
          <t>PC-03/2026-034</t>
        </is>
      </c>
      <c r="C65" s="9" t="inlineStr">
        <is>
          <t>ly nhựa</t>
        </is>
      </c>
      <c r="D65" s="9" t="inlineStr">
        <is>
          <t>Chi</t>
        </is>
      </c>
      <c r="E65" s="9" t="inlineStr">
        <is>
          <t>Quầy nước- cà phê</t>
        </is>
      </c>
      <c r="F65" s="9" t="inlineStr">
        <is>
          <t>Phòng Kế toán</t>
        </is>
      </c>
      <c r="G65" s="9" t="inlineStr">
        <is>
          <t>shipper</t>
        </is>
      </c>
      <c r="H65" s="9" t="inlineStr">
        <is>
          <t>Chuyển khoản</t>
        </is>
      </c>
      <c r="I65" s="9" t="n">
        <v>184000</v>
      </c>
    </row>
    <row r="66" ht="15.75" customHeight="1" s="56">
      <c r="A66" s="55" t="n">
        <v>46086</v>
      </c>
      <c r="B66" s="9" t="inlineStr">
        <is>
          <t>PC-03/2026-035</t>
        </is>
      </c>
      <c r="C66" s="9" t="inlineStr">
        <is>
          <t>nộp bản vẽ chiều 5/3</t>
        </is>
      </c>
      <c r="D66" s="9" t="inlineStr">
        <is>
          <t>Chi</t>
        </is>
      </c>
      <c r="E66" s="9" t="inlineStr">
        <is>
          <t>Chi quầy tiếp nhận</t>
        </is>
      </c>
      <c r="F66" s="9" t="inlineStr">
        <is>
          <t>Phòng Kế toán</t>
        </is>
      </c>
      <c r="G66" s="9" t="inlineStr">
        <is>
          <t>Chị Vân</t>
        </is>
      </c>
      <c r="H66" s="9" t="inlineStr">
        <is>
          <t>Tiền mặt</t>
        </is>
      </c>
      <c r="I66" s="9" t="n">
        <v>100000</v>
      </c>
    </row>
    <row r="67" ht="15.75" customHeight="1" s="56">
      <c r="A67" s="55" t="n">
        <v>46086</v>
      </c>
      <c r="B67" s="9" t="inlineStr">
        <is>
          <t>PC-03/2026-036</t>
        </is>
      </c>
      <c r="C67" s="9" t="inlineStr">
        <is>
          <t>078/BK-2026	Lê Minh Thạnh</t>
        </is>
      </c>
      <c r="D67" s="9" t="inlineStr">
        <is>
          <t>Chi</t>
        </is>
      </c>
      <c r="E67" s="9" t="inlineStr">
        <is>
          <t>Chi thụ lý bản vẽ</t>
        </is>
      </c>
      <c r="F67" s="9" t="inlineStr">
        <is>
          <t>Phòng Kế toán</t>
        </is>
      </c>
      <c r="G67" s="9" t="inlineStr">
        <is>
          <t>Anh Đình Cường</t>
        </is>
      </c>
      <c r="H67" s="9" t="inlineStr">
        <is>
          <t>Tiền mặt</t>
        </is>
      </c>
      <c r="I67" s="9" t="n">
        <v>1500000</v>
      </c>
    </row>
    <row r="68" ht="15.75" customHeight="1" s="56">
      <c r="A68" s="55" t="n">
        <v>46086</v>
      </c>
      <c r="B68" s="9" t="inlineStr">
        <is>
          <t>PC-03/2026-037</t>
        </is>
      </c>
      <c r="C68" s="9" t="inlineStr">
        <is>
          <t>gửi bv bv Lê Minh Thạnh</t>
        </is>
      </c>
      <c r="D68" s="9" t="inlineStr">
        <is>
          <t>Chi</t>
        </is>
      </c>
      <c r="E68" s="9" t="inlineStr">
        <is>
          <t>Chi bảo vệ</t>
        </is>
      </c>
      <c r="F68" s="9" t="inlineStr">
        <is>
          <t>Phòng Kế toán</t>
        </is>
      </c>
      <c r="G68" s="9" t="inlineStr">
        <is>
          <t>bảo vệ</t>
        </is>
      </c>
      <c r="H68" s="9" t="inlineStr">
        <is>
          <t>Tiền mặt</t>
        </is>
      </c>
      <c r="I68" s="9" t="n">
        <v>50000</v>
      </c>
    </row>
    <row r="69" ht="15.75" customHeight="1" s="56">
      <c r="A69" s="55" t="n">
        <v>46085</v>
      </c>
      <c r="B69" s="9" t="inlineStr">
        <is>
          <t>PC-03/2026-023</t>
        </is>
      </c>
      <c r="C69" s="9" t="inlineStr">
        <is>
          <t>nộp tờ giấy đóng tiền phạt Đặng Văn Hòa</t>
        </is>
      </c>
      <c r="D69" s="9" t="inlineStr">
        <is>
          <t>Chi</t>
        </is>
      </c>
      <c r="E69" s="9" t="inlineStr">
        <is>
          <t>Chi quầy tiếp nhận</t>
        </is>
      </c>
      <c r="F69" s="9" t="inlineStr">
        <is>
          <t>Phòng Kế toán</t>
        </is>
      </c>
      <c r="G69" s="9" t="inlineStr">
        <is>
          <t>quầy tiếp nhận</t>
        </is>
      </c>
      <c r="H69" s="9" t="inlineStr">
        <is>
          <t>Tiền mặt</t>
        </is>
      </c>
      <c r="I69" s="9" t="n">
        <v>100000</v>
      </c>
    </row>
    <row r="70" ht="15.75" customHeight="1" s="56">
      <c r="A70" s="55" t="n">
        <v>46085</v>
      </c>
      <c r="B70" s="9" t="inlineStr">
        <is>
          <t>PC-03/2026-024</t>
        </is>
      </c>
      <c r="C70" s="9" t="inlineStr">
        <is>
          <t>gửi sổ Trần Thị Ngọc Dung với GUQ qua Cô Hoa</t>
        </is>
      </c>
      <c r="D70" s="9" t="inlineStr">
        <is>
          <t>Chi</t>
        </is>
      </c>
      <c r="E70" s="9" t="inlineStr">
        <is>
          <t>Chuyển phát - Bưu chính-Grap</t>
        </is>
      </c>
      <c r="F70" s="9" t="inlineStr">
        <is>
          <t>Phòng Kế toán</t>
        </is>
      </c>
      <c r="G70" s="9" t="inlineStr">
        <is>
          <t>Cô Hoa</t>
        </is>
      </c>
      <c r="H70" s="9" t="inlineStr">
        <is>
          <t>Chuyển khoản</t>
        </is>
      </c>
      <c r="I70" s="9" t="n">
        <v>75000</v>
      </c>
    </row>
    <row r="71" ht="15.75" customHeight="1" s="56">
      <c r="A71" s="55" t="n">
        <v>46085</v>
      </c>
      <c r="B71" s="9" t="inlineStr">
        <is>
          <t>PC-03/2026-025</t>
        </is>
      </c>
      <c r="C71" s="9" t="inlineStr">
        <is>
          <t>nộp bản vẽ chiều 4/3</t>
        </is>
      </c>
      <c r="D71" s="9" t="inlineStr">
        <is>
          <t>Chi</t>
        </is>
      </c>
      <c r="E71" s="9" t="inlineStr">
        <is>
          <t>Chi quầy tiếp nhận</t>
        </is>
      </c>
      <c r="F71" s="9" t="inlineStr">
        <is>
          <t>Phòng Kế toán</t>
        </is>
      </c>
      <c r="G71" s="9" t="inlineStr">
        <is>
          <t>Chị Vân</t>
        </is>
      </c>
      <c r="H71" s="9" t="inlineStr">
        <is>
          <t>Tiền mặt</t>
        </is>
      </c>
      <c r="I71" s="9" t="n">
        <v>100000</v>
      </c>
    </row>
    <row r="72" ht="15.75" customHeight="1" s="56">
      <c r="A72" s="55" t="n">
        <v>46085</v>
      </c>
      <c r="B72" s="9" t="inlineStr">
        <is>
          <t>PC-03/2026-026</t>
        </is>
      </c>
      <c r="C72" s="9" t="inlineStr">
        <is>
          <t>lấy sổ Đặng Văn Hòa</t>
        </is>
      </c>
      <c r="D72" s="9" t="inlineStr">
        <is>
          <t>Chi</t>
        </is>
      </c>
      <c r="E72" s="9" t="inlineStr">
        <is>
          <t>Chi quầy tiếp nhận</t>
        </is>
      </c>
      <c r="F72" s="9" t="inlineStr">
        <is>
          <t>Phòng Kế toán</t>
        </is>
      </c>
      <c r="G72" s="9" t="inlineStr">
        <is>
          <t>quầy tiếp nhận</t>
        </is>
      </c>
      <c r="H72" s="9" t="inlineStr">
        <is>
          <t>Tiền mặt</t>
        </is>
      </c>
      <c r="I72" s="9" t="n">
        <v>100000</v>
      </c>
    </row>
    <row r="73" ht="15.75" customHeight="1" s="56">
      <c r="A73" s="55" t="n">
        <v>46085</v>
      </c>
      <c r="B73" s="9" t="inlineStr">
        <is>
          <t>PC-03/2026-027</t>
        </is>
      </c>
      <c r="C73" s="9" t="inlineStr">
        <is>
          <t>phí lấy sổ Đặng Văn Hòa</t>
        </is>
      </c>
      <c r="D73" s="9" t="inlineStr">
        <is>
          <t>Chi</t>
        </is>
      </c>
      <c r="E73" s="9" t="inlineStr">
        <is>
          <t>Lấy sổ</t>
        </is>
      </c>
      <c r="F73" s="9" t="inlineStr">
        <is>
          <t>Phòng Kế toán</t>
        </is>
      </c>
      <c r="G73" s="9" t="inlineStr">
        <is>
          <t>Chi nhánh số 2</t>
        </is>
      </c>
      <c r="H73" s="9" t="inlineStr">
        <is>
          <t>Chuyển khoản</t>
        </is>
      </c>
      <c r="I73" s="9" t="n">
        <v>1723000</v>
      </c>
    </row>
    <row r="74" ht="15.75" customHeight="1" s="56">
      <c r="A74" s="55" t="n">
        <v>46085</v>
      </c>
      <c r="B74" s="9" t="inlineStr">
        <is>
          <t>PC-03/2026-028</t>
        </is>
      </c>
      <c r="C74" s="9" t="inlineStr">
        <is>
          <t>Bình bơm đường</t>
        </is>
      </c>
      <c r="D74" s="9" t="inlineStr">
        <is>
          <t>Chi</t>
        </is>
      </c>
      <c r="E74" s="9" t="inlineStr">
        <is>
          <t>Quầy nước- cà phê</t>
        </is>
      </c>
      <c r="F74" s="9" t="inlineStr">
        <is>
          <t>Phòng Kế toán</t>
        </is>
      </c>
      <c r="G74" s="9" t="inlineStr">
        <is>
          <t>shipper</t>
        </is>
      </c>
      <c r="H74" s="9" t="inlineStr">
        <is>
          <t>Chuyển khoản</t>
        </is>
      </c>
      <c r="I74" s="9" t="n">
        <v>49000</v>
      </c>
    </row>
    <row r="75" ht="15.75" customHeight="1" s="56">
      <c r="A75" s="55" t="n">
        <v>46085</v>
      </c>
      <c r="B75" s="9" t="inlineStr">
        <is>
          <t>PC-03/2026-029</t>
        </is>
      </c>
      <c r="C75" s="9" t="inlineStr">
        <is>
          <t>gửi chị Ngọc hồ sơ Trịnh Nguyên Như Hiếu</t>
        </is>
      </c>
      <c r="D75" s="9" t="inlineStr">
        <is>
          <t>Chi</t>
        </is>
      </c>
      <c r="E75" s="9" t="inlineStr">
        <is>
          <t>Đóng thuế</t>
        </is>
      </c>
      <c r="F75" s="9" t="inlineStr">
        <is>
          <t>Phòng Kế toán</t>
        </is>
      </c>
      <c r="G75" s="9" t="inlineStr">
        <is>
          <t>Chị Ngọc bên thuế</t>
        </is>
      </c>
      <c r="H75" s="9" t="inlineStr">
        <is>
          <t>Tiền mặt</t>
        </is>
      </c>
      <c r="I75" s="9" t="n">
        <v>2000000</v>
      </c>
    </row>
    <row r="76" ht="15.75" customHeight="1" s="56">
      <c r="A76" s="55" t="n">
        <v>46084</v>
      </c>
      <c r="B76" s="9" t="inlineStr">
        <is>
          <t>PC-03/2026-009</t>
        </is>
      </c>
      <c r="C76" s="9" t="inlineStr">
        <is>
          <t>209/BK-2025	La Thị Thanh Duyên</t>
        </is>
      </c>
      <c r="D76" s="9" t="inlineStr">
        <is>
          <t>Chi</t>
        </is>
      </c>
      <c r="E76" s="9" t="inlineStr">
        <is>
          <t>Chi thụ lý bản vẽ</t>
        </is>
      </c>
      <c r="F76" s="9" t="inlineStr">
        <is>
          <t>Phòng Kế toán</t>
        </is>
      </c>
      <c r="G76" s="9" t="inlineStr">
        <is>
          <t>Anh Đình Cường</t>
        </is>
      </c>
      <c r="H76" s="9" t="inlineStr">
        <is>
          <t>Tiền mặt</t>
        </is>
      </c>
      <c r="I76" s="9" t="n">
        <v>1500000</v>
      </c>
    </row>
    <row r="77" ht="15.75" customHeight="1" s="56">
      <c r="A77" s="55" t="n">
        <v>46084</v>
      </c>
      <c r="B77" s="9" t="inlineStr">
        <is>
          <t>PC-03/2026-010</t>
        </is>
      </c>
      <c r="C77" s="9" t="inlineStr">
        <is>
          <t>gửi bv bv La Thị Thanh Duyên</t>
        </is>
      </c>
      <c r="D77" s="9" t="inlineStr">
        <is>
          <t>Chi</t>
        </is>
      </c>
      <c r="E77" s="9" t="inlineStr">
        <is>
          <t>Chi bảo vệ</t>
        </is>
      </c>
      <c r="F77" s="9" t="inlineStr">
        <is>
          <t>Phòng Kế toán</t>
        </is>
      </c>
      <c r="G77" s="9" t="inlineStr">
        <is>
          <t>bảo vệ</t>
        </is>
      </c>
      <c r="H77" s="9" t="inlineStr">
        <is>
          <t>Tiền mặt</t>
        </is>
      </c>
      <c r="I77" s="9" t="n">
        <v>50000</v>
      </c>
    </row>
    <row r="78" ht="15.75" customHeight="1" s="56">
      <c r="A78" s="55" t="n">
        <v>46084</v>
      </c>
      <c r="B78" s="9" t="inlineStr">
        <is>
          <t>PC-03/2026-011</t>
        </is>
      </c>
      <c r="C78" s="9" t="inlineStr">
        <is>
          <t>phí lấy sổ Nguyễn Thị Trúc Thanh - Hoàng Phi Hải</t>
        </is>
      </c>
      <c r="D78" s="9" t="inlineStr">
        <is>
          <t>Chi</t>
        </is>
      </c>
      <c r="E78" s="9" t="inlineStr">
        <is>
          <t>Lấy sổ</t>
        </is>
      </c>
      <c r="F78" s="9" t="inlineStr">
        <is>
          <t>Phòng Kế toán</t>
        </is>
      </c>
      <c r="G78" s="9" t="inlineStr">
        <is>
          <t>Chi nhánh số 2</t>
        </is>
      </c>
      <c r="H78" s="9" t="inlineStr">
        <is>
          <t>Chuyển khoản</t>
        </is>
      </c>
      <c r="I78" s="9" t="n">
        <v>1574000</v>
      </c>
    </row>
    <row r="79" ht="15.75" customHeight="1" s="56">
      <c r="A79" s="55" t="n">
        <v>46084</v>
      </c>
      <c r="B79" s="9" t="inlineStr">
        <is>
          <t>PC-03/2026-012</t>
        </is>
      </c>
      <c r="C79" s="9" t="inlineStr">
        <is>
          <t>lấy sổ Nguyễn Thị Trúc Thanh - Hoàng Phi Hải</t>
        </is>
      </c>
      <c r="D79" s="9" t="inlineStr">
        <is>
          <t>Chi</t>
        </is>
      </c>
      <c r="E79" s="9" t="inlineStr">
        <is>
          <t>Chi quầy tiếp nhận</t>
        </is>
      </c>
      <c r="F79" s="9" t="inlineStr">
        <is>
          <t>Phòng Kế toán</t>
        </is>
      </c>
      <c r="G79" s="9" t="inlineStr">
        <is>
          <t>quầy tiếp nhận</t>
        </is>
      </c>
      <c r="H79" s="9" t="inlineStr">
        <is>
          <t>Tiền mặt</t>
        </is>
      </c>
      <c r="I79" s="9" t="n">
        <v>100000</v>
      </c>
    </row>
    <row r="80" ht="15.75" customHeight="1" s="56">
      <c r="A80" s="55" t="n">
        <v>46084</v>
      </c>
      <c r="B80" s="9" t="inlineStr">
        <is>
          <t>PC-03/2026-013</t>
        </is>
      </c>
      <c r="C80" s="9" t="inlineStr">
        <is>
          <t>tiền rác</t>
        </is>
      </c>
      <c r="D80" s="9" t="inlineStr">
        <is>
          <t>Chi</t>
        </is>
      </c>
      <c r="E80" s="9" t="inlineStr">
        <is>
          <t>Vệ sinh - Rác thải</t>
        </is>
      </c>
      <c r="F80" s="9" t="inlineStr">
        <is>
          <t>Phòng Kế toán</t>
        </is>
      </c>
      <c r="G80" s="9" t="inlineStr">
        <is>
          <t>VSMT Cường Nguyễn</t>
        </is>
      </c>
      <c r="H80" s="9" t="inlineStr">
        <is>
          <t>Tiền mặt</t>
        </is>
      </c>
      <c r="I80" s="9" t="n">
        <v>250000</v>
      </c>
    </row>
    <row r="81" ht="15.75" customHeight="1" s="56">
      <c r="A81" s="55" t="n">
        <v>46084</v>
      </c>
      <c r="B81" s="9" t="inlineStr">
        <is>
          <t>PC-03/2026-014</t>
        </is>
      </c>
      <c r="C81" s="9" t="inlineStr">
        <is>
          <t>qua quầy tiếp nhận lấy quyết định xử phạt Đặng Văn Hòa - Đặng Thị Kim Thiện</t>
        </is>
      </c>
      <c r="D81" s="9" t="inlineStr">
        <is>
          <t>Chi</t>
        </is>
      </c>
      <c r="E81" s="9" t="inlineStr">
        <is>
          <t>Chi quầy tiếp nhận</t>
        </is>
      </c>
      <c r="F81" s="9" t="inlineStr">
        <is>
          <t>Phòng Kế toán</t>
        </is>
      </c>
      <c r="G81" s="9" t="inlineStr">
        <is>
          <t>quầy tiếp nhận</t>
        </is>
      </c>
      <c r="H81" s="9" t="inlineStr">
        <is>
          <t>Tiền mặt</t>
        </is>
      </c>
      <c r="I81" s="9" t="n">
        <v>100000</v>
      </c>
    </row>
    <row r="82" ht="15.75" customHeight="1" s="56">
      <c r="A82" s="55" t="n">
        <v>46084</v>
      </c>
      <c r="B82" s="9" t="inlineStr">
        <is>
          <t>PC-03/2026-015</t>
        </is>
      </c>
      <c r="C82" s="9" t="inlineStr">
        <is>
          <t>nộp bản vẽ chiều 3/3</t>
        </is>
      </c>
      <c r="D82" s="9" t="inlineStr">
        <is>
          <t>Chi</t>
        </is>
      </c>
      <c r="E82" s="9" t="inlineStr">
        <is>
          <t>Chi quầy tiếp nhận</t>
        </is>
      </c>
      <c r="F82" s="9" t="inlineStr">
        <is>
          <t>Phòng Kế toán</t>
        </is>
      </c>
      <c r="G82" s="9" t="inlineStr">
        <is>
          <t>Chị Vân</t>
        </is>
      </c>
      <c r="H82" s="9" t="inlineStr">
        <is>
          <t>Tiền mặt</t>
        </is>
      </c>
      <c r="I82" s="9" t="n">
        <v>100000</v>
      </c>
    </row>
    <row r="83" ht="15.75" customHeight="1" s="56">
      <c r="A83" s="55" t="n">
        <v>46084</v>
      </c>
      <c r="B83" s="9" t="inlineStr">
        <is>
          <t>PC-03/2026-016</t>
        </is>
      </c>
      <c r="C83" s="9" t="inlineStr">
        <is>
          <t>gửi grab cho anh Thanh bảng khối lượng</t>
        </is>
      </c>
      <c r="D83" s="9" t="inlineStr">
        <is>
          <t>Chi</t>
        </is>
      </c>
      <c r="E83" s="9" t="inlineStr">
        <is>
          <t>Chuyển phát - Bưu chính-Grap</t>
        </is>
      </c>
      <c r="F83" s="9" t="inlineStr">
        <is>
          <t>Phòng Kế toán</t>
        </is>
      </c>
      <c r="G83" s="9" t="inlineStr">
        <is>
          <t>Anh Thanh</t>
        </is>
      </c>
      <c r="H83" s="9" t="inlineStr">
        <is>
          <t>Chuyển khoản</t>
        </is>
      </c>
      <c r="I83" s="9" t="n">
        <v>80000</v>
      </c>
    </row>
    <row r="84" ht="15.75" customHeight="1" s="56">
      <c r="A84" s="55" t="n">
        <v>46084</v>
      </c>
      <c r="B84" s="9" t="inlineStr">
        <is>
          <t>PC-03/2026-017</t>
        </is>
      </c>
      <c r="C84" s="9" t="inlineStr">
        <is>
          <t>670/DC-2026 Hồ Trọng Dũng</t>
        </is>
      </c>
      <c r="D84" s="9" t="inlineStr">
        <is>
          <t>Chi</t>
        </is>
      </c>
      <c r="E84" s="9" t="inlineStr">
        <is>
          <t>Chi thụ lý bản vẽ</t>
        </is>
      </c>
      <c r="F84" s="9" t="inlineStr">
        <is>
          <t>Phòng Kế toán</t>
        </is>
      </c>
      <c r="G84" s="9" t="inlineStr">
        <is>
          <t>Anh Xuất</t>
        </is>
      </c>
      <c r="H84" s="9" t="inlineStr">
        <is>
          <t>Tiền mặt</t>
        </is>
      </c>
      <c r="I84" s="9" t="n">
        <v>1000000</v>
      </c>
    </row>
    <row r="85" ht="15.75" customHeight="1" s="56">
      <c r="A85" s="55" t="n">
        <v>46084</v>
      </c>
      <c r="B85" s="9" t="inlineStr">
        <is>
          <t>PC-03/2026-018</t>
        </is>
      </c>
      <c r="C85" s="9" t="inlineStr">
        <is>
          <t>gửi bv bv Hồ Trọng Dũng</t>
        </is>
      </c>
      <c r="D85" s="9" t="inlineStr">
        <is>
          <t>Chi</t>
        </is>
      </c>
      <c r="E85" s="9" t="inlineStr">
        <is>
          <t>Chi bảo vệ</t>
        </is>
      </c>
      <c r="F85" s="9" t="inlineStr">
        <is>
          <t>Phòng Kế toán</t>
        </is>
      </c>
      <c r="G85" s="9" t="inlineStr">
        <is>
          <t>bảo vệ</t>
        </is>
      </c>
      <c r="H85" s="9" t="inlineStr">
        <is>
          <t>Tiền mặt</t>
        </is>
      </c>
      <c r="I85" s="9" t="n">
        <v>50000</v>
      </c>
    </row>
    <row r="86" ht="15.75" customHeight="1" s="56">
      <c r="A86" s="55" t="n">
        <v>46084</v>
      </c>
      <c r="B86" s="9" t="inlineStr">
        <is>
          <t>PC-03/2026-019</t>
        </is>
      </c>
      <c r="C86" s="9" t="inlineStr">
        <is>
          <t>GIÁM ĐỐC NỘP QUỸ L1 THÁNG 3</t>
        </is>
      </c>
      <c r="D86" s="9" t="inlineStr">
        <is>
          <t>Thu</t>
        </is>
      </c>
      <c r="E86" s="9" t="inlineStr">
        <is>
          <t>Bổ sung quỹ</t>
        </is>
      </c>
      <c r="F86" s="9" t="inlineStr">
        <is>
          <t>Phòng Kế toán</t>
        </is>
      </c>
      <c r="G86" s="9" t="inlineStr">
        <is>
          <t>GIÁM ĐỐC</t>
        </is>
      </c>
      <c r="H86" s="9" t="inlineStr">
        <is>
          <t>Tiền mặt</t>
        </is>
      </c>
      <c r="I86" s="9" t="n">
        <v>5000000</v>
      </c>
    </row>
    <row r="87" ht="15.75" customHeight="1" s="56">
      <c r="A87" s="55" t="n">
        <v>46084</v>
      </c>
      <c r="B87" s="9" t="inlineStr">
        <is>
          <t>PC-03/2026-020</t>
        </is>
      </c>
      <c r="C87" s="9" t="inlineStr">
        <is>
          <t>Đặng Văn Hòa - Đặng Thị Kim Thiện PC/4406</t>
        </is>
      </c>
      <c r="D87" s="9" t="inlineStr">
        <is>
          <t>Chi</t>
        </is>
      </c>
      <c r="E87" s="9" t="inlineStr">
        <is>
          <t>Đóng thuế</t>
        </is>
      </c>
      <c r="F87" s="9" t="inlineStr">
        <is>
          <t>Phòng Kế toán</t>
        </is>
      </c>
      <c r="G87" s="9" t="inlineStr">
        <is>
          <t>Anh Phúc</t>
        </is>
      </c>
      <c r="H87" s="9" t="inlineStr">
        <is>
          <t>Tiền mặt</t>
        </is>
      </c>
      <c r="I87" s="9" t="n">
        <v>2000000</v>
      </c>
    </row>
    <row r="88" ht="15.75" customHeight="1" s="56">
      <c r="A88" s="55" t="n">
        <v>46084</v>
      </c>
      <c r="B88" s="9" t="inlineStr">
        <is>
          <t>PC-03/2026-021</t>
        </is>
      </c>
      <c r="C88" s="9" t="inlineStr">
        <is>
          <t>Đóng tiền phạt Đặng Văn Hòa</t>
        </is>
      </c>
      <c r="D88" s="9" t="inlineStr">
        <is>
          <t>Chi</t>
        </is>
      </c>
      <c r="E88" s="9" t="inlineStr">
        <is>
          <t>Đóng thuế</t>
        </is>
      </c>
      <c r="F88" s="9" t="inlineStr">
        <is>
          <t>Phòng Kế toán</t>
        </is>
      </c>
      <c r="G88" s="9" t="inlineStr">
        <is>
          <t>Agribank</t>
        </is>
      </c>
      <c r="H88" s="9" t="inlineStr">
        <is>
          <t>Tiền mặt</t>
        </is>
      </c>
      <c r="I88" s="9" t="n">
        <v>2500000</v>
      </c>
    </row>
    <row r="89" ht="15.75" customHeight="1" s="56">
      <c r="A89" s="55" t="n">
        <v>46084</v>
      </c>
      <c r="B89" s="9" t="inlineStr">
        <is>
          <t>PC-03/2026-022</t>
        </is>
      </c>
      <c r="C89" s="9" t="inlineStr">
        <is>
          <t>tiền đá tháng 2</t>
        </is>
      </c>
      <c r="D89" s="9" t="inlineStr">
        <is>
          <t>Chi</t>
        </is>
      </c>
      <c r="E89" s="9" t="inlineStr">
        <is>
          <t>Quầy nước- cà phê</t>
        </is>
      </c>
      <c r="F89" s="9" t="inlineStr">
        <is>
          <t>Phòng Kế toán</t>
        </is>
      </c>
      <c r="G89" s="9" t="inlineStr">
        <is>
          <t>anh Hữu Trí</t>
        </is>
      </c>
      <c r="H89" s="9" t="inlineStr">
        <is>
          <t>Chuyển khoản</t>
        </is>
      </c>
      <c r="I89" s="9" t="n">
        <v>200000</v>
      </c>
    </row>
    <row r="90" ht="15.75" customHeight="1" s="56">
      <c r="A90" s="55" t="n">
        <v>46083</v>
      </c>
      <c r="B90" s="9" t="inlineStr">
        <is>
          <t>PC-03/2026-001</t>
        </is>
      </c>
      <c r="C90" s="9" t="inlineStr">
        <is>
          <t>cam + bưởi</t>
        </is>
      </c>
      <c r="D90" s="9" t="inlineStr">
        <is>
          <t>Chi</t>
        </is>
      </c>
      <c r="E90" s="9" t="inlineStr">
        <is>
          <t>Sinh hoạt gia đình</t>
        </is>
      </c>
      <c r="F90" s="9" t="inlineStr">
        <is>
          <t>Phòng Kế toán</t>
        </is>
      </c>
      <c r="G90" s="9" t="inlineStr">
        <is>
          <t>Hằng</t>
        </is>
      </c>
      <c r="H90" s="9" t="inlineStr">
        <is>
          <t>Tiền mặt</t>
        </is>
      </c>
      <c r="I90" s="9" t="n">
        <v>105000</v>
      </c>
    </row>
    <row r="91" ht="15.75" customHeight="1" s="56">
      <c r="A91" s="55" t="n">
        <v>46083</v>
      </c>
      <c r="B91" s="9" t="inlineStr">
        <is>
          <t>PC-03/2026-002</t>
        </is>
      </c>
      <c r="C91" s="9" t="inlineStr">
        <is>
          <t>bông cúc</t>
        </is>
      </c>
      <c r="D91" s="9" t="inlineStr">
        <is>
          <t>Chi</t>
        </is>
      </c>
      <c r="E91" s="9" t="inlineStr">
        <is>
          <t>Sinh hoạt gia đình</t>
        </is>
      </c>
      <c r="F91" s="9" t="inlineStr">
        <is>
          <t>Phòng Kế toán</t>
        </is>
      </c>
      <c r="G91" s="9" t="inlineStr">
        <is>
          <t>Hằng</t>
        </is>
      </c>
      <c r="H91" s="9" t="inlineStr">
        <is>
          <t>Tiền mặt</t>
        </is>
      </c>
      <c r="I91" s="9" t="n">
        <v>40000</v>
      </c>
    </row>
    <row r="92" ht="15.75" customHeight="1" s="56">
      <c r="A92" s="55" t="n">
        <v>46083</v>
      </c>
      <c r="B92" s="9" t="inlineStr">
        <is>
          <t>PC-03/2026-003</t>
        </is>
      </c>
      <c r="C92" s="9" t="inlineStr">
        <is>
          <t>hộp quẹt</t>
        </is>
      </c>
      <c r="D92" s="9" t="inlineStr">
        <is>
          <t>Chi</t>
        </is>
      </c>
      <c r="E92" s="9" t="inlineStr">
        <is>
          <t>Sinh hoạt gia đình</t>
        </is>
      </c>
      <c r="F92" s="9" t="inlineStr">
        <is>
          <t>Phòng Kế toán</t>
        </is>
      </c>
      <c r="G92" s="9" t="inlineStr">
        <is>
          <t>Hằng</t>
        </is>
      </c>
      <c r="H92" s="9" t="inlineStr">
        <is>
          <t>Tiền mặt</t>
        </is>
      </c>
      <c r="I92" s="9" t="n">
        <v>10000</v>
      </c>
    </row>
    <row r="93" ht="15.75" customHeight="1" s="56">
      <c r="A93" s="55" t="n">
        <v>46083</v>
      </c>
      <c r="B93" s="9" t="inlineStr">
        <is>
          <t>PC-03/2026-004</t>
        </is>
      </c>
      <c r="C93" s="9" t="inlineStr">
        <is>
          <t>075/BK-2026	Hoàng Thị Cúc</t>
        </is>
      </c>
      <c r="D93" s="9" t="inlineStr">
        <is>
          <t>Chi</t>
        </is>
      </c>
      <c r="E93" s="9" t="inlineStr">
        <is>
          <t>Chi thụ lý bản vẽ</t>
        </is>
      </c>
      <c r="F93" s="9" t="inlineStr">
        <is>
          <t>Phòng Kế toán</t>
        </is>
      </c>
      <c r="G93" s="9" t="inlineStr">
        <is>
          <t>Anh Mạnh Quân</t>
        </is>
      </c>
      <c r="H93" s="9" t="inlineStr">
        <is>
          <t>Tiền mặt</t>
        </is>
      </c>
      <c r="I93" s="9" t="n">
        <v>1000000</v>
      </c>
    </row>
    <row r="94" ht="15.75" customHeight="1" s="56">
      <c r="A94" s="55" t="n">
        <v>46083</v>
      </c>
      <c r="B94" s="9" t="inlineStr">
        <is>
          <t>PC-03/2026-005</t>
        </is>
      </c>
      <c r="C94" s="9" t="inlineStr">
        <is>
          <t>Gửi bv bv Hoàng Thị Cúc</t>
        </is>
      </c>
      <c r="D94" s="9" t="inlineStr">
        <is>
          <t>Chi</t>
        </is>
      </c>
      <c r="E94" s="9" t="inlineStr">
        <is>
          <t>Chi bảo vệ</t>
        </is>
      </c>
      <c r="F94" s="9" t="inlineStr">
        <is>
          <t>Phòng Kế toán</t>
        </is>
      </c>
      <c r="G94" s="9" t="inlineStr">
        <is>
          <t>bảo vệ</t>
        </is>
      </c>
      <c r="H94" s="9" t="inlineStr">
        <is>
          <t>Tiền mặt</t>
        </is>
      </c>
      <c r="I94" s="9" t="n">
        <v>50000</v>
      </c>
    </row>
    <row r="95" ht="15.75" customHeight="1" s="56">
      <c r="A95" s="55" t="n">
        <v>46083</v>
      </c>
      <c r="B95" s="9" t="inlineStr">
        <is>
          <t>PC-03/2026-006</t>
        </is>
      </c>
      <c r="C95" s="9" t="inlineStr">
        <is>
          <t>nộp bản vẽ chiều 2/3</t>
        </is>
      </c>
      <c r="D95" s="9" t="inlineStr">
        <is>
          <t>Chi</t>
        </is>
      </c>
      <c r="E95" s="9" t="inlineStr">
        <is>
          <t>Chi quầy tiếp nhận</t>
        </is>
      </c>
      <c r="F95" s="9" t="inlineStr">
        <is>
          <t>Phòng Kế toán</t>
        </is>
      </c>
      <c r="G95" s="9" t="inlineStr">
        <is>
          <t>Chị Vân</t>
        </is>
      </c>
      <c r="H95" s="9" t="inlineStr">
        <is>
          <t>Tiền mặt</t>
        </is>
      </c>
      <c r="I95" s="9" t="n">
        <v>100000</v>
      </c>
    </row>
    <row r="96" ht="15.75" customHeight="1" s="56">
      <c r="A96" s="55" t="n">
        <v>46083</v>
      </c>
      <c r="B96" s="9" t="inlineStr">
        <is>
          <t>PC-03/2026-007</t>
        </is>
      </c>
      <c r="C96" s="9" t="inlineStr">
        <is>
          <t>chổi chà sàn (2)</t>
        </is>
      </c>
      <c r="D96" s="9" t="inlineStr">
        <is>
          <t>Chi</t>
        </is>
      </c>
      <c r="E96" s="9" t="inlineStr">
        <is>
          <t>Sinh hoạt gia đình</t>
        </is>
      </c>
      <c r="F96" s="9" t="inlineStr">
        <is>
          <t>Phòng Kế toán</t>
        </is>
      </c>
      <c r="G96" s="9" t="inlineStr">
        <is>
          <t>shipper</t>
        </is>
      </c>
      <c r="H96" s="9" t="inlineStr">
        <is>
          <t>Chuyển khoản</t>
        </is>
      </c>
      <c r="I96" s="9" t="n">
        <v>57000</v>
      </c>
    </row>
    <row r="97" ht="15.75" customHeight="1" s="56">
      <c r="A97" s="55" t="n">
        <v>46083</v>
      </c>
      <c r="B97" s="9" t="inlineStr">
        <is>
          <t>PC-03/2026-008</t>
        </is>
      </c>
      <c r="C97" s="9" t="inlineStr">
        <is>
          <t>Tiền vệ sinh tháng 2</t>
        </is>
      </c>
      <c r="D97" s="9" t="inlineStr">
        <is>
          <t>Chi</t>
        </is>
      </c>
      <c r="E97" s="9" t="inlineStr">
        <is>
          <t>Vệ sinh - Rác thải</t>
        </is>
      </c>
      <c r="F97" s="9" t="inlineStr">
        <is>
          <t>Phòng Kế toán</t>
        </is>
      </c>
      <c r="G97" s="9" t="inlineStr">
        <is>
          <t>Gia Phát</t>
        </is>
      </c>
      <c r="H97" s="9" t="inlineStr">
        <is>
          <t>Chuyển khoản</t>
        </is>
      </c>
      <c r="I97" s="9" t="n">
        <v>960000</v>
      </c>
    </row>
    <row r="98" ht="15.75" customHeight="1" s="56">
      <c r="A98" s="55" t="n">
        <v>46081</v>
      </c>
      <c r="B98" s="9" t="inlineStr">
        <is>
          <t>PC-02/2026-120</t>
        </is>
      </c>
      <c r="C98" s="9" t="inlineStr">
        <is>
          <t>nộp bản vẽ sáng 28/2</t>
        </is>
      </c>
      <c r="D98" s="9" t="inlineStr">
        <is>
          <t>Chi</t>
        </is>
      </c>
      <c r="E98" s="9" t="inlineStr">
        <is>
          <t>Chi quầy tiếp nhận</t>
        </is>
      </c>
      <c r="F98" s="9" t="inlineStr">
        <is>
          <t>Phòng Kế toán</t>
        </is>
      </c>
      <c r="G98" s="9" t="inlineStr">
        <is>
          <t>Chị Huy</t>
        </is>
      </c>
      <c r="H98" s="9" t="inlineStr">
        <is>
          <t>Tiền mặt</t>
        </is>
      </c>
      <c r="I98" s="9" t="n">
        <v>100000</v>
      </c>
    </row>
    <row r="99" ht="15.75" customHeight="1" s="56">
      <c r="A99" s="55" t="n">
        <v>46081</v>
      </c>
      <c r="B99" s="9" t="inlineStr">
        <is>
          <t>PC-02/2026-121</t>
        </is>
      </c>
      <c r="C99" s="9" t="inlineStr">
        <is>
          <t>lọ tỏa hương (2)</t>
        </is>
      </c>
      <c r="D99" s="9" t="inlineStr">
        <is>
          <t>Chi</t>
        </is>
      </c>
      <c r="E99" s="9" t="inlineStr">
        <is>
          <t>Sinh hoạt gia đình</t>
        </is>
      </c>
      <c r="F99" s="9" t="inlineStr">
        <is>
          <t>Phòng Kế toán</t>
        </is>
      </c>
      <c r="G99" s="9" t="inlineStr">
        <is>
          <t>shipper</t>
        </is>
      </c>
      <c r="H99" s="9" t="inlineStr">
        <is>
          <t>Chuyển khoản</t>
        </is>
      </c>
      <c r="I99" s="9" t="n">
        <v>138000</v>
      </c>
    </row>
    <row r="100" ht="15.75" customHeight="1" s="56">
      <c r="A100" s="55" t="n">
        <v>46081</v>
      </c>
      <c r="B100" s="9" t="inlineStr">
        <is>
          <t>PC-02/2026-122</t>
        </is>
      </c>
      <c r="C100" s="9" t="inlineStr">
        <is>
          <t>Vim (2)</t>
        </is>
      </c>
      <c r="D100" s="9" t="inlineStr">
        <is>
          <t>Chi</t>
        </is>
      </c>
      <c r="E100" s="9" t="inlineStr">
        <is>
          <t>Sinh hoạt gia đình</t>
        </is>
      </c>
      <c r="F100" s="9" t="inlineStr">
        <is>
          <t>Phòng Kế toán</t>
        </is>
      </c>
      <c r="G100" s="9" t="inlineStr">
        <is>
          <t>shipper</t>
        </is>
      </c>
      <c r="H100" s="9" t="inlineStr">
        <is>
          <t>Chuyển khoản</t>
        </is>
      </c>
      <c r="I100" s="9" t="n">
        <v>78000</v>
      </c>
    </row>
    <row r="101" ht="15.75" customHeight="1" s="56">
      <c r="A101" s="55" t="n">
        <v>46081</v>
      </c>
      <c r="B101" s="9" t="inlineStr">
        <is>
          <t>PC-02/2026-123</t>
        </is>
      </c>
      <c r="C101" s="9" t="inlineStr">
        <is>
          <t>đồ ăn trưa</t>
        </is>
      </c>
      <c r="D101" s="9" t="inlineStr">
        <is>
          <t>Chi</t>
        </is>
      </c>
      <c r="E101" s="9" t="inlineStr">
        <is>
          <t>Ăn uống</t>
        </is>
      </c>
      <c r="F101" s="9" t="inlineStr">
        <is>
          <t>Phòng Kế toán</t>
        </is>
      </c>
      <c r="G101" s="9" t="inlineStr">
        <is>
          <t>shipper</t>
        </is>
      </c>
      <c r="H101" s="9" t="inlineStr">
        <is>
          <t>Chuyển khoản</t>
        </is>
      </c>
      <c r="I101" s="9" t="n">
        <v>257000</v>
      </c>
    </row>
    <row r="102" ht="15.75" customHeight="1" s="56">
      <c r="A102" s="55" t="n">
        <v>46080</v>
      </c>
      <c r="B102" s="9" t="inlineStr">
        <is>
          <t>PC-02/2026-112</t>
        </is>
      </c>
      <c r="C102" s="9" t="inlineStr">
        <is>
          <t>túi đựng rác + nước rửa chén</t>
        </is>
      </c>
      <c r="D102" s="9" t="inlineStr">
        <is>
          <t>Chi</t>
        </is>
      </c>
      <c r="E102" s="9" t="inlineStr">
        <is>
          <t>Sinh hoạt gia đình</t>
        </is>
      </c>
      <c r="F102" s="9" t="inlineStr">
        <is>
          <t>Phòng Kế toán</t>
        </is>
      </c>
      <c r="G102" s="9" t="inlineStr">
        <is>
          <t>Hằng</t>
        </is>
      </c>
      <c r="H102" s="9" t="inlineStr">
        <is>
          <t>Tiền mặt</t>
        </is>
      </c>
      <c r="I102" s="9" t="n">
        <v>49000</v>
      </c>
    </row>
    <row r="103" ht="15.75" customHeight="1" s="56">
      <c r="A103" s="55" t="n">
        <v>46080</v>
      </c>
      <c r="B103" s="9" t="inlineStr">
        <is>
          <t>PC-02/2026-113</t>
        </is>
      </c>
      <c r="C103" s="9" t="inlineStr">
        <is>
          <t>lấy sổ Dương Hồng Cẩm</t>
        </is>
      </c>
      <c r="D103" s="9" t="inlineStr">
        <is>
          <t>Chi</t>
        </is>
      </c>
      <c r="E103" s="9" t="inlineStr">
        <is>
          <t>Chi quầy tiếp nhận</t>
        </is>
      </c>
      <c r="F103" s="9" t="inlineStr">
        <is>
          <t>Phòng Kế toán</t>
        </is>
      </c>
      <c r="G103" s="9" t="inlineStr">
        <is>
          <t>quầy tiếp nhận</t>
        </is>
      </c>
      <c r="H103" s="9" t="inlineStr">
        <is>
          <t>Tiền mặt</t>
        </is>
      </c>
      <c r="I103" s="9" t="n">
        <v>100000</v>
      </c>
    </row>
    <row r="104" ht="15.75" customHeight="1" s="56">
      <c r="A104" s="55" t="n">
        <v>46080</v>
      </c>
      <c r="B104" s="9" t="inlineStr">
        <is>
          <t>PC-02/2026-114</t>
        </is>
      </c>
      <c r="C104" s="9" t="inlineStr">
        <is>
          <t>GIÁM ĐỐC NỘP QUỸ L8 THÁNG 2</t>
        </is>
      </c>
      <c r="D104" s="9" t="inlineStr">
        <is>
          <t>Thu</t>
        </is>
      </c>
      <c r="E104" s="9" t="inlineStr">
        <is>
          <t>Bổ sung quỹ</t>
        </is>
      </c>
      <c r="F104" s="9" t="inlineStr">
        <is>
          <t>Phòng Kế toán</t>
        </is>
      </c>
      <c r="G104" s="9" t="inlineStr">
        <is>
          <t>GIÁM ĐỐC</t>
        </is>
      </c>
      <c r="H104" s="9" t="inlineStr">
        <is>
          <t>Tiền mặt</t>
        </is>
      </c>
      <c r="I104" s="9" t="n">
        <v>5000000</v>
      </c>
    </row>
    <row r="105" ht="15.75" customHeight="1" s="56">
      <c r="A105" s="55" t="n">
        <v>46080</v>
      </c>
      <c r="B105" s="9" t="inlineStr">
        <is>
          <t>PC-02/2026-115</t>
        </is>
      </c>
      <c r="C105" s="9" t="inlineStr">
        <is>
          <t>nộp bản vẽ chiều 27/2</t>
        </is>
      </c>
      <c r="D105" s="9" t="inlineStr">
        <is>
          <t>Chi</t>
        </is>
      </c>
      <c r="E105" s="9" t="inlineStr">
        <is>
          <t>Chi quầy tiếp nhận</t>
        </is>
      </c>
      <c r="F105" s="9" t="inlineStr">
        <is>
          <t>Phòng Kế toán</t>
        </is>
      </c>
      <c r="G105" s="9" t="inlineStr">
        <is>
          <t>Chị Huy</t>
        </is>
      </c>
      <c r="H105" s="9" t="inlineStr">
        <is>
          <t>Tiền mặt</t>
        </is>
      </c>
      <c r="I105" s="9" t="n">
        <v>100000</v>
      </c>
    </row>
    <row r="106" ht="15.75" customHeight="1" s="56">
      <c r="A106" s="55" t="n">
        <v>46080</v>
      </c>
      <c r="B106" s="9" t="inlineStr">
        <is>
          <t>PC-02/2026-116</t>
        </is>
      </c>
      <c r="C106" s="9" t="inlineStr">
        <is>
          <t>đóng lệ phí trước bạ Nguyễn Thị Trúc Thanh - Hoàng Phi Hải</t>
        </is>
      </c>
      <c r="D106" s="9" t="inlineStr">
        <is>
          <t>Chi</t>
        </is>
      </c>
      <c r="E106" s="9" t="inlineStr">
        <is>
          <t>Đóng thuế</t>
        </is>
      </c>
      <c r="F106" s="9" t="inlineStr">
        <is>
          <t>Phòng Kế toán</t>
        </is>
      </c>
      <c r="G106" s="9" t="inlineStr">
        <is>
          <t>Chi nhánh số 2</t>
        </is>
      </c>
      <c r="H106" s="9" t="inlineStr">
        <is>
          <t>Tiền mặt</t>
        </is>
      </c>
      <c r="I106" s="9" t="n">
        <v>496000</v>
      </c>
    </row>
    <row r="107" ht="15.75" customHeight="1" s="56">
      <c r="A107" s="55" t="n">
        <v>46080</v>
      </c>
      <c r="B107" s="9" t="inlineStr">
        <is>
          <t>PC-02/2026-117</t>
        </is>
      </c>
      <c r="C107" s="9" t="inlineStr">
        <is>
          <t>nộp chứng từ Nguyễn Thị Trúc Thanh - Hoàng Phi Hải</t>
        </is>
      </c>
      <c r="D107" s="9" t="inlineStr">
        <is>
          <t>Chi</t>
        </is>
      </c>
      <c r="E107" s="9" t="inlineStr">
        <is>
          <t>Chi quầy tiếp nhận</t>
        </is>
      </c>
      <c r="F107" s="9" t="inlineStr">
        <is>
          <t>Phòng Kế toán</t>
        </is>
      </c>
      <c r="G107" s="9" t="inlineStr">
        <is>
          <t>quầy tiếp nhận</t>
        </is>
      </c>
      <c r="H107" s="9" t="inlineStr">
        <is>
          <t>Tiền mặt</t>
        </is>
      </c>
      <c r="I107" s="9" t="n">
        <v>100000</v>
      </c>
    </row>
    <row r="108" ht="15.75" customHeight="1" s="56">
      <c r="A108" s="55" t="n">
        <v>46080</v>
      </c>
      <c r="B108" s="9" t="inlineStr">
        <is>
          <t>PC-02/2026-118</t>
        </is>
      </c>
      <c r="C108" s="9" t="inlineStr">
        <is>
          <t>bản vẽ thu hồi Nguyễn Hữu Cường (hồ sơ anh Dựng)</t>
        </is>
      </c>
      <c r="D108" s="9" t="inlineStr">
        <is>
          <t>Chi</t>
        </is>
      </c>
      <c r="E108" s="9" t="inlineStr">
        <is>
          <t>Công tác phí</t>
        </is>
      </c>
      <c r="F108" s="9" t="inlineStr">
        <is>
          <t>Phòng Kế toán</t>
        </is>
      </c>
      <c r="G108" s="9" t="inlineStr">
        <is>
          <t>Anh Lâu Đức Toàn</t>
        </is>
      </c>
      <c r="H108" s="9" t="inlineStr">
        <is>
          <t>Chuyển khoản</t>
        </is>
      </c>
      <c r="I108" s="9" t="n">
        <v>1000000</v>
      </c>
    </row>
    <row r="109" ht="15.75" customHeight="1" s="56">
      <c r="A109" s="55" t="n">
        <v>46080</v>
      </c>
      <c r="B109" s="9" t="inlineStr">
        <is>
          <t>PC-02/2026-119</t>
        </is>
      </c>
      <c r="C109" s="9" t="inlineStr">
        <is>
          <t>lấy hồ sơ rút Trần Thị Ngọc Dung</t>
        </is>
      </c>
      <c r="D109" s="9" t="inlineStr">
        <is>
          <t>Chi</t>
        </is>
      </c>
      <c r="E109" s="9" t="inlineStr">
        <is>
          <t>Chi quầy tiếp nhận</t>
        </is>
      </c>
      <c r="F109" s="9" t="inlineStr">
        <is>
          <t>Phòng Kế toán</t>
        </is>
      </c>
      <c r="G109" s="9" t="inlineStr">
        <is>
          <t>quầy tiếp nhận</t>
        </is>
      </c>
      <c r="H109" s="9" t="inlineStr">
        <is>
          <t>Tiền mặt</t>
        </is>
      </c>
      <c r="I109" s="9" t="n">
        <v>100000</v>
      </c>
    </row>
    <row r="110" ht="15.75" customHeight="1" s="56">
      <c r="A110" s="55" t="n">
        <v>46079</v>
      </c>
      <c r="B110" s="9" t="inlineStr">
        <is>
          <t>PC-02/2026-094</t>
        </is>
      </c>
      <c r="C110" s="9" t="inlineStr">
        <is>
          <t>lấy sổ Phạm Thị Trang - Phạm Thị Huỳnh Trà</t>
        </is>
      </c>
      <c r="D110" s="9" t="inlineStr">
        <is>
          <t>Chi</t>
        </is>
      </c>
      <c r="E110" s="9" t="inlineStr">
        <is>
          <t>Chi quầy tiếp nhận</t>
        </is>
      </c>
      <c r="F110" s="9" t="inlineStr">
        <is>
          <t>Phòng Kế toán</t>
        </is>
      </c>
      <c r="G110" s="9" t="inlineStr">
        <is>
          <t>quầy tiếp nhận</t>
        </is>
      </c>
      <c r="H110" s="9" t="inlineStr">
        <is>
          <t>Tiền mặt</t>
        </is>
      </c>
      <c r="I110" s="9" t="n">
        <v>100000</v>
      </c>
    </row>
    <row r="111" ht="15.75" customHeight="1" s="56">
      <c r="A111" s="55" t="n">
        <v>46079</v>
      </c>
      <c r="B111" s="9" t="inlineStr">
        <is>
          <t>PC-02/2026-095</t>
        </is>
      </c>
      <c r="C111" s="9" t="inlineStr">
        <is>
          <t>dưa hấu</t>
        </is>
      </c>
      <c r="D111" s="9" t="inlineStr">
        <is>
          <t>Chi</t>
        </is>
      </c>
      <c r="E111" s="9" t="inlineStr">
        <is>
          <t>Sinh hoạt gia đình</t>
        </is>
      </c>
      <c r="F111" s="9" t="inlineStr">
        <is>
          <t>Phòng Kế toán</t>
        </is>
      </c>
      <c r="G111" s="9" t="inlineStr">
        <is>
          <t>Hằng</t>
        </is>
      </c>
      <c r="H111" s="9" t="inlineStr">
        <is>
          <t>Tiền mặt</t>
        </is>
      </c>
      <c r="I111" s="9" t="n">
        <v>68000</v>
      </c>
    </row>
    <row r="112" ht="15.75" customHeight="1" s="56">
      <c r="A112" s="55" t="n">
        <v>46079</v>
      </c>
      <c r="B112" s="9" t="inlineStr">
        <is>
          <t>PC-02/2026-096</t>
        </is>
      </c>
      <c r="C112" s="9" t="inlineStr">
        <is>
          <t>Lê Quý (246)</t>
        </is>
      </c>
      <c r="D112" s="9" t="inlineStr">
        <is>
          <t>Chi</t>
        </is>
      </c>
      <c r="E112" s="9" t="inlineStr">
        <is>
          <t>Lấy bản vẽ</t>
        </is>
      </c>
      <c r="F112" s="9" t="inlineStr">
        <is>
          <t>Phòng Kế toán</t>
        </is>
      </c>
      <c r="G112" s="9" t="inlineStr">
        <is>
          <t>Chi nhánh số 2</t>
        </is>
      </c>
      <c r="H112" s="9" t="inlineStr">
        <is>
          <t>Chuyển khoản</t>
        </is>
      </c>
      <c r="I112" s="9" t="n">
        <v>73851</v>
      </c>
    </row>
    <row r="113" ht="15.75" customHeight="1" s="56">
      <c r="A113" s="55" t="n">
        <v>46079</v>
      </c>
      <c r="B113" s="9" t="inlineStr">
        <is>
          <t>PC-02/2026-097</t>
        </is>
      </c>
      <c r="C113" s="9" t="inlineStr">
        <is>
          <t>Nguyễn Thị Ngọc Thảo (221)</t>
        </is>
      </c>
      <c r="D113" s="9" t="inlineStr">
        <is>
          <t>Chi</t>
        </is>
      </c>
      <c r="E113" s="9" t="inlineStr">
        <is>
          <t>Lấy bản vẽ</t>
        </is>
      </c>
      <c r="F113" s="9" t="inlineStr">
        <is>
          <t>Phòng Kế toán</t>
        </is>
      </c>
      <c r="G113" s="9" t="inlineStr">
        <is>
          <t>Chi nhánh số 2</t>
        </is>
      </c>
      <c r="H113" s="9" t="inlineStr">
        <is>
          <t>Chuyển khoản</t>
        </is>
      </c>
      <c r="I113" s="9" t="n">
        <v>117451</v>
      </c>
    </row>
    <row r="114" ht="15.75" customHeight="1" s="56">
      <c r="A114" s="55" t="n">
        <v>46079</v>
      </c>
      <c r="B114" s="9" t="inlineStr">
        <is>
          <t>PC-02/2026-098</t>
        </is>
      </c>
      <c r="C114" s="9" t="inlineStr">
        <is>
          <t>Nguyễn Quỳnh Lê (092)</t>
        </is>
      </c>
      <c r="D114" s="9" t="inlineStr">
        <is>
          <t>Chi</t>
        </is>
      </c>
      <c r="E114" s="9" t="inlineStr">
        <is>
          <t>Lấy bản vẽ</t>
        </is>
      </c>
      <c r="F114" s="9" t="inlineStr">
        <is>
          <t>Phòng Kế toán</t>
        </is>
      </c>
      <c r="G114" s="9" t="inlineStr">
        <is>
          <t>Chi nhánh số 2</t>
        </is>
      </c>
      <c r="H114" s="9" t="inlineStr">
        <is>
          <t>Chuyển khoản</t>
        </is>
      </c>
      <c r="I114" s="9" t="n">
        <v>60500</v>
      </c>
    </row>
    <row r="115" ht="15.75" customHeight="1" s="56">
      <c r="A115" s="55" t="n">
        <v>46079</v>
      </c>
      <c r="B115" s="9" t="inlineStr">
        <is>
          <t>PC-02/2026-099</t>
        </is>
      </c>
      <c r="C115" s="9" t="inlineStr">
        <is>
          <t>nộp hồ sơ Lê Minh Châu - Vũ Thúy Nhuần</t>
        </is>
      </c>
      <c r="D115" s="9" t="inlineStr">
        <is>
          <t>Chi</t>
        </is>
      </c>
      <c r="E115" s="9" t="inlineStr">
        <is>
          <t>Chi quầy tiếp nhận</t>
        </is>
      </c>
      <c r="F115" s="9" t="inlineStr">
        <is>
          <t>Phòng Kế toán</t>
        </is>
      </c>
      <c r="G115" s="9" t="inlineStr">
        <is>
          <t>quầy tiếp nhận</t>
        </is>
      </c>
      <c r="H115" s="9" t="inlineStr">
        <is>
          <t>Tiền mặt</t>
        </is>
      </c>
      <c r="I115" s="9" t="n">
        <v>100000</v>
      </c>
    </row>
    <row r="116" ht="15.75" customHeight="1" s="56">
      <c r="A116" s="55" t="n">
        <v>46079</v>
      </c>
      <c r="B116" s="9" t="inlineStr">
        <is>
          <t>PC-02/2026-102</t>
        </is>
      </c>
      <c r="C116" s="9" t="inlineStr">
        <is>
          <t>lấy sổ Nguyễn Trần Ngọc Khoa</t>
        </is>
      </c>
      <c r="D116" s="9" t="inlineStr">
        <is>
          <t>Chi</t>
        </is>
      </c>
      <c r="E116" s="9" t="inlineStr">
        <is>
          <t>Chi quầy tiếp nhận</t>
        </is>
      </c>
      <c r="F116" s="9" t="inlineStr">
        <is>
          <t>Phòng Kế toán</t>
        </is>
      </c>
      <c r="G116" s="9" t="inlineStr">
        <is>
          <t>quầy tiếp nhận</t>
        </is>
      </c>
      <c r="H116" s="9" t="inlineStr">
        <is>
          <t>Tiền mặt</t>
        </is>
      </c>
      <c r="I116" s="9" t="n">
        <v>100000</v>
      </c>
    </row>
    <row r="117" ht="15.75" customHeight="1" s="56">
      <c r="A117" s="55" t="n">
        <v>46079</v>
      </c>
      <c r="B117" s="9" t="inlineStr">
        <is>
          <t>PC-02/2026-103</t>
        </is>
      </c>
      <c r="C117" s="9" t="inlineStr">
        <is>
          <t>GIÁM ĐỐC NỘP QUỸ L6 THÁNG 2</t>
        </is>
      </c>
      <c r="D117" s="9" t="inlineStr">
        <is>
          <t>Thu</t>
        </is>
      </c>
      <c r="E117" s="9" t="inlineStr">
        <is>
          <t>Bổ sung quỹ</t>
        </is>
      </c>
      <c r="F117" s="9" t="inlineStr">
        <is>
          <t>Phòng Kế toán</t>
        </is>
      </c>
      <c r="G117" s="9" t="inlineStr">
        <is>
          <t>GIÁM ĐỐC</t>
        </is>
      </c>
      <c r="H117" s="9" t="inlineStr">
        <is>
          <t>Chuyển khoản</t>
        </is>
      </c>
      <c r="I117" s="9" t="n">
        <v>10000000</v>
      </c>
    </row>
    <row r="118" ht="15.75" customHeight="1" s="56">
      <c r="A118" s="55" t="n">
        <v>46079</v>
      </c>
      <c r="B118" s="9" t="inlineStr">
        <is>
          <t>PC-02/2026-104</t>
        </is>
      </c>
      <c r="C118" s="9" t="inlineStr">
        <is>
          <t>làm đơn rút hs Trần Thị Ngọc Dung</t>
        </is>
      </c>
      <c r="D118" s="9" t="inlineStr">
        <is>
          <t>Chi</t>
        </is>
      </c>
      <c r="E118" s="9" t="inlineStr">
        <is>
          <t>Chi quầy tiếp nhận</t>
        </is>
      </c>
      <c r="F118" s="9" t="inlineStr">
        <is>
          <t>Phòng Kế toán</t>
        </is>
      </c>
      <c r="G118" s="9" t="inlineStr">
        <is>
          <t>quầy tiếp nhận</t>
        </is>
      </c>
      <c r="H118" s="9" t="inlineStr">
        <is>
          <t>Tiền mặt</t>
        </is>
      </c>
      <c r="I118" s="9" t="n">
        <v>100000</v>
      </c>
    </row>
    <row r="119" ht="15.75" customHeight="1" s="56">
      <c r="A119" s="55" t="n">
        <v>46079</v>
      </c>
      <c r="B119" s="9" t="inlineStr">
        <is>
          <t>PC-02/2026-105</t>
        </is>
      </c>
      <c r="C119" s="9" t="inlineStr">
        <is>
          <t>sếp đưa 2tr gửi chị Hoài</t>
        </is>
      </c>
      <c r="D119" s="9" t="inlineStr">
        <is>
          <t>Thu</t>
        </is>
      </c>
      <c r="E119" s="9" t="inlineStr">
        <is>
          <t>Bổ sung quỹ</t>
        </is>
      </c>
      <c r="F119" s="9" t="inlineStr">
        <is>
          <t>Phòng Kế toán</t>
        </is>
      </c>
      <c r="G119" s="9" t="inlineStr">
        <is>
          <t>GIÁM ĐỐC</t>
        </is>
      </c>
      <c r="H119" s="9" t="inlineStr">
        <is>
          <t>Tiền mặt</t>
        </is>
      </c>
      <c r="I119" s="9" t="n">
        <v>2000000</v>
      </c>
    </row>
    <row r="120" ht="15.75" customHeight="1" s="56">
      <c r="A120" s="55" t="n">
        <v>46079</v>
      </c>
      <c r="B120" s="9" t="inlineStr">
        <is>
          <t>PC-02/2026-106</t>
        </is>
      </c>
      <c r="C120" s="9" t="inlineStr">
        <is>
          <t>gửi chị Hoài Hồ Sơ Lưu Vân Trang</t>
        </is>
      </c>
      <c r="D120" s="9" t="inlineStr">
        <is>
          <t>Chi</t>
        </is>
      </c>
      <c r="E120" s="9" t="inlineStr">
        <is>
          <t>Công tác phí</t>
        </is>
      </c>
      <c r="F120" s="9" t="inlineStr">
        <is>
          <t>Phòng Kế toán</t>
        </is>
      </c>
      <c r="G120" s="9" t="inlineStr">
        <is>
          <t>Chị Hoài</t>
        </is>
      </c>
      <c r="H120" s="9" t="inlineStr">
        <is>
          <t>Tiền mặt</t>
        </is>
      </c>
      <c r="I120" s="9" t="n">
        <v>2000000</v>
      </c>
    </row>
    <row r="121" ht="15.75" customHeight="1" s="56">
      <c r="A121" s="55" t="n">
        <v>46079</v>
      </c>
      <c r="B121" s="9" t="inlineStr">
        <is>
          <t>PC-02/2026-107</t>
        </is>
      </c>
      <c r="C121" s="9" t="inlineStr">
        <is>
          <t>gửi bản vẽ Đỗ Hoàng Sang cho chị Lam Mai</t>
        </is>
      </c>
      <c r="D121" s="9" t="inlineStr">
        <is>
          <t>Chi</t>
        </is>
      </c>
      <c r="E121" s="9" t="inlineStr">
        <is>
          <t>Chuyển phát - Bưu chính-Grap</t>
        </is>
      </c>
      <c r="F121" s="9" t="inlineStr">
        <is>
          <t>Phòng Kế toán</t>
        </is>
      </c>
      <c r="G121" s="9" t="inlineStr">
        <is>
          <t>chị Lam Mai</t>
        </is>
      </c>
      <c r="H121" s="9" t="inlineStr">
        <is>
          <t>Chuyển khoản</t>
        </is>
      </c>
      <c r="I121" s="9" t="n">
        <v>70000</v>
      </c>
    </row>
    <row r="122" ht="15.75" customHeight="1" s="56">
      <c r="A122" s="55" t="n">
        <v>46079</v>
      </c>
      <c r="B122" s="9" t="inlineStr">
        <is>
          <t>PC-02/2026-108</t>
        </is>
      </c>
      <c r="C122" s="9" t="inlineStr">
        <is>
          <t>gửi chị Huy lấy bản vẽ đạt 26/2</t>
        </is>
      </c>
      <c r="D122" s="9" t="inlineStr">
        <is>
          <t>Chi</t>
        </is>
      </c>
      <c r="E122" s="9" t="inlineStr">
        <is>
          <t>Chi quầy tiếp nhận</t>
        </is>
      </c>
      <c r="F122" s="9" t="inlineStr">
        <is>
          <t>Phòng Kế toán</t>
        </is>
      </c>
      <c r="G122" s="9" t="inlineStr">
        <is>
          <t>Chị Huy</t>
        </is>
      </c>
      <c r="H122" s="9" t="inlineStr">
        <is>
          <t>Tiền mặt</t>
        </is>
      </c>
      <c r="I122" s="9" t="n">
        <v>100000</v>
      </c>
    </row>
    <row r="123" ht="15.75" customHeight="1" s="56">
      <c r="A123" s="55" t="n">
        <v>46079</v>
      </c>
      <c r="B123" s="9" t="inlineStr">
        <is>
          <t>PC-02/2026-109</t>
        </is>
      </c>
      <c r="C123" s="9" t="inlineStr">
        <is>
          <t>GIÁM ĐỐC NỘP QUỸ L7 THÁNG 2</t>
        </is>
      </c>
      <c r="D123" s="9" t="inlineStr">
        <is>
          <t>Thu</t>
        </is>
      </c>
      <c r="E123" s="9" t="inlineStr">
        <is>
          <t>Bổ sung quỹ</t>
        </is>
      </c>
      <c r="F123" s="9" t="inlineStr">
        <is>
          <t>Phòng Kế toán</t>
        </is>
      </c>
      <c r="G123" s="9" t="inlineStr">
        <is>
          <t>GIÁM ĐỐC</t>
        </is>
      </c>
      <c r="H123" s="9" t="inlineStr">
        <is>
          <t>Tiền mặt</t>
        </is>
      </c>
      <c r="I123" s="9" t="n">
        <v>5000000</v>
      </c>
    </row>
    <row r="124" ht="15.75" customHeight="1" s="56">
      <c r="A124" s="55" t="n">
        <v>46079</v>
      </c>
      <c r="B124" s="9" t="inlineStr">
        <is>
          <t>PC-02/2026-110</t>
        </is>
      </c>
      <c r="C124" s="9" t="inlineStr">
        <is>
          <t>gửi chị Linh tờ bổ sung lệ phí trc bạ cho anh Hải thụ lý Linh Xuân</t>
        </is>
      </c>
      <c r="D124" s="9" t="inlineStr">
        <is>
          <t>Chi</t>
        </is>
      </c>
      <c r="E124" s="9" t="inlineStr">
        <is>
          <t>Chi quầy tiếp nhận</t>
        </is>
      </c>
      <c r="F124" s="9" t="inlineStr">
        <is>
          <t>Phòng Kế toán</t>
        </is>
      </c>
      <c r="G124" s="9" t="inlineStr">
        <is>
          <t>quầy tiếp nhận</t>
        </is>
      </c>
      <c r="H124" s="9" t="inlineStr">
        <is>
          <t>Tiền mặt</t>
        </is>
      </c>
      <c r="I124" s="9" t="n">
        <v>100000</v>
      </c>
    </row>
    <row r="125" ht="15.75" customHeight="1" s="56">
      <c r="A125" s="55" t="n">
        <v>46079</v>
      </c>
      <c r="B125" s="9" t="inlineStr">
        <is>
          <t>PC-02/2026-111</t>
        </is>
      </c>
      <c r="C125" s="9" t="inlineStr">
        <is>
          <t>gửi chị Huy nộp bản vẽ chiều 26/2</t>
        </is>
      </c>
      <c r="D125" s="9" t="inlineStr">
        <is>
          <t>Chi</t>
        </is>
      </c>
      <c r="E125" s="9" t="inlineStr">
        <is>
          <t>Chi quầy tiếp nhận</t>
        </is>
      </c>
      <c r="F125" s="9" t="inlineStr">
        <is>
          <t>Phòng Kế toán</t>
        </is>
      </c>
      <c r="G125" s="9" t="inlineStr">
        <is>
          <t>Chị Huy</t>
        </is>
      </c>
      <c r="H125" s="9" t="inlineStr">
        <is>
          <t>Tiền mặt</t>
        </is>
      </c>
      <c r="I125" s="9" t="n">
        <v>100000</v>
      </c>
    </row>
    <row r="126" ht="15.75" customHeight="1" s="56">
      <c r="A126" s="55" t="n">
        <v>46063</v>
      </c>
      <c r="B126" s="9" t="inlineStr">
        <is>
          <t>PC-02/2026-085</t>
        </is>
      </c>
      <c r="C126" s="9" t="inlineStr">
        <is>
          <t>trái cây</t>
        </is>
      </c>
      <c r="D126" s="9" t="inlineStr">
        <is>
          <t>Chi</t>
        </is>
      </c>
      <c r="E126" s="9" t="inlineStr">
        <is>
          <t>Sinh hoạt gia đình</t>
        </is>
      </c>
      <c r="F126" s="9" t="inlineStr">
        <is>
          <t>Phòng Kế toán</t>
        </is>
      </c>
      <c r="G126" s="9" t="inlineStr">
        <is>
          <t>Hằng</t>
        </is>
      </c>
      <c r="H126" s="9" t="inlineStr">
        <is>
          <t>Tiền mặt</t>
        </is>
      </c>
      <c r="I126" s="9" t="n">
        <v>150000</v>
      </c>
    </row>
    <row r="127" ht="15.75" customHeight="1" s="56">
      <c r="A127" s="55" t="n">
        <v>46063</v>
      </c>
      <c r="B127" s="9" t="inlineStr">
        <is>
          <t>PC-02/2026-086</t>
        </is>
      </c>
      <c r="C127" s="9" t="inlineStr">
        <is>
          <t>gửi đơn rút hồ sơ Lê Tiến Nhật Minh cho anh Đức</t>
        </is>
      </c>
      <c r="D127" s="9" t="inlineStr">
        <is>
          <t>Chi</t>
        </is>
      </c>
      <c r="E127" s="9" t="inlineStr">
        <is>
          <t>Chuyển phát - Bưu chính-Grap</t>
        </is>
      </c>
      <c r="F127" s="9" t="inlineStr">
        <is>
          <t>Phòng Kế toán</t>
        </is>
      </c>
      <c r="G127" s="9" t="inlineStr">
        <is>
          <t>Grab</t>
        </is>
      </c>
      <c r="H127" s="9" t="inlineStr">
        <is>
          <t>Chuyển khoản</t>
        </is>
      </c>
      <c r="I127" s="9" t="n">
        <v>105000</v>
      </c>
    </row>
    <row r="128" ht="15.75" customHeight="1" s="56">
      <c r="A128" s="55" t="n">
        <v>46063</v>
      </c>
      <c r="B128" s="9" t="inlineStr">
        <is>
          <t>PC-02/2026-087</t>
        </is>
      </c>
      <c r="C128" s="9" t="inlineStr">
        <is>
          <t>gửi phí cho grab gửi anh Đức dùm</t>
        </is>
      </c>
      <c r="D128" s="9" t="inlineStr">
        <is>
          <t>Chi</t>
        </is>
      </c>
      <c r="E128" s="9" t="inlineStr">
        <is>
          <t>Công tác phí</t>
        </is>
      </c>
      <c r="F128" s="9" t="inlineStr">
        <is>
          <t>Phòng Kế toán</t>
        </is>
      </c>
      <c r="G128" s="9" t="inlineStr">
        <is>
          <t>Grab</t>
        </is>
      </c>
      <c r="H128" s="9" t="inlineStr">
        <is>
          <t>Tiền mặt</t>
        </is>
      </c>
      <c r="I128" s="9" t="n">
        <v>50000</v>
      </c>
    </row>
    <row r="129" ht="15.75" customHeight="1" s="56">
      <c r="A129" s="55" t="n">
        <v>46063</v>
      </c>
      <c r="B129" s="9" t="inlineStr">
        <is>
          <t>PC-02/2026-088</t>
        </is>
      </c>
      <c r="C129" s="9" t="inlineStr">
        <is>
          <t>tiền cơm</t>
        </is>
      </c>
      <c r="D129" s="9" t="inlineStr">
        <is>
          <t>Chi</t>
        </is>
      </c>
      <c r="E129" s="9" t="inlineStr">
        <is>
          <t>Ăn uống</t>
        </is>
      </c>
      <c r="F129" s="9" t="inlineStr">
        <is>
          <t>Phòng Kế toán</t>
        </is>
      </c>
      <c r="G129" s="9" t="inlineStr">
        <is>
          <t>Anh Hùng</t>
        </is>
      </c>
      <c r="H129" s="9" t="inlineStr">
        <is>
          <t>Chuyển khoản</t>
        </is>
      </c>
      <c r="I129" s="9" t="n">
        <v>385000</v>
      </c>
    </row>
    <row r="130" ht="15.75" customHeight="1" s="56">
      <c r="A130" s="55" t="n">
        <v>46063</v>
      </c>
      <c r="B130" s="9" t="inlineStr">
        <is>
          <t>PC-02/2026-089</t>
        </is>
      </c>
      <c r="C130" s="9" t="inlineStr">
        <is>
          <t>lấy sổ Võ Văn Ninh</t>
        </is>
      </c>
      <c r="D130" s="9" t="inlineStr">
        <is>
          <t>Chi</t>
        </is>
      </c>
      <c r="E130" s="9" t="inlineStr">
        <is>
          <t>Chi quầy tiếp nhận</t>
        </is>
      </c>
      <c r="F130" s="9" t="inlineStr">
        <is>
          <t>Phòng Kế toán</t>
        </is>
      </c>
      <c r="G130" s="9" t="inlineStr">
        <is>
          <t>quầy tiếp nhận</t>
        </is>
      </c>
      <c r="H130" s="9" t="inlineStr">
        <is>
          <t>Tiền mặt</t>
        </is>
      </c>
      <c r="I130" s="9" t="n">
        <v>100000</v>
      </c>
    </row>
    <row r="131" ht="15.75" customHeight="1" s="56">
      <c r="A131" s="55" t="n">
        <v>46063</v>
      </c>
      <c r="B131" s="9" t="inlineStr">
        <is>
          <t>PC-02/2026-090</t>
        </is>
      </c>
      <c r="C131" s="9" t="inlineStr">
        <is>
          <t>gửi bảo vệ báo cáo đo Nguyễn Mạnh Hùng (giúp anh Quân)</t>
        </is>
      </c>
      <c r="D131" s="9" t="inlineStr">
        <is>
          <t>Chi</t>
        </is>
      </c>
      <c r="E131" s="9" t="inlineStr">
        <is>
          <t>Chi bảo vệ</t>
        </is>
      </c>
      <c r="F131" s="9" t="inlineStr">
        <is>
          <t>Phòng Kế toán</t>
        </is>
      </c>
      <c r="G131" s="9" t="inlineStr">
        <is>
          <t>bảo vệ</t>
        </is>
      </c>
      <c r="H131" s="9" t="inlineStr">
        <is>
          <t>Tiền mặt</t>
        </is>
      </c>
      <c r="I131" s="9" t="n">
        <v>50000</v>
      </c>
    </row>
    <row r="132" ht="15.75" customHeight="1" s="56">
      <c r="A132" s="55" t="n">
        <v>46063</v>
      </c>
      <c r="B132" s="9" t="inlineStr">
        <is>
          <t>PC-02/2026-091</t>
        </is>
      </c>
      <c r="C132" s="9" t="inlineStr">
        <is>
          <t>023/BK-2026	Lê Quý</t>
        </is>
      </c>
      <c r="D132" s="9" t="inlineStr">
        <is>
          <t>Chi</t>
        </is>
      </c>
      <c r="E132" s="9" t="inlineStr">
        <is>
          <t>Chi thụ lý bản vẽ</t>
        </is>
      </c>
      <c r="F132" s="9" t="inlineStr">
        <is>
          <t>Phòng Kế toán</t>
        </is>
      </c>
      <c r="G132" s="9" t="inlineStr">
        <is>
          <t>Anh Văn Sáng</t>
        </is>
      </c>
      <c r="H132" s="9" t="inlineStr">
        <is>
          <t>Tiền mặt</t>
        </is>
      </c>
      <c r="I132" s="9" t="n">
        <v>1500000</v>
      </c>
    </row>
    <row r="133" ht="15.75" customHeight="1" s="56">
      <c r="A133" s="55" t="n">
        <v>46063</v>
      </c>
      <c r="B133" s="9" t="inlineStr">
        <is>
          <t>PC-02/2026-092</t>
        </is>
      </c>
      <c r="C133" s="9" t="inlineStr">
        <is>
          <t>gửi bv bv Lê Quý</t>
        </is>
      </c>
      <c r="D133" s="9" t="inlineStr">
        <is>
          <t>Chi</t>
        </is>
      </c>
      <c r="E133" s="9" t="inlineStr">
        <is>
          <t>Chi bảo vệ</t>
        </is>
      </c>
      <c r="F133" s="9" t="inlineStr">
        <is>
          <t>Phòng Kế toán</t>
        </is>
      </c>
      <c r="G133" s="9" t="inlineStr">
        <is>
          <t>bảo vệ</t>
        </is>
      </c>
      <c r="H133" s="9" t="inlineStr">
        <is>
          <t>Tiền mặt</t>
        </is>
      </c>
      <c r="I133" s="9" t="n">
        <v>50000</v>
      </c>
    </row>
    <row r="134" ht="15.75" customHeight="1" s="56">
      <c r="A134" s="55" t="n">
        <v>46063</v>
      </c>
      <c r="B134" s="9" t="inlineStr">
        <is>
          <t>PC-02/2026-093</t>
        </is>
      </c>
      <c r="C134" s="9" t="inlineStr">
        <is>
          <t>mua hoa</t>
        </is>
      </c>
      <c r="D134" s="9" t="inlineStr">
        <is>
          <t>Chi</t>
        </is>
      </c>
      <c r="E134" s="9" t="inlineStr">
        <is>
          <t>Sinh hoạt gia đình</t>
        </is>
      </c>
      <c r="F134" s="9" t="inlineStr">
        <is>
          <t>Phòng Kế toán</t>
        </is>
      </c>
      <c r="G134" s="9" t="inlineStr">
        <is>
          <t>Chị Vy</t>
        </is>
      </c>
      <c r="H134" s="9" t="inlineStr">
        <is>
          <t>Tiền mặt</t>
        </is>
      </c>
      <c r="I134" s="9" t="n">
        <v>25000</v>
      </c>
    </row>
    <row r="135" ht="15.75" customHeight="1" s="56">
      <c r="A135" s="55" t="n">
        <v>46063</v>
      </c>
      <c r="B135" s="9" t="inlineStr">
        <is>
          <t>PC-02/2026-100</t>
        </is>
      </c>
      <c r="C135" s="9" t="inlineStr">
        <is>
          <t>Đỗ Thị Mười (438)</t>
        </is>
      </c>
      <c r="D135" s="9" t="inlineStr">
        <is>
          <t>Chi</t>
        </is>
      </c>
      <c r="E135" s="9" t="inlineStr">
        <is>
          <t>Lấy bản vẽ</t>
        </is>
      </c>
      <c r="F135" s="9" t="inlineStr">
        <is>
          <t>Phòng Kế toán</t>
        </is>
      </c>
      <c r="G135" s="9" t="inlineStr">
        <is>
          <t>Chi nhánh số 2</t>
        </is>
      </c>
      <c r="H135" s="9" t="inlineStr">
        <is>
          <t>Chuyển khoản</t>
        </is>
      </c>
      <c r="I135" s="9" t="n">
        <v>97240</v>
      </c>
    </row>
    <row r="136" ht="15.75" customHeight="1" s="56">
      <c r="A136" s="55" t="n">
        <v>46063</v>
      </c>
      <c r="B136" s="9" t="inlineStr">
        <is>
          <t>PC-02/2026-101</t>
        </is>
      </c>
      <c r="C136" s="9" t="inlineStr">
        <is>
          <t>Lê Văn Mạnh (439)</t>
        </is>
      </c>
      <c r="D136" s="9" t="inlineStr">
        <is>
          <t>Chi</t>
        </is>
      </c>
      <c r="E136" s="9" t="inlineStr">
        <is>
          <t>Lấy bản vẽ</t>
        </is>
      </c>
      <c r="F136" s="9" t="inlineStr">
        <is>
          <t>Phòng Kế toán</t>
        </is>
      </c>
      <c r="G136" s="9" t="inlineStr">
        <is>
          <t>Chi nhánh số 2</t>
        </is>
      </c>
      <c r="H136" s="9" t="inlineStr">
        <is>
          <t>Chuyển khoản</t>
        </is>
      </c>
      <c r="I136" s="9" t="n">
        <v>110561</v>
      </c>
    </row>
    <row r="137" ht="15.75" customHeight="1" s="56">
      <c r="A137" s="55" t="n">
        <v>46062</v>
      </c>
      <c r="B137" s="9" t="inlineStr">
        <is>
          <t>PC-02/2026-077</t>
        </is>
      </c>
      <c r="C137" s="9" t="inlineStr">
        <is>
          <t>thanh toán trích lục Đặng Thị Hồng Trâm</t>
        </is>
      </c>
      <c r="D137" s="9" t="inlineStr">
        <is>
          <t>Chi</t>
        </is>
      </c>
      <c r="E137" s="9" t="inlineStr">
        <is>
          <t>Lấy trích lục</t>
        </is>
      </c>
      <c r="F137" s="9" t="inlineStr">
        <is>
          <t>Phòng Kế toán</t>
        </is>
      </c>
      <c r="G137" s="9" t="inlineStr">
        <is>
          <t>Chi nhánh số 2</t>
        </is>
      </c>
      <c r="H137" s="9" t="inlineStr">
        <is>
          <t>Chuyển khoản</t>
        </is>
      </c>
      <c r="I137" s="9" t="n">
        <v>200000</v>
      </c>
    </row>
    <row r="138" ht="15.75" customHeight="1" s="56">
      <c r="A138" s="55" t="n">
        <v>46062</v>
      </c>
      <c r="B138" s="9" t="inlineStr">
        <is>
          <t>PC-02/2026-078</t>
        </is>
      </c>
      <c r="C138" s="9" t="inlineStr">
        <is>
          <t>GIÁM ĐỐC NỘP QUỸ L4 THÁNG 2</t>
        </is>
      </c>
      <c r="D138" s="9" t="inlineStr">
        <is>
          <t>Thu</t>
        </is>
      </c>
      <c r="E138" s="9" t="inlineStr">
        <is>
          <t>Bổ sung quỹ</t>
        </is>
      </c>
      <c r="F138" s="9" t="inlineStr">
        <is>
          <t>Phòng Kế toán</t>
        </is>
      </c>
      <c r="G138" s="9" t="inlineStr">
        <is>
          <t>GIÁM ĐỐC</t>
        </is>
      </c>
      <c r="H138" s="9" t="inlineStr">
        <is>
          <t>Tiền mặt</t>
        </is>
      </c>
      <c r="I138" s="9" t="n">
        <v>5000000</v>
      </c>
    </row>
    <row r="139" ht="15.75" customHeight="1" s="56">
      <c r="A139" s="55" t="n">
        <v>46062</v>
      </c>
      <c r="B139" s="9" t="inlineStr">
        <is>
          <t>PC-02/2026-079</t>
        </is>
      </c>
      <c r="C139" s="9" t="inlineStr">
        <is>
          <t>đóng thuế phi NN Nguyễn Thị An, Nguyễn Thị Kim Yến, Trần Đình Sĩ Tấn</t>
        </is>
      </c>
      <c r="D139" s="9" t="inlineStr">
        <is>
          <t>Chi</t>
        </is>
      </c>
      <c r="E139" s="9" t="inlineStr">
        <is>
          <t>Đóng thuế</t>
        </is>
      </c>
      <c r="F139" s="9" t="inlineStr">
        <is>
          <t>Phòng Kế toán</t>
        </is>
      </c>
      <c r="G139" s="9" t="inlineStr">
        <is>
          <t>Agribank</t>
        </is>
      </c>
      <c r="H139" s="9" t="inlineStr">
        <is>
          <t>Tiền mặt</t>
        </is>
      </c>
      <c r="I139" s="9" t="n">
        <v>569000</v>
      </c>
    </row>
    <row r="140" ht="15.75" customHeight="1" s="56">
      <c r="A140" s="55" t="n">
        <v>46062</v>
      </c>
      <c r="B140" s="9" t="inlineStr">
        <is>
          <t>PC-02/2026-080</t>
        </is>
      </c>
      <c r="C140" s="9" t="inlineStr">
        <is>
          <t>GIÁM ĐỐC NỘP QUỸ L5 THÁNG 2</t>
        </is>
      </c>
      <c r="D140" s="9" t="inlineStr">
        <is>
          <t>Thu</t>
        </is>
      </c>
      <c r="E140" s="9" t="inlineStr">
        <is>
          <t>Bổ sung quỹ</t>
        </is>
      </c>
      <c r="F140" s="9" t="inlineStr">
        <is>
          <t>Phòng Kế toán</t>
        </is>
      </c>
      <c r="G140" s="9" t="inlineStr">
        <is>
          <t>GIÁM ĐỐC</t>
        </is>
      </c>
      <c r="H140" s="9" t="inlineStr">
        <is>
          <t>Tiền mặt</t>
        </is>
      </c>
      <c r="I140" s="9" t="n">
        <v>1000000</v>
      </c>
    </row>
    <row r="141" ht="15.75" customHeight="1" s="56">
      <c r="A141" s="55" t="n">
        <v>46062</v>
      </c>
      <c r="B141" s="9" t="inlineStr">
        <is>
          <t>PC-02/2026-081</t>
        </is>
      </c>
      <c r="C141" s="9" t="inlineStr">
        <is>
          <t>gửi anh Dân</t>
        </is>
      </c>
      <c r="D141" s="9" t="inlineStr">
        <is>
          <t>Chi</t>
        </is>
      </c>
      <c r="E141" s="9" t="inlineStr">
        <is>
          <t>Chi quầy tiếp nhận</t>
        </is>
      </c>
      <c r="F141" s="9" t="inlineStr">
        <is>
          <t>Phòng Kế toán</t>
        </is>
      </c>
      <c r="G141" s="9" t="inlineStr">
        <is>
          <t>Anh Dân</t>
        </is>
      </c>
      <c r="H141" s="9" t="inlineStr">
        <is>
          <t>Tiền mặt</t>
        </is>
      </c>
      <c r="I141" s="9" t="n">
        <v>1000000</v>
      </c>
    </row>
    <row r="142" ht="15.75" customHeight="1" s="56">
      <c r="A142" s="55" t="n">
        <v>46062</v>
      </c>
      <c r="B142" s="9" t="inlineStr">
        <is>
          <t>PC-02/2026-082</t>
        </is>
      </c>
      <c r="C142" s="9" t="inlineStr">
        <is>
          <t>nộp hs Hồ Trọng Dũng</t>
        </is>
      </c>
      <c r="D142" s="9" t="inlineStr">
        <is>
          <t>Chi</t>
        </is>
      </c>
      <c r="E142" s="9" t="inlineStr">
        <is>
          <t>Chi quầy tiếp nhận</t>
        </is>
      </c>
      <c r="F142" s="9" t="inlineStr">
        <is>
          <t>Phòng Kế toán</t>
        </is>
      </c>
      <c r="G142" s="9" t="inlineStr">
        <is>
          <t>quầy tiếp nhận</t>
        </is>
      </c>
      <c r="H142" s="9" t="inlineStr">
        <is>
          <t>Tiền mặt</t>
        </is>
      </c>
      <c r="I142" s="9" t="n">
        <v>100000</v>
      </c>
    </row>
    <row r="143" ht="15.75" customHeight="1" s="56">
      <c r="A143" s="55" t="n">
        <v>46062</v>
      </c>
      <c r="B143" s="9" t="inlineStr">
        <is>
          <t>PC-02/2026-083</t>
        </is>
      </c>
      <c r="C143" s="9" t="inlineStr">
        <is>
          <t>nộp chứng từ Võ Văn Ninh</t>
        </is>
      </c>
      <c r="D143" s="9" t="inlineStr">
        <is>
          <t>Chi</t>
        </is>
      </c>
      <c r="E143" s="9" t="inlineStr">
        <is>
          <t>Chi quầy tiếp nhận</t>
        </is>
      </c>
      <c r="F143" s="9" t="inlineStr">
        <is>
          <t>Phòng Kế toán</t>
        </is>
      </c>
      <c r="G143" s="9" t="inlineStr">
        <is>
          <t>quầy tiếp nhận</t>
        </is>
      </c>
      <c r="H143" s="9" t="inlineStr">
        <is>
          <t>Tiền mặt</t>
        </is>
      </c>
      <c r="I143" s="9" t="n">
        <v>100000</v>
      </c>
    </row>
    <row r="144" ht="15.75" customHeight="1" s="56">
      <c r="A144" s="55" t="n">
        <v>46062</v>
      </c>
      <c r="B144" s="9" t="inlineStr">
        <is>
          <t>PC-02/2026-084</t>
        </is>
      </c>
      <c r="C144" s="9" t="inlineStr">
        <is>
          <t>Võ Văn Ninh</t>
        </is>
      </c>
      <c r="D144" s="9" t="inlineStr">
        <is>
          <t>Chi</t>
        </is>
      </c>
      <c r="E144" s="9" t="inlineStr">
        <is>
          <t>Công tác phí</t>
        </is>
      </c>
      <c r="F144" s="9" t="inlineStr">
        <is>
          <t>Phòng Kế toán</t>
        </is>
      </c>
      <c r="G144" s="9" t="inlineStr">
        <is>
          <t>Chị Hoài</t>
        </is>
      </c>
      <c r="H144" s="9" t="inlineStr">
        <is>
          <t>Tiền mặt</t>
        </is>
      </c>
      <c r="I144" s="9" t="n">
        <v>2000000</v>
      </c>
    </row>
    <row r="145" ht="15.75" customHeight="1" s="56">
      <c r="A145" s="55" t="n">
        <v>46060</v>
      </c>
      <c r="B145" s="9" t="inlineStr">
        <is>
          <t>PC-02/2026-071</t>
        </is>
      </c>
      <c r="C145" s="9" t="inlineStr">
        <is>
          <t>531/BK-2025	Nguyễn Thị Ngọc Thảo</t>
        </is>
      </c>
      <c r="D145" s="9" t="inlineStr">
        <is>
          <t>Chi</t>
        </is>
      </c>
      <c r="E145" s="9" t="inlineStr">
        <is>
          <t>Chi thụ lý bản vẽ</t>
        </is>
      </c>
      <c r="F145" s="9" t="inlineStr">
        <is>
          <t>Phòng Kế toán</t>
        </is>
      </c>
      <c r="G145" s="9" t="inlineStr">
        <is>
          <t>Anh Mạnh Quân</t>
        </is>
      </c>
      <c r="H145" s="9" t="inlineStr">
        <is>
          <t>Tiền mặt</t>
        </is>
      </c>
      <c r="I145" s="9" t="n">
        <v>1500000</v>
      </c>
    </row>
    <row r="146" ht="15.75" customHeight="1" s="56">
      <c r="A146" s="55" t="n">
        <v>46060</v>
      </c>
      <c r="B146" s="9" t="inlineStr">
        <is>
          <t>PC-02/2026-072</t>
        </is>
      </c>
      <c r="C146" s="9" t="inlineStr">
        <is>
          <t>gửi bv bv Nguyễn Thị Ngọc Thảo</t>
        </is>
      </c>
      <c r="D146" s="9" t="inlineStr">
        <is>
          <t>Chi</t>
        </is>
      </c>
      <c r="E146" s="9" t="inlineStr">
        <is>
          <t>Chi bảo vệ</t>
        </is>
      </c>
      <c r="F146" s="9" t="inlineStr">
        <is>
          <t>Phòng Kế toán</t>
        </is>
      </c>
      <c r="G146" s="9" t="inlineStr">
        <is>
          <t>bảo vệ</t>
        </is>
      </c>
      <c r="H146" s="9" t="inlineStr">
        <is>
          <t>Tiền mặt</t>
        </is>
      </c>
      <c r="I146" s="9" t="n">
        <v>50000</v>
      </c>
    </row>
    <row r="147" ht="15.75" customHeight="1" s="56">
      <c r="A147" s="55" t="n">
        <v>46060</v>
      </c>
      <c r="B147" s="9" t="inlineStr">
        <is>
          <t>PC-02/2026-073</t>
        </is>
      </c>
      <c r="C147" s="9" t="inlineStr">
        <is>
          <t>trái cây</t>
        </is>
      </c>
      <c r="D147" s="9" t="inlineStr">
        <is>
          <t>Chi</t>
        </is>
      </c>
      <c r="E147" s="9" t="inlineStr">
        <is>
          <t>Sinh hoạt gia đình</t>
        </is>
      </c>
      <c r="F147" s="9" t="inlineStr">
        <is>
          <t>Phòng Kế toán</t>
        </is>
      </c>
      <c r="G147" s="9" t="inlineStr">
        <is>
          <t>Hằng</t>
        </is>
      </c>
      <c r="H147" s="9" t="inlineStr">
        <is>
          <t>Tiền mặt</t>
        </is>
      </c>
      <c r="I147" s="9" t="n">
        <v>70000</v>
      </c>
    </row>
    <row r="148" ht="15.75" customHeight="1" s="56">
      <c r="A148" s="55" t="n">
        <v>46060</v>
      </c>
      <c r="B148" s="9" t="inlineStr">
        <is>
          <t>PC-02/2026-074</t>
        </is>
      </c>
      <c r="C148" s="9" t="inlineStr">
        <is>
          <t>nộp hồ sơ tách thửa Trần Thị Ngọc Dung</t>
        </is>
      </c>
      <c r="D148" s="9" t="inlineStr">
        <is>
          <t>Chi</t>
        </is>
      </c>
      <c r="E148" s="9" t="inlineStr">
        <is>
          <t>Chi quầy tiếp nhận</t>
        </is>
      </c>
      <c r="F148" s="9" t="inlineStr">
        <is>
          <t>Phòng Kế toán</t>
        </is>
      </c>
      <c r="G148" s="9" t="inlineStr">
        <is>
          <t>quầy tiếp nhận</t>
        </is>
      </c>
      <c r="H148" s="9" t="inlineStr">
        <is>
          <t>Tiền mặt</t>
        </is>
      </c>
      <c r="I148" s="9" t="n">
        <v>200000</v>
      </c>
    </row>
    <row r="149" ht="15.75" customHeight="1" s="56">
      <c r="A149" s="55" t="n">
        <v>46060</v>
      </c>
      <c r="B149" s="9" t="inlineStr">
        <is>
          <t>PC-02/2026-075</t>
        </is>
      </c>
      <c r="C149" s="9" t="inlineStr">
        <is>
          <t>nộp bản vẽ sáng 7/2</t>
        </is>
      </c>
      <c r="D149" s="9" t="inlineStr">
        <is>
          <t>Chi</t>
        </is>
      </c>
      <c r="E149" s="9" t="inlineStr">
        <is>
          <t>Chi quầy tiếp nhận</t>
        </is>
      </c>
      <c r="F149" s="9" t="inlineStr">
        <is>
          <t>Phòng Kế toán</t>
        </is>
      </c>
      <c r="G149" s="9" t="inlineStr">
        <is>
          <t>Chị Vân</t>
        </is>
      </c>
      <c r="H149" s="9" t="inlineStr">
        <is>
          <t>Tiền mặt</t>
        </is>
      </c>
      <c r="I149" s="9" t="n">
        <v>100000</v>
      </c>
    </row>
    <row r="150" ht="15.75" customHeight="1" s="56">
      <c r="A150" s="55" t="n">
        <v>46060</v>
      </c>
      <c r="B150" s="9" t="inlineStr">
        <is>
          <t>PC-02/2026-076</t>
        </is>
      </c>
      <c r="C150" s="9" t="inlineStr">
        <is>
          <t>tiền cơm</t>
        </is>
      </c>
      <c r="D150" s="9" t="inlineStr">
        <is>
          <t>Chi</t>
        </is>
      </c>
      <c r="E150" s="9" t="inlineStr">
        <is>
          <t>Ăn uống</t>
        </is>
      </c>
      <c r="F150" s="9" t="inlineStr">
        <is>
          <t>Phòng Kế toán</t>
        </is>
      </c>
      <c r="G150" s="9" t="inlineStr">
        <is>
          <t>Anh Hùng</t>
        </is>
      </c>
      <c r="H150" s="9" t="inlineStr">
        <is>
          <t>Chuyển khoản</t>
        </is>
      </c>
      <c r="I150" s="9" t="n">
        <v>1365000</v>
      </c>
    </row>
    <row r="151" ht="15.75" customHeight="1" s="56">
      <c r="A151" s="55" t="n">
        <v>46059</v>
      </c>
      <c r="B151" s="9" t="inlineStr">
        <is>
          <t>PC-02/2026-054</t>
        </is>
      </c>
      <c r="C151" s="9" t="inlineStr">
        <is>
          <t>trái cây</t>
        </is>
      </c>
      <c r="D151" s="9" t="inlineStr">
        <is>
          <t>Chi</t>
        </is>
      </c>
      <c r="E151" s="9" t="inlineStr">
        <is>
          <t>Sinh hoạt gia đình</t>
        </is>
      </c>
      <c r="F151" s="9" t="inlineStr">
        <is>
          <t>Phòng Kế toán</t>
        </is>
      </c>
      <c r="G151" s="9" t="inlineStr">
        <is>
          <t>Hằng</t>
        </is>
      </c>
      <c r="H151" s="9" t="inlineStr">
        <is>
          <t>Tiền mặt</t>
        </is>
      </c>
      <c r="I151" s="9" t="n">
        <v>55000</v>
      </c>
    </row>
    <row r="152" ht="15.75" customHeight="1" s="56">
      <c r="A152" s="55" t="n">
        <v>46059</v>
      </c>
      <c r="B152" s="9" t="inlineStr">
        <is>
          <t>PC-02/2026-055</t>
        </is>
      </c>
      <c r="C152" s="9" t="inlineStr">
        <is>
          <t>đổi tiền mặt cho khách (khách ck cho sếp)</t>
        </is>
      </c>
      <c r="D152" s="9" t="inlineStr">
        <is>
          <t>Chi</t>
        </is>
      </c>
      <c r="E152" s="9" t="inlineStr">
        <is>
          <t>Công tác phí</t>
        </is>
      </c>
      <c r="F152" s="9" t="inlineStr">
        <is>
          <t>Phòng Kế toán</t>
        </is>
      </c>
      <c r="G152" s="9" t="inlineStr">
        <is>
          <t>Anh Phước Tâm</t>
        </is>
      </c>
      <c r="H152" s="9" t="inlineStr">
        <is>
          <t>Tiền mặt</t>
        </is>
      </c>
      <c r="I152" s="9" t="n">
        <v>300000</v>
      </c>
    </row>
    <row r="153" ht="15.75" customHeight="1" s="56">
      <c r="A153" s="55" t="n">
        <v>46059</v>
      </c>
      <c r="B153" s="9" t="inlineStr">
        <is>
          <t>PC-02/2026-056</t>
        </is>
      </c>
      <c r="C153" s="9" t="inlineStr">
        <is>
          <t>kê khai thuế phi NN Lê Xuân Hưng, Nguyễn Thị Kim Yến</t>
        </is>
      </c>
      <c r="D153" s="9" t="inlineStr">
        <is>
          <t>Chi</t>
        </is>
      </c>
      <c r="E153" s="9" t="inlineStr">
        <is>
          <t>Đóng thuế</t>
        </is>
      </c>
      <c r="F153" s="9" t="inlineStr">
        <is>
          <t>Phòng Kế toán</t>
        </is>
      </c>
      <c r="G153" s="9" t="inlineStr">
        <is>
          <t>Chị Trâm</t>
        </is>
      </c>
      <c r="H153" s="9" t="inlineStr">
        <is>
          <t>Tiền mặt</t>
        </is>
      </c>
      <c r="I153" s="9" t="n">
        <v>300000</v>
      </c>
    </row>
    <row r="154" ht="15.75" customHeight="1" s="56">
      <c r="A154" s="55" t="n">
        <v>46059</v>
      </c>
      <c r="B154" s="9" t="inlineStr">
        <is>
          <t>PC-02/2026-057</t>
        </is>
      </c>
      <c r="C154" s="9" t="inlineStr">
        <is>
          <t>giao biên bản cọc ranh Đỗ Thị Trang</t>
        </is>
      </c>
      <c r="D154" s="9" t="inlineStr">
        <is>
          <t>Chi</t>
        </is>
      </c>
      <c r="E154" s="9" t="inlineStr">
        <is>
          <t>Chuyển phát - Bưu chính-Grap</t>
        </is>
      </c>
      <c r="F154" s="9" t="inlineStr">
        <is>
          <t>Phòng Kế toán</t>
        </is>
      </c>
      <c r="G154" s="9" t="inlineStr">
        <is>
          <t>grab</t>
        </is>
      </c>
      <c r="H154" s="9" t="inlineStr">
        <is>
          <t>Chuyển khoản</t>
        </is>
      </c>
      <c r="I154" s="9" t="n">
        <v>75000</v>
      </c>
    </row>
    <row r="155" ht="15.75" customHeight="1" s="56">
      <c r="A155" s="55" t="n">
        <v>46059</v>
      </c>
      <c r="B155" s="9" t="inlineStr">
        <is>
          <t>PC-02/2026-058</t>
        </is>
      </c>
      <c r="C155" s="9" t="inlineStr">
        <is>
          <t>Viết hồ sơ (Đinh Duy Tây)</t>
        </is>
      </c>
      <c r="D155" s="9" t="inlineStr">
        <is>
          <t>Thu</t>
        </is>
      </c>
      <c r="E155" s="9" t="inlineStr">
        <is>
          <t>Bổ sung quỹ</t>
        </is>
      </c>
      <c r="F155" s="9" t="inlineStr">
        <is>
          <t>Phòng Kế toán</t>
        </is>
      </c>
      <c r="G155" s="9" t="inlineStr">
        <is>
          <t>Anh Tùng BĐS</t>
        </is>
      </c>
      <c r="H155" s="9" t="inlineStr">
        <is>
          <t>Tiền mặt</t>
        </is>
      </c>
      <c r="I155" s="9" t="n">
        <v>200000</v>
      </c>
    </row>
    <row r="156" ht="15.75" customHeight="1" s="56">
      <c r="A156" s="55" t="n">
        <v>46059</v>
      </c>
      <c r="B156" s="9" t="inlineStr">
        <is>
          <t>PC-02/2026-059</t>
        </is>
      </c>
      <c r="C156" s="9" t="inlineStr">
        <is>
          <t>Đá 1m ( SL: 9)</t>
        </is>
      </c>
      <c r="D156" s="9" t="inlineStr">
        <is>
          <t>Chi</t>
        </is>
      </c>
      <c r="E156" s="9" t="inlineStr">
        <is>
          <t>Công tác phí</t>
        </is>
      </c>
      <c r="F156" s="9" t="inlineStr">
        <is>
          <t>Phòng Kế toán</t>
        </is>
      </c>
      <c r="G156" s="9" t="inlineStr">
        <is>
          <t>Anh Tập</t>
        </is>
      </c>
      <c r="H156" s="9" t="inlineStr">
        <is>
          <t>Chuyển khoản</t>
        </is>
      </c>
      <c r="I156" s="9" t="n">
        <v>450000</v>
      </c>
    </row>
    <row r="157" ht="15.75" customHeight="1" s="56">
      <c r="A157" s="55" t="n">
        <v>46059</v>
      </c>
      <c r="B157" s="9" t="inlineStr">
        <is>
          <t>PC-02/2026-060</t>
        </is>
      </c>
      <c r="C157" s="9" t="inlineStr">
        <is>
          <t>Dương Hồng Cẩm bổ sung (gửi chị Thủy)</t>
        </is>
      </c>
      <c r="D157" s="9" t="inlineStr">
        <is>
          <t>Chi</t>
        </is>
      </c>
      <c r="E157" s="9" t="inlineStr">
        <is>
          <t>Chi quầy tiếp nhận</t>
        </is>
      </c>
      <c r="F157" s="9" t="inlineStr">
        <is>
          <t>Phòng Kế toán</t>
        </is>
      </c>
      <c r="G157" s="9" t="inlineStr">
        <is>
          <t>Chị Thủy</t>
        </is>
      </c>
      <c r="H157" s="9" t="inlineStr">
        <is>
          <t>Tiền mặt</t>
        </is>
      </c>
      <c r="I157" s="9" t="n">
        <v>100000</v>
      </c>
    </row>
    <row r="158" ht="15.75" customHeight="1" s="56">
      <c r="A158" s="55" t="n">
        <v>46059</v>
      </c>
      <c r="B158" s="9" t="inlineStr">
        <is>
          <t>PC-02/2026-061</t>
        </is>
      </c>
      <c r="C158" s="9" t="inlineStr">
        <is>
          <t>nộp bản vẽ chiều 6/2</t>
        </is>
      </c>
      <c r="D158" s="9" t="inlineStr">
        <is>
          <t>Chi</t>
        </is>
      </c>
      <c r="E158" s="9" t="inlineStr">
        <is>
          <t>Chi quầy tiếp nhận</t>
        </is>
      </c>
      <c r="F158" s="9" t="inlineStr">
        <is>
          <t>Phòng Kế toán</t>
        </is>
      </c>
      <c r="G158" s="9" t="inlineStr">
        <is>
          <t>Chị Vân</t>
        </is>
      </c>
      <c r="H158" s="9" t="inlineStr">
        <is>
          <t>Tiền mặt</t>
        </is>
      </c>
      <c r="I158" s="9" t="n">
        <v>100000</v>
      </c>
    </row>
    <row r="159" ht="15.75" customHeight="1" s="56">
      <c r="A159" s="55" t="n">
        <v>46059</v>
      </c>
      <c r="B159" s="9" t="inlineStr">
        <is>
          <t>PC-02/2026-062</t>
        </is>
      </c>
      <c r="C159" s="9" t="inlineStr">
        <is>
          <t>Trần Ngọc Anh Tú - Phạm Thị Huệ</t>
        </is>
      </c>
      <c r="D159" s="9" t="inlineStr">
        <is>
          <t>Chi</t>
        </is>
      </c>
      <c r="E159" s="9" t="inlineStr">
        <is>
          <t>Đóng thuế</t>
        </is>
      </c>
      <c r="F159" s="9" t="inlineStr">
        <is>
          <t>Phòng Kế toán</t>
        </is>
      </c>
      <c r="G159" s="9" t="inlineStr">
        <is>
          <t>Anh Phúc thuế</t>
        </is>
      </c>
      <c r="H159" s="9" t="inlineStr">
        <is>
          <t>Tiền mặt</t>
        </is>
      </c>
      <c r="I159" s="9" t="n">
        <v>2000000</v>
      </c>
    </row>
    <row r="160" ht="15.75" customHeight="1" s="56">
      <c r="A160" s="55" t="n">
        <v>46059</v>
      </c>
      <c r="B160" s="9" t="inlineStr">
        <is>
          <t>PC-02/2026-063</t>
        </is>
      </c>
      <c r="C160" s="9" t="inlineStr">
        <is>
          <t>kê khai thuế phi NN Nguyễn Thị An</t>
        </is>
      </c>
      <c r="D160" s="9" t="inlineStr">
        <is>
          <t>Chi</t>
        </is>
      </c>
      <c r="E160" s="9" t="inlineStr">
        <is>
          <t>Đóng thuế</t>
        </is>
      </c>
      <c r="F160" s="9" t="inlineStr">
        <is>
          <t>Phòng Kế toán</t>
        </is>
      </c>
      <c r="G160" s="9" t="inlineStr">
        <is>
          <t>Chị Trâm thuế</t>
        </is>
      </c>
      <c r="H160" s="9" t="inlineStr">
        <is>
          <t>Tiền mặt</t>
        </is>
      </c>
      <c r="I160" s="9" t="n">
        <v>300000</v>
      </c>
    </row>
    <row r="161" ht="15.75" customHeight="1" s="56">
      <c r="A161" s="55" t="n">
        <v>46059</v>
      </c>
      <c r="B161" s="9" t="inlineStr">
        <is>
          <t>PC-02/2026-064</t>
        </is>
      </c>
      <c r="C161" s="9" t="inlineStr">
        <is>
          <t>Phạm Hồng Sỹ (409)</t>
        </is>
      </c>
      <c r="D161" s="9" t="inlineStr">
        <is>
          <t>Chi</t>
        </is>
      </c>
      <c r="E161" s="9" t="inlineStr">
        <is>
          <t>Lấy bản vẽ</t>
        </is>
      </c>
      <c r="F161" s="9" t="inlineStr">
        <is>
          <t>Phòng Kế toán</t>
        </is>
      </c>
      <c r="G161" s="9" t="inlineStr">
        <is>
          <t>Chi nhánh số 2</t>
        </is>
      </c>
      <c r="H161" s="9" t="inlineStr">
        <is>
          <t>Chuyển khoản</t>
        </is>
      </c>
      <c r="I161" s="9" t="n">
        <v>109760</v>
      </c>
    </row>
    <row r="162" ht="15.75" customHeight="1" s="56">
      <c r="A162" s="55" t="n">
        <v>46059</v>
      </c>
      <c r="B162" s="9" t="inlineStr">
        <is>
          <t>PC-02/2026-065</t>
        </is>
      </c>
      <c r="C162" s="9" t="inlineStr">
        <is>
          <t>Nguyễn Thị Kim Yến (117)</t>
        </is>
      </c>
      <c r="D162" s="9" t="inlineStr">
        <is>
          <t>Chi</t>
        </is>
      </c>
      <c r="E162" s="9" t="inlineStr">
        <is>
          <t>Lấy bản vẽ</t>
        </is>
      </c>
      <c r="F162" s="9" t="inlineStr">
        <is>
          <t>Phòng Kế toán</t>
        </is>
      </c>
      <c r="G162" s="9" t="inlineStr">
        <is>
          <t>Chi nhánh số 2</t>
        </is>
      </c>
      <c r="H162" s="9" t="inlineStr">
        <is>
          <t>Chuyển khoản</t>
        </is>
      </c>
      <c r="I162" s="9" t="n">
        <v>299790</v>
      </c>
    </row>
    <row r="163" ht="15.75" customHeight="1" s="56">
      <c r="A163" s="55" t="n">
        <v>46059</v>
      </c>
      <c r="B163" s="9" t="inlineStr">
        <is>
          <t>PC-02/2026-066</t>
        </is>
      </c>
      <c r="C163" s="9" t="inlineStr">
        <is>
          <t>Nguyễn Thị An (112)</t>
        </is>
      </c>
      <c r="D163" s="9" t="inlineStr">
        <is>
          <t>Chi</t>
        </is>
      </c>
      <c r="E163" s="9" t="inlineStr">
        <is>
          <t>Lấy bản vẽ</t>
        </is>
      </c>
      <c r="F163" s="9" t="inlineStr">
        <is>
          <t>Phòng Kế toán</t>
        </is>
      </c>
      <c r="G163" s="9" t="inlineStr">
        <is>
          <t>Chi nhánh số 2</t>
        </is>
      </c>
      <c r="H163" s="9" t="inlineStr">
        <is>
          <t>Chuyển khoản</t>
        </is>
      </c>
      <c r="I163" s="9" t="n">
        <v>117710</v>
      </c>
    </row>
    <row r="164" ht="15.75" customHeight="1" s="56">
      <c r="A164" s="55" t="n">
        <v>46059</v>
      </c>
      <c r="B164" s="9" t="inlineStr">
        <is>
          <t>PC-02/2026-067</t>
        </is>
      </c>
      <c r="C164" s="9" t="inlineStr">
        <is>
          <t>079/BK-2026	Nguyễn Quỳnh Lê</t>
        </is>
      </c>
      <c r="D164" s="9" t="inlineStr">
        <is>
          <t>Chi</t>
        </is>
      </c>
      <c r="E164" s="9" t="inlineStr">
        <is>
          <t>Chi thụ lý bản vẽ</t>
        </is>
      </c>
      <c r="F164" s="9" t="inlineStr">
        <is>
          <t>Phòng Kế toán</t>
        </is>
      </c>
      <c r="G164" s="9" t="inlineStr">
        <is>
          <t>Chị Hồng</t>
        </is>
      </c>
      <c r="H164" s="9" t="inlineStr">
        <is>
          <t>Tiền mặt</t>
        </is>
      </c>
      <c r="I164" s="9" t="n">
        <v>1500000</v>
      </c>
    </row>
    <row r="165" ht="15.75" customHeight="1" s="56">
      <c r="A165" s="55" t="n">
        <v>46059</v>
      </c>
      <c r="B165" s="9" t="inlineStr">
        <is>
          <t>PC-02/2026-068</t>
        </is>
      </c>
      <c r="C165" s="9" t="inlineStr">
        <is>
          <t>gửi bv bv Nguyễn Quỳnh Lê</t>
        </is>
      </c>
      <c r="D165" s="9" t="inlineStr">
        <is>
          <t>Chi</t>
        </is>
      </c>
      <c r="E165" s="9" t="inlineStr">
        <is>
          <t>Chi bảo vệ</t>
        </is>
      </c>
      <c r="F165" s="9" t="inlineStr">
        <is>
          <t>Phòng Kế toán</t>
        </is>
      </c>
      <c r="G165" s="9" t="inlineStr">
        <is>
          <t>bảo vệ</t>
        </is>
      </c>
      <c r="H165" s="9" t="inlineStr">
        <is>
          <t>Tiền mặt</t>
        </is>
      </c>
      <c r="I165" s="9" t="n">
        <v>50000</v>
      </c>
    </row>
    <row r="166" ht="15.75" customHeight="1" s="56">
      <c r="A166" s="55" t="n">
        <v>46059</v>
      </c>
      <c r="B166" s="9" t="inlineStr">
        <is>
          <t>PC-02/2026-069</t>
        </is>
      </c>
      <c r="C166" s="9" t="inlineStr">
        <is>
          <t>gửi bản vẽ Đặng Văn Lẹ + phiếu trả cho Anh Long</t>
        </is>
      </c>
      <c r="D166" s="9" t="inlineStr">
        <is>
          <t>Chi</t>
        </is>
      </c>
      <c r="E166" s="9" t="inlineStr">
        <is>
          <t>Chuyển phát - Bưu chính-Grap</t>
        </is>
      </c>
      <c r="F166" s="9" t="inlineStr">
        <is>
          <t>Phòng Kế toán</t>
        </is>
      </c>
      <c r="G166" s="9" t="inlineStr">
        <is>
          <t>Grab</t>
        </is>
      </c>
      <c r="H166" s="9" t="inlineStr">
        <is>
          <t>Chuyển khoản</t>
        </is>
      </c>
      <c r="I166" s="9" t="n">
        <v>60000</v>
      </c>
    </row>
    <row r="167" ht="15.75" customHeight="1" s="56">
      <c r="A167" s="55" t="n">
        <v>46059</v>
      </c>
      <c r="B167" s="9" t="inlineStr">
        <is>
          <t>PC-02/2026-070</t>
        </is>
      </c>
      <c r="C167" s="9" t="inlineStr">
        <is>
          <t>nộp hs tầng đất mặt Lê Tiến Nhật Minh</t>
        </is>
      </c>
      <c r="D167" s="9" t="inlineStr">
        <is>
          <t>Chi</t>
        </is>
      </c>
      <c r="E167" s="9" t="inlineStr">
        <is>
          <t>Chi quầy tiếp nhận</t>
        </is>
      </c>
      <c r="F167" s="9" t="inlineStr">
        <is>
          <t>Phòng Kế toán</t>
        </is>
      </c>
      <c r="G167" s="9" t="inlineStr">
        <is>
          <t>Anh Đức</t>
        </is>
      </c>
      <c r="H167" s="9" t="inlineStr">
        <is>
          <t>Tiền mặt</t>
        </is>
      </c>
      <c r="I167" s="9" t="n">
        <v>200000</v>
      </c>
    </row>
    <row r="168" ht="15.75" customHeight="1" s="56">
      <c r="A168" s="55" t="n">
        <v>46058</v>
      </c>
      <c r="B168" s="9" t="inlineStr">
        <is>
          <t>PC-02/2026-043</t>
        </is>
      </c>
      <c r="C168" s="9" t="inlineStr">
        <is>
          <t>nộp hs Nguyễn Thị Trúc Thanh - Hoàng Phi Hải</t>
        </is>
      </c>
      <c r="D168" s="9" t="inlineStr">
        <is>
          <t>Chi</t>
        </is>
      </c>
      <c r="E168" s="9" t="inlineStr">
        <is>
          <t>Chi quầy tiếp nhận</t>
        </is>
      </c>
      <c r="F168" s="9" t="inlineStr">
        <is>
          <t>Phòng Kế toán</t>
        </is>
      </c>
      <c r="G168" s="9" t="inlineStr">
        <is>
          <t>quầy tiếp nhận</t>
        </is>
      </c>
      <c r="H168" s="9" t="inlineStr">
        <is>
          <t>Tiền mặt</t>
        </is>
      </c>
      <c r="I168" s="9" t="n">
        <v>100000</v>
      </c>
    </row>
    <row r="169" ht="15.75" customHeight="1" s="56">
      <c r="A169" s="55" t="n">
        <v>46058</v>
      </c>
      <c r="B169" s="9" t="inlineStr">
        <is>
          <t>PC-02/2026-044</t>
        </is>
      </c>
      <c r="C169" s="9" t="inlineStr">
        <is>
          <t>nộp bản vẽ sáng 5/2</t>
        </is>
      </c>
      <c r="D169" s="9" t="inlineStr">
        <is>
          <t>Chi</t>
        </is>
      </c>
      <c r="E169" s="9" t="inlineStr">
        <is>
          <t>Chi quầy tiếp nhận</t>
        </is>
      </c>
      <c r="F169" s="9" t="inlineStr">
        <is>
          <t>Phòng Kế toán</t>
        </is>
      </c>
      <c r="G169" s="9" t="inlineStr">
        <is>
          <t>Chị Vân</t>
        </is>
      </c>
      <c r="H169" s="9" t="inlineStr">
        <is>
          <t>Tiền mặt</t>
        </is>
      </c>
      <c r="I169" s="9" t="n">
        <v>100000</v>
      </c>
    </row>
    <row r="170" ht="15.75" customHeight="1" s="56">
      <c r="A170" s="55" t="n">
        <v>46058</v>
      </c>
      <c r="B170" s="9" t="inlineStr">
        <is>
          <t>PC-02/2026-045</t>
        </is>
      </c>
      <c r="C170" s="9" t="inlineStr">
        <is>
          <t>033/BK-2026	Lê Văn Mạnh</t>
        </is>
      </c>
      <c r="D170" s="9" t="inlineStr">
        <is>
          <t>Chi</t>
        </is>
      </c>
      <c r="E170" s="9" t="inlineStr">
        <is>
          <t>Chi thụ lý bản vẽ</t>
        </is>
      </c>
      <c r="F170" s="9" t="inlineStr">
        <is>
          <t>Phòng Kế toán</t>
        </is>
      </c>
      <c r="G170" s="9" t="inlineStr">
        <is>
          <t>Anh Công Trưởng</t>
        </is>
      </c>
      <c r="H170" s="9" t="inlineStr">
        <is>
          <t>Tiền mặt</t>
        </is>
      </c>
      <c r="I170" s="9" t="n">
        <v>1500000</v>
      </c>
    </row>
    <row r="171" ht="15.75" customHeight="1" s="56">
      <c r="A171" s="55" t="n">
        <v>46058</v>
      </c>
      <c r="B171" s="9" t="inlineStr">
        <is>
          <t>PC-02/2026-046</t>
        </is>
      </c>
      <c r="C171" s="9" t="inlineStr">
        <is>
          <t>034/BK-2026	Đỗ Thị Mười</t>
        </is>
      </c>
      <c r="D171" s="9" t="inlineStr">
        <is>
          <t>Chi</t>
        </is>
      </c>
      <c r="E171" s="9" t="inlineStr">
        <is>
          <t>Chi thụ lý bản vẽ</t>
        </is>
      </c>
      <c r="F171" s="9" t="inlineStr">
        <is>
          <t>Phòng Kế toán</t>
        </is>
      </c>
      <c r="G171" s="9" t="inlineStr">
        <is>
          <t>Anh Công Trưởng</t>
        </is>
      </c>
      <c r="H171" s="9" t="inlineStr">
        <is>
          <t>Tiền mặt</t>
        </is>
      </c>
      <c r="I171" s="9" t="n">
        <v>1500000</v>
      </c>
    </row>
    <row r="172" ht="15.75" customHeight="1" s="56">
      <c r="A172" s="55" t="n">
        <v>46058</v>
      </c>
      <c r="B172" s="9" t="inlineStr">
        <is>
          <t>PC-02/2026-047</t>
        </is>
      </c>
      <c r="C172" s="9" t="inlineStr">
        <is>
          <t>gửi bảo vệ bản vẽ Lê Văn Mạnh, Đỗ Thị Mười</t>
        </is>
      </c>
      <c r="D172" s="9" t="inlineStr">
        <is>
          <t>Chi</t>
        </is>
      </c>
      <c r="E172" s="9" t="inlineStr">
        <is>
          <t>Chi bảo vệ</t>
        </is>
      </c>
      <c r="F172" s="9" t="inlineStr">
        <is>
          <t>Phòng Kế toán</t>
        </is>
      </c>
      <c r="G172" s="9" t="inlineStr">
        <is>
          <t>bảo vệ</t>
        </is>
      </c>
      <c r="H172" s="9" t="inlineStr">
        <is>
          <t>Tiền mặt</t>
        </is>
      </c>
      <c r="I172" s="9" t="n">
        <v>50000</v>
      </c>
    </row>
    <row r="173" ht="15.75" customHeight="1" s="56">
      <c r="A173" s="55" t="n">
        <v>46058</v>
      </c>
      <c r="B173" s="9" t="inlineStr">
        <is>
          <t>PC-02/2026-048</t>
        </is>
      </c>
      <c r="C173" s="9" t="inlineStr">
        <is>
          <t>gửi bảo vệ lại BV Lê Văn Mạnh</t>
        </is>
      </c>
      <c r="D173" s="9" t="inlineStr">
        <is>
          <t>Chi</t>
        </is>
      </c>
      <c r="E173" s="9" t="inlineStr">
        <is>
          <t>Chi bảo vệ</t>
        </is>
      </c>
      <c r="F173" s="9" t="inlineStr">
        <is>
          <t>Phòng Kế toán</t>
        </is>
      </c>
      <c r="G173" s="9" t="inlineStr">
        <is>
          <t>bảo vệ</t>
        </is>
      </c>
      <c r="H173" s="9" t="inlineStr">
        <is>
          <t>Tiền mặt</t>
        </is>
      </c>
      <c r="I173" s="9" t="n">
        <v>40000</v>
      </c>
    </row>
    <row r="174" ht="15.75" customHeight="1" s="56">
      <c r="A174" s="55" t="n">
        <v>46058</v>
      </c>
      <c r="B174" s="9" t="inlineStr">
        <is>
          <t>PC-02/2026-050</t>
        </is>
      </c>
      <c r="C174" s="9" t="inlineStr">
        <is>
          <t>3 trụ xi măng</t>
        </is>
      </c>
      <c r="D174" s="9" t="inlineStr">
        <is>
          <t>Chi</t>
        </is>
      </c>
      <c r="E174" s="9" t="inlineStr">
        <is>
          <t>Công tác phí</t>
        </is>
      </c>
      <c r="F174" s="9" t="inlineStr">
        <is>
          <t>Phòng Kế toán</t>
        </is>
      </c>
      <c r="G174" s="9" t="inlineStr">
        <is>
          <t>Anh Xây</t>
        </is>
      </c>
      <c r="H174" s="9" t="inlineStr">
        <is>
          <t>Chuyển khoản</t>
        </is>
      </c>
      <c r="I174" s="9" t="n">
        <v>150000</v>
      </c>
    </row>
    <row r="175" ht="15.75" customHeight="1" s="56">
      <c r="A175" s="55" t="n">
        <v>46058</v>
      </c>
      <c r="B175" s="9" t="inlineStr">
        <is>
          <t>PC-02/2026-051</t>
        </is>
      </c>
      <c r="C175" s="9" t="inlineStr">
        <is>
          <t>Viết hồ sơ (Nguyễn Đăng Thọ - Huỳnh Thị Lan Chi )</t>
        </is>
      </c>
      <c r="D175" s="9" t="inlineStr">
        <is>
          <t>Thu</t>
        </is>
      </c>
      <c r="E175" s="9" t="inlineStr">
        <is>
          <t>Bổ sung quỹ</t>
        </is>
      </c>
      <c r="F175" s="9" t="inlineStr">
        <is>
          <t>Phòng Kế toán</t>
        </is>
      </c>
      <c r="G175" s="9" t="inlineStr">
        <is>
          <t>Anh Thanh Sang Land</t>
        </is>
      </c>
      <c r="H175" s="9" t="inlineStr">
        <is>
          <t>Tiền mặt</t>
        </is>
      </c>
      <c r="I175" s="9" t="n">
        <v>200000</v>
      </c>
    </row>
    <row r="176" ht="15.75" customHeight="1" s="56">
      <c r="A176" s="55" t="n">
        <v>46058</v>
      </c>
      <c r="B176" s="9" t="inlineStr">
        <is>
          <t>PC-02/2026-052</t>
        </is>
      </c>
      <c r="C176" s="9" t="inlineStr">
        <is>
          <t>gửi đề nghị thanh toán cho anh Thanh</t>
        </is>
      </c>
      <c r="D176" s="9" t="inlineStr">
        <is>
          <t>Chi</t>
        </is>
      </c>
      <c r="E176" s="9" t="inlineStr">
        <is>
          <t>Chuyển phát - Bưu chính-Grap</t>
        </is>
      </c>
      <c r="F176" s="9" t="inlineStr">
        <is>
          <t>Phòng Kế toán</t>
        </is>
      </c>
      <c r="G176" s="9" t="inlineStr">
        <is>
          <t>Grab</t>
        </is>
      </c>
      <c r="H176" s="9" t="inlineStr">
        <is>
          <t>Chuyển khoản</t>
        </is>
      </c>
      <c r="I176" s="9" t="n">
        <v>75000</v>
      </c>
    </row>
    <row r="177" ht="15.75" customHeight="1" s="56">
      <c r="A177" s="55" t="n">
        <v>46058</v>
      </c>
      <c r="B177" s="9" t="inlineStr">
        <is>
          <t>PC-02/2026-053</t>
        </is>
      </c>
      <c r="C177" s="9" t="inlineStr">
        <is>
          <t>gửi HĐ cho anh Vinh</t>
        </is>
      </c>
      <c r="D177" s="9" t="inlineStr">
        <is>
          <t>Chi</t>
        </is>
      </c>
      <c r="E177" s="9" t="inlineStr">
        <is>
          <t>Chuyển phát - Bưu chính-Grap</t>
        </is>
      </c>
      <c r="F177" s="9" t="inlineStr">
        <is>
          <t>Phòng Kế toán</t>
        </is>
      </c>
      <c r="G177" s="9" t="inlineStr">
        <is>
          <t>Grab</t>
        </is>
      </c>
      <c r="H177" s="9" t="inlineStr">
        <is>
          <t>Chuyển khoản</t>
        </is>
      </c>
      <c r="I177" s="9" t="n">
        <v>60000</v>
      </c>
    </row>
    <row r="178" ht="15.75" customHeight="1" s="56">
      <c r="A178" s="55" t="n">
        <v>46057</v>
      </c>
      <c r="B178" s="9" t="inlineStr">
        <is>
          <t>PC-02/2026-022</t>
        </is>
      </c>
      <c r="C178" s="9" t="inlineStr">
        <is>
          <t>Đào Thị Hòa</t>
        </is>
      </c>
      <c r="D178" s="9" t="inlineStr">
        <is>
          <t>Chi</t>
        </is>
      </c>
      <c r="E178" s="9" t="inlineStr">
        <is>
          <t>Lấy trích lục</t>
        </is>
      </c>
      <c r="F178" s="9" t="inlineStr">
        <is>
          <t>Phòng Kế toán</t>
        </is>
      </c>
      <c r="G178" s="9" t="inlineStr">
        <is>
          <t>Chi nhánh số 2</t>
        </is>
      </c>
      <c r="H178" s="9" t="inlineStr">
        <is>
          <t>Chuyển khoản</t>
        </is>
      </c>
      <c r="I178" s="9" t="n">
        <v>200000</v>
      </c>
    </row>
    <row r="179" ht="15.75" customHeight="1" s="56">
      <c r="A179" s="55" t="n">
        <v>46057</v>
      </c>
      <c r="B179" s="9" t="inlineStr">
        <is>
          <t>PC-02/2026-023</t>
        </is>
      </c>
      <c r="C179" s="9" t="inlineStr">
        <is>
          <t>Nguyễn Thị Kim Anh</t>
        </is>
      </c>
      <c r="D179" s="9" t="inlineStr">
        <is>
          <t>Chi</t>
        </is>
      </c>
      <c r="E179" s="9" t="inlineStr">
        <is>
          <t>Lấy trích lục</t>
        </is>
      </c>
      <c r="F179" s="9" t="inlineStr">
        <is>
          <t>Phòng Kế toán</t>
        </is>
      </c>
      <c r="G179" s="9" t="inlineStr">
        <is>
          <t>Chi nhánh số 2</t>
        </is>
      </c>
      <c r="H179" s="9" t="inlineStr">
        <is>
          <t>Chuyển khoản</t>
        </is>
      </c>
      <c r="I179" s="9" t="n">
        <v>200000</v>
      </c>
    </row>
    <row r="180" ht="15.75" customHeight="1" s="56">
      <c r="A180" s="55" t="n">
        <v>46057</v>
      </c>
      <c r="B180" s="9" t="inlineStr">
        <is>
          <t>PC-02/2026-024</t>
        </is>
      </c>
      <c r="C180" s="9" t="inlineStr">
        <is>
          <t>Nguyễn Đình Phan</t>
        </is>
      </c>
      <c r="D180" s="9" t="inlineStr">
        <is>
          <t>Chi</t>
        </is>
      </c>
      <c r="E180" s="9" t="inlineStr">
        <is>
          <t>Lấy trích lục</t>
        </is>
      </c>
      <c r="F180" s="9" t="inlineStr">
        <is>
          <t>Phòng Kế toán</t>
        </is>
      </c>
      <c r="G180" s="9" t="inlineStr">
        <is>
          <t>Chi nhánh số 2</t>
        </is>
      </c>
      <c r="H180" s="9" t="inlineStr">
        <is>
          <t>Chuyển khoản</t>
        </is>
      </c>
      <c r="I180" s="9" t="n">
        <v>200000</v>
      </c>
    </row>
    <row r="181" ht="15.75" customHeight="1" s="56">
      <c r="A181" s="55" t="n">
        <v>46057</v>
      </c>
      <c r="B181" s="9" t="inlineStr">
        <is>
          <t>PC-02/2026-025</t>
        </is>
      </c>
      <c r="C181" s="9" t="inlineStr">
        <is>
          <t>thu 500k nhận nộp hs giúp khách Nguyễn Thị Hoàng Nhung</t>
        </is>
      </c>
      <c r="D181" s="9" t="inlineStr">
        <is>
          <t>Thu</t>
        </is>
      </c>
      <c r="E181" s="9" t="inlineStr">
        <is>
          <t>Bổ sung quỹ</t>
        </is>
      </c>
      <c r="F181" s="9" t="inlineStr">
        <is>
          <t>Phòng Kế toán</t>
        </is>
      </c>
      <c r="G181" s="9" t="inlineStr">
        <is>
          <t>Hoàng Nhung</t>
        </is>
      </c>
      <c r="H181" s="9" t="inlineStr">
        <is>
          <t>Tiền mặt</t>
        </is>
      </c>
      <c r="I181" s="9" t="n">
        <v>500000</v>
      </c>
    </row>
    <row r="182" ht="15.75" customHeight="1" s="56">
      <c r="A182" s="55" t="n">
        <v>46057</v>
      </c>
      <c r="B182" s="9" t="inlineStr">
        <is>
          <t>PC-02/2026-026</t>
        </is>
      </c>
      <c r="C182" s="9" t="inlineStr">
        <is>
          <t>bổ sung Thuế TNCN hồ sơ Nguyễn Thị Hoàng Nhung</t>
        </is>
      </c>
      <c r="D182" s="9" t="inlineStr">
        <is>
          <t>Chi</t>
        </is>
      </c>
      <c r="E182" s="9" t="inlineStr">
        <is>
          <t>Chi quầy tiếp nhận</t>
        </is>
      </c>
      <c r="F182" s="9" t="inlineStr">
        <is>
          <t>Phòng Kế toán</t>
        </is>
      </c>
      <c r="G182" s="9" t="inlineStr">
        <is>
          <t>quầy tiếp nhận</t>
        </is>
      </c>
      <c r="H182" s="9" t="inlineStr">
        <is>
          <t>Tiền mặt</t>
        </is>
      </c>
      <c r="I182" s="9" t="n">
        <v>100000</v>
      </c>
    </row>
    <row r="183" ht="15.75" customHeight="1" s="56">
      <c r="A183" s="55" t="n">
        <v>46057</v>
      </c>
      <c r="B183" s="9" t="inlineStr">
        <is>
          <t>PC-02/2026-027</t>
        </is>
      </c>
      <c r="C183" s="9" t="inlineStr">
        <is>
          <t>Trần Đình Sỹ Tấn (364)</t>
        </is>
      </c>
      <c r="D183" s="9" t="inlineStr">
        <is>
          <t>Chi</t>
        </is>
      </c>
      <c r="E183" s="9" t="inlineStr">
        <is>
          <t>Lấy bản vẽ</t>
        </is>
      </c>
      <c r="F183" s="9" t="inlineStr">
        <is>
          <t>Phòng Kế toán</t>
        </is>
      </c>
      <c r="G183" s="9" t="inlineStr">
        <is>
          <t>Chi nhánh số 2</t>
        </is>
      </c>
      <c r="H183" s="9" t="inlineStr">
        <is>
          <t>Chuyển khoản</t>
        </is>
      </c>
      <c r="I183" s="9" t="n">
        <v>140671</v>
      </c>
    </row>
    <row r="184" ht="15.75" customHeight="1" s="56">
      <c r="A184" s="55" t="n">
        <v>46057</v>
      </c>
      <c r="B184" s="9" t="inlineStr">
        <is>
          <t>PC-02/2026-028</t>
        </is>
      </c>
      <c r="C184" s="9" t="inlineStr">
        <is>
          <t>Nguyễn Thị Kim Yến (hs Anh Quốc)</t>
        </is>
      </c>
      <c r="D184" s="9" t="inlineStr">
        <is>
          <t>Chi</t>
        </is>
      </c>
      <c r="E184" s="9" t="inlineStr">
        <is>
          <t>Bản vẽ cấp giấy</t>
        </is>
      </c>
      <c r="F184" s="9" t="inlineStr">
        <is>
          <t>Phòng Kế toán</t>
        </is>
      </c>
      <c r="G184" s="9" t="inlineStr">
        <is>
          <t>Anh Lâu Đức Toàn</t>
        </is>
      </c>
      <c r="H184" s="9" t="inlineStr">
        <is>
          <t>Chuyển khoản</t>
        </is>
      </c>
      <c r="I184" s="9" t="n">
        <v>1000000</v>
      </c>
    </row>
    <row r="185" ht="15.75" customHeight="1" s="56">
      <c r="A185" s="55" t="n">
        <v>46057</v>
      </c>
      <c r="B185" s="9" t="inlineStr">
        <is>
          <t>PC-02/2026-029</t>
        </is>
      </c>
      <c r="C185" s="9" t="inlineStr">
        <is>
          <t>gửi chị Vân lấy bản vẽ</t>
        </is>
      </c>
      <c r="D185" s="9" t="inlineStr">
        <is>
          <t>Chi</t>
        </is>
      </c>
      <c r="E185" s="9" t="inlineStr">
        <is>
          <t>Chi quầy tiếp nhận</t>
        </is>
      </c>
      <c r="F185" s="9" t="inlineStr">
        <is>
          <t>Phòng Kế toán</t>
        </is>
      </c>
      <c r="G185" s="9" t="inlineStr">
        <is>
          <t>Chị Vân</t>
        </is>
      </c>
      <c r="H185" s="9" t="inlineStr">
        <is>
          <t>Tiền mặt</t>
        </is>
      </c>
      <c r="I185" s="9" t="n">
        <v>100000</v>
      </c>
    </row>
    <row r="186" ht="15.75" customHeight="1" s="56">
      <c r="A186" s="55" t="n">
        <v>46057</v>
      </c>
      <c r="B186" s="9" t="inlineStr">
        <is>
          <t>PC-02/2026-030</t>
        </is>
      </c>
      <c r="C186" s="9" t="inlineStr">
        <is>
          <t>064/BK-2026	Lê Xuân Hưng - Nguyễn Thị Kim Yến</t>
        </is>
      </c>
      <c r="D186" s="9" t="inlineStr">
        <is>
          <t>Chi</t>
        </is>
      </c>
      <c r="E186" s="9" t="inlineStr">
        <is>
          <t>Chi thụ lý bản vẽ</t>
        </is>
      </c>
      <c r="F186" s="9" t="inlineStr">
        <is>
          <t>Phòng Kế toán</t>
        </is>
      </c>
      <c r="G186" s="9" t="inlineStr">
        <is>
          <t>Anh Xuân Tiền</t>
        </is>
      </c>
      <c r="H186" s="9" t="inlineStr">
        <is>
          <t>Tiền mặt</t>
        </is>
      </c>
      <c r="I186" s="9" t="n">
        <v>1500000</v>
      </c>
    </row>
    <row r="187" ht="15.75" customHeight="1" s="56">
      <c r="A187" s="55" t="n">
        <v>46057</v>
      </c>
      <c r="B187" s="9" t="inlineStr">
        <is>
          <t>PC-02/2026-031</t>
        </is>
      </c>
      <c r="C187" s="9" t="inlineStr">
        <is>
          <t>Gửi bv bv Nguyễn Thị Kim Yến</t>
        </is>
      </c>
      <c r="D187" s="9" t="inlineStr">
        <is>
          <t>Chi</t>
        </is>
      </c>
      <c r="E187" s="9" t="inlineStr">
        <is>
          <t>Chi bảo vệ</t>
        </is>
      </c>
      <c r="F187" s="9" t="inlineStr">
        <is>
          <t>Phòng Kế toán</t>
        </is>
      </c>
      <c r="G187" s="9" t="inlineStr">
        <is>
          <t>bảo vệ</t>
        </is>
      </c>
      <c r="H187" s="9" t="inlineStr">
        <is>
          <t>Tiền mặt</t>
        </is>
      </c>
      <c r="I187" s="9" t="n">
        <v>50000</v>
      </c>
    </row>
    <row r="188" ht="15.75" customHeight="1" s="56">
      <c r="A188" s="55" t="n">
        <v>46057</v>
      </c>
      <c r="B188" s="9" t="inlineStr">
        <is>
          <t>PC-02/2026-032</t>
        </is>
      </c>
      <c r="C188" s="9" t="inlineStr">
        <is>
          <t>bút bi</t>
        </is>
      </c>
      <c r="D188" s="9" t="inlineStr">
        <is>
          <t>Chi</t>
        </is>
      </c>
      <c r="E188" s="9" t="inlineStr">
        <is>
          <t>Văn phòng phẩm</t>
        </is>
      </c>
      <c r="F188" s="9" t="inlineStr">
        <is>
          <t>Phòng Kế toán</t>
        </is>
      </c>
      <c r="G188" s="9" t="inlineStr">
        <is>
          <t>shipper</t>
        </is>
      </c>
      <c r="H188" s="9" t="inlineStr">
        <is>
          <t>Chuyển khoản</t>
        </is>
      </c>
      <c r="I188" s="9" t="n">
        <v>112000</v>
      </c>
    </row>
    <row r="189" ht="15.75" customHeight="1" s="56">
      <c r="A189" s="55" t="n">
        <v>46057</v>
      </c>
      <c r="B189" s="9" t="inlineStr">
        <is>
          <t>PC-02/2026-033</t>
        </is>
      </c>
      <c r="C189" s="9" t="inlineStr">
        <is>
          <t>037/BK-2026	Nguyễn Thị An</t>
        </is>
      </c>
      <c r="D189" s="9" t="inlineStr">
        <is>
          <t>Chi</t>
        </is>
      </c>
      <c r="E189" s="9" t="inlineStr">
        <is>
          <t>Chi thụ lý bản vẽ</t>
        </is>
      </c>
      <c r="F189" s="9" t="inlineStr">
        <is>
          <t>Phòng Kế toán</t>
        </is>
      </c>
      <c r="G189" s="9" t="inlineStr">
        <is>
          <t>Anh Xuân Tiền</t>
        </is>
      </c>
      <c r="H189" s="9" t="inlineStr">
        <is>
          <t>Tiền mặt</t>
        </is>
      </c>
      <c r="I189" s="9" t="n">
        <v>1500000</v>
      </c>
    </row>
    <row r="190" ht="15.75" customHeight="1" s="56">
      <c r="A190" s="55" t="n">
        <v>46057</v>
      </c>
      <c r="B190" s="9" t="inlineStr">
        <is>
          <t>PC-02/2026-034</t>
        </is>
      </c>
      <c r="C190" s="9" t="inlineStr">
        <is>
          <t>cắm mốc Nguyễn Thị Ngọc Thảo</t>
        </is>
      </c>
      <c r="D190" s="9" t="inlineStr">
        <is>
          <t>Chi</t>
        </is>
      </c>
      <c r="E190" s="9" t="inlineStr">
        <is>
          <t>Công tác phí</t>
        </is>
      </c>
      <c r="F190" s="9" t="inlineStr">
        <is>
          <t>Phòng Kế toán</t>
        </is>
      </c>
      <c r="G190" s="9" t="inlineStr">
        <is>
          <t>Anh Tập</t>
        </is>
      </c>
      <c r="H190" s="9" t="inlineStr">
        <is>
          <t>Chuyển khoản</t>
        </is>
      </c>
      <c r="I190" s="9" t="n">
        <v>120000</v>
      </c>
    </row>
    <row r="191" ht="15.75" customHeight="1" s="56">
      <c r="A191" s="55" t="n">
        <v>46057</v>
      </c>
      <c r="B191" s="9" t="inlineStr">
        <is>
          <t>PC-02/2026-035</t>
        </is>
      </c>
      <c r="C191" s="9" t="inlineStr">
        <is>
          <t>cắm mốc La Thị Thanh Duyên</t>
        </is>
      </c>
      <c r="D191" s="9" t="inlineStr">
        <is>
          <t>Chi</t>
        </is>
      </c>
      <c r="E191" s="9" t="inlineStr">
        <is>
          <t>Công tác phí</t>
        </is>
      </c>
      <c r="F191" s="9" t="inlineStr">
        <is>
          <t>Phòng Kế toán</t>
        </is>
      </c>
      <c r="G191" s="9" t="inlineStr">
        <is>
          <t>Anh Tập</t>
        </is>
      </c>
      <c r="H191" s="9" t="inlineStr">
        <is>
          <t>Chuyển khoản</t>
        </is>
      </c>
      <c r="I191" s="9" t="n">
        <v>135000</v>
      </c>
    </row>
    <row r="192" ht="15.75" customHeight="1" s="56">
      <c r="A192" s="55" t="n">
        <v>46057</v>
      </c>
      <c r="B192" s="9" t="inlineStr">
        <is>
          <t>PC-02/2026-036</t>
        </is>
      </c>
      <c r="C192" s="9" t="inlineStr">
        <is>
          <t>gửi anh Phúc hs Lại Quốc Huy - Phạm Thị Hồng Vinh</t>
        </is>
      </c>
      <c r="D192" s="9" t="inlineStr">
        <is>
          <t>Chi</t>
        </is>
      </c>
      <c r="E192" s="9" t="inlineStr">
        <is>
          <t>Đóng thuế</t>
        </is>
      </c>
      <c r="F192" s="9" t="inlineStr">
        <is>
          <t>Phòng Kế toán</t>
        </is>
      </c>
      <c r="G192" s="9" t="inlineStr">
        <is>
          <t>Anh Phúc</t>
        </is>
      </c>
      <c r="H192" s="9" t="inlineStr">
        <is>
          <t>Tiền mặt</t>
        </is>
      </c>
      <c r="I192" s="9" t="n">
        <v>2000000</v>
      </c>
    </row>
    <row r="193" ht="15.75" customHeight="1" s="56">
      <c r="A193" s="55" t="n">
        <v>46057</v>
      </c>
      <c r="B193" s="9" t="inlineStr">
        <is>
          <t>PC-02/2026-037</t>
        </is>
      </c>
      <c r="C193" s="9" t="inlineStr">
        <is>
          <t>rút hồ sơ tách thửa Trần Thị Ngọc Dung</t>
        </is>
      </c>
      <c r="D193" s="9" t="inlineStr">
        <is>
          <t>Chi</t>
        </is>
      </c>
      <c r="E193" s="9" t="inlineStr">
        <is>
          <t>Chi quầy tiếp nhận</t>
        </is>
      </c>
      <c r="F193" s="9" t="inlineStr">
        <is>
          <t>Phòng Kế toán</t>
        </is>
      </c>
      <c r="G193" s="9" t="inlineStr">
        <is>
          <t>quầy tiếp nhận</t>
        </is>
      </c>
      <c r="H193" s="9" t="inlineStr">
        <is>
          <t>Tiền mặt</t>
        </is>
      </c>
      <c r="I193" s="9" t="n">
        <v>100000</v>
      </c>
    </row>
    <row r="194" ht="15.75" customHeight="1" s="56">
      <c r="A194" s="55" t="n">
        <v>46057</v>
      </c>
      <c r="B194" s="9" t="inlineStr">
        <is>
          <t>PC-02/2026-038</t>
        </is>
      </c>
      <c r="C194" s="9" t="inlineStr">
        <is>
          <t>nộp hs Đặng Thị Kim Thiện</t>
        </is>
      </c>
      <c r="D194" s="9" t="inlineStr">
        <is>
          <t>Chi</t>
        </is>
      </c>
      <c r="E194" s="9" t="inlineStr">
        <is>
          <t>Chi quầy tiếp nhận</t>
        </is>
      </c>
      <c r="F194" s="9" t="inlineStr">
        <is>
          <t>Phòng Kế toán</t>
        </is>
      </c>
      <c r="G194" s="9" t="inlineStr">
        <is>
          <t>quầy tiếp nhận</t>
        </is>
      </c>
      <c r="H194" s="9" t="inlineStr">
        <is>
          <t>Tiền mặt</t>
        </is>
      </c>
      <c r="I194" s="9" t="n">
        <v>100000</v>
      </c>
    </row>
    <row r="195" ht="15.75" customHeight="1" s="56">
      <c r="A195" s="55" t="n">
        <v>46057</v>
      </c>
      <c r="B195" s="9" t="inlineStr">
        <is>
          <t>PC-02/2026-039</t>
        </is>
      </c>
      <c r="C195" s="9" t="inlineStr">
        <is>
          <t>GIÁM ĐỐC NỘP QUỸ L3 THÁNG 2</t>
        </is>
      </c>
      <c r="D195" s="9" t="inlineStr">
        <is>
          <t>Thu</t>
        </is>
      </c>
      <c r="E195" s="9" t="inlineStr">
        <is>
          <t>Bổ sung quỹ</t>
        </is>
      </c>
      <c r="F195" s="9" t="inlineStr">
        <is>
          <t>Phòng Kế toán</t>
        </is>
      </c>
      <c r="G195" s="9" t="inlineStr">
        <is>
          <t>GIÁM ĐỐC</t>
        </is>
      </c>
      <c r="H195" s="9" t="inlineStr">
        <is>
          <t>Tiền mặt</t>
        </is>
      </c>
      <c r="I195" s="9" t="n">
        <v>6000000</v>
      </c>
    </row>
    <row r="196" ht="15.75" customHeight="1" s="56">
      <c r="A196" s="55" t="n">
        <v>46057</v>
      </c>
      <c r="B196" s="9" t="inlineStr">
        <is>
          <t>PC-02/2026-040</t>
        </is>
      </c>
      <c r="C196" s="9" t="inlineStr">
        <is>
          <t>kê khai thuế phi NN Trần Đình Sỹ Tấn</t>
        </is>
      </c>
      <c r="D196" s="9" t="inlineStr">
        <is>
          <t>Chi</t>
        </is>
      </c>
      <c r="E196" s="9" t="inlineStr">
        <is>
          <t>Đóng thuế</t>
        </is>
      </c>
      <c r="F196" s="9" t="inlineStr">
        <is>
          <t>Phòng Kế toán</t>
        </is>
      </c>
      <c r="G196" s="9" t="inlineStr">
        <is>
          <t>Chị Trâm</t>
        </is>
      </c>
      <c r="H196" s="9" t="inlineStr">
        <is>
          <t>Tiền mặt</t>
        </is>
      </c>
      <c r="I196" s="9" t="n">
        <v>300000</v>
      </c>
    </row>
    <row r="197" ht="15.75" customHeight="1" s="56">
      <c r="A197" s="55" t="n">
        <v>46057</v>
      </c>
      <c r="B197" s="9" t="inlineStr">
        <is>
          <t>PC-02/2026-041</t>
        </is>
      </c>
      <c r="C197" s="9" t="inlineStr">
        <is>
          <t>giao lại bản vẽ Chu Trần Trọng</t>
        </is>
      </c>
      <c r="D197" s="9" t="inlineStr">
        <is>
          <t>Chi</t>
        </is>
      </c>
      <c r="E197" s="9" t="inlineStr">
        <is>
          <t>Chuyển phát - Bưu chính-Grap</t>
        </is>
      </c>
      <c r="F197" s="9" t="inlineStr">
        <is>
          <t>Phòng Kế toán</t>
        </is>
      </c>
      <c r="G197" s="9" t="inlineStr">
        <is>
          <t>Anh Trọng</t>
        </is>
      </c>
      <c r="H197" s="9" t="inlineStr">
        <is>
          <t>Chuyển khoản</t>
        </is>
      </c>
      <c r="I197" s="9" t="n">
        <v>47000</v>
      </c>
    </row>
    <row r="198" ht="15.75" customHeight="1" s="56">
      <c r="A198" s="55" t="n">
        <v>46057</v>
      </c>
      <c r="B198" s="9" t="inlineStr">
        <is>
          <t>PC-02/2026-042</t>
        </is>
      </c>
      <c r="C198" s="9" t="inlineStr">
        <is>
          <t>đóng tiền bản vẽ bên cty Thiên Gia Phát</t>
        </is>
      </c>
      <c r="D198" s="9" t="inlineStr">
        <is>
          <t>Chi</t>
        </is>
      </c>
      <c r="E198" s="9" t="inlineStr">
        <is>
          <t>Lấy bản vẽ</t>
        </is>
      </c>
      <c r="F198" s="9" t="inlineStr">
        <is>
          <t>Phòng Kế toán</t>
        </is>
      </c>
      <c r="G198" s="9" t="inlineStr">
        <is>
          <t>Cty Thiên Gia Phát</t>
        </is>
      </c>
      <c r="H198" s="9" t="inlineStr">
        <is>
          <t>Chuyển khoản</t>
        </is>
      </c>
      <c r="I198" s="9" t="n">
        <v>113913</v>
      </c>
    </row>
    <row r="199" ht="15.75" customHeight="1" s="56">
      <c r="A199" s="55" t="n">
        <v>46057</v>
      </c>
      <c r="B199" s="9" t="inlineStr">
        <is>
          <t>PC-02/2026-049</t>
        </is>
      </c>
      <c r="C199" s="9" t="inlineStr">
        <is>
          <t>đóng thuế phi NN Hồ Trọng Dũng</t>
        </is>
      </c>
      <c r="D199" s="9" t="inlineStr">
        <is>
          <t>Chi</t>
        </is>
      </c>
      <c r="E199" s="9" t="inlineStr">
        <is>
          <t>Đóng thuế</t>
        </is>
      </c>
      <c r="F199" s="9" t="inlineStr">
        <is>
          <t>Phòng Kế toán</t>
        </is>
      </c>
      <c r="G199" s="9" t="inlineStr">
        <is>
          <t>Agribank</t>
        </is>
      </c>
      <c r="H199" s="9" t="inlineStr">
        <is>
          <t>Tiền mặt</t>
        </is>
      </c>
      <c r="I199" s="9" t="n">
        <v>230000</v>
      </c>
    </row>
    <row r="200" ht="15.75" customHeight="1" s="56">
      <c r="A200" s="55" t="n">
        <v>46056</v>
      </c>
      <c r="B200" s="9" t="inlineStr">
        <is>
          <t>PC-02/2026-016</t>
        </is>
      </c>
      <c r="C200" s="9" t="inlineStr">
        <is>
          <t>nộp bản vẽ sáng 3/2</t>
        </is>
      </c>
      <c r="D200" s="9" t="inlineStr">
        <is>
          <t>Chi</t>
        </is>
      </c>
      <c r="E200" s="9" t="inlineStr">
        <is>
          <t>Chi quầy tiếp nhận</t>
        </is>
      </c>
      <c r="F200" s="9" t="inlineStr">
        <is>
          <t>Phòng Kế toán</t>
        </is>
      </c>
      <c r="G200" s="9" t="inlineStr">
        <is>
          <t>Chị Vân</t>
        </is>
      </c>
      <c r="H200" s="9" t="inlineStr">
        <is>
          <t>Tiền mặt</t>
        </is>
      </c>
      <c r="I200" s="9" t="n">
        <v>100000</v>
      </c>
    </row>
    <row r="201" ht="15.75" customHeight="1" s="56">
      <c r="A201" s="55" t="n">
        <v>46056</v>
      </c>
      <c r="B201" s="9" t="inlineStr">
        <is>
          <t>PC-02/2026-017</t>
        </is>
      </c>
      <c r="C201" s="9" t="inlineStr">
        <is>
          <t>Hồ Trọng Dũng (345)</t>
        </is>
      </c>
      <c r="D201" s="9" t="inlineStr">
        <is>
          <t>Chi</t>
        </is>
      </c>
      <c r="E201" s="9" t="inlineStr">
        <is>
          <t>Lấy bản vẽ</t>
        </is>
      </c>
      <c r="F201" s="9" t="inlineStr">
        <is>
          <t>Phòng Kế toán</t>
        </is>
      </c>
      <c r="G201" s="9" t="inlineStr">
        <is>
          <t>Chi nhánh số 2</t>
        </is>
      </c>
      <c r="H201" s="9" t="inlineStr">
        <is>
          <t>Chuyển khoản</t>
        </is>
      </c>
      <c r="I201" s="9" t="n">
        <v>97928</v>
      </c>
    </row>
    <row r="202" ht="15.75" customHeight="1" s="56">
      <c r="A202" s="55" t="n">
        <v>46056</v>
      </c>
      <c r="B202" s="9" t="inlineStr">
        <is>
          <t>PC-02/2026-018</t>
        </is>
      </c>
      <c r="C202" s="9" t="inlineStr">
        <is>
          <t>nộp bản vẽ chiều 3/2</t>
        </is>
      </c>
      <c r="D202" s="9" t="inlineStr">
        <is>
          <t>Chi</t>
        </is>
      </c>
      <c r="E202" s="9" t="inlineStr">
        <is>
          <t>Chi quầy tiếp nhận</t>
        </is>
      </c>
      <c r="F202" s="9" t="inlineStr">
        <is>
          <t>Phòng Kế toán</t>
        </is>
      </c>
      <c r="G202" s="9" t="inlineStr">
        <is>
          <t>Chị Vân</t>
        </is>
      </c>
      <c r="H202" s="9" t="inlineStr">
        <is>
          <t>Tiền mặt</t>
        </is>
      </c>
      <c r="I202" s="9" t="n">
        <v>100000</v>
      </c>
    </row>
    <row r="203" ht="15.75" customHeight="1" s="56">
      <c r="A203" s="55" t="n">
        <v>46056</v>
      </c>
      <c r="B203" s="9" t="inlineStr">
        <is>
          <t>PC-02/2026-019</t>
        </is>
      </c>
      <c r="C203" s="9" t="inlineStr">
        <is>
          <t>GIÁM ĐỐC NỘP QUỸ L2 THÁNG 2</t>
        </is>
      </c>
      <c r="D203" s="9" t="inlineStr">
        <is>
          <t>Thu</t>
        </is>
      </c>
      <c r="E203" s="9" t="inlineStr">
        <is>
          <t>Bổ sung quỹ</t>
        </is>
      </c>
      <c r="F203" s="9" t="inlineStr">
        <is>
          <t>Phòng Kế toán</t>
        </is>
      </c>
      <c r="G203" s="9" t="inlineStr">
        <is>
          <t>GIÁM ĐỐC</t>
        </is>
      </c>
      <c r="H203" s="9" t="inlineStr">
        <is>
          <t>Chuyển khoản</t>
        </is>
      </c>
      <c r="I203" s="9" t="n">
        <v>10000000</v>
      </c>
    </row>
    <row r="204" ht="15.75" customHeight="1" s="56">
      <c r="A204" s="55" t="n">
        <v>46056</v>
      </c>
      <c r="B204" s="9" t="inlineStr">
        <is>
          <t>PC-02/2026-020</t>
        </is>
      </c>
      <c r="C204" s="9" t="inlineStr">
        <is>
          <t>tiền cafe</t>
        </is>
      </c>
      <c r="D204" s="9" t="inlineStr">
        <is>
          <t>Chi</t>
        </is>
      </c>
      <c r="E204" s="9" t="inlineStr">
        <is>
          <t>Quầy nước- cà phê</t>
        </is>
      </c>
      <c r="F204" s="9" t="inlineStr">
        <is>
          <t>Phòng Kế toán</t>
        </is>
      </c>
      <c r="G204" s="9" t="inlineStr">
        <is>
          <t>Chị Nguyên</t>
        </is>
      </c>
      <c r="H204" s="9" t="inlineStr">
        <is>
          <t>Chuyển khoản</t>
        </is>
      </c>
      <c r="I204" s="9" t="n">
        <v>2240000</v>
      </c>
    </row>
    <row r="205" ht="15.75" customHeight="1" s="56">
      <c r="A205" s="55" t="n">
        <v>46056</v>
      </c>
      <c r="B205" s="9" t="inlineStr">
        <is>
          <t>PC-02/2026-021</t>
        </is>
      </c>
      <c r="C205" s="9" t="inlineStr">
        <is>
          <t>khăn giấy</t>
        </is>
      </c>
      <c r="D205" s="9" t="inlineStr">
        <is>
          <t>Chi</t>
        </is>
      </c>
      <c r="E205" s="9" t="inlineStr">
        <is>
          <t>Văn phòng phẩm</t>
        </is>
      </c>
      <c r="F205" s="9" t="inlineStr">
        <is>
          <t>Phòng Kế toán</t>
        </is>
      </c>
      <c r="G205" s="9" t="inlineStr">
        <is>
          <t>shipper</t>
        </is>
      </c>
      <c r="H205" s="9" t="inlineStr">
        <is>
          <t>Chuyển khoản</t>
        </is>
      </c>
      <c r="I205" s="9" t="n">
        <v>229000</v>
      </c>
    </row>
    <row r="206" ht="15.75" customHeight="1" s="56">
      <c r="A206" s="55" t="n">
        <v>46055</v>
      </c>
      <c r="B206" s="9" t="inlineStr">
        <is>
          <t>PC-02/2026-001</t>
        </is>
      </c>
      <c r="C206" s="9" t="inlineStr">
        <is>
          <t>031/BK-2026	Trần Đình Sỹ Tấn</t>
        </is>
      </c>
      <c r="D206" s="9" t="inlineStr">
        <is>
          <t>Chi</t>
        </is>
      </c>
      <c r="E206" s="9" t="inlineStr">
        <is>
          <t>Chi thụ lý bản vẽ</t>
        </is>
      </c>
      <c r="F206" s="9" t="inlineStr">
        <is>
          <t>Phòng Kế toán</t>
        </is>
      </c>
      <c r="G206" s="9" t="inlineStr">
        <is>
          <t>Anh Xuất</t>
        </is>
      </c>
      <c r="H206" s="9" t="inlineStr">
        <is>
          <t>Tiền mặt</t>
        </is>
      </c>
      <c r="I206" s="9" t="n">
        <v>1500000</v>
      </c>
    </row>
    <row r="207" ht="15.75" customHeight="1" s="56">
      <c r="A207" s="55" t="n">
        <v>46055</v>
      </c>
      <c r="B207" s="9" t="inlineStr">
        <is>
          <t>PC-02/2026-002</t>
        </is>
      </c>
      <c r="C207" s="9" t="inlineStr">
        <is>
          <t>gửi bv bv Trần Đình Sỹ Tấn</t>
        </is>
      </c>
      <c r="D207" s="9" t="inlineStr">
        <is>
          <t>Chi</t>
        </is>
      </c>
      <c r="E207" s="9" t="inlineStr">
        <is>
          <t>Chi bảo vệ</t>
        </is>
      </c>
      <c r="F207" s="9" t="inlineStr">
        <is>
          <t>Phòng Kế toán</t>
        </is>
      </c>
      <c r="G207" s="9" t="inlineStr">
        <is>
          <t>bảo vệ</t>
        </is>
      </c>
      <c r="H207" s="9" t="inlineStr">
        <is>
          <t>Tiền mặt</t>
        </is>
      </c>
      <c r="I207" s="9" t="n">
        <v>50000</v>
      </c>
    </row>
    <row r="208" ht="15.75" customHeight="1" s="56">
      <c r="A208" s="55" t="n">
        <v>46055</v>
      </c>
      <c r="B208" s="9" t="inlineStr">
        <is>
          <t>PC-02/2026-003</t>
        </is>
      </c>
      <c r="C208" s="9" t="inlineStr">
        <is>
          <t>dưa hấu</t>
        </is>
      </c>
      <c r="D208" s="9" t="inlineStr">
        <is>
          <t>Chi</t>
        </is>
      </c>
      <c r="E208" s="9" t="inlineStr">
        <is>
          <t>Sinh hoạt gia đình</t>
        </is>
      </c>
      <c r="F208" s="9" t="inlineStr">
        <is>
          <t>Phòng Kế toán</t>
        </is>
      </c>
      <c r="G208" s="9" t="inlineStr">
        <is>
          <t>Hằng</t>
        </is>
      </c>
      <c r="H208" s="9" t="inlineStr">
        <is>
          <t>Tiền mặt</t>
        </is>
      </c>
      <c r="I208" s="9" t="n">
        <v>50000</v>
      </c>
    </row>
    <row r="209" ht="15.75" customHeight="1" s="56">
      <c r="A209" s="55" t="n">
        <v>46055</v>
      </c>
      <c r="B209" s="9" t="inlineStr">
        <is>
          <t>PC-02/2026-004</t>
        </is>
      </c>
      <c r="C209" s="9" t="inlineStr">
        <is>
          <t>bông cúc</t>
        </is>
      </c>
      <c r="D209" s="9" t="inlineStr">
        <is>
          <t>Chi</t>
        </is>
      </c>
      <c r="E209" s="9" t="inlineStr">
        <is>
          <t>Sinh hoạt gia đình</t>
        </is>
      </c>
      <c r="F209" s="9" t="inlineStr">
        <is>
          <t>Phòng Kế toán</t>
        </is>
      </c>
      <c r="G209" s="9" t="inlineStr">
        <is>
          <t>Hằng</t>
        </is>
      </c>
      <c r="H209" s="9" t="inlineStr">
        <is>
          <t>Tiền mặt</t>
        </is>
      </c>
      <c r="I209" s="9" t="n">
        <v>45000</v>
      </c>
    </row>
    <row r="210" ht="15.75" customHeight="1" s="56">
      <c r="A210" s="55" t="n">
        <v>46055</v>
      </c>
      <c r="B210" s="9" t="inlineStr">
        <is>
          <t>PC-02/2026-005</t>
        </is>
      </c>
      <c r="C210" s="9" t="inlineStr">
        <is>
          <t>nộp hs Nguyễn Trần Ngọc Khoa</t>
        </is>
      </c>
      <c r="D210" s="9" t="inlineStr">
        <is>
          <t>Chi</t>
        </is>
      </c>
      <c r="E210" s="9" t="inlineStr">
        <is>
          <t>Chi quầy tiếp nhận</t>
        </is>
      </c>
      <c r="F210" s="9" t="inlineStr">
        <is>
          <t>Phòng Kế toán</t>
        </is>
      </c>
      <c r="G210" s="9" t="inlineStr">
        <is>
          <t>quầy tiếp nhận</t>
        </is>
      </c>
      <c r="H210" s="9" t="inlineStr">
        <is>
          <t>Tiền mặt</t>
        </is>
      </c>
      <c r="I210" s="9" t="n">
        <v>100000</v>
      </c>
    </row>
    <row r="211" ht="15.75" customHeight="1" s="56">
      <c r="A211" s="55" t="n">
        <v>46055</v>
      </c>
      <c r="B211" s="9" t="inlineStr">
        <is>
          <t>PC-02/2026-006</t>
        </is>
      </c>
      <c r="C211" s="9" t="inlineStr">
        <is>
          <t>028/BK-2026	Phạm Hồng Sỹ</t>
        </is>
      </c>
      <c r="D211" s="9" t="inlineStr">
        <is>
          <t>Chi</t>
        </is>
      </c>
      <c r="E211" s="9" t="inlineStr">
        <is>
          <t>Chi thụ lý bản vẽ</t>
        </is>
      </c>
      <c r="F211" s="9" t="inlineStr">
        <is>
          <t>Phòng Kế toán</t>
        </is>
      </c>
      <c r="G211" s="9" t="inlineStr">
        <is>
          <t>Anh Công Trưởng</t>
        </is>
      </c>
      <c r="H211" s="9" t="inlineStr">
        <is>
          <t>Tiền mặt</t>
        </is>
      </c>
      <c r="I211" s="9" t="n">
        <v>1500000</v>
      </c>
    </row>
    <row r="212" ht="15.75" customHeight="1" s="56">
      <c r="A212" s="55" t="n">
        <v>46055</v>
      </c>
      <c r="B212" s="9" t="inlineStr">
        <is>
          <t>PC-02/2026-007</t>
        </is>
      </c>
      <c r="C212" s="9" t="inlineStr">
        <is>
          <t>gửi bv bv Phạm Hồng Sỹ</t>
        </is>
      </c>
      <c r="D212" s="9" t="inlineStr">
        <is>
          <t>Chi</t>
        </is>
      </c>
      <c r="E212" s="9" t="inlineStr">
        <is>
          <t>Chi bảo vệ</t>
        </is>
      </c>
      <c r="F212" s="9" t="inlineStr">
        <is>
          <t>Phòng Kế toán</t>
        </is>
      </c>
      <c r="G212" s="9" t="inlineStr">
        <is>
          <t>bảo vệ</t>
        </is>
      </c>
      <c r="H212" s="9" t="inlineStr">
        <is>
          <t>Tiền mặt</t>
        </is>
      </c>
      <c r="I212" s="9" t="n">
        <v>50000</v>
      </c>
    </row>
    <row r="213" ht="15.75" customHeight="1" s="56">
      <c r="A213" s="55" t="n">
        <v>46055</v>
      </c>
      <c r="B213" s="9" t="inlineStr">
        <is>
          <t>PC-02/2026-008</t>
        </is>
      </c>
      <c r="C213" s="9" t="inlineStr">
        <is>
          <t>GIÁM ĐỐC NỘP QUỸ L1 THÁNG 2</t>
        </is>
      </c>
      <c r="D213" s="9" t="inlineStr">
        <is>
          <t>Thu</t>
        </is>
      </c>
      <c r="E213" s="9" t="inlineStr">
        <is>
          <t>Bổ sung quỹ</t>
        </is>
      </c>
      <c r="F213" s="9" t="inlineStr">
        <is>
          <t>Phòng Kế toán</t>
        </is>
      </c>
      <c r="G213" s="9" t="inlineStr">
        <is>
          <t>GIÁM ĐỐC</t>
        </is>
      </c>
      <c r="H213" s="9" t="inlineStr">
        <is>
          <t>Tiền mặt</t>
        </is>
      </c>
      <c r="I213" s="9" t="n">
        <v>10000000</v>
      </c>
    </row>
    <row r="214" ht="15.75" customHeight="1" s="56">
      <c r="A214" s="55" t="n">
        <v>46055</v>
      </c>
      <c r="B214" s="9" t="inlineStr">
        <is>
          <t>PC-02/2026-009</t>
        </is>
      </c>
      <c r="C214" s="9" t="inlineStr">
        <is>
          <t>Đinh Văn Hòa (058)</t>
        </is>
      </c>
      <c r="D214" s="9" t="inlineStr">
        <is>
          <t>Chi</t>
        </is>
      </c>
      <c r="E214" s="9" t="inlineStr">
        <is>
          <t>Lấy bản vẽ</t>
        </is>
      </c>
      <c r="F214" s="9" t="inlineStr">
        <is>
          <t>Phòng Kế toán</t>
        </is>
      </c>
      <c r="G214" s="9" t="inlineStr">
        <is>
          <t>Chi nhánh số 2</t>
        </is>
      </c>
      <c r="H214" s="9" t="inlineStr">
        <is>
          <t>Chuyển khoản</t>
        </is>
      </c>
      <c r="I214" s="9" t="n">
        <v>60500</v>
      </c>
    </row>
    <row r="215" ht="15.75" customHeight="1" s="56">
      <c r="A215" s="55" t="n">
        <v>46055</v>
      </c>
      <c r="B215" s="9" t="inlineStr">
        <is>
          <t>PC-02/2026-010</t>
        </is>
      </c>
      <c r="C215" s="9" t="inlineStr">
        <is>
          <t>Chu Trần Trọng (334)</t>
        </is>
      </c>
      <c r="D215" s="9" t="inlineStr">
        <is>
          <t>Chi</t>
        </is>
      </c>
      <c r="E215" s="9" t="inlineStr">
        <is>
          <t>Lấy bản vẽ</t>
        </is>
      </c>
      <c r="F215" s="9" t="inlineStr">
        <is>
          <t>Phòng Kế toán</t>
        </is>
      </c>
      <c r="G215" s="9" t="inlineStr">
        <is>
          <t>Chi nhánh số 2</t>
        </is>
      </c>
      <c r="H215" s="9" t="inlineStr">
        <is>
          <t>Chuyển khoản</t>
        </is>
      </c>
      <c r="I215" s="9" t="n">
        <v>60500</v>
      </c>
    </row>
    <row r="216" ht="15.75" customHeight="1" s="56">
      <c r="A216" s="55" t="n">
        <v>46055</v>
      </c>
      <c r="B216" s="9" t="inlineStr">
        <is>
          <t>PC-02/2026-011</t>
        </is>
      </c>
      <c r="C216" s="9" t="inlineStr">
        <is>
          <t>gửi chị Vân lấy bản vẽ</t>
        </is>
      </c>
      <c r="D216" s="9" t="inlineStr">
        <is>
          <t>Chi</t>
        </is>
      </c>
      <c r="E216" s="9" t="inlineStr">
        <is>
          <t>Chi quầy tiếp nhận</t>
        </is>
      </c>
      <c r="F216" s="9" t="inlineStr">
        <is>
          <t>Phòng Kế toán</t>
        </is>
      </c>
      <c r="G216" s="9" t="inlineStr">
        <is>
          <t>Chị Vân</t>
        </is>
      </c>
      <c r="H216" s="9" t="inlineStr">
        <is>
          <t>Tiền mặt</t>
        </is>
      </c>
      <c r="I216" s="9" t="n">
        <v>100000</v>
      </c>
    </row>
    <row r="217" ht="15.75" customHeight="1" s="56">
      <c r="A217" s="55" t="n">
        <v>46055</v>
      </c>
      <c r="B217" s="9" t="inlineStr">
        <is>
          <t>PC-02/2026-012</t>
        </is>
      </c>
      <c r="C217" s="9" t="inlineStr">
        <is>
          <t>làm đơn rút hs tách thửa Trần Thị Ngọc Dung</t>
        </is>
      </c>
      <c r="D217" s="9" t="inlineStr">
        <is>
          <t>Chi</t>
        </is>
      </c>
      <c r="E217" s="9" t="inlineStr">
        <is>
          <t>Chi quầy tiếp nhận</t>
        </is>
      </c>
      <c r="F217" s="9" t="inlineStr">
        <is>
          <t>Phòng Kế toán</t>
        </is>
      </c>
      <c r="G217" s="9" t="inlineStr">
        <is>
          <t>quầy tiếp nhận</t>
        </is>
      </c>
      <c r="H217" s="9" t="inlineStr">
        <is>
          <t>Tiền mặt</t>
        </is>
      </c>
      <c r="I217" s="9" t="n">
        <v>100000</v>
      </c>
    </row>
    <row r="218" ht="15.75" customHeight="1" s="56">
      <c r="A218" s="55" t="n">
        <v>46055</v>
      </c>
      <c r="B218" s="9" t="inlineStr">
        <is>
          <t>PC-02/2026-013</t>
        </is>
      </c>
      <c r="C218" s="9" t="inlineStr">
        <is>
          <t>gửi chị trâm làm phi NN sổ Hồ Trọng Dũng</t>
        </is>
      </c>
      <c r="D218" s="9" t="inlineStr">
        <is>
          <t>Chi</t>
        </is>
      </c>
      <c r="E218" s="9" t="inlineStr">
        <is>
          <t>Đóng thuế</t>
        </is>
      </c>
      <c r="F218" s="9" t="inlineStr">
        <is>
          <t>Phòng Kế toán</t>
        </is>
      </c>
      <c r="G218" s="9" t="inlineStr">
        <is>
          <t>Chị Trâm</t>
        </is>
      </c>
      <c r="H218" s="9" t="inlineStr">
        <is>
          <t>Tiền mặt</t>
        </is>
      </c>
      <c r="I218" s="9" t="n">
        <v>300000</v>
      </c>
    </row>
    <row r="219" ht="15.75" customHeight="1" s="56">
      <c r="A219" s="55" t="n">
        <v>46055</v>
      </c>
      <c r="B219" s="9" t="inlineStr">
        <is>
          <t>PC-02/2026-014</t>
        </is>
      </c>
      <c r="C219" s="9" t="inlineStr">
        <is>
          <t>gửi bản vẽ Chu Trần Trọng</t>
        </is>
      </c>
      <c r="D219" s="9" t="inlineStr">
        <is>
          <t>Chi</t>
        </is>
      </c>
      <c r="E219" s="9" t="inlineStr">
        <is>
          <t>Chuyển phát - Bưu chính-Grap</t>
        </is>
      </c>
      <c r="F219" s="9" t="inlineStr">
        <is>
          <t>Phòng Kế toán</t>
        </is>
      </c>
      <c r="G219" s="9" t="inlineStr">
        <is>
          <t>Anh Trọng</t>
        </is>
      </c>
      <c r="H219" s="9" t="inlineStr">
        <is>
          <t>Chuyển khoản</t>
        </is>
      </c>
      <c r="I219" s="9" t="n">
        <v>50000</v>
      </c>
    </row>
    <row r="220" ht="15.75" customHeight="1" s="56">
      <c r="A220" s="55" t="n">
        <v>46055</v>
      </c>
      <c r="B220" s="9" t="inlineStr">
        <is>
          <t>PC-02/2026-015</t>
        </is>
      </c>
      <c r="C220" s="9" t="inlineStr">
        <is>
          <t>tiền dọn vệ sinh tháng 1</t>
        </is>
      </c>
      <c r="D220" s="9" t="inlineStr">
        <is>
          <t>Chi</t>
        </is>
      </c>
      <c r="E220" s="9" t="inlineStr">
        <is>
          <t>Vệ sinh - Rác thải</t>
        </is>
      </c>
      <c r="F220" s="9" t="inlineStr">
        <is>
          <t>Phòng Kế toán</t>
        </is>
      </c>
      <c r="G220" s="9" t="inlineStr">
        <is>
          <t>Gia Phát</t>
        </is>
      </c>
      <c r="H220" s="9" t="inlineStr">
        <is>
          <t>Chuyển khoản</t>
        </is>
      </c>
      <c r="I220" s="9" t="n">
        <v>1280000</v>
      </c>
    </row>
    <row r="221" ht="15.75" customHeight="1" s="56">
      <c r="A221" s="55" t="n">
        <v>46053</v>
      </c>
      <c r="B221" s="9" t="inlineStr">
        <is>
          <t>PC-01/2026-339</t>
        </is>
      </c>
      <c r="C221" s="9" t="inlineStr">
        <is>
          <t>trái cây 31/1</t>
        </is>
      </c>
      <c r="D221" s="9" t="inlineStr">
        <is>
          <t>Chi</t>
        </is>
      </c>
      <c r="E221" s="9" t="inlineStr">
        <is>
          <t>Sinh hoạt gia đình</t>
        </is>
      </c>
      <c r="F221" s="9" t="inlineStr">
        <is>
          <t>Phòng Kế toán</t>
        </is>
      </c>
      <c r="G221" s="9" t="inlineStr">
        <is>
          <t>Hằng</t>
        </is>
      </c>
      <c r="H221" s="9" t="inlineStr">
        <is>
          <t>Tiền mặt</t>
        </is>
      </c>
      <c r="I221" s="9" t="n">
        <v>140000</v>
      </c>
    </row>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ColWidth="14.43" defaultRowHeight="15" customHeight="1"/>
  <cols>
    <col width="18" customWidth="1" style="56" min="1" max="3"/>
    <col width="22" customWidth="1" style="56" min="4" max="9"/>
    <col width="8.710000000000001" customWidth="1" style="56" min="10" max="26"/>
  </cols>
  <sheetData>
    <row r="1">
      <c r="A1" s="22" t="inlineStr">
        <is>
          <t>Tháng</t>
        </is>
      </c>
      <c r="B1" s="22" t="inlineStr">
        <is>
          <t>Nhân sự</t>
        </is>
      </c>
      <c r="C1" s="22" t="inlineStr">
        <is>
          <t>Mã hợp đồng cũ</t>
        </is>
      </c>
      <c r="D1" s="22" t="inlineStr">
        <is>
          <t>Mã hồ sơ mới</t>
        </is>
      </c>
      <c r="E1" s="22" t="inlineStr">
        <is>
          <t>Công đoạn</t>
        </is>
      </c>
      <c r="F1" s="22" t="inlineStr">
        <is>
          <t>Khoán</t>
        </is>
      </c>
      <c r="G1" s="22" t="inlineStr">
        <is>
          <t>Phụ cấp</t>
        </is>
      </c>
      <c r="H1" s="22" t="inlineStr">
        <is>
          <t>Thưởng/Phạt</t>
        </is>
      </c>
      <c r="I1" s="22" t="inlineStr">
        <is>
          <t>Ngày chốt</t>
        </is>
      </c>
    </row>
    <row r="2">
      <c r="A2" s="55" t="n">
        <v>46082</v>
      </c>
      <c r="B2" s="9" t="inlineStr">
        <is>
          <t>Lê Văn Dựng</t>
        </is>
      </c>
      <c r="C2" s="9" t="inlineStr">
        <is>
          <t>098/BK-2026</t>
        </is>
      </c>
      <c r="D2" s="9" t="inlineStr">
        <is>
          <t>BK-HS-0030</t>
        </is>
      </c>
      <c r="E2" s="9" t="inlineStr">
        <is>
          <t>Cắm mốc</t>
        </is>
      </c>
      <c r="F2" s="9" t="n">
        <v>1200000</v>
      </c>
      <c r="G2" s="9" t="n">
        <v>0</v>
      </c>
      <c r="H2" s="9" t="n">
        <v>0</v>
      </c>
      <c r="I2" s="55" t="n">
        <v>46085</v>
      </c>
    </row>
    <row r="3">
      <c r="A3" s="55" t="n">
        <v>46082</v>
      </c>
      <c r="B3" s="9" t="inlineStr">
        <is>
          <t>Lê Văn Dựng</t>
        </is>
      </c>
      <c r="C3" s="9" t="inlineStr">
        <is>
          <t>101/BK-2026</t>
        </is>
      </c>
      <c r="D3" s="9" t="inlineStr">
        <is>
          <t>BK-HS-0027</t>
        </is>
      </c>
      <c r="E3" s="9" t="inlineStr">
        <is>
          <t>Xác định diện tích</t>
        </is>
      </c>
      <c r="F3" s="9" t="n">
        <v>700000</v>
      </c>
      <c r="G3" s="9" t="n">
        <v>0</v>
      </c>
      <c r="H3" s="9" t="n">
        <v>0</v>
      </c>
      <c r="I3" s="55" t="n">
        <v>46086</v>
      </c>
    </row>
    <row r="4">
      <c r="A4" s="55" t="n">
        <v>46082</v>
      </c>
      <c r="B4" s="9" t="inlineStr">
        <is>
          <t>Lê Văn Dựng</t>
        </is>
      </c>
      <c r="C4" s="9" t="inlineStr">
        <is>
          <t>103/BK-2026</t>
        </is>
      </c>
      <c r="D4" s="9" t="inlineStr">
        <is>
          <t>BK-HS-0025</t>
        </is>
      </c>
      <c r="E4" s="9" t="inlineStr">
        <is>
          <t>Cắm mốc</t>
        </is>
      </c>
      <c r="F4" s="9" t="n">
        <v>1200000</v>
      </c>
      <c r="G4" s="9" t="n">
        <v>0</v>
      </c>
      <c r="H4" s="9" t="n">
        <v>0</v>
      </c>
      <c r="I4" s="55" t="n">
        <v>46086</v>
      </c>
    </row>
    <row r="5">
      <c r="A5" s="55" t="n">
        <v>46082</v>
      </c>
      <c r="B5" s="9" t="inlineStr">
        <is>
          <t>Lê Văn Dựng</t>
        </is>
      </c>
      <c r="C5" s="9" t="inlineStr">
        <is>
          <t>105/BK-2026</t>
        </is>
      </c>
      <c r="D5" s="9" t="inlineStr">
        <is>
          <t>BK-HS-0023</t>
        </is>
      </c>
      <c r="E5" s="9" t="inlineStr">
        <is>
          <t>Cắm mốc</t>
        </is>
      </c>
      <c r="F5" s="9" t="n">
        <v>1200000</v>
      </c>
      <c r="G5" s="9" t="n">
        <v>300000</v>
      </c>
      <c r="H5" s="9" t="n">
        <v>0</v>
      </c>
      <c r="I5" s="55" t="n">
        <v>46086</v>
      </c>
    </row>
    <row r="6">
      <c r="A6" s="55" t="n">
        <v>46082</v>
      </c>
      <c r="B6" s="9" t="inlineStr">
        <is>
          <t>Lê Văn Dựng</t>
        </is>
      </c>
      <c r="C6" s="9" t="inlineStr">
        <is>
          <t>109/BK-2026</t>
        </is>
      </c>
      <c r="D6" s="9" t="inlineStr">
        <is>
          <t>BK-HS-0019</t>
        </is>
      </c>
      <c r="E6" s="9" t="inlineStr">
        <is>
          <t>Đo GPS</t>
        </is>
      </c>
      <c r="F6" s="9" t="n">
        <v>1200000</v>
      </c>
      <c r="G6" s="9" t="n">
        <v>0</v>
      </c>
      <c r="H6" s="9" t="n">
        <v>0</v>
      </c>
      <c r="I6" s="55" t="n">
        <v>46090</v>
      </c>
    </row>
    <row r="7">
      <c r="A7" s="55" t="n">
        <v>46082</v>
      </c>
      <c r="B7" s="9" t="inlineStr">
        <is>
          <t>Lê Văn Dựng</t>
        </is>
      </c>
      <c r="C7" s="9" t="inlineStr">
        <is>
          <t>108/BK-2026</t>
        </is>
      </c>
      <c r="D7" s="9" t="inlineStr">
        <is>
          <t>BK-HS-0020</t>
        </is>
      </c>
      <c r="E7" s="9" t="inlineStr">
        <is>
          <t>Cấp đổi</t>
        </is>
      </c>
      <c r="F7" s="9" t="n">
        <v>1100000</v>
      </c>
      <c r="G7" s="9" t="n">
        <v>0</v>
      </c>
      <c r="H7" s="9" t="n">
        <v>300000</v>
      </c>
      <c r="I7" s="55" t="n">
        <v>46091</v>
      </c>
    </row>
    <row r="8">
      <c r="A8" s="55" t="n">
        <v>46082</v>
      </c>
      <c r="B8" s="9" t="inlineStr">
        <is>
          <t>Lê Văn Dựng</t>
        </is>
      </c>
      <c r="C8" s="9" t="inlineStr">
        <is>
          <t>111/BK-2026</t>
        </is>
      </c>
      <c r="D8" s="9" t="inlineStr">
        <is>
          <t>BK-HS-0017</t>
        </is>
      </c>
      <c r="E8" s="9" t="inlineStr">
        <is>
          <t>Đo GPS</t>
        </is>
      </c>
      <c r="F8" s="9" t="n">
        <v>1200000</v>
      </c>
      <c r="G8" s="9" t="n">
        <v>0</v>
      </c>
      <c r="H8" s="9" t="n">
        <v>0</v>
      </c>
      <c r="I8" s="55" t="n">
        <v>46091</v>
      </c>
    </row>
    <row r="9">
      <c r="A9" s="55" t="n">
        <v>46082</v>
      </c>
      <c r="B9" s="9" t="inlineStr">
        <is>
          <t>Lê Văn Dựng</t>
        </is>
      </c>
      <c r="C9" s="9" t="inlineStr">
        <is>
          <t>112/BK-2026</t>
        </is>
      </c>
      <c r="D9" s="9" t="inlineStr">
        <is>
          <t>BK-HS-0016</t>
        </is>
      </c>
      <c r="E9" s="9" t="inlineStr">
        <is>
          <t>Xác định diện tích</t>
        </is>
      </c>
      <c r="F9" s="9" t="n">
        <v>700000</v>
      </c>
      <c r="G9" s="9" t="n">
        <v>0</v>
      </c>
      <c r="H9" s="9" t="n">
        <v>0</v>
      </c>
      <c r="I9" s="55" t="n">
        <v>46091</v>
      </c>
    </row>
    <row r="10">
      <c r="A10" s="55" t="n">
        <v>46082</v>
      </c>
      <c r="B10" s="9" t="inlineStr">
        <is>
          <t>Lê Văn Dựng</t>
        </is>
      </c>
      <c r="C10" s="9" t="inlineStr">
        <is>
          <t>113/BK-2026</t>
        </is>
      </c>
      <c r="D10" s="9" t="inlineStr">
        <is>
          <t>BK-HS-0015</t>
        </is>
      </c>
      <c r="E10" s="9" t="inlineStr">
        <is>
          <t>Xác định diện tích</t>
        </is>
      </c>
      <c r="F10" s="9" t="n">
        <v>700000</v>
      </c>
      <c r="G10" s="9" t="n">
        <v>0</v>
      </c>
      <c r="H10" s="9" t="n">
        <v>0</v>
      </c>
      <c r="I10" s="55" t="n">
        <v>46091</v>
      </c>
    </row>
    <row r="11">
      <c r="A11" s="55" t="n">
        <v>46082</v>
      </c>
      <c r="B11" s="9" t="inlineStr">
        <is>
          <t>Lê Văn Dựng</t>
        </is>
      </c>
      <c r="C11" s="9" t="inlineStr">
        <is>
          <t>653/BK-2025</t>
        </is>
      </c>
      <c r="D11" s="9" t="inlineStr">
        <is>
          <t>BK-HS-0167</t>
        </is>
      </c>
      <c r="E11" s="9" t="inlineStr">
        <is>
          <t>Hoàn công</t>
        </is>
      </c>
      <c r="F11" s="9" t="n">
        <v>1100000</v>
      </c>
      <c r="G11" s="9" t="n">
        <v>0</v>
      </c>
      <c r="H11" s="9" t="n">
        <v>0</v>
      </c>
      <c r="I11" s="55" t="n">
        <v>46092</v>
      </c>
    </row>
    <row r="12">
      <c r="A12" s="55" t="n">
        <v>46054</v>
      </c>
      <c r="B12" s="9" t="inlineStr">
        <is>
          <t>Lê Văn Dựng</t>
        </is>
      </c>
      <c r="C12" s="9" t="inlineStr">
        <is>
          <t>053/BK-2026</t>
        </is>
      </c>
      <c r="D12" s="9" t="inlineStr">
        <is>
          <t>BK-HS-0076</t>
        </is>
      </c>
      <c r="E12" s="9" t="inlineStr">
        <is>
          <t>Cấp đổi</t>
        </is>
      </c>
      <c r="F12" s="9" t="n">
        <v>1100000</v>
      </c>
      <c r="G12" s="9" t="n">
        <v>0</v>
      </c>
      <c r="H12" s="9" t="n">
        <v>0</v>
      </c>
      <c r="I12" s="55" t="n">
        <v>46056</v>
      </c>
    </row>
    <row r="13">
      <c r="A13" s="55" t="n">
        <v>46054</v>
      </c>
      <c r="B13" s="9" t="inlineStr">
        <is>
          <t>Lê Văn Dựng</t>
        </is>
      </c>
      <c r="C13" s="9" t="inlineStr">
        <is>
          <t>076/BK-2026</t>
        </is>
      </c>
      <c r="D13" s="9" t="inlineStr">
        <is>
          <t>BK-HS-0052</t>
        </is>
      </c>
      <c r="E13" s="9" t="inlineStr">
        <is>
          <t>Xác định diện tích</t>
        </is>
      </c>
      <c r="F13" s="9" t="n">
        <v>700000</v>
      </c>
      <c r="G13" s="9" t="n">
        <v>0</v>
      </c>
      <c r="H13" s="9" t="n">
        <v>0</v>
      </c>
      <c r="I13" s="55" t="n">
        <v>46056</v>
      </c>
    </row>
    <row r="14">
      <c r="A14" s="55" t="n">
        <v>46054</v>
      </c>
      <c r="B14" s="9" t="inlineStr">
        <is>
          <t>Lê Văn Dựng</t>
        </is>
      </c>
      <c r="C14" s="9" t="inlineStr">
        <is>
          <t>077/BK-2026</t>
        </is>
      </c>
      <c r="D14" s="9" t="inlineStr">
        <is>
          <t>BK-HS-0051</t>
        </is>
      </c>
      <c r="E14" s="9" t="inlineStr">
        <is>
          <t>Xác định diện tích</t>
        </is>
      </c>
      <c r="F14" s="9" t="n">
        <v>700000</v>
      </c>
      <c r="G14" s="9" t="n">
        <v>0</v>
      </c>
      <c r="H14" s="9" t="n">
        <v>0</v>
      </c>
      <c r="I14" s="55" t="n">
        <v>46056</v>
      </c>
    </row>
    <row r="15">
      <c r="A15" s="55" t="n">
        <v>46054</v>
      </c>
      <c r="B15" s="9" t="inlineStr">
        <is>
          <t>Lê Văn Dựng</t>
        </is>
      </c>
      <c r="C15" s="9" t="inlineStr">
        <is>
          <t>093/BK-2026</t>
        </is>
      </c>
      <c r="D15" s="9" t="inlineStr">
        <is>
          <t>BK-HS-0035</t>
        </is>
      </c>
      <c r="E15" s="9" t="inlineStr">
        <is>
          <t>Cắm mốc</t>
        </is>
      </c>
      <c r="F15" s="9" t="n">
        <v>1200000</v>
      </c>
      <c r="G15" s="9" t="n">
        <v>0</v>
      </c>
      <c r="H15" s="9" t="n">
        <v>0</v>
      </c>
      <c r="I15" s="55" t="n">
        <v>46081</v>
      </c>
    </row>
    <row r="16">
      <c r="A16" s="55" t="n">
        <v>46023</v>
      </c>
      <c r="B16" s="9" t="inlineStr">
        <is>
          <t>Lê Văn Dựng</t>
        </is>
      </c>
      <c r="C16" s="9" t="inlineStr">
        <is>
          <t>676/BK-2025</t>
        </is>
      </c>
      <c r="D16" s="9" t="inlineStr">
        <is>
          <t>BK-HS-0132</t>
        </is>
      </c>
      <c r="E16" s="9" t="inlineStr">
        <is>
          <t>Cấp đổi</t>
        </is>
      </c>
      <c r="F16" s="9" t="n">
        <v>1100000</v>
      </c>
      <c r="G16" s="9" t="n">
        <v>0</v>
      </c>
      <c r="H16" s="9" t="n">
        <v>0</v>
      </c>
      <c r="I16" s="55" t="n">
        <v>46029</v>
      </c>
    </row>
    <row r="17">
      <c r="A17" s="55" t="n">
        <v>46023</v>
      </c>
      <c r="B17" s="9" t="inlineStr">
        <is>
          <t>Lê Văn Dựng</t>
        </is>
      </c>
      <c r="C17" s="9" t="inlineStr">
        <is>
          <t>002/BK-2026</t>
        </is>
      </c>
      <c r="D17" s="9" t="inlineStr">
        <is>
          <t>BK-HS-0127</t>
        </is>
      </c>
      <c r="E17" s="9" t="inlineStr">
        <is>
          <t>Cắm mốc</t>
        </is>
      </c>
      <c r="F17" s="9" t="n">
        <v>1200000</v>
      </c>
      <c r="G17" s="9" t="n">
        <v>350000</v>
      </c>
      <c r="H17" s="9" t="n">
        <v>0</v>
      </c>
      <c r="I17" s="55" t="n">
        <v>46028</v>
      </c>
    </row>
    <row r="18">
      <c r="A18" s="55" t="n">
        <v>46023</v>
      </c>
      <c r="B18" s="9" t="inlineStr">
        <is>
          <t>Lê Văn Dựng</t>
        </is>
      </c>
      <c r="C18" s="9" t="inlineStr">
        <is>
          <t>003/BK-2026</t>
        </is>
      </c>
      <c r="D18" s="9" t="inlineStr">
        <is>
          <t>BK-HS-0126</t>
        </is>
      </c>
      <c r="E18" s="9" t="inlineStr">
        <is>
          <t>Đo GPS</t>
        </is>
      </c>
      <c r="F18" s="9" t="n">
        <v>1200000</v>
      </c>
      <c r="G18" s="9" t="n">
        <v>0</v>
      </c>
      <c r="H18" s="9" t="n">
        <v>0</v>
      </c>
      <c r="I18" s="55" t="n">
        <v>46029</v>
      </c>
    </row>
    <row r="19">
      <c r="A19" s="55" t="n">
        <v>46023</v>
      </c>
      <c r="B19" s="9" t="inlineStr">
        <is>
          <t>Lê Văn Dựng</t>
        </is>
      </c>
      <c r="C19" s="9" t="inlineStr">
        <is>
          <t>008/BK-2026</t>
        </is>
      </c>
      <c r="D19" s="9" t="inlineStr">
        <is>
          <t>BK-HS-0120</t>
        </is>
      </c>
      <c r="E19" s="9" t="inlineStr">
        <is>
          <t>Cắm mốc</t>
        </is>
      </c>
      <c r="F19" s="9" t="n">
        <v>1200000</v>
      </c>
      <c r="G19" s="9" t="n">
        <v>350000</v>
      </c>
      <c r="H19" s="9" t="n">
        <v>0</v>
      </c>
      <c r="I19" s="55" t="n">
        <v>46029</v>
      </c>
    </row>
    <row r="20">
      <c r="A20" s="55" t="n">
        <v>46023</v>
      </c>
      <c r="B20" s="9" t="inlineStr">
        <is>
          <t>Lê Văn Dựng</t>
        </is>
      </c>
      <c r="C20" s="9" t="inlineStr">
        <is>
          <t>014/BK-2026</t>
        </is>
      </c>
      <c r="D20" s="9" t="inlineStr">
        <is>
          <t>BK-HS-0117</t>
        </is>
      </c>
      <c r="E20" s="9" t="inlineStr">
        <is>
          <t>Đo GPS</t>
        </is>
      </c>
      <c r="F20" s="9" t="n">
        <v>1200000</v>
      </c>
      <c r="G20" s="9" t="n">
        <v>0</v>
      </c>
      <c r="H20" s="9" t="n">
        <v>0</v>
      </c>
      <c r="I20" s="55" t="n">
        <v>46030</v>
      </c>
    </row>
    <row r="21" ht="15.75" customHeight="1" s="56">
      <c r="A21" s="55" t="n">
        <v>46023</v>
      </c>
      <c r="B21" s="9" t="inlineStr">
        <is>
          <t>Lê Văn Dựng</t>
        </is>
      </c>
      <c r="C21" s="9" t="inlineStr">
        <is>
          <t>001/BK-2026</t>
        </is>
      </c>
      <c r="D21" s="9" t="inlineStr">
        <is>
          <t>BK-HS-0128</t>
        </is>
      </c>
      <c r="E21" s="9" t="inlineStr">
        <is>
          <t>Cấp đổi</t>
        </is>
      </c>
      <c r="F21" s="9" t="n">
        <v>1100000</v>
      </c>
      <c r="G21" s="9" t="n">
        <v>0</v>
      </c>
      <c r="H21" s="9" t="n">
        <v>0</v>
      </c>
      <c r="I21" s="55" t="n">
        <v>46030</v>
      </c>
    </row>
    <row r="22" ht="15.75" customHeight="1" s="56">
      <c r="A22" s="55" t="n">
        <v>46023</v>
      </c>
      <c r="B22" s="9" t="inlineStr">
        <is>
          <t>Lê Văn Dựng</t>
        </is>
      </c>
      <c r="C22" s="9" t="inlineStr">
        <is>
          <t>015/BK-2026</t>
        </is>
      </c>
      <c r="D22" s="9" t="inlineStr">
        <is>
          <t>BK-HS-0116</t>
        </is>
      </c>
      <c r="E22" s="9" t="inlineStr">
        <is>
          <t>Kiểm tra hiện trạng</t>
        </is>
      </c>
      <c r="F22" s="9" t="n">
        <v>300000</v>
      </c>
      <c r="G22" s="9" t="n">
        <v>0</v>
      </c>
      <c r="H22" s="9" t="n">
        <v>0</v>
      </c>
      <c r="I22" s="55" t="n">
        <v>46031</v>
      </c>
    </row>
    <row r="23" ht="15.75" customHeight="1" s="56">
      <c r="A23" s="55" t="n">
        <v>46023</v>
      </c>
      <c r="B23" s="9" t="inlineStr">
        <is>
          <t>Lê Văn Dựng</t>
        </is>
      </c>
      <c r="C23" s="9" t="inlineStr">
        <is>
          <t>018/BK-2026</t>
        </is>
      </c>
      <c r="D23" s="9" t="inlineStr">
        <is>
          <t>BK-HS-0111</t>
        </is>
      </c>
      <c r="E23" s="9" t="inlineStr">
        <is>
          <t>Cắm mốc</t>
        </is>
      </c>
      <c r="F23" s="9" t="n">
        <v>1200000</v>
      </c>
      <c r="G23" s="9" t="n">
        <v>300000</v>
      </c>
      <c r="H23" s="9" t="n">
        <v>0</v>
      </c>
      <c r="I23" s="55" t="n">
        <v>46031</v>
      </c>
    </row>
    <row r="24" ht="15.75" customHeight="1" s="56">
      <c r="A24" s="55" t="n">
        <v>46023</v>
      </c>
      <c r="B24" s="9" t="inlineStr">
        <is>
          <t>Lê Văn Dựng</t>
        </is>
      </c>
      <c r="C24" s="9" t="inlineStr">
        <is>
          <t>019/BK-2026</t>
        </is>
      </c>
      <c r="D24" s="9" t="inlineStr">
        <is>
          <t>BK-HS-0110</t>
        </is>
      </c>
      <c r="E24" s="9" t="inlineStr">
        <is>
          <t>Cắm mốc</t>
        </is>
      </c>
      <c r="F24" s="9" t="n">
        <v>1200000</v>
      </c>
      <c r="G24" s="9" t="n">
        <v>100000</v>
      </c>
      <c r="H24" s="9" t="n">
        <v>0</v>
      </c>
      <c r="I24" s="55" t="n">
        <v>46031</v>
      </c>
    </row>
    <row r="25" ht="15.75" customHeight="1" s="56">
      <c r="A25" s="55" t="n">
        <v>46023</v>
      </c>
      <c r="B25" s="9" t="inlineStr">
        <is>
          <t>Lê Văn Dựng</t>
        </is>
      </c>
      <c r="C25" s="9" t="inlineStr">
        <is>
          <t>022/BK-2026</t>
        </is>
      </c>
      <c r="D25" s="9" t="inlineStr">
        <is>
          <t>BK-HS-0107</t>
        </is>
      </c>
      <c r="E25" s="9" t="inlineStr">
        <is>
          <t>Cắm mốc</t>
        </is>
      </c>
      <c r="F25" s="9" t="n">
        <v>1200000</v>
      </c>
      <c r="G25" s="9" t="n">
        <v>400000</v>
      </c>
      <c r="H25" s="9" t="n">
        <v>0</v>
      </c>
      <c r="I25" s="55" t="n">
        <v>46032</v>
      </c>
    </row>
    <row r="26" ht="15.75" customHeight="1" s="56">
      <c r="A26" s="55" t="n">
        <v>46023</v>
      </c>
      <c r="B26" s="9" t="inlineStr">
        <is>
          <t>Lê Văn Dựng</t>
        </is>
      </c>
      <c r="C26" s="9" t="inlineStr">
        <is>
          <t>013/BK-2026</t>
        </is>
      </c>
      <c r="D26" s="9" t="inlineStr">
        <is>
          <t>BK-HS-0118</t>
        </is>
      </c>
      <c r="E26" s="9" t="inlineStr">
        <is>
          <t>Cấp đổi</t>
        </is>
      </c>
      <c r="F26" s="9" t="n">
        <v>1100000</v>
      </c>
      <c r="G26" s="9" t="n">
        <v>0</v>
      </c>
      <c r="H26" s="9" t="n">
        <v>0</v>
      </c>
      <c r="I26" s="55" t="n">
        <v>46034</v>
      </c>
    </row>
    <row r="27" ht="15.75" customHeight="1" s="56">
      <c r="A27" s="55" t="n">
        <v>46023</v>
      </c>
      <c r="B27" s="9" t="inlineStr">
        <is>
          <t>Lê Văn Dựng</t>
        </is>
      </c>
      <c r="C27" s="9" t="inlineStr">
        <is>
          <t>024/BK-2026</t>
        </is>
      </c>
      <c r="D27" s="9" t="inlineStr">
        <is>
          <t>BK-HS-0105</t>
        </is>
      </c>
      <c r="E27" s="9" t="inlineStr">
        <is>
          <t>Đo GPS</t>
        </is>
      </c>
      <c r="F27" s="9" t="n">
        <v>1200000</v>
      </c>
      <c r="G27" s="9" t="n">
        <v>0</v>
      </c>
      <c r="H27" s="9" t="n">
        <v>0</v>
      </c>
      <c r="I27" s="55" t="n">
        <v>46035</v>
      </c>
    </row>
    <row r="28" ht="15.75" customHeight="1" s="56">
      <c r="A28" s="55" t="n">
        <v>46023</v>
      </c>
      <c r="B28" s="9" t="inlineStr">
        <is>
          <t>Lê Văn Dựng</t>
        </is>
      </c>
      <c r="C28" s="9" t="inlineStr">
        <is>
          <t>025/BK-2026</t>
        </is>
      </c>
      <c r="D28" s="9" t="inlineStr">
        <is>
          <t>BK-HS-0104</t>
        </is>
      </c>
      <c r="E28" s="9" t="inlineStr">
        <is>
          <t>Xác định diện tích</t>
        </is>
      </c>
      <c r="F28" s="9" t="n">
        <v>700000</v>
      </c>
      <c r="G28" s="9" t="n">
        <v>0</v>
      </c>
      <c r="H28" s="9" t="n">
        <v>0</v>
      </c>
      <c r="I28" s="55" t="n">
        <v>46035</v>
      </c>
    </row>
    <row r="29" ht="15.75" customHeight="1" s="56">
      <c r="A29" s="55" t="n">
        <v>46023</v>
      </c>
      <c r="B29" s="9" t="inlineStr">
        <is>
          <t>Lê Văn Dựng</t>
        </is>
      </c>
      <c r="C29" s="9" t="inlineStr">
        <is>
          <t>030/BK-2026</t>
        </is>
      </c>
      <c r="D29" s="9" t="inlineStr">
        <is>
          <t>BK-HS-0099</t>
        </is>
      </c>
      <c r="E29" s="9" t="inlineStr">
        <is>
          <t>Cắm mốc</t>
        </is>
      </c>
      <c r="F29" s="9" t="n">
        <v>1200000</v>
      </c>
      <c r="G29" s="9" t="n">
        <v>300000</v>
      </c>
      <c r="H29" s="9" t="n">
        <v>0</v>
      </c>
      <c r="I29" s="55" t="n">
        <v>46036</v>
      </c>
    </row>
    <row r="30" ht="15.75" customHeight="1" s="56">
      <c r="A30" s="55" t="n">
        <v>46023</v>
      </c>
      <c r="B30" s="9" t="inlineStr">
        <is>
          <t>Lê Văn Dựng</t>
        </is>
      </c>
      <c r="C30" s="9" t="inlineStr">
        <is>
          <t>020/BK-2026</t>
        </is>
      </c>
      <c r="D30" s="9" t="inlineStr">
        <is>
          <t>BK-HS-0109</t>
        </is>
      </c>
      <c r="E30" s="9" t="inlineStr">
        <is>
          <t>Cấp đổi</t>
        </is>
      </c>
      <c r="F30" s="9" t="n">
        <v>0</v>
      </c>
      <c r="G30" s="9" t="n">
        <v>0</v>
      </c>
      <c r="H30" s="9" t="n">
        <v>0</v>
      </c>
      <c r="I30" s="55" t="n">
        <v>46038</v>
      </c>
    </row>
    <row r="31" ht="15.75" customHeight="1" s="56">
      <c r="A31" s="55" t="n">
        <v>46023</v>
      </c>
      <c r="B31" s="9" t="inlineStr">
        <is>
          <t>Lê Văn Dựng</t>
        </is>
      </c>
      <c r="C31" s="9" t="inlineStr">
        <is>
          <t>482/BK-2025</t>
        </is>
      </c>
      <c r="E31" s="9" t="inlineStr">
        <is>
          <t>Cấp đổi</t>
        </is>
      </c>
      <c r="F31" s="9" t="n">
        <v>0</v>
      </c>
      <c r="G31" s="9" t="n">
        <v>0</v>
      </c>
      <c r="H31" s="9" t="n">
        <v>0</v>
      </c>
      <c r="I31" s="55" t="n">
        <v>46038</v>
      </c>
    </row>
    <row r="32" ht="15.75" customHeight="1" s="56">
      <c r="A32" s="55" t="n">
        <v>46023</v>
      </c>
      <c r="B32" s="9" t="inlineStr">
        <is>
          <t>Lê Văn Dựng</t>
        </is>
      </c>
      <c r="C32" s="9" t="inlineStr">
        <is>
          <t>483/BK-2025</t>
        </is>
      </c>
      <c r="E32" s="9" t="inlineStr">
        <is>
          <t>Cấp đổi</t>
        </is>
      </c>
      <c r="F32" s="9" t="n">
        <v>0</v>
      </c>
      <c r="G32" s="9" t="n">
        <v>0</v>
      </c>
      <c r="H32" s="9" t="n">
        <v>0</v>
      </c>
      <c r="I32" s="55" t="n">
        <v>46038</v>
      </c>
    </row>
    <row r="33" ht="15.75" customHeight="1" s="56">
      <c r="A33" s="55" t="n">
        <v>46023</v>
      </c>
      <c r="B33" s="9" t="inlineStr">
        <is>
          <t>Lê Văn Dựng</t>
        </is>
      </c>
      <c r="C33" s="9" t="inlineStr">
        <is>
          <t>484/BK-2025</t>
        </is>
      </c>
      <c r="E33" s="9" t="inlineStr">
        <is>
          <t>Cấp đổi</t>
        </is>
      </c>
      <c r="F33" s="9" t="n">
        <v>0</v>
      </c>
      <c r="G33" s="9" t="n">
        <v>0</v>
      </c>
      <c r="H33" s="9" t="n">
        <v>0</v>
      </c>
      <c r="I33" s="55" t="n">
        <v>46038</v>
      </c>
    </row>
    <row r="34" ht="15.75" customHeight="1" s="56">
      <c r="A34" s="55" t="n">
        <v>46023</v>
      </c>
      <c r="B34" s="9" t="inlineStr">
        <is>
          <t>Lê Văn Dựng</t>
        </is>
      </c>
      <c r="C34" s="9" t="inlineStr">
        <is>
          <t>489/BK-2025</t>
        </is>
      </c>
      <c r="E34" s="9" t="inlineStr">
        <is>
          <t>Cấp đổi</t>
        </is>
      </c>
      <c r="F34" s="9" t="n">
        <v>0</v>
      </c>
      <c r="G34" s="9" t="n">
        <v>0</v>
      </c>
      <c r="H34" s="9" t="n">
        <v>0</v>
      </c>
      <c r="I34" s="55" t="n">
        <v>46038</v>
      </c>
    </row>
    <row r="35" ht="15.75" customHeight="1" s="56">
      <c r="A35" s="55" t="n">
        <v>46023</v>
      </c>
      <c r="B35" s="9" t="inlineStr">
        <is>
          <t>Lê Văn Dựng</t>
        </is>
      </c>
      <c r="C35" s="9" t="inlineStr">
        <is>
          <t>490/BK-2025</t>
        </is>
      </c>
      <c r="E35" s="9" t="inlineStr">
        <is>
          <t>Cấp đổi</t>
        </is>
      </c>
      <c r="F35" s="9" t="n">
        <v>0</v>
      </c>
      <c r="G35" s="9" t="n">
        <v>0</v>
      </c>
      <c r="H35" s="9" t="n">
        <v>0</v>
      </c>
      <c r="I35" s="55" t="n">
        <v>46038</v>
      </c>
    </row>
    <row r="36" ht="15.75" customHeight="1" s="56">
      <c r="A36" s="55" t="n">
        <v>46023</v>
      </c>
      <c r="B36" s="9" t="inlineStr">
        <is>
          <t>Lê Văn Dựng</t>
        </is>
      </c>
      <c r="C36" s="9" t="inlineStr">
        <is>
          <t>036/BK-2026</t>
        </is>
      </c>
      <c r="D36" s="9" t="inlineStr">
        <is>
          <t>BK-HS-0093</t>
        </is>
      </c>
      <c r="E36" s="9" t="inlineStr">
        <is>
          <t>Đo GPS</t>
        </is>
      </c>
      <c r="F36" s="9" t="n">
        <v>1200000</v>
      </c>
      <c r="G36" s="9" t="n">
        <v>0</v>
      </c>
      <c r="H36" s="9" t="n">
        <v>0</v>
      </c>
      <c r="I36" s="55" t="n">
        <v>46038</v>
      </c>
    </row>
    <row r="37" ht="15.75" customHeight="1" s="56">
      <c r="A37" s="55" t="n">
        <v>46023</v>
      </c>
      <c r="B37" s="9" t="inlineStr">
        <is>
          <t>Lê Văn Dựng</t>
        </is>
      </c>
      <c r="C37" s="9" t="inlineStr">
        <is>
          <t>665/BK-2025</t>
        </is>
      </c>
      <c r="D37" s="9" t="inlineStr">
        <is>
          <t>BK-HS-0149</t>
        </is>
      </c>
      <c r="E37" s="9" t="inlineStr">
        <is>
          <t>Cấp đổi</t>
        </is>
      </c>
      <c r="F37" s="9" t="n">
        <v>0</v>
      </c>
      <c r="G37" s="9" t="n">
        <v>0</v>
      </c>
      <c r="H37" s="9" t="n">
        <v>0</v>
      </c>
      <c r="I37" s="55" t="n">
        <v>46039</v>
      </c>
    </row>
    <row r="38" ht="15.75" customHeight="1" s="56">
      <c r="A38" s="55" t="n">
        <v>46023</v>
      </c>
      <c r="B38" s="9" t="inlineStr">
        <is>
          <t>Lê Văn Dựng</t>
        </is>
      </c>
      <c r="C38" s="9" t="inlineStr">
        <is>
          <t>664/BK-2025</t>
        </is>
      </c>
      <c r="D38" s="9" t="inlineStr">
        <is>
          <t>BK-HS-0152</t>
        </is>
      </c>
      <c r="E38" s="9" t="inlineStr">
        <is>
          <t>Cấp đổi</t>
        </is>
      </c>
      <c r="F38" s="9" t="n">
        <v>0</v>
      </c>
      <c r="G38" s="9" t="n">
        <v>0</v>
      </c>
      <c r="H38" s="9" t="n">
        <v>0</v>
      </c>
      <c r="I38" s="55" t="n">
        <v>46039</v>
      </c>
    </row>
    <row r="39" ht="15.75" customHeight="1" s="56">
      <c r="A39" s="55" t="n">
        <v>46023</v>
      </c>
      <c r="B39" s="9" t="inlineStr">
        <is>
          <t>Lê Văn Dựng</t>
        </is>
      </c>
      <c r="C39" s="9" t="inlineStr">
        <is>
          <t>465/BK-2025</t>
        </is>
      </c>
      <c r="E39" s="9" t="inlineStr">
        <is>
          <t>Cấp đổi</t>
        </is>
      </c>
      <c r="F39" s="9" t="n">
        <v>0</v>
      </c>
      <c r="G39" s="9" t="n">
        <v>0</v>
      </c>
      <c r="H39" s="9" t="n">
        <v>0</v>
      </c>
      <c r="I39" s="55" t="n">
        <v>46039</v>
      </c>
    </row>
    <row r="40" ht="15.75" customHeight="1" s="56">
      <c r="A40" s="55" t="n">
        <v>46023</v>
      </c>
      <c r="B40" s="9" t="inlineStr">
        <is>
          <t>Lê Văn Dựng</t>
        </is>
      </c>
      <c r="C40" s="9" t="inlineStr">
        <is>
          <t>112/BK-2025</t>
        </is>
      </c>
      <c r="E40" s="9" t="inlineStr">
        <is>
          <t>Cấp sổ lần đầu</t>
        </is>
      </c>
      <c r="F40" s="9" t="n">
        <v>0</v>
      </c>
      <c r="G40" s="9" t="n">
        <v>0</v>
      </c>
      <c r="H40" s="9" t="n">
        <v>0</v>
      </c>
      <c r="I40" s="55" t="n">
        <v>46039</v>
      </c>
    </row>
    <row r="41" ht="15.75" customHeight="1" s="56">
      <c r="A41" s="55" t="n">
        <v>46023</v>
      </c>
      <c r="B41" s="9" t="inlineStr">
        <is>
          <t>Lê Văn Dựng</t>
        </is>
      </c>
      <c r="C41" s="9" t="inlineStr">
        <is>
          <t>114/BK-2025</t>
        </is>
      </c>
      <c r="E41" s="9" t="inlineStr">
        <is>
          <t>Cấp sổ lần đầu</t>
        </is>
      </c>
      <c r="F41" s="9" t="n">
        <v>0</v>
      </c>
      <c r="G41" s="9" t="n">
        <v>0</v>
      </c>
      <c r="H41" s="9" t="n">
        <v>0</v>
      </c>
      <c r="I41" s="55" t="n">
        <v>46039</v>
      </c>
    </row>
    <row r="42" ht="15.75" customHeight="1" s="56">
      <c r="A42" s="55" t="n">
        <v>46023</v>
      </c>
      <c r="B42" s="9" t="inlineStr">
        <is>
          <t>Lê Văn Dựng</t>
        </is>
      </c>
      <c r="C42" s="9" t="inlineStr">
        <is>
          <t>040/BK-2026</t>
        </is>
      </c>
      <c r="D42" s="9" t="inlineStr">
        <is>
          <t>BK-HS-0089</t>
        </is>
      </c>
      <c r="E42" s="9" t="inlineStr">
        <is>
          <t>Cắm mốc</t>
        </is>
      </c>
      <c r="F42" s="9" t="n">
        <v>1200000</v>
      </c>
      <c r="G42" s="9" t="n">
        <v>50000</v>
      </c>
      <c r="H42" s="9" t="n">
        <v>0</v>
      </c>
      <c r="I42" s="55" t="n">
        <v>46040</v>
      </c>
    </row>
    <row r="43" ht="15.75" customHeight="1" s="56">
      <c r="A43" s="55" t="n">
        <v>46023</v>
      </c>
      <c r="B43" s="9" t="inlineStr">
        <is>
          <t>Lê Văn Dựng</t>
        </is>
      </c>
      <c r="C43" s="9" t="inlineStr">
        <is>
          <t>037/BK-2026</t>
        </is>
      </c>
      <c r="D43" s="9" t="inlineStr">
        <is>
          <t>BK-HS-0092</t>
        </is>
      </c>
      <c r="E43" s="9" t="inlineStr">
        <is>
          <t>Hoàn công</t>
        </is>
      </c>
      <c r="F43" s="9" t="n">
        <v>1100000</v>
      </c>
      <c r="G43" s="9" t="n">
        <v>0</v>
      </c>
      <c r="H43" s="9" t="n">
        <v>0</v>
      </c>
      <c r="I43" s="55" t="n">
        <v>46041</v>
      </c>
    </row>
    <row r="44" ht="15.75" customHeight="1" s="56">
      <c r="A44" s="55" t="n">
        <v>46023</v>
      </c>
      <c r="B44" s="9" t="inlineStr">
        <is>
          <t>Lê Văn Dựng</t>
        </is>
      </c>
      <c r="C44" s="9" t="inlineStr">
        <is>
          <t>067/BK-2026</t>
        </is>
      </c>
      <c r="D44" s="9" t="inlineStr">
        <is>
          <t>BK-HS-0061</t>
        </is>
      </c>
      <c r="E44" s="9" t="inlineStr">
        <is>
          <t>Đo GPS</t>
        </is>
      </c>
      <c r="F44" s="9" t="n">
        <v>1200000</v>
      </c>
      <c r="G44" s="9" t="n">
        <v>0</v>
      </c>
      <c r="H44" s="9" t="n">
        <v>0</v>
      </c>
      <c r="I44" s="55" t="n">
        <v>46052</v>
      </c>
    </row>
    <row r="45" ht="15.75" customHeight="1" s="56">
      <c r="A45" s="55" t="n">
        <v>46023</v>
      </c>
      <c r="B45" s="9" t="inlineStr">
        <is>
          <t>Lê Văn Dựng</t>
        </is>
      </c>
      <c r="C45" s="9" t="inlineStr">
        <is>
          <t>069/BK-2026</t>
        </is>
      </c>
      <c r="D45" s="9" t="inlineStr">
        <is>
          <t>BK-HS-0059</t>
        </is>
      </c>
      <c r="E45" s="9" t="inlineStr">
        <is>
          <t>Đo GPS</t>
        </is>
      </c>
      <c r="F45" s="9" t="n">
        <v>1200000</v>
      </c>
      <c r="G45" s="9" t="n">
        <v>0</v>
      </c>
      <c r="H45" s="9" t="n">
        <v>0</v>
      </c>
      <c r="I45" s="55" t="n">
        <v>46052</v>
      </c>
    </row>
    <row r="46" ht="15.75" customHeight="1" s="56">
      <c r="A46" s="55" t="n">
        <v>45992</v>
      </c>
      <c r="B46" s="9" t="inlineStr">
        <is>
          <t>Lê Văn Dựng</t>
        </is>
      </c>
      <c r="C46" s="9" t="inlineStr">
        <is>
          <t>608-1/BK-2025</t>
        </is>
      </c>
      <c r="D46" s="9" t="inlineStr">
        <is>
          <t>BK-HS-0226</t>
        </is>
      </c>
      <c r="E46" s="9" t="inlineStr">
        <is>
          <t>Cắm mốc</t>
        </is>
      </c>
      <c r="F46" s="9" t="n">
        <v>1200000</v>
      </c>
      <c r="G46" s="9" t="n">
        <v>375000</v>
      </c>
      <c r="H46" s="9" t="n">
        <v>0</v>
      </c>
      <c r="I46" s="55" t="n">
        <v>45992</v>
      </c>
    </row>
    <row r="47" ht="15.75" customHeight="1" s="56">
      <c r="A47" s="55" t="n">
        <v>45992</v>
      </c>
      <c r="B47" s="9" t="inlineStr">
        <is>
          <t>Lê Văn Dựng</t>
        </is>
      </c>
      <c r="C47" s="9" t="inlineStr">
        <is>
          <t>608-2/BK-2025</t>
        </is>
      </c>
      <c r="D47" s="9" t="inlineStr">
        <is>
          <t>BK-HS-0225</t>
        </is>
      </c>
      <c r="E47" s="9" t="inlineStr">
        <is>
          <t>Đo GPS</t>
        </is>
      </c>
      <c r="F47" s="9" t="n">
        <v>1200000</v>
      </c>
      <c r="G47" s="9" t="n">
        <v>0</v>
      </c>
      <c r="H47" s="9" t="n">
        <v>0</v>
      </c>
      <c r="I47" s="55" t="n">
        <v>45992</v>
      </c>
    </row>
    <row r="48" ht="15.75" customHeight="1" s="56">
      <c r="A48" s="55" t="n">
        <v>45992</v>
      </c>
      <c r="B48" s="9" t="inlineStr">
        <is>
          <t>Lê Văn Dựng</t>
        </is>
      </c>
      <c r="C48" s="9" t="inlineStr">
        <is>
          <t>609-1/BK-2025</t>
        </is>
      </c>
      <c r="D48" s="9" t="inlineStr">
        <is>
          <t>BK-HS-0223</t>
        </is>
      </c>
      <c r="E48" s="9" t="inlineStr">
        <is>
          <t>Cắm mốc</t>
        </is>
      </c>
      <c r="F48" s="9" t="n">
        <v>1200000</v>
      </c>
      <c r="G48" s="9" t="n">
        <v>100000</v>
      </c>
      <c r="H48" s="9" t="n">
        <v>0</v>
      </c>
      <c r="I48" s="55" t="n">
        <v>45992</v>
      </c>
    </row>
    <row r="49" ht="15.75" customHeight="1" s="56">
      <c r="A49" s="55" t="n">
        <v>45992</v>
      </c>
      <c r="B49" s="9" t="inlineStr">
        <is>
          <t>Lê Văn Dựng</t>
        </is>
      </c>
      <c r="C49" s="9" t="inlineStr">
        <is>
          <t>609-2/BK-2025</t>
        </is>
      </c>
      <c r="D49" s="9" t="inlineStr">
        <is>
          <t>BK-HS-0222</t>
        </is>
      </c>
      <c r="E49" s="9" t="inlineStr">
        <is>
          <t>Đo GPS</t>
        </is>
      </c>
      <c r="F49" s="9" t="n">
        <v>1200000</v>
      </c>
      <c r="G49" s="9" t="n">
        <v>0</v>
      </c>
      <c r="H49" s="9" t="n">
        <v>0</v>
      </c>
      <c r="I49" s="55" t="n">
        <v>45992</v>
      </c>
    </row>
    <row r="50" ht="15.75" customHeight="1" s="56">
      <c r="A50" s="55" t="n">
        <v>45992</v>
      </c>
      <c r="B50" s="9" t="inlineStr">
        <is>
          <t>Lê Văn Dựng</t>
        </is>
      </c>
      <c r="C50" s="9" t="inlineStr">
        <is>
          <t>610-1/BK-2025</t>
        </is>
      </c>
      <c r="D50" s="9" t="inlineStr">
        <is>
          <t>BK-HS-0220</t>
        </is>
      </c>
      <c r="E50" s="9" t="inlineStr">
        <is>
          <t>Cắm mốc</t>
        </is>
      </c>
      <c r="F50" s="9" t="n">
        <v>1200000</v>
      </c>
      <c r="G50" s="9" t="n">
        <v>1000000</v>
      </c>
      <c r="H50" s="9" t="n">
        <v>0</v>
      </c>
      <c r="I50" s="55" t="n">
        <v>45992</v>
      </c>
    </row>
    <row r="51" ht="15.75" customHeight="1" s="56">
      <c r="A51" s="55" t="n">
        <v>45992</v>
      </c>
      <c r="B51" s="9" t="inlineStr">
        <is>
          <t>Lê Văn Dựng</t>
        </is>
      </c>
      <c r="C51" s="9" t="inlineStr">
        <is>
          <t>610-2/BK-2025</t>
        </is>
      </c>
      <c r="D51" s="9" t="inlineStr">
        <is>
          <t>BK-HS-0219</t>
        </is>
      </c>
      <c r="E51" s="9" t="inlineStr">
        <is>
          <t>Đo GPS</t>
        </is>
      </c>
      <c r="F51" s="9" t="n">
        <v>1200000</v>
      </c>
      <c r="G51" s="9" t="n">
        <v>0</v>
      </c>
      <c r="H51" s="9" t="n">
        <v>0</v>
      </c>
      <c r="I51" s="55" t="n">
        <v>45992</v>
      </c>
    </row>
    <row r="52" ht="15.75" customHeight="1" s="56">
      <c r="A52" s="55" t="n">
        <v>45992</v>
      </c>
      <c r="B52" s="9" t="inlineStr">
        <is>
          <t>Lê Văn Dựng</t>
        </is>
      </c>
      <c r="C52" s="9" t="inlineStr">
        <is>
          <t>611/BK-2025</t>
        </is>
      </c>
      <c r="D52" s="9" t="inlineStr">
        <is>
          <t>BK-HS-0218</t>
        </is>
      </c>
      <c r="E52" s="9" t="inlineStr">
        <is>
          <t>Cắm mốc</t>
        </is>
      </c>
      <c r="F52" s="9" t="n">
        <v>1200000</v>
      </c>
      <c r="G52" s="9" t="n">
        <v>225000</v>
      </c>
      <c r="H52" s="9" t="n">
        <v>0</v>
      </c>
      <c r="I52" s="55" t="n">
        <v>45992</v>
      </c>
    </row>
    <row r="53" ht="15.75" customHeight="1" s="56">
      <c r="A53" s="55" t="n">
        <v>45992</v>
      </c>
      <c r="B53" s="9" t="inlineStr">
        <is>
          <t>Lê Văn Dựng</t>
        </is>
      </c>
      <c r="C53" s="9" t="inlineStr">
        <is>
          <t>612/BK-2025</t>
        </is>
      </c>
      <c r="D53" s="9" t="inlineStr">
        <is>
          <t>BK-HS-0217</t>
        </is>
      </c>
      <c r="E53" s="9" t="inlineStr">
        <is>
          <t>Đo GPS</t>
        </is>
      </c>
      <c r="F53" s="9" t="n">
        <v>1200000</v>
      </c>
      <c r="G53" s="9" t="n">
        <v>0</v>
      </c>
      <c r="H53" s="9" t="n">
        <v>0</v>
      </c>
      <c r="I53" s="55" t="n">
        <v>45992</v>
      </c>
    </row>
    <row r="54" ht="15.75" customHeight="1" s="56">
      <c r="A54" s="55" t="n">
        <v>45992</v>
      </c>
      <c r="B54" s="9" t="inlineStr">
        <is>
          <t>Lê Văn Dựng</t>
        </is>
      </c>
      <c r="C54" s="9" t="inlineStr">
        <is>
          <t>603/BK-2025</t>
        </is>
      </c>
      <c r="D54" s="9" t="inlineStr">
        <is>
          <t>BK-HS-0235</t>
        </is>
      </c>
      <c r="E54" s="9" t="inlineStr">
        <is>
          <t>Cấp đổi</t>
        </is>
      </c>
      <c r="F54" s="9" t="n">
        <v>1100000</v>
      </c>
      <c r="G54" s="9" t="n">
        <v>0</v>
      </c>
      <c r="H54" s="9" t="n">
        <v>0</v>
      </c>
      <c r="I54" s="55" t="n">
        <v>45992</v>
      </c>
    </row>
    <row r="55" ht="15.75" customHeight="1" s="56">
      <c r="A55" s="55" t="n">
        <v>45992</v>
      </c>
      <c r="B55" s="9" t="inlineStr">
        <is>
          <t>Lê Văn Dựng</t>
        </is>
      </c>
      <c r="C55" s="9" t="inlineStr">
        <is>
          <t>608/BK-2025</t>
        </is>
      </c>
      <c r="D55" s="9" t="inlineStr">
        <is>
          <t>BK-HS-0227</t>
        </is>
      </c>
      <c r="E55" s="9" t="inlineStr">
        <is>
          <t>Cấp đổi</t>
        </is>
      </c>
      <c r="F55" s="9" t="n">
        <v>1100000</v>
      </c>
      <c r="G55" s="9" t="n">
        <v>0</v>
      </c>
      <c r="H55" s="9" t="n">
        <v>0</v>
      </c>
      <c r="I55" s="55" t="n">
        <v>45992</v>
      </c>
    </row>
    <row r="56" ht="15.75" customHeight="1" s="56">
      <c r="A56" s="55" t="n">
        <v>45992</v>
      </c>
      <c r="B56" s="9" t="inlineStr">
        <is>
          <t>Lê Văn Dựng</t>
        </is>
      </c>
      <c r="C56" s="9" t="inlineStr">
        <is>
          <t>609/BK-2025</t>
        </is>
      </c>
      <c r="D56" s="9" t="inlineStr">
        <is>
          <t>BK-HS-0224</t>
        </is>
      </c>
      <c r="E56" s="9" t="inlineStr">
        <is>
          <t>Cấp đổi</t>
        </is>
      </c>
      <c r="F56" s="9" t="n">
        <v>1100000</v>
      </c>
      <c r="G56" s="9" t="n">
        <v>0</v>
      </c>
      <c r="H56" s="9" t="n">
        <v>0</v>
      </c>
      <c r="I56" s="55" t="n">
        <v>45993</v>
      </c>
    </row>
    <row r="57" ht="15.75" customHeight="1" s="56">
      <c r="A57" s="55" t="n">
        <v>45992</v>
      </c>
      <c r="B57" s="9" t="inlineStr">
        <is>
          <t>Lê Văn Dựng</t>
        </is>
      </c>
      <c r="C57" s="9" t="inlineStr">
        <is>
          <t>610/BK-2025</t>
        </is>
      </c>
      <c r="D57" s="9" t="inlineStr">
        <is>
          <t>BK-HS-0221</t>
        </is>
      </c>
      <c r="E57" s="9" t="inlineStr">
        <is>
          <t>Cấp đổi</t>
        </is>
      </c>
      <c r="F57" s="9" t="n">
        <v>1100000</v>
      </c>
      <c r="G57" s="9" t="n">
        <v>0</v>
      </c>
      <c r="H57" s="9" t="n">
        <v>0</v>
      </c>
      <c r="I57" s="55" t="n">
        <v>45993</v>
      </c>
    </row>
    <row r="58" ht="15.75" customHeight="1" s="56">
      <c r="A58" s="55" t="n">
        <v>45992</v>
      </c>
      <c r="B58" s="9" t="inlineStr">
        <is>
          <t>Lê Văn Dựng</t>
        </is>
      </c>
      <c r="C58" s="9" t="inlineStr">
        <is>
          <t>ĐC 116/BK-2025</t>
        </is>
      </c>
      <c r="D58" s="9" t="inlineStr">
        <is>
          <t>BK-HS-0208</t>
        </is>
      </c>
      <c r="E58" s="9" t="inlineStr">
        <is>
          <t>Điều chỉnh bản vẽ</t>
        </is>
      </c>
      <c r="F58" s="9" t="n">
        <v>500000</v>
      </c>
      <c r="G58" s="9" t="n">
        <v>0</v>
      </c>
      <c r="H58" s="9" t="n">
        <v>0</v>
      </c>
      <c r="I58" s="55" t="n">
        <v>45994</v>
      </c>
    </row>
    <row r="59" ht="15.75" customHeight="1" s="56">
      <c r="A59" s="55" t="n">
        <v>45992</v>
      </c>
      <c r="B59" s="9" t="inlineStr">
        <is>
          <t>Lê Văn Dựng</t>
        </is>
      </c>
      <c r="C59" s="9" t="inlineStr">
        <is>
          <t>353-1/BK-2025</t>
        </is>
      </c>
      <c r="D59" s="9" t="inlineStr">
        <is>
          <t>BK-HS-0203</t>
        </is>
      </c>
      <c r="E59" s="9" t="inlineStr">
        <is>
          <t>Cấp đổi</t>
        </is>
      </c>
      <c r="F59" s="9" t="n">
        <v>1100000</v>
      </c>
      <c r="G59" s="9" t="n">
        <v>0</v>
      </c>
      <c r="H59" s="9" t="n">
        <v>0</v>
      </c>
      <c r="I59" s="55" t="n">
        <v>45995</v>
      </c>
    </row>
    <row r="60" ht="15.75" customHeight="1" s="56">
      <c r="A60" s="55" t="n">
        <v>45992</v>
      </c>
      <c r="B60" s="9" t="inlineStr">
        <is>
          <t>Lê Văn Dựng</t>
        </is>
      </c>
      <c r="C60" s="9" t="inlineStr">
        <is>
          <t>628/BK-2025</t>
        </is>
      </c>
      <c r="D60" s="9" t="inlineStr">
        <is>
          <t>BK-HS-0200</t>
        </is>
      </c>
      <c r="E60" s="9" t="inlineStr">
        <is>
          <t>Chuyển mục đích</t>
        </is>
      </c>
      <c r="F60" s="9" t="n">
        <v>1100000</v>
      </c>
      <c r="G60" s="9" t="n">
        <v>0</v>
      </c>
      <c r="H60" s="9" t="n">
        <v>0</v>
      </c>
      <c r="I60" s="55" t="n">
        <v>45996</v>
      </c>
    </row>
    <row r="61" ht="15.75" customHeight="1" s="56">
      <c r="A61" s="55" t="n">
        <v>45992</v>
      </c>
      <c r="B61" s="9" t="inlineStr">
        <is>
          <t>Lê Văn Dựng</t>
        </is>
      </c>
      <c r="C61" s="9" t="inlineStr">
        <is>
          <t>629/BK-2025</t>
        </is>
      </c>
      <c r="D61" s="9" t="inlineStr">
        <is>
          <t>BK-HS-0199</t>
        </is>
      </c>
      <c r="E61" s="9" t="inlineStr">
        <is>
          <t>Chuyển mục đích</t>
        </is>
      </c>
      <c r="F61" s="9" t="n">
        <v>1100000</v>
      </c>
      <c r="G61" s="9" t="n">
        <v>0</v>
      </c>
      <c r="H61" s="9" t="n">
        <v>0</v>
      </c>
      <c r="I61" s="55" t="n">
        <v>45996</v>
      </c>
    </row>
    <row r="62" ht="15.75" customHeight="1" s="56">
      <c r="A62" s="55" t="n">
        <v>45992</v>
      </c>
      <c r="B62" s="9" t="inlineStr">
        <is>
          <t>Lê Văn Dựng</t>
        </is>
      </c>
      <c r="C62" s="9" t="inlineStr">
        <is>
          <t>633-1/BK-2025</t>
        </is>
      </c>
      <c r="D62" s="9" t="inlineStr">
        <is>
          <t>BK-HS-0194</t>
        </is>
      </c>
      <c r="E62" s="9" t="inlineStr">
        <is>
          <t>Cắm mốc</t>
        </is>
      </c>
      <c r="F62" s="9" t="n">
        <v>1200000</v>
      </c>
      <c r="G62" s="9" t="n">
        <v>250000</v>
      </c>
      <c r="H62" s="9" t="n">
        <v>0</v>
      </c>
      <c r="I62" s="55" t="n">
        <v>46000</v>
      </c>
    </row>
    <row r="63" ht="15.75" customHeight="1" s="56">
      <c r="A63" s="55" t="n">
        <v>45992</v>
      </c>
      <c r="B63" s="9" t="inlineStr">
        <is>
          <t>Lê Văn Dựng</t>
        </is>
      </c>
      <c r="C63" s="9" t="inlineStr">
        <is>
          <t>633-2/BK-2025</t>
        </is>
      </c>
      <c r="D63" s="9" t="inlineStr">
        <is>
          <t>BK-HS-0193</t>
        </is>
      </c>
      <c r="E63" s="9" t="inlineStr">
        <is>
          <t>Đo GPS</t>
        </is>
      </c>
      <c r="F63" s="9" t="n">
        <v>1200000</v>
      </c>
      <c r="G63" s="9" t="n">
        <v>0</v>
      </c>
      <c r="H63" s="9" t="n">
        <v>0</v>
      </c>
      <c r="I63" s="55" t="n">
        <v>46000</v>
      </c>
    </row>
    <row r="64" ht="15.75" customHeight="1" s="56">
      <c r="A64" s="55" t="n">
        <v>45992</v>
      </c>
      <c r="B64" s="9" t="inlineStr">
        <is>
          <t>Lê Văn Dựng</t>
        </is>
      </c>
      <c r="C64" s="9" t="inlineStr">
        <is>
          <t>16-1/BK-2025</t>
        </is>
      </c>
      <c r="D64" s="9" t="inlineStr">
        <is>
          <t>BK-HS-0192</t>
        </is>
      </c>
      <c r="E64" s="9" t="inlineStr">
        <is>
          <t>Cắm mốc</t>
        </is>
      </c>
      <c r="F64" s="9" t="n">
        <v>1200000</v>
      </c>
      <c r="G64" s="9" t="n">
        <v>250000</v>
      </c>
      <c r="H64" s="9" t="n">
        <v>0</v>
      </c>
      <c r="I64" s="55" t="n">
        <v>46000</v>
      </c>
    </row>
    <row r="65" ht="15.75" customHeight="1" s="56">
      <c r="A65" s="55" t="n">
        <v>45992</v>
      </c>
      <c r="B65" s="9" t="inlineStr">
        <is>
          <t>Lê Văn Dựng</t>
        </is>
      </c>
      <c r="C65" s="9" t="inlineStr">
        <is>
          <t>633/BK-2025</t>
        </is>
      </c>
      <c r="D65" s="9" t="inlineStr">
        <is>
          <t>BK-HS-0195</t>
        </is>
      </c>
      <c r="E65" s="9" t="inlineStr">
        <is>
          <t>Cấp đổi</t>
        </is>
      </c>
      <c r="F65" s="9" t="n">
        <v>1100000</v>
      </c>
      <c r="G65" s="9" t="n">
        <v>0</v>
      </c>
      <c r="H65" s="9" t="n">
        <v>0</v>
      </c>
      <c r="I65" s="55" t="n">
        <v>46001</v>
      </c>
    </row>
    <row r="66" ht="15.75" customHeight="1" s="56">
      <c r="A66" s="55" t="n">
        <v>45992</v>
      </c>
      <c r="B66" s="9" t="inlineStr">
        <is>
          <t>Lê Văn Dựng</t>
        </is>
      </c>
      <c r="C66" s="9" t="inlineStr">
        <is>
          <t>647/BK-2025</t>
        </is>
      </c>
      <c r="D66" s="9" t="inlineStr">
        <is>
          <t>BK-HS-0176</t>
        </is>
      </c>
      <c r="E66" s="9" t="inlineStr">
        <is>
          <t>Cắm mốc</t>
        </is>
      </c>
      <c r="F66" s="9" t="n">
        <v>1200000</v>
      </c>
      <c r="G66" s="9" t="n">
        <v>100000</v>
      </c>
      <c r="H66" s="9" t="n">
        <v>0</v>
      </c>
      <c r="I66" s="55" t="n">
        <v>46002</v>
      </c>
    </row>
    <row r="67" ht="15.75" customHeight="1" s="56">
      <c r="A67" s="55" t="n">
        <v>45992</v>
      </c>
      <c r="B67" s="9" t="inlineStr">
        <is>
          <t>Lê Văn Dựng</t>
        </is>
      </c>
      <c r="C67" s="9" t="inlineStr">
        <is>
          <t>648/BK-2025</t>
        </is>
      </c>
      <c r="D67" s="9" t="inlineStr">
        <is>
          <t>BK-HS-0175</t>
        </is>
      </c>
      <c r="E67" s="9" t="inlineStr">
        <is>
          <t>Cấp đổi</t>
        </is>
      </c>
      <c r="F67" s="9" t="n">
        <v>1100000</v>
      </c>
      <c r="G67" s="9" t="n">
        <v>0</v>
      </c>
      <c r="H67" s="9" t="n">
        <v>0</v>
      </c>
      <c r="I67" s="55" t="n">
        <v>46003</v>
      </c>
    </row>
    <row r="68" ht="15.75" customHeight="1" s="56">
      <c r="A68" s="55" t="n">
        <v>45992</v>
      </c>
      <c r="B68" s="9" t="inlineStr">
        <is>
          <t>Lê Văn Dựng</t>
        </is>
      </c>
      <c r="C68" s="9" t="inlineStr">
        <is>
          <t>649/BK-2025</t>
        </is>
      </c>
      <c r="D68" s="9" t="inlineStr">
        <is>
          <t>BK-HS-0174</t>
        </is>
      </c>
      <c r="E68" s="9" t="inlineStr">
        <is>
          <t>Chuyển mục đích</t>
        </is>
      </c>
      <c r="F68" s="9" t="n">
        <v>1100000</v>
      </c>
      <c r="G68" s="9" t="n">
        <v>0</v>
      </c>
      <c r="H68" s="9" t="n">
        <v>0</v>
      </c>
      <c r="I68" s="55" t="n">
        <v>46004</v>
      </c>
    </row>
    <row r="69" ht="15.75" customHeight="1" s="56">
      <c r="A69" s="55" t="n">
        <v>45992</v>
      </c>
      <c r="B69" s="9" t="inlineStr">
        <is>
          <t>Lê Văn Dựng</t>
        </is>
      </c>
      <c r="C69" s="9" t="inlineStr">
        <is>
          <t>622/BK-2025</t>
        </is>
      </c>
      <c r="D69" s="9" t="inlineStr">
        <is>
          <t>BK-HS-0207</t>
        </is>
      </c>
      <c r="E69" s="9" t="inlineStr">
        <is>
          <t>Hoàn công</t>
        </is>
      </c>
      <c r="F69" s="9" t="n">
        <v>1100000</v>
      </c>
      <c r="G69" s="9" t="n">
        <v>0</v>
      </c>
      <c r="H69" s="9" t="n">
        <v>0</v>
      </c>
      <c r="I69" s="55" t="n">
        <v>46009</v>
      </c>
    </row>
    <row r="70" ht="15.75" customHeight="1" s="56">
      <c r="A70" s="55" t="n">
        <v>45992</v>
      </c>
      <c r="B70" s="9" t="inlineStr">
        <is>
          <t>Lê Văn Dựng</t>
        </is>
      </c>
      <c r="C70" s="9" t="inlineStr">
        <is>
          <t>655/BK-2025</t>
        </is>
      </c>
      <c r="D70" s="9" t="inlineStr">
        <is>
          <t>BK-HS-0166</t>
        </is>
      </c>
      <c r="E70" s="9" t="inlineStr">
        <is>
          <t>Hoàn công</t>
        </is>
      </c>
      <c r="F70" s="9" t="n">
        <v>1100000</v>
      </c>
      <c r="G70" s="9" t="n">
        <v>0</v>
      </c>
      <c r="H70" s="9" t="n">
        <v>0</v>
      </c>
      <c r="I70" s="55" t="n">
        <v>46011</v>
      </c>
    </row>
    <row r="71" ht="15.75" customHeight="1" s="56">
      <c r="A71" s="55" t="n">
        <v>45992</v>
      </c>
      <c r="B71" s="9" t="inlineStr">
        <is>
          <t>Lê Văn Dựng</t>
        </is>
      </c>
      <c r="C71" s="9" t="inlineStr">
        <is>
          <t>651-1/BK-2025</t>
        </is>
      </c>
      <c r="D71" s="9" t="inlineStr">
        <is>
          <t>BK-HS-0159</t>
        </is>
      </c>
      <c r="E71" s="9" t="inlineStr">
        <is>
          <t>Cắm mốc</t>
        </is>
      </c>
      <c r="F71" s="9" t="n">
        <v>1200000</v>
      </c>
      <c r="G71" s="9" t="n">
        <v>100000</v>
      </c>
      <c r="H71" s="9" t="n">
        <v>0</v>
      </c>
      <c r="I71" s="55" t="n">
        <v>46009</v>
      </c>
    </row>
    <row r="72" ht="15.75" customHeight="1" s="56">
      <c r="A72" s="55" t="n">
        <v>45992</v>
      </c>
      <c r="B72" s="9" t="inlineStr">
        <is>
          <t>Lê Văn Dựng</t>
        </is>
      </c>
      <c r="C72" s="9" t="inlineStr">
        <is>
          <t>651/BK-2025</t>
        </is>
      </c>
      <c r="D72" s="9" t="inlineStr">
        <is>
          <t>BK-HS-0172</t>
        </is>
      </c>
      <c r="E72" s="9" t="inlineStr">
        <is>
          <t>Cấp đổi</t>
        </is>
      </c>
      <c r="F72" s="9" t="n">
        <v>1100000</v>
      </c>
      <c r="G72" s="9" t="n">
        <v>0</v>
      </c>
      <c r="H72" s="9" t="n">
        <v>0</v>
      </c>
      <c r="I72" s="55" t="n">
        <v>46013</v>
      </c>
    </row>
    <row r="73" ht="15.75" customHeight="1" s="56">
      <c r="A73" s="55" t="n">
        <v>45992</v>
      </c>
      <c r="B73" s="9" t="inlineStr">
        <is>
          <t>Lê Văn Dựng</t>
        </is>
      </c>
      <c r="C73" s="9" t="inlineStr">
        <is>
          <t>662/BK-2025</t>
        </is>
      </c>
      <c r="D73" s="9" t="inlineStr">
        <is>
          <t>BK-HS-0154</t>
        </is>
      </c>
      <c r="E73" s="9" t="inlineStr">
        <is>
          <t>Cắm mốc</t>
        </is>
      </c>
      <c r="F73" s="9" t="n">
        <v>1200000</v>
      </c>
      <c r="G73" s="9" t="n">
        <v>175000</v>
      </c>
      <c r="H73" s="9" t="n">
        <v>300000</v>
      </c>
      <c r="I73" s="55" t="n">
        <v>46014</v>
      </c>
    </row>
    <row r="74" ht="15.75" customHeight="1" s="56">
      <c r="A74" s="55" t="n">
        <v>45992</v>
      </c>
      <c r="B74" s="9" t="inlineStr">
        <is>
          <t>Lê Văn Dựng</t>
        </is>
      </c>
      <c r="C74" s="9" t="inlineStr">
        <is>
          <t>658-1/BK-2025</t>
        </is>
      </c>
      <c r="D74" s="9" t="inlineStr">
        <is>
          <t>BK-HS-0150</t>
        </is>
      </c>
      <c r="E74" s="9" t="inlineStr">
        <is>
          <t>Đo GPS</t>
        </is>
      </c>
      <c r="F74" s="9" t="n">
        <v>1200000</v>
      </c>
      <c r="G74" s="9" t="n">
        <v>0</v>
      </c>
      <c r="H74" s="9" t="n">
        <v>0</v>
      </c>
      <c r="I74" s="55" t="n">
        <v>46011</v>
      </c>
    </row>
    <row r="75" ht="15.75" customHeight="1" s="56">
      <c r="A75" s="55" t="n">
        <v>45992</v>
      </c>
      <c r="B75" s="9" t="inlineStr">
        <is>
          <t>Lê Văn Dựng</t>
        </is>
      </c>
      <c r="C75" s="9" t="inlineStr">
        <is>
          <t>663/BK-2025</t>
        </is>
      </c>
      <c r="D75" s="9" t="inlineStr">
        <is>
          <t>BK-HS-0153</t>
        </is>
      </c>
      <c r="E75" s="9" t="inlineStr">
        <is>
          <t>Xác định diện tích</t>
        </is>
      </c>
      <c r="F75" s="9" t="n">
        <v>700000</v>
      </c>
      <c r="G75" s="9" t="n">
        <v>0</v>
      </c>
      <c r="H75" s="9" t="n">
        <v>0</v>
      </c>
      <c r="I75" s="55" t="n">
        <v>46016</v>
      </c>
    </row>
    <row r="76" ht="15.75" customHeight="1" s="56">
      <c r="A76" s="55" t="n">
        <v>45992</v>
      </c>
      <c r="B76" s="9" t="inlineStr">
        <is>
          <t>Lê Văn Dựng</t>
        </is>
      </c>
      <c r="C76" s="9" t="inlineStr">
        <is>
          <t>623/BK-2025</t>
        </is>
      </c>
      <c r="D76" s="9" t="inlineStr">
        <is>
          <t>BK-HS-0206</t>
        </is>
      </c>
      <c r="E76" s="9" t="inlineStr">
        <is>
          <t>Hoàn công</t>
        </is>
      </c>
      <c r="F76" s="9" t="n">
        <v>1100000</v>
      </c>
      <c r="G76" s="9" t="n">
        <v>0</v>
      </c>
      <c r="H76" s="9" t="n">
        <v>0</v>
      </c>
      <c r="I76" s="55" t="n">
        <v>46016</v>
      </c>
    </row>
    <row r="77" ht="15.75" customHeight="1" s="56">
      <c r="A77" s="55" t="n">
        <v>45992</v>
      </c>
      <c r="B77" s="9" t="inlineStr">
        <is>
          <t>Lê Văn Dựng</t>
        </is>
      </c>
      <c r="C77" s="9" t="inlineStr">
        <is>
          <t>665-1/BK-2025</t>
        </is>
      </c>
      <c r="D77" s="9" t="inlineStr">
        <is>
          <t>BK-HS-0148</t>
        </is>
      </c>
      <c r="E77" s="9" t="inlineStr">
        <is>
          <t>Đo GPS</t>
        </is>
      </c>
      <c r="F77" s="9" t="n">
        <v>1200000</v>
      </c>
      <c r="G77" s="9" t="n">
        <v>0</v>
      </c>
      <c r="H77" s="9" t="n">
        <v>0</v>
      </c>
      <c r="I77" s="55" t="n">
        <v>46016</v>
      </c>
    </row>
    <row r="78" ht="15.75" customHeight="1" s="56">
      <c r="A78" s="55" t="n">
        <v>45992</v>
      </c>
      <c r="B78" s="9" t="inlineStr">
        <is>
          <t>Lê Văn Dựng</t>
        </is>
      </c>
      <c r="C78" s="9" t="inlineStr">
        <is>
          <t>665-2/BK-2025</t>
        </is>
      </c>
      <c r="D78" s="9" t="inlineStr">
        <is>
          <t>BK-HS-0147</t>
        </is>
      </c>
      <c r="E78" s="9" t="inlineStr">
        <is>
          <t>Cắm mốc</t>
        </is>
      </c>
      <c r="F78" s="9" t="n">
        <v>1200000</v>
      </c>
      <c r="G78" s="9" t="n">
        <v>200000</v>
      </c>
      <c r="H78" s="9" t="n">
        <v>300000</v>
      </c>
      <c r="I78" s="55" t="n">
        <v>46016</v>
      </c>
    </row>
    <row r="79" ht="15.75" customHeight="1" s="56">
      <c r="A79" s="55" t="n">
        <v>45992</v>
      </c>
      <c r="B79" s="9" t="inlineStr">
        <is>
          <t>Lê Văn Dựng</t>
        </is>
      </c>
      <c r="C79" s="9" t="inlineStr">
        <is>
          <t>673/BK-2025</t>
        </is>
      </c>
      <c r="D79" s="9" t="inlineStr">
        <is>
          <t>BK-HS-0137</t>
        </is>
      </c>
      <c r="E79" s="9" t="inlineStr">
        <is>
          <t>Hoàn công</t>
        </is>
      </c>
      <c r="F79" s="9" t="n">
        <v>1100000</v>
      </c>
      <c r="G79" s="9" t="n">
        <v>0</v>
      </c>
      <c r="H79" s="9" t="n">
        <v>0</v>
      </c>
      <c r="I79" s="55" t="n">
        <v>46021</v>
      </c>
    </row>
    <row r="80" ht="15.75" customHeight="1" s="56">
      <c r="A80" s="55" t="n">
        <v>45992</v>
      </c>
      <c r="B80" s="9" t="inlineStr">
        <is>
          <t>Lê Văn Dựng</t>
        </is>
      </c>
      <c r="C80" s="9" t="inlineStr">
        <is>
          <t>659-1/BK-2025</t>
        </is>
      </c>
      <c r="D80" s="9" t="inlineStr">
        <is>
          <t>BK-HS-0136</t>
        </is>
      </c>
      <c r="E80" s="9" t="inlineStr">
        <is>
          <t>Đo GPS</t>
        </is>
      </c>
      <c r="F80" s="9" t="n">
        <v>1200000</v>
      </c>
      <c r="G80" s="9" t="n">
        <v>0</v>
      </c>
      <c r="H80" s="9" t="n">
        <v>0</v>
      </c>
      <c r="I80" s="55" t="n">
        <v>46020</v>
      </c>
    </row>
    <row r="81" ht="15.75" customHeight="1" s="56">
      <c r="A81" s="55" t="n">
        <v>45992</v>
      </c>
      <c r="B81" s="9" t="inlineStr">
        <is>
          <t>Lê Văn Dựng</t>
        </is>
      </c>
      <c r="C81" s="9" t="inlineStr">
        <is>
          <t>675/BK-2025</t>
        </is>
      </c>
      <c r="D81" s="9" t="inlineStr">
        <is>
          <t>BK-HS-0133</t>
        </is>
      </c>
      <c r="E81" s="9" t="inlineStr">
        <is>
          <t>Cắm mốc</t>
        </is>
      </c>
      <c r="F81" s="9" t="n">
        <v>1200000</v>
      </c>
      <c r="G81" s="9" t="n">
        <v>100000</v>
      </c>
      <c r="H81" s="9" t="n">
        <v>0</v>
      </c>
      <c r="I81" s="55" t="n">
        <v>46021</v>
      </c>
    </row>
    <row r="82" ht="15.75" customHeight="1" s="56">
      <c r="A82" s="55" t="n">
        <v>45992</v>
      </c>
      <c r="B82" s="9" t="inlineStr">
        <is>
          <t>Lê Văn Dựng</t>
        </is>
      </c>
      <c r="C82" s="9" t="inlineStr">
        <is>
          <t>652-5/BK-2025</t>
        </is>
      </c>
      <c r="D82" s="9" t="inlineStr">
        <is>
          <t>BK-HS-0145</t>
        </is>
      </c>
      <c r="E82" s="9" t="inlineStr">
        <is>
          <t>Cắm mốc</t>
        </is>
      </c>
      <c r="F82" s="9" t="n">
        <v>300000</v>
      </c>
      <c r="G82" s="9" t="n">
        <v>200000</v>
      </c>
      <c r="H82" s="9" t="n">
        <v>0</v>
      </c>
      <c r="I82" s="55" t="n">
        <v>46017</v>
      </c>
    </row>
    <row r="83" ht="15.75" customHeight="1" s="56">
      <c r="A83" s="55" t="n">
        <v>45962</v>
      </c>
      <c r="B83" s="9" t="inlineStr">
        <is>
          <t>Lê Văn Dựng</t>
        </is>
      </c>
      <c r="C83" s="9" t="inlineStr">
        <is>
          <t>561/BK-2025</t>
        </is>
      </c>
      <c r="D83" s="9" t="inlineStr">
        <is>
          <t>BK-HS-0288</t>
        </is>
      </c>
      <c r="E83" s="9" t="inlineStr">
        <is>
          <t>Cắm mốc</t>
        </is>
      </c>
      <c r="F83" s="9" t="n">
        <v>1200000</v>
      </c>
      <c r="G83" s="9" t="n">
        <v>150000</v>
      </c>
      <c r="H83" s="9" t="n">
        <v>0</v>
      </c>
      <c r="I83" s="55" t="n">
        <v>45965</v>
      </c>
    </row>
    <row r="84" ht="15.75" customHeight="1" s="56">
      <c r="A84" s="55" t="n">
        <v>45962</v>
      </c>
      <c r="B84" s="9" t="inlineStr">
        <is>
          <t>Lê Văn Dựng</t>
        </is>
      </c>
      <c r="C84" s="9" t="inlineStr">
        <is>
          <t>285/BK-2025</t>
        </is>
      </c>
      <c r="E84" s="9" t="inlineStr">
        <is>
          <t>Cấp đổi</t>
        </is>
      </c>
      <c r="F84" s="9" t="n">
        <v>1100000</v>
      </c>
      <c r="G84" s="9" t="n">
        <v>0</v>
      </c>
      <c r="H84" s="9" t="n">
        <v>0</v>
      </c>
      <c r="I84" s="55" t="n">
        <v>45971</v>
      </c>
    </row>
    <row r="85" ht="15.75" customHeight="1" s="56">
      <c r="A85" s="55" t="n">
        <v>45962</v>
      </c>
      <c r="B85" s="9" t="inlineStr">
        <is>
          <t>Lê Văn Dựng</t>
        </is>
      </c>
      <c r="C85" s="9" t="inlineStr">
        <is>
          <t>285-1/BK-2025</t>
        </is>
      </c>
      <c r="D85" s="9" t="inlineStr">
        <is>
          <t>BK-HS-0279</t>
        </is>
      </c>
      <c r="E85" s="9" t="inlineStr">
        <is>
          <t>Đo GPS</t>
        </is>
      </c>
      <c r="F85" s="9" t="n">
        <v>1200000</v>
      </c>
      <c r="G85" s="9" t="n">
        <v>0</v>
      </c>
      <c r="H85" s="9" t="n">
        <v>0</v>
      </c>
      <c r="I85" s="55" t="n">
        <v>45969</v>
      </c>
    </row>
    <row r="86" ht="15.75" customHeight="1" s="56">
      <c r="A86" s="55" t="n">
        <v>45962</v>
      </c>
      <c r="B86" s="9" t="inlineStr">
        <is>
          <t>Lê Văn Dựng</t>
        </is>
      </c>
      <c r="C86" s="9" t="inlineStr">
        <is>
          <t>285-2/BK-2025</t>
        </is>
      </c>
      <c r="D86" s="9" t="inlineStr">
        <is>
          <t>BK-HS-0278</t>
        </is>
      </c>
      <c r="E86" s="9" t="inlineStr">
        <is>
          <t>Cắm mốc</t>
        </is>
      </c>
      <c r="F86" s="9" t="n">
        <v>1200000</v>
      </c>
      <c r="G86" s="9" t="n">
        <v>200000</v>
      </c>
      <c r="H86" s="9" t="n">
        <v>0</v>
      </c>
      <c r="I86" s="55" t="n">
        <v>45969</v>
      </c>
    </row>
    <row r="87" ht="15.75" customHeight="1" s="56">
      <c r="A87" s="55" t="n">
        <v>45962</v>
      </c>
      <c r="B87" s="9" t="inlineStr">
        <is>
          <t>Lê Văn Dựng</t>
        </is>
      </c>
      <c r="C87" s="9" t="inlineStr">
        <is>
          <t>570/BK-2025</t>
        </is>
      </c>
      <c r="D87" s="9" t="inlineStr">
        <is>
          <t>BK-HS-0275</t>
        </is>
      </c>
      <c r="E87" s="9" t="inlineStr">
        <is>
          <t>Cắm mốc</t>
        </is>
      </c>
      <c r="F87" s="9" t="n">
        <v>1200000</v>
      </c>
      <c r="G87" s="9" t="n">
        <v>100000</v>
      </c>
      <c r="H87" s="9" t="n">
        <v>0</v>
      </c>
      <c r="I87" s="55" t="n">
        <v>45971</v>
      </c>
    </row>
    <row r="88" ht="15.75" customHeight="1" s="56">
      <c r="A88" s="55" t="n">
        <v>45962</v>
      </c>
      <c r="B88" s="9" t="inlineStr">
        <is>
          <t>Lê Văn Dựng</t>
        </is>
      </c>
      <c r="C88" s="9" t="inlineStr">
        <is>
          <t>571/BK-2025</t>
        </is>
      </c>
      <c r="D88" s="9" t="inlineStr">
        <is>
          <t>BK-HS-0274</t>
        </is>
      </c>
      <c r="E88" s="9" t="inlineStr">
        <is>
          <t>Xác định diện tích</t>
        </is>
      </c>
      <c r="F88" s="9" t="n">
        <v>700000</v>
      </c>
      <c r="G88" s="9" t="n">
        <v>0</v>
      </c>
      <c r="H88" s="9" t="n">
        <v>0</v>
      </c>
      <c r="I88" s="55" t="n">
        <v>45971</v>
      </c>
    </row>
    <row r="89" ht="15.75" customHeight="1" s="56">
      <c r="A89" s="55" t="n">
        <v>45962</v>
      </c>
      <c r="B89" s="9" t="inlineStr">
        <is>
          <t>Lê Văn Dựng</t>
        </is>
      </c>
      <c r="C89" s="9" t="inlineStr">
        <is>
          <t>572/BK-2025</t>
        </is>
      </c>
      <c r="D89" s="9" t="inlineStr">
        <is>
          <t>BK-HS-0273</t>
        </is>
      </c>
      <c r="E89" s="9" t="inlineStr">
        <is>
          <t>Xác định diện tích</t>
        </is>
      </c>
      <c r="F89" s="9" t="n">
        <v>700000</v>
      </c>
      <c r="G89" s="9" t="n">
        <v>0</v>
      </c>
      <c r="H89" s="9" t="n">
        <v>0</v>
      </c>
      <c r="I89" s="55" t="n">
        <v>45971</v>
      </c>
    </row>
    <row r="90" ht="15.75" customHeight="1" s="56">
      <c r="A90" s="55" t="n">
        <v>45962</v>
      </c>
      <c r="B90" s="9" t="inlineStr">
        <is>
          <t>Lê Văn Dựng</t>
        </is>
      </c>
      <c r="C90" s="9" t="inlineStr">
        <is>
          <t>573/BK-2025</t>
        </is>
      </c>
      <c r="D90" s="9" t="inlineStr">
        <is>
          <t>BK-HS-0272</t>
        </is>
      </c>
      <c r="E90" s="9" t="inlineStr">
        <is>
          <t>Xác định diện tích</t>
        </is>
      </c>
      <c r="F90" s="9" t="n">
        <v>700000</v>
      </c>
      <c r="G90" s="9" t="n">
        <v>0</v>
      </c>
      <c r="H90" s="9" t="n">
        <v>0</v>
      </c>
      <c r="I90" s="55" t="n">
        <v>45971</v>
      </c>
    </row>
    <row r="91" ht="15.75" customHeight="1" s="56">
      <c r="A91" s="55" t="n">
        <v>45962</v>
      </c>
      <c r="B91" s="9" t="inlineStr">
        <is>
          <t>Lê Văn Dựng</t>
        </is>
      </c>
      <c r="C91" s="9" t="inlineStr">
        <is>
          <t>576/BK-2025</t>
        </is>
      </c>
      <c r="D91" s="9" t="inlineStr">
        <is>
          <t>BK-HS-0269</t>
        </is>
      </c>
      <c r="E91" s="9" t="inlineStr">
        <is>
          <t>Cấp đổi</t>
        </is>
      </c>
      <c r="F91" s="9" t="n">
        <v>1100000</v>
      </c>
      <c r="G91" s="9" t="n">
        <v>0</v>
      </c>
      <c r="H91" s="9" t="n">
        <v>0</v>
      </c>
      <c r="I91" s="55" t="n">
        <v>45973</v>
      </c>
    </row>
    <row r="92" ht="15.75" customHeight="1" s="56">
      <c r="A92" s="55" t="n">
        <v>45962</v>
      </c>
      <c r="B92" s="9" t="inlineStr">
        <is>
          <t>Lê Văn Dựng</t>
        </is>
      </c>
      <c r="C92" s="9" t="inlineStr">
        <is>
          <t>524/BK-2025</t>
        </is>
      </c>
      <c r="E92" s="9" t="inlineStr">
        <is>
          <t>Hoàn công</t>
        </is>
      </c>
      <c r="F92" s="9" t="n">
        <v>1100000</v>
      </c>
      <c r="G92" s="9" t="n">
        <v>0</v>
      </c>
      <c r="H92" s="9" t="n">
        <v>0</v>
      </c>
      <c r="I92" s="55" t="n">
        <v>45982</v>
      </c>
    </row>
    <row r="93" ht="15.75" customHeight="1" s="56">
      <c r="A93" s="55" t="n">
        <v>45962</v>
      </c>
      <c r="B93" s="9" t="inlineStr">
        <is>
          <t>Lê Văn Dựng</t>
        </is>
      </c>
      <c r="C93" s="9" t="inlineStr">
        <is>
          <t>600/BK-2025</t>
        </is>
      </c>
      <c r="D93" s="9" t="inlineStr">
        <is>
          <t>BK-HS-0242</t>
        </is>
      </c>
      <c r="E93" s="9" t="inlineStr">
        <is>
          <t>Xác định diện tích</t>
        </is>
      </c>
      <c r="F93" s="9" t="n">
        <v>700000</v>
      </c>
      <c r="G93" s="9" t="n">
        <v>0</v>
      </c>
      <c r="H93" s="9" t="n">
        <v>0</v>
      </c>
      <c r="I93" s="55" t="n">
        <v>45989</v>
      </c>
    </row>
    <row r="94" ht="15.75" customHeight="1" s="56">
      <c r="A94" s="55" t="n">
        <v>45962</v>
      </c>
      <c r="B94" s="9" t="inlineStr">
        <is>
          <t>Lê Văn Dựng</t>
        </is>
      </c>
      <c r="C94" s="9" t="inlineStr">
        <is>
          <t>599/BK-2025</t>
        </is>
      </c>
      <c r="D94" s="9" t="inlineStr">
        <is>
          <t>BK-HS-0243</t>
        </is>
      </c>
      <c r="E94" s="9" t="inlineStr">
        <is>
          <t>Xác định diện tích</t>
        </is>
      </c>
      <c r="F94" s="9" t="n">
        <v>700000</v>
      </c>
      <c r="G94" s="9" t="n">
        <v>0</v>
      </c>
      <c r="H94" s="9" t="n">
        <v>0</v>
      </c>
      <c r="I94" s="55" t="n">
        <v>45989</v>
      </c>
    </row>
    <row r="95" ht="15.75" customHeight="1" s="56">
      <c r="A95" s="55" t="n">
        <v>45962</v>
      </c>
      <c r="B95" s="9" t="inlineStr">
        <is>
          <t>Lê Văn Dựng</t>
        </is>
      </c>
      <c r="C95" s="9" t="inlineStr">
        <is>
          <t>458/BK-2025</t>
        </is>
      </c>
      <c r="E95" s="9" t="inlineStr">
        <is>
          <t>Cấp đổi</t>
        </is>
      </c>
      <c r="F95" s="9" t="n">
        <v>1100000</v>
      </c>
      <c r="G95" s="9" t="n">
        <v>0</v>
      </c>
      <c r="H95" s="9" t="n">
        <v>0</v>
      </c>
      <c r="I95" s="55" t="n">
        <v>45989</v>
      </c>
    </row>
    <row r="96" ht="15.75" customHeight="1" s="56">
      <c r="A96" s="55" t="n">
        <v>45962</v>
      </c>
      <c r="B96" s="9" t="inlineStr">
        <is>
          <t>Lê Văn Dựng</t>
        </is>
      </c>
      <c r="C96" s="9" t="inlineStr">
        <is>
          <t>458-1/BK-2025</t>
        </is>
      </c>
      <c r="D96" s="9" t="inlineStr">
        <is>
          <t>BK-HS-0236</t>
        </is>
      </c>
      <c r="E96" s="9" t="inlineStr">
        <is>
          <t>Cắm mốc</t>
        </is>
      </c>
      <c r="F96" s="9" t="n">
        <v>1200000</v>
      </c>
      <c r="G96" s="9" t="n">
        <v>250000</v>
      </c>
      <c r="H96" s="9" t="n">
        <v>0</v>
      </c>
      <c r="I96" s="55" t="n">
        <v>45990</v>
      </c>
    </row>
    <row r="97" ht="15.75" customHeight="1" s="56">
      <c r="A97" s="55" t="n">
        <v>45962</v>
      </c>
      <c r="B97" s="9" t="inlineStr">
        <is>
          <t>Lê Văn Dựng</t>
        </is>
      </c>
      <c r="C97" s="9" t="inlineStr">
        <is>
          <t>603-1/BK-2025</t>
        </is>
      </c>
      <c r="D97" s="9" t="inlineStr">
        <is>
          <t>BK-HS-0234</t>
        </is>
      </c>
      <c r="E97" s="9" t="inlineStr">
        <is>
          <t>Cắm mốc</t>
        </is>
      </c>
      <c r="F97" s="9" t="n">
        <v>1200000</v>
      </c>
      <c r="G97" s="9" t="n">
        <v>200000</v>
      </c>
      <c r="H97" s="9" t="n">
        <v>0</v>
      </c>
      <c r="I97" s="55" t="n">
        <v>45990</v>
      </c>
    </row>
    <row r="98" ht="15.75" customHeight="1" s="56">
      <c r="A98" s="55" t="n">
        <v>45962</v>
      </c>
      <c r="B98" s="9" t="inlineStr">
        <is>
          <t>Lê Văn Dựng</t>
        </is>
      </c>
      <c r="C98" s="9" t="inlineStr">
        <is>
          <t>603-2/BK-2025</t>
        </is>
      </c>
      <c r="D98" s="9" t="inlineStr">
        <is>
          <t>BK-HS-0233</t>
        </is>
      </c>
      <c r="E98" s="9" t="inlineStr">
        <is>
          <t>Đo GPS</t>
        </is>
      </c>
      <c r="F98" s="9" t="n">
        <v>1200000</v>
      </c>
      <c r="G98" s="9" t="n">
        <v>0</v>
      </c>
      <c r="H98" s="9" t="n">
        <v>0</v>
      </c>
      <c r="I98" s="55" t="n">
        <v>45990</v>
      </c>
    </row>
    <row r="99" ht="15.75" customHeight="1" s="56">
      <c r="A99" s="55" t="n">
        <v>45962</v>
      </c>
      <c r="B99" s="9" t="inlineStr">
        <is>
          <t>Lê Văn Dựng</t>
        </is>
      </c>
      <c r="C99" s="9" t="inlineStr">
        <is>
          <t>526-1/BK-2025</t>
        </is>
      </c>
      <c r="D99" s="9" t="inlineStr">
        <is>
          <t>BK-HS-0230</t>
        </is>
      </c>
      <c r="E99" s="9" t="inlineStr">
        <is>
          <t>Cắm mốc</t>
        </is>
      </c>
      <c r="F99" s="9" t="n">
        <v>1200000</v>
      </c>
      <c r="G99" s="9" t="n">
        <v>100000</v>
      </c>
      <c r="H99" s="9" t="n">
        <v>0</v>
      </c>
      <c r="I99" s="55" t="n">
        <v>45990</v>
      </c>
    </row>
    <row r="100" ht="15.75" customHeight="1" s="56">
      <c r="A100" s="55" t="n">
        <v>45931</v>
      </c>
      <c r="B100" s="9" t="inlineStr">
        <is>
          <t>Lê Văn Dựng</t>
        </is>
      </c>
      <c r="C100" s="9" t="inlineStr">
        <is>
          <t>461/BK-2025</t>
        </is>
      </c>
      <c r="E100" s="9" t="inlineStr">
        <is>
          <t>Cấp đổi</t>
        </is>
      </c>
      <c r="F100" s="9" t="n">
        <v>1100000</v>
      </c>
      <c r="G100" s="9" t="n">
        <v>0</v>
      </c>
      <c r="H100" s="9" t="n">
        <v>0</v>
      </c>
      <c r="I100" s="55" t="n">
        <v>45931</v>
      </c>
    </row>
    <row r="101" ht="15.75" customHeight="1" s="56">
      <c r="A101" s="55" t="n">
        <v>45931</v>
      </c>
      <c r="B101" s="9" t="inlineStr">
        <is>
          <t>Lê Văn Dựng</t>
        </is>
      </c>
      <c r="C101" s="9" t="inlineStr">
        <is>
          <t>479-2/BK-2025</t>
        </is>
      </c>
      <c r="E101" s="9" t="inlineStr">
        <is>
          <t>Đo GPS</t>
        </is>
      </c>
      <c r="F101" s="9" t="n">
        <v>1200000</v>
      </c>
      <c r="G101" s="9" t="n">
        <v>0</v>
      </c>
      <c r="H101" s="9" t="n">
        <v>0</v>
      </c>
      <c r="I101" s="55" t="n">
        <v>45932</v>
      </c>
    </row>
    <row r="102" ht="15.75" customHeight="1" s="56">
      <c r="A102" s="55" t="n">
        <v>45931</v>
      </c>
      <c r="B102" s="9" t="inlineStr">
        <is>
          <t>Lê Văn Dựng</t>
        </is>
      </c>
      <c r="C102" s="9" t="inlineStr">
        <is>
          <t>445/BK-2025</t>
        </is>
      </c>
      <c r="E102" s="9" t="inlineStr">
        <is>
          <t>Cấp đổi</t>
        </is>
      </c>
      <c r="F102" s="9" t="n">
        <v>1100000</v>
      </c>
      <c r="G102" s="9" t="n">
        <v>0</v>
      </c>
      <c r="H102" s="9" t="n">
        <v>0</v>
      </c>
      <c r="I102" s="55" t="n">
        <v>45933</v>
      </c>
    </row>
    <row r="103" ht="15.75" customHeight="1" s="56">
      <c r="A103" s="55" t="n">
        <v>45931</v>
      </c>
      <c r="B103" s="9" t="inlineStr">
        <is>
          <t>Lê Văn Dựng</t>
        </is>
      </c>
      <c r="C103" s="9" t="inlineStr">
        <is>
          <t>493/BK-2025</t>
        </is>
      </c>
      <c r="E103" s="9" t="inlineStr">
        <is>
          <t>Cắm mốc</t>
        </is>
      </c>
      <c r="F103" s="9" t="n">
        <v>1200000</v>
      </c>
      <c r="G103" s="9" t="n">
        <v>0</v>
      </c>
      <c r="H103" s="9" t="n">
        <v>0</v>
      </c>
      <c r="I103" s="55" t="n">
        <v>45932</v>
      </c>
    </row>
    <row r="104" ht="15.75" customHeight="1" s="56">
      <c r="A104" s="55" t="n">
        <v>45931</v>
      </c>
      <c r="B104" s="9" t="inlineStr">
        <is>
          <t>Lê Văn Dựng</t>
        </is>
      </c>
      <c r="C104" s="9" t="inlineStr">
        <is>
          <t>515/BK-2025</t>
        </is>
      </c>
      <c r="E104" s="9" t="inlineStr">
        <is>
          <t>Đo GPS</t>
        </is>
      </c>
      <c r="F104" s="9" t="n">
        <v>1200000</v>
      </c>
      <c r="G104" s="9" t="n">
        <v>0</v>
      </c>
      <c r="H104" s="9" t="n">
        <v>0</v>
      </c>
      <c r="I104" s="55" t="n">
        <v>45940</v>
      </c>
    </row>
    <row r="105" ht="15.75" customHeight="1" s="56">
      <c r="A105" s="55" t="n">
        <v>45931</v>
      </c>
      <c r="B105" s="9" t="inlineStr">
        <is>
          <t>Lê Văn Dựng</t>
        </is>
      </c>
      <c r="C105" s="9" t="inlineStr">
        <is>
          <t>516/BK-2025</t>
        </is>
      </c>
      <c r="E105" s="9" t="inlineStr">
        <is>
          <t>Đo GPS</t>
        </is>
      </c>
      <c r="F105" s="9" t="n">
        <v>1200000</v>
      </c>
      <c r="G105" s="9" t="n">
        <v>0</v>
      </c>
      <c r="H105" s="9" t="n">
        <v>0</v>
      </c>
      <c r="I105" s="55" t="n">
        <v>45940</v>
      </c>
    </row>
    <row r="106" ht="15.75" customHeight="1" s="56">
      <c r="A106" s="55" t="n">
        <v>45931</v>
      </c>
      <c r="B106" s="9" t="inlineStr">
        <is>
          <t>Lê Văn Dựng</t>
        </is>
      </c>
      <c r="C106" s="9" t="inlineStr">
        <is>
          <t>517/BK-2025</t>
        </is>
      </c>
      <c r="E106" s="9" t="inlineStr">
        <is>
          <t>Đo GPS</t>
        </is>
      </c>
      <c r="F106" s="9" t="n">
        <v>1200000</v>
      </c>
      <c r="G106" s="9" t="n">
        <v>0</v>
      </c>
      <c r="H106" s="9" t="n">
        <v>0</v>
      </c>
      <c r="I106" s="55" t="n">
        <v>45940</v>
      </c>
    </row>
    <row r="107" ht="15.75" customHeight="1" s="56">
      <c r="A107" s="55" t="n">
        <v>45931</v>
      </c>
      <c r="B107" s="9" t="inlineStr">
        <is>
          <t>Lê Văn Dựng</t>
        </is>
      </c>
      <c r="C107" s="9" t="inlineStr">
        <is>
          <t>520/BK-2025</t>
        </is>
      </c>
      <c r="E107" s="9" t="inlineStr">
        <is>
          <t>Cắm mốc</t>
        </is>
      </c>
      <c r="F107" s="9" t="n">
        <v>1200000</v>
      </c>
      <c r="G107" s="9" t="n">
        <v>100000</v>
      </c>
      <c r="H107" s="9" t="n">
        <v>0</v>
      </c>
      <c r="I107" s="55" t="n">
        <v>45943</v>
      </c>
    </row>
    <row r="108" ht="15.75" customHeight="1" s="56">
      <c r="A108" s="55" t="n">
        <v>45931</v>
      </c>
      <c r="B108" s="9" t="inlineStr">
        <is>
          <t>Lê Văn Dựng</t>
        </is>
      </c>
      <c r="C108" s="9" t="inlineStr">
        <is>
          <t>525/BK-2025</t>
        </is>
      </c>
      <c r="E108" s="9" t="inlineStr">
        <is>
          <t>Xác định diện tích</t>
        </is>
      </c>
      <c r="F108" s="9" t="n">
        <v>700000</v>
      </c>
      <c r="G108" s="9" t="n">
        <v>0</v>
      </c>
      <c r="H108" s="9" t="n">
        <v>0</v>
      </c>
      <c r="I108" s="55" t="n">
        <v>45945</v>
      </c>
    </row>
    <row r="109" ht="15.75" customHeight="1" s="56">
      <c r="A109" s="55" t="n">
        <v>45931</v>
      </c>
      <c r="B109" s="9" t="inlineStr">
        <is>
          <t>Lê Văn Dựng</t>
        </is>
      </c>
      <c r="C109" s="9" t="inlineStr">
        <is>
          <t>530/BK-2025</t>
        </is>
      </c>
      <c r="E109" s="9" t="inlineStr">
        <is>
          <t>Đo GPS</t>
        </is>
      </c>
      <c r="F109" s="9" t="n">
        <v>1200000</v>
      </c>
      <c r="G109" s="9" t="n">
        <v>0</v>
      </c>
      <c r="H109" s="9" t="n">
        <v>0</v>
      </c>
      <c r="I109" s="55" t="n">
        <v>45947</v>
      </c>
    </row>
    <row r="110" ht="15.75" customHeight="1" s="56">
      <c r="A110" s="55" t="n">
        <v>45931</v>
      </c>
      <c r="B110" s="9" t="inlineStr">
        <is>
          <t>Lê Văn Dựng</t>
        </is>
      </c>
      <c r="C110" s="9" t="inlineStr">
        <is>
          <t>460-3/BK-2025</t>
        </is>
      </c>
      <c r="E110" s="9" t="inlineStr">
        <is>
          <t>Cắm mốc</t>
        </is>
      </c>
      <c r="F110" s="9" t="n">
        <v>1200000</v>
      </c>
      <c r="G110" s="9" t="n">
        <v>375000</v>
      </c>
      <c r="H110" s="9" t="n">
        <v>0</v>
      </c>
      <c r="I110" s="55" t="n">
        <v>45948</v>
      </c>
    </row>
    <row r="111" ht="15.75" customHeight="1" s="56">
      <c r="A111" s="55" t="n">
        <v>45931</v>
      </c>
      <c r="B111" s="9" t="inlineStr">
        <is>
          <t>Lê Văn Dựng</t>
        </is>
      </c>
      <c r="C111" s="9" t="inlineStr">
        <is>
          <t>455-3/BK-2025</t>
        </is>
      </c>
      <c r="E111" s="9" t="inlineStr">
        <is>
          <t>Cắm mốc</t>
        </is>
      </c>
      <c r="F111" s="9" t="n">
        <v>1200000</v>
      </c>
      <c r="G111" s="9" t="n">
        <v>275000</v>
      </c>
      <c r="H111" s="9" t="n">
        <v>0</v>
      </c>
      <c r="I111" s="55" t="n">
        <v>45948</v>
      </c>
    </row>
    <row r="112" ht="15.75" customHeight="1" s="56">
      <c r="A112" s="55" t="n">
        <v>45931</v>
      </c>
      <c r="B112" s="9" t="inlineStr">
        <is>
          <t>Lê Văn Dựng</t>
        </is>
      </c>
      <c r="C112" s="9" t="inlineStr">
        <is>
          <t>456-3/BK-2025</t>
        </is>
      </c>
      <c r="E112" s="9" t="inlineStr">
        <is>
          <t>Cắm mốc</t>
        </is>
      </c>
      <c r="F112" s="9" t="n">
        <v>1200000</v>
      </c>
      <c r="G112" s="9" t="n">
        <v>250000</v>
      </c>
      <c r="H112" s="9" t="n">
        <v>0</v>
      </c>
      <c r="I112" s="55" t="n">
        <v>45948</v>
      </c>
    </row>
    <row r="113" ht="15.75" customHeight="1" s="56">
      <c r="A113" s="55" t="n">
        <v>45931</v>
      </c>
      <c r="B113" s="9" t="inlineStr">
        <is>
          <t>Lê Văn Dựng</t>
        </is>
      </c>
      <c r="C113" s="9" t="inlineStr">
        <is>
          <t>457-3/BK-2025</t>
        </is>
      </c>
      <c r="E113" s="9" t="inlineStr">
        <is>
          <t>Cắm mốc</t>
        </is>
      </c>
      <c r="F113" s="9" t="n">
        <v>1200000</v>
      </c>
      <c r="G113" s="9" t="n">
        <v>400000</v>
      </c>
      <c r="H113" s="9" t="n">
        <v>0</v>
      </c>
      <c r="I113" s="55" t="n">
        <v>45948</v>
      </c>
    </row>
    <row r="114" ht="15.75" customHeight="1" s="56">
      <c r="A114" s="55" t="n">
        <v>45931</v>
      </c>
      <c r="B114" s="9" t="inlineStr">
        <is>
          <t>Lê Văn Dựng</t>
        </is>
      </c>
      <c r="C114" s="9" t="inlineStr">
        <is>
          <t>461-3/BK-2025</t>
        </is>
      </c>
      <c r="E114" s="9" t="inlineStr">
        <is>
          <t>Cắm mốc</t>
        </is>
      </c>
      <c r="F114" s="9" t="n">
        <v>1200000</v>
      </c>
      <c r="G114" s="9" t="n">
        <v>350000</v>
      </c>
      <c r="H114" s="9" t="n">
        <v>0</v>
      </c>
      <c r="I114" s="55" t="n">
        <v>45948</v>
      </c>
    </row>
    <row r="115" ht="15.75" customHeight="1" s="56">
      <c r="A115" s="55" t="n">
        <v>45931</v>
      </c>
      <c r="B115" s="9" t="inlineStr">
        <is>
          <t>Lê Văn Dựng</t>
        </is>
      </c>
      <c r="C115" s="9" t="inlineStr">
        <is>
          <t>459-3/BK-2025</t>
        </is>
      </c>
      <c r="E115" s="9" t="inlineStr">
        <is>
          <t>Cắm mốc</t>
        </is>
      </c>
      <c r="F115" s="9" t="n">
        <v>1200000</v>
      </c>
      <c r="G115" s="9" t="n">
        <v>150000</v>
      </c>
      <c r="H115" s="9" t="n">
        <v>0</v>
      </c>
      <c r="I115" s="55" t="n">
        <v>45948</v>
      </c>
    </row>
    <row r="116" ht="15.75" customHeight="1" s="56">
      <c r="A116" s="55" t="n">
        <v>45931</v>
      </c>
      <c r="B116" s="9" t="inlineStr">
        <is>
          <t>Lê Văn Dựng</t>
        </is>
      </c>
      <c r="C116" s="9" t="inlineStr">
        <is>
          <t>484-2/BK-2025</t>
        </is>
      </c>
      <c r="E116" s="9" t="inlineStr">
        <is>
          <t>Cắm mốc</t>
        </is>
      </c>
      <c r="F116" s="9" t="n">
        <v>1200000</v>
      </c>
      <c r="G116" s="9" t="n">
        <v>150000</v>
      </c>
      <c r="H116" s="9" t="n">
        <v>0</v>
      </c>
      <c r="I116" s="55" t="n">
        <v>45948</v>
      </c>
    </row>
    <row r="117" ht="15.75" customHeight="1" s="56">
      <c r="A117" s="55" t="n">
        <v>45931</v>
      </c>
      <c r="B117" s="9" t="inlineStr">
        <is>
          <t>Lê Văn Dựng</t>
        </is>
      </c>
      <c r="C117" s="9" t="inlineStr">
        <is>
          <t>485/BK-2025</t>
        </is>
      </c>
      <c r="E117" s="9" t="inlineStr">
        <is>
          <t>Cấp đổi</t>
        </is>
      </c>
      <c r="F117" s="9" t="n">
        <v>1100000</v>
      </c>
      <c r="G117" s="9" t="n">
        <v>0</v>
      </c>
      <c r="H117" s="9" t="n">
        <v>0</v>
      </c>
      <c r="I117" s="55" t="n">
        <v>45950</v>
      </c>
    </row>
    <row r="118" ht="15.75" customHeight="1" s="56">
      <c r="A118" s="55" t="n">
        <v>45931</v>
      </c>
      <c r="B118" s="9" t="inlineStr">
        <is>
          <t>Lê Văn Dựng</t>
        </is>
      </c>
      <c r="C118" s="9" t="inlineStr">
        <is>
          <t>486/BK-2025</t>
        </is>
      </c>
      <c r="E118" s="9" t="inlineStr">
        <is>
          <t>Cấp đổi</t>
        </is>
      </c>
      <c r="F118" s="9" t="n">
        <v>1100000</v>
      </c>
      <c r="G118" s="9" t="n">
        <v>0</v>
      </c>
      <c r="H118" s="9" t="n">
        <v>0</v>
      </c>
      <c r="I118" s="55" t="n">
        <v>45950</v>
      </c>
    </row>
    <row r="119" ht="15.75" customHeight="1" s="56">
      <c r="A119" s="55" t="n">
        <v>45931</v>
      </c>
      <c r="B119" s="9" t="inlineStr">
        <is>
          <t>Lê Văn Dựng</t>
        </is>
      </c>
      <c r="C119" s="9" t="inlineStr">
        <is>
          <t>519/BK-2025</t>
        </is>
      </c>
      <c r="E119" s="9" t="inlineStr">
        <is>
          <t>Cấp đổi</t>
        </is>
      </c>
      <c r="F119" s="9" t="n">
        <v>1100000</v>
      </c>
      <c r="G119" s="9" t="n">
        <v>0</v>
      </c>
      <c r="H119" s="9" t="n">
        <v>0</v>
      </c>
      <c r="I119" s="55" t="n">
        <v>45950</v>
      </c>
    </row>
    <row r="120" ht="15.75" customHeight="1" s="56">
      <c r="A120" s="55" t="n">
        <v>45931</v>
      </c>
      <c r="B120" s="9" t="inlineStr">
        <is>
          <t>Lê Văn Dựng</t>
        </is>
      </c>
      <c r="C120" s="9" t="inlineStr">
        <is>
          <t>519-2/BK-2025</t>
        </is>
      </c>
      <c r="E120" s="9" t="inlineStr">
        <is>
          <t>Đo GPS</t>
        </is>
      </c>
      <c r="F120" s="9" t="n">
        <v>1200000</v>
      </c>
      <c r="G120" s="9" t="n">
        <v>0</v>
      </c>
      <c r="H120" s="9" t="n">
        <v>0</v>
      </c>
      <c r="I120" s="55" t="n">
        <v>45951</v>
      </c>
    </row>
    <row r="121" ht="15.75" customHeight="1" s="56">
      <c r="A121" s="55" t="n">
        <v>45931</v>
      </c>
      <c r="B121" s="9" t="inlineStr">
        <is>
          <t>Lê Văn Dựng</t>
        </is>
      </c>
      <c r="C121" s="9" t="inlineStr">
        <is>
          <t>485-1/BK-2025</t>
        </is>
      </c>
      <c r="E121" s="9" t="inlineStr">
        <is>
          <t>Cắm mốc</t>
        </is>
      </c>
      <c r="F121" s="9" t="n">
        <v>1200000</v>
      </c>
      <c r="G121" s="9" t="n">
        <v>325000</v>
      </c>
      <c r="H121" s="9" t="n">
        <v>0</v>
      </c>
      <c r="I121" s="55" t="n">
        <v>45951</v>
      </c>
    </row>
    <row r="122" ht="15.75" customHeight="1" s="56">
      <c r="A122" s="55" t="n">
        <v>45931</v>
      </c>
      <c r="B122" s="9" t="inlineStr">
        <is>
          <t>Lê Văn Dựng</t>
        </is>
      </c>
      <c r="C122" s="9" t="inlineStr">
        <is>
          <t>485-2/BK-2025</t>
        </is>
      </c>
      <c r="E122" s="9" t="inlineStr">
        <is>
          <t>Đo GPS</t>
        </is>
      </c>
      <c r="F122" s="9" t="n">
        <v>1200000</v>
      </c>
      <c r="G122" s="9" t="n">
        <v>0</v>
      </c>
      <c r="H122" s="9" t="n">
        <v>0</v>
      </c>
      <c r="I122" s="55" t="n">
        <v>45951</v>
      </c>
    </row>
    <row r="123" ht="15.75" customHeight="1" s="56">
      <c r="A123" s="55" t="n">
        <v>45931</v>
      </c>
      <c r="B123" s="9" t="inlineStr">
        <is>
          <t>Lê Văn Dựng</t>
        </is>
      </c>
      <c r="C123" s="9" t="inlineStr">
        <is>
          <t>486-1/BK-2025</t>
        </is>
      </c>
      <c r="E123" s="9" t="inlineStr">
        <is>
          <t>Cắm mốc</t>
        </is>
      </c>
      <c r="F123" s="9" t="n">
        <v>1200000</v>
      </c>
      <c r="G123" s="9" t="n">
        <v>175000</v>
      </c>
      <c r="H123" s="9" t="n">
        <v>0</v>
      </c>
      <c r="I123" s="55" t="n">
        <v>45951</v>
      </c>
    </row>
    <row r="124" ht="15.75" customHeight="1" s="56">
      <c r="A124" s="55" t="n">
        <v>45931</v>
      </c>
      <c r="B124" s="9" t="inlineStr">
        <is>
          <t>Lê Văn Dựng</t>
        </is>
      </c>
      <c r="C124" s="9" t="inlineStr">
        <is>
          <t>486-2/BK-2025</t>
        </is>
      </c>
      <c r="E124" s="9" t="inlineStr">
        <is>
          <t>Đo GPS</t>
        </is>
      </c>
      <c r="F124" s="9" t="n">
        <v>1200000</v>
      </c>
      <c r="G124" s="9" t="n">
        <v>0</v>
      </c>
      <c r="H124" s="9" t="n">
        <v>0</v>
      </c>
      <c r="I124" s="55" t="n">
        <v>45951</v>
      </c>
    </row>
    <row r="125" ht="15.75" customHeight="1" s="56">
      <c r="A125" s="55" t="n">
        <v>45931</v>
      </c>
      <c r="B125" s="9" t="inlineStr">
        <is>
          <t>Lê Văn Dựng</t>
        </is>
      </c>
      <c r="C125" s="9" t="inlineStr">
        <is>
          <t>535-1/BK-2025</t>
        </is>
      </c>
      <c r="E125" s="9" t="inlineStr">
        <is>
          <t>Đo GPS</t>
        </is>
      </c>
      <c r="F125" s="9" t="n">
        <v>1200000</v>
      </c>
      <c r="G125" s="9" t="n">
        <v>0</v>
      </c>
      <c r="H125" s="9" t="n">
        <v>0</v>
      </c>
      <c r="I125" s="55" t="n">
        <v>45951</v>
      </c>
    </row>
    <row r="126" ht="15.75" customHeight="1" s="56">
      <c r="A126" s="55" t="n">
        <v>45931</v>
      </c>
      <c r="B126" s="9" t="inlineStr">
        <is>
          <t>Lê Văn Dựng</t>
        </is>
      </c>
      <c r="C126" s="9" t="inlineStr">
        <is>
          <t>487-1/BK-2025</t>
        </is>
      </c>
      <c r="E126" s="9" t="inlineStr">
        <is>
          <t>Cắm mốc</t>
        </is>
      </c>
      <c r="F126" s="9" t="n">
        <v>1200000</v>
      </c>
      <c r="G126" s="9" t="n">
        <v>150000</v>
      </c>
      <c r="H126" s="9" t="n">
        <v>0</v>
      </c>
      <c r="I126" s="55" t="n">
        <v>45951</v>
      </c>
    </row>
    <row r="127" ht="15.75" customHeight="1" s="56">
      <c r="A127" s="55" t="n">
        <v>45931</v>
      </c>
      <c r="B127" s="9" t="inlineStr">
        <is>
          <t>Lê Văn Dựng</t>
        </is>
      </c>
      <c r="C127" s="9" t="inlineStr">
        <is>
          <t>487-2/BK-2025</t>
        </is>
      </c>
      <c r="E127" s="9" t="inlineStr">
        <is>
          <t>Đo GPS</t>
        </is>
      </c>
      <c r="F127" s="9" t="n">
        <v>1200000</v>
      </c>
      <c r="G127" s="9" t="n">
        <v>0</v>
      </c>
      <c r="H127" s="9" t="n">
        <v>0</v>
      </c>
      <c r="I127" s="55" t="n">
        <v>45951</v>
      </c>
    </row>
    <row r="128" ht="15.75" customHeight="1" s="56">
      <c r="A128" s="55" t="n">
        <v>45931</v>
      </c>
      <c r="B128" s="9" t="inlineStr">
        <is>
          <t>Lê Văn Dựng</t>
        </is>
      </c>
      <c r="C128" s="9" t="inlineStr">
        <is>
          <t>488-1/BK-2025</t>
        </is>
      </c>
      <c r="E128" s="9" t="inlineStr">
        <is>
          <t>Cắm mốc</t>
        </is>
      </c>
      <c r="F128" s="9" t="n">
        <v>1200000</v>
      </c>
      <c r="G128" s="9" t="n">
        <v>150000</v>
      </c>
      <c r="H128" s="9" t="n">
        <v>0</v>
      </c>
      <c r="I128" s="55" t="n">
        <v>45951</v>
      </c>
    </row>
    <row r="129" ht="15.75" customHeight="1" s="56">
      <c r="A129" s="55" t="n">
        <v>45931</v>
      </c>
      <c r="B129" s="9" t="inlineStr">
        <is>
          <t>Lê Văn Dựng</t>
        </is>
      </c>
      <c r="C129" s="9" t="inlineStr">
        <is>
          <t>488-2/BK-2025</t>
        </is>
      </c>
      <c r="D129" s="9" t="inlineStr">
        <is>
          <t>BK-HS-0320</t>
        </is>
      </c>
      <c r="E129" s="9" t="inlineStr">
        <is>
          <t>Đo GPS</t>
        </is>
      </c>
      <c r="F129" s="9" t="n">
        <v>1200000</v>
      </c>
      <c r="G129" s="9" t="n">
        <v>0</v>
      </c>
      <c r="H129" s="9" t="n">
        <v>0</v>
      </c>
      <c r="I129" s="55" t="n">
        <v>45951</v>
      </c>
    </row>
    <row r="130" ht="15.75" customHeight="1" s="56">
      <c r="A130" s="55" t="n">
        <v>45931</v>
      </c>
      <c r="B130" s="9" t="inlineStr">
        <is>
          <t>Lê Văn Dựng</t>
        </is>
      </c>
      <c r="C130" s="9" t="inlineStr">
        <is>
          <t>460/BK-2025</t>
        </is>
      </c>
      <c r="E130" s="9" t="inlineStr">
        <is>
          <t>Cấp đổi</t>
        </is>
      </c>
      <c r="F130" s="9" t="n">
        <v>1100000</v>
      </c>
      <c r="G130" s="9" t="n">
        <v>0</v>
      </c>
      <c r="H130" s="9" t="n">
        <v>0</v>
      </c>
      <c r="I130" s="55" t="n">
        <v>45951</v>
      </c>
    </row>
    <row r="131" ht="15.75" customHeight="1" s="56">
      <c r="A131" s="55" t="n">
        <v>45931</v>
      </c>
      <c r="B131" s="9" t="inlineStr">
        <is>
          <t>Lê Văn Dựng</t>
        </is>
      </c>
      <c r="C131" s="9" t="inlineStr">
        <is>
          <t>488/BK-2025</t>
        </is>
      </c>
      <c r="E131" s="9" t="inlineStr">
        <is>
          <t>Cấp đổi</t>
        </is>
      </c>
      <c r="F131" s="9" t="n">
        <v>1100000</v>
      </c>
      <c r="G131" s="9" t="n">
        <v>0</v>
      </c>
      <c r="H131" s="9" t="n">
        <v>0</v>
      </c>
      <c r="I131" s="55" t="n">
        <v>45951</v>
      </c>
    </row>
    <row r="132" ht="15.75" customHeight="1" s="56">
      <c r="A132" s="55" t="n">
        <v>45931</v>
      </c>
      <c r="B132" s="9" t="inlineStr">
        <is>
          <t>Lê Văn Dựng</t>
        </is>
      </c>
      <c r="C132" s="9" t="inlineStr">
        <is>
          <t>487/BK-2025</t>
        </is>
      </c>
      <c r="E132" s="9" t="inlineStr">
        <is>
          <t>Cấp đổi</t>
        </is>
      </c>
      <c r="F132" s="9" t="n">
        <v>1100000</v>
      </c>
      <c r="G132" s="9" t="n">
        <v>0</v>
      </c>
      <c r="H132" s="9" t="n">
        <v>0</v>
      </c>
      <c r="I132" s="55" t="n">
        <v>45951</v>
      </c>
    </row>
    <row r="133" ht="15.75" customHeight="1" s="56">
      <c r="A133" s="55" t="n">
        <v>45931</v>
      </c>
      <c r="B133" s="9" t="inlineStr">
        <is>
          <t>Lê Văn Dựng</t>
        </is>
      </c>
      <c r="C133" s="9" t="inlineStr">
        <is>
          <t>537/BK-2025</t>
        </is>
      </c>
      <c r="D133" s="9" t="inlineStr">
        <is>
          <t>BK-HS-0319</t>
        </is>
      </c>
      <c r="E133" s="9" t="inlineStr">
        <is>
          <t>Cấp đổi</t>
        </is>
      </c>
      <c r="F133" s="9" t="n">
        <v>1100000</v>
      </c>
      <c r="G133" s="9" t="n">
        <v>0</v>
      </c>
      <c r="H133" s="9" t="n">
        <v>0</v>
      </c>
      <c r="I133" s="55" t="n">
        <v>45953</v>
      </c>
    </row>
    <row r="134" ht="15.75" customHeight="1" s="56">
      <c r="A134" s="55" t="n">
        <v>45931</v>
      </c>
      <c r="B134" s="9" t="inlineStr">
        <is>
          <t>Lê Văn Dựng</t>
        </is>
      </c>
      <c r="C134" s="9" t="inlineStr">
        <is>
          <t>543-1/BK-2025</t>
        </is>
      </c>
      <c r="D134" s="9" t="inlineStr">
        <is>
          <t>BK-HS-0312</t>
        </is>
      </c>
      <c r="E134" s="9" t="inlineStr">
        <is>
          <t>Cắm mốc</t>
        </is>
      </c>
      <c r="F134" s="9" t="n">
        <v>1200000</v>
      </c>
      <c r="G134" s="9" t="n">
        <v>300000</v>
      </c>
      <c r="H134" s="9" t="n">
        <v>0</v>
      </c>
      <c r="I134" s="55" t="n">
        <v>45955</v>
      </c>
    </row>
    <row r="135" ht="15.75" customHeight="1" s="56">
      <c r="A135" s="55" t="n">
        <v>45931</v>
      </c>
      <c r="B135" s="9" t="inlineStr">
        <is>
          <t>Lê Văn Dựng</t>
        </is>
      </c>
      <c r="C135" s="9" t="inlineStr">
        <is>
          <t>543-2/BK-2025</t>
        </is>
      </c>
      <c r="D135" s="9" t="inlineStr">
        <is>
          <t>BK-HS-0311</t>
        </is>
      </c>
      <c r="E135" s="9" t="inlineStr">
        <is>
          <t>Đo GPS</t>
        </is>
      </c>
      <c r="F135" s="9" t="n">
        <v>1200000</v>
      </c>
      <c r="G135" s="9" t="n">
        <v>0</v>
      </c>
      <c r="H135" s="9" t="n">
        <v>0</v>
      </c>
      <c r="I135" s="55" t="n">
        <v>45955</v>
      </c>
    </row>
    <row r="136" ht="15.75" customHeight="1" s="56">
      <c r="A136" s="55" t="n">
        <v>45931</v>
      </c>
      <c r="B136" s="9" t="inlineStr">
        <is>
          <t>Lê Văn Dựng</t>
        </is>
      </c>
      <c r="C136" s="9" t="inlineStr">
        <is>
          <t>544-1/BK-2025</t>
        </is>
      </c>
      <c r="D136" s="9" t="inlineStr">
        <is>
          <t>BK-HS-0309</t>
        </is>
      </c>
      <c r="E136" s="9" t="inlineStr">
        <is>
          <t>Cắm mốc</t>
        </is>
      </c>
      <c r="F136" s="9" t="n">
        <v>1200000</v>
      </c>
      <c r="G136" s="9" t="n">
        <v>325000</v>
      </c>
      <c r="H136" s="9" t="n">
        <v>0</v>
      </c>
      <c r="I136" s="55" t="n">
        <v>45955</v>
      </c>
    </row>
    <row r="137" ht="15.75" customHeight="1" s="56">
      <c r="A137" s="55" t="n">
        <v>45931</v>
      </c>
      <c r="B137" s="9" t="inlineStr">
        <is>
          <t>Lê Văn Dựng</t>
        </is>
      </c>
      <c r="C137" s="9" t="inlineStr">
        <is>
          <t>544-2/BK-2025</t>
        </is>
      </c>
      <c r="D137" s="9" t="inlineStr">
        <is>
          <t>BK-HS-0308</t>
        </is>
      </c>
      <c r="E137" s="9" t="inlineStr">
        <is>
          <t>Đo GPS</t>
        </is>
      </c>
      <c r="F137" s="9" t="n">
        <v>1200000</v>
      </c>
      <c r="G137" s="9" t="n">
        <v>0</v>
      </c>
      <c r="H137" s="9" t="n">
        <v>0</v>
      </c>
      <c r="I137" s="55" t="n">
        <v>45955</v>
      </c>
    </row>
    <row r="138" ht="15.75" customHeight="1" s="56">
      <c r="A138" s="55" t="n">
        <v>45931</v>
      </c>
      <c r="B138" s="9" t="inlineStr">
        <is>
          <t>Lê Văn Dựng</t>
        </is>
      </c>
      <c r="C138" s="9" t="inlineStr">
        <is>
          <t>545/BK-2025</t>
        </is>
      </c>
      <c r="D138" s="9" t="inlineStr">
        <is>
          <t>BK-HS-0307</t>
        </is>
      </c>
      <c r="E138" s="9" t="inlineStr">
        <is>
          <t>Cắm mốc</t>
        </is>
      </c>
      <c r="F138" s="9" t="n">
        <v>1200000</v>
      </c>
      <c r="G138" s="9" t="n">
        <v>100000</v>
      </c>
      <c r="H138" s="9" t="n">
        <v>0</v>
      </c>
      <c r="I138" s="55" t="n">
        <v>45955</v>
      </c>
    </row>
    <row r="139" ht="15.75" customHeight="1" s="56">
      <c r="A139" s="55" t="n">
        <v>45931</v>
      </c>
      <c r="B139" s="9" t="inlineStr">
        <is>
          <t>Lê Văn Dựng</t>
        </is>
      </c>
      <c r="C139" s="9" t="inlineStr">
        <is>
          <t>546/BK-2025</t>
        </is>
      </c>
      <c r="D139" s="9" t="inlineStr">
        <is>
          <t>BK-HS-0306</t>
        </is>
      </c>
      <c r="E139" s="9" t="inlineStr">
        <is>
          <t>Cắm mốc</t>
        </is>
      </c>
      <c r="F139" s="9" t="n">
        <v>1200000</v>
      </c>
      <c r="G139" s="9" t="n">
        <v>100000</v>
      </c>
      <c r="H139" s="9" t="n">
        <v>0</v>
      </c>
      <c r="I139" s="55" t="n">
        <v>45955</v>
      </c>
    </row>
    <row r="140" ht="15.75" customHeight="1" s="56">
      <c r="A140" s="55" t="n">
        <v>45931</v>
      </c>
      <c r="B140" s="9" t="inlineStr">
        <is>
          <t>Lê Văn Dựng</t>
        </is>
      </c>
      <c r="C140" s="9" t="inlineStr">
        <is>
          <t>547/BK-2025</t>
        </is>
      </c>
      <c r="D140" s="9" t="inlineStr">
        <is>
          <t>BK-HS-0305</t>
        </is>
      </c>
      <c r="E140" s="9" t="inlineStr">
        <is>
          <t>Cắm mốc</t>
        </is>
      </c>
      <c r="F140" s="9" t="n">
        <v>1200000</v>
      </c>
      <c r="G140" s="9" t="n">
        <v>100000</v>
      </c>
      <c r="H140" s="9" t="n">
        <v>0</v>
      </c>
      <c r="I140" s="55" t="n">
        <v>45955</v>
      </c>
    </row>
    <row r="141" ht="15.75" customHeight="1" s="56">
      <c r="A141" s="55" t="n">
        <v>45931</v>
      </c>
      <c r="B141" s="9" t="inlineStr">
        <is>
          <t>Lê Văn Dựng</t>
        </is>
      </c>
      <c r="C141" s="9" t="inlineStr">
        <is>
          <t>535/BK-2025</t>
        </is>
      </c>
      <c r="E141" s="9" t="inlineStr">
        <is>
          <t>Cấp đổi</t>
        </is>
      </c>
      <c r="F141" s="9" t="n">
        <v>1100000</v>
      </c>
      <c r="G141" s="9" t="n">
        <v>0</v>
      </c>
      <c r="H141" s="9" t="n">
        <v>0</v>
      </c>
      <c r="I141" s="55" t="n">
        <v>45957</v>
      </c>
    </row>
    <row r="142" ht="15.75" customHeight="1" s="56">
      <c r="A142" s="55" t="n">
        <v>45931</v>
      </c>
      <c r="B142" s="9" t="inlineStr">
        <is>
          <t>Lê Văn Dựng</t>
        </is>
      </c>
      <c r="C142" s="9" t="inlineStr">
        <is>
          <t>543/BK-2025</t>
        </is>
      </c>
      <c r="D142" s="9" t="inlineStr">
        <is>
          <t>BK-HS-0313</t>
        </is>
      </c>
      <c r="E142" s="9" t="inlineStr">
        <is>
          <t>Cấp đổi</t>
        </is>
      </c>
      <c r="F142" s="9" t="n">
        <v>1100000</v>
      </c>
      <c r="G142" s="9" t="n">
        <v>0</v>
      </c>
      <c r="H142" s="9" t="n">
        <v>0</v>
      </c>
      <c r="I142" s="55" t="n">
        <v>45957</v>
      </c>
    </row>
    <row r="143" ht="15.75" customHeight="1" s="56">
      <c r="A143" s="55" t="n">
        <v>45931</v>
      </c>
      <c r="B143" s="9" t="inlineStr">
        <is>
          <t>Lê Văn Dựng</t>
        </is>
      </c>
      <c r="C143" s="9" t="inlineStr">
        <is>
          <t>548-1/BK-2025</t>
        </is>
      </c>
      <c r="D143" s="9" t="inlineStr">
        <is>
          <t>BK-HS-0303</t>
        </is>
      </c>
      <c r="E143" s="9" t="inlineStr">
        <is>
          <t>Cắm mốc</t>
        </is>
      </c>
      <c r="F143" s="9" t="n">
        <v>1200000</v>
      </c>
      <c r="G143" s="9" t="n">
        <v>50000</v>
      </c>
      <c r="H143" s="9" t="n">
        <v>0</v>
      </c>
      <c r="I143" s="55" t="n">
        <v>45957</v>
      </c>
    </row>
    <row r="144" ht="15.75" customHeight="1" s="56">
      <c r="A144" s="55" t="n">
        <v>45931</v>
      </c>
      <c r="B144" s="9" t="inlineStr">
        <is>
          <t>Lê Văn Dựng</t>
        </is>
      </c>
      <c r="C144" s="9" t="inlineStr">
        <is>
          <t>535-2/BK-2025</t>
        </is>
      </c>
      <c r="D144" s="9" t="inlineStr">
        <is>
          <t>BK-HS-0302</t>
        </is>
      </c>
      <c r="E144" s="9" t="inlineStr">
        <is>
          <t>Cắm mốc</t>
        </is>
      </c>
      <c r="F144" s="9" t="n">
        <v>1200000</v>
      </c>
      <c r="G144" s="9" t="n">
        <v>50000</v>
      </c>
      <c r="H144" s="9" t="n">
        <v>0</v>
      </c>
      <c r="I144" s="55" t="n">
        <v>45957</v>
      </c>
    </row>
    <row r="145" ht="15.75" customHeight="1" s="56">
      <c r="A145" s="55" t="n">
        <v>45931</v>
      </c>
      <c r="B145" s="9" t="inlineStr">
        <is>
          <t>Lê Văn Dựng</t>
        </is>
      </c>
      <c r="C145" s="9" t="inlineStr">
        <is>
          <t>544/BK-2025</t>
        </is>
      </c>
      <c r="D145" s="9" t="inlineStr">
        <is>
          <t>BK-HS-0310</t>
        </is>
      </c>
      <c r="E145" s="9" t="inlineStr">
        <is>
          <t>Cấp đổi</t>
        </is>
      </c>
      <c r="F145" s="9" t="n">
        <v>1100000</v>
      </c>
      <c r="G145" s="9" t="n">
        <v>0</v>
      </c>
      <c r="H145" s="9" t="n">
        <v>0</v>
      </c>
      <c r="I145" s="55" t="n">
        <v>45958</v>
      </c>
    </row>
    <row r="146" ht="15.75" customHeight="1" s="56">
      <c r="A146" s="55" t="n">
        <v>45931</v>
      </c>
      <c r="B146" s="9" t="inlineStr">
        <is>
          <t>Lê Văn Dựng</t>
        </is>
      </c>
      <c r="C146" s="9" t="inlineStr">
        <is>
          <t>553/BK-2025</t>
        </is>
      </c>
      <c r="D146" s="9" t="inlineStr">
        <is>
          <t>BK-HS-0293</t>
        </is>
      </c>
      <c r="E146" s="9" t="inlineStr">
        <is>
          <t>Cắm mốc</t>
        </is>
      </c>
      <c r="F146" s="9" t="n">
        <v>1200000</v>
      </c>
      <c r="G146" s="9" t="n">
        <v>300000</v>
      </c>
      <c r="H146" s="9" t="n">
        <v>300000</v>
      </c>
      <c r="I146" s="55" t="n">
        <v>45961</v>
      </c>
    </row>
    <row r="147" ht="15.75" customHeight="1" s="56">
      <c r="A147" s="55" t="n">
        <v>45901</v>
      </c>
      <c r="B147" s="9" t="inlineStr">
        <is>
          <t>Lê Văn Dựng</t>
        </is>
      </c>
      <c r="C147" s="9" t="inlineStr">
        <is>
          <t>389/BK-2025</t>
        </is>
      </c>
      <c r="E147" s="9" t="inlineStr">
        <is>
          <t>Cấp đổi</t>
        </is>
      </c>
      <c r="F147" s="9" t="n">
        <v>1100000</v>
      </c>
      <c r="G147" s="9" t="n">
        <v>0</v>
      </c>
      <c r="H147" s="9" t="n">
        <v>0</v>
      </c>
      <c r="I147" s="55" t="n">
        <v>45903</v>
      </c>
    </row>
    <row r="148" ht="15.75" customHeight="1" s="56">
      <c r="A148" s="55" t="n">
        <v>45901</v>
      </c>
      <c r="B148" s="9" t="inlineStr">
        <is>
          <t>Lê Văn Dựng</t>
        </is>
      </c>
      <c r="C148" s="9" t="inlineStr">
        <is>
          <t>403/BK-2025</t>
        </is>
      </c>
      <c r="E148" s="9" t="inlineStr">
        <is>
          <t>Cấp đổi</t>
        </is>
      </c>
      <c r="F148" s="9" t="n">
        <v>1100000</v>
      </c>
      <c r="G148" s="9" t="n">
        <v>0</v>
      </c>
      <c r="H148" s="9" t="n">
        <v>300000</v>
      </c>
      <c r="I148" s="55" t="n">
        <v>45903</v>
      </c>
    </row>
    <row r="149" ht="15.75" customHeight="1" s="56">
      <c r="A149" s="55" t="n">
        <v>45901</v>
      </c>
      <c r="B149" s="9" t="inlineStr">
        <is>
          <t>Lê Văn Dựng</t>
        </is>
      </c>
      <c r="C149" s="9" t="inlineStr">
        <is>
          <t>396/BK-2025</t>
        </is>
      </c>
      <c r="E149" s="9" t="inlineStr">
        <is>
          <t>Cấp đổi</t>
        </is>
      </c>
      <c r="F149" s="9" t="n">
        <v>1100000</v>
      </c>
      <c r="G149" s="9" t="n">
        <v>0</v>
      </c>
      <c r="H149" s="9" t="n">
        <v>300000</v>
      </c>
      <c r="I149" s="55" t="n">
        <v>45905</v>
      </c>
    </row>
    <row r="150" ht="15.75" customHeight="1" s="56">
      <c r="A150" s="55" t="n">
        <v>45901</v>
      </c>
      <c r="B150" s="9" t="inlineStr">
        <is>
          <t>Lê Văn Dựng</t>
        </is>
      </c>
      <c r="C150" s="9" t="inlineStr">
        <is>
          <t>397/BK-2025</t>
        </is>
      </c>
      <c r="E150" s="9" t="inlineStr">
        <is>
          <t>Cấp đổi</t>
        </is>
      </c>
      <c r="F150" s="9" t="n">
        <v>1100000</v>
      </c>
      <c r="G150" s="9" t="n">
        <v>0</v>
      </c>
      <c r="H150" s="9" t="n">
        <v>300000</v>
      </c>
      <c r="I150" s="55" t="n">
        <v>45905</v>
      </c>
    </row>
    <row r="151" ht="15.75" customHeight="1" s="56">
      <c r="A151" s="55" t="n">
        <v>45901</v>
      </c>
      <c r="B151" s="9" t="inlineStr">
        <is>
          <t>Lê Văn Dựng</t>
        </is>
      </c>
      <c r="C151" s="9" t="inlineStr">
        <is>
          <t>404/BK-2025</t>
        </is>
      </c>
      <c r="E151" s="9" t="inlineStr">
        <is>
          <t>Cấp đổi</t>
        </is>
      </c>
      <c r="F151" s="9" t="n">
        <v>1100000</v>
      </c>
      <c r="G151" s="9" t="n">
        <v>0</v>
      </c>
      <c r="H151" s="9" t="n">
        <v>300000</v>
      </c>
      <c r="I151" s="55" t="n">
        <v>45904</v>
      </c>
    </row>
    <row r="152" ht="15.75" customHeight="1" s="56">
      <c r="A152" s="55" t="n">
        <v>45901</v>
      </c>
      <c r="B152" s="9" t="inlineStr">
        <is>
          <t>Lê Văn Dựng</t>
        </is>
      </c>
      <c r="C152" s="9" t="inlineStr">
        <is>
          <t>409/BK-2025</t>
        </is>
      </c>
      <c r="E152" s="9" t="inlineStr">
        <is>
          <t>Cấp đổi</t>
        </is>
      </c>
      <c r="F152" s="9" t="n">
        <v>1100000</v>
      </c>
      <c r="G152" s="9" t="n">
        <v>0</v>
      </c>
      <c r="H152" s="9" t="n">
        <v>0</v>
      </c>
      <c r="I152" s="55" t="n">
        <v>45908</v>
      </c>
    </row>
    <row r="153" ht="15.75" customHeight="1" s="56">
      <c r="A153" s="55" t="n">
        <v>45901</v>
      </c>
      <c r="B153" s="9" t="inlineStr">
        <is>
          <t>Lê Văn Dựng</t>
        </is>
      </c>
      <c r="C153" s="9" t="inlineStr">
        <is>
          <t>413/BK-2025</t>
        </is>
      </c>
      <c r="E153" s="9" t="inlineStr">
        <is>
          <t>Đo GPS</t>
        </is>
      </c>
      <c r="F153" s="9" t="n">
        <v>1200000</v>
      </c>
      <c r="G153" s="9" t="n">
        <v>0</v>
      </c>
      <c r="H153" s="9" t="n">
        <v>0</v>
      </c>
      <c r="I153" s="55" t="n">
        <v>45906</v>
      </c>
    </row>
    <row r="154" ht="15.75" customHeight="1" s="56">
      <c r="A154" s="55" t="n">
        <v>45901</v>
      </c>
      <c r="B154" s="9" t="inlineStr">
        <is>
          <t>Lê Văn Dựng</t>
        </is>
      </c>
      <c r="C154" s="9" t="inlineStr">
        <is>
          <t>401-2/BK-2025</t>
        </is>
      </c>
      <c r="E154" s="9" t="inlineStr">
        <is>
          <t>Đo GPS</t>
        </is>
      </c>
      <c r="F154" s="9" t="n">
        <v>1200000</v>
      </c>
      <c r="G154" s="9" t="n">
        <v>0</v>
      </c>
      <c r="H154" s="9" t="n">
        <v>0</v>
      </c>
      <c r="I154" s="55" t="n">
        <v>45908</v>
      </c>
    </row>
    <row r="155" ht="15.75" customHeight="1" s="56">
      <c r="A155" s="55" t="n">
        <v>45901</v>
      </c>
      <c r="B155" s="9" t="inlineStr">
        <is>
          <t>Lê Văn Dựng</t>
        </is>
      </c>
      <c r="C155" s="9" t="inlineStr">
        <is>
          <t>293-ĐC-2/BK-2025</t>
        </is>
      </c>
      <c r="E155" s="9" t="inlineStr">
        <is>
          <t>Điều chỉnh bản vẽ</t>
        </is>
      </c>
      <c r="F155" s="9" t="n">
        <v>0</v>
      </c>
      <c r="G155" s="9" t="n">
        <v>0</v>
      </c>
      <c r="H155" s="9" t="n">
        <v>0</v>
      </c>
      <c r="I155" s="55" t="n">
        <v>45908</v>
      </c>
    </row>
    <row r="156" ht="15.75" customHeight="1" s="56">
      <c r="A156" s="55" t="n">
        <v>45901</v>
      </c>
      <c r="B156" s="9" t="inlineStr">
        <is>
          <t>Lê Văn Dựng</t>
        </is>
      </c>
      <c r="C156" s="9" t="inlineStr">
        <is>
          <t>418/BK-2025</t>
        </is>
      </c>
      <c r="E156" s="9" t="inlineStr">
        <is>
          <t>Hoàn công</t>
        </is>
      </c>
      <c r="F156" s="9" t="n">
        <v>1100000</v>
      </c>
      <c r="G156" s="9" t="n">
        <v>0</v>
      </c>
      <c r="H156" s="9" t="n">
        <v>0</v>
      </c>
      <c r="I156" s="55" t="n">
        <v>45910</v>
      </c>
    </row>
    <row r="157" ht="15.75" customHeight="1" s="56">
      <c r="A157" s="55" t="n">
        <v>45901</v>
      </c>
      <c r="B157" s="9" t="inlineStr">
        <is>
          <t>Lê Văn Dựng</t>
        </is>
      </c>
      <c r="C157" s="9" t="inlineStr">
        <is>
          <t>241/BK-2025</t>
        </is>
      </c>
      <c r="E157" s="9" t="inlineStr">
        <is>
          <t>Cấp đổi</t>
        </is>
      </c>
      <c r="F157" s="9" t="n">
        <v>1100000</v>
      </c>
      <c r="G157" s="9" t="n">
        <v>0</v>
      </c>
      <c r="H157" s="9" t="n">
        <v>0</v>
      </c>
      <c r="I157" s="55" t="n">
        <v>45911</v>
      </c>
    </row>
    <row r="158" ht="15.75" customHeight="1" s="56">
      <c r="A158" s="55" t="n">
        <v>45901</v>
      </c>
      <c r="B158" s="9" t="inlineStr">
        <is>
          <t>Lê Văn Dựng</t>
        </is>
      </c>
      <c r="C158" s="9" t="inlineStr">
        <is>
          <t>414-2/BK-2025</t>
        </is>
      </c>
      <c r="E158" s="9" t="inlineStr">
        <is>
          <t>Đo GPS</t>
        </is>
      </c>
      <c r="F158" s="9" t="n">
        <v>1200000</v>
      </c>
      <c r="G158" s="9" t="n">
        <v>0</v>
      </c>
      <c r="H158" s="9" t="n">
        <v>0</v>
      </c>
      <c r="I158" s="55" t="n">
        <v>45911</v>
      </c>
    </row>
    <row r="159" ht="15.75" customHeight="1" s="56">
      <c r="A159" s="55" t="n">
        <v>45901</v>
      </c>
      <c r="B159" s="9" t="inlineStr">
        <is>
          <t>Lê Văn Dựng</t>
        </is>
      </c>
      <c r="C159" s="9" t="inlineStr">
        <is>
          <t>431/BK-2025</t>
        </is>
      </c>
      <c r="E159" s="9" t="inlineStr">
        <is>
          <t>Đo GPS</t>
        </is>
      </c>
      <c r="F159" s="9" t="n">
        <v>1200000</v>
      </c>
      <c r="G159" s="9" t="n">
        <v>0</v>
      </c>
      <c r="H159" s="9" t="n">
        <v>0</v>
      </c>
      <c r="I159" s="55" t="n">
        <v>45912</v>
      </c>
    </row>
    <row r="160" ht="15.75" customHeight="1" s="56">
      <c r="A160" s="55" t="n">
        <v>45901</v>
      </c>
      <c r="B160" s="9" t="inlineStr">
        <is>
          <t>Lê Văn Dựng</t>
        </is>
      </c>
      <c r="C160" s="9" t="inlineStr">
        <is>
          <t>428-2/BK-2025</t>
        </is>
      </c>
      <c r="E160" s="9" t="inlineStr">
        <is>
          <t>Đo GPS</t>
        </is>
      </c>
      <c r="F160" s="9" t="n">
        <v>1200000</v>
      </c>
      <c r="G160" s="9" t="n">
        <v>0</v>
      </c>
      <c r="H160" s="9" t="n">
        <v>0</v>
      </c>
      <c r="I160" s="55" t="n">
        <v>45912</v>
      </c>
    </row>
    <row r="161" ht="15.75" customHeight="1" s="56">
      <c r="A161" s="55" t="n">
        <v>45901</v>
      </c>
      <c r="B161" s="9" t="inlineStr">
        <is>
          <t>Lê Văn Dựng</t>
        </is>
      </c>
      <c r="C161" s="9" t="inlineStr">
        <is>
          <t>429-2/BK-2025</t>
        </is>
      </c>
      <c r="E161" s="9" t="inlineStr">
        <is>
          <t>Đo GPS</t>
        </is>
      </c>
      <c r="F161" s="9" t="n">
        <v>1200000</v>
      </c>
      <c r="G161" s="9" t="n">
        <v>0</v>
      </c>
      <c r="H161" s="9" t="n">
        <v>0</v>
      </c>
      <c r="I161" s="55" t="n">
        <v>45912</v>
      </c>
    </row>
    <row r="162" ht="15.75" customHeight="1" s="56">
      <c r="A162" s="55" t="n">
        <v>45901</v>
      </c>
      <c r="B162" s="9" t="inlineStr">
        <is>
          <t>Lê Văn Dựng</t>
        </is>
      </c>
      <c r="C162" s="9" t="inlineStr">
        <is>
          <t>433/BK-2025</t>
        </is>
      </c>
      <c r="E162" s="9" t="inlineStr">
        <is>
          <t>Cắm mốc</t>
        </is>
      </c>
      <c r="F162" s="9" t="n">
        <v>1200000</v>
      </c>
      <c r="G162" s="9" t="n">
        <v>0</v>
      </c>
      <c r="H162" s="9" t="n">
        <v>0</v>
      </c>
      <c r="I162" s="55" t="n">
        <v>45913</v>
      </c>
    </row>
    <row r="163" ht="15.75" customHeight="1" s="56">
      <c r="A163" s="55" t="n">
        <v>45901</v>
      </c>
      <c r="B163" s="9" t="inlineStr">
        <is>
          <t>Lê Văn Dựng</t>
        </is>
      </c>
      <c r="C163" s="9" t="inlineStr">
        <is>
          <t>428/BK-2025</t>
        </is>
      </c>
      <c r="E163" s="9" t="inlineStr">
        <is>
          <t>Cấp đổi</t>
        </is>
      </c>
      <c r="F163" s="9" t="n">
        <v>1100000</v>
      </c>
      <c r="G163" s="9" t="n">
        <v>0</v>
      </c>
      <c r="H163" s="9" t="n">
        <v>0</v>
      </c>
      <c r="I163" s="55" t="n">
        <v>45916</v>
      </c>
    </row>
    <row r="164" ht="15.75" customHeight="1" s="56">
      <c r="A164" s="55" t="n">
        <v>45901</v>
      </c>
      <c r="B164" s="9" t="inlineStr">
        <is>
          <t>Lê Văn Dựng</t>
        </is>
      </c>
      <c r="C164" s="9" t="inlineStr">
        <is>
          <t>429/BK-2025</t>
        </is>
      </c>
      <c r="E164" s="9" t="inlineStr">
        <is>
          <t>Cấp đổi</t>
        </is>
      </c>
      <c r="F164" s="9" t="n">
        <v>1100000</v>
      </c>
      <c r="G164" s="9" t="n">
        <v>0</v>
      </c>
      <c r="H164" s="9" t="n">
        <v>0</v>
      </c>
      <c r="I164" s="55" t="n">
        <v>45916</v>
      </c>
    </row>
    <row r="165" ht="15.75" customHeight="1" s="56">
      <c r="A165" s="55" t="n">
        <v>45901</v>
      </c>
      <c r="B165" s="9" t="inlineStr">
        <is>
          <t>Lê Văn Dựng</t>
        </is>
      </c>
      <c r="C165" s="9" t="inlineStr">
        <is>
          <t>353-2/BK-2025</t>
        </is>
      </c>
      <c r="E165" s="9" t="inlineStr">
        <is>
          <t>Đo GPS</t>
        </is>
      </c>
      <c r="F165" s="9" t="n">
        <v>1200000</v>
      </c>
      <c r="G165" s="9" t="n">
        <v>0</v>
      </c>
      <c r="H165" s="9" t="n">
        <v>0</v>
      </c>
      <c r="I165" s="55" t="n">
        <v>45916</v>
      </c>
    </row>
    <row r="166" ht="15.75" customHeight="1" s="56">
      <c r="A166" s="55" t="n">
        <v>45901</v>
      </c>
      <c r="B166" s="9" t="inlineStr">
        <is>
          <t>Lê Văn Dựng</t>
        </is>
      </c>
      <c r="C166" s="9" t="inlineStr">
        <is>
          <t>437-2/BK-2025</t>
        </is>
      </c>
      <c r="E166" s="9" t="inlineStr">
        <is>
          <t>Đo GPS</t>
        </is>
      </c>
      <c r="F166" s="9" t="n">
        <v>1200000</v>
      </c>
      <c r="G166" s="9" t="n">
        <v>0</v>
      </c>
      <c r="H166" s="9" t="n">
        <v>0</v>
      </c>
      <c r="I166" s="55" t="n">
        <v>45917</v>
      </c>
    </row>
    <row r="167" ht="15.75" customHeight="1" s="56">
      <c r="A167" s="55" t="n">
        <v>45901</v>
      </c>
      <c r="B167" s="9" t="inlineStr">
        <is>
          <t>Lê Văn Dựng</t>
        </is>
      </c>
      <c r="C167" s="9" t="inlineStr">
        <is>
          <t>439/BK-2025</t>
        </is>
      </c>
      <c r="E167" s="9" t="inlineStr">
        <is>
          <t>Cắm mốc</t>
        </is>
      </c>
      <c r="F167" s="9" t="n">
        <v>1200000</v>
      </c>
      <c r="G167" s="9" t="n">
        <v>0</v>
      </c>
      <c r="H167" s="9" t="n">
        <v>0</v>
      </c>
      <c r="I167" s="55" t="n">
        <v>45918</v>
      </c>
    </row>
    <row r="168" ht="15.75" customHeight="1" s="56">
      <c r="A168" s="55" t="n">
        <v>45901</v>
      </c>
      <c r="B168" s="9" t="inlineStr">
        <is>
          <t>Lê Văn Dựng</t>
        </is>
      </c>
      <c r="C168" s="9" t="inlineStr">
        <is>
          <t>437/BK-2025</t>
        </is>
      </c>
      <c r="E168" s="9" t="inlineStr">
        <is>
          <t>Cấp đổi</t>
        </is>
      </c>
      <c r="F168" s="9" t="n">
        <v>1100000</v>
      </c>
      <c r="G168" s="9" t="n">
        <v>0</v>
      </c>
      <c r="H168" s="9" t="n">
        <v>0</v>
      </c>
      <c r="I168" s="55" t="n">
        <v>45918</v>
      </c>
    </row>
    <row r="169" ht="15.75" customHeight="1" s="56">
      <c r="A169" s="55" t="n">
        <v>45901</v>
      </c>
      <c r="B169" s="9" t="inlineStr">
        <is>
          <t>Lê Văn Dựng</t>
        </is>
      </c>
      <c r="C169" s="9" t="inlineStr">
        <is>
          <t>446/BK-2025</t>
        </is>
      </c>
      <c r="E169" s="9" t="inlineStr">
        <is>
          <t>Cấp đổi</t>
        </is>
      </c>
      <c r="F169" s="9" t="n">
        <v>1100000</v>
      </c>
      <c r="G169" s="9" t="n">
        <v>0</v>
      </c>
      <c r="H169" s="9" t="n">
        <v>0</v>
      </c>
      <c r="I169" s="55" t="n">
        <v>45922</v>
      </c>
    </row>
    <row r="170" ht="15.75" customHeight="1" s="56">
      <c r="A170" s="55" t="n">
        <v>45901</v>
      </c>
      <c r="B170" s="9" t="inlineStr">
        <is>
          <t>Lê Văn Dựng</t>
        </is>
      </c>
      <c r="C170" s="9" t="inlineStr">
        <is>
          <t>446-2/BK-2025</t>
        </is>
      </c>
      <c r="E170" s="9" t="inlineStr">
        <is>
          <t>Đo GPS</t>
        </is>
      </c>
      <c r="F170" s="9" t="n">
        <v>1200000</v>
      </c>
      <c r="G170" s="9" t="n">
        <v>0</v>
      </c>
      <c r="H170" s="9" t="n">
        <v>0</v>
      </c>
      <c r="I170" s="55" t="n">
        <v>45922</v>
      </c>
    </row>
    <row r="171" ht="15.75" customHeight="1" s="56">
      <c r="A171" s="55" t="n">
        <v>45901</v>
      </c>
      <c r="B171" s="9" t="inlineStr">
        <is>
          <t>Lê Văn Dựng</t>
        </is>
      </c>
      <c r="C171" s="9" t="inlineStr">
        <is>
          <t>442/BK-2025</t>
        </is>
      </c>
      <c r="E171" s="9" t="inlineStr">
        <is>
          <t>Cấp đổi</t>
        </is>
      </c>
      <c r="F171" s="9" t="n">
        <v>1100000</v>
      </c>
      <c r="G171" s="9" t="n">
        <v>0</v>
      </c>
      <c r="H171" s="9" t="n">
        <v>0</v>
      </c>
      <c r="I171" s="55" t="n">
        <v>45922</v>
      </c>
    </row>
    <row r="172" ht="15.75" customHeight="1" s="56">
      <c r="A172" s="55" t="n">
        <v>45901</v>
      </c>
      <c r="B172" s="9" t="inlineStr">
        <is>
          <t>Lê Văn Dựng</t>
        </is>
      </c>
      <c r="C172" s="9" t="inlineStr">
        <is>
          <t>441-2/BK-2025</t>
        </is>
      </c>
      <c r="E172" s="9" t="inlineStr">
        <is>
          <t>Đo GPS</t>
        </is>
      </c>
      <c r="F172" s="9" t="n">
        <v>1200000</v>
      </c>
      <c r="G172" s="9" t="n">
        <v>0</v>
      </c>
      <c r="H172" s="9" t="n">
        <v>0</v>
      </c>
      <c r="I172" s="55" t="n">
        <v>45923</v>
      </c>
    </row>
    <row r="173" ht="15.75" customHeight="1" s="56">
      <c r="A173" s="55" t="n">
        <v>45901</v>
      </c>
      <c r="B173" s="9" t="inlineStr">
        <is>
          <t>Lê Văn Dựng</t>
        </is>
      </c>
      <c r="C173" s="9" t="inlineStr">
        <is>
          <t>369-DC/BK-2025</t>
        </is>
      </c>
      <c r="E173" s="9" t="inlineStr">
        <is>
          <t>Điều chỉnh bản vẽ</t>
        </is>
      </c>
      <c r="F173" s="9" t="n">
        <v>500000</v>
      </c>
      <c r="G173" s="9" t="n">
        <v>0</v>
      </c>
      <c r="H173" s="9" t="n">
        <v>0</v>
      </c>
      <c r="I173" s="55" t="n">
        <v>45923</v>
      </c>
    </row>
    <row r="174" ht="15.75" customHeight="1" s="56">
      <c r="A174" s="55" t="n">
        <v>45901</v>
      </c>
      <c r="B174" s="9" t="inlineStr">
        <is>
          <t>Lê Văn Dựng</t>
        </is>
      </c>
      <c r="C174" s="9" t="inlineStr">
        <is>
          <t>233-DC/BK-2025</t>
        </is>
      </c>
      <c r="E174" s="9" t="inlineStr">
        <is>
          <t>Điều chỉnh bản vẽ</t>
        </is>
      </c>
      <c r="F174" s="9" t="n">
        <v>500000</v>
      </c>
      <c r="G174" s="9" t="n">
        <v>0</v>
      </c>
      <c r="H174" s="9" t="n">
        <v>0</v>
      </c>
      <c r="I174" s="55" t="n">
        <v>45923</v>
      </c>
    </row>
    <row r="175" ht="15.75" customHeight="1" s="56">
      <c r="A175" s="55" t="n">
        <v>45901</v>
      </c>
      <c r="B175" s="9" t="inlineStr">
        <is>
          <t>Lê Văn Dựng</t>
        </is>
      </c>
      <c r="C175" s="9" t="inlineStr">
        <is>
          <t>454-2/BK-2025</t>
        </is>
      </c>
      <c r="E175" s="9" t="inlineStr">
        <is>
          <t>Đo GPS</t>
        </is>
      </c>
      <c r="F175" s="9" t="n">
        <v>1200000</v>
      </c>
      <c r="G175" s="9" t="n">
        <v>0</v>
      </c>
      <c r="H175" s="9" t="n">
        <v>0</v>
      </c>
      <c r="I175" s="55" t="n">
        <v>45924</v>
      </c>
    </row>
    <row r="176" ht="15.75" customHeight="1" s="56">
      <c r="A176" s="55" t="n">
        <v>45901</v>
      </c>
      <c r="B176" s="9" t="inlineStr">
        <is>
          <t>Lê Văn Dựng</t>
        </is>
      </c>
      <c r="C176" s="9" t="inlineStr">
        <is>
          <t>455-2/BK-2025</t>
        </is>
      </c>
      <c r="E176" s="9" t="inlineStr">
        <is>
          <t>Đo GPS</t>
        </is>
      </c>
      <c r="F176" s="9" t="n">
        <v>1200000</v>
      </c>
      <c r="G176" s="9" t="n">
        <v>0</v>
      </c>
      <c r="H176" s="9" t="n">
        <v>0</v>
      </c>
      <c r="I176" s="55" t="n">
        <v>45924</v>
      </c>
    </row>
    <row r="177" ht="15.75" customHeight="1" s="56">
      <c r="A177" s="55" t="n">
        <v>45901</v>
      </c>
      <c r="B177" s="9" t="inlineStr">
        <is>
          <t>Lê Văn Dựng</t>
        </is>
      </c>
      <c r="C177" s="9" t="inlineStr">
        <is>
          <t>456-2/BK-2025</t>
        </is>
      </c>
      <c r="E177" s="9" t="inlineStr">
        <is>
          <t>Đo GPS</t>
        </is>
      </c>
      <c r="F177" s="9" t="n">
        <v>1200000</v>
      </c>
      <c r="G177" s="9" t="n">
        <v>0</v>
      </c>
      <c r="H177" s="9" t="n">
        <v>0</v>
      </c>
      <c r="I177" s="55" t="n">
        <v>45924</v>
      </c>
    </row>
    <row r="178" ht="15.75" customHeight="1" s="56">
      <c r="A178" s="55" t="n">
        <v>45901</v>
      </c>
      <c r="B178" s="9" t="inlineStr">
        <is>
          <t>Lê Văn Dựng</t>
        </is>
      </c>
      <c r="C178" s="9" t="inlineStr">
        <is>
          <t>457-2/BK-2025</t>
        </is>
      </c>
      <c r="E178" s="9" t="inlineStr">
        <is>
          <t>Đo GPS</t>
        </is>
      </c>
      <c r="F178" s="9" t="n">
        <v>1200000</v>
      </c>
      <c r="G178" s="9" t="n">
        <v>0</v>
      </c>
      <c r="H178" s="9" t="n">
        <v>0</v>
      </c>
      <c r="I178" s="55" t="n">
        <v>45924</v>
      </c>
    </row>
    <row r="179" ht="15.75" customHeight="1" s="56">
      <c r="A179" s="55" t="n">
        <v>45901</v>
      </c>
      <c r="B179" s="9" t="inlineStr">
        <is>
          <t>Lê Văn Dựng</t>
        </is>
      </c>
      <c r="C179" s="9" t="inlineStr">
        <is>
          <t>458-2/BK-2025</t>
        </is>
      </c>
      <c r="E179" s="9" t="inlineStr">
        <is>
          <t>Đo GPS</t>
        </is>
      </c>
      <c r="F179" s="9" t="n">
        <v>1200000</v>
      </c>
      <c r="G179" s="9" t="n">
        <v>0</v>
      </c>
      <c r="H179" s="9" t="n">
        <v>0</v>
      </c>
      <c r="I179" s="55" t="n">
        <v>45924</v>
      </c>
    </row>
    <row r="180" ht="15.75" customHeight="1" s="56">
      <c r="A180" s="55" t="n">
        <v>45901</v>
      </c>
      <c r="B180" s="9" t="inlineStr">
        <is>
          <t>Lê Văn Dựng</t>
        </is>
      </c>
      <c r="C180" s="9" t="inlineStr">
        <is>
          <t>459-2/BK-2025</t>
        </is>
      </c>
      <c r="E180" s="9" t="inlineStr">
        <is>
          <t>Đo GPS</t>
        </is>
      </c>
      <c r="F180" s="9" t="n">
        <v>1200000</v>
      </c>
      <c r="G180" s="9" t="n">
        <v>0</v>
      </c>
      <c r="H180" s="9" t="n">
        <v>0</v>
      </c>
      <c r="I180" s="55" t="n">
        <v>45924</v>
      </c>
    </row>
    <row r="181" ht="15.75" customHeight="1" s="56">
      <c r="A181" s="55" t="n">
        <v>45901</v>
      </c>
      <c r="B181" s="9" t="inlineStr">
        <is>
          <t>Lê Văn Dựng</t>
        </is>
      </c>
      <c r="C181" s="9" t="inlineStr">
        <is>
          <t>460-2/BK-2025</t>
        </is>
      </c>
      <c r="E181" s="9" t="inlineStr">
        <is>
          <t>Đo GPS</t>
        </is>
      </c>
      <c r="F181" s="9" t="n">
        <v>1200000</v>
      </c>
      <c r="G181" s="9" t="n">
        <v>0</v>
      </c>
      <c r="H181" s="9" t="n">
        <v>0</v>
      </c>
      <c r="I181" s="55" t="n">
        <v>45924</v>
      </c>
    </row>
    <row r="182" ht="15.75" customHeight="1" s="56">
      <c r="A182" s="55" t="n">
        <v>45901</v>
      </c>
      <c r="B182" s="9" t="inlineStr">
        <is>
          <t>Lê Văn Dựng</t>
        </is>
      </c>
      <c r="C182" s="9" t="inlineStr">
        <is>
          <t>461-2/BK-2025</t>
        </is>
      </c>
      <c r="E182" s="9" t="inlineStr">
        <is>
          <t>Đo GPS</t>
        </is>
      </c>
      <c r="F182" s="9" t="n">
        <v>1200000</v>
      </c>
      <c r="G182" s="9" t="n">
        <v>0</v>
      </c>
      <c r="H182" s="9" t="n">
        <v>0</v>
      </c>
      <c r="I182" s="55" t="n">
        <v>45924</v>
      </c>
    </row>
    <row r="183" ht="15.75" customHeight="1" s="56">
      <c r="A183" s="55" t="n">
        <v>45901</v>
      </c>
      <c r="B183" s="9" t="inlineStr">
        <is>
          <t>Lê Văn Dựng</t>
        </is>
      </c>
      <c r="C183" s="9" t="inlineStr">
        <is>
          <t>389-DC/BK-2025</t>
        </is>
      </c>
      <c r="E183" s="9" t="inlineStr">
        <is>
          <t>Điều chỉnh bản vẽ</t>
        </is>
      </c>
      <c r="F183" s="9" t="n">
        <v>500000</v>
      </c>
      <c r="G183" s="9" t="n">
        <v>0</v>
      </c>
      <c r="H183" s="9" t="n">
        <v>0</v>
      </c>
      <c r="I183" s="55" t="n">
        <v>45925</v>
      </c>
    </row>
    <row r="184" ht="15.75" customHeight="1" s="56">
      <c r="A184" s="55" t="n">
        <v>45901</v>
      </c>
      <c r="B184" s="9" t="inlineStr">
        <is>
          <t>Lê Văn Dựng</t>
        </is>
      </c>
      <c r="C184" s="9" t="inlineStr">
        <is>
          <t>324-DC/BK-2025</t>
        </is>
      </c>
      <c r="E184" s="9" t="inlineStr">
        <is>
          <t>Điều chỉnh bản vẽ</t>
        </is>
      </c>
      <c r="F184" s="9" t="n">
        <v>500000</v>
      </c>
      <c r="G184" s="9" t="n">
        <v>0</v>
      </c>
      <c r="H184" s="9" t="n">
        <v>0</v>
      </c>
      <c r="I184" s="55" t="n">
        <v>45926</v>
      </c>
    </row>
    <row r="185" ht="15.75" customHeight="1" s="56">
      <c r="A185" s="55" t="n">
        <v>45901</v>
      </c>
      <c r="B185" s="9" t="inlineStr">
        <is>
          <t>Lê Văn Dựng</t>
        </is>
      </c>
      <c r="C185" s="9" t="inlineStr">
        <is>
          <t>466/BK-2025</t>
        </is>
      </c>
      <c r="E185" s="9" t="inlineStr">
        <is>
          <t>Cắm mốc</t>
        </is>
      </c>
      <c r="F185" s="9" t="n">
        <v>1200000</v>
      </c>
      <c r="G185" s="9" t="n">
        <v>0</v>
      </c>
      <c r="H185" s="9" t="n">
        <v>0</v>
      </c>
      <c r="I185" s="55" t="n">
        <v>45926</v>
      </c>
    </row>
    <row r="186" ht="15.75" customHeight="1" s="56">
      <c r="A186" s="55" t="n">
        <v>45901</v>
      </c>
      <c r="B186" s="9" t="inlineStr">
        <is>
          <t>Lê Văn Dựng</t>
        </is>
      </c>
      <c r="C186" s="9" t="inlineStr">
        <is>
          <t>454/BK-2025</t>
        </is>
      </c>
      <c r="E186" s="9" t="inlineStr">
        <is>
          <t>Cấp đổi</t>
        </is>
      </c>
      <c r="F186" s="9" t="n">
        <v>1100000</v>
      </c>
      <c r="G186" s="9" t="n">
        <v>0</v>
      </c>
      <c r="H186" s="9" t="n">
        <v>0</v>
      </c>
      <c r="I186" s="55" t="n">
        <v>45930</v>
      </c>
    </row>
    <row r="187" ht="15.75" customHeight="1" s="56">
      <c r="A187" s="55" t="n">
        <v>45901</v>
      </c>
      <c r="B187" s="9" t="inlineStr">
        <is>
          <t>Lê Văn Dựng</t>
        </is>
      </c>
      <c r="C187" s="9" t="inlineStr">
        <is>
          <t>455/BK-2025</t>
        </is>
      </c>
      <c r="E187" s="9" t="inlineStr">
        <is>
          <t>Cấp đổi</t>
        </is>
      </c>
      <c r="F187" s="9" t="n">
        <v>1100000</v>
      </c>
      <c r="G187" s="9" t="n">
        <v>0</v>
      </c>
      <c r="H187" s="9" t="n">
        <v>0</v>
      </c>
      <c r="I187" s="55" t="n">
        <v>45930</v>
      </c>
    </row>
    <row r="188" ht="15.75" customHeight="1" s="56">
      <c r="A188" s="55" t="n">
        <v>45901</v>
      </c>
      <c r="B188" s="9" t="inlineStr">
        <is>
          <t>Lê Văn Dựng</t>
        </is>
      </c>
      <c r="C188" s="9" t="inlineStr">
        <is>
          <t>456/BK-2025</t>
        </is>
      </c>
      <c r="E188" s="9" t="inlineStr">
        <is>
          <t>Cấp đổi</t>
        </is>
      </c>
      <c r="F188" s="9" t="n">
        <v>1100000</v>
      </c>
      <c r="G188" s="9" t="n">
        <v>0</v>
      </c>
      <c r="H188" s="9" t="n">
        <v>0</v>
      </c>
      <c r="I188" s="55" t="n">
        <v>45930</v>
      </c>
    </row>
    <row r="189" ht="15.75" customHeight="1" s="56">
      <c r="A189" s="55" t="n">
        <v>45901</v>
      </c>
      <c r="B189" s="9" t="inlineStr">
        <is>
          <t>Lê Văn Dựng</t>
        </is>
      </c>
      <c r="C189" s="9" t="inlineStr">
        <is>
          <t>457/BK-2025</t>
        </is>
      </c>
      <c r="E189" s="9" t="inlineStr">
        <is>
          <t>Cấp đổi</t>
        </is>
      </c>
      <c r="F189" s="9" t="n">
        <v>1100000</v>
      </c>
      <c r="G189" s="9" t="n">
        <v>0</v>
      </c>
      <c r="H189" s="9" t="n">
        <v>0</v>
      </c>
      <c r="I189" s="55" t="n">
        <v>45930</v>
      </c>
    </row>
    <row r="190" ht="15.75" customHeight="1" s="56">
      <c r="A190" s="55" t="n">
        <v>45901</v>
      </c>
      <c r="B190" s="9" t="inlineStr">
        <is>
          <t>Lê Văn Dựng</t>
        </is>
      </c>
      <c r="C190" s="9" t="inlineStr">
        <is>
          <t>459/BK-2025</t>
        </is>
      </c>
      <c r="E190" s="9" t="inlineStr">
        <is>
          <t>Cấp đổi</t>
        </is>
      </c>
      <c r="F190" s="9" t="n">
        <v>1100000</v>
      </c>
      <c r="G190" s="9" t="n">
        <v>0</v>
      </c>
      <c r="H190" s="9" t="n">
        <v>0</v>
      </c>
      <c r="I190" s="55" t="n">
        <v>45930</v>
      </c>
    </row>
    <row r="191" ht="15.75" customHeight="1" s="56">
      <c r="A191" s="55" t="n">
        <v>45901</v>
      </c>
      <c r="B191" s="9" t="inlineStr">
        <is>
          <t>Lê Văn Dựng</t>
        </is>
      </c>
      <c r="C191" s="9" t="inlineStr">
        <is>
          <t>395/BK-2025</t>
        </is>
      </c>
      <c r="E191" s="9" t="inlineStr">
        <is>
          <t>Cấp đổi</t>
        </is>
      </c>
      <c r="F191" s="9" t="n">
        <v>200000</v>
      </c>
      <c r="G191" s="9" t="n">
        <v>0</v>
      </c>
      <c r="H191" s="9" t="n">
        <v>100000</v>
      </c>
      <c r="I191" s="55" t="n">
        <v>45905</v>
      </c>
    </row>
    <row r="192" ht="15.75" customHeight="1" s="56">
      <c r="A192" s="55" t="n">
        <v>45901</v>
      </c>
      <c r="B192" s="9" t="inlineStr">
        <is>
          <t>Lê Văn Dựng</t>
        </is>
      </c>
      <c r="C192" s="9" t="inlineStr">
        <is>
          <t>443/BK-2025</t>
        </is>
      </c>
      <c r="E192" s="9" t="inlineStr">
        <is>
          <t>Cấp đổi</t>
        </is>
      </c>
      <c r="F192" s="9" t="n">
        <v>200000</v>
      </c>
      <c r="G192" s="9" t="n">
        <v>0</v>
      </c>
      <c r="H192" s="9" t="n">
        <v>0</v>
      </c>
      <c r="I192" s="55" t="n">
        <v>45922</v>
      </c>
    </row>
    <row r="193" ht="15.75" customHeight="1" s="56">
      <c r="A193" s="55" t="n">
        <v>45870</v>
      </c>
      <c r="B193" s="9" t="inlineStr">
        <is>
          <t>Lê Văn Dựng</t>
        </is>
      </c>
      <c r="C193" s="9" t="inlineStr">
        <is>
          <t>272/BK-2025</t>
        </is>
      </c>
      <c r="E193" s="9" t="inlineStr">
        <is>
          <t>Cấp sổ lần đầu</t>
        </is>
      </c>
      <c r="F193" s="9" t="n">
        <v>1100000</v>
      </c>
      <c r="G193" s="9" t="n">
        <v>0</v>
      </c>
      <c r="H193" s="9" t="n">
        <v>0</v>
      </c>
      <c r="I193" s="55" t="n">
        <v>45880</v>
      </c>
    </row>
    <row r="194" ht="15.75" customHeight="1" s="56">
      <c r="A194" s="55" t="n">
        <v>45870</v>
      </c>
      <c r="B194" s="9" t="inlineStr">
        <is>
          <t>Lê Văn Dựng</t>
        </is>
      </c>
      <c r="C194" s="9" t="inlineStr">
        <is>
          <t>273/BK-2025</t>
        </is>
      </c>
      <c r="E194" s="9" t="inlineStr">
        <is>
          <t>Cấp sổ lần đầu</t>
        </is>
      </c>
      <c r="F194" s="9" t="n">
        <v>1100000</v>
      </c>
      <c r="G194" s="9" t="n">
        <v>0</v>
      </c>
      <c r="H194" s="9" t="n">
        <v>0</v>
      </c>
      <c r="I194" s="55" t="n">
        <v>45880</v>
      </c>
    </row>
    <row r="195" ht="15.75" customHeight="1" s="56">
      <c r="A195" s="55" t="n">
        <v>45870</v>
      </c>
      <c r="B195" s="9" t="inlineStr">
        <is>
          <t>Lê Văn Dựng</t>
        </is>
      </c>
      <c r="C195" s="9" t="inlineStr">
        <is>
          <t>274/BK-2025</t>
        </is>
      </c>
      <c r="E195" s="9" t="inlineStr">
        <is>
          <t>Cấp sổ lần đầu</t>
        </is>
      </c>
      <c r="F195" s="9" t="n">
        <v>1100000</v>
      </c>
      <c r="G195" s="9" t="n">
        <v>0</v>
      </c>
      <c r="H195" s="9" t="n">
        <v>0</v>
      </c>
      <c r="I195" s="55" t="n">
        <v>45883</v>
      </c>
    </row>
    <row r="196" ht="15.75" customHeight="1" s="56">
      <c r="A196" s="55" t="n">
        <v>45870</v>
      </c>
      <c r="B196" s="9" t="inlineStr">
        <is>
          <t>Lê Văn Dựng</t>
        </is>
      </c>
      <c r="C196" s="9" t="inlineStr">
        <is>
          <t>334/BK-2025</t>
        </is>
      </c>
      <c r="E196" s="9" t="inlineStr">
        <is>
          <t>Cắm mốc</t>
        </is>
      </c>
      <c r="F196" s="9" t="n">
        <v>1200000</v>
      </c>
      <c r="G196" s="9" t="n">
        <v>0</v>
      </c>
      <c r="H196" s="9" t="n">
        <v>0</v>
      </c>
      <c r="I196" s="55" t="n">
        <v>45879</v>
      </c>
    </row>
    <row r="197" ht="15.75" customHeight="1" s="56">
      <c r="A197" s="55" t="n">
        <v>45870</v>
      </c>
      <c r="B197" s="9" t="inlineStr">
        <is>
          <t>Lê Văn Dựng</t>
        </is>
      </c>
      <c r="C197" s="9" t="inlineStr">
        <is>
          <t>336/BK-2025</t>
        </is>
      </c>
      <c r="E197" s="9" t="inlineStr">
        <is>
          <t>Cắm mốc</t>
        </is>
      </c>
      <c r="F197" s="9" t="n">
        <v>1200000</v>
      </c>
      <c r="G197" s="9" t="n">
        <v>0</v>
      </c>
      <c r="H197" s="9" t="n">
        <v>0</v>
      </c>
      <c r="I197" s="55" t="n">
        <v>45878</v>
      </c>
    </row>
    <row r="198" ht="15.75" customHeight="1" s="56">
      <c r="A198" s="55" t="n">
        <v>45870</v>
      </c>
      <c r="B198" s="9" t="inlineStr">
        <is>
          <t>Lê Văn Dựng</t>
        </is>
      </c>
      <c r="C198" s="9" t="inlineStr">
        <is>
          <t>342/BK-2025</t>
        </is>
      </c>
      <c r="E198" s="9" t="inlineStr">
        <is>
          <t>Cắm mốc</t>
        </is>
      </c>
      <c r="F198" s="9" t="n">
        <v>1200000</v>
      </c>
      <c r="G198" s="9" t="n">
        <v>0</v>
      </c>
      <c r="H198" s="9" t="n">
        <v>0</v>
      </c>
      <c r="I198" s="55" t="n">
        <v>45881</v>
      </c>
    </row>
    <row r="199" ht="15.75" customHeight="1" s="56">
      <c r="A199" s="55" t="n">
        <v>45870</v>
      </c>
      <c r="B199" s="9" t="inlineStr">
        <is>
          <t>Lê Văn Dựng</t>
        </is>
      </c>
      <c r="C199" s="9" t="inlineStr">
        <is>
          <t>343/BK-2025</t>
        </is>
      </c>
      <c r="E199" s="9" t="inlineStr">
        <is>
          <t>Đo GPS</t>
        </is>
      </c>
      <c r="F199" s="9" t="n">
        <v>1200000</v>
      </c>
      <c r="G199" s="9" t="n">
        <v>0</v>
      </c>
      <c r="H199" s="9" t="n">
        <v>0</v>
      </c>
      <c r="I199" s="55" t="n">
        <v>45881</v>
      </c>
    </row>
    <row r="200" ht="15.75" customHeight="1" s="56">
      <c r="A200" s="55" t="n">
        <v>45870</v>
      </c>
      <c r="B200" s="9" t="inlineStr">
        <is>
          <t>Lê Văn Dựng</t>
        </is>
      </c>
      <c r="C200" s="9" t="inlineStr">
        <is>
          <t>344/BK-2025</t>
        </is>
      </c>
      <c r="E200" s="9" t="inlineStr">
        <is>
          <t>Cắm mốc</t>
        </is>
      </c>
      <c r="F200" s="9" t="n">
        <v>1200000</v>
      </c>
      <c r="G200" s="9" t="n">
        <v>0</v>
      </c>
      <c r="H200" s="9" t="n">
        <v>0</v>
      </c>
      <c r="I200" s="55" t="n">
        <v>45874</v>
      </c>
    </row>
    <row r="201" ht="15.75" customHeight="1" s="56">
      <c r="A201" s="55" t="n">
        <v>45870</v>
      </c>
      <c r="B201" s="9" t="inlineStr">
        <is>
          <t>Lê Văn Dựng</t>
        </is>
      </c>
      <c r="C201" s="9" t="inlineStr">
        <is>
          <t>351/BK-2025</t>
        </is>
      </c>
      <c r="E201" s="9" t="inlineStr">
        <is>
          <t>Cắm mốc</t>
        </is>
      </c>
      <c r="F201" s="9" t="n">
        <v>1200000</v>
      </c>
      <c r="G201" s="9" t="n">
        <v>0</v>
      </c>
      <c r="H201" s="9" t="n">
        <v>0</v>
      </c>
      <c r="I201" s="55" t="n">
        <v>45882</v>
      </c>
    </row>
    <row r="202" ht="15.75" customHeight="1" s="56">
      <c r="A202" s="55" t="n">
        <v>45870</v>
      </c>
      <c r="B202" s="9" t="inlineStr">
        <is>
          <t>Lê Văn Dựng</t>
        </is>
      </c>
      <c r="C202" s="9" t="inlineStr">
        <is>
          <t>354/BK-2025</t>
        </is>
      </c>
      <c r="E202" s="9" t="inlineStr">
        <is>
          <t>Đo GPS</t>
        </is>
      </c>
      <c r="F202" s="9" t="n">
        <v>1200000</v>
      </c>
      <c r="G202" s="9" t="n">
        <v>0</v>
      </c>
      <c r="H202" s="9" t="n">
        <v>0</v>
      </c>
      <c r="I202" s="55" t="n">
        <v>45882</v>
      </c>
    </row>
    <row r="203" ht="15.75" customHeight="1" s="56">
      <c r="A203" s="55" t="n">
        <v>45870</v>
      </c>
      <c r="B203" s="9" t="inlineStr">
        <is>
          <t>Lê Văn Dựng</t>
        </is>
      </c>
      <c r="C203" s="9" t="inlineStr">
        <is>
          <t>359/BK-2025</t>
        </is>
      </c>
      <c r="E203" s="9" t="inlineStr">
        <is>
          <t>Xác định diện tích</t>
        </is>
      </c>
      <c r="F203" s="9" t="n">
        <v>700000</v>
      </c>
      <c r="G203" s="9" t="n">
        <v>0</v>
      </c>
      <c r="H203" s="9" t="n">
        <v>0</v>
      </c>
      <c r="I203" s="55" t="n">
        <v>45883</v>
      </c>
    </row>
    <row r="204" ht="15.75" customHeight="1" s="56">
      <c r="A204" s="55" t="n">
        <v>45870</v>
      </c>
      <c r="B204" s="9" t="inlineStr">
        <is>
          <t>Lê Văn Dựng</t>
        </is>
      </c>
      <c r="C204" s="9" t="inlineStr">
        <is>
          <t>552-1/BK-2025</t>
        </is>
      </c>
      <c r="E204" s="9" t="inlineStr">
        <is>
          <t>Điều chỉnh bản vẽ</t>
        </is>
      </c>
      <c r="F204" s="9" t="n">
        <v>500000</v>
      </c>
      <c r="G204" s="9" t="n">
        <v>0</v>
      </c>
      <c r="H204" s="9" t="n">
        <v>0</v>
      </c>
      <c r="I204" s="55" t="n">
        <v>45880</v>
      </c>
    </row>
    <row r="205" ht="15.75" customHeight="1" s="56">
      <c r="A205" s="55" t="n">
        <v>45870</v>
      </c>
      <c r="B205" s="9" t="inlineStr">
        <is>
          <t>Lê Văn Dựng</t>
        </is>
      </c>
      <c r="C205" s="9" t="inlineStr">
        <is>
          <t>552-2/BK-2025</t>
        </is>
      </c>
      <c r="E205" s="9" t="inlineStr">
        <is>
          <t>Điều chỉnh bản vẽ</t>
        </is>
      </c>
      <c r="F205" s="9" t="n">
        <v>500000</v>
      </c>
      <c r="G205" s="9" t="n">
        <v>0</v>
      </c>
      <c r="H205" s="9" t="n">
        <v>0</v>
      </c>
      <c r="I205" s="55" t="n">
        <v>45880</v>
      </c>
    </row>
    <row r="206" ht="15.75" customHeight="1" s="56">
      <c r="A206" s="55" t="n">
        <v>45870</v>
      </c>
      <c r="B206" s="9" t="inlineStr">
        <is>
          <t>Lê Văn Dựng</t>
        </is>
      </c>
      <c r="C206" s="9" t="inlineStr">
        <is>
          <t>367/BK-2025</t>
        </is>
      </c>
      <c r="E206" s="9" t="inlineStr">
        <is>
          <t>Cắm mốc</t>
        </is>
      </c>
      <c r="F206" s="9" t="n">
        <v>1200000</v>
      </c>
      <c r="G206" s="9" t="n">
        <v>0</v>
      </c>
      <c r="H206" s="9" t="n">
        <v>0</v>
      </c>
      <c r="I206" s="55" t="n">
        <v>45888</v>
      </c>
    </row>
    <row r="207" ht="15.75" customHeight="1" s="56">
      <c r="A207" s="55" t="n">
        <v>45870</v>
      </c>
      <c r="B207" s="9" t="inlineStr">
        <is>
          <t>Lê Văn Dựng</t>
        </is>
      </c>
      <c r="C207" s="9" t="inlineStr">
        <is>
          <t>368/BK-2025</t>
        </is>
      </c>
      <c r="E207" s="9" t="inlineStr">
        <is>
          <t>Cắm mốc</t>
        </is>
      </c>
      <c r="F207" s="9" t="n">
        <v>1200000</v>
      </c>
      <c r="G207" s="9" t="n">
        <v>0</v>
      </c>
      <c r="H207" s="9" t="n">
        <v>0</v>
      </c>
      <c r="I207" s="55" t="n">
        <v>45888</v>
      </c>
    </row>
    <row r="208" ht="15.75" customHeight="1" s="56">
      <c r="A208" s="55" t="n">
        <v>45870</v>
      </c>
      <c r="B208" s="9" t="inlineStr">
        <is>
          <t>Lê Văn Dựng</t>
        </is>
      </c>
      <c r="C208" s="9" t="inlineStr">
        <is>
          <t>369/BK-2025</t>
        </is>
      </c>
      <c r="E208" s="9" t="inlineStr">
        <is>
          <t>Cắm mốc</t>
        </is>
      </c>
      <c r="F208" s="9" t="n">
        <v>1200000</v>
      </c>
      <c r="G208" s="9" t="n">
        <v>0</v>
      </c>
      <c r="H208" s="9" t="n">
        <v>0</v>
      </c>
      <c r="I208" s="55" t="n">
        <v>45888</v>
      </c>
    </row>
    <row r="209" ht="15.75" customHeight="1" s="56">
      <c r="A209" s="55" t="n">
        <v>45870</v>
      </c>
      <c r="B209" s="9" t="inlineStr">
        <is>
          <t>Lê Văn Dựng</t>
        </is>
      </c>
      <c r="C209" s="9" t="inlineStr">
        <is>
          <t>370/BK-2025</t>
        </is>
      </c>
      <c r="E209" s="9" t="inlineStr">
        <is>
          <t>Cắm mốc</t>
        </is>
      </c>
      <c r="F209" s="9" t="n">
        <v>1200000</v>
      </c>
      <c r="G209" s="9" t="n">
        <v>0</v>
      </c>
      <c r="H209" s="9" t="n">
        <v>0</v>
      </c>
      <c r="I209" s="55" t="n">
        <v>45888</v>
      </c>
    </row>
    <row r="210" ht="15.75" customHeight="1" s="56">
      <c r="A210" s="55" t="n">
        <v>45870</v>
      </c>
      <c r="B210" s="9" t="inlineStr">
        <is>
          <t>Lê Văn Dựng</t>
        </is>
      </c>
      <c r="C210" s="9" t="inlineStr">
        <is>
          <t>375/BK-2025</t>
        </is>
      </c>
      <c r="E210" s="9" t="inlineStr">
        <is>
          <t>Đo GPS</t>
        </is>
      </c>
      <c r="F210" s="9" t="n">
        <v>1200000</v>
      </c>
      <c r="G210" s="9" t="n">
        <v>0</v>
      </c>
      <c r="H210" s="9" t="n">
        <v>0</v>
      </c>
      <c r="I210" s="55" t="n">
        <v>45890</v>
      </c>
    </row>
    <row r="211" ht="15.75" customHeight="1" s="56">
      <c r="A211" s="55" t="n">
        <v>45870</v>
      </c>
      <c r="B211" s="9" t="inlineStr">
        <is>
          <t>Lê Văn Dựng</t>
        </is>
      </c>
      <c r="C211" s="9" t="inlineStr">
        <is>
          <t>374/BK-2025</t>
        </is>
      </c>
      <c r="E211" s="9" t="inlineStr">
        <is>
          <t>Cấp đổi</t>
        </is>
      </c>
      <c r="F211" s="9" t="n">
        <v>1100000</v>
      </c>
      <c r="G211" s="9" t="n">
        <v>0</v>
      </c>
      <c r="H211" s="9" t="n">
        <v>0</v>
      </c>
      <c r="I211" s="55" t="n">
        <v>45890</v>
      </c>
    </row>
    <row r="212" ht="15.75" customHeight="1" s="56">
      <c r="A212" s="55" t="n">
        <v>45870</v>
      </c>
      <c r="B212" s="9" t="inlineStr">
        <is>
          <t>Lê Văn Dựng</t>
        </is>
      </c>
      <c r="C212" s="9" t="inlineStr">
        <is>
          <t>324/BK-2025</t>
        </is>
      </c>
      <c r="E212" s="9" t="inlineStr">
        <is>
          <t>Cấp đổi</t>
        </is>
      </c>
      <c r="F212" s="9" t="n">
        <v>1100000</v>
      </c>
      <c r="G212" s="9" t="n">
        <v>0</v>
      </c>
      <c r="H212" s="9" t="n">
        <v>0</v>
      </c>
      <c r="I212" s="55" t="n">
        <v>45889</v>
      </c>
    </row>
    <row r="213" ht="15.75" customHeight="1" s="56">
      <c r="A213" s="55" t="n">
        <v>45870</v>
      </c>
      <c r="B213" s="9" t="inlineStr">
        <is>
          <t>Lê Văn Dựng</t>
        </is>
      </c>
      <c r="C213" s="9" t="inlineStr">
        <is>
          <t>377/BK-2025</t>
        </is>
      </c>
      <c r="E213" s="9" t="inlineStr">
        <is>
          <t>Cấp sổ lần đầu</t>
        </is>
      </c>
      <c r="F213" s="9" t="n">
        <v>1100000</v>
      </c>
      <c r="G213" s="9" t="n">
        <v>0</v>
      </c>
      <c r="H213" s="9" t="n">
        <v>0</v>
      </c>
      <c r="I213" s="55" t="n">
        <v>45891</v>
      </c>
    </row>
    <row r="214" ht="15.75" customHeight="1" s="56">
      <c r="A214" s="55" t="n">
        <v>45870</v>
      </c>
      <c r="B214" s="9" t="inlineStr">
        <is>
          <t>Lê Văn Dựng</t>
        </is>
      </c>
      <c r="C214" s="9" t="inlineStr">
        <is>
          <t>313/BK-2025</t>
        </is>
      </c>
      <c r="E214" s="9" t="inlineStr">
        <is>
          <t>Cấp đổi</t>
        </is>
      </c>
      <c r="F214" s="9" t="n">
        <v>1100000</v>
      </c>
      <c r="G214" s="9" t="n">
        <v>0</v>
      </c>
      <c r="H214" s="9" t="n">
        <v>0</v>
      </c>
      <c r="I214" s="55" t="n">
        <v>45875</v>
      </c>
    </row>
    <row r="215" ht="15.75" customHeight="1" s="56">
      <c r="A215" s="55" t="n">
        <v>45870</v>
      </c>
      <c r="B215" s="9" t="inlineStr">
        <is>
          <t>Lê Văn Dựng</t>
        </is>
      </c>
      <c r="C215" s="9" t="inlineStr">
        <is>
          <t>293-DC/BK-2025</t>
        </is>
      </c>
      <c r="E215" s="9" t="inlineStr">
        <is>
          <t>Điều chỉnh bản vẽ</t>
        </is>
      </c>
      <c r="F215" s="9" t="n">
        <v>0</v>
      </c>
      <c r="G215" s="9" t="n">
        <v>0</v>
      </c>
      <c r="H215" s="9" t="n">
        <v>0</v>
      </c>
      <c r="I215" s="55" t="n">
        <v>45877</v>
      </c>
    </row>
    <row r="216" ht="15.75" customHeight="1" s="56">
      <c r="A216" s="55" t="n">
        <v>45870</v>
      </c>
      <c r="B216" s="9" t="inlineStr">
        <is>
          <t>Lê Văn Dựng</t>
        </is>
      </c>
      <c r="C216" s="9" t="inlineStr">
        <is>
          <t>312/BK-2025</t>
        </is>
      </c>
      <c r="E216" s="9" t="inlineStr">
        <is>
          <t>Cấp đổi</t>
        </is>
      </c>
      <c r="F216" s="9" t="n">
        <v>1100000</v>
      </c>
      <c r="G216" s="9" t="n">
        <v>0</v>
      </c>
      <c r="H216" s="9" t="n">
        <v>0</v>
      </c>
      <c r="I216" s="55" t="n">
        <v>45882</v>
      </c>
    </row>
    <row r="217" ht="15.75" customHeight="1" s="56">
      <c r="A217" s="55" t="n">
        <v>45870</v>
      </c>
      <c r="B217" s="9" t="inlineStr">
        <is>
          <t>Lê Văn Dựng</t>
        </is>
      </c>
      <c r="C217" s="9" t="inlineStr">
        <is>
          <t>309/BK-2025</t>
        </is>
      </c>
      <c r="E217" s="9" t="inlineStr">
        <is>
          <t>Cấp đổi</t>
        </is>
      </c>
      <c r="F217" s="9" t="n">
        <v>1100000</v>
      </c>
      <c r="G217" s="9" t="n">
        <v>0</v>
      </c>
      <c r="H217" s="9" t="n">
        <v>0</v>
      </c>
      <c r="I217" s="55" t="n">
        <v>45877</v>
      </c>
    </row>
    <row r="218" ht="15.75" customHeight="1" s="56">
      <c r="A218" s="55" t="n">
        <v>45870</v>
      </c>
      <c r="B218" s="9" t="inlineStr">
        <is>
          <t>Lê Văn Dựng</t>
        </is>
      </c>
      <c r="C218" s="9" t="inlineStr">
        <is>
          <t>391/BK-2025</t>
        </is>
      </c>
      <c r="E218" s="9" t="inlineStr">
        <is>
          <t>Xác định diện tích</t>
        </is>
      </c>
      <c r="F218" s="9" t="n">
        <v>700000</v>
      </c>
      <c r="G218" s="9" t="n">
        <v>0</v>
      </c>
      <c r="H218" s="9" t="n">
        <v>0</v>
      </c>
      <c r="I218" s="55" t="n">
        <v>45892</v>
      </c>
    </row>
    <row r="219" ht="15.75" customHeight="1" s="56">
      <c r="A219" s="55" t="n">
        <v>45870</v>
      </c>
      <c r="B219" s="9" t="inlineStr">
        <is>
          <t>Lê Văn Dựng</t>
        </is>
      </c>
      <c r="C219" s="9" t="inlineStr">
        <is>
          <t>393/BK-2025</t>
        </is>
      </c>
      <c r="E219" s="9" t="inlineStr">
        <is>
          <t>Đo GPS</t>
        </is>
      </c>
      <c r="F219" s="9" t="n">
        <v>1200000</v>
      </c>
      <c r="G219" s="9" t="n">
        <v>0</v>
      </c>
      <c r="H219" s="9" t="n">
        <v>0</v>
      </c>
      <c r="I219" s="55" t="n">
        <v>45890</v>
      </c>
    </row>
    <row r="220" ht="15.75" customHeight="1" s="56">
      <c r="A220" s="55" t="n">
        <v>45870</v>
      </c>
      <c r="B220" s="9" t="inlineStr">
        <is>
          <t>Lê Văn Dựng</t>
        </is>
      </c>
      <c r="C220" s="9" t="inlineStr">
        <is>
          <t>398/BK-2025</t>
        </is>
      </c>
      <c r="E220" s="9" t="inlineStr">
        <is>
          <t>Đo GPS</t>
        </is>
      </c>
      <c r="F220" s="9" t="n">
        <v>1200000</v>
      </c>
      <c r="G220" s="9" t="n">
        <v>0</v>
      </c>
      <c r="H220" s="9" t="n">
        <v>0</v>
      </c>
      <c r="I220" s="55" t="n">
        <v>45897</v>
      </c>
    </row>
    <row r="221" ht="15.75" customHeight="1" s="56">
      <c r="A221" s="55" t="n">
        <v>45870</v>
      </c>
      <c r="B221" s="9" t="inlineStr">
        <is>
          <t>Lê Văn Dựng</t>
        </is>
      </c>
      <c r="C221" s="9" t="inlineStr">
        <is>
          <t>331-1/BK-2025</t>
        </is>
      </c>
      <c r="E221" s="9" t="inlineStr">
        <is>
          <t>Đo GPS</t>
        </is>
      </c>
      <c r="F221" s="9" t="n">
        <v>1200000</v>
      </c>
      <c r="G221" s="9" t="n">
        <v>0</v>
      </c>
      <c r="H221" s="9" t="n">
        <v>0</v>
      </c>
      <c r="I221" s="55" t="n">
        <v>45882</v>
      </c>
    </row>
    <row r="222" ht="15.75" customHeight="1" s="56">
      <c r="A222" s="55" t="n">
        <v>45870</v>
      </c>
      <c r="B222" s="9" t="inlineStr">
        <is>
          <t>Lê Văn Dựng</t>
        </is>
      </c>
      <c r="C222" s="9" t="inlineStr">
        <is>
          <t>387/BK-2025</t>
        </is>
      </c>
      <c r="E222" s="9" t="inlineStr">
        <is>
          <t>Cấp sổ lần đầu</t>
        </is>
      </c>
      <c r="F222" s="9" t="n">
        <v>1100000</v>
      </c>
      <c r="G222" s="9" t="n">
        <v>0</v>
      </c>
      <c r="H222" s="9" t="n">
        <v>0</v>
      </c>
      <c r="I222" s="55" t="n">
        <v>45897</v>
      </c>
    </row>
    <row r="223" ht="15.75" customHeight="1" s="56">
      <c r="A223" s="55" t="n">
        <v>45870</v>
      </c>
      <c r="B223" s="9" t="inlineStr">
        <is>
          <t>Lê Văn Dựng</t>
        </is>
      </c>
      <c r="C223" s="9" t="inlineStr">
        <is>
          <t>395-2/BK-2025</t>
        </is>
      </c>
      <c r="E223" s="9" t="inlineStr">
        <is>
          <t>Đo GPS</t>
        </is>
      </c>
      <c r="F223" s="9" t="n">
        <v>1200000</v>
      </c>
      <c r="G223" s="9" t="n">
        <v>0</v>
      </c>
      <c r="H223" s="9" t="n">
        <v>0</v>
      </c>
      <c r="I223" s="55" t="n">
        <v>45897</v>
      </c>
    </row>
    <row r="224" ht="15.75" customHeight="1" s="56">
      <c r="A224" s="55" t="n">
        <v>45870</v>
      </c>
      <c r="B224" s="9" t="inlineStr">
        <is>
          <t>Lê Văn Dựng</t>
        </is>
      </c>
      <c r="C224" s="9" t="inlineStr">
        <is>
          <t>270/BK-2025</t>
        </is>
      </c>
      <c r="E224" s="9" t="inlineStr">
        <is>
          <t>Hoàn công</t>
        </is>
      </c>
      <c r="F224" s="9" t="n">
        <v>0</v>
      </c>
      <c r="G224" s="9" t="n">
        <v>0</v>
      </c>
      <c r="H224" s="9" t="n">
        <v>0</v>
      </c>
      <c r="I224" s="55" t="n">
        <v>45899</v>
      </c>
    </row>
    <row r="225" ht="15.75" customHeight="1" s="56">
      <c r="A225" s="55" t="n">
        <v>45870</v>
      </c>
      <c r="B225" s="9" t="inlineStr">
        <is>
          <t>Lê Văn Dựng</t>
        </is>
      </c>
      <c r="C225" s="9" t="inlineStr">
        <is>
          <t>402-2/BK-2025</t>
        </is>
      </c>
      <c r="E225" s="9" t="inlineStr">
        <is>
          <t>Đo GPS</t>
        </is>
      </c>
      <c r="F225" s="9" t="n">
        <v>1200000</v>
      </c>
      <c r="G225" s="9" t="n">
        <v>0</v>
      </c>
      <c r="H225" s="9" t="n">
        <v>0</v>
      </c>
      <c r="I225" s="55" t="n">
        <v>45899</v>
      </c>
    </row>
    <row r="226" ht="15.75" customHeight="1" s="56">
      <c r="A226" s="55" t="n">
        <v>45870</v>
      </c>
      <c r="B226" s="9" t="inlineStr">
        <is>
          <t>Lê Văn Dựng</t>
        </is>
      </c>
      <c r="C226" s="9" t="inlineStr">
        <is>
          <t>363/BK-2025</t>
        </is>
      </c>
      <c r="E226" s="9" t="inlineStr">
        <is>
          <t>Cấp sổ lần đầu</t>
        </is>
      </c>
      <c r="F226" s="9" t="n">
        <v>200000</v>
      </c>
      <c r="G226" s="9" t="n">
        <v>0</v>
      </c>
      <c r="H226" s="9" t="n">
        <v>0</v>
      </c>
      <c r="I226" s="55" t="n">
        <v>45888</v>
      </c>
    </row>
    <row r="227" ht="15.75" customHeight="1" s="56">
      <c r="A227" s="55" t="n">
        <v>45839</v>
      </c>
      <c r="B227" s="9" t="inlineStr">
        <is>
          <t>Lê Văn Dựng</t>
        </is>
      </c>
      <c r="C227" s="9" t="inlineStr">
        <is>
          <t>310/BK-2025</t>
        </is>
      </c>
      <c r="E227" s="9" t="inlineStr">
        <is>
          <t>Cấp sổ lần đầu</t>
        </is>
      </c>
      <c r="F227" s="9" t="n">
        <v>1100000</v>
      </c>
      <c r="G227" s="9" t="n">
        <v>0</v>
      </c>
      <c r="H227" s="9" t="n">
        <v>0</v>
      </c>
      <c r="I227" s="55" t="n">
        <v>45867</v>
      </c>
    </row>
    <row r="228" ht="15.75" customHeight="1" s="56">
      <c r="A228" s="55" t="n">
        <v>45839</v>
      </c>
      <c r="B228" s="9" t="inlineStr">
        <is>
          <t>Lê Văn Dựng</t>
        </is>
      </c>
      <c r="C228" s="9" t="inlineStr">
        <is>
          <t>311/BK-2025</t>
        </is>
      </c>
      <c r="E228" s="9" t="inlineStr">
        <is>
          <t>Cấp sổ lần đầu</t>
        </is>
      </c>
      <c r="F228" s="9" t="n">
        <v>1100000</v>
      </c>
      <c r="G228" s="9" t="n">
        <v>0</v>
      </c>
      <c r="H228" s="9" t="n">
        <v>0</v>
      </c>
      <c r="I228" s="55" t="n">
        <v>45867</v>
      </c>
    </row>
    <row r="229" ht="15.75" customHeight="1" s="56">
      <c r="A229" s="55" t="n">
        <v>45839</v>
      </c>
      <c r="B229" s="9" t="inlineStr">
        <is>
          <t>Lê Văn Dựng</t>
        </is>
      </c>
      <c r="C229" s="9" t="inlineStr">
        <is>
          <t>32-GPS/BK-2025</t>
        </is>
      </c>
      <c r="E229" s="9" t="inlineStr">
        <is>
          <t>Đo GPS</t>
        </is>
      </c>
      <c r="F229" s="9" t="n">
        <v>1200000</v>
      </c>
      <c r="G229" s="9" t="n">
        <v>0</v>
      </c>
      <c r="H229" s="9" t="n">
        <v>0</v>
      </c>
      <c r="I229" s="55" t="n">
        <v>45849</v>
      </c>
    </row>
    <row r="230" ht="15.75" customHeight="1" s="56">
      <c r="A230" s="55" t="n">
        <v>45839</v>
      </c>
      <c r="B230" s="9" t="inlineStr">
        <is>
          <t>Lê Văn Dựng</t>
        </is>
      </c>
      <c r="C230" s="9" t="inlineStr">
        <is>
          <t>311-2/BK-2025</t>
        </is>
      </c>
      <c r="E230" s="9" t="inlineStr">
        <is>
          <t>Đo GPS</t>
        </is>
      </c>
      <c r="F230" s="9" t="n">
        <v>1200000</v>
      </c>
      <c r="G230" s="9" t="n">
        <v>0</v>
      </c>
      <c r="H230" s="9" t="n">
        <v>0</v>
      </c>
      <c r="I230" s="55" t="n">
        <v>45867</v>
      </c>
    </row>
    <row r="231" ht="15.75" customHeight="1" s="56">
      <c r="A231" s="55" t="n">
        <v>45839</v>
      </c>
      <c r="B231" s="9" t="inlineStr">
        <is>
          <t>Lê Văn Dựng</t>
        </is>
      </c>
      <c r="C231" s="9" t="inlineStr">
        <is>
          <t>313-2/BK-2025</t>
        </is>
      </c>
      <c r="E231" s="9" t="inlineStr">
        <is>
          <t>Đo GPS</t>
        </is>
      </c>
      <c r="F231" s="9" t="n">
        <v>1200000</v>
      </c>
      <c r="G231" s="9" t="n">
        <v>0</v>
      </c>
      <c r="H231" s="9" t="n">
        <v>0</v>
      </c>
      <c r="I231" s="55" t="n">
        <v>45869</v>
      </c>
    </row>
    <row r="232" ht="15.75" customHeight="1" s="56">
      <c r="A232" s="55" t="n">
        <v>45839</v>
      </c>
      <c r="B232" s="9" t="inlineStr">
        <is>
          <t>Lê Văn Dựng</t>
        </is>
      </c>
      <c r="C232" s="9" t="inlineStr">
        <is>
          <t>280/BK-2025</t>
        </is>
      </c>
      <c r="E232" s="9" t="inlineStr">
        <is>
          <t>Xác định diện tích</t>
        </is>
      </c>
      <c r="F232" s="9" t="n">
        <v>700000</v>
      </c>
      <c r="G232" s="9" t="n">
        <v>0</v>
      </c>
      <c r="H232" s="9" t="n">
        <v>0</v>
      </c>
      <c r="I232" s="55" t="n">
        <v>45863</v>
      </c>
    </row>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2026-06-23T06:30:53Z</dcterms:created>
  <dcterms:modified xmlns:dcterms="http://purl.org/dc/terms/" xmlns:xsi="http://www.w3.org/2001/XMLSchema-instance" xsi:type="dcterms:W3CDTF">2026-06-23T06:57:00Z</dcterms:modified>
</cp:coreProperties>
</file>