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n"/>
      <c r="B330" s="27" t="n"/>
      <c r="C330" s="37" t="n"/>
      <c r="D330" s="37" t="n"/>
      <c r="E330" s="37" t="n"/>
      <c r="F330" s="37" t="n"/>
      <c r="G330" s="37" t="n"/>
      <c r="H330" s="37" t="n"/>
      <c r="I330" s="37" t="n"/>
      <c r="J330" s="37" t="n"/>
      <c r="K330" s="37" t="n"/>
      <c r="L330" s="37" t="n"/>
      <c r="M330" s="27" t="n"/>
      <c r="N330" s="28">
        <f>IF(M330="","",M330-TODAY())</f>
        <v/>
      </c>
      <c r="O330" s="37">
        <f>IF(A330="","",IF(L330="Hoàn thành","XONG",IF(L330="Đã hủy","HỦY",IF(N330&lt;0,"QUÁ HẠN",IF(N330&lt;=THIET_LAP!$B$7,"SẮP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Chờ khảo sát</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n"/>
      <c r="B330" s="37" t="n"/>
      <c r="C330" s="37" t="n"/>
      <c r="D330" s="37" t="n"/>
      <c r="E330" s="37" t="n"/>
      <c r="F330" s="37" t="n"/>
      <c r="G330" s="27" t="n"/>
      <c r="H330" s="27" t="n"/>
      <c r="I330" s="37" t="n"/>
      <c r="J330" s="37" t="n"/>
      <c r="K330" s="37" t="n"/>
      <c r="L330" s="37">
        <f>IF(OR(H330="",J330="Hoàn thành",J330="Đã hủy"),"",IF(H330&lt;TODAY(),"QUÁ HẠN",IF(H330-TODAY()&lt;=THIET_LAP!$B$8,"SẮP HẠN","TRONG HẠN")))</f>
        <v/>
      </c>
      <c r="M330" s="27" t="n"/>
      <c r="N330" s="37" t="n"/>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inlineStr">
        <is>
          <t>UI-TEST-001/BK-2026</t>
        </is>
      </c>
      <c r="B328" s="37" t="inlineStr">
        <is>
          <t>BK-HS-0326</t>
        </is>
      </c>
      <c r="C328" s="37" t="inlineStr">
        <is>
          <t>UI Test</t>
        </is>
      </c>
      <c r="D328" s="37" t="inlineStr">
        <is>
          <t>Phòng Đo đạc</t>
        </is>
      </c>
      <c r="E328" s="37" t="inlineStr">
        <is>
          <t>Do hien trang</t>
        </is>
      </c>
      <c r="F328" s="27" t="inlineStr">
        <is>
          <t>2026-06-23</t>
        </is>
      </c>
      <c r="G328" s="29" t="n">
        <v>10000000</v>
      </c>
      <c r="H328" s="29" t="n">
        <v>0</v>
      </c>
      <c r="I328" s="29">
        <f>IF(G328="","",G328-H328)</f>
        <v/>
      </c>
      <c r="J328" s="37">
        <f>IF(A328="","",IF(I328&lt;=0,"Đã tất toán",IF(L328&lt;TODAY(),"Quá hạn thanh toán","Chờ thanh toán")))</f>
        <v/>
      </c>
      <c r="K328" s="37" t="inlineStr">
        <is>
          <t>Le Van Dung</t>
        </is>
      </c>
      <c r="L328" s="27" t="n"/>
      <c r="M328" s="37" t="inlineStr">
        <is>
          <t>File Hợp đồng: /static/generated_contracts/HopDong_BK-HS-0326_UI-TEST-001_BK-2026.docx</t>
        </is>
      </c>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Chờ khảo sát</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n"/>
      <c r="B330" s="37" t="n"/>
      <c r="C330" s="37" t="n"/>
      <c r="D330" s="37" t="n"/>
      <c r="E330" s="37" t="n"/>
      <c r="F330" s="37" t="n"/>
      <c r="G330" s="27" t="n"/>
      <c r="H330" s="37" t="n"/>
      <c r="I330" s="37" t="n"/>
      <c r="J330" s="29" t="n"/>
      <c r="K330" s="37" t="n"/>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2026-06-23T07:01:33Z</dcterms:modified>
</cp:coreProperties>
</file>