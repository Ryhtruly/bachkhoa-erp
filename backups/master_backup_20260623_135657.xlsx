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n"/>
      <c r="B330" s="27" t="n"/>
      <c r="C330" s="37" t="n"/>
      <c r="D330" s="37" t="n"/>
      <c r="E330" s="37" t="n"/>
      <c r="F330" s="37" t="n"/>
      <c r="G330" s="37" t="n"/>
      <c r="H330" s="37" t="n"/>
      <c r="I330" s="37" t="n"/>
      <c r="J330" s="37" t="n"/>
      <c r="K330" s="37" t="n"/>
      <c r="L330" s="37" t="n"/>
      <c r="M330" s="27" t="n"/>
      <c r="N330" s="28">
        <f>IF(M330="","",M330-TODAY())</f>
        <v/>
      </c>
      <c r="O330" s="37">
        <f>IF(A330="","",IF(L330="Hoàn thành","XONG",IF(L330="Đã hủy","HỦY",IF(N330&lt;0,"QUÁ HẠN",IF(N330&lt;=THIET_LAP!$B$7,"SẮP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n"/>
      <c r="B328" s="37" t="n"/>
      <c r="C328" s="37" t="n"/>
      <c r="D328" s="37" t="n"/>
      <c r="E328" s="37" t="n"/>
      <c r="F328" s="27" t="n"/>
      <c r="G328" s="29" t="n"/>
      <c r="H328" s="29" t="n"/>
      <c r="I328" s="29">
        <f>IF(G328="","",G328-H328)</f>
        <v/>
      </c>
      <c r="J328" s="37">
        <f>IF(A328="","",IF(I328&lt;=0,"Đã tất toán",IF(L328&lt;TODAY(),"Quá hạn","Còn nợ")))</f>
        <v/>
      </c>
      <c r="K328" s="37" t="n"/>
      <c r="L328" s="27" t="n"/>
      <c r="M328" s="37" t="n"/>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Trong hạn</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n"/>
      <c r="B330" s="37" t="n"/>
      <c r="C330" s="37" t="n"/>
      <c r="D330" s="37" t="n"/>
      <c r="E330" s="37" t="n"/>
      <c r="F330" s="37" t="n"/>
      <c r="G330" s="27" t="n"/>
      <c r="H330" s="37" t="n"/>
      <c r="I330" s="37" t="n"/>
      <c r="J330" s="29" t="n"/>
      <c r="K330" s="37" t="n"/>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2026-06-23T06:56:55Z</dcterms:modified>
</cp:coreProperties>
</file>