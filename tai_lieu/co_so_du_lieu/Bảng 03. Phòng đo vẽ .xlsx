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ảng tổng hợp" sheetId="1" r:id="rId5"/>
    <sheet state="visible" name="Tìm kiếm Hồ sơ" sheetId="2" r:id="rId6"/>
    <sheet state="visible" name="Xếp hạng Ưu tiên" sheetId="3" r:id="rId7"/>
    <sheet state="visible" name="Tải Công Việc" sheetId="4" r:id="rId8"/>
    <sheet state="visible" name="Giải trình " sheetId="5" r:id="rId9"/>
    <sheet state="visible" name="Nhật ký nộp hồ sơ " sheetId="6" r:id="rId10"/>
    <sheet state="visible" name="Hợp đồng đang xử lý" sheetId="7" r:id="rId11"/>
    <sheet state="visible" name="Trang tính9" sheetId="8" r:id="rId12"/>
    <sheet state="visible" name="Nhật ký đo" sheetId="9" r:id="rId13"/>
    <sheet state="visible" name="Trang tính15" sheetId="10" r:id="rId14"/>
  </sheets>
  <definedNames>
    <definedName hidden="1" localSheetId="0" name="_xlnm._FilterDatabase">'Bảng tổng hợp'!$A$1:$X$955</definedName>
    <definedName hidden="1" localSheetId="1" name="_xlnm._FilterDatabase">'Tìm kiếm Hồ sơ'!$A$4:$P$137</definedName>
    <definedName hidden="1" localSheetId="5" name="_xlnm._FilterDatabase">'Nhật ký nộp hồ sơ '!$A$1:$K$1516</definedName>
    <definedName hidden="1" localSheetId="8" name="_xlnm._FilterDatabase">'Nhật ký đo'!$A$1:$E$21</definedName>
    <definedName hidden="1" localSheetId="0" name="Z_4D25A5CF_93FA_4FF1_8FC9_EB89BF8C3CF8_.wvu.FilterData">'Bảng tổng hợp'!$A$1:$X$955</definedName>
    <definedName hidden="1" localSheetId="0" name="Z_2E765813_B5C3_4163_AFA9_3F2FF322C8AE_.wvu.FilterData">'Bảng tổng hợp'!$A$1:$X$955</definedName>
    <definedName hidden="1" localSheetId="0" name="Z_384298D1_9F8C_4BD3_ACE7_702C201D0EDB_.wvu.FilterData">'Bảng tổng hợp'!$A$1:$X$955</definedName>
    <definedName hidden="1" localSheetId="0" name="Z_B81682E2_F845_4F8E_939C_B0A2C1599B07_.wvu.FilterData">'Bảng tổng hợp'!$A$1:$X$955</definedName>
    <definedName hidden="1" localSheetId="0" name="Z_BD3F3891_D1D2_4AA3_A6F8_385C54537B6A_.wvu.FilterData">'Bảng tổng hợp'!$A$1:$X$955</definedName>
  </definedNames>
  <calcPr/>
  <customWorkbookViews>
    <customWorkbookView activeSheetId="0" maximized="1" windowHeight="0" windowWidth="0" guid="{384298D1-9F8C-4BD3-ACE7-702C201D0EDB}" name="Nhóm theo Phụ Trách Chính"/>
    <customWorkbookView activeSheetId="0" maximized="1" windowHeight="0" windowWidth="0" guid="{4D25A5CF-93FA-4FF1-8FC9-EB89BF8C3CF8}" name="Nhóm theo Phụ đo"/>
    <customWorkbookView activeSheetId="0" maximized="1" windowHeight="0" windowWidth="0" guid="{BD3F3891-D1D2-4AA3-A6F8-385C54537B6A}" name="Nhóm theo Tiến độ"/>
    <customWorkbookView activeSheetId="0" maximized="1" windowHeight="0" windowWidth="0" guid="{B81682E2-F845-4F8E-939C-B0A2C1599B07}" name="Nhóm theo Phường"/>
    <customWorkbookView activeSheetId="0" maximized="1" windowHeight="0" windowWidth="0" guid="{2E765813-B5C3-4163-AFA9-3F2FF322C8AE}" name="Nhóm theo Phường "/>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S755">
      <text>
        <t xml:space="preserve">Người trả lời đã cập nhật giá trị này.</t>
      </text>
    </comment>
    <comment authorId="0" ref="B92">
      <text>
        <t xml:space="preserve">Người trả lời đã cập nhật giá trị này.</t>
      </text>
    </comment>
    <comment authorId="0" ref="C508">
      <text>
        <t xml:space="preserve">Người trả lời đã cập nhật giá trị này.</t>
      </text>
    </comment>
    <comment authorId="0" ref="C507">
      <text>
        <t xml:space="preserve">Người trả lời đã cập nhật giá trị này.</t>
      </text>
    </comment>
    <comment authorId="0" ref="B185">
      <text>
        <t xml:space="preserve">Người trả lời đã cập nhật giá trị này.</t>
      </text>
    </comment>
    <comment authorId="0" ref="I415">
      <text>
        <t xml:space="preserve">Người trả lời đã cập nhật giá trị này.</t>
      </text>
    </comment>
    <comment authorId="0" ref="W393">
      <text>
        <t xml:space="preserve">Người trả lời đã cập nhật giá trị này.</t>
      </text>
    </comment>
    <comment authorId="0" ref="B498">
      <text>
        <t xml:space="preserve">Người trả lời đã cập nhật giá trị này.</t>
      </text>
    </comment>
    <comment authorId="0" ref="M508">
      <text>
        <t xml:space="preserve">Người trả lời đã cập nhật giá trị này.</t>
      </text>
    </comment>
    <comment authorId="0" ref="M507">
      <text>
        <t xml:space="preserve">Người trả lời đã cập nhật giá trị này.</t>
      </text>
    </comment>
    <comment authorId="0" ref="I116">
      <text>
        <t xml:space="preserve">Người trả lời đã cập nhật giá trị này.</t>
      </text>
    </comment>
    <comment authorId="0" ref="M116">
      <text>
        <t xml:space="preserve">Người trả lời đã cập nhật giá trị này.</t>
      </text>
    </comment>
    <comment authorId="0" ref="S406">
      <text>
        <t xml:space="preserve">Người trả lời đã cập nhật giá trị này.</t>
      </text>
    </comment>
    <comment authorId="0" ref="B356">
      <text>
        <t xml:space="preserve">Người trả lời đã cập nhật giá trị này.</t>
      </text>
    </comment>
    <comment authorId="0" ref="S661">
      <text>
        <t xml:space="preserve">Người trả lời đã cập nhật giá trị này.</t>
      </text>
    </comment>
    <comment authorId="0" ref="B323">
      <text>
        <t xml:space="preserve">Người trả lời đã cập nhật giá trị này.</t>
      </text>
    </comment>
    <comment authorId="0" ref="C516">
      <text>
        <t xml:space="preserve">Người trả lời đã cập nhật giá trị này.</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
      <text>
        <t xml:space="preserve">"Hệ thống tự động xếp hạng dựa trên tổng số việc và số việc đã giải trình. Người có 'Ưu tiên số 1' là người phù hợp nhất để nhận việc mới."</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tc={146e0cad-2e38-4d00-9237-15c72de5dcbb}</author>
    <author>tc={1a8134ec-05be-4b4b-9c72-828cb00bf1cc}</author>
    <author>tc={20748283-2e00-42e9-af53-2954626eadfc}</author>
    <author>tc={43c41204-eb00-492b-8642-ca971807e094}</author>
    <author>tc={e73dca57-c05a-4ee0-a631-a776a9dcd624}</author>
  </authors>
  <commentList>
    <comment authorId="0" xr:uid="{146e0cad-2e38-4d00-9237-15c72de5dcbb}" ref="F23">
      <text>
        <t xml:space="preserve">[Threaded comment]
 Your version of Excel allows you to read this threaded comment; however, any edits to it will get removed if the file is opened in a newer version of Excel. Learn more: https://go.microsoft.com/fwlink/?linkid=870924
Comment:
	Lệch ranh sai hiện trạng chờ phương án
</t>
      </text>
    </comment>
    <comment authorId="1" xr:uid="{1a8134ec-05be-4b4b-9c72-828cb00bf1cc}" ref="F10">
      <text>
        <t xml:space="preserve">[Threaded comment]
 Your version of Excel allows you to read this threaded comment; however, any edits to it will get removed if the file is opened in a newer version of Excel. Learn more: https://go.microsoft.com/fwlink/?linkid=870924
Comment:
	Sai hiện trạng chờ phương án hs Tuấn Bk
</t>
      </text>
    </comment>
    <comment authorId="2" xr:uid="{20748283-2e00-42e9-af53-2954626eadfc}" ref="F12">
      <text>
        <t xml:space="preserve">[Threaded comment]
 Your version of Excel allows you to read this threaded comment; however, any edits to it will get removed if the file is opened in a newer version of Excel. Learn more: https://go.microsoft.com/fwlink/?linkid=870924
Comment:
	Tách thửa, sai hiện trạng, chờ thống nhất phương án từ chủ nhà
</t>
      </text>
    </comment>
    <comment authorId="3" xr:uid="{43c41204-eb00-492b-8642-ca971807e094}" ref="F13">
      <text>
        <t xml:space="preserve">[Threaded comment]
 Your version of Excel allows you to read this threaded comment; however, any edits to it will get removed if the file is opened in a newer version of Excel. Learn more: https://go.microsoft.com/fwlink/?linkid=870924
Comment:
	Sai hiện trạng hủy Tuấn đen
</t>
      </text>
    </comment>
    <comment authorId="4" xr:uid="{e73dca57-c05a-4ee0-a631-a776a9dcd624}" ref="F11">
      <text>
        <t xml:space="preserve">[Threaded comment]
 Your version of Excel allows you to read this threaded comment; however, any edits to it will get removed if the file is opened in a newer version of Excel. Learn more: https://go.microsoft.com/fwlink/?linkid=870924
Comment:
	Sai hiện trạng hủy hs Tuấn đen
</t>
      </text>
    </comment>
  </commentList>
</comments>
</file>

<file path=xl/sharedStrings.xml><?xml version="1.0" encoding="utf-8"?>
<sst xmlns="http://schemas.openxmlformats.org/spreadsheetml/2006/main" count="20102" uniqueCount="3167">
  <si>
    <t>Dấu thời gian</t>
  </si>
  <si>
    <t>Mã hợp đồng</t>
  </si>
  <si>
    <t>Tên hồ sơ</t>
  </si>
  <si>
    <t>Pháp lý</t>
  </si>
  <si>
    <t xml:space="preserve">Phường
</t>
  </si>
  <si>
    <t xml:space="preserve">Tên khách hàng </t>
  </si>
  <si>
    <t>Số Điện Thoại Liên Hệ</t>
  </si>
  <si>
    <t>Phụ Trách Chính</t>
  </si>
  <si>
    <t>Phụ đo</t>
  </si>
  <si>
    <t>Độ ưu tiên</t>
  </si>
  <si>
    <t>Trạng thái mới nhất</t>
  </si>
  <si>
    <t>Cảnh báo</t>
  </si>
  <si>
    <t>Hạng mục công việc</t>
  </si>
  <si>
    <t>Ngày bắt đầu</t>
  </si>
  <si>
    <t>Hạn xử lý</t>
  </si>
  <si>
    <t xml:space="preserve">Ngày nộp </t>
  </si>
  <si>
    <t>Ngày HT</t>
  </si>
  <si>
    <t>Lần nộp</t>
  </si>
  <si>
    <t>Ghi chú</t>
  </si>
  <si>
    <t>Giải trình lý do</t>
  </si>
  <si>
    <t>Quản lý phê duyệt</t>
  </si>
  <si>
    <t>Chi kỹ thuật</t>
  </si>
  <si>
    <t xml:space="preserve">Số cọc cắm mốc </t>
  </si>
  <si>
    <t xml:space="preserve">Loại cọc cắm </t>
  </si>
  <si>
    <t>112/BK-2025</t>
  </si>
  <si>
    <t>P Linh Đông, HSo Tùng M</t>
  </si>
  <si>
    <t>Hiệp Bình</t>
  </si>
  <si>
    <t>Tùng Mập</t>
  </si>
  <si>
    <t>Lê Văn Dựng</t>
  </si>
  <si>
    <t>Tạ Khắc Tập</t>
  </si>
  <si>
    <t>Cấp sổ lần đầu</t>
  </si>
  <si>
    <t>Lấy 1 bộ hso</t>
  </si>
  <si>
    <t>đã vẽ xong,Đợi bổ sung giấy tờ</t>
  </si>
  <si>
    <t>Đợi phương án</t>
  </si>
  <si>
    <t>Đã thanh toán</t>
  </si>
  <si>
    <t>114/BK-2025</t>
  </si>
  <si>
    <t>P Linh Đông, HSo Tùng M 02</t>
  </si>
  <si>
    <t>13-XDDT/BK-2025</t>
  </si>
  <si>
    <t>Anh Thanh</t>
  </si>
  <si>
    <t>Anh Thanh DV</t>
  </si>
  <si>
    <t>Lê Tấn Đạt</t>
  </si>
  <si>
    <t>Xác định diện tích</t>
  </si>
  <si>
    <t>15-KT/BK-2025</t>
  </si>
  <si>
    <t>Lý Thị Thuỳ Dung</t>
  </si>
  <si>
    <t>Có</t>
  </si>
  <si>
    <t>Tam Bình</t>
  </si>
  <si>
    <t>Cô Hoa</t>
  </si>
  <si>
    <t>Trương Tấn Quốc</t>
  </si>
  <si>
    <t>Hoàn công</t>
  </si>
  <si>
    <t>+ anh Lê Văn Xây phụ đo</t>
  </si>
  <si>
    <t>Đợi trao đổi chủ nhà</t>
  </si>
  <si>
    <t>162-1/BK-2025</t>
  </si>
  <si>
    <t>Nguyễn Thành Nhựt 1</t>
  </si>
  <si>
    <t>Long Phước</t>
  </si>
  <si>
    <t>Anh Toàn Ủy Ban</t>
  </si>
  <si>
    <t>Nguyễn Minh Thông</t>
  </si>
  <si>
    <t>Cấp đổi</t>
  </si>
  <si>
    <t>A TOÀN MANG BẢN VỄ GIẢM DT CHO CHỦ NHÀ CAM KẾT MÀ K PHẢI HỒI</t>
  </si>
  <si>
    <t>162-2/BK-2025</t>
  </si>
  <si>
    <t>Nguyễn Thành Nhựt 2</t>
  </si>
  <si>
    <t>203/BK-2025</t>
  </si>
  <si>
    <t>Doãn Thị Mai Xuân Điệp</t>
  </si>
  <si>
    <t>Bình Trưng</t>
  </si>
  <si>
    <t>TÙNG MẬP CHƯA ĐƯA GIẤY TỜ</t>
  </si>
  <si>
    <t>204/BK-2025</t>
  </si>
  <si>
    <t>Nguyễn Duy Khánh</t>
  </si>
  <si>
    <t>219/BK-2025</t>
  </si>
  <si>
    <t>Hưu Văn Xưa</t>
  </si>
  <si>
    <t>Tuấn Lộc</t>
  </si>
  <si>
    <t>Lê Văn Xây</t>
  </si>
  <si>
    <t>Hồ sơ cũ nay mới xử lý</t>
  </si>
  <si>
    <t>jkhihuuh</t>
  </si>
  <si>
    <t>230/BK-2025</t>
  </si>
  <si>
    <t>Nguyễn Thanh Phong</t>
  </si>
  <si>
    <t>Tăng Nhơn Phú</t>
  </si>
  <si>
    <t>Anh Thành Thanh Tra XD</t>
  </si>
  <si>
    <t>+ anh Xây phụ đo, đo hoàn công, xuống đo ghé lấy bộ hồ sơ</t>
  </si>
  <si>
    <t>253-DC/BK-2025</t>
  </si>
  <si>
    <t>DC Trịnh Thị Lan Viên</t>
  </si>
  <si>
    <t>Phước Long</t>
  </si>
  <si>
    <t>Chinh Đen</t>
  </si>
  <si>
    <t>Không cần</t>
  </si>
  <si>
    <t>Điều chỉnh bản vẽ</t>
  </si>
  <si>
    <t>Vẽ theo hiện trạng nhà xin công nhận Không gạch caro</t>
  </si>
  <si>
    <t>KHÔNG CÓ BẢN VẼ NHÀ MẪU TẢM HUỶ</t>
  </si>
  <si>
    <t>Hủy</t>
  </si>
  <si>
    <t>263/HĐĐV/25</t>
  </si>
  <si>
    <t>Bùi Thị Mai</t>
  </si>
  <si>
    <t>An Khánh</t>
  </si>
  <si>
    <t>Đạt Việt Phát Land</t>
  </si>
  <si>
    <t>269/BK-2025</t>
  </si>
  <si>
    <t>Phạm  Thị Linh Phương</t>
  </si>
  <si>
    <t>Chị Phấn DV</t>
  </si>
  <si>
    <t>Hợp thửa</t>
  </si>
  <si>
    <t>CHUYỂN MỤC ĐÍCH CHƯA CHỐT DC CHỦ NHÀ</t>
  </si>
  <si>
    <t>270/BK-2025</t>
  </si>
  <si>
    <t>Trần Thị Muối</t>
  </si>
  <si>
    <t>sai công năng,sân có dãy nhà trọ cũ chưa tháo dở,đã báo chị phấn dv</t>
  </si>
  <si>
    <t>272/BK-2025</t>
  </si>
  <si>
    <t>Lý Văn Huệ</t>
  </si>
  <si>
    <t>Võ Thành Minh</t>
  </si>
  <si>
    <t>273/BK-2025</t>
  </si>
  <si>
    <t>Trần Ngọc Minh</t>
  </si>
  <si>
    <t>274/BK-2025</t>
  </si>
  <si>
    <t>Tống Văn Đảnh</t>
  </si>
  <si>
    <t>280/BK-2025</t>
  </si>
  <si>
    <t>Lý Văn Tư</t>
  </si>
  <si>
    <t>284/BK-2025</t>
  </si>
  <si>
    <t>Lê Hồng Phong - Phạm Thị Mai Xuân</t>
  </si>
  <si>
    <t>đã đo dịch vụ báo chờ</t>
  </si>
  <si>
    <t>285/BK-2025</t>
  </si>
  <si>
    <t>Nguyễn Văn Cơ</t>
  </si>
  <si>
    <t>Anh Minh DV HBP</t>
  </si>
  <si>
    <t>chờ minh dv làm việc với chủ nhà(80% hủy)</t>
  </si>
  <si>
    <t>293-DC/BK-2025</t>
  </si>
  <si>
    <t>Nguyễn Quang Đạt - Nguyễn Thị Quảng</t>
  </si>
  <si>
    <t>Tấn Hiếu DV</t>
  </si>
  <si>
    <t>Lỗi nhân sự</t>
  </si>
  <si>
    <t>296/HĐĐV/25</t>
  </si>
  <si>
    <t>Trương Thị Gái</t>
  </si>
  <si>
    <t>299-1/BK-2025</t>
  </si>
  <si>
    <t>Nguyễn Văn Có</t>
  </si>
  <si>
    <t>Thủ Đức</t>
  </si>
  <si>
    <t>Anh Cường Sài Gòn DV</t>
  </si>
  <si>
    <t>302/BK-2025</t>
  </si>
  <si>
    <t>Trần Quốc Tuấn</t>
  </si>
  <si>
    <t>Tuấn Đen</t>
  </si>
  <si>
    <t>sai hien trang  huy</t>
  </si>
  <si>
    <t>304/BK-2025</t>
  </si>
  <si>
    <t>Lê Tiến Phong - Lê Nguyên Phương</t>
  </si>
  <si>
    <t>305/BK-2025</t>
  </si>
  <si>
    <t>Đoàn Trọng Ân</t>
  </si>
  <si>
    <t>Linh Xuân</t>
  </si>
  <si>
    <t>Công Ty</t>
  </si>
  <si>
    <t>0901936357</t>
  </si>
  <si>
    <t>Tách Thửa</t>
  </si>
  <si>
    <t>sai hien trang cho phuong an chu nha</t>
  </si>
  <si>
    <t>309/BK-2025</t>
  </si>
  <si>
    <t>Ngô Thị Hồng Khanh</t>
  </si>
  <si>
    <t>0374674853</t>
  </si>
  <si>
    <t>chạy toạ độ hết sát đất, gạch sọc phần chưa được công nhận</t>
  </si>
  <si>
    <t>310/BK-2025</t>
  </si>
  <si>
    <t>Lê Văn Châu</t>
  </si>
  <si>
    <t>0913926672</t>
  </si>
  <si>
    <t>có thể đo GPS</t>
  </si>
  <si>
    <t>311-2/BK-2025</t>
  </si>
  <si>
    <t>Đo GPS</t>
  </si>
  <si>
    <t>311/BK-2025</t>
  </si>
  <si>
    <t>HỢP THỨC HOÁ BỔ SUNG</t>
  </si>
  <si>
    <t>312/BK-2025</t>
  </si>
  <si>
    <t>Nguyễn Xuân Quang - Trần Thị Bé Loan</t>
  </si>
  <si>
    <t>Long Trường</t>
  </si>
  <si>
    <t>Khangdien home</t>
  </si>
  <si>
    <t>0908119226</t>
  </si>
  <si>
    <t xml:space="preserve">mai 3h bên anh có mặt ở địa chỉ 36 1D Melosa Khang Điền, chủ nhà sẽ dẫn anh xuống lô đất nông nghiệp đó nha, sau đó 4h hơn anh quay về Mega Village 103 N2 để đo nhà đó nha anh + lấy bộ hso </t>
  </si>
  <si>
    <t>313-2/BK-2025</t>
  </si>
  <si>
    <t>Nguyễn Ngọc Thuần</t>
  </si>
  <si>
    <t>0919171713</t>
  </si>
  <si>
    <t>313/BK-2025</t>
  </si>
  <si>
    <t>mai 3h bên anh có mặt ở địa chỉ 36 1D Melosa Khang Điền, chủ nhà sẽ dẫn anh xuống lô đất nông nghiệp đó nha + lấy bộ hso + có thể đo thêm GPS</t>
  </si>
  <si>
    <t>315/BK-2025</t>
  </si>
  <si>
    <t>Trương Ngọc Yên</t>
  </si>
  <si>
    <t>Anh Lý Luật Sư</t>
  </si>
  <si>
    <t>316/BK-2025</t>
  </si>
  <si>
    <t>Đỗ Đình Cẩn</t>
  </si>
  <si>
    <t>317/BK-2025</t>
  </si>
  <si>
    <t>Lê Văn Lý</t>
  </si>
  <si>
    <t>Anh Sơn Hải DV</t>
  </si>
  <si>
    <t>318/BK-2025</t>
  </si>
  <si>
    <t>Lê Thị Minh Trang -  Trần Văn Hiếu</t>
  </si>
  <si>
    <t>319/BK-2025</t>
  </si>
  <si>
    <t>Hoàng Thanh Vinh</t>
  </si>
  <si>
    <t>hs sai hien trang</t>
  </si>
  <si>
    <t>32-GPS/BK-2025</t>
  </si>
  <si>
    <t>320/BK-2025</t>
  </si>
  <si>
    <t>Chị Xuân</t>
  </si>
  <si>
    <t>Chị Xuân DV</t>
  </si>
  <si>
    <t>+ Anh Xây phụ đo</t>
  </si>
  <si>
    <t>VẼ XONG K ĐỦ TẠCH 5 LÔ NÊN BÀ K CHỊU</t>
  </si>
  <si>
    <t>321/BK-2025</t>
  </si>
  <si>
    <t>CMĐ Cô Hoa (C Tú)</t>
  </si>
  <si>
    <t>Chuyển mục đích</t>
  </si>
  <si>
    <t>Lấy bộ hso</t>
  </si>
  <si>
    <t>322/BK-2025</t>
  </si>
  <si>
    <t>Lê Thị Thanh Thảo</t>
  </si>
  <si>
    <t>323/BK-2025</t>
  </si>
  <si>
    <t>Trần Ngọc Mạnh</t>
  </si>
  <si>
    <t>Cát Lái</t>
  </si>
  <si>
    <t>Anh Xuất Kiểm Định</t>
  </si>
  <si>
    <t>324/BK-2025</t>
  </si>
  <si>
    <t>Đinh Thị Mỹ Linh</t>
  </si>
  <si>
    <t>Anh Long PCT</t>
  </si>
  <si>
    <t>chủ động đo đất trống</t>
  </si>
  <si>
    <t>325/BK-2025</t>
  </si>
  <si>
    <t>Bùi Hồng Nhung</t>
  </si>
  <si>
    <t>không thấy sdt</t>
  </si>
  <si>
    <t>326-1/BK-2025</t>
  </si>
  <si>
    <t>Tiêu Văn Hiền</t>
  </si>
  <si>
    <t>326-2/BK-2025</t>
  </si>
  <si>
    <t>326/BK-2025</t>
  </si>
  <si>
    <t>330/BK-2025</t>
  </si>
  <si>
    <t>Nguyễn Thuý Hằng</t>
  </si>
  <si>
    <t>Cao</t>
  </si>
  <si>
    <t>331-1/BK-2025</t>
  </si>
  <si>
    <t>Đinh Thái Thạnh</t>
  </si>
  <si>
    <t>Chị Cúc DV</t>
  </si>
  <si>
    <t>331/BK-2025</t>
  </si>
  <si>
    <t>ĐANG SỦ LÝ DO HS PHỨC TẠP</t>
  </si>
  <si>
    <t>Đã cho phương án</t>
  </si>
  <si>
    <t>332/BK-2025</t>
  </si>
  <si>
    <t>Nguyễn Thị Kim Đức</t>
  </si>
  <si>
    <t>ĐỢI GIẤY TỜ</t>
  </si>
  <si>
    <t>ĐA VÊ XONG CHỊ PHẤN CHƯA CHỐT CHỦ NHÀ</t>
  </si>
  <si>
    <t>334/BK-2025</t>
  </si>
  <si>
    <t>Nguyễn Hoàng</t>
  </si>
  <si>
    <t>0903225376</t>
  </si>
  <si>
    <t>Cắm mốc</t>
  </si>
  <si>
    <t>335/BK-2025</t>
  </si>
  <si>
    <t>Nguyễn Thùy Ngân</t>
  </si>
  <si>
    <t>Nguyễn Khoa DV</t>
  </si>
  <si>
    <t>336/BK-2025</t>
  </si>
  <si>
    <t>Nguyễn Minh Hải</t>
  </si>
  <si>
    <t>Ngoài Thủ Đức</t>
  </si>
  <si>
    <t>0939942668 (Quang Đầy)</t>
  </si>
  <si>
    <t>Hồ sơ xa</t>
  </si>
  <si>
    <t>337/BK-2025</t>
  </si>
  <si>
    <t>Nguyễn Văn Thu</t>
  </si>
  <si>
    <t>338/BK-2025</t>
  </si>
  <si>
    <t>Võ Đức Phước</t>
  </si>
  <si>
    <t>339/BK-225</t>
  </si>
  <si>
    <t>Bùi Văn Hoàng (CMĐ A Hoàng)</t>
  </si>
  <si>
    <t>Long Bình</t>
  </si>
  <si>
    <t>Anh Hoàng Nhà Đầu Tư</t>
  </si>
  <si>
    <t>340/BK-2025</t>
  </si>
  <si>
    <t>Lê Kim Trinh</t>
  </si>
  <si>
    <t>0907364949</t>
  </si>
  <si>
    <t>đợi chủ nhà đưa giấy tờ photo</t>
  </si>
  <si>
    <t>cho cam ket giam dien tich cua chu nhà de nop hs ( nop hs 27/08 chu nha moi bo sung đầy đủ giấy cam ket giam dt)</t>
  </si>
  <si>
    <t xml:space="preserve">Đã nộp lễ tân </t>
  </si>
  <si>
    <t>341/BK-2025</t>
  </si>
  <si>
    <t>Trịnh Thu Hằng</t>
  </si>
  <si>
    <t>342/BK-2025</t>
  </si>
  <si>
    <t>343/BK-2025</t>
  </si>
  <si>
    <t>Hồ sơ anh Tập xử lý</t>
  </si>
  <si>
    <t>344/BK-2025</t>
  </si>
  <si>
    <t>Nguyễn Thành Phong</t>
  </si>
  <si>
    <t>Anh Chiến KTS</t>
  </si>
  <si>
    <t>345/BK-2025</t>
  </si>
  <si>
    <t>Trương Thị Thu Lành</t>
  </si>
  <si>
    <t>346/BK-2025</t>
  </si>
  <si>
    <t>Nguyễn Trọng Nguyễn</t>
  </si>
  <si>
    <t>347/BK-2025</t>
  </si>
  <si>
    <t>Nguyễn Thị Hương</t>
  </si>
  <si>
    <t>1 khu</t>
  </si>
  <si>
    <t>Đợi chủ nhà chốt PA</t>
  </si>
  <si>
    <t>348/BK-2025</t>
  </si>
  <si>
    <t>349/BK-2025</t>
  </si>
  <si>
    <t>350/BK-2025</t>
  </si>
  <si>
    <t>Hồ Văn Quốc</t>
  </si>
  <si>
    <t>351/BK-2025</t>
  </si>
  <si>
    <t>Bùi Thị Hồng Nhung</t>
  </si>
  <si>
    <t>đo vẽ xác định diện tích</t>
  </si>
  <si>
    <t>352/BK-2025</t>
  </si>
  <si>
    <t>Bùi Minh Đức</t>
  </si>
  <si>
    <t>0904808020</t>
  </si>
  <si>
    <t>đã xử lý</t>
  </si>
  <si>
    <t>354/BK-2025</t>
  </si>
  <si>
    <t>Huỳnh Túy Phượng</t>
  </si>
  <si>
    <t>hồ sơ cấp đổi anh Tập xử lý</t>
  </si>
  <si>
    <t>355/BK-2025</t>
  </si>
  <si>
    <t>Nguyễn Thị Vinh</t>
  </si>
  <si>
    <t>0978846040</t>
  </si>
  <si>
    <t>đang xử lý</t>
  </si>
  <si>
    <t>356/BK-2025</t>
  </si>
  <si>
    <t>Nguyễn Minh Tuấn - Hồ Thị Thanh Thương</t>
  </si>
  <si>
    <t>357/BK-2025</t>
  </si>
  <si>
    <t>Hồ Minh Trí</t>
  </si>
  <si>
    <t>Thông phụ đo</t>
  </si>
  <si>
    <t>SAI HIỆN TRẠNG CHỜ TRAO ĐỔI CHỦ NHÀ</t>
  </si>
  <si>
    <t>358/BK-2025</t>
  </si>
  <si>
    <t>Đỗ Thị Liên</t>
  </si>
  <si>
    <t>359/BK-2025</t>
  </si>
  <si>
    <t>đã hoàn thành</t>
  </si>
  <si>
    <t>360/BK-2025</t>
  </si>
  <si>
    <t>Nguyễn Thị Thanh</t>
  </si>
  <si>
    <t>361/BK-2025</t>
  </si>
  <si>
    <t>Đỗ Quốc Dũng</t>
  </si>
  <si>
    <t>HỒ SƠ NHANH</t>
  </si>
  <si>
    <t>362/BK-2025</t>
  </si>
  <si>
    <t>Trần Quang Tiên</t>
  </si>
  <si>
    <t>363/BK-2025</t>
  </si>
  <si>
    <t>Tô Thị Anh</t>
  </si>
  <si>
    <t>+ anh Tập phụ đo</t>
  </si>
  <si>
    <t>364/BK-2025</t>
  </si>
  <si>
    <t>365/BK-2025</t>
  </si>
  <si>
    <t>Viên Ngọc Tài</t>
  </si>
  <si>
    <t>HSBC tạm ngừng chờ phương án</t>
  </si>
  <si>
    <t>366/BK-2025</t>
  </si>
  <si>
    <t>Đặng Thanh Hoàng</t>
  </si>
  <si>
    <t>367/BK-2025</t>
  </si>
  <si>
    <t>Phạm Văn Nhường</t>
  </si>
  <si>
    <t>cắm mốc chôn trụ bê tông</t>
  </si>
  <si>
    <t>368/BK-2025</t>
  </si>
  <si>
    <t>Phạm Hoài Vy</t>
  </si>
  <si>
    <t>369/BK-2025</t>
  </si>
  <si>
    <t>Phan Thị Tố Như</t>
  </si>
  <si>
    <t>370/BK-2025</t>
  </si>
  <si>
    <t>Đinh Mỹ Linh</t>
  </si>
  <si>
    <t>372/BK-2025</t>
  </si>
  <si>
    <t>Hoàng Thị Lan</t>
  </si>
  <si>
    <t>0939062198</t>
  </si>
  <si>
    <t>373/BK-2025</t>
  </si>
  <si>
    <t>Võ Thị Quỳnh Châu</t>
  </si>
  <si>
    <t>Đã nộp Vy</t>
  </si>
  <si>
    <t>374/BK-2025</t>
  </si>
  <si>
    <t>Nguyễn Thị Bạch Tuyết</t>
  </si>
  <si>
    <t>375/BK-2025</t>
  </si>
  <si>
    <t>376/BK-2025</t>
  </si>
  <si>
    <t>Trần Văn Chện</t>
  </si>
  <si>
    <t>0985663476</t>
  </si>
  <si>
    <t>da nop nhung chua cap nhat</t>
  </si>
  <si>
    <t>377/BK-2025</t>
  </si>
  <si>
    <t xml:space="preserve">Phan Công Lập </t>
  </si>
  <si>
    <t>0987735266</t>
  </si>
  <si>
    <t>378/BK-2025</t>
  </si>
  <si>
    <t>Đặng Văn Hà</t>
  </si>
  <si>
    <t>379/BK-2025</t>
  </si>
  <si>
    <t>Nguyễn Thanh Tùng</t>
  </si>
  <si>
    <t>lệch ranh chờ phương án</t>
  </si>
  <si>
    <t>494/BK-2025</t>
  </si>
  <si>
    <t>Võ Văn Đức 1</t>
  </si>
  <si>
    <t>381/BK-2025</t>
  </si>
  <si>
    <t>Võ Văn Đức 2</t>
  </si>
  <si>
    <t>382/BK-2025</t>
  </si>
  <si>
    <t>Bùi Văn Vinh</t>
  </si>
  <si>
    <t>Đợi trao đổi PA dịch vụ (A Tùng M)</t>
  </si>
  <si>
    <t>383/BK-2025</t>
  </si>
  <si>
    <t>Nguyễn Văn Hải</t>
  </si>
  <si>
    <t>Nguyễn Hương DV</t>
  </si>
  <si>
    <t>384/BK-2025</t>
  </si>
  <si>
    <t>Trần Phước Vân</t>
  </si>
  <si>
    <t xml:space="preserve"> chờ Chinh Dv chot phuong an cho trich luc phan dien tich thu hoi</t>
  </si>
  <si>
    <t>385/BK-2025</t>
  </si>
  <si>
    <t>thửa 2</t>
  </si>
  <si>
    <t xml:space="preserve"> chờ Chinh Dv chot phuong an cho trich luc phan dien tich thu hoi`</t>
  </si>
  <si>
    <t>386/BK-2025</t>
  </si>
  <si>
    <t>thửa 3</t>
  </si>
  <si>
    <t>387/BK-2025</t>
  </si>
  <si>
    <t>Hồ Thị Hồng</t>
  </si>
  <si>
    <t>Đã vẽ xong chờ chị phấn dv bổ sung giấy tờ</t>
  </si>
  <si>
    <t>388/BK-2025</t>
  </si>
  <si>
    <t>Nguyễn Văn Chức</t>
  </si>
  <si>
    <t>HỦY( CHỒNG LẤN THỬA) CHỦ NHÀ BÁO CTY HỦY DO KO CÓ TIỀN LÀM HS</t>
  </si>
  <si>
    <t>389/BK-2025</t>
  </si>
  <si>
    <t>Nguyễn Tấn Thanh</t>
  </si>
  <si>
    <t>390/BK-2025</t>
  </si>
  <si>
    <t>Mai Thanh Tùng</t>
  </si>
  <si>
    <t>Trương Quang Thành DV</t>
  </si>
  <si>
    <t>Lấy đúng bản vẽ mẫu, không nộp lại bản vẽ cũ</t>
  </si>
  <si>
    <t>391/BK-2025</t>
  </si>
  <si>
    <t>Lê Văn Đô</t>
  </si>
  <si>
    <t>392/BK-2025</t>
  </si>
  <si>
    <t>Quách Hào Huy</t>
  </si>
  <si>
    <t>GĐ đã cho phương án</t>
  </si>
  <si>
    <t>393/BK-2025</t>
  </si>
  <si>
    <t>394/BK-2025</t>
  </si>
  <si>
    <t>Nguyễn Thành Nhân</t>
  </si>
  <si>
    <t>đã đo, đang đợi DV trao đổi chủ nhà</t>
  </si>
  <si>
    <t>Đợi dịch vụ làm việc vs chủ nhà (Giá cả + hiện trạng)</t>
  </si>
  <si>
    <t>395/BK-2025</t>
  </si>
  <si>
    <t>Nghiêm Uy Lân</t>
  </si>
  <si>
    <t>0813877773</t>
  </si>
  <si>
    <t>396/BK-2025</t>
  </si>
  <si>
    <t>397/BK-2025</t>
  </si>
  <si>
    <t>398/BK-2025</t>
  </si>
  <si>
    <t>552-1/BK-2025</t>
  </si>
  <si>
    <t>Đặng Thanh Tùng</t>
  </si>
  <si>
    <t>552-2/BK-2025</t>
  </si>
  <si>
    <t>303/BK-2025</t>
  </si>
  <si>
    <t>Nguyễn Thị Son</t>
  </si>
  <si>
    <t>ĐỢI XỬ LÝ , SÁU COI HỒ SƠ ĐÃ, CHƯA CÓ THỜI GIAN</t>
  </si>
  <si>
    <t>400/BK-2025</t>
  </si>
  <si>
    <t>Nguyễn Nhật Bằng</t>
  </si>
  <si>
    <t>0986898244</t>
  </si>
  <si>
    <t>401/BK-2025</t>
  </si>
  <si>
    <t>Từ Châu Vi</t>
  </si>
  <si>
    <t>0775768287</t>
  </si>
  <si>
    <t>có thể đo thêm gps, đợi đky trích lục</t>
  </si>
  <si>
    <t>404/BK-2025</t>
  </si>
  <si>
    <t>Đỗ Minh Dũng</t>
  </si>
  <si>
    <t>403/BK-2025</t>
  </si>
  <si>
    <t>Nguyễn Thị Phước Lương Oanh</t>
  </si>
  <si>
    <t>Anh Đông Bất Động Sản</t>
  </si>
  <si>
    <t>399/BK-2025</t>
  </si>
  <si>
    <t>Phan Thanh Thái</t>
  </si>
  <si>
    <t>Tấn Giàu DV</t>
  </si>
  <si>
    <t>đã nộp Vy</t>
  </si>
  <si>
    <t>395-2/BK-2025</t>
  </si>
  <si>
    <t>402/BK-2025</t>
  </si>
  <si>
    <t>Bùi Văn Hoàng</t>
  </si>
  <si>
    <t>0917468888</t>
  </si>
  <si>
    <t>402-2/BK-2025</t>
  </si>
  <si>
    <t>405/BK-2025</t>
  </si>
  <si>
    <t>Nguyễn Văn Hưng</t>
  </si>
  <si>
    <t>Anh Hải bạn Tam DV</t>
  </si>
  <si>
    <t>0934384248</t>
  </si>
  <si>
    <t>chờ phương án</t>
  </si>
  <si>
    <t>406/BK-2025</t>
  </si>
  <si>
    <t>Anh Quân VPĐK</t>
  </si>
  <si>
    <t>Hỗ trợ vẽ theo yêu cầu</t>
  </si>
  <si>
    <t>407/BK-2025</t>
  </si>
  <si>
    <t>Đào Minh Đường</t>
  </si>
  <si>
    <t>408/BK-2025</t>
  </si>
  <si>
    <t>Nguyễn Nhật Qui</t>
  </si>
  <si>
    <t>Anh Tùng Bất Động Sản</t>
  </si>
  <si>
    <t>409/BK-2025</t>
  </si>
  <si>
    <t>Phan Thuỷ Tiên</t>
  </si>
  <si>
    <t xml:space="preserve">zalo </t>
  </si>
  <si>
    <t xml:space="preserve"> hồ sơ có đo gps</t>
  </si>
  <si>
    <t>410/BK-2025</t>
  </si>
  <si>
    <t>Phạm Thị Mai Thảo</t>
  </si>
  <si>
    <t>CÓ TRICH LUC 16/09 ĐÃ NOP VY</t>
  </si>
  <si>
    <t>411/BK-2025</t>
  </si>
  <si>
    <t>Nguyễn Mạnh Hà</t>
  </si>
  <si>
    <t>412/BK-2025</t>
  </si>
  <si>
    <t>Nguyễn Hữu Minh</t>
  </si>
  <si>
    <t>413/BK-2025</t>
  </si>
  <si>
    <t>414/BK-2025</t>
  </si>
  <si>
    <t>Nguyễn Phương Chi</t>
  </si>
  <si>
    <t>0903031975</t>
  </si>
  <si>
    <t>ĐA NOP VY 15/09</t>
  </si>
  <si>
    <t>415/BK-2025</t>
  </si>
  <si>
    <t>Phạm Thị Chín</t>
  </si>
  <si>
    <t>Anh Việt bạn Tam DV</t>
  </si>
  <si>
    <t>401-2/BK-2025</t>
  </si>
  <si>
    <t>Tăng Quảng Minh</t>
  </si>
  <si>
    <t>hồ sơ a Thông xử lý</t>
  </si>
  <si>
    <t>293-ĐC-2/BK-2025</t>
  </si>
  <si>
    <t>417/BK-2025</t>
  </si>
  <si>
    <t>Nguyễn Hồng Quang</t>
  </si>
  <si>
    <t>Nguyễn Tâm DV</t>
  </si>
  <si>
    <t>DA VE XONG CHỜ CHỦ NHÀ KI CAM KET GIAM DIEN TICH</t>
  </si>
  <si>
    <t>418/BK-2025</t>
  </si>
  <si>
    <t>Đinh Văn Hảo</t>
  </si>
  <si>
    <t>419/BK-2025</t>
  </si>
  <si>
    <t>Mai Văn Chung</t>
  </si>
  <si>
    <t>0971857777</t>
  </si>
  <si>
    <t>420/BK-2025</t>
  </si>
  <si>
    <t>Nguyễn Anh Tú</t>
  </si>
  <si>
    <t>0903625667</t>
  </si>
  <si>
    <t>421/BK-2025</t>
  </si>
  <si>
    <t>Vũ Văn Khánh</t>
  </si>
  <si>
    <t>0909021454</t>
  </si>
  <si>
    <t>DIỆN TÍCH HIÊN TRẠNG LỚN HƠN GCN CHOÈ 6 TRAO ĐỔI CHỦ NHÀ VẼ XONG</t>
  </si>
  <si>
    <t>422/BK-2025</t>
  </si>
  <si>
    <t>Lê Anh Đức</t>
  </si>
  <si>
    <t>Anh Sang nhà đất DV</t>
  </si>
  <si>
    <t>0916002939</t>
  </si>
  <si>
    <t>423/BK-2025</t>
  </si>
  <si>
    <t>Nhữ Ngọc Cẩm Nhung</t>
  </si>
  <si>
    <t>241/BK-2025</t>
  </si>
  <si>
    <t>Trần Thị Lan</t>
  </si>
  <si>
    <t>Chú Loan DV</t>
  </si>
  <si>
    <t>414-2/BK-2025</t>
  </si>
  <si>
    <t>424/BK-2025</t>
  </si>
  <si>
    <t>Võ Tấn Diểm</t>
  </si>
  <si>
    <t>Anh Diễn Dv</t>
  </si>
  <si>
    <t>0928086111</t>
  </si>
  <si>
    <t>425/BK-2025</t>
  </si>
  <si>
    <t>Võ Văn Ninh</t>
  </si>
  <si>
    <t>CHO PHUONG AN DAT GIAM DT</t>
  </si>
  <si>
    <t>426/BK-2025</t>
  </si>
  <si>
    <t>Nguyễn Văn Dũng</t>
  </si>
  <si>
    <t>Anh Tý Survey DV</t>
  </si>
  <si>
    <t>427-1/BK-2025</t>
  </si>
  <si>
    <t>Trần Thị Ngọc Dung</t>
  </si>
  <si>
    <t>427-2/BK-2025</t>
  </si>
  <si>
    <t>430/BK-2025</t>
  </si>
  <si>
    <t>431/BK-2025</t>
  </si>
  <si>
    <t>428/BK-2025</t>
  </si>
  <si>
    <t>Phạm Trịnh Phương</t>
  </si>
  <si>
    <t>Tùng Huế DV</t>
  </si>
  <si>
    <t>428-2/BK-2025</t>
  </si>
  <si>
    <t>429/BK-2025</t>
  </si>
  <si>
    <t>429-2/BK-2025</t>
  </si>
  <si>
    <t>432/BK-2025</t>
  </si>
  <si>
    <t>Nguyễn Ngọc Hùng</t>
  </si>
  <si>
    <t>LỆCH VỊ TRÍ CHỜ HIẾU TRẢ LỜI</t>
  </si>
  <si>
    <t>433/BK-2025</t>
  </si>
  <si>
    <t>Võ Nguyễn Thành Vinh</t>
  </si>
  <si>
    <t>0906778816</t>
  </si>
  <si>
    <t>434/BK-2025</t>
  </si>
  <si>
    <t>Lê Thị Mai</t>
  </si>
  <si>
    <t>0879999927</t>
  </si>
  <si>
    <t>hủy</t>
  </si>
  <si>
    <t>435/BK-2025</t>
  </si>
  <si>
    <t>Đợi chủ nhàcông chứng hợp đồng mua bán</t>
  </si>
  <si>
    <t>436/BK-2025</t>
  </si>
  <si>
    <t>353-2/BK-2025</t>
  </si>
  <si>
    <t>Đặng Đức Ý</t>
  </si>
  <si>
    <t>437/BK-2025</t>
  </si>
  <si>
    <t>Nguyễn Mông Giao</t>
  </si>
  <si>
    <t>438/BK-2025</t>
  </si>
  <si>
    <t>437-2/BK-2025</t>
  </si>
  <si>
    <t>439/BK-2025</t>
  </si>
  <si>
    <t>441/BK-2025</t>
  </si>
  <si>
    <t>Nguyễn Khánh Lộc</t>
  </si>
  <si>
    <t>+ Anh Thông phụ đo</t>
  </si>
  <si>
    <t>443/BK-2025</t>
  </si>
  <si>
    <t>Nguyễn Hữu Văn</t>
  </si>
  <si>
    <t>442/BK-2025</t>
  </si>
  <si>
    <t>Nguyễn Minh Trực</t>
  </si>
  <si>
    <t>Anh Bình Luật Sư</t>
  </si>
  <si>
    <t>0987730791</t>
  </si>
  <si>
    <t>444/BK-2025</t>
  </si>
  <si>
    <t>Lưu Hùng Anh</t>
  </si>
  <si>
    <t>zalo</t>
  </si>
  <si>
    <t>445/BK-2025</t>
  </si>
  <si>
    <t>Trần Hoài Nam</t>
  </si>
  <si>
    <t>440/BK-2025</t>
  </si>
  <si>
    <t>Nguyễn Thị Thu Hương</t>
  </si>
  <si>
    <t>447/BK-2025</t>
  </si>
  <si>
    <t>Huỳnh Xuân Tịnh</t>
  </si>
  <si>
    <t>448/BK-2025</t>
  </si>
  <si>
    <t>Kiểm tra hiện trạng</t>
  </si>
  <si>
    <t>446/BK-2025</t>
  </si>
  <si>
    <t>Đào Thị hồng Linh</t>
  </si>
  <si>
    <t>446-2/BK-2025</t>
  </si>
  <si>
    <t>Đào Thị Hồng Linh</t>
  </si>
  <si>
    <t>449/BK-2025</t>
  </si>
  <si>
    <t>Bùi Thị Như Thảo</t>
  </si>
  <si>
    <t>Đã vẽ xong chờ DV thông báo nộp</t>
  </si>
  <si>
    <t>441-2/BK-2025</t>
  </si>
  <si>
    <t>450/BK-2025</t>
  </si>
  <si>
    <t>Huỳnh Thị Búp</t>
  </si>
  <si>
    <t>369-DC/BK-2025</t>
  </si>
  <si>
    <t>233-DC/BK-2025</t>
  </si>
  <si>
    <t>Nguyễn Phạm Hoài Vy</t>
  </si>
  <si>
    <t>452/BK-2025</t>
  </si>
  <si>
    <t>Trần Thị Đã</t>
  </si>
  <si>
    <t>Quang Diễn</t>
  </si>
  <si>
    <t>263-1/BK-2025</t>
  </si>
  <si>
    <t>Nguyễn Hoàng Nguyên</t>
  </si>
  <si>
    <t>263-2/BK-2025</t>
  </si>
  <si>
    <t>269-ĐC/BK-2025</t>
  </si>
  <si>
    <t>Phạm Thị Hòa</t>
  </si>
  <si>
    <t>0986888459</t>
  </si>
  <si>
    <t>Đã vẽ xong chờ chủ nhà đồng ý nộp</t>
  </si>
  <si>
    <t>453/BK-2025</t>
  </si>
  <si>
    <t>Trần Văn Hiếu</t>
  </si>
  <si>
    <t>308/BK-2025</t>
  </si>
  <si>
    <t>Lê Phước Hưởng</t>
  </si>
  <si>
    <t>454/BK-2025</t>
  </si>
  <si>
    <t>Trần Quang Vinh</t>
  </si>
  <si>
    <t>Hoàng Quân</t>
  </si>
  <si>
    <t>454-2/BK-2025</t>
  </si>
  <si>
    <t>455/BK-2025</t>
  </si>
  <si>
    <t>Trần Đức Phú</t>
  </si>
  <si>
    <t>455-2/BK-2025</t>
  </si>
  <si>
    <t>456/BK-2025</t>
  </si>
  <si>
    <t>456-2/BK-2025</t>
  </si>
  <si>
    <t>457/BK-2025</t>
  </si>
  <si>
    <t>457-2/BK-2025</t>
  </si>
  <si>
    <t>458/BK-2025</t>
  </si>
  <si>
    <t>458-2/BK-2025</t>
  </si>
  <si>
    <t>459/BK-2025</t>
  </si>
  <si>
    <t>Phạm Anh Dũng</t>
  </si>
  <si>
    <t>459-2/BK-2025</t>
  </si>
  <si>
    <t>460/BK-2025</t>
  </si>
  <si>
    <t>Trần Anh Chuyên</t>
  </si>
  <si>
    <t>460-2/BK-2025</t>
  </si>
  <si>
    <t>461/BK-2025</t>
  </si>
  <si>
    <t>461-2/BK-2025</t>
  </si>
  <si>
    <t>462/BK-2025</t>
  </si>
  <si>
    <t>Thái Thành Nam</t>
  </si>
  <si>
    <t>0912392958</t>
  </si>
  <si>
    <t>463/BK-2025</t>
  </si>
  <si>
    <t>Vũ Trần Xuân Mai</t>
  </si>
  <si>
    <t>chưa có trích lục bản ve mẫu</t>
  </si>
  <si>
    <t>465/BK-2025</t>
  </si>
  <si>
    <t>Phạm Trịnh Phong</t>
  </si>
  <si>
    <t>389-DC/BK-2025</t>
  </si>
  <si>
    <t>324-DC/BK-2025</t>
  </si>
  <si>
    <t>466/BK-2025</t>
  </si>
  <si>
    <t>467/BK-2025</t>
  </si>
  <si>
    <t>Đặng Hoàng Vũ</t>
  </si>
  <si>
    <t>468/BK-2025</t>
  </si>
  <si>
    <t>Lưu Vân Trang</t>
  </si>
  <si>
    <t>Xin phép xây dựng</t>
  </si>
  <si>
    <t>469/BK-2025</t>
  </si>
  <si>
    <t>Lê Quang Khoa</t>
  </si>
  <si>
    <t>470/BK-2025</t>
  </si>
  <si>
    <t>Lê Viết Hồng</t>
  </si>
  <si>
    <t>Chờ chủ nhà bổ sung giấy tờ</t>
  </si>
  <si>
    <t>471/BK-2025</t>
  </si>
  <si>
    <t>Phan Trọng Quang</t>
  </si>
  <si>
    <t>zalo quang hào</t>
  </si>
  <si>
    <t>472/BK-2025</t>
  </si>
  <si>
    <t>Lê Anh Tuấn - Nguyễn Bích Trâm</t>
  </si>
  <si>
    <t>Nhung Lê</t>
  </si>
  <si>
    <t>473/BK-2025</t>
  </si>
  <si>
    <t>474/BK-2025</t>
  </si>
  <si>
    <t>Lê Hoài Bảo Ân</t>
  </si>
  <si>
    <t>0765420608</t>
  </si>
  <si>
    <t>DA NOP LAI</t>
  </si>
  <si>
    <t>475/BK-2025</t>
  </si>
  <si>
    <t>Lê Tiến Hoà</t>
  </si>
  <si>
    <t>hồ sơ nhanh</t>
  </si>
  <si>
    <t>29ĐC/BK-2025</t>
  </si>
  <si>
    <t>Nguyễn Thị Hồng</t>
  </si>
  <si>
    <t>476/BK-2025</t>
  </si>
  <si>
    <t>477/BK-2025</t>
  </si>
  <si>
    <t>Tô Thị Mỹ Nương</t>
  </si>
  <si>
    <t>478/BK-2025</t>
  </si>
  <si>
    <t>Anh Hiền DV</t>
  </si>
  <si>
    <t>479/BK-2025</t>
  </si>
  <si>
    <t>Thái Bích Dung</t>
  </si>
  <si>
    <t>0933880747</t>
  </si>
  <si>
    <t>480/BK-2025</t>
  </si>
  <si>
    <t>Liên Anh Khôi</t>
  </si>
  <si>
    <t>Anh Duẩn DV</t>
  </si>
  <si>
    <t>481/BK-2025</t>
  </si>
  <si>
    <t>Chưa bổ sung thành phần hso liên quan đến ông Trần Quang Vinh</t>
  </si>
  <si>
    <t>482/BK-2025</t>
  </si>
  <si>
    <t>Nguyễn Thanh Hiền</t>
  </si>
  <si>
    <t>Thửa 28</t>
  </si>
  <si>
    <t>483/BK-2025</t>
  </si>
  <si>
    <t>Nguyễn Hoàng Quân</t>
  </si>
  <si>
    <t>Thửa 60</t>
  </si>
  <si>
    <t>484/BK-2025</t>
  </si>
  <si>
    <t>Thửa 61</t>
  </si>
  <si>
    <t>485/BK-2025</t>
  </si>
  <si>
    <t>Thửa 62</t>
  </si>
  <si>
    <t>486/BK-2025</t>
  </si>
  <si>
    <t>Thửa 63</t>
  </si>
  <si>
    <t>487/BK-2025</t>
  </si>
  <si>
    <t>Thửa 26</t>
  </si>
  <si>
    <t>488/BK-2025</t>
  </si>
  <si>
    <t>Thửa 1115</t>
  </si>
  <si>
    <t>489/BK-2025</t>
  </si>
  <si>
    <t>Thửa 508</t>
  </si>
  <si>
    <t>490/BK-2025</t>
  </si>
  <si>
    <t>Thửa 526, 527</t>
  </si>
  <si>
    <t>479-2/BK-2025</t>
  </si>
  <si>
    <t>491/BK-2025</t>
  </si>
  <si>
    <t>Lâm Quốc Khanh</t>
  </si>
  <si>
    <t>0988100030</t>
  </si>
  <si>
    <t>đợi trích lục</t>
  </si>
  <si>
    <t>492/BK-2025</t>
  </si>
  <si>
    <t>Lê Văn Thông</t>
  </si>
  <si>
    <t>0939369268</t>
  </si>
  <si>
    <t>493/BK-2025</t>
  </si>
  <si>
    <t>414-3/BK-2025</t>
  </si>
  <si>
    <t>380/BK-2025</t>
  </si>
  <si>
    <t>Tôn Phượng Nga</t>
  </si>
  <si>
    <t>0909256563</t>
  </si>
  <si>
    <t>495/BK-2025</t>
  </si>
  <si>
    <t>496/BK-2025</t>
  </si>
  <si>
    <t>Lê Thị Thanh</t>
  </si>
  <si>
    <t>Võ Tứ Hợp</t>
  </si>
  <si>
    <t>498/BK-2025</t>
  </si>
  <si>
    <t>499/BK-2025</t>
  </si>
  <si>
    <t>Nguyễn Hiệp Thành</t>
  </si>
  <si>
    <t>500/BK-2025</t>
  </si>
  <si>
    <t>501/BK-2025</t>
  </si>
  <si>
    <t>0938 851 444</t>
  </si>
  <si>
    <t>Lô 1</t>
  </si>
  <si>
    <t>502/BK-2025</t>
  </si>
  <si>
    <t xml:space="preserve">Lô 2 </t>
  </si>
  <si>
    <t>503/BK-2025</t>
  </si>
  <si>
    <t>Thái Hồng Cẩm</t>
  </si>
  <si>
    <t>255/BK-2025</t>
  </si>
  <si>
    <t>Trần Thị Diệu Hiền</t>
  </si>
  <si>
    <t>504/BK-2025</t>
  </si>
  <si>
    <t>505/BK-2025</t>
  </si>
  <si>
    <t xml:space="preserve">Khảo sát </t>
  </si>
  <si>
    <t>Cắm mốc ranh giới lần 1</t>
  </si>
  <si>
    <t>506/BK-2025</t>
  </si>
  <si>
    <t>Trần Đức Vũ</t>
  </si>
  <si>
    <t>Cắm mốc ranh giới lần 1, lô 1, 2, 3</t>
  </si>
  <si>
    <t>507/BK-2025</t>
  </si>
  <si>
    <t>508/BK-2025</t>
  </si>
  <si>
    <t>Trần Nguyễn Uyên Thanh Aka Tran Vivian</t>
  </si>
  <si>
    <t>0976 356 641</t>
  </si>
  <si>
    <t>509/BK-2025</t>
  </si>
  <si>
    <t>Lương Trí Thìn</t>
  </si>
  <si>
    <t>510/BK-2025</t>
  </si>
  <si>
    <t>Trụ xi măng</t>
  </si>
  <si>
    <t>511/BK-2025</t>
  </si>
  <si>
    <t>512/BK-2025</t>
  </si>
  <si>
    <t>513/BK-2025</t>
  </si>
  <si>
    <t>514/BK-2025</t>
  </si>
  <si>
    <t>515/BK-2025</t>
  </si>
  <si>
    <t>516/BK-2025</t>
  </si>
  <si>
    <t>Bùi Mạnh Đường (Tôn Phượng Nga)</t>
  </si>
  <si>
    <t>517/BK-2025</t>
  </si>
  <si>
    <t>518/BK-2025</t>
  </si>
  <si>
    <t>Nguyễn Thanh Hải - Nguyễn Thị Bé</t>
  </si>
  <si>
    <t>ĐÃ XỬ LÝ XONG, ĐỢI BSUNG CAM KẾT ĐỂ NỘP HSO</t>
  </si>
  <si>
    <t>519/BK-2025</t>
  </si>
  <si>
    <t>Nguyễn Nam Tiến</t>
  </si>
  <si>
    <t>0394841423</t>
  </si>
  <si>
    <t>520/BK-2025</t>
  </si>
  <si>
    <t>Nguyễn Ngọc Long</t>
  </si>
  <si>
    <t>522/BK-2025</t>
  </si>
  <si>
    <t>Trần Thị Hương Lan</t>
  </si>
  <si>
    <t>0981616708</t>
  </si>
  <si>
    <t>523/BK-2025</t>
  </si>
  <si>
    <t>Phạm Thị Sương</t>
  </si>
  <si>
    <t>0967123863</t>
  </si>
  <si>
    <t>524/BK-2025</t>
  </si>
  <si>
    <t>Bùi Quang Hoàng</t>
  </si>
  <si>
    <t>525/BK-2025</t>
  </si>
  <si>
    <t>Hồ Ngọc Vân</t>
  </si>
  <si>
    <t>526/BK-2025</t>
  </si>
  <si>
    <t>209/BK-2025</t>
  </si>
  <si>
    <t>La Thị Thanh Duyên</t>
  </si>
  <si>
    <t>Hồ sơ chuyển từ tháng 5 nộp lần đầu, mới bổ sung giấy tờ</t>
  </si>
  <si>
    <t>527/BK-2025</t>
  </si>
  <si>
    <t>Phạm Cao Thắng</t>
  </si>
  <si>
    <t>0909522323</t>
  </si>
  <si>
    <t>Anh Long dịch vụ mới</t>
  </si>
  <si>
    <t>528/BK-2025</t>
  </si>
  <si>
    <t>Vũ Đình Bảo</t>
  </si>
  <si>
    <t>529/BK-2025</t>
  </si>
  <si>
    <t>530/BK-2025</t>
  </si>
  <si>
    <t>531/BK-2025</t>
  </si>
  <si>
    <t>Nguyễn Thị Ngọc Thảo</t>
  </si>
  <si>
    <t>532/BK-2025</t>
  </si>
  <si>
    <t>Vũ Hồng Đào</t>
  </si>
  <si>
    <t>460-3/BK-2025</t>
  </si>
  <si>
    <t>455-3/BK-2025</t>
  </si>
  <si>
    <t>456-3/BK-2025</t>
  </si>
  <si>
    <t>457-3/BK-2025</t>
  </si>
  <si>
    <t>461-3/BK-2025</t>
  </si>
  <si>
    <t>459-3/BK-2025</t>
  </si>
  <si>
    <t>484-2/BK-2025</t>
  </si>
  <si>
    <t>518-2/BK-2025</t>
  </si>
  <si>
    <t>533/BK-2025</t>
  </si>
  <si>
    <t>Giang Thị Hồng Vân</t>
  </si>
  <si>
    <t>534/BK-2025</t>
  </si>
  <si>
    <t>Phạm Văn Thái-Nguyễn Thị Thúy Nga</t>
  </si>
  <si>
    <t>519-2/BK-2025</t>
  </si>
  <si>
    <t>485-1/BK-2025</t>
  </si>
  <si>
    <t>485-2/BK-2025</t>
  </si>
  <si>
    <t>486-1/BK-2025</t>
  </si>
  <si>
    <t>486-2/BK-2025</t>
  </si>
  <si>
    <t>536/BK-2025</t>
  </si>
  <si>
    <t>Lê Tự Quốc Thắng</t>
  </si>
  <si>
    <t>0908605373</t>
  </si>
  <si>
    <t>535/BK-2025</t>
  </si>
  <si>
    <t>0389796570</t>
  </si>
  <si>
    <t>535-1/BK-2025</t>
  </si>
  <si>
    <t>487-1/BK-2025</t>
  </si>
  <si>
    <t>487-2/BK-2025</t>
  </si>
  <si>
    <t>488-1/BK-2025</t>
  </si>
  <si>
    <t>488-2/BK-2025</t>
  </si>
  <si>
    <t>537/BK-2025</t>
  </si>
  <si>
    <t>Nguyễn Thanh Vũ</t>
  </si>
  <si>
    <t>0903339111</t>
  </si>
  <si>
    <t>538/BK-2025</t>
  </si>
  <si>
    <t>TRương Quế Phương</t>
  </si>
  <si>
    <t>539/BK-2025</t>
  </si>
  <si>
    <t>Vũ Thị Hương Giang</t>
  </si>
  <si>
    <t>0907074488</t>
  </si>
  <si>
    <t>541/BK-2025</t>
  </si>
  <si>
    <t>542/BK-2025</t>
  </si>
  <si>
    <t>540/BK-2025</t>
  </si>
  <si>
    <t>Phạm Thị Phương</t>
  </si>
  <si>
    <t>543/BK-2025</t>
  </si>
  <si>
    <t>543-1/BK-2025</t>
  </si>
  <si>
    <t>543-2/BK-2025</t>
  </si>
  <si>
    <t>544/BK-2025</t>
  </si>
  <si>
    <t>544-1/BK-2025</t>
  </si>
  <si>
    <t>544-2/BK-2025</t>
  </si>
  <si>
    <t>545/BK-2025</t>
  </si>
  <si>
    <t>546/BK-2025</t>
  </si>
  <si>
    <t>547/BK-2025</t>
  </si>
  <si>
    <t>548/BK-2025</t>
  </si>
  <si>
    <t>Ngô Thanh Quyền</t>
  </si>
  <si>
    <t>Hồ sơ anh Dựng đo</t>
  </si>
  <si>
    <t>548-1/BK-2025</t>
  </si>
  <si>
    <t>535-2/BK-2025</t>
  </si>
  <si>
    <t>549/BK-2025</t>
  </si>
  <si>
    <t>Lý Thị Mỹ Phượng</t>
  </si>
  <si>
    <t>nhà sai hiện trạng, đợi phương án</t>
  </si>
  <si>
    <t>Sai hiện trạng</t>
  </si>
  <si>
    <t>540-1/BK-2025</t>
  </si>
  <si>
    <t>540-2/BK-2025</t>
  </si>
  <si>
    <t>Phát cỏ</t>
  </si>
  <si>
    <t>384-1/BK-2025</t>
  </si>
  <si>
    <t>(cắm 3 lô shđ 384, 385, 386)</t>
  </si>
  <si>
    <t>550/BK-2025</t>
  </si>
  <si>
    <t>Nguyễn Minh Chữ</t>
  </si>
  <si>
    <t>551/BK-2025</t>
  </si>
  <si>
    <t>Lưu Thành Công</t>
  </si>
  <si>
    <t>0977099652</t>
  </si>
  <si>
    <t>551-1/BK-2025</t>
  </si>
  <si>
    <t>Dịch vụ Anh Xây Công ty</t>
  </si>
  <si>
    <t>552/BK-2025</t>
  </si>
  <si>
    <t>Phùng Như Hòa- Lương Thị Bộ</t>
  </si>
  <si>
    <t>Anh Hảo bạn Anh Dựng</t>
  </si>
  <si>
    <t>553/BK-2025</t>
  </si>
  <si>
    <t>Nguyễn Văn Đạo</t>
  </si>
  <si>
    <t>557/BK-2025</t>
  </si>
  <si>
    <t>Trần Thị San</t>
  </si>
  <si>
    <t>558/BK-2025</t>
  </si>
  <si>
    <t>Trương Yến Chi</t>
  </si>
  <si>
    <t>0916336605</t>
  </si>
  <si>
    <t>559/BK-2025</t>
  </si>
  <si>
    <t>Hà Đăng Hiền</t>
  </si>
  <si>
    <t>560/BK-2025</t>
  </si>
  <si>
    <t>Lương Chí Thìn</t>
  </si>
  <si>
    <t>561/BK-2025</t>
  </si>
  <si>
    <t>Dragon</t>
  </si>
  <si>
    <t>0934111180</t>
  </si>
  <si>
    <t>Địa chỉ: Quận Q7</t>
  </si>
  <si>
    <t>562/BK-2025</t>
  </si>
  <si>
    <t>Lê Thị Nguyệt</t>
  </si>
  <si>
    <t>0901851787</t>
  </si>
  <si>
    <t>Quận Tân Phú - Hồ sơ xa</t>
  </si>
  <si>
    <t>563-1/BK-2025</t>
  </si>
  <si>
    <t>Đặng Minh Hoà</t>
  </si>
  <si>
    <t>563-2/BK-2025</t>
  </si>
  <si>
    <t>558-1/BK-2025</t>
  </si>
  <si>
    <t>564/BK-2025</t>
  </si>
  <si>
    <t>Phạm Gia Minh</t>
  </si>
  <si>
    <t>355-1/BK-2025</t>
  </si>
  <si>
    <t>565/BK-2025</t>
  </si>
  <si>
    <t>Hoàng Anh Tú</t>
  </si>
  <si>
    <t>566/BK-2025</t>
  </si>
  <si>
    <t>Nguyễn Văn Phúc</t>
  </si>
  <si>
    <t>0934998539</t>
  </si>
  <si>
    <t>Quận Tân Bình - Hồ sơ xa</t>
  </si>
  <si>
    <t>285-1/BK-2025</t>
  </si>
  <si>
    <t>285-2/BK-2025</t>
  </si>
  <si>
    <t>567/BK-2025</t>
  </si>
  <si>
    <t>Nguyễn Thị Kim Cúc</t>
  </si>
  <si>
    <t>568/BK-2025</t>
  </si>
  <si>
    <t>Nguyễn Văn Trường</t>
  </si>
  <si>
    <t>0903086766</t>
  </si>
  <si>
    <t>570/BK-2025</t>
  </si>
  <si>
    <t>Quang Hào</t>
  </si>
  <si>
    <t>0903343383</t>
  </si>
  <si>
    <t>571/BK-2025</t>
  </si>
  <si>
    <t>572/BK-2025</t>
  </si>
  <si>
    <t>3 sổ</t>
  </si>
  <si>
    <t>573/BK-2025</t>
  </si>
  <si>
    <t>4 sổ</t>
  </si>
  <si>
    <t>574/BK-2025</t>
  </si>
  <si>
    <t>Nguyễn Thị Quỳnh Lan</t>
  </si>
  <si>
    <t>0989980399</t>
  </si>
  <si>
    <t>575/BK-2025</t>
  </si>
  <si>
    <t>Nguyễn Thị Huyền Vy</t>
  </si>
  <si>
    <t>Đợi chủ nhà lắp rào kẽm (đã hoàn thiện hso)</t>
  </si>
  <si>
    <t>576/BK-2025</t>
  </si>
  <si>
    <t>Bùi Ngọc Minh</t>
  </si>
  <si>
    <t>0986644781</t>
  </si>
  <si>
    <t>577/BK-2025</t>
  </si>
  <si>
    <t>Nguyễn Bảo Trị</t>
  </si>
  <si>
    <t>Sai hiện trạng, đợi phương án</t>
  </si>
  <si>
    <t>578/BK-2025</t>
  </si>
  <si>
    <t>Nguyễn Văn Sơn</t>
  </si>
  <si>
    <t>0933293619</t>
  </si>
  <si>
    <t>579/BK-2025</t>
  </si>
  <si>
    <t>582/BK-2025</t>
  </si>
  <si>
    <t>Nguyễn Trọng Khoa</t>
  </si>
  <si>
    <t>583/BK-2025</t>
  </si>
  <si>
    <t>Trần Tuấn Anh</t>
  </si>
  <si>
    <t>579-1/BK-2025</t>
  </si>
  <si>
    <t>580-1/BK-2025</t>
  </si>
  <si>
    <t>584/BK-2025</t>
  </si>
  <si>
    <t>Nguyễn Thị Nhàn</t>
  </si>
  <si>
    <t>0909045539</t>
  </si>
  <si>
    <t>585/BK-2025</t>
  </si>
  <si>
    <t>Nguyễn Thị Chữ</t>
  </si>
  <si>
    <t>0932386332</t>
  </si>
  <si>
    <t>chủ nhà chưa chốt hợp đồng, nhà xây giảm so với GPXD</t>
  </si>
  <si>
    <t>565-DC/BK-2025</t>
  </si>
  <si>
    <t>586/BK-2025</t>
  </si>
  <si>
    <t>Thái Hội Hiền</t>
  </si>
  <si>
    <t>0908632737</t>
  </si>
  <si>
    <t>587/BK-2025</t>
  </si>
  <si>
    <t>Vũ Xuân Thao</t>
  </si>
  <si>
    <t>588-1/BK-2025</t>
  </si>
  <si>
    <t>Nguyễn Thanh Hải-Nguyễn Thị Bé Năm</t>
  </si>
  <si>
    <t>588-2/BK-2025</t>
  </si>
  <si>
    <t>588-3/BK-2025</t>
  </si>
  <si>
    <t>589/BK-2025</t>
  </si>
  <si>
    <t>Nguyễn Thị Thanh Tâm</t>
  </si>
  <si>
    <t>590/BK-2025</t>
  </si>
  <si>
    <t>Trần Đức Cường</t>
  </si>
  <si>
    <t>591/BK-2025</t>
  </si>
  <si>
    <t>Phạm Thị Vân</t>
  </si>
  <si>
    <t>lech ranh , chua co phuong an</t>
  </si>
  <si>
    <t>592/BK-2025</t>
  </si>
  <si>
    <t>Nguyễn Thị Đẹp</t>
  </si>
  <si>
    <t>593/BK-2025</t>
  </si>
  <si>
    <t>Nguyễn Thị À</t>
  </si>
  <si>
    <t>594/BK-2025</t>
  </si>
  <si>
    <t>Nguyễn Hồng Xuân</t>
  </si>
  <si>
    <t>Đợi Dịch vụ tháo dỡ hiện trạng</t>
  </si>
  <si>
    <t>595/BK-2025</t>
  </si>
  <si>
    <t>Nguyễn Mạnh Hùng-Nguyễn Trần Huyền Trang</t>
  </si>
  <si>
    <t>596/BK-2025</t>
  </si>
  <si>
    <t>597/BK-2025</t>
  </si>
  <si>
    <t>Trần Thuỳ Giang</t>
  </si>
  <si>
    <t>0901394185</t>
  </si>
  <si>
    <t>da nop vy</t>
  </si>
  <si>
    <t>598/BK-2025</t>
  </si>
  <si>
    <t>Trần Văn Quang</t>
  </si>
  <si>
    <t>599/BK-2025</t>
  </si>
  <si>
    <t>600/BK-2025</t>
  </si>
  <si>
    <t>400-DC-1/BK-2025</t>
  </si>
  <si>
    <t>595-1/BK-2025</t>
  </si>
  <si>
    <t>601/BK-2025</t>
  </si>
  <si>
    <t>Vương Thị Minh</t>
  </si>
  <si>
    <t>096 3800369</t>
  </si>
  <si>
    <t>602/BK-2025</t>
  </si>
  <si>
    <t>Vũ Quang Tịnh</t>
  </si>
  <si>
    <t>0972715317</t>
  </si>
  <si>
    <t>384-DC/BK-2025</t>
  </si>
  <si>
    <t>Lâm Văn Thanh</t>
  </si>
  <si>
    <t>0915165138</t>
  </si>
  <si>
    <t>Đợi dịch vụ trao đổi phường</t>
  </si>
  <si>
    <t>458-1/BK-2025</t>
  </si>
  <si>
    <t>603/BK-2025</t>
  </si>
  <si>
    <t>603-1/BK-2025</t>
  </si>
  <si>
    <t>603-2/BK-2025</t>
  </si>
  <si>
    <t>504-DC/BK-2025</t>
  </si>
  <si>
    <t>604/BK-2025</t>
  </si>
  <si>
    <t>Anh Lộc</t>
  </si>
  <si>
    <t>đã bàn giao biên bản</t>
  </si>
  <si>
    <t>526-1/BK-2025</t>
  </si>
  <si>
    <t>605/BK-2025</t>
  </si>
  <si>
    <t>Trần Lâm</t>
  </si>
  <si>
    <t>094 5861977</t>
  </si>
  <si>
    <t>huy( ko lam duoc hs)</t>
  </si>
  <si>
    <t>607/BK-2025</t>
  </si>
  <si>
    <t>Phan Văn Truyền-Nguyễn Thị Quy</t>
  </si>
  <si>
    <t>Đất thuộc toàn bộ quy hoạch đất giao thông</t>
  </si>
  <si>
    <t>608/BK-2025</t>
  </si>
  <si>
    <t>608-1/BK-2025</t>
  </si>
  <si>
    <t>608-2/BK-2025</t>
  </si>
  <si>
    <t>609/BK-2025</t>
  </si>
  <si>
    <t>609-1/BK-2025</t>
  </si>
  <si>
    <t>609-2/BK-2025</t>
  </si>
  <si>
    <t>610/BK-2025</t>
  </si>
  <si>
    <t>610-1/BK-2025</t>
  </si>
  <si>
    <t>610-2/BK-2025</t>
  </si>
  <si>
    <t>611/BK-2025</t>
  </si>
  <si>
    <t>shd cũ 136/BK-2025</t>
  </si>
  <si>
    <t>612/BK-2025</t>
  </si>
  <si>
    <t>613/BK-2025</t>
  </si>
  <si>
    <t>Nguyễn Trọng Nghĩa</t>
  </si>
  <si>
    <t>0909288661</t>
  </si>
  <si>
    <t>614/BK-2025</t>
  </si>
  <si>
    <t>Dương Hồng Cẩm</t>
  </si>
  <si>
    <t>0938695645</t>
  </si>
  <si>
    <t>615/BK-2025</t>
  </si>
  <si>
    <t>Đoàn Ngọc Hải</t>
  </si>
  <si>
    <t xml:space="preserve">Cô Hải Dịch Vụ </t>
  </si>
  <si>
    <t>616/BK-2025</t>
  </si>
  <si>
    <t>Vũ Thị Phương</t>
  </si>
  <si>
    <t>617/BK-2025</t>
  </si>
  <si>
    <t>Hàn Ngọc Pho</t>
  </si>
  <si>
    <t>618/BK-2025</t>
  </si>
  <si>
    <t>Đinh Thị Hằng</t>
  </si>
  <si>
    <t>619/BK-2025</t>
  </si>
  <si>
    <t>Đinh Gia Trí</t>
  </si>
  <si>
    <t>620/BK-2025</t>
  </si>
  <si>
    <t>ĐC 116/BK-2025</t>
  </si>
  <si>
    <t>Lại Quốc Huy</t>
  </si>
  <si>
    <t>622/BK-2025</t>
  </si>
  <si>
    <t>Nguyễn Thị Mến</t>
  </si>
  <si>
    <t>623/BK-2025</t>
  </si>
  <si>
    <t>Nguyễn Văn Quỳnh</t>
  </si>
  <si>
    <t>624/BK-2025</t>
  </si>
  <si>
    <t>Lô Bằng Giang</t>
  </si>
  <si>
    <t>0938868876</t>
  </si>
  <si>
    <t>625/BK-2025</t>
  </si>
  <si>
    <t>353-1/BK-2025</t>
  </si>
  <si>
    <t>626/BK-2025</t>
  </si>
  <si>
    <t>Bùi Nam Giang</t>
  </si>
  <si>
    <t>0988511426</t>
  </si>
  <si>
    <t>627/BK-2025</t>
  </si>
  <si>
    <t>Trần Thị Hạnh</t>
  </si>
  <si>
    <t>628/BK-2025</t>
  </si>
  <si>
    <t>629/BK-2025</t>
  </si>
  <si>
    <t>630/BK-2025</t>
  </si>
  <si>
    <t>Lê Tiến Hòa</t>
  </si>
  <si>
    <t>631/BK-2025</t>
  </si>
  <si>
    <t>Nguyễn Thị Bích Trâm</t>
  </si>
  <si>
    <t xml:space="preserve"> dv chua cap du hs gcn</t>
  </si>
  <si>
    <t>632/BK-2025</t>
  </si>
  <si>
    <t>633/BK-2025</t>
  </si>
  <si>
    <t>633-1/BK-2025</t>
  </si>
  <si>
    <t>633-2/BK-2025</t>
  </si>
  <si>
    <t>16-1/BK-2025</t>
  </si>
  <si>
    <t>634/BK-2025</t>
  </si>
  <si>
    <t>Vũ Sơn Lâm</t>
  </si>
  <si>
    <t>0984558140</t>
  </si>
  <si>
    <t>lấn thửa, lấn đường sai hien trang</t>
  </si>
  <si>
    <t>635/BK-2025</t>
  </si>
  <si>
    <t>Nguyễn Văn Quang</t>
  </si>
  <si>
    <t>chờ trích lục bv cap giay</t>
  </si>
  <si>
    <t>636/BK-2025</t>
  </si>
  <si>
    <t>Trịnh Thị Sinh</t>
  </si>
  <si>
    <t>0379110557</t>
  </si>
  <si>
    <t>chờ trích lục bv cap giay, chua chot hd voi chu nha</t>
  </si>
  <si>
    <t>618-1/BK-2025</t>
  </si>
  <si>
    <t>0982255006</t>
  </si>
  <si>
    <t>464-1/BK-2025</t>
  </si>
  <si>
    <t>Đặng Thị Kim Thiện</t>
  </si>
  <si>
    <t>637/BK-2025</t>
  </si>
  <si>
    <t>Công ty Cổ phần Đầu tư Dầu khí Thăng Long</t>
  </si>
  <si>
    <t>zalo Mai Hoàng</t>
  </si>
  <si>
    <t>638/BK-2025</t>
  </si>
  <si>
    <t>Công ty TNHH MTV EPIC LAND</t>
  </si>
  <si>
    <t>639/BK-2025</t>
  </si>
  <si>
    <t>Công ty Cổ phần Đầu tư và Phát Triển Thành phố Hồ Chí Minh</t>
  </si>
  <si>
    <t>640/BK-2025</t>
  </si>
  <si>
    <t>Công ty Cổ phần Sài Gòn Riverview</t>
  </si>
  <si>
    <t>641/BK-2025</t>
  </si>
  <si>
    <t>Nguyễn Thị Kim Ngọc</t>
  </si>
  <si>
    <t>642/BK-2025</t>
  </si>
  <si>
    <t>Hứa Thu Phụng</t>
  </si>
  <si>
    <t>090 6332856</t>
  </si>
  <si>
    <t>643/BK-2025</t>
  </si>
  <si>
    <t>Nguyễn Hữu Thịnh</t>
  </si>
  <si>
    <t>0933690100</t>
  </si>
  <si>
    <t>644/BK-2025</t>
  </si>
  <si>
    <t>Huỳnh Thị Ngọc Châu</t>
  </si>
  <si>
    <t xml:space="preserve"> cuong dv  b¸o chu nha ko chap nhan giam dat theo bv cu</t>
  </si>
  <si>
    <t>645/BK-2025</t>
  </si>
  <si>
    <t>Dương Thị Thanh Tâm</t>
  </si>
  <si>
    <t>646/BK-2025</t>
  </si>
  <si>
    <t>Nguyễn Tuấn Nghiêm</t>
  </si>
  <si>
    <t>cho trich luc</t>
  </si>
  <si>
    <t>647/BK-2025</t>
  </si>
  <si>
    <t>Vũ Kiều Sa</t>
  </si>
  <si>
    <t>648/BK-2025</t>
  </si>
  <si>
    <t>Vũ Phạm Minh Tú</t>
  </si>
  <si>
    <t>0984494756</t>
  </si>
  <si>
    <t>649/BK-2025</t>
  </si>
  <si>
    <t>Nguyễn Quang Hoàn</t>
  </si>
  <si>
    <t>650/BK-2025</t>
  </si>
  <si>
    <t>Nguyễn Xuân Đức</t>
  </si>
  <si>
    <t>0976852363</t>
  </si>
  <si>
    <t>651/BK-2025</t>
  </si>
  <si>
    <t>Võ Thị Thanh</t>
  </si>
  <si>
    <t>0865725301</t>
  </si>
  <si>
    <t>652-1/BK-2025</t>
  </si>
  <si>
    <t>Nguyễn Thanh Hải - Nguyễn Thị Bé Năm</t>
  </si>
  <si>
    <t>652-2/BK-2025</t>
  </si>
  <si>
    <t>652-3/BK-2025</t>
  </si>
  <si>
    <t>652-4/BK-2025</t>
  </si>
  <si>
    <t>653/BK-2025</t>
  </si>
  <si>
    <t>Lê Thị Thu Sương</t>
  </si>
  <si>
    <t>655/BK-2025</t>
  </si>
  <si>
    <t>Bùi Quý Thành - Lưu Vân Trang</t>
  </si>
  <si>
    <t>0938585399</t>
  </si>
  <si>
    <t>305-2/BK-2025</t>
  </si>
  <si>
    <t>656/BK-2025</t>
  </si>
  <si>
    <t>Nguyễn Trương - Nguyễn Thị Ba</t>
  </si>
  <si>
    <t>657/BK-2025</t>
  </si>
  <si>
    <t>Chung Thị Kim Anh</t>
  </si>
  <si>
    <t>Đợi trích lục</t>
  </si>
  <si>
    <t>658/BK-2025</t>
  </si>
  <si>
    <t>Nguyễn Lưu Như Ý</t>
  </si>
  <si>
    <t>0978867100</t>
  </si>
  <si>
    <t>CHO ĐO gps</t>
  </si>
  <si>
    <t>659/BK-2025</t>
  </si>
  <si>
    <t>Chu Trần Trọng</t>
  </si>
  <si>
    <t>0903131109</t>
  </si>
  <si>
    <t>giamdt cho chu tháo tuong rao</t>
  </si>
  <si>
    <t>597-1/BK-2025</t>
  </si>
  <si>
    <t>651-1/BK-2025</t>
  </si>
  <si>
    <t>660/BK-2025</t>
  </si>
  <si>
    <t>Nguyễn Hữu Nam</t>
  </si>
  <si>
    <t>GIAM DT dat tre chua chot PA</t>
  </si>
  <si>
    <t>661/BK-2025</t>
  </si>
  <si>
    <t>Nguyễn Văn Quân</t>
  </si>
  <si>
    <t>Anh Tập BK</t>
  </si>
  <si>
    <t>508-1/BK-2025</t>
  </si>
  <si>
    <t>518-3/BK-2025</t>
  </si>
  <si>
    <t>6 lô</t>
  </si>
  <si>
    <t>662/BK-2025</t>
  </si>
  <si>
    <t>Anh Tiếp (Dragon)</t>
  </si>
  <si>
    <t>Quận 7</t>
  </si>
  <si>
    <t>663/BK-2025</t>
  </si>
  <si>
    <t>574-DC/BK-2025</t>
  </si>
  <si>
    <t>Bùi Hà Anh</t>
  </si>
  <si>
    <t>658-1/BK-2025</t>
  </si>
  <si>
    <t>665/BK-2025</t>
  </si>
  <si>
    <t>Hộ Lê Huỳnh</t>
  </si>
  <si>
    <t>0396617912</t>
  </si>
  <si>
    <t>665-1/BK-2025</t>
  </si>
  <si>
    <t>665-2/BK-2025</t>
  </si>
  <si>
    <t>666/BK-2025</t>
  </si>
  <si>
    <t>XDDT Anh Đạt</t>
  </si>
  <si>
    <t>652-5/BK-2025</t>
  </si>
  <si>
    <t>XĐDT 116/BK-2025</t>
  </si>
  <si>
    <t>667/BK-2025</t>
  </si>
  <si>
    <t>Nguyễn Văn Biên</t>
  </si>
  <si>
    <t>0903066111</t>
  </si>
  <si>
    <t>668/BK-2025</t>
  </si>
  <si>
    <t xml:space="preserve">Phạm Thị Minh Uyên </t>
  </si>
  <si>
    <t>0909971199</t>
  </si>
  <si>
    <t>669/BK-2025</t>
  </si>
  <si>
    <t>Phan Ngọc Bắc</t>
  </si>
  <si>
    <t>670/BK-2025</t>
  </si>
  <si>
    <t>Hồ Trọng Dũng</t>
  </si>
  <si>
    <t>0903887333</t>
  </si>
  <si>
    <t>671/BK-2025</t>
  </si>
  <si>
    <t xml:space="preserve">Nguyễn Thị Xuân Lan </t>
  </si>
  <si>
    <t>0903909323</t>
  </si>
  <si>
    <t>672/BK-2025</t>
  </si>
  <si>
    <t>Nguyễn Văn Trưởng - Nguyễn Thị Thúy</t>
  </si>
  <si>
    <t>0359236158</t>
  </si>
  <si>
    <t>673/BK-2025</t>
  </si>
  <si>
    <t>Phạm Thị Trang</t>
  </si>
  <si>
    <t>0902805770</t>
  </si>
  <si>
    <t>659-1/BK-2025</t>
  </si>
  <si>
    <t>632-DC/BK-2025</t>
  </si>
  <si>
    <t>HỖ TRỢ KHÁCH THÔI</t>
  </si>
  <si>
    <t>674/BK-2025</t>
  </si>
  <si>
    <t>675/BK-2025</t>
  </si>
  <si>
    <t>Vũ Anh Tuấn</t>
  </si>
  <si>
    <t>676/BK-2025</t>
  </si>
  <si>
    <t>Phạm Thị Giao Linh</t>
  </si>
  <si>
    <t>677/BK-2025</t>
  </si>
  <si>
    <t>chờ chủ nhà bổ sung giấy tờ, trích lục BVCG, ĐO BÁO CAO GPS</t>
  </si>
  <si>
    <t>395-DC/BK-2025</t>
  </si>
  <si>
    <t>DA NOP vy</t>
  </si>
  <si>
    <t>678/BK-2025</t>
  </si>
  <si>
    <t>Từ Thị Lai</t>
  </si>
  <si>
    <t>0908008461</t>
  </si>
  <si>
    <t>001/BK-2026</t>
  </si>
  <si>
    <t>Đoàn Vân Anh</t>
  </si>
  <si>
    <t>0918265242</t>
  </si>
  <si>
    <t>002/BK-2026</t>
  </si>
  <si>
    <t>003/BK-2026</t>
  </si>
  <si>
    <t>004/BK-2026</t>
  </si>
  <si>
    <t>Nguyễn Minh Trung - Nguyễn Thị Phương Thúy</t>
  </si>
  <si>
    <t>0829552210 - 0901161878</t>
  </si>
  <si>
    <t>005/BK-2026</t>
  </si>
  <si>
    <t>Nguyễn Bắc Nam</t>
  </si>
  <si>
    <t>0918740199</t>
  </si>
  <si>
    <t>Lệch ranh - Đợi hoàn thành công trình</t>
  </si>
  <si>
    <t>006/BK-2026</t>
  </si>
  <si>
    <t>Nguyễn Đế Hiếu</t>
  </si>
  <si>
    <t>Hoàng Cương BĐS</t>
  </si>
  <si>
    <t>007/BK-2026</t>
  </si>
  <si>
    <t>008/BK-2026</t>
  </si>
  <si>
    <t>Thái Văn Nghĩa</t>
  </si>
  <si>
    <t>0974776305</t>
  </si>
  <si>
    <t>009/BK-2026</t>
  </si>
  <si>
    <t>Đào Văn Duy</t>
  </si>
  <si>
    <t>010/BK-2026</t>
  </si>
  <si>
    <t>Hồng Thế Phương</t>
  </si>
  <si>
    <t>011/BK-2026</t>
  </si>
  <si>
    <t>012/BK-2026</t>
  </si>
  <si>
    <t>013/BK-2026</t>
  </si>
  <si>
    <t>0931840189</t>
  </si>
  <si>
    <t>014/BK-2026</t>
  </si>
  <si>
    <t>015/BK-2026</t>
  </si>
  <si>
    <t>Nguyễn Trần Ngọc Khoa</t>
  </si>
  <si>
    <t>0988935451</t>
  </si>
  <si>
    <t>016/BK-2026</t>
  </si>
  <si>
    <t>Nguyễn Trung Thông</t>
  </si>
  <si>
    <t>017/BK-2026</t>
  </si>
  <si>
    <t>Cao Viết Trọng</t>
  </si>
  <si>
    <t>018/BK-2026</t>
  </si>
  <si>
    <t>Huỳnh Thị Bích Hồng</t>
  </si>
  <si>
    <t>019/BK-2026</t>
  </si>
  <si>
    <t>Nguyễn Thị Xuân Lan</t>
  </si>
  <si>
    <t>khách hàng yêu cầu chôn 4 trụ xi măng (hiện trạng thực tế chỉ chôn được 2 trụ sau)</t>
  </si>
  <si>
    <t>020/BK-2026</t>
  </si>
  <si>
    <t>Nguyễn Thị Hà</t>
  </si>
  <si>
    <t>0384859894</t>
  </si>
  <si>
    <t>021/BK-2026</t>
  </si>
  <si>
    <t>022/BK-2026</t>
  </si>
  <si>
    <t>023/BK-2026</t>
  </si>
  <si>
    <t>Lê Quý</t>
  </si>
  <si>
    <t>024/BK-2026</t>
  </si>
  <si>
    <t>025/BK-2026</t>
  </si>
  <si>
    <t>026/BK-2026</t>
  </si>
  <si>
    <t>Cọc sắt</t>
  </si>
  <si>
    <t>027/BK-2026</t>
  </si>
  <si>
    <t>Vũ Thị Nhuần</t>
  </si>
  <si>
    <t>0988337584</t>
  </si>
  <si>
    <t>028/BK-2026</t>
  </si>
  <si>
    <t>Phạm Hồng Sỹ</t>
  </si>
  <si>
    <t>029/BK-2026</t>
  </si>
  <si>
    <t>Nguyễn Văn Trung</t>
  </si>
  <si>
    <t>0915779939</t>
  </si>
  <si>
    <t>030/BK-2026</t>
  </si>
  <si>
    <t>031/BK-2026</t>
  </si>
  <si>
    <t>Trần Đình Sỹ Tấn</t>
  </si>
  <si>
    <t>Đang hoàn thiện công trình</t>
  </si>
  <si>
    <t>Đã xử lý, đợi hoàn thành công trình</t>
  </si>
  <si>
    <t>032/BK-2026</t>
  </si>
  <si>
    <t>Nguyễn Khắc Thọ-Nguyễn Thị Hồng</t>
  </si>
  <si>
    <t>A Tập</t>
  </si>
  <si>
    <t>Đợi sửa chửa đúng hiện trạng</t>
  </si>
  <si>
    <t>033/BK-2026</t>
  </si>
  <si>
    <t>Lê Văn Mạnh</t>
  </si>
  <si>
    <t>Đợi dịch vụ chốt</t>
  </si>
  <si>
    <t>034/BK-2026</t>
  </si>
  <si>
    <t>Đỗ Thị Mười</t>
  </si>
  <si>
    <t>Đợt dịch vụ chốt</t>
  </si>
  <si>
    <t>035/BK-2026</t>
  </si>
  <si>
    <t>Nguyễn Thị Trúc Thanh-Hoàng Phi Hải</t>
  </si>
  <si>
    <t>036/BK-2026</t>
  </si>
  <si>
    <t>037/BK-2026</t>
  </si>
  <si>
    <t>Nguyễn Thị An</t>
  </si>
  <si>
    <t>0918096934</t>
  </si>
  <si>
    <t>038/BK-2026</t>
  </si>
  <si>
    <t>Nguyễn Thị Cẩm Vân</t>
  </si>
  <si>
    <t>0902922367</t>
  </si>
  <si>
    <t xml:space="preserve">Đã đo chờ trao đổi với khách hàng do giảm diện tích </t>
  </si>
  <si>
    <t>039/BK-2026</t>
  </si>
  <si>
    <t>Trương Thị Ngọc Mai</t>
  </si>
  <si>
    <t>0344276226</t>
  </si>
  <si>
    <t>040/BK-2026</t>
  </si>
  <si>
    <t>Cắm mốc Tuấn BK</t>
  </si>
  <si>
    <t>Cắm mốc,Chôn trụ xi măng đã chốt khách hàng 4 triệu (chưa thanh toán)</t>
  </si>
  <si>
    <t>041/BK-2026</t>
  </si>
  <si>
    <t>Đinh Văn Long</t>
  </si>
  <si>
    <t>042/BK-2026</t>
  </si>
  <si>
    <t>043/BK-2026</t>
  </si>
  <si>
    <t>Võ Văn Hoa</t>
  </si>
  <si>
    <t>Vẽ mẫu CMĐ gửi phường</t>
  </si>
  <si>
    <t>044/BK-2026</t>
  </si>
  <si>
    <t>Lê Quang Đạo</t>
  </si>
  <si>
    <t>045/BK-2026</t>
  </si>
  <si>
    <t>Phan Thanh Phong</t>
  </si>
  <si>
    <t>047/BK-2026</t>
  </si>
  <si>
    <t>048/BK-2026</t>
  </si>
  <si>
    <t>049/BK-2026</t>
  </si>
  <si>
    <t>Tống Thị Mỹ Trang</t>
  </si>
  <si>
    <t>050/BK-2026</t>
  </si>
  <si>
    <t>Đinh Văn Hòa</t>
  </si>
  <si>
    <t xml:space="preserve">Chưa cắm trụ (4 trụ) </t>
  </si>
  <si>
    <t>051/BK-2026</t>
  </si>
  <si>
    <t>057/BK-2026</t>
  </si>
  <si>
    <t>Nguyễn Thị Phượng</t>
  </si>
  <si>
    <t>053/BK-2026</t>
  </si>
  <si>
    <t>Nguyễn Hữu Cường</t>
  </si>
  <si>
    <t>0903323431</t>
  </si>
  <si>
    <t>hồ sơ chưa xử lý được do khu đất có ao sâu không thể chôn trụ xi măng được,chờ khách hàng san lấp</t>
  </si>
  <si>
    <t>054/BK-2026</t>
  </si>
  <si>
    <t>Trần Thị Ngọc Minh</t>
  </si>
  <si>
    <t>Đợi trao đổi phương án vs dịch vụ</t>
  </si>
  <si>
    <t>Dịch vụ báo tạm ngưng</t>
  </si>
  <si>
    <t>055/BK-2026</t>
  </si>
  <si>
    <t>Đỗ Hoàng Sang</t>
  </si>
  <si>
    <t>Zalo Lam Mai</t>
  </si>
  <si>
    <t>056/BK-2026</t>
  </si>
  <si>
    <t>Đào Thị Huyền Nhung</t>
  </si>
  <si>
    <t>052/BK-2026</t>
  </si>
  <si>
    <t>Lê Thị Thu Hiền</t>
  </si>
  <si>
    <t>058/BK-2026</t>
  </si>
  <si>
    <t>Lưu Sanh Đạt</t>
  </si>
  <si>
    <t>059/BK-2026</t>
  </si>
  <si>
    <t>Đặng Văn Lẹ</t>
  </si>
  <si>
    <t>060/BK-2026</t>
  </si>
  <si>
    <t>061-1/BK-2026</t>
  </si>
  <si>
    <t>Bùi Đình Khánh</t>
  </si>
  <si>
    <t>0988737070</t>
  </si>
  <si>
    <t>061-2/BK-2026</t>
  </si>
  <si>
    <t>062/BK-2026</t>
  </si>
  <si>
    <t>063/BK-2026</t>
  </si>
  <si>
    <t>Dương Ngọc Sinh</t>
  </si>
  <si>
    <t>Anh Trường LS</t>
  </si>
  <si>
    <t>064/BK-2026</t>
  </si>
  <si>
    <t>Lê Xuân Hưng - Nguyễn Thị Kim Yến</t>
  </si>
  <si>
    <t>0938206063</t>
  </si>
  <si>
    <t>065/BK-2026</t>
  </si>
  <si>
    <t>Phạm Thị Ngọc Điệp</t>
  </si>
  <si>
    <t>066/BK-2026</t>
  </si>
  <si>
    <t>Trần Thị Phước</t>
  </si>
  <si>
    <t>067/BK-2026</t>
  </si>
  <si>
    <t>068/BK-2026</t>
  </si>
  <si>
    <t>069/BK-2026</t>
  </si>
  <si>
    <t>070/BK-2026</t>
  </si>
  <si>
    <t xml:space="preserve">Đinh Gia Trí </t>
  </si>
  <si>
    <t>071/BK-2026</t>
  </si>
  <si>
    <t>Nguyễn Kim Chi</t>
  </si>
  <si>
    <t>072/BK-2026</t>
  </si>
  <si>
    <t>Nguyễn Đình Phan- Nguyễn Thị Sa</t>
  </si>
  <si>
    <t>0333609405</t>
  </si>
  <si>
    <t>sai hiện trạng+ lấn thửa+ giảm diện tích</t>
  </si>
  <si>
    <t>073/BK-2026</t>
  </si>
  <si>
    <t>Đào Thị Hòa</t>
  </si>
  <si>
    <t>074/BK-2026</t>
  </si>
  <si>
    <t>Nguyễn Hoàng Phong</t>
  </si>
  <si>
    <t>075/BK-2026</t>
  </si>
  <si>
    <t>Hoàng Thị Cúc</t>
  </si>
  <si>
    <t>0937183239</t>
  </si>
  <si>
    <t>Chưa bổ sung bản vẽ xin phép</t>
  </si>
  <si>
    <t>076/BK-2026</t>
  </si>
  <si>
    <t>077/BK-2026</t>
  </si>
  <si>
    <t>078/BK-2026</t>
  </si>
  <si>
    <t>Lê Minh Thạnh</t>
  </si>
  <si>
    <t>0704115165</t>
  </si>
  <si>
    <t>079/BK-2026</t>
  </si>
  <si>
    <t>Nguyễn Quỳnh Lê</t>
  </si>
  <si>
    <t>0778860211</t>
  </si>
  <si>
    <t>080/BK-2026</t>
  </si>
  <si>
    <t>081/BK-2026</t>
  </si>
  <si>
    <t>082/BK-2026</t>
  </si>
  <si>
    <t>Nguyễn Thị Hồng Trâm</t>
  </si>
  <si>
    <t>083/BK-2026</t>
  </si>
  <si>
    <t>Vũ Thị Thùy Trang</t>
  </si>
  <si>
    <t>0909204125</t>
  </si>
  <si>
    <t>084/BK-2026</t>
  </si>
  <si>
    <t>085/BK-2026</t>
  </si>
  <si>
    <t>Lê Tiến Nhật Minh</t>
  </si>
  <si>
    <t xml:space="preserve">Đã hoàn thành
</t>
  </si>
  <si>
    <t>086/BK-2026</t>
  </si>
  <si>
    <t>Đỗ Thị Trang</t>
  </si>
  <si>
    <t>087/BK-2026</t>
  </si>
  <si>
    <t>0977633333</t>
  </si>
  <si>
    <t>088/BK-2026</t>
  </si>
  <si>
    <t>Nguyễn Quỳnh Lê- Nguyễn Thảo Linh</t>
  </si>
  <si>
    <t xml:space="preserve"> ( Xây+Tâp)-Hơp</t>
  </si>
  <si>
    <t>089/BK-2026</t>
  </si>
  <si>
    <t>Phan Xuân Phước-Nguyễn Thị Bích Thủy</t>
  </si>
  <si>
    <t>096 8080819</t>
  </si>
  <si>
    <t>090/BK-2026</t>
  </si>
  <si>
    <t>Ngô Thị Việt Hà - Nguyễn Văn Hoàng</t>
  </si>
  <si>
    <t>zalo MP Xin Phép- Nhà chị Hà</t>
  </si>
  <si>
    <t>Đợi chủ nhà trích lục bản vẽ sơ đồ vị trí</t>
  </si>
  <si>
    <t>091/BK-2026</t>
  </si>
  <si>
    <t>Cần cắm lại trụ</t>
  </si>
  <si>
    <t>Đợi làm việc với phường</t>
  </si>
  <si>
    <t>092/BK-2026</t>
  </si>
  <si>
    <t>093/BK-2026</t>
  </si>
  <si>
    <t>Thái Thị Bích Vân</t>
  </si>
  <si>
    <t>094/BK-2026</t>
  </si>
  <si>
    <t>Lê Quang Thạnh</t>
  </si>
  <si>
    <t>0918393071</t>
  </si>
  <si>
    <t>Đợi chủ nhà đập hàng rào</t>
  </si>
  <si>
    <t>095/BK-2026</t>
  </si>
  <si>
    <t>Nguyễn Hoàng Tấn</t>
  </si>
  <si>
    <t>096/BK-2026</t>
  </si>
  <si>
    <t>Nguyễn Quốc Chiến-Trần Thị Thu Hương</t>
  </si>
  <si>
    <t>0989035122</t>
  </si>
  <si>
    <t>097/BK-2026</t>
  </si>
  <si>
    <t>Nguyễn Thị Ngọc Thuận</t>
  </si>
  <si>
    <t>098/BK-2026</t>
  </si>
  <si>
    <t>099/BK-2026</t>
  </si>
  <si>
    <t>Phan Trong Quang</t>
  </si>
  <si>
    <t>SAI HIEN TRANG+ GIAY PHEP XD KO ĐÚNG BVXP CHỜ CHU NHÀ  RA PHUONG DDIEU CHINH GPXD</t>
  </si>
  <si>
    <t>100/BK-2026</t>
  </si>
  <si>
    <t>Tô Thị MỸ Nương</t>
  </si>
  <si>
    <t>GIAM DT+ VE THEO GPXD</t>
  </si>
  <si>
    <t>101/BK-2026</t>
  </si>
  <si>
    <t>0989698007</t>
  </si>
  <si>
    <t>hồ sơ cấp đổi lấn thửa chủ nhà yêu cầu vẽ XDDT để đưa lên phường trình bày</t>
  </si>
  <si>
    <t>102/BK-2026</t>
  </si>
  <si>
    <t>Bùi Đình Khánh-Nguyễn Thị Kim Quyên</t>
  </si>
  <si>
    <t>103/BK-2026</t>
  </si>
  <si>
    <t>104/BK-2026</t>
  </si>
  <si>
    <t>Trương Quế Phương</t>
  </si>
  <si>
    <t>0903880063</t>
  </si>
  <si>
    <t>Lúc trước đã hủy, giờ vẽ nộp phường</t>
  </si>
  <si>
    <t>105/BK-2026</t>
  </si>
  <si>
    <t>106/BK-2026</t>
  </si>
  <si>
    <t>Trần Phi Long</t>
  </si>
  <si>
    <t>0908449238</t>
  </si>
  <si>
    <t>107/BK-2026</t>
  </si>
  <si>
    <t>108/BK-2026</t>
  </si>
  <si>
    <t>Đỗ Bình Trọng</t>
  </si>
  <si>
    <t>109/BK-2026</t>
  </si>
  <si>
    <t>110/BK-2026</t>
  </si>
  <si>
    <t>Nguyễn Doãn Tuấn</t>
  </si>
  <si>
    <t>0979676897</t>
  </si>
  <si>
    <t>BAO CAO GPS</t>
  </si>
  <si>
    <t>111/BK-2026</t>
  </si>
  <si>
    <t>112/BK-2026</t>
  </si>
  <si>
    <t>zalo Victoria</t>
  </si>
  <si>
    <t>113/BK-2026</t>
  </si>
  <si>
    <t>114/BK-2026</t>
  </si>
  <si>
    <t>115/BK-2026</t>
  </si>
  <si>
    <t>Nguyễn Đức Mẫn</t>
  </si>
  <si>
    <t>0938270838</t>
  </si>
  <si>
    <t>116/BK-2026</t>
  </si>
  <si>
    <t>117/BK-2026</t>
  </si>
  <si>
    <t>Đào Minh Quân</t>
  </si>
  <si>
    <t>0399409272</t>
  </si>
  <si>
    <t>Cần cắm mốc</t>
  </si>
  <si>
    <t>119/BK-2026</t>
  </si>
  <si>
    <t>Đặng Quang Huy</t>
  </si>
  <si>
    <t>120/BK-2026</t>
  </si>
  <si>
    <t>Nguyễn Xuân Hạnh</t>
  </si>
  <si>
    <t>0903139386</t>
  </si>
  <si>
    <t>121/BK-2026</t>
  </si>
  <si>
    <t>Nguyễn Thị Hoa</t>
  </si>
  <si>
    <t>122/BK-2026</t>
  </si>
  <si>
    <t>Trần Thanh Khương</t>
  </si>
  <si>
    <t>0987960518</t>
  </si>
  <si>
    <t>hồ sơ lệch ranh chờ pa</t>
  </si>
  <si>
    <t>123/BK-2026</t>
  </si>
  <si>
    <t>124/BK-2026</t>
  </si>
  <si>
    <t>Đặng Khoa Học-Trần Ngọc Thùy Tiên</t>
  </si>
  <si>
    <t>125/BK-2026</t>
  </si>
  <si>
    <t>Nguyễn Văn Học</t>
  </si>
  <si>
    <t>0903075675</t>
  </si>
  <si>
    <t>126/BK-2026</t>
  </si>
  <si>
    <t>Trần Văn Giấy</t>
  </si>
  <si>
    <t>127/BK-2026</t>
  </si>
  <si>
    <t>Lê Văn Hoàng</t>
  </si>
  <si>
    <t>Đợi trao đổi với dịch vụ</t>
  </si>
  <si>
    <t>128/BK-2026</t>
  </si>
  <si>
    <t>Hoàng Nam</t>
  </si>
  <si>
    <t>129/BK-2026</t>
  </si>
  <si>
    <t>Nguyễn Nhựt Tân</t>
  </si>
  <si>
    <t>130/BK-2026</t>
  </si>
  <si>
    <t>Nguyễn Hồng Danh</t>
  </si>
  <si>
    <t xml:space="preserve">đất lệch ranh </t>
  </si>
  <si>
    <t xml:space="preserve"> Vẽ lệch ranh theo hiện trạng đã vẽ xong chờ bs GCN để nộp hs( GD)</t>
  </si>
  <si>
    <t>131/BK-2026</t>
  </si>
  <si>
    <t>Ôn Thị Sạn</t>
  </si>
  <si>
    <t>132/BK-2026</t>
  </si>
  <si>
    <t xml:space="preserve">tùng chủ động hủy </t>
  </si>
  <si>
    <t>133/BK-2026</t>
  </si>
  <si>
    <t>Trần Văn Thắng</t>
  </si>
  <si>
    <t>0989362985</t>
  </si>
  <si>
    <t>134/BK-2026</t>
  </si>
  <si>
    <t>135/BK-2026</t>
  </si>
  <si>
    <t>136/BK-2026</t>
  </si>
  <si>
    <t>Dương Thị Hồng Khoa</t>
  </si>
  <si>
    <t>0828399866</t>
  </si>
  <si>
    <t>137/BK-2026</t>
  </si>
  <si>
    <t xml:space="preserve">Hồ sơ lệch ranh </t>
  </si>
  <si>
    <t>138/BK-2026</t>
  </si>
  <si>
    <t>Phạm Khánh Hùng</t>
  </si>
  <si>
    <t>139/BK-2026</t>
  </si>
  <si>
    <t>Đỗ Đình Hưng</t>
  </si>
  <si>
    <t>140/BK-2026</t>
  </si>
  <si>
    <t>Thạch Thị Kim Loan</t>
  </si>
  <si>
    <t>0986951917</t>
  </si>
  <si>
    <t>141/BK-2026</t>
  </si>
  <si>
    <t>Nguyễn Thị Ninh</t>
  </si>
  <si>
    <t>0919362135</t>
  </si>
  <si>
    <t>Đợi trao đổi, sai hiện trạng</t>
  </si>
  <si>
    <t>142/BK-2026</t>
  </si>
  <si>
    <t>143/BK-2026</t>
  </si>
  <si>
    <t>Tạ Ngọc Toàn</t>
  </si>
  <si>
    <t>sai hiện trạng</t>
  </si>
  <si>
    <t>144/BK-2026</t>
  </si>
  <si>
    <t>Nguyễn Thanh Thương</t>
  </si>
  <si>
    <t xml:space="preserve">Kim Anh nhà thầu </t>
  </si>
  <si>
    <t>0974776350</t>
  </si>
  <si>
    <t>Hồ sơ của anh Kim Anh thầu xây dựng</t>
  </si>
  <si>
    <t>145/BK-2026</t>
  </si>
  <si>
    <t>Lê Thị Hải</t>
  </si>
  <si>
    <t>Anh Nhựt DV</t>
  </si>
  <si>
    <t>146/BK-2026</t>
  </si>
  <si>
    <t>Lương Thị Triều Lưu-Lê Thành Đồng</t>
  </si>
  <si>
    <t>0949170123</t>
  </si>
  <si>
    <t>Phải cắm trụ</t>
  </si>
  <si>
    <t>147/BK-2026</t>
  </si>
  <si>
    <t>Bản tách thửa số 2</t>
  </si>
  <si>
    <t>148/BK-2026</t>
  </si>
  <si>
    <t>Lê Thị Bảy</t>
  </si>
  <si>
    <t>0819010000</t>
  </si>
  <si>
    <t>149/BK-2026</t>
  </si>
  <si>
    <t>Đinh Thị Hoài Thương</t>
  </si>
  <si>
    <t>0943811118</t>
  </si>
  <si>
    <t>150/BK-2026</t>
  </si>
  <si>
    <t>151/BK-2026</t>
  </si>
  <si>
    <t>Nguyễn Văn Chính</t>
  </si>
  <si>
    <t>152/BK-2026</t>
  </si>
  <si>
    <t>153/BK-2026</t>
  </si>
  <si>
    <t>Lương Thị Triều Lưu</t>
  </si>
  <si>
    <t>154/BK-2026</t>
  </si>
  <si>
    <t>Trần Trung Tín 1</t>
  </si>
  <si>
    <t>đã vẽ xong chờ tháo dỡ xong hiện trạng</t>
  </si>
  <si>
    <t>156/BK-2026</t>
  </si>
  <si>
    <t>Nguyễn Minh Tây</t>
  </si>
  <si>
    <t>157/BK-2026</t>
  </si>
  <si>
    <t>158/BK-2026</t>
  </si>
  <si>
    <t>159/BK-2026</t>
  </si>
  <si>
    <t>Nguyễn Thị Bé</t>
  </si>
  <si>
    <t>160/BK-2026</t>
  </si>
  <si>
    <t>Nguyễn Thị Kim Anh</t>
  </si>
  <si>
    <t>161/BK-2026</t>
  </si>
  <si>
    <t>Nguyễn Thị Kim Phượng</t>
  </si>
  <si>
    <t>162/BK-2026</t>
  </si>
  <si>
    <t>Nguyễn  Thị Thúy Nga</t>
  </si>
  <si>
    <t>163/BK-2026</t>
  </si>
  <si>
    <t>Nguyễn Thị Anh Đào</t>
  </si>
  <si>
    <t>164/BK-2026</t>
  </si>
  <si>
    <t>Nguyễn thị Anh Đào 2</t>
  </si>
  <si>
    <t>HS đo GPS</t>
  </si>
  <si>
    <t>165/BK-2026</t>
  </si>
  <si>
    <t>Bùi Ngọc Phượng</t>
  </si>
  <si>
    <t>0932883232 - 0987430943</t>
  </si>
  <si>
    <t>166/BK-2026</t>
  </si>
  <si>
    <t>Trần Minh An</t>
  </si>
  <si>
    <t>167/BK-2026</t>
  </si>
  <si>
    <t>Nguyễn Khắc Thọ</t>
  </si>
  <si>
    <t>Hỗ trợ nộp hồ sơ</t>
  </si>
  <si>
    <t>Nộp hs  lần 3 (nộp chính thức)</t>
  </si>
  <si>
    <t>168/BK-2026</t>
  </si>
  <si>
    <t>Trần Thị Tuyết Nhung</t>
  </si>
  <si>
    <t>Hở ranh chờ trao đổii</t>
  </si>
  <si>
    <t>169/BK-2026</t>
  </si>
  <si>
    <t>Đi với chi nhánh kiểm tra hiện trạng</t>
  </si>
  <si>
    <t>170/BK-2026</t>
  </si>
  <si>
    <t>Đi với chi nhánh kiểm tra chồng lấn ranh</t>
  </si>
  <si>
    <t>171/BK-2026</t>
  </si>
  <si>
    <t xml:space="preserve">Đặng Văn Lẹ </t>
  </si>
  <si>
    <t>172/BK-2026</t>
  </si>
  <si>
    <t xml:space="preserve">Nguyễn Doãn Tuấn </t>
  </si>
  <si>
    <t>173/BK-2026</t>
  </si>
  <si>
    <t>Phan Thị Mộng Thu</t>
  </si>
  <si>
    <t>0903855261</t>
  </si>
  <si>
    <t>Hiện trạng lớn hơn GCN</t>
  </si>
  <si>
    <t>174/BK-2026</t>
  </si>
  <si>
    <t xml:space="preserve">Nguyễn Thanh Thương - Hàng Thị Thanh Tuyền </t>
  </si>
  <si>
    <t xml:space="preserve">zalo Kim Anh </t>
  </si>
  <si>
    <t>175/BK-2026</t>
  </si>
  <si>
    <t xml:space="preserve">Đinh Văn Tươi - Dương Thị Thanh Tuyền </t>
  </si>
  <si>
    <t>176/BK-2026</t>
  </si>
  <si>
    <t xml:space="preserve">Lê Thanh Tú - Trần Hồng Đào </t>
  </si>
  <si>
    <t xml:space="preserve">zalo Thanh Tú </t>
  </si>
  <si>
    <t>177/BK-2026</t>
  </si>
  <si>
    <t>Lê Quang 1</t>
  </si>
  <si>
    <t>Quốc Thương nhà thầu</t>
  </si>
  <si>
    <t xml:space="preserve">zalo Quốc Thương </t>
  </si>
  <si>
    <t>178/BK-2026</t>
  </si>
  <si>
    <t xml:space="preserve">Lê Quang 2 </t>
  </si>
  <si>
    <t>179/BK-2026</t>
  </si>
  <si>
    <t>Lê Quang 3</t>
  </si>
  <si>
    <t>181/BK-2026</t>
  </si>
  <si>
    <t>Nguyễn Hoàng Dương</t>
  </si>
  <si>
    <t>0852766889</t>
  </si>
  <si>
    <t>182/BK-2026</t>
  </si>
  <si>
    <t>Nguyễn Thị Năm</t>
  </si>
  <si>
    <t>0907904955</t>
  </si>
  <si>
    <t>183/BK-2026</t>
  </si>
  <si>
    <t>Trần Quang Nghĩa</t>
  </si>
  <si>
    <t>184/BK-2026</t>
  </si>
  <si>
    <t>185/BK-2026</t>
  </si>
  <si>
    <t>Phạm Mạnh Cường</t>
  </si>
  <si>
    <t>186/BK-2026</t>
  </si>
  <si>
    <t>187/BK-2026</t>
  </si>
  <si>
    <t>Trần Văn Tuấn</t>
  </si>
  <si>
    <t>Sửa lại phường lái thiêu thuận an</t>
  </si>
  <si>
    <t>188/BK-2026</t>
  </si>
  <si>
    <t>189/BK-2026</t>
  </si>
  <si>
    <t>Đinh Thị Ngọc Trinh- Trần Quang Nghĩa</t>
  </si>
  <si>
    <t>zalo Quỳnh Ann</t>
  </si>
  <si>
    <t>sai hien trang, gaim dat tang san xd</t>
  </si>
  <si>
    <t>190/BK-2026</t>
  </si>
  <si>
    <t>Trần Minh Bằng</t>
  </si>
  <si>
    <t>191/BK-2026</t>
  </si>
  <si>
    <t>Võ Minh Tâm</t>
  </si>
  <si>
    <t>192/BK-2026</t>
  </si>
  <si>
    <t>193/BK-2026</t>
  </si>
  <si>
    <t>Hồ sơ cấp đổi tập xử lý</t>
  </si>
  <si>
    <t>194/BK-2026</t>
  </si>
  <si>
    <t>Phạm Công Chánh</t>
  </si>
  <si>
    <t>195/BK-2026</t>
  </si>
  <si>
    <t>196/BK-2026</t>
  </si>
  <si>
    <t>Nguyễn Thị Vân Anh</t>
  </si>
  <si>
    <t>094 6813269</t>
  </si>
  <si>
    <t>197/BK-2026</t>
  </si>
  <si>
    <t>Hồ Phước Hùng</t>
  </si>
  <si>
    <t>Cô Huệ</t>
  </si>
  <si>
    <t>Cầu thang lên mái</t>
  </si>
  <si>
    <t>198/BK-2026</t>
  </si>
  <si>
    <t>Phạm Chí Cường</t>
  </si>
  <si>
    <t>199/BK-2026</t>
  </si>
  <si>
    <t>Phạm Đức Toại</t>
  </si>
  <si>
    <t>200/BK-2026</t>
  </si>
  <si>
    <t>Nhận bản vẽ đạt</t>
  </si>
  <si>
    <t>201/BK-2026</t>
  </si>
  <si>
    <t>Trần Thanh Song</t>
  </si>
  <si>
    <t>202/BK-2026</t>
  </si>
  <si>
    <t>203/BK-2026</t>
  </si>
  <si>
    <t>Vũ Hoàng Hải</t>
  </si>
  <si>
    <t>0984422943</t>
  </si>
  <si>
    <t>204/BK-2026</t>
  </si>
  <si>
    <t>205/BK-2026</t>
  </si>
  <si>
    <t>Lúc trước đo vẽ XDDT, giờ vẽ cấp đổi</t>
  </si>
  <si>
    <t>206/BK-2026</t>
  </si>
  <si>
    <t>Lê Ngọc Nhi</t>
  </si>
  <si>
    <t>207/BK-2026</t>
  </si>
  <si>
    <t>Mai Thị Hoa</t>
  </si>
  <si>
    <t>208/BK-2026</t>
  </si>
  <si>
    <t>209/BK-2026</t>
  </si>
  <si>
    <t>Đỗ Văn Nhỏ</t>
  </si>
  <si>
    <t>Chú Xuyên DV</t>
  </si>
  <si>
    <t>210/BK-2026</t>
  </si>
  <si>
    <t>Lê Văn Trung</t>
  </si>
  <si>
    <t>211/BK-2026</t>
  </si>
  <si>
    <t>Nguyễn Tuấn Cương</t>
  </si>
  <si>
    <t>212/BK-2026</t>
  </si>
  <si>
    <t>Hồ Tuấn Tài</t>
  </si>
  <si>
    <t>Anh Nam DV</t>
  </si>
  <si>
    <t>213/BK-2026</t>
  </si>
  <si>
    <t>Ngô Uyên Uyên</t>
  </si>
  <si>
    <t>Kiều Oanh DV</t>
  </si>
  <si>
    <t>214/BK-2026</t>
  </si>
  <si>
    <t>Nguyễn Thị Phước</t>
  </si>
  <si>
    <t>Điều chỉnh bản vẽ. Hồ sơ cấp lần đầu nộp phường</t>
  </si>
  <si>
    <t>Đẫ vẽ xong</t>
  </si>
  <si>
    <t>215/BK-2026</t>
  </si>
  <si>
    <t>Nguyễn Văn Lâu</t>
  </si>
  <si>
    <t>216/BK-2026</t>
  </si>
  <si>
    <t>Đinh Quang Hưng</t>
  </si>
  <si>
    <t>217/BK-2026</t>
  </si>
  <si>
    <t>Huỳnh Lê Thanh Phương</t>
  </si>
  <si>
    <t>hồ sơ lệch ranh sai hiện trạng chờ phương án</t>
  </si>
  <si>
    <t>218/BK-2026</t>
  </si>
  <si>
    <t xml:space="preserve">Bùi Ngọc Phượng </t>
  </si>
  <si>
    <t>Anh Khiêm DV</t>
  </si>
  <si>
    <t>zalo: Bách Khoa x Anh Khiêm</t>
  </si>
  <si>
    <t>219/BK-2026</t>
  </si>
  <si>
    <t>220/BK-2026</t>
  </si>
  <si>
    <t>Nguyễn Bá Hùng</t>
  </si>
  <si>
    <t>Hồ sơ Giám Đốc</t>
  </si>
  <si>
    <t>221/BK-2026</t>
  </si>
  <si>
    <t>222/BK-2026</t>
  </si>
  <si>
    <t>Trần Lệnh Phú</t>
  </si>
  <si>
    <t>zalo: Lê Viết Hồng</t>
  </si>
  <si>
    <t>223/BK-2026</t>
  </si>
  <si>
    <t xml:space="preserve">Lê Thị Hải </t>
  </si>
  <si>
    <t>zalo Bách Khoa x Anh Nhựt</t>
  </si>
  <si>
    <t>224/BK-2026</t>
  </si>
  <si>
    <t>Hoàng nhà đất đầu tư</t>
  </si>
  <si>
    <t>225/BK-2026</t>
  </si>
  <si>
    <t>226/BK-2026</t>
  </si>
  <si>
    <t>Trần Trung Tín(154-155)</t>
  </si>
  <si>
    <t>2 LÔ TÁCH THƯA</t>
  </si>
  <si>
    <t>227/BK-2026</t>
  </si>
  <si>
    <t>228/BK-2026</t>
  </si>
  <si>
    <t>Lưu Hùng Ngọc -Lê Thị Như</t>
  </si>
  <si>
    <t>Đất giảm dt (nhà sai hiện trạng). Đợi phương án</t>
  </si>
  <si>
    <t>229/BK-2026</t>
  </si>
  <si>
    <t>Nguyễn Hữu Thọ</t>
  </si>
  <si>
    <t>230/BK-2026</t>
  </si>
  <si>
    <t>Nguyễn Hữu Thiện</t>
  </si>
  <si>
    <t>231/BK-2026</t>
  </si>
  <si>
    <t>Đặng Văn Phát</t>
  </si>
  <si>
    <t>Diện tích lớn hơn GCN, sai hiện trạng</t>
  </si>
  <si>
    <t>232/BK-2026</t>
  </si>
  <si>
    <t>0962027460</t>
  </si>
  <si>
    <t>Giảm diện tích (cấp đổi xong hợp thửa)</t>
  </si>
  <si>
    <t>233/BK-2026</t>
  </si>
  <si>
    <t>234/BK-2026</t>
  </si>
  <si>
    <t>Lệch ranh, chờ phương án</t>
  </si>
  <si>
    <t>235/BK-2026</t>
  </si>
  <si>
    <t>Trần Thế Huynh</t>
  </si>
  <si>
    <t>236/BK-2026</t>
  </si>
  <si>
    <t>Xion Võ</t>
  </si>
  <si>
    <t>3 Tầng+1 lô đất trống</t>
  </si>
  <si>
    <t>237/BK-2026</t>
  </si>
  <si>
    <t>Nguyễn Thị Tố Như</t>
  </si>
  <si>
    <t>238/BK-2026</t>
  </si>
  <si>
    <t>Nguyễn Ngọc Tráng</t>
  </si>
  <si>
    <t>239/BK-2026</t>
  </si>
  <si>
    <t>Bùi Ngươn Phong</t>
  </si>
  <si>
    <t>240/BK-2026</t>
  </si>
  <si>
    <t>241/BK-2026</t>
  </si>
  <si>
    <t xml:space="preserve">Trần Văn Dự - Trương Thị Kim Chi </t>
  </si>
  <si>
    <t>zalo Bách Khoa x anh Định</t>
  </si>
  <si>
    <t>242/BK-2026</t>
  </si>
  <si>
    <t xml:space="preserve">Liêu Tú Hoa </t>
  </si>
  <si>
    <t>Bách Khoa x Anh Đạt VietphatLand</t>
  </si>
  <si>
    <t>243/BK-2026</t>
  </si>
  <si>
    <t xml:space="preserve">Đỗ Văn Nhỏ </t>
  </si>
  <si>
    <t>BÁCH KHOA X Chú Xuyên ( hs đỗ văn nhỏ)</t>
  </si>
  <si>
    <t>245/BK-2026</t>
  </si>
  <si>
    <t>246/BK-2026</t>
  </si>
  <si>
    <t>Nguyễn Văn Tuyến</t>
  </si>
  <si>
    <t>247/BK-2026</t>
  </si>
  <si>
    <t>Kim Anh nhà thầu</t>
  </si>
  <si>
    <t>248/BK-2026</t>
  </si>
  <si>
    <t>Trương Thị Thu Hằng</t>
  </si>
  <si>
    <t>249/BK-2026</t>
  </si>
  <si>
    <t xml:space="preserve">Tạ Quốc Dũng - Tạ Dịu Thương </t>
  </si>
  <si>
    <t>Chị Hà My</t>
  </si>
  <si>
    <t>Bách Khoa x XPXD Anh Dũng Bình Thạnh (zalo Ha My)</t>
  </si>
  <si>
    <t>250/BK-2026</t>
  </si>
  <si>
    <t>251/BK-2026</t>
  </si>
  <si>
    <t>Cao Thị Mỹ Phú</t>
  </si>
  <si>
    <t>252/BK-2026</t>
  </si>
  <si>
    <t>Đào Hoàng Lân</t>
  </si>
  <si>
    <t>253/BK-2026</t>
  </si>
  <si>
    <t>254/BK-2026</t>
  </si>
  <si>
    <t>Nguyễn Văn Rượu</t>
  </si>
  <si>
    <t>ĐÃ VE XONG CHO CAM KET DE NOP</t>
  </si>
  <si>
    <t>255/BK-2026</t>
  </si>
  <si>
    <t xml:space="preserve">Xin phép Cần Giờ </t>
  </si>
  <si>
    <t>256/BK-2026</t>
  </si>
  <si>
    <t>XDDT Hoàng Vũ 1</t>
  </si>
  <si>
    <t>0799888444</t>
  </si>
  <si>
    <t>257/BK-2026</t>
  </si>
  <si>
    <t>XDDT Phạm Vũ</t>
  </si>
  <si>
    <t>258/BK-2026</t>
  </si>
  <si>
    <t>XDDT Pham Vũ 3</t>
  </si>
  <si>
    <t>259/BK-2026</t>
  </si>
  <si>
    <t>Nguyễn Trọng Ngân</t>
  </si>
  <si>
    <t>0867913872</t>
  </si>
  <si>
    <t>260/BK-2026</t>
  </si>
  <si>
    <t>Vũ Ngọc Đức</t>
  </si>
  <si>
    <t>261/BK-2026</t>
  </si>
  <si>
    <t>Nguyễn Vĩnh Thọ</t>
  </si>
  <si>
    <t>262/BK-2026</t>
  </si>
  <si>
    <t>Đỗ Ngọc Sơn</t>
  </si>
  <si>
    <t>0909302828</t>
  </si>
  <si>
    <t>263/BK-2026</t>
  </si>
  <si>
    <t>Đào Thị Hoa</t>
  </si>
  <si>
    <t>264/BK-2026</t>
  </si>
  <si>
    <t>265/BK-2026</t>
  </si>
  <si>
    <t>Đỗ Thị Nga</t>
  </si>
  <si>
    <t>0982402878( chị thúy dv)</t>
  </si>
  <si>
    <t>Chị Thúy DV</t>
  </si>
  <si>
    <t>266/BK-2026</t>
  </si>
  <si>
    <t>Nguyễn Thị Thanh Nga</t>
  </si>
  <si>
    <t>267/BK-2026</t>
  </si>
  <si>
    <t>Võ Trí Nguyên</t>
  </si>
  <si>
    <t>268/BK-2026</t>
  </si>
  <si>
    <t>Phạm Cao Thắng 1</t>
  </si>
  <si>
    <t>269/BK-2026</t>
  </si>
  <si>
    <t>Phạm Cao Thắng 2</t>
  </si>
  <si>
    <t>270/BK-2026</t>
  </si>
  <si>
    <t>Trương Vũ</t>
  </si>
  <si>
    <t>chờ trao doi phuong an với chủ đất để vẽ</t>
  </si>
  <si>
    <t>Đã vẽ xong chờ nộp hồ sơ</t>
  </si>
  <si>
    <t>271/BK-2026</t>
  </si>
  <si>
    <t>Nguyễn Thị Cẩm Nhung</t>
  </si>
  <si>
    <t>0908616729</t>
  </si>
  <si>
    <t>272/BK-2026</t>
  </si>
  <si>
    <t>Tôn Nữ Chi Giao</t>
  </si>
  <si>
    <t>zalo Hồng Nguyễn</t>
  </si>
  <si>
    <t>273/BK-2026</t>
  </si>
  <si>
    <t>274/BK-2026</t>
  </si>
  <si>
    <t>Đặng Hiếu Hiền</t>
  </si>
  <si>
    <t>275/BK-2026</t>
  </si>
  <si>
    <t>Nguyễn Thị Ngọc</t>
  </si>
  <si>
    <t>zalo Huu Hoanh Nguyen</t>
  </si>
  <si>
    <t>276/BK-2026</t>
  </si>
  <si>
    <t>Ngô Văn Minh</t>
  </si>
  <si>
    <t>277/BK-2026</t>
  </si>
  <si>
    <t>Nguyễn Văn Tiến</t>
  </si>
  <si>
    <t>278/BK-2026</t>
  </si>
  <si>
    <t>279/BK-2026</t>
  </si>
  <si>
    <t>Anh Long Luật sư</t>
  </si>
  <si>
    <t>280/BK-2026</t>
  </si>
  <si>
    <t>Trần Thị Diễm Thúy</t>
  </si>
  <si>
    <t>Luân Đình Lê dịch vụ</t>
  </si>
  <si>
    <t>281/BK-2026</t>
  </si>
  <si>
    <t>Phạm Xuân Tình</t>
  </si>
  <si>
    <t>282/BK-2026</t>
  </si>
  <si>
    <t>Phạm Kim Phụng</t>
  </si>
  <si>
    <t>283/BK-2026</t>
  </si>
  <si>
    <t>Lê Văn Mai - Phạm Thị Soi</t>
  </si>
  <si>
    <t>284/BK-2026</t>
  </si>
  <si>
    <t>Phạm Thị Yến</t>
  </si>
  <si>
    <t>285/BK-2026</t>
  </si>
  <si>
    <t>Bùi Thị Ngọc Tâm</t>
  </si>
  <si>
    <t>zalo Kim Chi DV</t>
  </si>
  <si>
    <t>286/BK-2026</t>
  </si>
  <si>
    <t>Phạm Văn Dũng</t>
  </si>
  <si>
    <t>0971918868</t>
  </si>
  <si>
    <t>287/BK-2026</t>
  </si>
  <si>
    <t>Nguyễn Đình Kỳ</t>
  </si>
  <si>
    <t>0917292029</t>
  </si>
  <si>
    <t>288/BK-2026</t>
  </si>
  <si>
    <t>289/BK-2026</t>
  </si>
  <si>
    <t>Nguyễn Thị Trà Linh - 528</t>
  </si>
  <si>
    <t>Bách Khoa x Anh Nhựt</t>
  </si>
  <si>
    <t>290/BK-2026</t>
  </si>
  <si>
    <t>Nguyễn Thị Trà Linh - 529</t>
  </si>
  <si>
    <t>291/BK-2026</t>
  </si>
  <si>
    <t>292/BK-2026</t>
  </si>
  <si>
    <t>Nguyễn Thị Phúc Long</t>
  </si>
  <si>
    <t>0359415235( Hằng).0974266258( HIỀN)</t>
  </si>
  <si>
    <t>cho trich luc, sai hien trang</t>
  </si>
  <si>
    <t>293/BK-2026</t>
  </si>
  <si>
    <t>294/BK-2026</t>
  </si>
  <si>
    <t>Trần Mai Thanh</t>
  </si>
  <si>
    <t>0913809284 ( chị thanh bạn chị hồng)</t>
  </si>
  <si>
    <t>295/BK-2026</t>
  </si>
  <si>
    <t>0913809284 (chị thanh bạn chị hông dv)</t>
  </si>
  <si>
    <t>296/BK-2026</t>
  </si>
  <si>
    <t>Ngyễn Hoàng Duy</t>
  </si>
  <si>
    <t>0353737678</t>
  </si>
  <si>
    <t>297/BK-2026</t>
  </si>
  <si>
    <t>298/BK-2026</t>
  </si>
  <si>
    <t>299/BK-2026</t>
  </si>
  <si>
    <t>Tô Duy Nam</t>
  </si>
  <si>
    <t>300/BK-2026</t>
  </si>
  <si>
    <t>301/BK-2026</t>
  </si>
  <si>
    <t>302/BK-2026</t>
  </si>
  <si>
    <t xml:space="preserve">Nguyễn Ngọc Tráng </t>
  </si>
  <si>
    <t>303/BK-2026</t>
  </si>
  <si>
    <t>Lê Viết Dụng</t>
  </si>
  <si>
    <t>304/BK-2026</t>
  </si>
  <si>
    <t xml:space="preserve">Hà Đăng Hiền </t>
  </si>
  <si>
    <t>Bách Khoa x chú Hiền</t>
  </si>
  <si>
    <t>305/BK-2026</t>
  </si>
  <si>
    <t>Hồ Đình Cường 744</t>
  </si>
  <si>
    <t>306/BK-2026</t>
  </si>
  <si>
    <t>307/BK-2026</t>
  </si>
  <si>
    <t>Hồ Đình Cường 894</t>
  </si>
  <si>
    <t>308/BK-2026</t>
  </si>
  <si>
    <t>309/BK-2026</t>
  </si>
  <si>
    <t>310/BK-2026</t>
  </si>
  <si>
    <t>Nguyễn Thị Bích Vân</t>
  </si>
  <si>
    <t>311/BK-2026</t>
  </si>
  <si>
    <t>Vũ Thanh Hường</t>
  </si>
  <si>
    <t>sai hien trạng,giam dien tich san xay dung</t>
  </si>
  <si>
    <t>chờ trích lục GPĐC, VẼ GIẢM</t>
  </si>
  <si>
    <t>312/BK-2026</t>
  </si>
  <si>
    <t xml:space="preserve">Phạm Thị Yến </t>
  </si>
  <si>
    <t>313/BK-2026</t>
  </si>
  <si>
    <t>Trần Văn Hiếu-Nguyễn Thị Phương Hoài</t>
  </si>
  <si>
    <t>314/BK-2026</t>
  </si>
  <si>
    <t>315/BK-2026</t>
  </si>
  <si>
    <t xml:space="preserve">Điều chỉnh Lê Quang Khoa lần 2 </t>
  </si>
  <si>
    <t>zalo: Bách Khoa x Anh Đạt VietphatLand</t>
  </si>
  <si>
    <t>316/BK-2026</t>
  </si>
  <si>
    <t>Phạm Xuân Tân</t>
  </si>
  <si>
    <t>317/BK-2026</t>
  </si>
  <si>
    <t>Lê Hồng Thư</t>
  </si>
  <si>
    <t>318/BK-2026</t>
  </si>
  <si>
    <t>Đặng Lệ Thủy</t>
  </si>
  <si>
    <t>319/BK-2026</t>
  </si>
  <si>
    <t>Nguyễn Văn Bồn-Nguyễn Thị Thu Hà</t>
  </si>
  <si>
    <t>Hiên lớn hơn, đất giảm 0.5m2</t>
  </si>
  <si>
    <t>Đợi chủ nhà chôt (Nhà sai)</t>
  </si>
  <si>
    <t>320/BK-2026</t>
  </si>
  <si>
    <t>321/BK-2026</t>
  </si>
  <si>
    <t>Ngô Xuân Hữu</t>
  </si>
  <si>
    <t>Vẽ theo nhà mẫu, chờ trích lục để nộp</t>
  </si>
  <si>
    <t>322/BK-2026</t>
  </si>
  <si>
    <t>323/BK-2026</t>
  </si>
  <si>
    <t>Võ Chí Hải 1</t>
  </si>
  <si>
    <t>0818179779</t>
  </si>
  <si>
    <t>324/BK-2026</t>
  </si>
  <si>
    <t>Võ Chí Hải 2</t>
  </si>
  <si>
    <t>325/BK-2026</t>
  </si>
  <si>
    <t>326/BK-2026</t>
  </si>
  <si>
    <t>Nguyễn Thanh Hải</t>
  </si>
  <si>
    <t>0902547221</t>
  </si>
  <si>
    <t>327/BK-2026</t>
  </si>
  <si>
    <t xml:space="preserve">Đỗ Thị Nga </t>
  </si>
  <si>
    <t>328/BK-2026</t>
  </si>
  <si>
    <t>Nguyễn Thanh Hà 1</t>
  </si>
  <si>
    <t>0903661893 ( cô hà)</t>
  </si>
  <si>
    <t>329/BK-2026</t>
  </si>
  <si>
    <t>Nguyễn Thanh Hà 2</t>
  </si>
  <si>
    <t>0903661893 (cô hà)</t>
  </si>
  <si>
    <t>330/BK-2026</t>
  </si>
  <si>
    <t>Nguyễn Thanh Hà</t>
  </si>
  <si>
    <t>0903661893</t>
  </si>
  <si>
    <t>331/BK-2026</t>
  </si>
  <si>
    <t>Đặng Xuân Ba</t>
  </si>
  <si>
    <t>332/BK-2026</t>
  </si>
  <si>
    <t>333/BK-2026</t>
  </si>
  <si>
    <t>XDDT A Thọ Cty Nhân Đức</t>
  </si>
  <si>
    <t>0942448008</t>
  </si>
  <si>
    <t>Đất hơn 1500m2</t>
  </si>
  <si>
    <t>334/BK-2026</t>
  </si>
  <si>
    <t>Tạ Quốc Dũng</t>
  </si>
  <si>
    <t>335/BK-2026</t>
  </si>
  <si>
    <t>336/BK-2026</t>
  </si>
  <si>
    <t>điều chỉnh Lê Thị Thu Hiền</t>
  </si>
  <si>
    <t>337/BK-2026</t>
  </si>
  <si>
    <t>Trần Trung Tín</t>
  </si>
  <si>
    <t>338/BK-2026</t>
  </si>
  <si>
    <t>339/BK-2026</t>
  </si>
  <si>
    <t>Trần Thị Yến Điệp</t>
  </si>
  <si>
    <t>sai hiện trạng đất lớn hơn GCN</t>
  </si>
  <si>
    <t>Đát lớn hơn GCN VE THEO SO</t>
  </si>
  <si>
    <t>340/BK-2026</t>
  </si>
  <si>
    <t>Trịnh Thị Tâm</t>
  </si>
  <si>
    <t xml:space="preserve"> lLech ranh, sai hiên trạng cho phương án</t>
  </si>
  <si>
    <t>lệch ranh chờ phương an</t>
  </si>
  <si>
    <t>341/BK-2026</t>
  </si>
  <si>
    <t>Cao Bằng Giang</t>
  </si>
  <si>
    <t>342/BK-2026</t>
  </si>
  <si>
    <t>Nguyễn Tấn Tài</t>
  </si>
  <si>
    <t>0903661893( cô hà)</t>
  </si>
  <si>
    <t>343/BK-2026</t>
  </si>
  <si>
    <t>A Dũng Bình Thạnh (XPXD cty)</t>
  </si>
  <si>
    <t>XPXD A Dũng Bình Thạnh</t>
  </si>
  <si>
    <t>Giảm 0.6m2 đất</t>
  </si>
  <si>
    <t>344/BK-2026</t>
  </si>
  <si>
    <t>Lê Thị Thùy Tiên</t>
  </si>
  <si>
    <t>345/BK-2026</t>
  </si>
  <si>
    <t>ZALO Lê Văn Lên</t>
  </si>
  <si>
    <t>346/BK-2026</t>
  </si>
  <si>
    <t>Lê Thị Kim Nguyệt</t>
  </si>
  <si>
    <t>349/BK-2026</t>
  </si>
  <si>
    <t>Nguyễn Văn Hồng</t>
  </si>
  <si>
    <t>348/BK-2026</t>
  </si>
  <si>
    <t>Hồ Thị Hòa</t>
  </si>
  <si>
    <t>347/BK-2026</t>
  </si>
  <si>
    <t>Nguyễn Văn Đâu</t>
  </si>
  <si>
    <t>350/BK-2026</t>
  </si>
  <si>
    <t>351/BK-2026</t>
  </si>
  <si>
    <t>352/BK-2026</t>
  </si>
  <si>
    <t>Đặng Thị Ba (Hso Quận 4)</t>
  </si>
  <si>
    <t>0903868869</t>
  </si>
  <si>
    <t>353/BK-2026</t>
  </si>
  <si>
    <t>Lê Chí Việt</t>
  </si>
  <si>
    <t>0935436593</t>
  </si>
  <si>
    <t>354/BK-2026</t>
  </si>
  <si>
    <t>355/BK-2026</t>
  </si>
  <si>
    <t xml:space="preserve">Nguyễn Thanh Thương </t>
  </si>
  <si>
    <t>356/BK-2026</t>
  </si>
  <si>
    <t>Bùi Anh Dũng</t>
  </si>
  <si>
    <t xml:space="preserve"> nhà dang xây thô chưa hoàn thiện</t>
  </si>
  <si>
    <t>357/BK-2026</t>
  </si>
  <si>
    <t>nhà chưa hoàn thiện</t>
  </si>
  <si>
    <t>358/BK-2026</t>
  </si>
  <si>
    <t xml:space="preserve">Nguyễn Thị Hoa </t>
  </si>
  <si>
    <t>359/BK-2026</t>
  </si>
  <si>
    <t>Đặng Công Hoán</t>
  </si>
  <si>
    <t>Zalo HoanDC</t>
  </si>
  <si>
    <t>360/BK-2026</t>
  </si>
  <si>
    <t>Lê Quang Vinh</t>
  </si>
  <si>
    <t>361/BK-2026</t>
  </si>
  <si>
    <t>Nguyễn Văn Huyên</t>
  </si>
  <si>
    <t>coc sắt xịt sơn</t>
  </si>
  <si>
    <t>362/BK-2026</t>
  </si>
  <si>
    <t>363/BK-2026</t>
  </si>
  <si>
    <t xml:space="preserve">Điều Chỉnh Nguyễn Thanh Thương - Hàng Thị Thanh Tuyền </t>
  </si>
  <si>
    <t>zalo: Bách Khoa x Anh Kim Anh</t>
  </si>
  <si>
    <t>364/BK-2026</t>
  </si>
  <si>
    <t xml:space="preserve">Phạm Sỹ Đóa </t>
  </si>
  <si>
    <t>365/BK-2026</t>
  </si>
  <si>
    <t xml:space="preserve">Hồ Trọng Dũng </t>
  </si>
  <si>
    <t>Bách Khoa x A Tùng BĐS</t>
  </si>
  <si>
    <t>366/BK-2026</t>
  </si>
  <si>
    <t xml:space="preserve">Điều Chỉnh Lê Thị Thu Hiền </t>
  </si>
  <si>
    <t>367/BK-2026</t>
  </si>
  <si>
    <t>368/BK-2026</t>
  </si>
  <si>
    <t>Bùi Văn Linh</t>
  </si>
  <si>
    <t>369/BK-2026</t>
  </si>
  <si>
    <t>ĐC Đỗ Hoàng Sang</t>
  </si>
  <si>
    <t>370/BK-2026</t>
  </si>
  <si>
    <t xml:space="preserve"> Lê Quang Vinh</t>
  </si>
  <si>
    <t>371/BK-2026</t>
  </si>
  <si>
    <t>372/BK-2026</t>
  </si>
  <si>
    <t>373/BK-2026</t>
  </si>
  <si>
    <t>Huỳnh Thị Diễm Trân</t>
  </si>
  <si>
    <t>Đã cắm 4 trụ nhưng phát sinh tranh chấp với hàng xóm</t>
  </si>
  <si>
    <t>374/BK-2026</t>
  </si>
  <si>
    <t>Đỗ Thị Ánh Hằng</t>
  </si>
  <si>
    <t>375/BK-2026</t>
  </si>
  <si>
    <t>SHĐ Bản vẽ 286</t>
  </si>
  <si>
    <t>376/BK-2026</t>
  </si>
  <si>
    <t>377/BK-2026</t>
  </si>
  <si>
    <t>Bùi ngươn Quới</t>
  </si>
  <si>
    <t>Hồ sơ hợp MrTập xử lý</t>
  </si>
  <si>
    <t>378/BK-2026</t>
  </si>
  <si>
    <t>Hồ sơ Tập xử lý</t>
  </si>
  <si>
    <t>379/BK-2026</t>
  </si>
  <si>
    <t>380/BK-2026</t>
  </si>
  <si>
    <t>Bùi Ngươn Quới</t>
  </si>
  <si>
    <t>381/BK-2026</t>
  </si>
  <si>
    <t xml:space="preserve">Nguyễn Thanh Hải </t>
  </si>
  <si>
    <t>382/BK-2026</t>
  </si>
  <si>
    <t>Nguyễn Văn Đức</t>
  </si>
  <si>
    <t>0903913047</t>
  </si>
  <si>
    <t/>
  </si>
  <si>
    <t>383/BK-2026</t>
  </si>
  <si>
    <t>Nguyễn Ngọc Thu 1</t>
  </si>
  <si>
    <t>Đợi chốt giá</t>
  </si>
  <si>
    <t>384/BK-2026</t>
  </si>
  <si>
    <t>Nguyễn Ngọc Thu 2</t>
  </si>
  <si>
    <t>385/BK-2026</t>
  </si>
  <si>
    <t>Phạm Hồng Quang-Nguyễn Thị Dung</t>
  </si>
  <si>
    <t>Đo GPS + Cắm mốc</t>
  </si>
  <si>
    <t>386/BK-2026</t>
  </si>
  <si>
    <t>phạm Hồng Quang</t>
  </si>
  <si>
    <t>387/BK-2026</t>
  </si>
  <si>
    <t>Phạm Hồng Quang</t>
  </si>
  <si>
    <t>388/BK-2026</t>
  </si>
  <si>
    <t>Hồ Thị Tiến</t>
  </si>
  <si>
    <t>sai hiện trạng( giảm diện tích đất, ban công thành phòng, phát sinh bac công) dự kiến đo thêm GPS</t>
  </si>
  <si>
    <t>389/BK-2026</t>
  </si>
  <si>
    <t>XDDT An Khánh (Zalo T Đ)</t>
  </si>
  <si>
    <t>0776651022</t>
  </si>
  <si>
    <t>Zalo T Đ</t>
  </si>
  <si>
    <t>390/BK-2026</t>
  </si>
  <si>
    <t>Đỗ Thị Anh Hằng</t>
  </si>
  <si>
    <t>090824805( Chị Diễm )</t>
  </si>
  <si>
    <t>391/BK-2026</t>
  </si>
  <si>
    <t>392/BK-2026</t>
  </si>
  <si>
    <t>ĐẶNG VĂN LẸ</t>
  </si>
  <si>
    <t>Nộp hs chuyển mục đích lần 1( 18/06/2026)</t>
  </si>
  <si>
    <t>393/BK-2026</t>
  </si>
  <si>
    <t>Kiểm tra hiện trạng (cùng Anh Tiền thụ lí Chi Nhánh)</t>
  </si>
  <si>
    <t>394/BK-2026</t>
  </si>
  <si>
    <t>XDDT Long Bình</t>
  </si>
  <si>
    <t>395/BK-2026</t>
  </si>
  <si>
    <t>Đinh Văn Hoàng Hải(Bình Thạnh)</t>
  </si>
  <si>
    <t xml:space="preserve">NHẬP SỐ HỢP ĐỒNG </t>
  </si>
  <si>
    <t>NHẬP TÊN HỒ SƠ</t>
  </si>
  <si>
    <t>NHẬP TÊN KHÁCH HÀNG</t>
  </si>
  <si>
    <t>Tên Nhân viên</t>
  </si>
  <si>
    <t>Hồ sơ trong hạn</t>
  </si>
  <si>
    <t>Trong hạn đã giải trình</t>
  </si>
  <si>
    <t>Trong hạn chưa giải trình</t>
  </si>
  <si>
    <t>Trong hạn đã giải trình đã cho phương án</t>
  </si>
  <si>
    <t>Xử lý thực tế trong hạn</t>
  </si>
  <si>
    <t xml:space="preserve">Tổng hồ sơ đã giải trình </t>
  </si>
  <si>
    <t xml:space="preserve">Tổng  hồ sơ chưa giải trình </t>
  </si>
  <si>
    <t>Tổng Số HS đã cho phương án</t>
  </si>
  <si>
    <t>Thứ tự Ưu tiên</t>
  </si>
  <si>
    <t>Xử lý thực tế</t>
  </si>
  <si>
    <t>Tổng HS đã cho phương án</t>
  </si>
  <si>
    <t xml:space="preserve">Mã hợp đồng: </t>
  </si>
  <si>
    <t>Người đi nộp</t>
  </si>
  <si>
    <t xml:space="preserve">  Kết quả lần nộp:  </t>
  </si>
  <si>
    <t xml:space="preserve">  Ghi chú / Yêu cầu của cán bộ:  </t>
  </si>
  <si>
    <t xml:space="preserve">  Ngày hẹn trả kết quả   </t>
  </si>
  <si>
    <t xml:space="preserve">  Ảnh chụp biên nhận   </t>
  </si>
  <si>
    <t>Người nhận báo cáo</t>
  </si>
  <si>
    <t>Ngày đi nộp</t>
  </si>
  <si>
    <t>FILE BẢN VẼ ĐẠT</t>
  </si>
  <si>
    <t xml:space="preserve">Mã hợp đồng đang xử lý: </t>
  </si>
  <si>
    <t>Hoàn thành</t>
  </si>
  <si>
    <t>Vy</t>
  </si>
  <si>
    <t>Nộp thành công - Chờ kết quả</t>
  </si>
  <si>
    <t>https://drive.google.com/open?id=1mbWSdEzmuVAbsYg3sEBo9Vx1DaLL4eF_</t>
  </si>
  <si>
    <t>Hằng</t>
  </si>
  <si>
    <t>https://drive.google.com/open?id=1KZMi-oZkW51FO5qW-25h-W3sq5JwGoPD</t>
  </si>
  <si>
    <t>https://drive.google.com/open?id=1CCrH-j3BNTvR75TunGGSsKb7oXpPqgYd</t>
  </si>
  <si>
    <t>https://drive.google.com/open?id=1Re8nkozMAR6RyxfONEnB07E_Cx1Inqlf</t>
  </si>
  <si>
    <t>https://drive.google.com/open?id=1_cGRHw5lyvnfewQwwYb8TwelB9CaKZmJ</t>
  </si>
  <si>
    <t>https://drive.google.com/open?id=128EjSWz_8TOhPZQahkOKsKSMdzkqetGH</t>
  </si>
  <si>
    <t>https://drive.google.com/open?id=1pGdKsJFlC4Dg9fgFsHg_K52gg24aX0XG</t>
  </si>
  <si>
    <t>https://drive.google.com/open?id=1gWdvwj9lCPRGEoMkc8nF9EyXBp_zyz8H</t>
  </si>
  <si>
    <t>https://drive.google.com/open?id=1VVRXxw73EslTyEPCo7eM4fXk6CYADLGW</t>
  </si>
  <si>
    <t>https://drive.google.com/open?id=1nF98DlNKLNrds70wau9NxVMJFefSQeQ0</t>
  </si>
  <si>
    <t>https://drive.google.com/open?id=1x-LJoOSs6_6UUdiZAn4BXC70tQlh1i6l</t>
  </si>
  <si>
    <t>https://drive.google.com/open?id=1EdvmkURDhaNgl_yB8O9kh4MltnCBJ3bg</t>
  </si>
  <si>
    <t>https://drive.google.com/open?id=1lZNte1PvFgMZ6cu_S8Lnvz9spF3H4s-m</t>
  </si>
  <si>
    <t>https://drive.google.com/open?id=1h6HfrpkmchRGJTwikvVqXHs66B4nM5FL</t>
  </si>
  <si>
    <t>https://drive.google.com/open?id=1yymKoRo9Sb4PB1ao3BnFBcVY_27tbgpZ</t>
  </si>
  <si>
    <t>https://drive.google.com/open?id=15SAC6dNoNx9UTl_LS8P_h8rWkOsQr5tQ</t>
  </si>
  <si>
    <t>https://drive.google.com/open?id=1wxL4E4vPaMBXu13vJbn4xjevqfhdwHCu</t>
  </si>
  <si>
    <t>https://drive.google.com/open?id=1WxIYOCDgPcfTQ3PBN2uGOqgMyszSvqZO</t>
  </si>
  <si>
    <t>https://drive.google.com/open?id=1mQub8pKokD62g09-1hjDu2BVSOZ4Rt8Z</t>
  </si>
  <si>
    <t>https://drive.google.com/open?id=1yzysDepUzkFu19-9VSxH482HgxiBeaLh</t>
  </si>
  <si>
    <t>https://drive.google.com/open?id=1Qs4h6PfSdcN39l4gdLMLHW-O9RVBhELu</t>
  </si>
  <si>
    <t>https://drive.google.com/open?id=1IxCpLiCi6NmSd8ICk5ciH6ZQ0IHgheH7</t>
  </si>
  <si>
    <t>https://drive.google.com/open?id=1ofq2YKiZsDa0buPemQlj5fnCNgB9ec0X</t>
  </si>
  <si>
    <t>https://drive.google.com/open?id=16CJQsIgF_8TTAtApX9HoY3XJKkLN-ju7</t>
  </si>
  <si>
    <t>https://drive.google.com/open?id=1CGJ05Gw51hjZgNCc6jhtg_symXznud-Z</t>
  </si>
  <si>
    <t>https://drive.google.com/open?id=1nUiGrsvAEWXuw4ixK4sxYFAcBBHZDIUK</t>
  </si>
  <si>
    <t>https://drive.google.com/open?id=1ZFKHAPUG2Lxot7B-wk3ClR33crUh3p_7</t>
  </si>
  <si>
    <t>https://drive.google.com/open?id=1td_Qy3ivyNI1yKjSQlq-0o1BJgacGF1f</t>
  </si>
  <si>
    <t>https://drive.google.com/open?id=1FrScvDtdMn10n7zws-JoXL7rod8NjOoB</t>
  </si>
  <si>
    <t>https://drive.google.com/open?id=1-I5VlTf-IiNKk7siRBDDNEPm6V3-2OMg</t>
  </si>
  <si>
    <t>https://drive.google.com/open?id=1KOj42k2fcI11gv1Ls5AxWx6tbEgX_myH</t>
  </si>
  <si>
    <t>https://drive.google.com/open?id=1Yf0n4x1MTAjCGuaphryp4c4ET2cfzy_9</t>
  </si>
  <si>
    <t>299/BK-2025</t>
  </si>
  <si>
    <t>https://drive.google.com/open?id=1B2CBT9C7katL5JBBQgxfXDdKaNrrPe4Z</t>
  </si>
  <si>
    <t>https://drive.google.com/open?id=1VXqfHEyIxEC4fLRzSUKaSLLPFFbF3k1a</t>
  </si>
  <si>
    <t>266/BK-2025</t>
  </si>
  <si>
    <t>Đợi xử lý</t>
  </si>
  <si>
    <t>371/BK-2025</t>
  </si>
  <si>
    <t>261/BK-2025</t>
  </si>
  <si>
    <t>https://drive.google.com/open?id=1RoUr5Lt7a7nOGZ_0vkv83uocxnkfzV9v</t>
  </si>
  <si>
    <t>https://drive.google.com/open?id=1kUafm2k1Ln1FjdQBwYYwsO5gTNwzDQrr</t>
  </si>
  <si>
    <t>https://drive.google.com/open?id=1T5zq5lqzYnx3dCpcUUK_u_ni6hVq_v7s</t>
  </si>
  <si>
    <t>https://drive.google.com/open?id=1AzTtNPgedvLnvOs8AYTwnAgEnxSCJaq8</t>
  </si>
  <si>
    <t>https://drive.google.com/open?id=1T64sL_VsngvEqfYXGRO5Gz247rzXR-5f</t>
  </si>
  <si>
    <t>https://drive.google.com/open?id=1e3y1MN75p_hUOMqBXg_66KrPOxbCNZwX</t>
  </si>
  <si>
    <t>https://drive.google.com/open?id=1KwTWg4W7XjWEGZuUKPPZmaVgWEWW9IxO</t>
  </si>
  <si>
    <t>https://drive.google.com/open?id=18F7OOgaobJ7hI-Z3ijurt_SQyaVOEQqy</t>
  </si>
  <si>
    <t>https://drive.google.com/open?id=1WhW2oTB-FV6eBi8FSvCOI4o4UWYHm8jp</t>
  </si>
  <si>
    <t>https://drive.google.com/open?id=1_RakE6sdG_0owng5nkXRHF8ptxtH8jMF</t>
  </si>
  <si>
    <t>https://drive.google.com/open?id=1hRZC26rVaa483jGENwQEnV-8N9oJ80z0</t>
  </si>
  <si>
    <t>https://drive.google.com/open?id=1JrJyduawf3qisT189UEW__Kuzwr4jlxq</t>
  </si>
  <si>
    <t>https://drive.google.com/open?id=1HwOzyuRjoCbtVrgmi3967o9MnWuhOB_m</t>
  </si>
  <si>
    <t>https://drive.google.com/open?id=1LpnLRVIMEIbUtUN88z-sJurgX3q9g1cM</t>
  </si>
  <si>
    <t>https://drive.google.com/open?id=1hEuAqB7n3LeLzL-9M6RWbeUl-8QdZVa8</t>
  </si>
  <si>
    <t>https://drive.google.com/open?id=1KPJ54SHDc6Wh6jtgMhP_WW9Po8hTJZNI</t>
  </si>
  <si>
    <t>https://drive.google.com/open?id=1RECJEkKJh10GIs0ZV5P43ChdpE-O5dLK</t>
  </si>
  <si>
    <t>https://drive.google.com/open?id=1Tt1WCB-GY8s2JUHQd-g3HoXIHr9eN17c</t>
  </si>
  <si>
    <t>https://drive.google.com/open?id=15LbABNLayeUwke9ifTeGVDikF9FQPU04</t>
  </si>
  <si>
    <t>https://drive.google.com/open?id=16y5uQlARBOVrXMobzm0rPh4qalfdAkhH</t>
  </si>
  <si>
    <t>https://drive.google.com/open?id=1fdiS5Wq6RCpvyl7NmpL4jrRCg_8RJouV</t>
  </si>
  <si>
    <t>https://drive.google.com/open?id=1U0B6DMZer4t2QpBi_mSw_S3PtCy6hKwt</t>
  </si>
  <si>
    <t>https://drive.google.com/open?id=1oWCB7BtqSQFEYtOI_SH_DrB3LZWc95-o</t>
  </si>
  <si>
    <t>https://drive.google.com/open?id=1VbdBU3y7icYPpxq_qmrzmfn96QAJ2iPo</t>
  </si>
  <si>
    <t>https://drive.google.com/open?id=13Y8CJQDu4rQnb48R7pm42M-UbE-hL-0_</t>
  </si>
  <si>
    <t>https://drive.google.com/open?id=1TURZoQivDdNWDCIqaCpWEgVwgx_HWeGj</t>
  </si>
  <si>
    <t>https://drive.google.com/open?id=1-lPDRzWcVmQMGdPHD-jQuFzLDbU4k5GY</t>
  </si>
  <si>
    <t>https://drive.google.com/open?id=1wulC1r7iNIHqIuCzgsUA3qIk3UJ_F9A9</t>
  </si>
  <si>
    <t>https://drive.google.com/open?id=1zmGJrpdkh-52b8FTOFqzpyIOsolDiLL9</t>
  </si>
  <si>
    <t>https://drive.google.com/open?id=1JjG8sa1i9Gbi7e980B0Rl2VJ-NdR2Une</t>
  </si>
  <si>
    <t>https://drive.google.com/open?id=1UfH4tR02BwtcgqPmn3usp2_0M52UYC7k</t>
  </si>
  <si>
    <t>https://drive.google.com/open?id=1eaxns3KTC6uT-uobvmy3f8SXxnUYiP0S</t>
  </si>
  <si>
    <t>https://drive.google.com/open?id=1_uwowfxd-8dzso4DWz1B5mFvf2sMFHd6</t>
  </si>
  <si>
    <t>https://drive.google.com/open?id=1tkb1Tit8heLmLjbLAXgQdmtd8urEpnyK</t>
  </si>
  <si>
    <t>https://drive.google.com/open?id=1BVHD0owxIu-tykdDJmStQvOOi-zHxblZ</t>
  </si>
  <si>
    <t>https://drive.google.com/open?id=1F1Uy7rDW11J1WoGxSmJQv-BRGUQ1jh-9</t>
  </si>
  <si>
    <t>https://drive.google.com/open?id=1txy11k04Y0UN1jlpoBsIEPICIEhK1TTc</t>
  </si>
  <si>
    <t>https://drive.google.com/open?id=1yxX-dSTK9uJZ1NQmzCrPs1PQLX1pnWdW</t>
  </si>
  <si>
    <t>https://drive.google.com/open?id=1TfXfLFrUoZjEIFqQmRE-xzzuzrrstZk4</t>
  </si>
  <si>
    <t>https://drive.google.com/open?id=1TYSZfI5JTZQvBfZuNbjC-CoZwsCwmnhn</t>
  </si>
  <si>
    <t>https://drive.google.com/open?id=1uStO9ObnLOnaVk7QHm25Pe_0yLT1K-lY</t>
  </si>
  <si>
    <t>https://drive.google.com/open?id=1c2YwYIisQo8-mlqHXTX_gehA8i4dx5cc</t>
  </si>
  <si>
    <t>https://drive.google.com/open?id=11vjbvQwGJeXnktinKUkuLFpJD_0NOMQk</t>
  </si>
  <si>
    <t>https://drive.google.com/open?id=1sVADtxh_Z-DEGghMRRohq3ZLTBnuiiCV</t>
  </si>
  <si>
    <t>https://drive.google.com/open?id=1HMYEQFzmFh80_YKeIxEYU9-AgIH5NxN6</t>
  </si>
  <si>
    <t>https://drive.google.com/open?id=1Fa1R9nomHC6M2a7YUxR3Oe1AY0o4HHAg</t>
  </si>
  <si>
    <t>https://drive.google.com/open?id=1rgQw3_3ByyT_JNPg7dTC_itYE0FqzPpk</t>
  </si>
  <si>
    <t>https://drive.google.com/open?id=14mOkiTJL7Tl7f66L1C6kdMKFVN60O7U4</t>
  </si>
  <si>
    <t>https://drive.google.com/open?id=1fQs-cn1mZcajKnsafOhyLmSJWpKBhDNi</t>
  </si>
  <si>
    <t>https://drive.google.com/open?id=1NuSUFo1IBVonNQirhX47ZauS0BR80juN</t>
  </si>
  <si>
    <t>https://drive.google.com/open?id=1MjfICRNly-GA9xFjyACe4GDzh_u8IrAN</t>
  </si>
  <si>
    <t>https://drive.google.com/open?id=116zcYbxOJ0YINQNUobEwCpTXwfw3DwVV</t>
  </si>
  <si>
    <t>https://drive.google.com/open?id=1BPxvfrcmTn_Vn1u1hH2tUumD_mNXmWpz</t>
  </si>
  <si>
    <t>https://drive.google.com/open?id=18OLv1VpL_7T3Djlq5IJMClcmuhf78-Jv</t>
  </si>
  <si>
    <t>https://drive.google.com/open?id=1LNlOej3AgVZ6DZOxMFoYFIvKK5-Wk6tJ</t>
  </si>
  <si>
    <t>https://drive.google.com/open?id=1Rl7Yi-WsmBi3ZfLo-7OdDwDuPguVVpLm</t>
  </si>
  <si>
    <t>https://drive.google.com/open?id=1AYMov7UlQ8KstclMKoBd6EniVrTeHzJ3</t>
  </si>
  <si>
    <t>https://drive.google.com/open?id=1zzbIqzhqzPgsUcviAYtCGvO2jWWmvxt_</t>
  </si>
  <si>
    <t>https://drive.google.com/open?id=1Zlw77RFu0YUqC1FIvN_yW5cAruRv7cN1</t>
  </si>
  <si>
    <t>https://drive.google.com/open?id=1jLIXn02-zi43H6tm37WCEDCLruRIyo41</t>
  </si>
  <si>
    <t>https://drive.google.com/open?id=1YTNjfeHypuPqb_hCd_WA_TRah_wYpyKR</t>
  </si>
  <si>
    <t>https://drive.google.com/open?id=1_edXgP8E2rm9IUkQvRs63F2d4XwGh3os</t>
  </si>
  <si>
    <t>https://drive.google.com/open?id=1p5RWoPfPo-yu0LTUQltShq8YvF_18YyB</t>
  </si>
  <si>
    <t>https://drive.google.com/open?id=1TFSoDPazCM_W_0od3YjaGX6lxz9gbjy1</t>
  </si>
  <si>
    <t>https://drive.google.com/open?id=1IF-ctgaAKMUKK0NT3E2in7SvOXw13aC2</t>
  </si>
  <si>
    <t>https://drive.google.com/open?id=1fWeYxoYmjBFlBPqnaDurPr3St9EE6tp-</t>
  </si>
  <si>
    <t>https://drive.google.com/open?id=1RGV91Usg_UFYTqrpcy31YV5bOdKl9UYO</t>
  </si>
  <si>
    <t>https://drive.google.com/open?id=1j8lUOgdxSqfPYHvcrai7ErEc5u34UE9h</t>
  </si>
  <si>
    <t>https://drive.google.com/open?id=137pPxWfmWj_F0KraL2u7a8qHCV7R3_jf</t>
  </si>
  <si>
    <t>https://drive.google.com/open?id=1keeZAK1C1iHPbQOJBjgVN9h1ant1oIwA</t>
  </si>
  <si>
    <t>https://drive.google.com/open?id=1OhBj-W_QBomY9R93jzjuEVf6zLY1f2ff</t>
  </si>
  <si>
    <t>https://drive.google.com/open?id=1dmsmaOloZ4UdBAr-OWsN9-uF5-vZGOpq</t>
  </si>
  <si>
    <t>https://drive.google.com/open?id=1cbltveb-aceKbCshggJ0YodHxeivwAG3</t>
  </si>
  <si>
    <t>https://drive.google.com/open?id=1bWvxEhKOFOc1CNfRJFHJP6R2g43umS56</t>
  </si>
  <si>
    <t>https://drive.google.com/open?id=18Wb4E7CaPefj_6A7Uor1s6SJ0DfciyQX</t>
  </si>
  <si>
    <t>https://drive.google.com/open?id=1qQkmHqhbiUQUATkhsdWXf5-NzGbFXxdz</t>
  </si>
  <si>
    <t>https://drive.google.com/open?id=13amOK8on-LV2Y4LdEUxrUyl_xaPJXfik</t>
  </si>
  <si>
    <t>https://drive.google.com/open?id=1JE1IlKldL_m4E7QweTT3iGz1fACLEBxN</t>
  </si>
  <si>
    <t>https://drive.google.com/open?id=1guStpYdbGSl2_G2wUcnM0Rf4wpo74gvp</t>
  </si>
  <si>
    <t>https://drive.google.com/open?id=1NTUiNuh2s9MW7327W08OjH4xa_pjAXci</t>
  </si>
  <si>
    <t>https://drive.google.com/open?id=1eQ17v2wS-J01KUaJLAZFXnevF3yshX6L</t>
  </si>
  <si>
    <t>https://drive.google.com/open?id=1m8HnNIrz2ZcuwsyT7BPUHGdnZl_Xedbr</t>
  </si>
  <si>
    <t>https://drive.google.com/open?id=1OGv-WLHkZv8ZK7Gu0q34nc1QdO_ivk_p</t>
  </si>
  <si>
    <t>https://drive.google.com/open?id=1qr7NpbofWow5QY1KjvtyopkeUJNfPu6P</t>
  </si>
  <si>
    <t>https://drive.google.com/open?id=1G8N6yCZd93kFUy5mknYOOMSGSuAomVS_</t>
  </si>
  <si>
    <t>https://drive.google.com/open?id=1QD0fqL7_2L6akS8rAY0G76fDOofob_Bn</t>
  </si>
  <si>
    <t>https://drive.google.com/open?id=1caaCrzXXRiMINk4XdFAIrcCbUNvqIy-H</t>
  </si>
  <si>
    <t>https://drive.google.com/open?id=1LyRE7wWCiQQGLwzQRH_b-tWgasEKG2BX</t>
  </si>
  <si>
    <t>https://drive.google.com/open?id=1oNE9AC2-1x37W28oyS8W7_Rl2WBEwON8</t>
  </si>
  <si>
    <t>https://drive.google.com/open?id=1fGuFa7QUSgsvpZl_B6lleNdNl66C0UhP</t>
  </si>
  <si>
    <t>https://drive.google.com/open?id=1mMVmR5k7AsuIEysP8AyID_SjEhlU0-pw</t>
  </si>
  <si>
    <t>https://drive.google.com/open?id=16eM1d6rfievTk8PU30myXVWip_0wpxSH</t>
  </si>
  <si>
    <t>https://drive.google.com/open?id=1eAG0HUV1KjDp8PPNjzBHX2gXfgJjP8yV</t>
  </si>
  <si>
    <t>https://drive.google.com/open?id=183qvuNCn066h2Y7-fuw9MKkeIBw2KWp8</t>
  </si>
  <si>
    <t>https://drive.google.com/open?id=1TMktY9OWToP6H9ior0veSyA-b2z7FLmd</t>
  </si>
  <si>
    <t>https://drive.google.com/open?id=1iSOrnWOqtr1hcm3KRopvU8Eux6MC1bEz</t>
  </si>
  <si>
    <t>https://drive.google.com/open?id=1i5hPdmYjkevlN1HxDpkpPpgtM3x2cthW</t>
  </si>
  <si>
    <t>https://drive.google.com/open?id=1mTyb4CYMiQNUx2y-aQ31wB5oSchofX0O</t>
  </si>
  <si>
    <t>353/BK-2025</t>
  </si>
  <si>
    <t>https://drive.google.com/open?id=1NKDJwD1dB0xVrHNcZGSoizrhaI_rUBD2</t>
  </si>
  <si>
    <t>https://drive.google.com/open?id=1_n5exSuC0BOTQKDVyuks7OWsq3fLFnqk</t>
  </si>
  <si>
    <t>https://drive.google.com/open?id=1-0gWxWahNnttfMp1Th0bpByPtetAlqmz</t>
  </si>
  <si>
    <t>https://drive.google.com/open?id=1JBt3om4MdHh8S4F4qoqcpAHPqx189-Z2</t>
  </si>
  <si>
    <t>https://drive.google.com/open?id=1jDLipGl1CUcPvcA26fqkcccpWpJCI_si</t>
  </si>
  <si>
    <t>https://drive.google.com/open?id=1LDBWXrns3hJ5dFnjoH7ZATTC0RL3Tjc4</t>
  </si>
  <si>
    <t>https://drive.google.com/open?id=1rKv3Fo2csVv4fNvLt0SqoHlTlfIGVsG8</t>
  </si>
  <si>
    <t>https://drive.google.com/open?id=1_QreKDSis_KlJDETltAcAo8b3n9eU9d_</t>
  </si>
  <si>
    <t>https://drive.google.com/open?id=1paJNjqhDQBmNfHiiz4jgPzUA_AfAhoOd</t>
  </si>
  <si>
    <t>https://drive.google.com/open?id=1dr80txH2LVvFzbVEo0EYIBq0FTqCUMNF</t>
  </si>
  <si>
    <t>https://drive.google.com/open?id=1FqDwEualR6zGieO09hGPiZcANl0oqerw</t>
  </si>
  <si>
    <t>https://drive.google.com/open?id=1_yHG9vPp6lWHcuqGW06yZ6wR6DB5kQrT</t>
  </si>
  <si>
    <t>https://drive.google.com/open?id=1a9wvk_S0BrfcEOij9bs7uYi72f_aYXsE</t>
  </si>
  <si>
    <t>https://drive.google.com/open?id=1J__FQJBeAp29bjR6Pxnf9N8NT2VejTzR</t>
  </si>
  <si>
    <t>https://drive.google.com/open?id=1lx1rgh7TCxRQ_2x1K4_LqX-mqf87FWnZ</t>
  </si>
  <si>
    <t>https://drive.google.com/open?id=14a0lUUltiQYb2FhupGT8PxtF7x7fyAQ5</t>
  </si>
  <si>
    <t>https://drive.google.com/open?id=1JCVuli7Ii1cYvg-WdWpmrq1i6x8UJq9D</t>
  </si>
  <si>
    <t>https://drive.google.com/open?id=1QazJflpGzmSwOxeKYOcrSRoy7jbxpQnj</t>
  </si>
  <si>
    <t>https://drive.google.com/open?id=1ZAq83jsvjosVW0HbBXBCo1Bo8sNly4FN</t>
  </si>
  <si>
    <t>https://drive.google.com/open?id=1i4JRZatiJIhprLkk0wJof44kiBkQaXNL</t>
  </si>
  <si>
    <t>https://drive.google.com/open?id=1qJwZwgfIxiOtgU7D2WAUFBBI3_w96QJD</t>
  </si>
  <si>
    <t>https://drive.google.com/open?id=12vC8hCutRKyxM7AEbIJpTPiTiB9X31C8</t>
  </si>
  <si>
    <t>https://drive.google.com/open?id=1ws9dixZUR8qQ6DcdOBGsoZ9gC4Jjw-DU</t>
  </si>
  <si>
    <t>https://drive.google.com/open?id=1bjm-4HT9V3eOMLhdRXzFVBohu0vy2vtz</t>
  </si>
  <si>
    <t>https://drive.google.com/open?id=1nbeGweXb9zPZZ9jS5PC0BnHO3oTK8CGh</t>
  </si>
  <si>
    <t>https://drive.google.com/open?id=1CcEim1fjU6pIf3JwC7K65c1C6ynUdOGn</t>
  </si>
  <si>
    <t>https://drive.google.com/open?id=1FRkffOWDm_zg1DI4Q9nfxIaBBhAqHz-r</t>
  </si>
  <si>
    <t>https://drive.google.com/open?id=1WwuTghqkqzzV2p_sULczeAGPVqcMJdhe</t>
  </si>
  <si>
    <t>https://drive.google.com/open?id=1nYytDqcSahdUpPcgCF3Yj1MgkVJK3HuE</t>
  </si>
  <si>
    <t>https://drive.google.com/open?id=1-9kzwbeS7BhK5iUcJhA8YHARh3D4jCKy</t>
  </si>
  <si>
    <t>https://drive.google.com/open?id=1b5vGG1FL_8jyOJLDN29HMUpwxEt2u_ST</t>
  </si>
  <si>
    <t>https://drive.google.com/open?id=1ozVPh0KIjvO3jE73ihyFbJ71gpQma4m3</t>
  </si>
  <si>
    <t>https://drive.google.com/open?id=1s3QIRHBmOQtg5AL1mgnmaUTxc67mYjSr</t>
  </si>
  <si>
    <t>https://drive.google.com/open?id=14o5tC5u8gc3kU0vvcWe5Wh_wC1B03FQo</t>
  </si>
  <si>
    <t>https://drive.google.com/open?id=1hSYRdtxOcOcxLb0dQEy82pewoWbZXbY0</t>
  </si>
  <si>
    <t>https://drive.google.com/open?id=1RiXGo4JBiH0OR2scRQ-CAD1MJQ0qj-S9</t>
  </si>
  <si>
    <t>https://drive.google.com/open?id=1YVtEaA8P6HdqQ4oARykpC2TKINkqKdWT</t>
  </si>
  <si>
    <t>https://drive.google.com/open?id=1dodOTbrvV4yj9FzvkAIYXDiPaETCe0ef</t>
  </si>
  <si>
    <t>https://drive.google.com/open?id=1wqmti7W0VtgJiSdYUpqSymTvAD-9PZAn</t>
  </si>
  <si>
    <t>https://drive.google.com/open?id=1zF3VYMLvzWwUd7XksZZGdCG3h6Nnf6lT</t>
  </si>
  <si>
    <t>https://drive.google.com/open?id=1DmMdL-MIh2xqQQR0goZi4L9T6FIwErHf</t>
  </si>
  <si>
    <t>https://drive.google.com/open?id=1882eqi4j_4irPBPeptWrgyRw-KFc2E6k</t>
  </si>
  <si>
    <t>https://drive.google.com/open?id=1Ao1ihbB-hcT385NfnL_6AnG_x9xNKxky</t>
  </si>
  <si>
    <t>https://drive.google.com/open?id=17aXQ8Qxd-bw7VyjhVLw7HpC9-ipAHpta</t>
  </si>
  <si>
    <t>https://drive.google.com/open?id=1VVZGTmk5vzE-79p_PiE17VULmkjIJssq</t>
  </si>
  <si>
    <t>https://drive.google.com/open?id=1_57Nn_SZjSR7eBq7DizKcDUXafgN3StM</t>
  </si>
  <si>
    <t>https://drive.google.com/open?id=1vLjFJpuHEv5DuZv2QdGlYKvxC2lU7pgI</t>
  </si>
  <si>
    <t>https://drive.google.com/open?id=1bAaEUQzujy46fKrdxaeNj1QMxW_itlP-</t>
  </si>
  <si>
    <t>https://drive.google.com/open?id=1e3I4C69D9bBi3bkuZubXGJmCTYY_BcUm</t>
  </si>
  <si>
    <t>https://drive.google.com/open?id=14HoBglwqAI9YZHs-5glcbetZ7JeQH5TV</t>
  </si>
  <si>
    <t>https://drive.google.com/open?id=1-OV2uimCuYitzrUf3pDDNdBUABuW1WGf</t>
  </si>
  <si>
    <t>https://drive.google.com/open?id=1IOgXVUL28tNSvSCNvPXGw2F60JP1HFWg</t>
  </si>
  <si>
    <t>https://drive.google.com/open?id=1RSq8ytKyT-jHwfPpLJ47mam9NC9LUrgI</t>
  </si>
  <si>
    <t>https://drive.google.com/open?id=1aBh9MlLMu4-vPCFXpktIkAbDjTmT78MM</t>
  </si>
  <si>
    <t>https://drive.google.com/open?id=1m2GR14nOA5tOXX87FCxsQGgRuUDf86sR</t>
  </si>
  <si>
    <t>https://drive.google.com/open?id=1xtdt6o4_te5U0vMH9hP64jlKKIhHgeKj</t>
  </si>
  <si>
    <t>https://drive.google.com/open?id=1XSy1o6srOXxFu6UF4ZwZ59-gCnvtUY4m</t>
  </si>
  <si>
    <t>https://drive.google.com/open?id=1truW_gyklc0hg8wVwJap2gRC2Pdf3xLR</t>
  </si>
  <si>
    <t>https://drive.google.com/open?id=1gFkKCx4YJNwGq6_QhUclWxv0OdcJoJDN</t>
  </si>
  <si>
    <t>https://drive.google.com/open?id=1s3J6RjcXVCBF-tVhdDIzCSa2v2uLXU8u</t>
  </si>
  <si>
    <t>https://drive.google.com/open?id=1c-Qp5dUpwe2lElmETpVAcw7S5MnWIfkx</t>
  </si>
  <si>
    <t>https://drive.google.com/open?id=1iM_tQh-jeEO7TttELwI7TdLKvN4untDN</t>
  </si>
  <si>
    <t>https://drive.google.com/open?id=1KqY7ypfmYsOGgM7_SB1UnH2usGfjIuwa</t>
  </si>
  <si>
    <t>https://drive.google.com/open?id=1EFUM4-BfLbLzZB_w4mb22szb3fcOIgVT</t>
  </si>
  <si>
    <t>https://drive.google.com/open?id=1tjdqonRX4Bm1UVqk2ScXjFCrw8_6u7aP</t>
  </si>
  <si>
    <t>https://drive.google.com/open?id=1OftaFlu2JpDQIXC0D-szp7YXAiOjfuH4</t>
  </si>
  <si>
    <t>https://drive.google.com/open?id=1xnWvIDFAglahY5uciIjie0gy1y5XIGUl</t>
  </si>
  <si>
    <t>https://drive.google.com/open?id=1FR78cOR6gTBFjhYTR7fTIiyjlLrsxn--</t>
  </si>
  <si>
    <t>https://drive.google.com/open?id=1IQFF1UIuUPrj18rPWX11fW2TcVJGVAKO</t>
  </si>
  <si>
    <t>https://drive.google.com/open?id=1RhSLOl0un9VQAUuZoL0TUn97JcIXAJWk</t>
  </si>
  <si>
    <t>https://drive.google.com/open?id=1kfqrpJ0cttmM6rsbqS-WFwcrd_QA5A6m</t>
  </si>
  <si>
    <t>https://drive.google.com/open?id=1jSiIbacOxb787LuTqkNOSIotnjD31qkb</t>
  </si>
  <si>
    <t>https://drive.google.com/open?id=1Y0dM-7ihom6KTevefnelI_pIiL97L5ix</t>
  </si>
  <si>
    <t>https://drive.google.com/open?id=1TsVwlRRCs8Q4wR6rbSIo9HYDBl5u9sff</t>
  </si>
  <si>
    <t>https://drive.google.com/open?id=1-0IfSo2fiog8375ml4yE6f-VBTzTnN2E</t>
  </si>
  <si>
    <t>https://drive.google.com/open?id=1AAUykzu-5I0sdrO_B3Zh5VH8ElNfXGRa</t>
  </si>
  <si>
    <t>https://drive.google.com/open?id=16dwKAhgzbwzA5zWsM2FWQ5ZquLZWC6Ny</t>
  </si>
  <si>
    <t>https://drive.google.com/open?id=1vAHNqbZvheskwMRE-HXKFOvngoCEZX0Q</t>
  </si>
  <si>
    <t>https://drive.google.com/open?id=1CXGocJEZscby7-HMU299TGiWMMzcgJWV</t>
  </si>
  <si>
    <t>https://drive.google.com/open?id=1bmj2fLjmb9tVj2zdU8F11U8NC5szo9WH</t>
  </si>
  <si>
    <t>https://drive.google.com/open?id=1rytQKuofCvHdVjB1bJXeN27qBnbvMpMM</t>
  </si>
  <si>
    <t>https://drive.google.com/open?id=1RzLxrPFeUjUbNMGYTUCVgvyamTX4_OU-</t>
  </si>
  <si>
    <t>https://drive.google.com/open?id=1ojKiS2jmgYgoCehC5FQhn2OEQhRpxJZR</t>
  </si>
  <si>
    <t>https://drive.google.com/open?id=1ibgQAZ0zFzqJvn-tcLKJz1eQPvRQcHxs</t>
  </si>
  <si>
    <t>https://drive.google.com/open?id=1BywdKgddwj4-0uY-kvZsIkcpYw7gAipl</t>
  </si>
  <si>
    <t>https://drive.google.com/open?id=1U0t8cX_svZ4GTNyPlR4E2xUQpk8qui-B</t>
  </si>
  <si>
    <t>https://drive.google.com/open?id=1pFUf9z66HcIh_tKDgH-Fu_lNNTD1Lmmp</t>
  </si>
  <si>
    <t>https://drive.google.com/open?id=1PA5oUP-zqlVgUeGNR3lTy6BziRxs4KQL</t>
  </si>
  <si>
    <t>https://drive.google.com/open?id=1YhRCEQbw1JQEMGkdmRCrqYmZuXRzyh1A</t>
  </si>
  <si>
    <t>https://drive.google.com/open?id=1RcpSpACSH_-wMB7c5mIdPYUzqg24X5Vc</t>
  </si>
  <si>
    <t>https://drive.google.com/open?id=1yCUkxIkfqAOo3aENYFomzdW6WnI2yZgE</t>
  </si>
  <si>
    <t>https://drive.google.com/open?id=136c9yhBWsYBjNpxw6VQ65nHRg98pZusv</t>
  </si>
  <si>
    <t>https://drive.google.com/open?id=1htvr7SIj2ln67Wbb_aUfCkhhAcNkq2X2</t>
  </si>
  <si>
    <t>https://drive.google.com/open?id=1OSskrJeQUHK9y9kVD5NnxprQpbyCfyUR</t>
  </si>
  <si>
    <t>https://drive.google.com/open?id=1anDoJyqGG6Dr8leMIayLZO6cx9qVrmFf</t>
  </si>
  <si>
    <t>https://drive.google.com/open?id=1iqAbscLdtDNkr4nQKfXEwPlGc9YlCbTO</t>
  </si>
  <si>
    <t>https://drive.google.com/open?id=1gWGk1xcal9KPAvd7m1WGiqib4vF6CKlr</t>
  </si>
  <si>
    <t>https://drive.google.com/open?id=1yyZPCNOLHgeAD1mFRIHXOKhzpAQFaKo_</t>
  </si>
  <si>
    <t>https://drive.google.com/open?id=13tskYvEmzZpvyKehamBHjE9Ea18DstrR</t>
  </si>
  <si>
    <t>https://drive.google.com/open?id=1w-k0Hc0RDdtANHUujmdINPNQbq2r0TI8</t>
  </si>
  <si>
    <t>https://drive.google.com/open?id=1t7GFEA_FSOEVY_6g0X6S7PVPZ6dEbroj</t>
  </si>
  <si>
    <t>https://drive.google.com/open?id=1BmCvLOFaFAZ9Y4QFPGMoL1NTpYUv7_Td</t>
  </si>
  <si>
    <t>https://drive.google.com/open?id=18FMEyte2NIXckV7AEH5Mn5NgjdAGYmYA</t>
  </si>
  <si>
    <t>https://drive.google.com/open?id=1cetmFoizIRFSAERn1HhSpBz_DoGrHy-N</t>
  </si>
  <si>
    <t>https://drive.google.com/open?id=1lPrknQDxs7nNfVA0MzQees0nuXp0FykI</t>
  </si>
  <si>
    <t>https://drive.google.com/open?id=1zZLB5iCAJBMTwiD9hDXcL1WPMbvfWl3J</t>
  </si>
  <si>
    <t>https://drive.google.com/open?id=1QCacDRWPO15yZWwK7jlXyAVkWYfUanik</t>
  </si>
  <si>
    <t>https://drive.google.com/open?id=1XxLjidXctSfFf4j5PcWvsktGp0DwVAa0</t>
  </si>
  <si>
    <t>https://drive.google.com/open?id=1JYma4bnlXVABTwFlTl3rCG20JjwkujYk</t>
  </si>
  <si>
    <t>https://drive.google.com/open?id=1k8_lLGGGGS7ZyZ5Anr-WFyTvlMHamcQr</t>
  </si>
  <si>
    <t>https://drive.google.com/open?id=1UI_OndQZ6HoZt89Dz4YWn7SQCYAfW_1Q</t>
  </si>
  <si>
    <t>https://drive.google.com/open?id=1KmMiRO21ZTFVqy1wHY9TxI-MC03Im4uU</t>
  </si>
  <si>
    <t>https://drive.google.com/open?id=1hEtDHWcl5S2ODQBJpHXAmam-00iazmXm</t>
  </si>
  <si>
    <t>https://drive.google.com/open?id=1_HrPHtOmfqFuwtnrxrg-aYJMuCC0Usuf</t>
  </si>
  <si>
    <t>https://drive.google.com/open?id=1g8nrp2e0ZCw796jU2aiBR2nsle7Wk8YS</t>
  </si>
  <si>
    <t>https://drive.google.com/open?id=1HmicLoXNnAnutYgXkaFDLV6wml0YDkez</t>
  </si>
  <si>
    <t>https://drive.google.com/open?id=1RfYgdHlh_Pvh1JPYiy9z3gisK7YmWORs</t>
  </si>
  <si>
    <t>https://drive.google.com/open?id=1jVRHNBh0lED7uHISFHmwDeDcWe8VkrZA</t>
  </si>
  <si>
    <t>https://drive.google.com/open?id=1zB4KJYrVZRmHwk3L95vIEzgIxq7UjTcW</t>
  </si>
  <si>
    <t>https://drive.google.com/open?id=1CggBnF5iMeHtGGyhcs0N4UW0sdjsU_rd</t>
  </si>
  <si>
    <t>https://drive.google.com/open?id=1F1cgL1ehdExLYoRSmabRvkGSD31IIP8J</t>
  </si>
  <si>
    <t>https://drive.google.com/open?id=1M73I489IK6uM3jWYtDU6901iFOW8h7nh</t>
  </si>
  <si>
    <t>https://drive.google.com/open?id=1puJKQ3YlDZMTQ1m8MAxbAiXarNMfXGVJ</t>
  </si>
  <si>
    <t>https://drive.google.com/open?id=1wziRkNa8fC2Ao2bvucYvel8MRCuuRanE</t>
  </si>
  <si>
    <t>https://drive.google.com/open?id=1XvduEJjq8fTu2i7Bwaf4Vm8vXp01Wvys</t>
  </si>
  <si>
    <t>https://drive.google.com/open?id=1yArYFi4DRWNLcFSr8ZftxUHJOZ3tAQFE</t>
  </si>
  <si>
    <t>https://drive.google.com/open?id=10MZIMx08demRXtDruYo8sdsVKCrHvgKk</t>
  </si>
  <si>
    <t>https://drive.google.com/open?id=17YzszuZdWO5yVGQSGY2JvXYOGeClut84</t>
  </si>
  <si>
    <t>https://drive.google.com/open?id=1q4TRJtQVPmjFoPUgpTiwyI-aUTQdvZ0h</t>
  </si>
  <si>
    <t>https://drive.google.com/open?id=1nU5QzmZf1oUPePcvqktMAsIgNIF0Gc_9</t>
  </si>
  <si>
    <t>https://drive.google.com/open?id=1wjMb0Cqgqz73abJXVrHwspt2gqqoPJjX</t>
  </si>
  <si>
    <t>https://drive.google.com/open?id=1w6zblTioweQHoTBRvC3VZFwUAKV7i0VA</t>
  </si>
  <si>
    <t>https://drive.google.com/open?id=1uNZWMRgz-oYzx08p5WvSYQvqUzKY3g0G</t>
  </si>
  <si>
    <t>https://drive.google.com/open?id=1AqhMIaCU0uZD6KE2jA1ZgDCdFsI4mVDo</t>
  </si>
  <si>
    <t>https://drive.google.com/open?id=1lHVgOghtea3mnzOPGGsiHCN01r6Ggn-E</t>
  </si>
  <si>
    <t>https://drive.google.com/open?id=1DlqSQIQBLn5IrDZ_I5y19ca2uEOV23Zy</t>
  </si>
  <si>
    <t>https://drive.google.com/open?id=1wzOlFxjKvghDojdBEzmee8TWxiD1uVTS</t>
  </si>
  <si>
    <t>https://drive.google.com/open?id=1JUNCgH86kFfKBiShx-ykoa077m7umXEn</t>
  </si>
  <si>
    <t>https://drive.google.com/open?id=1ZBPgotRb_YYCspoBpVgzWeT3F-Rj3FnQ</t>
  </si>
  <si>
    <t>https://drive.google.com/open?id=15LIpse6LLkASupT5jHrpC-_rMOgrkbSw</t>
  </si>
  <si>
    <t>https://drive.google.com/open?id=1MpN6wIphaKh2pDtxsm7TxAtrOfPOQyXM</t>
  </si>
  <si>
    <t>https://drive.google.com/open?id=1fHfTpdXqjTmsz1yddGjEyR356Pc1ehn-</t>
  </si>
  <si>
    <t>https://drive.google.com/open?id=1dFNJuLo64Zu97r5tAvP7zOAMFtOPUvDq</t>
  </si>
  <si>
    <t>https://drive.google.com/open?id=10f62J6QjrkzqqUs6pVUMEh9JlTlHreU_</t>
  </si>
  <si>
    <t>https://drive.google.com/open?id=1YTXA8wuuW6W_N4skn3_pcHJ3jLutxOyQ</t>
  </si>
  <si>
    <t>https://drive.google.com/open?id=110PJwD3QFefAce_C5-Ymgn9vY8gSqnny</t>
  </si>
  <si>
    <t>https://drive.google.com/open?id=1YmnaZeiTrZdBVIN59hk4lC2hzYFjTrIc</t>
  </si>
  <si>
    <t>https://drive.google.com/open?id=10ct4vLChUNsY2ttPQM4NbcHf_2sIxUgj</t>
  </si>
  <si>
    <t>https://drive.google.com/open?id=1uaxzZa5PNwf1xLvLEiwhSQkhKfUzHXD5</t>
  </si>
  <si>
    <t>https://drive.google.com/open?id=1Iqxsj3WDrZhs3Yi-UXR7N6fgQdo99HnW</t>
  </si>
  <si>
    <t>https://drive.google.com/open?id=1cRfz72AUKntNFx2rC3J3_yoLFyf5mbyy</t>
  </si>
  <si>
    <t>https://drive.google.com/open?id=1HUioZ_tRThPnPB-pouio8_TQKuVi9gYW</t>
  </si>
  <si>
    <t>https://drive.google.com/open?id=1F0bNucr05vygTNPp1PVT_KTT2_T_tzQJ</t>
  </si>
  <si>
    <t>https://drive.google.com/open?id=1db_vkYKEyLREN7Zw0Bu85Zb5XXcoOHsU</t>
  </si>
  <si>
    <t>https://drive.google.com/open?id=1-q0L5qd7PrbKNexT8xqaYCrRhvR3Ltft</t>
  </si>
  <si>
    <t>https://drive.google.com/open?id=1I2Rp50o3hY6Gytgt9aL-Y00crJ1ohLD3</t>
  </si>
  <si>
    <t>https://drive.google.com/open?id=1yVB--BoCqS3t6aVUB2ltY6cxqP1MyKm-</t>
  </si>
  <si>
    <t>https://drive.google.com/open?id=1XZqJB3kEWgVox4tv0rumJcHTeb5RAeM6</t>
  </si>
  <si>
    <t>https://drive.google.com/open?id=16ksOX3HLKLVcGbcTceqsV30BdGb4gul9</t>
  </si>
  <si>
    <t>https://drive.google.com/open?id=17UFjEoykO9mbggsIgThCaiTddtM9zXOH</t>
  </si>
  <si>
    <t>https://drive.google.com/open?id=12qlhY8FGtf7kmvX6QeQ6h6-JYWQE_MAB</t>
  </si>
  <si>
    <t>https://drive.google.com/open?id=1U20idE61FFEVTkkHa4TYkNUv-fb3RJ_x</t>
  </si>
  <si>
    <t>https://drive.google.com/open?id=1lXY-UWsyc_mVpeph0aZqxvJ55a8WpW4x</t>
  </si>
  <si>
    <t>https://drive.google.com/open?id=1RWCHT7Njnt3RUJxPUaqACYiTKyh0fZ14</t>
  </si>
  <si>
    <t>https://drive.google.com/open?id=18iUqGb4LMs6NoDlyLN8yR_3IQbsoariy</t>
  </si>
  <si>
    <t>https://drive.google.com/open?id=1ja2CXwF0Xoy4cA80pscWxvoAdRf5ys58</t>
  </si>
  <si>
    <t>https://drive.google.com/open?id=1HxVlCgqKU70TWdVXFg5Xu7cp7UShfPNl</t>
  </si>
  <si>
    <t>https://drive.google.com/open?id=1SAEAVTMN10tgGePZ9n4pEKioF6dwEIMR</t>
  </si>
  <si>
    <t>https://drive.google.com/open?id=1eWRfPR9iOewjNj9SW6GqP4OFduGJSz5q</t>
  </si>
  <si>
    <t>https://drive.google.com/open?id=1-_ZJCFeY23heP8IftLTg9rLlAagtX2uh</t>
  </si>
  <si>
    <t>https://drive.google.com/open?id=1Qj82hBaoXFEYR19rfXQ44YwwiPx6XW2L</t>
  </si>
  <si>
    <t>https://drive.google.com/open?id=14qb1xR-NEImtbbZ5z8fAnKbN53S2yrVc</t>
  </si>
  <si>
    <t>https://drive.google.com/open?id=1O6lvatLMloXDQkxql0NqOp3wwCF0cNCv</t>
  </si>
  <si>
    <t>https://drive.google.com/open?id=1HvGsS0W3dDgdU5XUufd1PsmM37rbmrNx</t>
  </si>
  <si>
    <t>https://drive.google.com/open?id=1dvntQh7LqSRiSFsYfpS-KGx9lKlXT0fz</t>
  </si>
  <si>
    <t>https://drive.google.com/open?id=12EtovZpLCIqFhv21F0nbYziDCLMJG0pt</t>
  </si>
  <si>
    <t>https://drive.google.com/open?id=1Evesqrx7AiQczNP74yCyEe1s6XvP7lZu</t>
  </si>
  <si>
    <t>https://drive.google.com/open?id=1_N1Suct6XBYJfih1xChfuMyxkuV2BxyO</t>
  </si>
  <si>
    <t>541-1/BK-2025</t>
  </si>
  <si>
    <t>https://drive.google.com/open?id=1PoQUUrfgKvJhTsfAKjc7V-2S7Ot5SDuL</t>
  </si>
  <si>
    <t>542-2/BK-2025</t>
  </si>
  <si>
    <t>https://drive.google.com/open?id=1k9xoxnD1IMVYsebJeGLPT5woZcE8Y6Gq</t>
  </si>
  <si>
    <t>https://drive.google.com/open?id=1irlxDTOxZRHSPBWVtqDIoP7VLJYm7hCq</t>
  </si>
  <si>
    <t>https://drive.google.com/open?id=1ACXrjWMWKBNkr88byUddhJccciAdbcEw</t>
  </si>
  <si>
    <t>https://drive.google.com/open?id=15pCLEtcCQxV8YhK7rEktqA8M2Mz8EfXQ</t>
  </si>
  <si>
    <t>https://drive.google.com/open?id=1mm2TmQ1p4_yvezmMQGSKk_vgnaABBYan</t>
  </si>
  <si>
    <t>https://drive.google.com/open?id=11gNmEXF8dVv8gD_tre6fkxFYaeqqFjAx</t>
  </si>
  <si>
    <t>https://drive.google.com/open?id=1N9lEVgqglqw9FanVWR_qdpcrYfK4sZCz</t>
  </si>
  <si>
    <t>https://drive.google.com/open?id=1wpW6wCnD6sfbA94A1Nc64CfTHEZa3L3K</t>
  </si>
  <si>
    <t>https://drive.google.com/open?id=1WfjGDy1sd3N803vy_CWalc4HRDYgpdZU</t>
  </si>
  <si>
    <t>https://drive.google.com/open?id=1INHJLwbQkwpMyJBPaxp_QG8p4w_P99MJ</t>
  </si>
  <si>
    <t>https://drive.google.com/open?id=1IDUjXL5kdVfnZyQVfLRbprv7h9o0-TDk</t>
  </si>
  <si>
    <t>https://drive.google.com/open?id=137TjlUsb5_8woRW5hEz08iuFVzWYPJTq</t>
  </si>
  <si>
    <t>https://drive.google.com/open?id=1xIxA9uD6dPxDkTJeEcASi_EDKirKX7DC</t>
  </si>
  <si>
    <t>https://drive.google.com/open?id=1HUX0JI5eYAEaI3ssmALl08_qdBwaVGYh</t>
  </si>
  <si>
    <t>https://drive.google.com/open?id=1Diylgo5kk3so3WuqXdUlFBLmltdcIPtm</t>
  </si>
  <si>
    <t>https://drive.google.com/open?id=1se4zWtifWkTa0YF5Dvep6FbqOk51UMj5</t>
  </si>
  <si>
    <t>https://drive.google.com/open?id=1nsfFL7zzfGxz_HWCC9AmbMFwQ6maScEO</t>
  </si>
  <si>
    <t>https://drive.google.com/open?id=1fpgQzZMGSbAFh-HqFvdbrtCgOFyQcpZW</t>
  </si>
  <si>
    <t>https://drive.google.com/open?id=1LsEcH7cAijh4kOlFG03BRVsA6sL8YcG9</t>
  </si>
  <si>
    <t>https://drive.google.com/open?id=1XKB_VoyC-GmipA8XUGkXFLBSqrqkKe4D</t>
  </si>
  <si>
    <t>https://drive.google.com/open?id=14C_AxUTNtGp8_SpgP-conVS38nKV3dKJ</t>
  </si>
  <si>
    <t>https://drive.google.com/open?id=15CGWQJwQ6mTf-Al78dISqzOi18EfHcke</t>
  </si>
  <si>
    <t>https://drive.google.com/open?id=1gIAoK5C37RWCpZyuH1P3CTZot2WUjQKf</t>
  </si>
  <si>
    <t>https://drive.google.com/open?id=110exFSjjRMs6M7QaZuXhjn00RbemfYRX</t>
  </si>
  <si>
    <t>https://drive.google.com/open?id=1k2dNqXEVAf2gYhXtNAXbV57bYHBy9pjX</t>
  </si>
  <si>
    <t>https://drive.google.com/open?id=1AouJipXkbzMB05k4oW6JYLIT1x2XnIXJ</t>
  </si>
  <si>
    <t>https://drive.google.com/open?id=1r3iVMtKtEvswqu7GxTrcLE6IBqZb_20u</t>
  </si>
  <si>
    <t>https://drive.google.com/open?id=109ZFVfr57LUk6b4_olvIYNDz5m1IeC9n</t>
  </si>
  <si>
    <t>https://drive.google.com/open?id=17p7m1OD5EGJfbel3NDu5GRD-33aeAXlX</t>
  </si>
  <si>
    <t>https://drive.google.com/open?id=1ef8J_dfVnrLq4QuUIDNIHaqa9MxKlODo</t>
  </si>
  <si>
    <t>https://drive.google.com/open?id=14x6_hMtWVqCbvB_UniCfAP9Vl61IwqSh</t>
  </si>
  <si>
    <t>https://drive.google.com/open?id=1n8BsZAK_lQIsZDJ5MUnPk1yrEDEOLKCD</t>
  </si>
  <si>
    <t>https://drive.google.com/open?id=1pXymrHkZBhReooQ78CeJmxWhvYCMMfgI</t>
  </si>
  <si>
    <t>https://drive.google.com/open?id=1E1HN9rBZqSUGLoenbcn-HKQdwCx5VUkL</t>
  </si>
  <si>
    <t>https://drive.google.com/open?id=1CQvv_OjaeRJ-PHaiTFX96tHsWj3ITlHu</t>
  </si>
  <si>
    <t>https://drive.google.com/open?id=1mLGTkYME4koUKQD4WtkJQJs56GtgM0gW</t>
  </si>
  <si>
    <t>https://drive.google.com/open?id=1EMQ4EAod_fC2l3A8DHH8WCKyu2pVZmLc</t>
  </si>
  <si>
    <t>554/BK-2025</t>
  </si>
  <si>
    <t>555/BK-2025</t>
  </si>
  <si>
    <t>556/BK-2025</t>
  </si>
  <si>
    <t>https://drive.google.com/open?id=1mpBv48f6SVn_huxxianu50yX9hdV6QLL</t>
  </si>
  <si>
    <t>https://drive.google.com/open?id=1o7e-x8Os_Ot5P7ZHhostcvC_WddoH_S0</t>
  </si>
  <si>
    <t>https://drive.google.com/open?id=1mzv5kSKHxgGl7EtBS2ZbncwW9IzEU2GN</t>
  </si>
  <si>
    <t>https://drive.google.com/open?id=1dx5mi545VMjo6Km8pIbrYLBmvngiBbB9</t>
  </si>
  <si>
    <t>https://drive.google.com/open?id=1Rz_2QAa4NXLqLKVMXSwhmWsBB0A-bmQs</t>
  </si>
  <si>
    <t>https://drive.google.com/open?id=1CFxdnszaT3HnqfTkC6WJAucfrUa9IyKh</t>
  </si>
  <si>
    <t>https://drive.google.com/open?id=15Q22Y5YkybF7b1kJ-2VesfQvK2RCAFvZ</t>
  </si>
  <si>
    <t>https://drive.google.com/open?id=1N-h2uIXVw7la1OBXtlFWpa1LeBmic-Mu</t>
  </si>
  <si>
    <t>https://drive.google.com/open?id=15X0YEs8ksvFFviDUkwIBB-ScGRcTUiqp</t>
  </si>
  <si>
    <t>https://drive.google.com/open?id=1ovlqFZeXmtU9gMLvYqaLKyEGKg7Y0Kee</t>
  </si>
  <si>
    <t>https://drive.google.com/open?id=1QvU9QDGH8IS0HjdVtzcRC697kKXLPpql</t>
  </si>
  <si>
    <t>https://drive.google.com/open?id=12y7zJiQYcOqh_37vO3bRGn4CUeagClLb</t>
  </si>
  <si>
    <t>https://drive.google.com/open?id=1IPoJl3fZUsqw0f84pZwMJCA4ZUGw88N-</t>
  </si>
  <si>
    <t>https://drive.google.com/open?id=1hG3CMZzWFD0vy9BoFnumOYfJnGeUqbrc</t>
  </si>
  <si>
    <t>https://drive.google.com/open?id=1tBf5Q_zhnJYcQ7qzLhZjGamL5Bi6Fsa7</t>
  </si>
  <si>
    <t>https://drive.google.com/open?id=1DzejkKymGzQvUBncU4xB5iksq4eifVw5</t>
  </si>
  <si>
    <t>https://drive.google.com/open?id=1s8vhnrhrXnSFYcn9AH_SDFc1j7svhYVA</t>
  </si>
  <si>
    <t>https://drive.google.com/open?id=1pjsCqlE43XfbKv7NLaBV0tK-wUxcMQJm</t>
  </si>
  <si>
    <t>https://drive.google.com/open?id=1Uecae8-vl_lEUit1atFn2P4o6Xozexak</t>
  </si>
  <si>
    <t>https://drive.google.com/open?id=1cpWViQNpbo2-FKrjt1UaEs_qJWGh2iNk</t>
  </si>
  <si>
    <t>https://drive.google.com/open?id=1n85fr0MAlFM7xrTuPd4GA_VgPrlr13P6</t>
  </si>
  <si>
    <t>https://drive.google.com/open?id=1-840JYPqKXchKuuxymTNQ6RvYo_K3LRe</t>
  </si>
  <si>
    <t>https://drive.google.com/open?id=1Cxuijj3C-hQTMYF6a3VytlvG81J3Zu2N</t>
  </si>
  <si>
    <t>https://drive.google.com/open?id=1xQOLGr2v1AYWD73IwpnBYzN11VlzUyq_</t>
  </si>
  <si>
    <t>https://drive.google.com/open?id=1KzFmBkw5UZMG8PqenyUS5xko5ROcmEDC</t>
  </si>
  <si>
    <t>https://drive.google.com/open?id=1xjeWXwVEo3a2XVvrnreBN0oM_Aij07uB</t>
  </si>
  <si>
    <t>https://drive.google.com/open?id=15HD9-wIyGxbEWHA8vc_pkVJurcHt4oFh</t>
  </si>
  <si>
    <t>https://drive.google.com/open?id=1P3jDw60z6y_d5KQHws2DzGY5FwNo9mAc</t>
  </si>
  <si>
    <t>https://drive.google.com/open?id=10ruiV5lDlVP4NqT6FHKsVTGeGEzxJFW1</t>
  </si>
  <si>
    <t>https://drive.google.com/open?id=1XscAoBe0xgbV1R4sq40BnyxipKhMrwlA</t>
  </si>
  <si>
    <t>https://drive.google.com/open?id=1ZC9yQvfgIpH4jktVnVjV1M4jAtJ88z8P</t>
  </si>
  <si>
    <t>https://drive.google.com/open?id=1Bn-KoF0kJCuPPaM8Sjm4G0QZJcjODPk7</t>
  </si>
  <si>
    <t>https://drive.google.com/open?id=10khbuICd7p0hNOTyWH4KLsvzu8SKEaGn</t>
  </si>
  <si>
    <t>https://drive.google.com/open?id=1Dx_3JjoC7-HmpiNIOJ9RKuVkJOdUoULN</t>
  </si>
  <si>
    <t>https://drive.google.com/open?id=1nkHzljZvJT7iV93glxhHAjgu1JGdBrGT</t>
  </si>
  <si>
    <t>https://drive.google.com/open?id=12tQtUq1cpU_Xge2crptAxZ7Pe-wbJUsg</t>
  </si>
  <si>
    <t>https://drive.google.com/open?id=1npWT3gBNeCKqI_SaSZeDwMZdHT17DjCk</t>
  </si>
  <si>
    <t>https://drive.google.com/open?id=12E0O-9YcCk8mocPNi3k6owUtx0wlIV9s</t>
  </si>
  <si>
    <t>https://drive.google.com/open?id=1HoLkMY3qHwA8EDKamXGtq9S1j0bB5Fwu</t>
  </si>
  <si>
    <t>https://drive.google.com/open?id=1H5eFdadRRASC15tKBejb97z6x481IhVN</t>
  </si>
  <si>
    <t>https://drive.google.com/open?id=1Mduop8EUkTSFpnv96U_YAX-EwJ_t3jYN</t>
  </si>
  <si>
    <t>https://drive.google.com/open?id=1CzEdGb1r5WFS7tDg7WOreS9Rzg5Vx7kT</t>
  </si>
  <si>
    <t>https://drive.google.com/open?id=12EaU3oEIbuBhOr0NFxuvaLidRw_PuCkO</t>
  </si>
  <si>
    <t>https://drive.google.com/open?id=1EdfIEsVs1BpogfG6Ki5xXp3aLYJY66_A</t>
  </si>
  <si>
    <t>https://drive.google.com/open?id=1njiwusCFmixwVgcWaV4K29pXbcdgVmbY</t>
  </si>
  <si>
    <t>https://drive.google.com/open?id=1gTCWc-Zsw8fL1xz0Bp81N0x4P4xqYLes</t>
  </si>
  <si>
    <t>https://drive.google.com/open?id=1SR3z55NJNHYbNCcg4q_hod4URVnlldIq</t>
  </si>
  <si>
    <t>https://drive.google.com/open?id=1YJn_agOgzkUIrSMpk0grXT3XEfP6W5TG</t>
  </si>
  <si>
    <t>https://drive.google.com/open?id=135uH_7O9OSXp21FIpL7CNrtmlNyoPmA2</t>
  </si>
  <si>
    <t>https://drive.google.com/open?id=1CQxDVgAWjIk_vW7X3fAG8UVwWaIXVanj</t>
  </si>
  <si>
    <t>https://drive.google.com/open?id=1m3231GBeGgNQEgpJyv1yl52HHh7hwkK_</t>
  </si>
  <si>
    <t>https://drive.google.com/open?id=1YH5xUQvT1_uYvvXb6Phqp2D3dmfT9Hn9</t>
  </si>
  <si>
    <t>https://drive.google.com/open?id=1ljS4NRwA1QqnFh6UolMhfRG96V-DAoSl</t>
  </si>
  <si>
    <t>https://drive.google.com/open?id=1ny8834Xu-O1io9ejXMUh6T-cGjxqsfZJ</t>
  </si>
  <si>
    <t>https://drive.google.com/open?id=16xOT48bIoOiQkBnoVcxMszEpb4Bzf-i-</t>
  </si>
  <si>
    <t>https://drive.google.com/open?id=1feTYBcqYWUIv1rhjwmmlb-vJGNfR0m9V</t>
  </si>
  <si>
    <t>https://drive.google.com/open?id=1MsmdcDvLi4_nqM8ZzslnjX3W7gU7krrK</t>
  </si>
  <si>
    <t>https://drive.google.com/open?id=1nNrrmfxA-NtYt-CcTqJpN14AqOkwty7Z</t>
  </si>
  <si>
    <t>https://drive.google.com/open?id=1W8GGQc2SyYC8qlwwqGnmdMbgG1UjGNgt</t>
  </si>
  <si>
    <t>https://drive.google.com/open?id=1y6t2_nwY4HLvbiR9s0bQB9eQ2Dh1c4it</t>
  </si>
  <si>
    <t>https://drive.google.com/open?id=1Cvowzb3u9s8IlFI-8H9Z3x_Bdjvq1e7E</t>
  </si>
  <si>
    <t>https://drive.google.com/open?id=1ZrzNTOLpaz6oCe5zW_vCHxthII5cFvz3</t>
  </si>
  <si>
    <t>https://drive.google.com/open?id=1j7omBxyagCXFzbmVOJvdPyLYQ4hUEIxa</t>
  </si>
  <si>
    <t>https://drive.google.com/open?id=1VyK9U6hyRo47UJoa0faXkBcTqEqg37OR</t>
  </si>
  <si>
    <t>https://drive.google.com/open?id=1GM-Po6bytuJzx_sdSMZD1H1wslqSDfr0</t>
  </si>
  <si>
    <t>https://drive.google.com/open?id=1J67yqz4bKx5cjtcUEYlldCyMvU4dHU1m</t>
  </si>
  <si>
    <t>https://drive.google.com/open?id=1E_ay9IHf7xEsLUQb3dCOmZtFEb-mVszC</t>
  </si>
  <si>
    <t>https://drive.google.com/open?id=1yuXdMQd3FBhulzFg5x95CFXv0sgNLfDO</t>
  </si>
  <si>
    <t>https://drive.google.com/open?id=1MyFGZNVAi0-TX2fLg0WlB7waYQvTQxgO</t>
  </si>
  <si>
    <t>https://drive.google.com/open?id=1T2mSwnj6pPewSW8eUPKVk8-t80EogdOD</t>
  </si>
  <si>
    <t>https://drive.google.com/open?id=102ROljzAShkj-o_7AEyv2EHR2p6blnfw</t>
  </si>
  <si>
    <t>https://drive.google.com/open?id=1oWAxHSmYeWplEso64iTbfTiHC2t7YR2Q</t>
  </si>
  <si>
    <t>https://drive.google.com/open?id=1OIxBrFlY35bchHL8cyEmE_HPAUumVPkY</t>
  </si>
  <si>
    <t>https://drive.google.com/open?id=1nMVYEV8diemtgAVj4krHvYH4hVY3Z-db</t>
  </si>
  <si>
    <t>https://drive.google.com/open?id=1pkRE0hD2LVF4Fnv-Fql0qa8_lWwC--t_</t>
  </si>
  <si>
    <t>https://drive.google.com/open?id=1Cuepk7UNQimykMf-zGUVR9lcuZWWOTEZ</t>
  </si>
  <si>
    <t>https://drive.google.com/open?id=1OI07TKtRiGXPK_MvA6rCFZUdLq4YBe7c</t>
  </si>
  <si>
    <t>https://drive.google.com/open?id=1Eb3RxuuP4X-6gtMKBykKrsF134diM2bY</t>
  </si>
  <si>
    <t>https://drive.google.com/open?id=1tEKo4fvcw5vGNWfcQf50yWLl9z6xWvb3</t>
  </si>
  <si>
    <t>https://drive.google.com/open?id=1iMUeg6DVcGpi7Gs9VZGY1s6UbwRdvZsz</t>
  </si>
  <si>
    <t>https://drive.google.com/open?id=1YCgN4Xz-hOmdsLwMAoq_WUHHhYlJGd5k</t>
  </si>
  <si>
    <t>https://drive.google.com/open?id=1aYwVLGBVy8tQ0Cljbp4RRyw2TaunlycU</t>
  </si>
  <si>
    <t>https://drive.google.com/open?id=1KztbTRaq0ABxBx_4bcobr4ZrCTe3kO6d</t>
  </si>
  <si>
    <t>https://drive.google.com/open?id=1njkm0Lq_3iCLXD6Uk6eqU0feLLttVdFV</t>
  </si>
  <si>
    <t>https://drive.google.com/open?id=1MNV8QNrVMqcS--s_VBrkRn-cBhAIZ8dv</t>
  </si>
  <si>
    <t>https://drive.google.com/open?id=1EuyA90V1vFjnAL33Nf4BO3AB4PlM9yt9</t>
  </si>
  <si>
    <t>https://drive.google.com/open?id=1hEpgWH-qDVM1_kjUsgEuGpy5yO3yd2P8</t>
  </si>
  <si>
    <t>https://drive.google.com/open?id=1I5BEtJZSEjIKzPlkcVKjRnUSv8i788MF</t>
  </si>
  <si>
    <t>https://drive.google.com/open?id=15sTJGIOcUzfSV0vNYKb8GKsejozAFolg</t>
  </si>
  <si>
    <t>https://drive.google.com/open?id=1u4dR2cqBEMnUpYsHaFYeioZSOMjb_ntU</t>
  </si>
  <si>
    <t>https://drive.google.com/open?id=1pOU74Ux-nHYFI-wqwM06I38_StNiy8Hj</t>
  </si>
  <si>
    <t>https://drive.google.com/open?id=1Y2GgWzKpnBm4iN_GrBIDZVxw7lPaBEa-</t>
  </si>
  <si>
    <t>https://drive.google.com/open?id=1kcD9u4dp3r1G81EQx3E1GamaPlokgSVG</t>
  </si>
  <si>
    <t>https://drive.google.com/open?id=1WKk0ERgdOQmx12htwK4Acg8LGEIk5WnI</t>
  </si>
  <si>
    <t>https://drive.google.com/open?id=1XzBwL_sG0a1oMhIpiColzdcYD6z4-Z76</t>
  </si>
  <si>
    <t>https://drive.google.com/open?id=1D_U15983pIX_mof2tURKv_z_9SA2LDWX</t>
  </si>
  <si>
    <t>https://drive.google.com/open?id=1u2cbaW3qAQlOq69XXVmI-R9Y4WNcyge8</t>
  </si>
  <si>
    <t>https://drive.google.com/open?id=193RFghocffUm2H_isse3A-CC0eBre_NK</t>
  </si>
  <si>
    <t>https://drive.google.com/open?id=1JH0XcCSUrv5BRZuOx_oF1F_v-ncsGeWd</t>
  </si>
  <si>
    <t>https://drive.google.com/open?id=1ivpSeiD5nuHTKIRfW7dfNOkKJ8MEACSy</t>
  </si>
  <si>
    <t>https://drive.google.com/open?id=1Bp-Bm-u6MT_TmJfXnNA6obc9HFYtav4J</t>
  </si>
  <si>
    <t>https://drive.google.com/open?id=1WD3DMxY9A10tAIv_oNy0LzHdOmhWlM51</t>
  </si>
  <si>
    <t>https://drive.google.com/open?id=1_fdgG-dBEy2ParfPDg2zoiom2UeGKRHV</t>
  </si>
  <si>
    <t>https://drive.google.com/open?id=1-dQkSnWGRy2839rryVLXIzr38fU0unb6</t>
  </si>
  <si>
    <t>https://drive.google.com/open?id=1M8zMp-qgIRdS4BDNWCpebPONnOlZCtsQ</t>
  </si>
  <si>
    <t>https://drive.google.com/open?id=1-CJDXMq7DQVpvynM7QdA33cVXOGbgGji</t>
  </si>
  <si>
    <t>https://drive.google.com/open?id=1SgXTitgD4oOQ20mOdLqRn81HL6HPfCtL</t>
  </si>
  <si>
    <t>https://drive.google.com/open?id=1J0BoBHBYo5jMtUycTGV5oXWngeHDhVe7</t>
  </si>
  <si>
    <t>https://drive.google.com/open?id=1VK3klVJFHqAdmONOVUHse4f12ATr8yPG</t>
  </si>
  <si>
    <t>https://drive.google.com/open?id=1cIwjK1XUpUQxSLRoLoJVvZlCxpfmrCmu</t>
  </si>
  <si>
    <t>https://drive.google.com/open?id=1KHvZTgUF18VDsa4qMtbTKqcmyTabByK-</t>
  </si>
  <si>
    <t>https://drive.google.com/open?id=1qCVJKVZIMCJpPD6oDc6EFtUfk_tNviUr</t>
  </si>
  <si>
    <t>https://drive.google.com/open?id=1CiOh8hP2XL6uYVPMq1zeeWnn9qQ9xpIY</t>
  </si>
  <si>
    <t>https://drive.google.com/open?id=12MQn2vxPenQj32PBEVrbgvUHqDHjKb7U</t>
  </si>
  <si>
    <t>https://drive.google.com/open?id=13Wbzg4jR2uc1wQLqeNS7fFilod7EHtbc</t>
  </si>
  <si>
    <t>https://drive.google.com/open?id=1Cf0nTWBDpIzbV8AxOsXodeMVbc4FUDJ-</t>
  </si>
  <si>
    <t>https://drive.google.com/open?id=1JiIQHT4BWLQc_47ePRBr9QFJMocCdqC7</t>
  </si>
  <si>
    <t>https://drive.google.com/open?id=1zKCRkW4nKe62APf-1Ik2FCKQrpyCFgde</t>
  </si>
  <si>
    <t>https://drive.google.com/open?id=1_EEO54W1djAF-Wn9SZ3e0xUuFeNIeUNe</t>
  </si>
  <si>
    <t>https://drive.google.com/open?id=1sIOrcGggCGQOOPuB7D_xsDPByYe5iOPv</t>
  </si>
  <si>
    <t>https://drive.google.com/open?id=1_mKr_aOeXSLttRJYmXjLhnqtG5n4pQZf</t>
  </si>
  <si>
    <t>https://drive.google.com/open?id=1Pv3w467R3YEjvrkKrPTqmnljUGRxkSpO</t>
  </si>
  <si>
    <t>https://drive.google.com/open?id=1r9intHGZaltFKjPxUcmmyTAebWGM349J</t>
  </si>
  <si>
    <t>https://drive.google.com/open?id=1A_Icl6EtpyQI67ZvXKQGI9fxOWwfT78X</t>
  </si>
  <si>
    <t>https://drive.google.com/open?id=1ojp-v70sLxz41Qkd51WvFf8UjkXaom7q</t>
  </si>
  <si>
    <t>https://drive.google.com/open?id=1guvQIMRejhBKcqIhUzpZOxd2kmNCsua7</t>
  </si>
  <si>
    <t>https://drive.google.com/open?id=1IHUee6kNRl-4_fIQRM9cx3nFOXZloUNR</t>
  </si>
  <si>
    <t>https://drive.google.com/open?id=1A_7no1prTHSNPGeZ3HpkokCxqItLjVvk</t>
  </si>
  <si>
    <t>https://drive.google.com/open?id=13m0JnQpgM-rmY2iLEwDcjJED9vERtSxW</t>
  </si>
  <si>
    <t>https://drive.google.com/open?id=1PpR2uWZz2iIn42EXKmrRh5lWAAl4AuG6</t>
  </si>
  <si>
    <t>https://drive.google.com/open?id=1i827S946ukbTmGWRe2szE5L25Br5cflT</t>
  </si>
  <si>
    <t>https://drive.google.com/open?id=1q-Lpj1Tb9HRdDqKwsFMchQsslct8ZxBN</t>
  </si>
  <si>
    <t>https://drive.google.com/open?id=1LaWacgfyHC4k6Ps3zd8YYMSNUXtiHm6S</t>
  </si>
  <si>
    <t>https://drive.google.com/open?id=1Lt6lmGpk77Ave5VWKUBFoETTkgdAS4RZ</t>
  </si>
  <si>
    <t>https://drive.google.com/open?id=15GZgE7CdRZK3KYDqkbKzJ6FfZOOQA-3I</t>
  </si>
  <si>
    <t>https://drive.google.com/open?id=1aUe--SRxk4w7OOoxuKXtO5GtY7jZfrtW</t>
  </si>
  <si>
    <t>https://drive.google.com/open?id=1VJEcBT6cVQpC34hMBOy5hDzZU5ed5yCw</t>
  </si>
  <si>
    <t>https://drive.google.com/open?id=1b_KUpmjez8m8-sZLQyDGHcBLai_OsUmi</t>
  </si>
  <si>
    <t>https://drive.google.com/open?id=1KvgieoczdxARCWV4QYYB9onCu4hYuuyv</t>
  </si>
  <si>
    <t>https://drive.google.com/open?id=1lebHIgNarG0naFEfli0csNAGLCAJ592r</t>
  </si>
  <si>
    <t>https://drive.google.com/open?id=11GbRkGJe_DRgi_jidIOP2lUgMz13SY9M</t>
  </si>
  <si>
    <t>https://drive.google.com/open?id=1lPrsUVeZCLcYmftqKjQfVuQd5qf-jyzL</t>
  </si>
  <si>
    <t>https://drive.google.com/open?id=1pOTjYPmoezKh6ecy735PmjRQ29u5uXHD</t>
  </si>
  <si>
    <t>https://drive.google.com/open?id=1CICLkvqJg7w6mVq8KzbdP6C8YNWnkPEp</t>
  </si>
  <si>
    <t>https://drive.google.com/open?id=1aAlB8QvRai2uJbhu1HMaWeGifwNRMdp1</t>
  </si>
  <si>
    <t>https://drive.google.com/open?id=1jpUVNNkA9_uigmjb4yBnxRV5ffO-OUF6</t>
  </si>
  <si>
    <t>https://drive.google.com/open?id=1YgRSuhmKDySc8HiXzVaWuaAP3QuT0OJF</t>
  </si>
  <si>
    <t>https://drive.google.com/open?id=17N5BlMcQ5JDksX-0nk-pTeaQEov5KRDD</t>
  </si>
  <si>
    <t>https://drive.google.com/open?id=1b7MwjIkaiJfy0fJfoiT_DxvOiixEfsLY</t>
  </si>
  <si>
    <t>https://drive.google.com/open?id=1Vbr1Xhu4L8l_V8HpQ1KsttjgMfpr0iXr</t>
  </si>
  <si>
    <t>https://drive.google.com/open?id=1I4GMFhKstWeDXmGn1OcAhcc8-GDLiHi1</t>
  </si>
  <si>
    <t>https://drive.google.com/open?id=1YdN4xn_H4vb6nVNRsf9h61_evFz0LoJO</t>
  </si>
  <si>
    <t>https://drive.google.com/open?id=1uQFqMXNe-HCYQgrUJxFovaVuyigZK_vB</t>
  </si>
  <si>
    <t>https://drive.google.com/open?id=1xrhOPkOVCdpPL1j0wo5yzOiG7bdrsUsE</t>
  </si>
  <si>
    <t>https://drive.google.com/open?id=1T6DJ_QmvJmUyOOX7mF2hKZMZIH124cLa</t>
  </si>
  <si>
    <t>https://drive.google.com/open?id=1PQ2v65Krb_U31bzyMjOA5ByFHcRf5TwY</t>
  </si>
  <si>
    <t>https://drive.google.com/open?id=1-Eye48KsXBbUQXWVfMOI9-2xEuFcL2Ly</t>
  </si>
  <si>
    <t>https://drive.google.com/open?id=196Xw8DgK47EFyKJmf_5lol8ol14usG_J</t>
  </si>
  <si>
    <t>https://drive.google.com/open?id=1vJxo2gdMH4K-W7KcaYnrP1qDatH0bkSN</t>
  </si>
  <si>
    <t>https://drive.google.com/open?id=15gdrfTE_JCfIwHQUPsR9l7CmLusGgJZ5</t>
  </si>
  <si>
    <t>https://drive.google.com/open?id=1ievRUMjKOSGxKW-Naw_XWSdQYJWjAOlo</t>
  </si>
  <si>
    <t>https://drive.google.com/open?id=17qR8ib9BLW-P1wShKAYD5wbIZKYxhhbi</t>
  </si>
  <si>
    <t>https://drive.google.com/open?id=1nwdXLBE48ORx4bXFRohT96zT2JShFBSf</t>
  </si>
  <si>
    <t>https://drive.google.com/open?id=1UQefzinutSk-XyQrRBmGdfudKvlliwL7</t>
  </si>
  <si>
    <t>https://drive.google.com/open?id=1NbfNy_rjzlaVfR76fMJQmqyu1vrNywhE</t>
  </si>
  <si>
    <t>https://drive.google.com/open?id=1ruFJtzkRGaQK_TuDiEHLMYMMWMB-eShC</t>
  </si>
  <si>
    <t>https://drive.google.com/open?id=10vjeptkomTebmrmCnX8bdtkZFU4PSLD5</t>
  </si>
  <si>
    <t>https://drive.google.com/open?id=1-M14CuqBdZrFs5Zb1bJHEn9FyDiFz8ao</t>
  </si>
  <si>
    <t>https://drive.google.com/open?id=1zg6wlZpexdht5UrpQLKQnsv4HObfZMhL</t>
  </si>
  <si>
    <t>https://drive.google.com/open?id=1kf6ZO54ptAlv1lhp84k1x9_O4Gb467up</t>
  </si>
  <si>
    <t>https://drive.google.com/open?id=1kVWgkmuldagdFdRVU1gZt90QbxX98XR8</t>
  </si>
  <si>
    <t>https://drive.google.com/open?id=1IpLueR6BMLVH5CEpfx1LWtkSzpvcU0X-</t>
  </si>
  <si>
    <t>https://drive.google.com/open?id=1hDFCE_VpyybTl3wLGbC7HgEWvKMNlQb4</t>
  </si>
  <si>
    <t>https://drive.google.com/open?id=1innXYS1J1Czb0fFz8WvqnncvjcA8YXTF</t>
  </si>
  <si>
    <t>https://drive.google.com/open?id=1KeABZKkH3mpJURGIwZ6uowIppEqcICbL</t>
  </si>
  <si>
    <t>https://drive.google.com/open?id=1odeWnPsbk7cdo_3_iFhe2ilmeuGqQS-1</t>
  </si>
  <si>
    <t>https://drive.google.com/open?id=1VLhQq6eb-tqBH0V1eQcXhtZaKwunJQ8d</t>
  </si>
  <si>
    <t>https://drive.google.com/open?id=135U6hdJq-KBbV5YxOsIvJiLPKdyAx5Fx</t>
  </si>
  <si>
    <t>https://drive.google.com/open?id=1w3IhMN-qmBpUcyVSKE8icRBtjYZrfHY_</t>
  </si>
  <si>
    <t>https://drive.google.com/open?id=1i0uveGvF1mLUXcgztNGiNeLkbLyLf-iN</t>
  </si>
  <si>
    <t>https://drive.google.com/open?id=1Y85V_1TRhZxbvnIZN1LmxPLcqJ777VCI</t>
  </si>
  <si>
    <t>https://drive.google.com/open?id=1w3Bdop60-zFYwOdMBLI9k0JlYp9UJQ0T</t>
  </si>
  <si>
    <t>https://drive.google.com/open?id=1TYaValzpMyqNPeK9Z1kI3NpPRj1qytBV</t>
  </si>
  <si>
    <t>https://drive.google.com/open?id=1a3FIoGdmKl1KvsghLvM0L2NB6OxjnwPD</t>
  </si>
  <si>
    <t>https://drive.google.com/open?id=12-U2tMsbFuN_pUCd_IEzDeJw2_Th0RJy</t>
  </si>
  <si>
    <t>https://drive.google.com/open?id=1UUcpr8M9XaC-XiMMdUUksgVc32_GyyND</t>
  </si>
  <si>
    <t>https://drive.google.com/open?id=14SwtCGn7A9JLb1A1-ITdNv3LuYsR3rO8</t>
  </si>
  <si>
    <t>https://drive.google.com/open?id=1BGenb-JcVqngPJvBy-UpVGs5gZuhRWzY</t>
  </si>
  <si>
    <t>https://drive.google.com/open?id=1niWphIE-WQBoXR2W9ycMRv1yB8TKsDBV</t>
  </si>
  <si>
    <t>https://drive.google.com/open?id=1MFeLR_KA-7ntF_g50hXg882wARtWGE3a</t>
  </si>
  <si>
    <t>https://drive.google.com/open?id=1QxWN-Ou377o92lOz97K9trUhR7wOPwIA</t>
  </si>
  <si>
    <t>https://drive.google.com/open?id=1_mD6iY7px6wUzpmITGVXF1TN4Lj-qR4s</t>
  </si>
  <si>
    <t>https://drive.google.com/open?id=1nyr0tsXTYfVyx7NwqLxIQryr0DQAR6wN</t>
  </si>
  <si>
    <t>https://drive.google.com/open?id=1bWs-_H92O1LYCnYRl_GJP3q1AR4RciLp</t>
  </si>
  <si>
    <t>https://drive.google.com/open?id=1HDxHIefEjd41qGj9RDiN6TWth9s3vPCC</t>
  </si>
  <si>
    <t>https://drive.google.com/open?id=1S07stAhzfzKq8kQyujm5ien2V2RpUGtB</t>
  </si>
  <si>
    <t>https://drive.google.com/open?id=1Ax6Nk0ar8WAeT7gDSdyatkKzxRmRWY99</t>
  </si>
  <si>
    <t>https://drive.google.com/open?id=15HQxwKc_VrqGrHEr5jAVNekZWNo6Gz2j</t>
  </si>
  <si>
    <t>https://drive.google.com/open?id=1xw57fSztavtgLx9Dgcr6bsOvW8mq0jjY</t>
  </si>
  <si>
    <t>https://drive.google.com/open?id=1JyXwVbwZAMCqTbeb0vM4pYOaza1wuyNn</t>
  </si>
  <si>
    <t>https://drive.google.com/open?id=11ubY1DYJAizraaGoAKgby2kLvW0HYApe</t>
  </si>
  <si>
    <t>https://drive.google.com/open?id=1BQkHa_b_Df0Ff2oWKCURfgisceY1smis</t>
  </si>
  <si>
    <t>https://drive.google.com/open?id=1e2HR6NkslCqRKd1eay4338NybtmstAas</t>
  </si>
  <si>
    <t>https://drive.google.com/open?id=1wSJt3QDa3O50vo27opFedv578gJsRYAg</t>
  </si>
  <si>
    <t>https://drive.google.com/open?id=1qeI_r4dxuIS04KzscuuZ1KWF7EIsaYum</t>
  </si>
  <si>
    <t>https://drive.google.com/open?id=1b493jVJ7yJFDn0bI_Nwzg5Cs7opgdf1G</t>
  </si>
  <si>
    <t>https://drive.google.com/open?id=1kUqzapabLSJGcKznsdjouE90yLcC2AR8</t>
  </si>
  <si>
    <t>https://drive.google.com/open?id=1_FwlmDhG5JJlbrfLG54TSeq6Hc-nr1zd</t>
  </si>
  <si>
    <t>https://drive.google.com/open?id=1cNqVAZcL_ehvfpVgWCaO5G9rH5h2Y2_u</t>
  </si>
  <si>
    <t>https://drive.google.com/open?id=1SVe6G4aFt3NcaYLi1OKR2momewMqZuSY</t>
  </si>
  <si>
    <t>https://drive.google.com/open?id=1z4mlsdj2RxjIUsaKPg1TV5E4TbkuXlZN</t>
  </si>
  <si>
    <t>https://drive.google.com/open?id=1ueFEKxbaXyZq806nWGKmiMCG-NbctNVM</t>
  </si>
  <si>
    <t>https://drive.google.com/open?id=1YUNwGRSvA-6iJ5npKyBFrmOE4WGAHAsm</t>
  </si>
  <si>
    <t>https://drive.google.com/open?id=1SXX6JqM5euz_CkqB9aUH-AtYM6PT_A-A</t>
  </si>
  <si>
    <t>https://drive.google.com/open?id=1wB1Ssl70qayc4tOUAiJWJvhIxgnzSwjd</t>
  </si>
  <si>
    <t>https://drive.google.com/open?id=1F4KX9KpmMCrnKfs2MCTXCNEiPERe9T5h</t>
  </si>
  <si>
    <t>https://drive.google.com/open?id=1iObvrNXSOXWv84Q3HSFExQbLmqfE5K2d</t>
  </si>
  <si>
    <t>https://drive.google.com/open?id=10Bxe9ISLZ2bxaSxh8u6QXhkeQv7S92Z3</t>
  </si>
  <si>
    <t>https://drive.google.com/open?id=1Jftt33LL2lxSaS7UQtEzrwd9CafCJ8rw</t>
  </si>
  <si>
    <t>https://drive.google.com/open?id=1qHR0RrLQmd4y9pbPRH4Q2OJuPRaVYP9A</t>
  </si>
  <si>
    <t>https://drive.google.com/open?id=16kUY1Rz6EGm11x0TR42EuAzng7P8h8X7</t>
  </si>
  <si>
    <t>https://drive.google.com/open?id=1dShdN-2J8EqNMDRhFgv-THcev0iQZOaM</t>
  </si>
  <si>
    <t>https://drive.google.com/open?id=10Jl4uhsEZ9Fr2FluFbQy41lVHxI7vaKa</t>
  </si>
  <si>
    <t>https://drive.google.com/open?id=15QfylF-A3guR81jF6DPv1PP_pAMlzp6v</t>
  </si>
  <si>
    <t>https://drive.google.com/open?id=1dE8lH3NVjeWCD1ppKn7xISm9wzVXwqB8</t>
  </si>
  <si>
    <t>https://drive.google.com/open?id=113y-xPpBzgGZ1TYD_JRbC3ahw1ds4Z3s</t>
  </si>
  <si>
    <t>https://drive.google.com/open?id=1RB4wZKtceiwzsTCGGaPZp-PcPZIk4AwL</t>
  </si>
  <si>
    <t>https://drive.google.com/open?id=1oYprj8NUN7NvsyG6V8FCrflhL9t2dE9K</t>
  </si>
  <si>
    <t>https://drive.google.com/open?id=1sMEaSv6Zu3Hm4CAGlpRK5MUEHZM-YnIF</t>
  </si>
  <si>
    <t>https://drive.google.com/open?id=1Oi_kVsYasZR1vvF2CaDNDWZ13bli4UaM</t>
  </si>
  <si>
    <t>https://drive.google.com/open?id=13ZC4GjYB_9-eO3zmXrF8gkVQ8KV7LXN1</t>
  </si>
  <si>
    <t>https://drive.google.com/open?id=1Qk-YlGcjpuxbwUrLXh-X2XMkhgs8jMaA</t>
  </si>
  <si>
    <t>https://drive.google.com/open?id=1QAp73RELK50CsC08cESYgGzWAGjie_DH</t>
  </si>
  <si>
    <t>https://drive.google.com/open?id=10RmZEbBz4OISrImbHGf8lrB9Z9XZmjPX</t>
  </si>
  <si>
    <t>https://drive.google.com/open?id=1vIrUJnHC_Xt9Rw1imVWA0SD0lc_xhEnY</t>
  </si>
  <si>
    <t>https://drive.google.com/open?id=15rgTX7TKWsvrOnorKdFXEHCUZrLnEOlZ</t>
  </si>
  <si>
    <t>https://drive.google.com/open?id=1bbhQm6n0_rKoBXdrZgYsiMBk4ikFEPk8</t>
  </si>
  <si>
    <t>https://drive.google.com/open?id=1KAwsycTLqfTVEq4Nt2KjvFTiMWUDjHIa</t>
  </si>
  <si>
    <t>https://drive.google.com/open?id=1FusUDg40EAUX5FUrwu980TqvrQGT1ZI0</t>
  </si>
  <si>
    <t>https://drive.google.com/open?id=1xmGlVvV91pUFFwo2hWO-U9EJlgwDGoai</t>
  </si>
  <si>
    <t>https://drive.google.com/open?id=1glT73mnAqLf5biPoOKQCzsU12f6LG2Y6</t>
  </si>
  <si>
    <t>https://drive.google.com/open?id=1uAWr7tcJiN7RmBJpNkdlp-qhoAmzCsGi</t>
  </si>
  <si>
    <t>https://drive.google.com/open?id=13kRdzzxXlkIFbey4p9Nuoh_DogoOrc7k</t>
  </si>
  <si>
    <t>https://drive.google.com/open?id=19EG69R3tUmUlmmSF7bJW5_xKwfPxKNQg</t>
  </si>
  <si>
    <t>https://drive.google.com/open?id=14gli_aOqS11clAicsnGHyth_TmBjnUp9</t>
  </si>
  <si>
    <t>https://drive.google.com/open?id=1h8tR2ColhUWw4yNaAjHt-v_m1oG6XpK8</t>
  </si>
  <si>
    <t>https://drive.google.com/open?id=1p2QupHBtkgHhWQvuA6jJXPMPBSG7nwiQ</t>
  </si>
  <si>
    <t>https://drive.google.com/open?id=1mc8dTH07kXwGtrDZFYIlBq8z1HBuGBAp</t>
  </si>
  <si>
    <t>https://drive.google.com/open?id=1OqeP8e1pBbDq9Bs8zeQ8u1Zuxx7jhJnS</t>
  </si>
  <si>
    <t>https://drive.google.com/open?id=1HjKSpn9rYube6-K1-mY0rHC_awYxPcdR</t>
  </si>
  <si>
    <t>https://drive.google.com/open?id=1o7xmmYNg4mvhl_GEJhtngmdr_Zv8OMKH</t>
  </si>
  <si>
    <t>https://drive.google.com/open?id=16EwpEiGyHI9pjQvbWmWETM2B2eXDlAu8</t>
  </si>
  <si>
    <t>https://drive.google.com/open?id=1XuDnjWBMNqmZyEcgA-mEkRvJll9Xzjl8</t>
  </si>
  <si>
    <t>https://drive.google.com/open?id=1UZ3925asRwwSCCyXJXVIG8MV1oA-yxlY</t>
  </si>
  <si>
    <t>https://drive.google.com/open?id=1aVxeNTWWM7aslnb-LL_V_K3dt8SnOBEf</t>
  </si>
  <si>
    <t>https://drive.google.com/open?id=18cJI7FIRLxw9rnaCYbWL1Z5U0YkrDikC</t>
  </si>
  <si>
    <t>https://drive.google.com/open?id=1pqB8wT1i9jxT2CQQs3zBX50C0LpKpspZ</t>
  </si>
  <si>
    <t>https://drive.google.com/open?id=19ULOuFKpQibVeaBzTnttSCMmKrJ1Apgx</t>
  </si>
  <si>
    <t>https://drive.google.com/open?id=15NCLyVFsYsEexVPkj2BhRoZCa9TDfY54</t>
  </si>
  <si>
    <t>https://drive.google.com/open?id=1TsYIwVTnKl3a807yr-K4_LIKF04bsmPV</t>
  </si>
  <si>
    <t>https://drive.google.com/open?id=1jBEGfYxDTAbXDRk0XupJ9Wh5kM6Pu_dk</t>
  </si>
  <si>
    <t>654/BK-2025</t>
  </si>
  <si>
    <t>https://drive.google.com/open?id=1d_KIeev5xJaC5eOVsiymc0ucDbWZTa_0</t>
  </si>
  <si>
    <t>https://drive.google.com/open?id=1qOmWYvmsbKb7NHnQeQF9w6ciRgr7bx-f</t>
  </si>
  <si>
    <t>https://drive.google.com/open?id=1J1v9O4V-Z7H72VQUzpFUy-VNR4j35-Px</t>
  </si>
  <si>
    <t>https://drive.google.com/open?id=1b2nDst1rBSS4SlpzBMH7NLOF1zthujj1</t>
  </si>
  <si>
    <t>https://drive.google.com/open?id=17bsPuXT5BZX09mGazK-LlXkX10tPahIP</t>
  </si>
  <si>
    <t>https://drive.google.com/open?id=1ZxrQdDovywuNUbxuoS_RKPjxOsZXIYLq</t>
  </si>
  <si>
    <t>https://drive.google.com/open?id=1E__gQc100oeRu-GWzUTnCePxyom6soAg</t>
  </si>
  <si>
    <t>https://drive.google.com/open?id=1OEXoym9hNORYbMI2ihyhUIx9pqFHjb8_</t>
  </si>
  <si>
    <t>https://drive.google.com/open?id=1tj3J_qb0GM9KMhjAQVcLbkcyxsUKLn3x</t>
  </si>
  <si>
    <t>https://drive.google.com/open?id=1WRnNhLzLjdOhpMURzCyUs4J3ROQrW_pc</t>
  </si>
  <si>
    <t>https://drive.google.com/open?id=1c8yGj71wzY0-Tq2OKX_RwRJLQJHGbCpx</t>
  </si>
  <si>
    <t>https://drive.google.com/open?id=1dUYGlI1OnBbu_-lgjhaDqhpFXzEEEV1s</t>
  </si>
  <si>
    <t>https://drive.google.com/open?id=16dsHkCmMPspzR255brMO1nYl6XPNhdvj</t>
  </si>
  <si>
    <t>https://drive.google.com/open?id=1nA4t94nIdfJAgpSLdG4i7_5heKTPUja6</t>
  </si>
  <si>
    <t>https://drive.google.com/open?id=1YKZ5xEJLDjfJdDE64T2ytQiv-OHA654Y</t>
  </si>
  <si>
    <t>https://drive.google.com/open?id=1hwCtFEakNOfTKjnRaqHXiXlgLKvNzsF3</t>
  </si>
  <si>
    <t>https://drive.google.com/open?id=1GpAQfs42JBZiXPEmAwt2pzE-EsywcvUE</t>
  </si>
  <si>
    <t>https://drive.google.com/open?id=1qZQ8UBdezmGHl7UGhlPb-MTia0BERCId</t>
  </si>
  <si>
    <t>https://drive.google.com/open?id=1pLFLKK_ams5tF_RSrQf8ezqKQe6mglI5</t>
  </si>
  <si>
    <t>https://drive.google.com/open?id=1ieeTG6YxgW2htLFe8EUDCxfnIFBAPyKG</t>
  </si>
  <si>
    <t>https://drive.google.com/open?id=1n7cLVZF-0i9yMyQ7HtMY4Q_VeYX2QTlX</t>
  </si>
  <si>
    <t>https://drive.google.com/open?id=1cY7Nv76T0qZcFk6QV5pIXFuhrCnzOwHV</t>
  </si>
  <si>
    <t>https://drive.google.com/open?id=1o0IFnPVAcOcirD6kveFaLBngTiyXkAdG</t>
  </si>
  <si>
    <t>https://drive.google.com/open?id=1DqLhEgHvBWBcK1v6PJyZwQTsElaAOAt4</t>
  </si>
  <si>
    <t>https://drive.google.com/open?id=1-mSkXE550JpsBOT2yqbQRFsN-pKthwX_</t>
  </si>
  <si>
    <t>https://drive.google.com/open?id=1i2HRFo0bYrdaf-cg12inHaOzrSBMAo3R</t>
  </si>
  <si>
    <t>https://drive.google.com/open?id=18r6P4EKC8O0Y2c0gkAQDg4oGJrHL63dL</t>
  </si>
  <si>
    <t>https://drive.google.com/open?id=1CvXcLap0BPjYaT5bDI5RiFj7M5IVi3OP</t>
  </si>
  <si>
    <t>https://drive.google.com/open?id=1e-s5i_YnW10faU_6EuCpMMKqYOBy0Gef</t>
  </si>
  <si>
    <t>https://drive.google.com/open?id=12aZX1ssu-QiME22f2KYjBwXX0CGE8cBB</t>
  </si>
  <si>
    <t>https://drive.google.com/open?id=19Qy3ixlM86GdI_VgkTbUObez6JdIXCz5</t>
  </si>
  <si>
    <t>https://drive.google.com/open?id=1sBskLBJ9-KHyupPs8NcVkn8EeUlCc5i2</t>
  </si>
  <si>
    <t>https://drive.google.com/open?id=14srbMl9Hm4rhdZzSgwwylSMbyz12G4MA</t>
  </si>
  <si>
    <t>https://drive.google.com/open?id=1fmOxypoyUeIPkJie4IffDgbgudBYCb-A</t>
  </si>
  <si>
    <t>https://drive.google.com/open?id=1y9m8xcIcgcYSXsOIS6uLb92ZRTMqhy4z</t>
  </si>
  <si>
    <t>https://drive.google.com/open?id=1Wo5xOMXVv-Zq7sU3G3yhHLRDL-ql2DMq</t>
  </si>
  <si>
    <t>https://drive.google.com/open?id=1G51QUMXYJsl0VURZj94ZB9uaxkIpvIx8</t>
  </si>
  <si>
    <t>https://drive.google.com/open?id=1w159b4aufGpK-ho7a6OabKroGjA2HZT9</t>
  </si>
  <si>
    <t>https://drive.google.com/open?id=1mZ6ASBBIPmpSQtFH95-NiWck7SGECdOL</t>
  </si>
  <si>
    <t>https://drive.google.com/open?id=1iIGIv9-o0kdxqaShATSlCqhG6skfPpAp</t>
  </si>
  <si>
    <t>https://drive.google.com/open?id=1F8cK5xqdqRKIJ9zFrCSkFEWCLmiU122-</t>
  </si>
  <si>
    <t>https://drive.google.com/open?id=1hSWo068h9gz1usnXtAUlMURzBSeA-GOB</t>
  </si>
  <si>
    <t>https://drive.google.com/open?id=18DjqOVsXN_4WdrzofvCF_bf-X2wzw_m_</t>
  </si>
  <si>
    <t>https://drive.google.com/open?id=1_1YlnZZjkwYagK8moGKSzsceZ9lGZxIj</t>
  </si>
  <si>
    <t>https://drive.google.com/open?id=1pJazISlr5DqEgg5zMD5VowtgyzWOe6OS</t>
  </si>
  <si>
    <t>https://drive.google.com/open?id=1JPSmaVytEhOs0HGsXnoYgykQvN95e0BD</t>
  </si>
  <si>
    <t>https://drive.google.com/open?id=12izFJG8OhlTm9FiiGw2kiVYTC3o_eM2t</t>
  </si>
  <si>
    <t>https://drive.google.com/open?id=1TStkDv3qCDYdVKuipO_KeKgC_bnuqMh7</t>
  </si>
  <si>
    <t>https://drive.google.com/open?id=1ajEXhfn5elLG8ululcLkZ-9SOUAvszOV</t>
  </si>
  <si>
    <t>https://drive.google.com/open?id=1IE3VRW23FChQt5H4X-qLK29ksmnkJ68h</t>
  </si>
  <si>
    <t>https://drive.google.com/open?id=1fcwOhaled77ndwhQhCOOmB9BRKxgZ_1I</t>
  </si>
  <si>
    <t>https://drive.google.com/open?id=1yl49K_074O8w24_ICem9P--VmIC3jJZY</t>
  </si>
  <si>
    <t>https://drive.google.com/open?id=1fisldN28CzZPxzxsH-y-5KLzXD8yGq2m</t>
  </si>
  <si>
    <t>https://drive.google.com/open?id=1L_ciytvy8oH_aF1xoBw3gSHx5Hv4bXyZ</t>
  </si>
  <si>
    <t>https://drive.google.com/open?id=1xXbkCAC_G-TvWLm6VBp5wK5SYqSOZkR9</t>
  </si>
  <si>
    <t>https://drive.google.com/open?id=15IBW0GvqtUeiE5O7kF5-1DK8h4tXXS5W</t>
  </si>
  <si>
    <t>https://drive.google.com/open?id=1YS7oRbIoN9IMXViX-YNhmXoGEpXZohls</t>
  </si>
  <si>
    <t>https://drive.google.com/open?id=1o1Th1tinWNEmGxZ34yhyW55Xoh5IyvV9</t>
  </si>
  <si>
    <t>416/BK-2025</t>
  </si>
  <si>
    <t>https://drive.google.com/open?id=108X_iUu-9guXQllOfLHwt7_5qymXHAkL</t>
  </si>
  <si>
    <t>https://drive.google.com/open?id=1AIPjoUwWLvYVrO01R0e6A4fi_MbXf043</t>
  </si>
  <si>
    <t>https://drive.google.com/open?id=1n2RZB4uZ6Ih_RBFcrlGrsnDC73golggD</t>
  </si>
  <si>
    <t>https://drive.google.com/open?id=1BB-OCrFm8nBN6bn3DsD2WahcVD04H9LY</t>
  </si>
  <si>
    <t>Giám Đốc</t>
  </si>
  <si>
    <t>606/BK-2025</t>
  </si>
  <si>
    <t>664/BK-2025</t>
  </si>
  <si>
    <t>https://drive.google.com/open?id=1hW_bJF-1Tuy4Lwvzr-r-U8q6gnwuxG5q</t>
  </si>
  <si>
    <t>https://drive.google.com/open?id=1JVMqmAAg6fqMM6yVm_v1GiPO3iXjurVa</t>
  </si>
  <si>
    <t>https://drive.google.com/open?id=1sK3SUfxa5YGty2L8Ua6Nn-QjmE2Me7Wa</t>
  </si>
  <si>
    <t>https://drive.google.com/open?id=1nE-MIFAYMds7abG0mF-Etu2giC1erQJh</t>
  </si>
  <si>
    <t>https://drive.google.com/open?id=1b5QDSpUtFFHwUQIMvt8gr45yZTn3lcGb</t>
  </si>
  <si>
    <t>https://drive.google.com/open?id=1ILOFjrM1vgPXvxrHczyynenoAmLrmWFM</t>
  </si>
  <si>
    <t>https://drive.google.com/open?id=1QKk3v-FK2ApGjN9l0gA7U-XtxPlphXQs</t>
  </si>
  <si>
    <t>https://drive.google.com/open?id=1wBCHWeZ5jS18bYMhjECxWYsK70hrgspG</t>
  </si>
  <si>
    <t>https://drive.google.com/open?id=1crNl4-uEvSy7WuxmeRuUfkhBZY6qdrai</t>
  </si>
  <si>
    <t>https://drive.google.com/open?id=1xqBf4NcHsfFt0h2DDkLJRuHTFnkmhs8h</t>
  </si>
  <si>
    <t>464/BK-2025</t>
  </si>
  <si>
    <t>https://drive.google.com/open?id=1MYwuUbYGSMzZ-vBgFWRGs_CBcPQ8cKK-</t>
  </si>
  <si>
    <t>https://drive.google.com/open?id=1_KHMWwEqW1U9yD4Vg9gsp9F4T09R2Ne8</t>
  </si>
  <si>
    <t>https://drive.google.com/open?id=1jx-qruBDXm8UCG_bylv8ic6a2RynA2Ne</t>
  </si>
  <si>
    <t>https://drive.google.com/open?id=1weo2LaOrr6T1isdKDgNEuFJjv9qXjZWK</t>
  </si>
  <si>
    <t>https://drive.google.com/open?id=18spo0BLd-pn7QoKV4O6RYV5rWtmvJTdl</t>
  </si>
  <si>
    <t>https://drive.google.com/open?id=12v5Z7Y6pKhRX98SGOxi31T9u44_b-Gi4</t>
  </si>
  <si>
    <t>https://drive.google.com/open?id=12rNFVmlnFCTlh7dr_iJ_DC5n7ToZUGAJ</t>
  </si>
  <si>
    <t>https://drive.google.com/open?id=1c4MIzsiyiN5mQlZJr4yAli3PrKkaC18g</t>
  </si>
  <si>
    <t>https://drive.google.com/open?id=1NjpAeTv9eRAdNMbyjnRpRUx-fWeAGoF8</t>
  </si>
  <si>
    <t>https://drive.google.com/open?id=1ZAkkKaY6ft4KSmaAO15C2Iqp_Tn0OfrN</t>
  </si>
  <si>
    <t>https://drive.google.com/open?id=1Y3EJUtlUmIBYUUL9S9EWOQJEwUM3dnLX</t>
  </si>
  <si>
    <t>https://drive.google.com/open?id=148oEdFDKnyvNpbbv4NqHYLtxs4aEiTP8</t>
  </si>
  <si>
    <t>https://drive.google.com/open?id=1sfyn750_YTwT-YamVV_4tZUqCK5BcGzF</t>
  </si>
  <si>
    <t>https://drive.google.com/open?id=1e0Icl_P8cf8CKgt_GexKYXeqoS_yfu0A</t>
  </si>
  <si>
    <t>https://drive.google.com/open?id=16XNdidMOLABxMEmTuGJxVXV280UEGedL</t>
  </si>
  <si>
    <t>https://drive.google.com/open?id=1ctLe_m3HD9RrU9JUQIIyPDf8ycSYiKjh</t>
  </si>
  <si>
    <t>https://drive.google.com/open?id=19LYGvqS1uFvXVSI-Y4MbsUuJNCI0yLrw</t>
  </si>
  <si>
    <t>https://drive.google.com/open?id=19878G_dD1k6C-693vqgv0V9y0LRrWEYi</t>
  </si>
  <si>
    <t>https://drive.google.com/open?id=1UYagSKF3C3YqDvDn_3xITH2kH0MY94qK</t>
  </si>
  <si>
    <t>https://drive.google.com/open?id=1LROfewadx1NoldWivgNAWPCD1MkL9dO7</t>
  </si>
  <si>
    <t>https://drive.google.com/open?id=1RE5dNJ2sxI1LR2VsHVmhlc_hCa11Pza5</t>
  </si>
  <si>
    <t>https://drive.google.com/open?id=1RKYZu24uQqK6ozyLkTEwXOOu6h7TT-Q8</t>
  </si>
  <si>
    <t>https://drive.google.com/open?id=1XplAedITiu_0K6NrExYT-eZOzOMHBhl9</t>
  </si>
  <si>
    <t>https://drive.google.com/open?id=1NT7AfJAVe9dMja1svaH86d1bWCjocga6</t>
  </si>
  <si>
    <t>https://drive.google.com/open?id=1qpI27OXmhdlC1fHA8NjhR_vS3-r1LZE7</t>
  </si>
  <si>
    <t>https://drive.google.com/open?id=1j90S8oNAwQ2Pdn4Ia08BOf-G6yD-JljR</t>
  </si>
  <si>
    <t>https://drive.google.com/open?id=1-BcG7KvoMDHxIodRYzicCI8BvGKhygfd</t>
  </si>
  <si>
    <t>https://drive.google.com/open?id=1HIqJktbg_8qJSeroB23MbI-ZzqSHRIae</t>
  </si>
  <si>
    <t>https://drive.google.com/open?id=1KN_gaWgOa4t1H51Tc0vyy2OQZe77qTas</t>
  </si>
  <si>
    <t>https://drive.google.com/open?id=1ACmcUCYEp6EdNoGZGhwbJogpLlKovlqz</t>
  </si>
  <si>
    <t>https://drive.google.com/open?id=1PvjnIuethQjP0gJccDzl9RvXPwX8mtMx</t>
  </si>
  <si>
    <t>https://drive.google.com/open?id=1mfSLg6v1jjXdTXRkZq6Kp3mKuAXPt2WI</t>
  </si>
  <si>
    <t>https://drive.google.com/open?id=1kvgnKWVVITKZrObT8n28pMMBgkkjAIV3</t>
  </si>
  <si>
    <t>https://drive.google.com/open?id=1kFhz32tnXk2KCUTAHElfHGrKc1gcn3I4</t>
  </si>
  <si>
    <t>https://drive.google.com/open?id=1vAqTx0p7sAgZv9wAk0ryOepXF1tkfhiX</t>
  </si>
  <si>
    <t>https://drive.google.com/open?id=1di9o6tPlLSYDMa4T_68T9UULLbel_xd2</t>
  </si>
  <si>
    <t>https://drive.google.com/open?id=1Omqk0-YRlgd5YmQjIFBSJurxbZ7qpGex</t>
  </si>
  <si>
    <t>https://drive.google.com/open?id=12HVJ9lkDZSeYcpMndFZUZH92hbu6IOVH</t>
  </si>
  <si>
    <t>https://drive.google.com/open?id=1zKfD70IBwRfInop6ATSJnPFcw_13iVk8</t>
  </si>
  <si>
    <t>https://drive.google.com/open?id=1DxdBp0ZMnMQ6uOfDEZhCJ19dm1NL0-7r</t>
  </si>
  <si>
    <t>https://drive.google.com/open?id=13TI3TodoR5lta0QyiIaPORHp8KwBpD5K</t>
  </si>
  <si>
    <t>https://drive.google.com/open?id=1q1xrtpaXghN4OuiqFQF0M-C2AyMsVV_a</t>
  </si>
  <si>
    <t>https://drive.google.com/open?id=1bwA32nmVLlPONVK3TdjkAYT8Z8shIqKQ</t>
  </si>
  <si>
    <t>https://drive.google.com/open?id=15U8w5fb2KxxDEDvAG9gQ5lg4tr__keYP</t>
  </si>
  <si>
    <t>https://drive.google.com/open?id=1jLypCbEJ5W8BnpfRDa66EF9wru5A-Ian</t>
  </si>
  <si>
    <t>https://drive.google.com/open?id=1g0kqUxPzBHHGOh-EbwnudS41-KAU2om2</t>
  </si>
  <si>
    <t>https://drive.google.com/open?id=1NavXG_-L6wLzhf4VC7Y-I67PylQiaJkN</t>
  </si>
  <si>
    <t>https://drive.google.com/open?id=1HKmQAvVR9DGlYgZ7Rgqf4a2jlIxdEMxX</t>
  </si>
  <si>
    <t>https://drive.google.com/open?id=17hSg1zMTGuFkn9UWHhjy-rDA9sWj_ayO</t>
  </si>
  <si>
    <t>https://drive.google.com/open?id=1BGiezIZR0JU8mmGI8WwnsCl8H2L2NkDz</t>
  </si>
  <si>
    <t>https://drive.google.com/open?id=1ka1VFCz7Y5Ga7oCqjAqicFwUtAlVQyzI</t>
  </si>
  <si>
    <t>https://drive.google.com/open?id=1cACgqwYuKIWvRS5bh86pT-ke8HUa8FOI</t>
  </si>
  <si>
    <t>https://drive.google.com/open?id=15jF8TcJc-s8XHcO6P6Tfs8Ap-AkAWkzY</t>
  </si>
  <si>
    <t>https://drive.google.com/open?id=1KaodJiM_OrJM-eRgvaljCCNs-KQ6KhQO</t>
  </si>
  <si>
    <t>https://drive.google.com/open?id=1GsbH4jkIz_za4ZJfOuhc2Ri_KUWl9Vkv</t>
  </si>
  <si>
    <t>https://drive.google.com/open?id=1XSCfkh1RlgWiio7hhkk0hwgTtBr_-Qih</t>
  </si>
  <si>
    <t>https://drive.google.com/open?id=1j8y2dCkmRwtMyOvWljCttS9BrGKLg8cn</t>
  </si>
  <si>
    <t>https://drive.google.com/open?id=1h37eitK3wmEmOK5bfWza157GXth2YNtp</t>
  </si>
  <si>
    <t>https://drive.google.com/open?id=1d2WZcvgNBUusat1KFkFlZkQMR-vpOBfL</t>
  </si>
  <si>
    <t>https://drive.google.com/open?id=14qeS5kca_SHW5i1-eH751nWtqj0RmMrG</t>
  </si>
  <si>
    <t>https://drive.google.com/open?id=1PMm8Tcs_ib_J66ElU3_kioWTIFgw_Mcu</t>
  </si>
  <si>
    <t>https://drive.google.com/open?id=1IgeG_m-C6L0qov7bn2jTGj-x1gPriJ63</t>
  </si>
  <si>
    <t>https://drive.google.com/open?id=1SNSHILwDAGPZYcot6tlUwi8uXxJSbAsc</t>
  </si>
  <si>
    <t>https://drive.google.com/open?id=1Idb7xaQfhP1m0ubTEa_kvu0vPgwukZ_c</t>
  </si>
  <si>
    <t>https://drive.google.com/open?id=17ZQEvOMRoZPWlBr954IzK6__ebUuuXuu</t>
  </si>
  <si>
    <t>https://drive.google.com/open?id=14utl-SQ8LalhbYVJCcAa7IaHLUkp6-51</t>
  </si>
  <si>
    <t>https://drive.google.com/open?id=1Hm6Zz9bY7zPJnUS1tpBPy-h-6X1D4Idt</t>
  </si>
  <si>
    <t>https://drive.google.com/open?id=1Gt7XUOOiECSXuzS4FpjFTzMQktfmOUE8</t>
  </si>
  <si>
    <t>https://drive.google.com/open?id=1cjFVplw-JbQL3Z_GmBrvVFLrOgGAs1rc</t>
  </si>
  <si>
    <t>https://drive.google.com/open?id=1pbqrQLxPAlJobT03B1XxDnRdBBy7gMh0</t>
  </si>
  <si>
    <t>https://drive.google.com/open?id=1F5y55K8YGK0RsjA13JsMIyzc8ZmVG1My</t>
  </si>
  <si>
    <t>https://drive.google.com/open?id=1m7HWLZ9kbQMvYOLHV5i7VUXeZhLUtMKf</t>
  </si>
  <si>
    <t>https://drive.google.com/open?id=1_akzUR9x_c32lHl0NWKZ__ZUxHc45nT7</t>
  </si>
  <si>
    <t>https://drive.google.com/open?id=17OikhAZbtWqqg2RNUlkAzihWhiHfDpgG</t>
  </si>
  <si>
    <t>https://drive.google.com/open?id=1w-2SS9gq31vheC61MMfz2-ysyd_llvGq</t>
  </si>
  <si>
    <t>https://drive.google.com/open?id=1D-N6jotXC3bc6xfcYfkqLSIDU5NJfqZz</t>
  </si>
  <si>
    <t>https://drive.google.com/open?id=189L-9Pz9HYp50dHyw0yK7PKeUK0BceDm</t>
  </si>
  <si>
    <t>https://drive.google.com/open?id=1eIiDwEgSNIwM52b3ADFqfZ0JKAF74dD4</t>
  </si>
  <si>
    <t>https://drive.google.com/open?id=1nvR0ApY4z2IMYZdwesSDDZHx0zx_Ncqg</t>
  </si>
  <si>
    <t>https://drive.google.com/open?id=1eKo9pSts3XqGRBgjyVVgXVUtQfCWzYM1</t>
  </si>
  <si>
    <t>https://drive.google.com/open?id=10HyI2jY6bZVV42DcHl8iK4Nn7qTBZLI7</t>
  </si>
  <si>
    <t>https://drive.google.com/open?id=1eQbK1bUQOMyk2-mqsbfFDpJyUUJjBODr</t>
  </si>
  <si>
    <t>https://drive.google.com/open?id=1nE3Tz4oIWldCBjCldiwFXxZpMITvaBQK</t>
  </si>
  <si>
    <t>https://drive.google.com/open?id=1yFCxWx6bRAc4FPXVYrhZeVvuhK5rK-bj</t>
  </si>
  <si>
    <t>https://drive.google.com/open?id=1npQDgr4oKiUb6DrIFm2ShtlHJEQ8yBlU</t>
  </si>
  <si>
    <t>https://drive.google.com/open?id=1nFIfkA6xaT1V3dfF45SUJMgwDocqL3FY</t>
  </si>
  <si>
    <t>https://drive.google.com/open?id=1kgJP_GzbK5_QDTRhxAKGgFD5UrzL8u4n</t>
  </si>
  <si>
    <t>https://drive.google.com/open?id=1AwLx87cE4EbcEOteTzvBSJRY9RoQdOTx</t>
  </si>
  <si>
    <t>https://drive.google.com/open?id=1RFV7oi73XMLzJFlXJIcFH_yMhj6Q1urw</t>
  </si>
  <si>
    <t>https://drive.google.com/open?id=156GYO9KoUw01EuoTnh2RUFyu5qm5EFI3</t>
  </si>
  <si>
    <t>https://drive.google.com/open?id=11wOUATX9nee-G64TR6ugyfF7RVIu7Ism</t>
  </si>
  <si>
    <t>https://drive.google.com/open?id=1bQCKFlXmumKIsE2THncrGC4fwDIljit-</t>
  </si>
  <si>
    <t>https://drive.google.com/open?id=1EocvOn0B0Df1A1qoGBovVDdkgjMol83H</t>
  </si>
  <si>
    <t>https://drive.google.com/open?id=162onwtgA6iOA01j-LDSdvISf6D1i1ZUi</t>
  </si>
  <si>
    <t>https://drive.google.com/open?id=1WYG86wfBR9UgPawYhQADlzArQJDuvyUW</t>
  </si>
  <si>
    <t>https://drive.google.com/open?id=1DqwNoX70s4h16G4jUGM_FTek3u6XBLzj</t>
  </si>
  <si>
    <t>https://drive.google.com/open?id=1wXkNyUkve8Obo3vhjSeHsrpnXdEpGlRS</t>
  </si>
  <si>
    <t>https://drive.google.com/open?id=10Cjv-KqCPeaKFunFK-1ZmJx7z9LCNicE</t>
  </si>
  <si>
    <t>https://drive.google.com/open?id=1SRQpy6rK0fJ7dklZVbm2d41BKJrPz1NQ</t>
  </si>
  <si>
    <t>https://drive.google.com/open?id=1MeTo_WpExsK84h6O8Gj6Cl9oOEwYU6AC</t>
  </si>
  <si>
    <t>https://drive.google.com/open?id=18lzqegVcoMI0FW3mBNpoSMG2TYsBP7pK</t>
  </si>
  <si>
    <t>https://drive.google.com/open?id=1ou-onoK6xgO8orZAA1Jxkwsx33wH9qg5</t>
  </si>
  <si>
    <t>https://drive.google.com/open?id=1GAIY8QsHnGbDnaxCODxH5Z-ZcYzWuCtV</t>
  </si>
  <si>
    <t>https://drive.google.com/open?id=1DHEoTvoMjHRhJFckj83Gb6-nb4bSKld3</t>
  </si>
  <si>
    <t>https://drive.google.com/open?id=1P8uMGBUmxkYMopyrFSf87Dc3ul69k58A</t>
  </si>
  <si>
    <t>https://drive.google.com/open?id=1vyYLxsGj0QBfOjiWh_MkkM7FAzM34HGE</t>
  </si>
  <si>
    <t>https://drive.google.com/open?id=1n8JqZA7i99SaT8eqi-MyYX4iVnESsjRj</t>
  </si>
  <si>
    <t>https://drive.google.com/open?id=1XZ_8VGZhQt2npEC3RqQ3Abjs4FW7C6tJ</t>
  </si>
  <si>
    <t>https://drive.google.com/open?id=10TmWL8CGnS8T9nfHjT9mJbuZdebLmpzm</t>
  </si>
  <si>
    <t>https://drive.google.com/open?id=12j7uUW0EVg1hzIE8vnh4g5mYfPCgHRZ_</t>
  </si>
  <si>
    <t>https://drive.google.com/open?id=1K4TNnxtt6f9L5BE5OdVo1s9XDKBnssuV</t>
  </si>
  <si>
    <t>https://drive.google.com/open?id=1K-6AYbxHlCTe5Ps45M1KTe5uLQCJK7Qy</t>
  </si>
  <si>
    <t>https://drive.google.com/open?id=1SqS3LZnlQOQb1rcIi-1xbl5OES-ibztq</t>
  </si>
  <si>
    <t>https://drive.google.com/open?id=1nJJhENTWEm9sbYAkhYUxShgRY2qn-f4Q</t>
  </si>
  <si>
    <t>https://drive.google.com/open?id=1BHllumYVbKbfVr4keKKZ58dDBExDmtel</t>
  </si>
  <si>
    <t>https://drive.google.com/open?id=1PtUaOASl5pvZ_J80lEOb9tK0-1M0zruu</t>
  </si>
  <si>
    <t>https://drive.google.com/open?id=1GWrY4JLXNg7iOPRt0NJ69E01T9BHIqQI</t>
  </si>
  <si>
    <t>https://drive.google.com/open?id=10jkJAqVb4FFyreXDAnZ61MpQ8kvUNeDS</t>
  </si>
  <si>
    <t>https://drive.google.com/open?id=1w4hSQTNGehsNK-48BGH2wkTtfVOvd2gO</t>
  </si>
  <si>
    <t>https://drive.google.com/open?id=1xmUFyVFdSQ_7_fZEJwc77Fl09Wr2f_qv</t>
  </si>
  <si>
    <t>https://drive.google.com/open?id=1USiwDP0ypSTleM6VAW4SlDea6GnVRgKj</t>
  </si>
  <si>
    <t>https://drive.google.com/open?id=1XOWn7BeIz_V8xUPDYm2IHdY1uZHZ7cH_</t>
  </si>
  <si>
    <t>https://drive.google.com/open?id=1jfHhoquxyiC-4UgCIlFW1QQpBWAlv-vw</t>
  </si>
  <si>
    <t>https://drive.google.com/open?id=1p-os9ReeYcnrJXZa4Nt4gdZQHEc3XLt6</t>
  </si>
  <si>
    <t>https://drive.google.com/open?id=1JhP6_cc131Sju7D2eCo95xPa5WH0xXuN</t>
  </si>
  <si>
    <t>https://drive.google.com/open?id=14psg-Y1khk0f_nfOAUJDEKauX-1oQe0a</t>
  </si>
  <si>
    <t>https://drive.google.com/open?id=1suBjd2t1lGrk_9btMPGn7ISXzF_6Ugv4</t>
  </si>
  <si>
    <t>https://drive.google.com/open?id=1QKrfXN662-QUPI2zAEoJPO-6fgj33nFu</t>
  </si>
  <si>
    <t>https://drive.google.com/open?id=1iVYEf8pknU5jWhvfAZWV6mjuwKBgfpOr</t>
  </si>
  <si>
    <t>https://drive.google.com/open?id=1pW8YSiDItjqOFvNVZXld3fe0bFoPHAxZ</t>
  </si>
  <si>
    <t>https://drive.google.com/open?id=1eOZEy1amjMhBmmUG6zUKs2D9KLgTeBtn</t>
  </si>
  <si>
    <t>https://drive.google.com/open?id=18HEJKhVSqALzwdygfjz_4-3yA3fqhsQJ</t>
  </si>
  <si>
    <t>https://drive.google.com/open?id=1Roqb6Eni3apJgfNqvvnnFpCkhHcPRyUX</t>
  </si>
  <si>
    <t>https://drive.google.com/open?id=1uyBNSk9TSlyiEq7264LyTQIO3ExGFyNI</t>
  </si>
  <si>
    <t>https://drive.google.com/open?id=1sQs8t_fLHTfpqFa8QFeBhBJBqUonDvSX</t>
  </si>
  <si>
    <t>https://drive.google.com/open?id=1nKI8WDkY5e7hm2z4kN9IIQP94Sd92tCK</t>
  </si>
  <si>
    <t>https://drive.google.com/open?id=1Ln8rVGyeClxGYSGfXmqNdriUzY44PRNg</t>
  </si>
  <si>
    <t>https://drive.google.com/open?id=1Cu5uqv0fpJptDsur29No1ZJTRs4GWGem</t>
  </si>
  <si>
    <t>https://drive.google.com/open?id=18Yz0SSNCEezIwJQldIOKXjqjL7rL5jHa</t>
  </si>
  <si>
    <t>https://drive.google.com/open?id=1xlVfkJFdfySG0hQOAG7OSaazB8ypOKfc</t>
  </si>
  <si>
    <t>https://drive.google.com/open?id=1_EfGS5dU5quDF6SmPlSMnxmfw7lG11E6</t>
  </si>
  <si>
    <t>https://drive.google.com/open?id=1tbITaFBdo_XMTkNOvMmmjZSyIxo6XKAI</t>
  </si>
  <si>
    <t>https://drive.google.com/open?id=1YjuDjahKvuiCs9McRKJjPLouMoiTDGul</t>
  </si>
  <si>
    <t>https://drive.google.com/open?id=1x7pOJIuEbptsjtzgpBX69zHgBetoenrU</t>
  </si>
  <si>
    <t>https://drive.google.com/open?id=1OLIRhefSFPUqwBdngBA_5VTMlpPD6755</t>
  </si>
  <si>
    <t>https://drive.google.com/open?id=1I9roknQYnwZyA9FtId6DMshWq_2Q1HtI</t>
  </si>
  <si>
    <t>https://drive.google.com/open?id=1TFs0bg3ev2s__dk2UOAxRHq2PC8NziQA</t>
  </si>
  <si>
    <t>https://drive.google.com/open?id=1Itb_wSOpp4PgqTUduXrzMdEFCjX9WATU</t>
  </si>
  <si>
    <t>https://drive.google.com/open?id=1L4NzKjI-y0AhSFOB2CUXS_iGFMGQNQjn</t>
  </si>
  <si>
    <t>https://drive.google.com/open?id=1T_Vo45LZeyKhek_iSJwZHmn1dgU6Aym4</t>
  </si>
  <si>
    <t>https://drive.google.com/open?id=1Us3z28fenZE3qJbnctrLcFWDofRXtc7M</t>
  </si>
  <si>
    <t>https://drive.google.com/open?id=11o1JtEevNvMVjN5F_Fk9NAFSMNiTVkYT</t>
  </si>
  <si>
    <t>https://drive.google.com/open?id=1baf_uGfM-qi68fm5w_DT5zga-jRUmKx2</t>
  </si>
  <si>
    <t>https://drive.google.com/open?id=1T76qEQXESV9vawdpJl2kVDwXwDvoIt-H</t>
  </si>
  <si>
    <t>https://drive.google.com/open?id=1zA883-R8RWNCNJxoqxGENH_3XTuNRWWi</t>
  </si>
  <si>
    <t>https://drive.google.com/open?id=1qw1PNli8qzuArWCalMHgGWjBucJjLe3A</t>
  </si>
  <si>
    <t>https://drive.google.com/open?id=135XZRH2BqCBSUGj4CvUnOSHJ_Lzv21GF</t>
  </si>
  <si>
    <t>https://drive.google.com/open?id=1OEBzshGcB4XqSp1zQ3F0jkV3A629hKU4</t>
  </si>
  <si>
    <t>https://drive.google.com/open?id=1mQTxgn-fHx_r1r1CkxFUrKtAkKf2kfSE</t>
  </si>
  <si>
    <t>https://drive.google.com/open?id=1jW9mhNd2eQp4uLEN0HtaoOyVcJ0Qi0DG</t>
  </si>
  <si>
    <t>https://drive.google.com/open?id=1OV9SXQhfuYzOijI2uSV5HJ8mEgovoxkQ</t>
  </si>
  <si>
    <t>https://drive.google.com/open?id=1J7XTsLULkt45cGVLAgLWipzgtVLcgiTv</t>
  </si>
  <si>
    <t>https://drive.google.com/open?id=1bOOykGTorYNAeVKXuu8lDqf-wloTyH5l</t>
  </si>
  <si>
    <t>https://drive.google.com/open?id=19QmQaagcCUrTElgP8bLk3oI_DuSXRbvH</t>
  </si>
  <si>
    <t>https://drive.google.com/open?id=1vDWjSpUXuiyBdvqX9THklmaIckzebj5O</t>
  </si>
  <si>
    <t>https://drive.google.com/open?id=1a20DT-2gw3VBQKet1wLj7wnr2qfzmQZD</t>
  </si>
  <si>
    <t>https://drive.google.com/open?id=1r8e1X7ov9rdApp90a10K9jSn5R7Q5zMQ</t>
  </si>
  <si>
    <t>https://drive.google.com/open?id=1i6FGpiGrFDuAKSeVNk0MRcLK80wr8Q8k</t>
  </si>
  <si>
    <t>https://drive.google.com/open?id=12R_2nKkQsnfzWQxK9omIrSSdBZLFaF9X</t>
  </si>
  <si>
    <t>https://drive.google.com/open?id=1x-iFNb7r3LiUzB_hoEeU3czTvNIbfiWC</t>
  </si>
  <si>
    <t>https://drive.google.com/open?id=1t-Rf9lFp1589XojQN5yKRYF7fVGWa1va</t>
  </si>
  <si>
    <t>https://drive.google.com/open?id=1Sp2jc8AEDq_kBKcqQWz07GLd-arEkiKy</t>
  </si>
  <si>
    <t>https://drive.google.com/open?id=1H_9D25rCaMoWy2KR6ANhlwUS1mc68Fnq</t>
  </si>
  <si>
    <t>https://drive.google.com/open?id=1mjzAwqnuvXKngVMAjD8z2oGghTsP8r7c</t>
  </si>
  <si>
    <t>https://drive.google.com/open?id=1dD1eAFqnLbqsKeWxyuuO-6Fpdr2l7Tja</t>
  </si>
  <si>
    <t>https://drive.google.com/open?id=1F8x4uguWV00q7vrQIbH_33XheGH6OMDr</t>
  </si>
  <si>
    <t>https://drive.google.com/open?id=1H60r2c6njxJH1rGGndi_8xseKi0Qaelw</t>
  </si>
  <si>
    <t>https://drive.google.com/open?id=1zVFb1OR_ChUDSn7sp8jNnmCcYn0kD1Jz</t>
  </si>
  <si>
    <t>https://drive.google.com/open?id=1fdGsq_dIl2JR57taSe64XPTkPh70cHcK</t>
  </si>
  <si>
    <t>https://drive.google.com/open?id=1yBKJG2MZ0KSfvoL-30tSC-TOr9Y7kyM_</t>
  </si>
  <si>
    <t>https://drive.google.com/open?id=1Cp0dTBjSDxOPN74D1WbYaQPjcnOSDXUY</t>
  </si>
  <si>
    <t>https://drive.google.com/open?id=1w8jjnzaihR-J7Y1wLA5wDji0kakvE4Z9</t>
  </si>
  <si>
    <t>https://drive.google.com/open?id=1FNoTlG9QN40T1rPuPW5xOIkhIm6BFuKZ</t>
  </si>
  <si>
    <t>https://drive.google.com/open?id=1Nh1Gn5GK8JEEPiFXoZG8faLofjympu8G</t>
  </si>
  <si>
    <t>https://drive.google.com/open?id=1LwejJdBwAFjl80GVlUdJOP7E98SbmZc8</t>
  </si>
  <si>
    <t>https://drive.google.com/open?id=15FE32PrUWz7_bhcFZqrPGdnJcfOR561Z</t>
  </si>
  <si>
    <t>https://drive.google.com/open?id=1X2g6PfmHsLGsxcMgzy8FKWtNptQLxu__</t>
  </si>
  <si>
    <t>https://drive.google.com/open?id=1PlIhx1XPTdswMxKFv8XTrUdJPonArAuI</t>
  </si>
  <si>
    <t>https://drive.google.com/open?id=18L1CZQH8OutswrXXX21v-1qA8HGKuvn1</t>
  </si>
  <si>
    <t>https://drive.google.com/open?id=1PXHQFU0cqui5FICAYy-MTokj5eQRlMgV</t>
  </si>
  <si>
    <t>https://drive.google.com/open?id=1yEsr5L-X4XopSwrTaohEr0tt2CUGQhf5</t>
  </si>
  <si>
    <t>https://drive.google.com/open?id=1853DRE8CwySQZd9II3jYx5zbBntaJ3QC</t>
  </si>
  <si>
    <t>https://drive.google.com/open?id=1whcKWoHBgCDZ9BhtrtaQkXaGlmdvMf4M</t>
  </si>
  <si>
    <t>https://drive.google.com/open?id=1p8b-LyiLthEpZkA0bqxpIH0YOc1xej_Q</t>
  </si>
  <si>
    <t>https://drive.google.com/open?id=1RGNjWSsdPbkp1Tki89eHF_96EEr2XyRg</t>
  </si>
  <si>
    <t>https://drive.google.com/open?id=1xR3FvTEQBphyTLjp4s7vjq_mqNrBvPTa</t>
  </si>
  <si>
    <t>https://drive.google.com/open?id=1kBK7xnDzZHOzH0jDaRHK-NW15DYjpZqY</t>
  </si>
  <si>
    <t>https://drive.google.com/open?id=1otBcZV_m7Eu2FEDb4TMXcocZygY7WOGN</t>
  </si>
  <si>
    <t>https://drive.google.com/open?id=1bo5v-ZmcAihAkvOZPujFPU_NxbFbMc4l</t>
  </si>
  <si>
    <t>https://drive.google.com/open?id=15HRjPLfdwY9vuChyjEY0Y6issBjcrtC5</t>
  </si>
  <si>
    <t>https://drive.google.com/open?id=1mCq7kNEbQh7ecCml0XN8de_OxOPYN8Ft</t>
  </si>
  <si>
    <t>https://drive.google.com/open?id=1CqNuSx7YPCjfLsR7ba83lEg-42brjOx3</t>
  </si>
  <si>
    <t>https://drive.google.com/open?id=1u94xdKfGmQNyFsUgODArbuEZ6Y8F_pVK</t>
  </si>
  <si>
    <t>https://drive.google.com/open?id=1QvpewOqxy8DcNfD10MgFMCSpcLAITW6H</t>
  </si>
  <si>
    <t>https://drive.google.com/open?id=12MM7GOY5ehWlqNAHHdoy_R1yqbWtUrgJ</t>
  </si>
  <si>
    <t>https://drive.google.com/open?id=1NmXbeuFCIU2DOHX4QzDXTSc6JVFE4jOw</t>
  </si>
  <si>
    <t>https://drive.google.com/open?id=1Chw3kvZXU7msyppPlQ0h0tfTdntczJtK</t>
  </si>
  <si>
    <t>https://drive.google.com/open?id=10NArJsYy-wwi1AcJbaNmwlucXpooyFth</t>
  </si>
  <si>
    <t>https://drive.google.com/open?id=1NyqRN2gG7wd3p7iWW55JPsndUP36_pFw</t>
  </si>
  <si>
    <t>https://drive.google.com/open?id=1fe5WkmDL4UZTqiFeSjwJ7cAd3pdZorMv</t>
  </si>
  <si>
    <t>https://drive.google.com/open?id=1tSAXmx1gPgZHeYmV09YRnCD939LPPApJ</t>
  </si>
  <si>
    <t>https://drive.google.com/open?id=1UgnnNAOtDET8dEyK1W18uTYOtvlSwIQr</t>
  </si>
  <si>
    <t>https://drive.google.com/open?id=1e4mFpzN84L7zR3NozZWTaMQU6KxfUBBH</t>
  </si>
  <si>
    <t>https://drive.google.com/open?id=1y-uzi8QP-lAwIvO82zMh5SAi-MRNSn53</t>
  </si>
  <si>
    <t>https://drive.google.com/open?id=1CefL69Sy9DgY39Kj0uXyOZ0w3Dv5AvwR</t>
  </si>
  <si>
    <t>https://drive.google.com/open?id=1pi-EjKEaOrZulK7PB1FLEiLUY5DlIxSM</t>
  </si>
  <si>
    <t>https://drive.google.com/open?id=1-_esO7YgFNtHO2pIvyEDv9804-M_ibUe</t>
  </si>
  <si>
    <t>https://drive.google.com/open?id=1Jlz4ERKN_Vwf_H-IJKMCNLHYsay7pWX1</t>
  </si>
  <si>
    <t>https://drive.google.com/open?id=17aVSw78lpEXeg28qi_zQ6qHDB_pTxj7k</t>
  </si>
  <si>
    <t>https://drive.google.com/open?id=1jAsZiLF-jWcuGpKuZ2s0_aGcFuNlyQI3</t>
  </si>
  <si>
    <t>https://drive.google.com/open?id=1L7Ndk_hK8uHasj_VGkpCVoXqGuWGVzdH</t>
  </si>
  <si>
    <t>https://drive.google.com/open?id=1Z5FVdM0iP3jZoT4dFmCSJUVkiW9RIYX-</t>
  </si>
  <si>
    <t>https://drive.google.com/open?id=10obYQcQ2XGY1WkHvrAZq5Nx7GzzPdjDe</t>
  </si>
  <si>
    <t>https://drive.google.com/open?id=1eFvDfLqhCsoBjhLzxKziZ7lXdcHeoA7p</t>
  </si>
  <si>
    <t>155/BK-2026</t>
  </si>
  <si>
    <t>https://drive.google.com/open?id=1yLLwbg2gI9Jhq5kahbATM4olVMZSmSLf</t>
  </si>
  <si>
    <t>https://drive.google.com/open?id=1ZffOTo2XcFYb_FP01h9P0BTfdYlsSlYi</t>
  </si>
  <si>
    <t>https://drive.google.com/open?id=14Vm-IlWU9kwrtXwHFL-cse_8nigJkNY4</t>
  </si>
  <si>
    <t>https://drive.google.com/open?id=1CnWQz1IqH7A6W-81v2tj98dbtk-iFS4m</t>
  </si>
  <si>
    <t>https://drive.google.com/open?id=14JWVUxjFy9TAIT38_PI0i7pj-V3WqpWX</t>
  </si>
  <si>
    <t>https://drive.google.com/open?id=1DHRUY_Ath7KOPS6asuW4MkoneFOrqVIA</t>
  </si>
  <si>
    <t>244/BK-2026</t>
  </si>
  <si>
    <t>https://drive.google.com/open?id=1W2gX3OoqSyyGZ2xUNR3d3XghKHaMe-rE</t>
  </si>
  <si>
    <t>https://drive.google.com/open?id=1p5p0wPXcaBFGvPwf5ELIlVAIgEJN5igE</t>
  </si>
  <si>
    <t>https://drive.google.com/open?id=1lJeLdyXDap6c9C70SaiFQOWa_SJ35XjP</t>
  </si>
  <si>
    <t>https://drive.google.com/open?id=1iHQLs-GvOSp2SKbEiZFsu48IDu4DGMyE</t>
  </si>
  <si>
    <t>https://drive.google.com/open?id=1P6m4m2n3CDhYnC-VkDbqJfN10NU9lXpt</t>
  </si>
  <si>
    <t>https://drive.google.com/open?id=1pKBr3JLhtdSs7zuYFUCvIQa_wP1VLgah</t>
  </si>
  <si>
    <t>https://drive.google.com/open?id=1cWD4p4N_jA2w4Du0mvxpiEQ1_fHQkZ99</t>
  </si>
  <si>
    <t>https://drive.google.com/open?id=1MkWJ6Af4AJBuT2HX8J6N6kc9I5uYaAeB</t>
  </si>
  <si>
    <t>https://drive.google.com/open?id=1RLVqM19ltK8KgeybqZlefBRO3uDQOqfY</t>
  </si>
  <si>
    <t>https://drive.google.com/open?id=1pTA8TSjYBKkVnZ3Hxuok7YhE69N3MiYO</t>
  </si>
  <si>
    <t>https://drive.google.com/open?id=1KidLYol8DCYlSZ-VEW8XOArlfTko7aI7</t>
  </si>
  <si>
    <t>https://drive.google.com/open?id=1c7CF81Ti5HA9b0BBeCPV5Bzw_wzmPPel</t>
  </si>
  <si>
    <t>https://drive.google.com/open?id=1HVTm6b9ujru1ecFv7W5PGO8yuJaK4Wyy</t>
  </si>
  <si>
    <t>https://drive.google.com/open?id=1sYSH_5SBe2jc9BOyKucEKY6X1AGQFpGy</t>
  </si>
  <si>
    <t>https://drive.google.com/open?id=1Kw1gPIusL-cXINbQc_7kya7FzZyFSGFG</t>
  </si>
  <si>
    <t>https://drive.google.com/open?id=1scnMh90AlVnF-SQpPb9ab4MTiIJYajYj</t>
  </si>
  <si>
    <t>https://drive.google.com/open?id=1gQX3iKKNaMHOW7TRWOO8w2AGbZPb_s6w</t>
  </si>
  <si>
    <t>https://drive.google.com/open?id=1teS3lXx27AeZ5WtcbOLkMDd_ADsjArnu</t>
  </si>
  <si>
    <t>https://drive.google.com/open?id=18MyiATeUOKj8222dAhjae7pThnWcitdC</t>
  </si>
  <si>
    <t>https://drive.google.com/open?id=1XpKGFb_JYRZBzjcQtV0jueFYSOcm_v9_</t>
  </si>
  <si>
    <t>https://drive.google.com/open?id=1L8fICxDqrJPWcZITvxVKHBCeI_flFJzm</t>
  </si>
  <si>
    <t>https://drive.google.com/open?id=1llNclAvZcKcS7wT0KooCma8eC75nGMme</t>
  </si>
  <si>
    <t>https://drive.google.com/open?id=1teJn9DWuq21M3v_z-bVL7bfp3CPIVexf</t>
  </si>
  <si>
    <t>https://drive.google.com/open?id=1C9MbTLmGkeV-AskevhJVzCog4Q4-xi4V</t>
  </si>
  <si>
    <t>https://drive.google.com/open?id=1GkIj3PfXXR173o46fnFbKEBXanKkKx-w</t>
  </si>
  <si>
    <t>https://drive.google.com/open?id=1TlQMHG-eMGLgu7NvQ40T7DZTcEfcplnJ</t>
  </si>
  <si>
    <t>https://drive.google.com/open?id=1Du9zecn4Pfwj7_9VP-r0JKqiDu_tYaPf</t>
  </si>
  <si>
    <t>https://drive.google.com/open?id=1gat47G20CrqbuD1tqtmoCx9_hdkU8Oti</t>
  </si>
  <si>
    <t>https://drive.google.com/open?id=1oloT-YOQ_iUHc0MR6zKo6DZ9yfdaBCp5</t>
  </si>
  <si>
    <t>https://drive.google.com/open?id=12hyyggo_C0Wkl9UkyjCoOVMUFUJ99EjW</t>
  </si>
  <si>
    <t>https://drive.google.com/open?id=1E00GAyVEqfb2Giktd33q7CC7SN4qPPoJ</t>
  </si>
  <si>
    <t>https://drive.google.com/open?id=1peo5UiARVdyF3MkoaUztIaEUEnwuUMV_</t>
  </si>
  <si>
    <t>https://drive.google.com/open?id=1TibijpGTAxf_fO2RvvzVc2GS9qZi3XYk</t>
  </si>
  <si>
    <t>https://drive.google.com/open?id=14ZQW0QdcuMhlHVOAh2tJkLt4t88dd7fU</t>
  </si>
  <si>
    <t>https://drive.google.com/open?id=11TBEQaJFlbGSFwdn4sNN_fBfL3H5GlIT</t>
  </si>
  <si>
    <t>https://drive.google.com/open?id=1Ktb9QryvhbT0xjehSJsC2xKTuUQTN8GY</t>
  </si>
  <si>
    <t>https://drive.google.com/open?id=1zuMx-Faa6WZ8NzelTWwmoFQekq_EAqKF</t>
  </si>
  <si>
    <t>https://drive.google.com/open?id=1_B-9ah7Q8QFcUpIInTLs7Ly65jh6048O</t>
  </si>
  <si>
    <t>https://drive.google.com/open?id=1APHMUpYmHXiuCJbrOIy13CHcVM1oMRIb</t>
  </si>
  <si>
    <t>https://drive.google.com/open?id=1KaYMXNna3miRMG_Br6xdNdFM7--IXB5A</t>
  </si>
  <si>
    <t>https://drive.google.com/open?id=1QXwZHnAMBxUKsIUUOQYB7yOQFE4IUlz-</t>
  </si>
  <si>
    <t>https://drive.google.com/open?id=1jcvU3JIRZN9sGN8Kzq4UmVQZNw6W3W5Z</t>
  </si>
  <si>
    <t>https://drive.google.com/open?id=1XqhxLHhjcIKu1lsBVF1Zd634wqbuotQ4</t>
  </si>
  <si>
    <t>https://drive.google.com/open?id=1dRrW2Pfrj_Az9yaT_onAgIyWGLwcMe4F</t>
  </si>
  <si>
    <t>https://drive.google.com/open?id=1rR7HHoVWdWp0sGy_Z17qy-V-kNhz9xh5</t>
  </si>
  <si>
    <t>https://drive.google.com/open?id=1dEVzSBhdDyaVsP6eN1AY-0ekcyv849Y8</t>
  </si>
  <si>
    <t>https://drive.google.com/open?id=1dV09Li_bC9-jL9Ir1gZty3W3DmgS9Bg7</t>
  </si>
  <si>
    <t>https://drive.google.com/open?id=11f9k06JXJ0npG7xSKS3ywV-Mh4BwfQh1</t>
  </si>
  <si>
    <t>https://drive.google.com/open?id=1cxdlzIvdZjYXCYO92kNM2EMNNy_3sFuJ</t>
  </si>
  <si>
    <t>https://drive.google.com/open?id=1z4ZI7j4j2fd3ljm5CwdZeZmiGL5KpVeF</t>
  </si>
  <si>
    <t>https://drive.google.com/open?id=1OAhKGDCii73eTk24CLbCHIpwoJKl_8Xw</t>
  </si>
  <si>
    <t>https://drive.google.com/open?id=1jIsVFEW0c5wCse9LSfku7jxMLzHMx1iB</t>
  </si>
  <si>
    <t>https://drive.google.com/open?id=1xOp-4AFp-Qq37S1VQG74LCno7A8z44YA</t>
  </si>
  <si>
    <t>https://drive.google.com/open?id=1o_CsllTOIK1-uzPwbmyf9Kk-5YKKaAxo</t>
  </si>
  <si>
    <t>https://drive.google.com/open?id=19l7h09i_gmWWSS_KNwygEjIjnouGZEtQ</t>
  </si>
  <si>
    <t>https://drive.google.com/open?id=1yY5YpVPj-9Fw9TY5TjgLDGiLny2uXnHx</t>
  </si>
  <si>
    <t>https://drive.google.com/open?id=1POsU25dR5YnASCc4iQi3XHDk5_SemFvY</t>
  </si>
  <si>
    <t>https://drive.google.com/open?id=1DLkJ4YcvYuHCpU3hIHD9BSHNfLl0gnqn</t>
  </si>
  <si>
    <t>https://drive.google.com/open?id=1xceDnnscCHaGIE8eATQ_RzEV8JkoXpmO</t>
  </si>
  <si>
    <t>https://drive.google.com/open?id=1t6pZH_vF-LmclwUSg51gbb5VWXrWwZs7</t>
  </si>
  <si>
    <t>https://drive.google.com/open?id=1CoC-wShIihit7qZhraETTieJTdrSjJ1E</t>
  </si>
  <si>
    <t>https://drive.google.com/open?id=16sXIe7Mnurbb9qUdALnZF30fxzlLi4ys</t>
  </si>
  <si>
    <t>https://drive.google.com/open?id=1hJNFeh6cks3zHgt04rVckFLYi9Wjxbxk</t>
  </si>
  <si>
    <t>https://drive.google.com/open?id=1NjIpARIqxUC0k-A4mXs7u6g9bMwa24rG</t>
  </si>
  <si>
    <t>https://drive.google.com/open?id=1ab79TzYHl3mo55_fXbAKcG9tYrIDPPDx</t>
  </si>
  <si>
    <t>https://drive.google.com/open?id=1Ezv8u0ZMH5vw7uvVbB4v3PqwFGfoUYYa</t>
  </si>
  <si>
    <t>https://drive.google.com/open?id=1DVa9Sas-k6R4uGSn54iyedWxRjIrxQ2D</t>
  </si>
  <si>
    <t>https://drive.google.com/open?id=1k42X-DiDZYF77XiWt3M5697c9obnMLQG</t>
  </si>
  <si>
    <t>https://drive.google.com/open?id=1TtZPUoiwThyXtdaF7dc-O_sqDQFq-hWc</t>
  </si>
  <si>
    <t>https://drive.google.com/open?id=1QazXJ6H0vv_6i-Ldo9o2wERH3j3h490k</t>
  </si>
  <si>
    <t>https://drive.google.com/open?id=1DO453asf5E5oZnRLM2Rhuq4Dgz-FdVNo</t>
  </si>
  <si>
    <t>https://drive.google.com/open?id=1SQ194vbbMKMYbJTKy_uO9izOpe03BbLH</t>
  </si>
  <si>
    <t>https://drive.google.com/open?id=1jyLlnBZwKRDVXIBIO7GAIKOt7VJVtRP9</t>
  </si>
  <si>
    <t>https://drive.google.com/open?id=1RX9o7OWm7Oc6E9JCv8qTeaUwSn3Sv9j_</t>
  </si>
  <si>
    <t>https://drive.google.com/open?id=10PWGbCYCyJAlm6_hB817E5g1y-I4AIEr</t>
  </si>
  <si>
    <t>https://drive.google.com/open?id=1H2gbb_1-k0FjHXpVPwOnDp-2VZ-OAKjR</t>
  </si>
  <si>
    <t>https://drive.google.com/open?id=1Behcmuxmb81xTYXv_CiGBmxAjIl0DH5c</t>
  </si>
  <si>
    <t>https://drive.google.com/open?id=1i1canVpPVMMrkfJ3nu14mYoHuhxO5ScH</t>
  </si>
  <si>
    <t>https://drive.google.com/open?id=1z2brMK1WKU89F9chwp_ftqnjesLoUVNJ</t>
  </si>
  <si>
    <t>https://drive.google.com/open?id=1XQOBUIqps3IvSVWXkrmNVF9nOQWD7XCI</t>
  </si>
  <si>
    <t>https://drive.google.com/open?id=14j3r7hRGhsfBQ2BWXBVvP_ITseWaUf-j</t>
  </si>
  <si>
    <t>https://drive.google.com/open?id=1pw4by2AJai3OXH28r7HFbxxBwbk66ein</t>
  </si>
  <si>
    <t>https://drive.google.com/open?id=1JziXV1o108LiZNQARjXVZoQYxFi213sY</t>
  </si>
  <si>
    <t>https://drive.google.com/open?id=1InpH9M4s-Fy2J370E4Q1t_3v_CIIc3Ty</t>
  </si>
  <si>
    <t>https://drive.google.com/open?id=1z83bbWRDba3Yjkhx2yPxEEWz19kwlLHP</t>
  </si>
  <si>
    <t>https://drive.google.com/open?id=1pJvZSMe0kiPCHGU50wy8ssoS_VYywd_q</t>
  </si>
  <si>
    <t>https://drive.google.com/open?id=1HLAG_gLNdLpSMGHylqhkmtfmjJfQMsnZ</t>
  </si>
  <si>
    <t>https://drive.google.com/open?id=1YMEDCDrl3lcxawAij2ckwG2hc4VigCzx</t>
  </si>
  <si>
    <t>https://drive.google.com/open?id=1G4p_1pPLUWQwJk1F__XQra0jpmY_0CH7</t>
  </si>
  <si>
    <t>https://drive.google.com/open?id=1jz80Z1SZAOuzxPQAhB28kAvVGKhuaugl</t>
  </si>
  <si>
    <t>https://drive.google.com/open?id=1b5bD771aHsvubrhPELbiR7tT6DuLuR2e</t>
  </si>
  <si>
    <t>https://drive.google.com/open?id=1oINm4kFwQJtsCGIZJf1kdBpBpUNL50nG</t>
  </si>
  <si>
    <t>https://drive.google.com/open?id=1Fayq7zA3eIcbV3UtmFnDCqlILi0pWhEH</t>
  </si>
  <si>
    <t>https://drive.google.com/open?id=1yl5yh2xErF8JMySmzEkPoAey97aLToli</t>
  </si>
  <si>
    <t>https://drive.google.com/open?id=1AYdpF3Kc37pYPMqS9OfOkM6C_koVHk9G</t>
  </si>
  <si>
    <t>https://drive.google.com/open?id=177G630lMvfKb_SsXPdxPkb9VOuwyFB4v</t>
  </si>
  <si>
    <t>https://drive.google.com/open?id=11jJaT0T7Sk_GLii2oVdZkHSiQ5vmACO0</t>
  </si>
  <si>
    <t>https://drive.google.com/open?id=1e4ARuFeWrSv-SZsuj-uYGVht_eReZjPZ</t>
  </si>
  <si>
    <t>https://drive.google.com/open?id=1FhtNNQIcCBSGhkkc430icBcQXcwFfDTt</t>
  </si>
  <si>
    <t>https://drive.google.com/open?id=1T8fPfqTdF9H9pt9Cq-DuOUZPDW9fp1Er</t>
  </si>
  <si>
    <t>https://drive.google.com/open?id=1MCiu230ZCVWnsGI-a8Jra1ONqstrOJkx</t>
  </si>
  <si>
    <t>https://drive.google.com/open?id=1cit-kjujWvzmhS0Y_bXSKjeZqaMco87W</t>
  </si>
  <si>
    <t>https://drive.google.com/open?id=1dGu8TLkn3jxS0R9o9Jqa0m3TKHjY3o6f</t>
  </si>
  <si>
    <t>https://drive.google.com/open?id=1s2NVdycnxlsKv7dz5TdemN5siJqQ-2vT</t>
  </si>
  <si>
    <t>https://drive.google.com/open?id=1D2LuI82PfsVvC8o9xfIij4JTkxD-0TZY</t>
  </si>
  <si>
    <t>https://drive.google.com/open?id=1hkbBYiixNWvXmJL-DgrCjU8F0k9czmFG</t>
  </si>
  <si>
    <t>https://drive.google.com/open?id=15YOj_reN44LJpSFLaQilvmB9Fylrkgrz</t>
  </si>
  <si>
    <t>https://drive.google.com/open?id=1UO9Fq8ke0rwRhWrlgRmhHzxzjQB4FzSx</t>
  </si>
  <si>
    <t>https://drive.google.com/open?id=1EosTa6ejOIU_WF9MlyD13P-Lc-5cS_-n</t>
  </si>
  <si>
    <t>https://drive.google.com/open?id=1TOU24vFt2z6hCdF8eL-Mb98Nce8GhnCo</t>
  </si>
  <si>
    <t>https://drive.google.com/open?id=1NDc-9u8OWzTko8lI3v8XL77GTa0ngm-F</t>
  </si>
  <si>
    <t>https://drive.google.com/open?id=1GTGpxEtgBpkvqVc4Q0XXrf66_c1xPuRZ</t>
  </si>
  <si>
    <t>https://drive.google.com/open?id=1Mx-CrFKY08nOSLSOgAYVFyX_P4cwFpBk</t>
  </si>
  <si>
    <t>https://drive.google.com/open?id=1xdrFeWWrNbOMP3s5gpMBpJwa2rmqhtG4</t>
  </si>
  <si>
    <t>https://drive.google.com/open?id=1P7VTmiubqqNVQKcnqQeXGvj69sauoxfC</t>
  </si>
  <si>
    <t>https://drive.google.com/open?id=1cnwO79q3bl6Sp71kQxsHyK37rgJtM7e-</t>
  </si>
  <si>
    <t>https://drive.google.com/open?id=1w4P1ul-9BBxhHwCFMnfttOG1yuELFTHW</t>
  </si>
  <si>
    <t>https://drive.google.com/open?id=1Iva5LM-jIl4LimrI6HtBC5oC5IlL6_KK</t>
  </si>
  <si>
    <t>https://drive.google.com/open?id=1heZ2c9RDe50dNBiR1OwoPRThIAgXiGJo</t>
  </si>
  <si>
    <t>https://drive.google.com/open?id=1mVJjf9ZUTub0QSFdAVfPaLCGV_4lPf5k</t>
  </si>
  <si>
    <t>https://drive.google.com/open?id=131apD-p8RH0TcLwL0a3-ginJ5w155mzc</t>
  </si>
  <si>
    <t>https://drive.google.com/open?id=1eMAjY4W6fzQDKTed_ob-dNvkoTO1P7ci</t>
  </si>
  <si>
    <t>https://drive.google.com/open?id=1riWvkPcswzWSscTfqD21R93dIeVfgdB8</t>
  </si>
  <si>
    <t>https://drive.google.com/open?id=1gmx1giKkWb_ZBIoii5qeP2vZrLAcV5Ht</t>
  </si>
  <si>
    <t>https://drive.google.com/open?id=10TfQPNpQBqJHxJzZ6CA5opHLPsiTj7Zp</t>
  </si>
  <si>
    <t>https://drive.google.com/open?id=1eDWX7CB2BZbcPzKBobsR30ghEBRovd8N</t>
  </si>
  <si>
    <t>https://drive.google.com/open?id=15k_bbhZIYEINeaUbUPnnvoocCaFMM8z0</t>
  </si>
  <si>
    <t>https://drive.google.com/open?id=1K9Yo5i2l3_IoUPCh2YiGgcW1g0YyiVsM</t>
  </si>
  <si>
    <t>https://drive.google.com/open?id=1Qd9xoIPCFeRRyh4SLZTcGyeHumIxLr78</t>
  </si>
  <si>
    <t>https://drive.google.com/open?id=1YYYS2MnCVyjRX57pCfxX6EGeoKEsQNU_</t>
  </si>
  <si>
    <t>https://drive.google.com/open?id=1ZrKpUCHe-ZUkQf8uLLpyM9xDjcOYsNhq</t>
  </si>
  <si>
    <t>https://drive.google.com/open?id=1e_O16vY6o0zzX27tE_ydcf03HuVDGW1J</t>
  </si>
  <si>
    <t>https://drive.google.com/open?id=19gEbwqr29KHt2os0_acTbspd8NbLkeP3</t>
  </si>
  <si>
    <t>https://drive.google.com/open?id=1u6wPtFsbaE3q7qSCNtgIgSecnR-8oIvc</t>
  </si>
  <si>
    <t>https://drive.google.com/open?id=1Tz8bjzBd4Sp9MjNjxYByEnQBllfs2Kud</t>
  </si>
  <si>
    <t>https://drive.google.com/open?id=1rX3x8UElGO456op052D2AZaf_tBBMKOe</t>
  </si>
  <si>
    <t>https://drive.google.com/open?id=1d6XfaQ-Qv3N0dlWqADJAVAaZYwixD4oH</t>
  </si>
  <si>
    <t>https://drive.google.com/open?id=1_tIqTmvqAPteC6Yq3XO6pOFTYehlt1os</t>
  </si>
  <si>
    <t>https://drive.google.com/open?id=1tjTbPVyBtCJfu3G2cy2Y3NTlRZaqMEf6</t>
  </si>
  <si>
    <t>https://drive.google.com/open?id=1chqMWakwbQr1aysgilDNerg4KGNlBT48</t>
  </si>
  <si>
    <t>https://drive.google.com/open?id=1wW8ZpomYYsJZoRO8hkXmwMeXX23m5Tbz</t>
  </si>
  <si>
    <t>https://drive.google.com/open?id=1RhQVOHWE21KDbTdhvBkf9135pt3QuZDX</t>
  </si>
  <si>
    <t>https://drive.google.com/open?id=11x5pYAxocKeFFlYXuexEua_MUgcsmN0z</t>
  </si>
  <si>
    <t>https://drive.google.com/open?id=1dn1PtUwH-kQFT-poApSRxOdunhNwQ5GN</t>
  </si>
  <si>
    <t>https://drive.google.com/open?id=18Cmvoe8Elr3HhK57DKr30e5vBZGCoSRi</t>
  </si>
  <si>
    <t>https://drive.google.com/open?id=1chHZAGHwdQwJaCoaXs_2pz4RM-pOCYGu</t>
  </si>
  <si>
    <t>https://drive.google.com/open?id=1GP375WLDCOvLmXLJtlKrVkUVytnM876c</t>
  </si>
  <si>
    <t>https://drive.google.com/open?id=1NOP3fTrqUtatd8Dj0qyJUrtOxEcXpZq_</t>
  </si>
  <si>
    <t>https://drive.google.com/open?id=1f2-PG5YEt1jdXvIQ4ChCtiaTaY55aoSr</t>
  </si>
  <si>
    <t>https://drive.google.com/open?id=13DUxEJlrLNh5qf87LSgVu3-wXsS1VXrv</t>
  </si>
  <si>
    <t>https://drive.google.com/open?id=11RQ-QDSUC5J1Jy2uRIu6mJSIqaYQhsBv</t>
  </si>
  <si>
    <t>https://drive.google.com/open?id=11MfjLIgOTjvbqW2rJzp_J0qp4BfsdZ88</t>
  </si>
  <si>
    <t>https://drive.google.com/open?id=1c5spwiSVjEa-pKYtJobru5_aUwDzeulz</t>
  </si>
  <si>
    <t>https://drive.google.com/open?id=1jtXl5cW_m-R9Oh6QbZME0sMfzYTleghQ</t>
  </si>
  <si>
    <t>https://drive.google.com/open?id=1GpPHLp-GWKjbLwSlxbx4Cll0_HlbOnJ8</t>
  </si>
  <si>
    <t>https://drive.google.com/open?id=1mrJRh1yqhvzNjjKLs1ytBF7V4rDTjoa2</t>
  </si>
  <si>
    <t>https://drive.google.com/open?id=1PNFyk0CMdN2Bfuz_7h28xeTA6lA9c3CP</t>
  </si>
  <si>
    <t>https://drive.google.com/open?id=1jGNsavWOWWWF8cqQNsyUBJ8wCQZRt0WT</t>
  </si>
  <si>
    <t>https://drive.google.com/open?id=1vdC-xktbflwemeRNOWIsKE_ApBVq2um0</t>
  </si>
  <si>
    <t>https://drive.google.com/open?id=1j1mlvoFPLMsB6rg0yEVoDC-EXsxrVwaY</t>
  </si>
  <si>
    <t>https://drive.google.com/open?id=1WnoFo6-db5or9ClAzTX0tHV76W4AIpoU</t>
  </si>
  <si>
    <t>https://drive.google.com/open?id=1iFaYwF-o_biuedtkG2gOolcVtIwuBbUL</t>
  </si>
  <si>
    <t>https://drive.google.com/open?id=1FGbaG2C2Xj8GOL1Z_qr6_dmyKXtCggBq</t>
  </si>
  <si>
    <t>https://drive.google.com/open?id=14m6CTsQ9NQDSxmmXNszogDs119KrcflY</t>
  </si>
  <si>
    <t>https://drive.google.com/open?id=1EpICp0DeHWru-7LshnLU7TqCyxJXtSJK</t>
  </si>
  <si>
    <t>https://drive.google.com/open?id=1ScTuLI8693CT3Tjj1cDd6GgeL6iDTzby</t>
  </si>
  <si>
    <t>https://drive.google.com/open?id=192uSGEnap5tHfRCvmWEACmruM1y9xs0I</t>
  </si>
  <si>
    <t>https://drive.google.com/open?id=171FPlEzs2SFtzFAvpxlGrT3L8N62oDlp</t>
  </si>
  <si>
    <t>https://drive.google.com/open?id=1yxXqxFYZHQ0nZLTO8JBNkGHxX83PXsZC</t>
  </si>
  <si>
    <t>https://drive.google.com/open?id=1qdEphST1vXP12LcVpcqjzTrJGwwz5VuG</t>
  </si>
  <si>
    <t>https://drive.google.com/open?id=12ztTMe4y6tDJgm18xP6SPUZyaRbw3yim</t>
  </si>
  <si>
    <t>https://drive.google.com/open?id=1X5R2snrQBN78YtmKabTsxVYQwkHvNopp</t>
  </si>
  <si>
    <t>https://drive.google.com/open?id=10EelpzrQV0UNyvHl-xOf7Qy5-3Pqlpgq</t>
  </si>
  <si>
    <t>https://drive.google.com/open?id=1ghGcMKF1mB9lp27VTRslbWyo0baB0Cnp</t>
  </si>
  <si>
    <t>https://drive.google.com/open?id=1Wo2dtOx1vj0orOHNXYxNRqq_c6CTFv_5</t>
  </si>
  <si>
    <t>https://drive.google.com/open?id=17dNNAkaQ4jB-4fjpQFuOcYgDHVW5PbII</t>
  </si>
  <si>
    <t>https://drive.google.com/open?id=1wZx5MlRcruLmG6yW-KKWJoIcfiHDavkD</t>
  </si>
  <si>
    <t>https://drive.google.com/open?id=1WPfSl2yfKNXxfrCh_mN0xwJ4GIUupGJA</t>
  </si>
  <si>
    <t>https://drive.google.com/open?id=1V2OHZ6grlKM6sNsUymAJrgQn1eFzHzLB</t>
  </si>
  <si>
    <t>https://drive.google.com/open?id=1HNTmTdqiyLmnpldwjvkPrRtd50Z0U_sB</t>
  </si>
  <si>
    <t>https://drive.google.com/open?id=1tyIOuc02Pcda-waGk-CyTOGxUnpB4hLr</t>
  </si>
  <si>
    <t>https://drive.google.com/open?id=1Q64K-OSgL7x81nEJKzKR5ynL5zecsaZt</t>
  </si>
  <si>
    <t>https://drive.google.com/open?id=1YM8IGz7tpCy_HS0xs4w3-_tg2jbsgldk</t>
  </si>
  <si>
    <t>https://drive.google.com/open?id=1FE2b99wsVFGnF-Z2o4X_oM7m0LWfUndB</t>
  </si>
  <si>
    <t>https://drive.google.com/open?id=1INB0tkmWrmsKhePR-e9Hzo5AxE9yq8hO</t>
  </si>
  <si>
    <t>https://drive.google.com/open?id=1Eg0qnKpgvO-9tBHkuAP0HssLteR4q-Uv</t>
  </si>
  <si>
    <t>https://drive.google.com/open?id=1Ead-pgPB2PeGgIlQztdcJnOiAQeg7AcC</t>
  </si>
  <si>
    <t>https://drive.google.com/open?id=1R6Ys6RIS1OEv_kdTfExAyBv9V_MEW-Ww</t>
  </si>
  <si>
    <t>https://drive.google.com/open?id=10n-DWHpBJ6G7Q7hGdstBhVQhhHHnItgc</t>
  </si>
  <si>
    <t>https://drive.google.com/open?id=1JK0pB6VXJLJx244RVb3vKQR4niNWCDOI</t>
  </si>
  <si>
    <t>https://drive.google.com/open?id=1Z5L9mgdwrDIykys4ObmIsxEvXDFNFOfb</t>
  </si>
  <si>
    <t>shd</t>
  </si>
  <si>
    <t xml:space="preserve">  Trạng thái công việc mới  </t>
  </si>
  <si>
    <t>Người báo cáo</t>
  </si>
  <si>
    <t>Đã đo</t>
  </si>
  <si>
    <t>Chưa đo</t>
  </si>
  <si>
    <t>333/BK-2025</t>
  </si>
  <si>
    <t>KHÁCH CHƯA CHỊU GIÁ ĐÓ</t>
  </si>
  <si>
    <t>hợp đồng kèm tên hồ sơ</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</si>
</sst>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m/d/yyyy h:mm:ss"/>
  </numFmts>
  <fonts count="17">
    <font>
      <sz val="10.0"/>
      <color rgb="FF000000"/>
      <name val="Arial"/>
      <scheme val="minor"/>
    </font>
    <font>
      <sz val="10.0"/>
      <color theme="1"/>
      <name val="Montserrat"/>
    </font>
    <font>
      <b/>
      <sz val="10.0"/>
      <color rgb="FFCC0000"/>
      <name val="Montserrat"/>
    </font>
    <font>
      <b/>
      <sz val="10.0"/>
      <color theme="1"/>
      <name val="Montserrat"/>
    </font>
    <font>
      <b/>
      <sz val="10.0"/>
      <color rgb="FF356854"/>
      <name val="Montserrat"/>
    </font>
    <font>
      <color theme="1"/>
      <name val="Montserrat"/>
    </font>
    <font>
      <b/>
      <color rgb="FFCC0000"/>
      <name val="Arial"/>
      <scheme val="minor"/>
    </font>
    <font>
      <color theme="1"/>
      <name val="Arial"/>
      <scheme val="minor"/>
    </font>
    <font>
      <b/>
      <color theme="1"/>
      <name val="Montserrat"/>
    </font>
    <font>
      <sz val="11.0"/>
      <color theme="1"/>
      <name val="Arial"/>
      <scheme val="minor"/>
    </font>
    <font>
      <b/>
      <color theme="1"/>
      <name val="Arial"/>
      <scheme val="minor"/>
    </font>
    <font>
      <b/>
      <sz val="11.0"/>
      <color theme="1"/>
      <name val="Arial"/>
      <scheme val="minor"/>
    </font>
    <font>
      <b/>
      <color rgb="FF980000"/>
      <name val="Montserrat"/>
    </font>
    <font>
      <b/>
      <color rgb="FF980000"/>
      <name val="Arial"/>
      <scheme val="minor"/>
    </font>
    <font>
      <u/>
      <color rgb="FF0000FF"/>
      <name val="Montserrat"/>
    </font>
    <font>
      <u/>
      <color rgb="FF0000FF"/>
      <name val="Montserrat"/>
    </font>
    <font>
      <u/>
      <color rgb="FF0000FF"/>
      <name val="Roboto"/>
    </font>
  </fonts>
  <fills count="10">
    <fill>
      <patternFill patternType="none"/>
    </fill>
    <fill>
      <patternFill patternType="lightGray"/>
    </fill>
    <fill>
      <patternFill patternType="solid">
        <fgColor rgb="FFFF0000"/>
        <bgColor rgb="FFFF0000"/>
      </patternFill>
    </fill>
    <fill>
      <patternFill patternType="solid">
        <fgColor rgb="FF356854"/>
        <bgColor rgb="FF356854"/>
      </patternFill>
    </fill>
    <fill>
      <patternFill patternType="solid">
        <fgColor rgb="FFFFFFFF"/>
        <bgColor rgb="FFFFFFFF"/>
      </patternFill>
    </fill>
    <fill>
      <patternFill patternType="solid">
        <fgColor rgb="FF00FFFF"/>
        <bgColor rgb="FF00FFFF"/>
      </patternFill>
    </fill>
    <fill>
      <patternFill patternType="solid">
        <fgColor theme="8"/>
        <bgColor theme="8"/>
      </patternFill>
    </fill>
    <fill>
      <patternFill patternType="solid">
        <fgColor theme="6"/>
        <bgColor theme="6"/>
      </patternFill>
    </fill>
    <fill>
      <patternFill patternType="solid">
        <fgColor rgb="FFFF9900"/>
        <bgColor rgb="FFFF9900"/>
      </patternFill>
    </fill>
    <fill>
      <patternFill patternType="solid">
        <fgColor rgb="FF00FF00"/>
        <bgColor rgb="FF00FF00"/>
      </patternFill>
    </fill>
  </fills>
  <borders count="1">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3"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3" numFmtId="0" xfId="0" applyAlignment="1" applyFont="1">
      <alignment horizontal="left" readingOrder="0" shrinkToFit="0" vertical="center" wrapText="0"/>
    </xf>
    <xf borderId="0" fillId="0" fontId="3" numFmtId="164" xfId="0" applyAlignment="1" applyFont="1" applyNumberFormat="1">
      <alignment horizontal="left" readingOrder="0" shrinkToFit="0" vertical="center" wrapText="0"/>
    </xf>
    <xf borderId="0" fillId="2" fontId="3" numFmtId="0" xfId="0" applyAlignment="1" applyFill="1" applyFont="1">
      <alignment horizontal="left" readingOrder="0" shrinkToFit="0" vertical="center" wrapText="0"/>
    </xf>
    <xf borderId="0" fillId="3" fontId="4" numFmtId="49" xfId="0" applyAlignment="1" applyFill="1" applyFont="1" applyNumberFormat="1">
      <alignment horizontal="left" readingOrder="0" shrinkToFit="0" vertical="center" wrapText="0"/>
    </xf>
    <xf borderId="0" fillId="0" fontId="1" numFmtId="165"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5"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shrinkToFit="0" vertical="center" wrapText="0"/>
    </xf>
    <xf borderId="0" fillId="0" fontId="2" numFmtId="0" xfId="0" applyAlignment="1" applyFont="1">
      <alignment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2"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quotePrefix="1"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borderId="0" fillId="4" fontId="2" numFmtId="0" xfId="0" applyAlignment="1" applyFill="1" applyFon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5" numFmtId="165" xfId="0" applyAlignment="1" applyFont="1" applyNumberFormat="1">
      <alignment readingOrder="0" shrinkToFit="0" vertical="center" wrapText="0"/>
    </xf>
    <xf borderId="0" fillId="0" fontId="5" numFmtId="0" xfId="0" applyAlignment="1" applyFont="1">
      <alignment shrinkToFit="0" vertical="center" wrapText="0"/>
    </xf>
    <xf borderId="0" fillId="0" fontId="5" numFmtId="0" xfId="0" applyAlignment="1" applyFont="1">
      <alignment shrinkToFit="0" vertical="center" wrapText="0"/>
    </xf>
    <xf borderId="0" fillId="0" fontId="5" numFmtId="164" xfId="0" applyAlignment="1" applyFont="1" applyNumberFormat="1">
      <alignment shrinkToFit="0" vertical="center" wrapText="0"/>
    </xf>
    <xf borderId="0" fillId="0" fontId="5" numFmtId="0" xfId="0" applyAlignment="1" applyFont="1">
      <alignment readingOrder="0" shrinkToFit="0" vertical="center" wrapText="0"/>
    </xf>
    <xf quotePrefix="1" borderId="0" fillId="0" fontId="5" numFmtId="0" xfId="0" applyAlignment="1" applyFont="1">
      <alignment readingOrder="0" shrinkToFit="0" vertical="center" wrapText="0"/>
    </xf>
    <xf borderId="0" fillId="0" fontId="5" numFmtId="0" xfId="0" applyAlignment="1" applyFont="1">
      <alignment readingOrder="0" shrinkToFit="0" vertical="center" wrapText="0"/>
    </xf>
    <xf quotePrefix="1" borderId="0" fillId="0" fontId="5" numFmtId="0" xfId="0" applyAlignment="1" applyFont="1">
      <alignment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6" numFmtId="0" xfId="0" applyFont="1"/>
    <xf borderId="0" fillId="0" fontId="5" numFmtId="164" xfId="0" applyFont="1" applyNumberFormat="1"/>
    <xf borderId="0" fillId="0" fontId="7" numFmtId="164" xfId="0" applyFont="1" applyNumberFormat="1"/>
    <xf borderId="0" fillId="0" fontId="7" numFmtId="0" xfId="0" applyFont="1"/>
    <xf borderId="0" fillId="0" fontId="8" numFmtId="0" xfId="0" applyFont="1"/>
    <xf borderId="0" fillId="5" fontId="8" numFmtId="0" xfId="0" applyAlignment="1" applyFill="1" applyFont="1">
      <alignment readingOrder="0"/>
    </xf>
    <xf borderId="0" fillId="6" fontId="8" numFmtId="0" xfId="0" applyAlignment="1" applyFill="1" applyFont="1">
      <alignment readingOrder="0"/>
    </xf>
    <xf borderId="0" fillId="7" fontId="8" numFmtId="0" xfId="0" applyAlignment="1" applyFill="1" applyFont="1">
      <alignment readingOrder="0"/>
    </xf>
    <xf borderId="0" fillId="0" fontId="5" numFmtId="0" xfId="0" applyFont="1"/>
    <xf borderId="0" fillId="0" fontId="7" numFmtId="0" xfId="0" applyAlignment="1" applyFont="1">
      <alignment readingOrder="0"/>
    </xf>
    <xf borderId="0" fillId="0" fontId="5" numFmtId="0" xfId="0" applyAlignment="1" applyFont="1">
      <alignment readingOrder="0"/>
    </xf>
    <xf borderId="0" fillId="0" fontId="5" numFmtId="165" xfId="0" applyFont="1" applyNumberFormat="1"/>
    <xf borderId="0" fillId="0" fontId="9" numFmtId="0" xfId="0" applyAlignment="1" applyFont="1">
      <alignment horizontal="center" readingOrder="0"/>
    </xf>
    <xf borderId="0" fillId="8" fontId="7" numFmtId="0" xfId="0" applyAlignment="1" applyFill="1" applyFont="1">
      <alignment readingOrder="0"/>
    </xf>
    <xf borderId="0" fillId="9" fontId="10" numFmtId="0" xfId="0" applyAlignment="1" applyFill="1" applyFont="1">
      <alignment readingOrder="0"/>
    </xf>
    <xf borderId="0" fillId="5" fontId="7" numFmtId="0" xfId="0" applyAlignment="1" applyFont="1">
      <alignment readingOrder="0"/>
    </xf>
    <xf borderId="0" fillId="0" fontId="9" numFmtId="0" xfId="0" applyAlignment="1" applyFont="1">
      <alignment horizontal="center"/>
    </xf>
    <xf borderId="0" fillId="9" fontId="9" numFmtId="0" xfId="0" applyAlignment="1" applyFont="1">
      <alignment horizontal="center"/>
    </xf>
    <xf borderId="0" fillId="0" fontId="9" numFmtId="0" xfId="0" applyFont="1"/>
    <xf borderId="0" fillId="0" fontId="11" numFmtId="0" xfId="0" applyAlignment="1" applyFont="1">
      <alignment horizontal="center"/>
    </xf>
    <xf borderId="0" fillId="8" fontId="7" numFmtId="0" xfId="0" applyFont="1"/>
    <xf borderId="0" fillId="0" fontId="12" numFmtId="0" xfId="0" applyFont="1"/>
    <xf borderId="0" fillId="0" fontId="12" numFmtId="0" xfId="0" applyAlignment="1" applyFont="1">
      <alignment horizontal="center" readingOrder="0"/>
    </xf>
    <xf borderId="0" fillId="0" fontId="13" numFmtId="0" xfId="0" applyFont="1"/>
    <xf borderId="0" fillId="0" fontId="5"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0" fontId="5" numFmtId="14"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14" numFmtId="0" xfId="0" applyAlignment="1" applyFont="1">
      <alignment readingOrder="0" shrinkToFit="0" vertical="center" wrapText="0"/>
    </xf>
    <xf borderId="0" fillId="0" fontId="5" numFmtId="165"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5" numFmtId="0" xfId="0" applyAlignment="1" applyFont="1">
      <alignment shrinkToFit="0" vertical="center" wrapText="0"/>
    </xf>
    <xf borderId="0" fillId="0" fontId="5" numFmtId="14" xfId="0" applyAlignment="1" applyFont="1" applyNumberFormat="1">
      <alignment readingOrder="0" shrinkToFit="0" vertical="center" wrapText="0"/>
    </xf>
    <xf borderId="0" fillId="0" fontId="15" numFmtId="0" xfId="0" applyAlignment="1" applyFont="1">
      <alignment readingOrder="0" shrinkToFit="0" vertical="center" wrapText="0"/>
    </xf>
    <xf borderId="0" fillId="0" fontId="5" numFmtId="0" xfId="0" applyAlignment="1" applyFont="1">
      <alignment readingOrder="0" shrinkToFit="0" vertical="center" wrapText="0"/>
    </xf>
    <xf borderId="0" fillId="0" fontId="7" numFmtId="165" xfId="0" applyAlignment="1" applyFont="1" applyNumberFormat="1">
      <alignment readingOrder="0" shrinkToFit="0" vertical="center" wrapText="0"/>
    </xf>
    <xf borderId="0" fillId="0" fontId="7" numFmtId="0" xfId="0" applyAlignment="1" applyFont="1">
      <alignment readingOrder="0" shrinkToFit="0" vertical="center" wrapText="0"/>
    </xf>
    <xf borderId="0" fillId="0" fontId="7" numFmtId="14" xfId="0" applyAlignment="1" applyFont="1" applyNumberFormat="1">
      <alignment readingOrder="0" shrinkToFit="0" vertical="center" wrapText="0"/>
    </xf>
    <xf borderId="0" fillId="0" fontId="16" numFmtId="0" xfId="0" applyAlignment="1" applyFont="1">
      <alignment readingOrder="0" shrinkToFit="0" vertical="center" wrapText="0"/>
    </xf>
    <xf borderId="0" fillId="0" fontId="7" numFmtId="0" xfId="0" applyAlignment="1" applyFont="1">
      <alignment horizontal="left" readingOrder="0" shrinkToFit="0" vertical="center" wrapText="0"/>
    </xf>
    <xf borderId="0" fillId="0" fontId="7" numFmtId="165" xfId="0" applyAlignment="1" applyFont="1" applyNumberFormat="1">
      <alignment readingOrder="0" shrinkToFit="0" vertical="center" wrapText="0"/>
    </xf>
    <xf borderId="0" fillId="0" fontId="7" numFmtId="0" xfId="0" applyAlignment="1" applyFont="1">
      <alignment readingOrder="0" shrinkToFit="0" vertical="center" wrapText="0"/>
    </xf>
    <xf borderId="0" fillId="0" fontId="7" numFmtId="0" xfId="0" applyAlignment="1" applyFont="1">
      <alignment shrinkToFit="0" vertical="center" wrapText="0"/>
    </xf>
  </cellXfs>
  <cellStyles count="1">
    <cellStyle xfId="0" name="Normal" builtinId="0"/>
  </cellStyles>
  <dxfs count="4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
      <font>
        <color rgb="FFFFFFFF"/>
      </font>
      <fill>
        <patternFill patternType="solid">
          <fgColor rgb="FFFF0000"/>
          <bgColor rgb="FFFF0000"/>
        </patternFill>
      </fill>
      <border/>
    </dxf>
    <dxf>
      <font>
        <b/>
        <u/>
        <color rgb="FF000000"/>
      </font>
      <fill>
        <patternFill patternType="solid">
          <fgColor rgb="FF00FF00"/>
          <bgColor rgb="FF00FF00"/>
        </patternFill>
      </fill>
      <border/>
    </dxf>
    <dxf>
      <font>
        <b/>
        <color rgb="FF38761D"/>
      </font>
      <fill>
        <patternFill patternType="solid">
          <fgColor rgb="FF46BDC6"/>
          <bgColor rgb="FF46BDC6"/>
        </patternFill>
      </fill>
      <border/>
    </dxf>
    <dxf>
      <font>
        <color rgb="FF000000"/>
      </font>
      <fill>
        <patternFill patternType="solid">
          <fgColor rgb="FFFFFF00"/>
          <bgColor rgb="FFFFFF00"/>
        </patternFill>
      </fill>
      <border/>
    </dxf>
    <dxf>
      <font/>
      <fill>
        <patternFill patternType="solid">
          <fgColor rgb="FFFFFF00"/>
          <bgColor rgb="FFFFFF00"/>
        </patternFill>
      </fill>
      <border/>
    </dxf>
    <dxf>
      <font>
        <b/>
        <color rgb="FFFF0000"/>
      </font>
      <fill>
        <patternFill patternType="solid">
          <fgColor rgb="FFFF9900"/>
          <bgColor rgb="FFFF9900"/>
        </patternFill>
      </fill>
      <border/>
    </dxf>
    <dxf>
      <font>
        <b/>
        <color rgb="FF000000"/>
      </font>
      <fill>
        <patternFill patternType="solid">
          <fgColor rgb="FFFF9900"/>
          <bgColor rgb="FFFF9900"/>
        </patternFill>
      </fill>
      <border/>
    </dxf>
    <dxf>
      <font>
        <b/>
        <color rgb="FF000000"/>
      </font>
      <fill>
        <patternFill patternType="solid">
          <fgColor rgb="FF00FFFF"/>
          <bgColor rgb="FF00FFFF"/>
        </patternFill>
      </fill>
      <border/>
    </dxf>
    <dxf>
      <font>
        <b/>
        <color rgb="FF000000"/>
      </font>
      <fill>
        <patternFill patternType="solid">
          <fgColor rgb="FFFF00FF"/>
          <bgColor rgb="FFFF00FF"/>
        </patternFill>
      </fill>
      <border/>
    </dxf>
    <dxf>
      <font>
        <b/>
        <color rgb="FF434343"/>
      </font>
      <fill>
        <patternFill patternType="solid">
          <fgColor rgb="FFFFFF00"/>
          <bgColor rgb="FFFFFF00"/>
        </patternFill>
      </fill>
      <border/>
    </dxf>
    <dxf>
      <font>
        <b/>
        <color rgb="FFCC0000"/>
      </font>
      <fill>
        <patternFill patternType="solid">
          <fgColor rgb="FF351C75"/>
          <bgColor rgb="FF351C75"/>
        </patternFill>
      </fill>
      <border/>
    </dxf>
    <dxf>
      <font>
        <b/>
      </font>
      <fill>
        <patternFill patternType="solid">
          <fgColor rgb="FFB7E1CD"/>
          <bgColor rgb="FFB7E1CD"/>
        </patternFill>
      </fill>
      <border/>
    </dxf>
    <dxf>
      <font>
        <b/>
      </font>
      <fill>
        <patternFill patternType="solid">
          <fgColor rgb="FFFF9900"/>
          <bgColor rgb="FFFF9900"/>
        </patternFill>
      </fill>
      <border/>
    </dxf>
    <dxf>
      <font>
        <b/>
      </font>
      <fill>
        <patternFill patternType="solid">
          <fgColor rgb="FFBF9000"/>
          <bgColor rgb="FFBF9000"/>
        </patternFill>
      </fill>
      <border/>
    </dxf>
    <dxf>
      <font>
        <b/>
        <color rgb="FF000000"/>
      </font>
      <fill>
        <patternFill patternType="solid">
          <fgColor rgb="FF4A86E8"/>
          <bgColor rgb="FF4A86E8"/>
        </patternFill>
      </fill>
      <border/>
    </dxf>
    <dxf>
      <font>
        <b/>
      </font>
      <fill>
        <patternFill patternType="solid">
          <fgColor rgb="FF00FFFF"/>
          <bgColor rgb="FF00FFFF"/>
        </patternFill>
      </fill>
      <border/>
    </dxf>
    <dxf>
      <font/>
      <fill>
        <patternFill patternType="solid">
          <fgColor rgb="FFB7E1CD"/>
          <bgColor rgb="FFB7E1CD"/>
        </patternFill>
      </fill>
      <border/>
    </dxf>
    <dxf>
      <font/>
      <fill>
        <patternFill patternType="solid">
          <fgColor rgb="FFF9CB9C"/>
          <bgColor rgb="FFF9CB9C"/>
        </patternFill>
      </fill>
      <border/>
    </dxf>
    <dxf>
      <font>
        <b/>
        <u/>
      </font>
      <fill>
        <patternFill patternType="solid">
          <fgColor rgb="FF999999"/>
          <bgColor rgb="FF999999"/>
        </patternFill>
      </fill>
      <border/>
    </dxf>
    <dxf>
      <font>
        <b/>
      </font>
      <fill>
        <patternFill patternType="solid">
          <fgColor rgb="FFA4C2F4"/>
          <bgColor rgb="FFA4C2F4"/>
        </patternFill>
      </fill>
      <border/>
    </dxf>
    <dxf>
      <font>
        <b/>
      </font>
      <fill>
        <patternFill patternType="solid">
          <fgColor rgb="FF999999"/>
          <bgColor rgb="FF999999"/>
        </patternFill>
      </fill>
      <border/>
    </dxf>
    <dxf>
      <font>
        <b/>
      </font>
      <fill>
        <patternFill patternType="solid">
          <fgColor rgb="FFFFE599"/>
          <bgColor rgb="FFFFE599"/>
        </patternFill>
      </fill>
      <border/>
    </dxf>
    <dxf>
      <font/>
      <fill>
        <patternFill patternType="solid">
          <fgColor rgb="FFD5A6BD"/>
          <bgColor rgb="FFD5A6BD"/>
        </patternFill>
      </fill>
      <border/>
    </dxf>
    <dxf>
      <font>
        <b/>
      </font>
      <fill>
        <patternFill patternType="solid">
          <fgColor rgb="FFB4A7D6"/>
          <bgColor rgb="FFB4A7D6"/>
        </patternFill>
      </fill>
      <border/>
    </dxf>
    <dxf>
      <font/>
      <fill>
        <patternFill patternType="solid">
          <fgColor rgb="FFFF0000"/>
          <bgColor rgb="FFFF0000"/>
        </patternFill>
      </fill>
      <border/>
    </dxf>
    <dxf>
      <font/>
      <fill>
        <patternFill patternType="solid">
          <fgColor rgb="FFFF9900"/>
          <bgColor rgb="FFFF9900"/>
        </patternFill>
      </fill>
      <border/>
    </dxf>
    <dxf>
      <font/>
      <fill>
        <patternFill patternType="solid">
          <fgColor rgb="FFFFF2CC"/>
          <bgColor rgb="FFFFF2CC"/>
        </patternFill>
      </fill>
      <border/>
    </dxf>
    <dxf>
      <font/>
      <fill>
        <patternFill patternType="solid">
          <fgColor rgb="FF00FF00"/>
          <bgColor rgb="FF00FF00"/>
        </patternFill>
      </fill>
      <border/>
    </dxf>
    <dxf>
      <font/>
      <fill>
        <patternFill patternType="solid">
          <fgColor rgb="FFFF00FF"/>
          <bgColor rgb="FFFF00FF"/>
        </patternFill>
      </fill>
      <border/>
    </dxf>
    <dxf>
      <font/>
      <fill>
        <patternFill patternType="solid">
          <fgColor rgb="FF00FFFF"/>
          <bgColor rgb="FF00FFFF"/>
        </patternFill>
      </fill>
      <border/>
    </dxf>
    <dxf>
      <font/>
      <fill>
        <patternFill patternType="solid">
          <fgColor rgb="FFBF9000"/>
          <bgColor rgb="FFBF9000"/>
        </patternFill>
      </fill>
      <border/>
    </dxf>
    <dxf>
      <font/>
      <fill>
        <patternFill patternType="solid">
          <fgColor theme="8"/>
          <bgColor theme="8"/>
        </patternFill>
      </fill>
      <border/>
    </dxf>
    <dxf>
      <font>
        <b/>
      </font>
      <fill>
        <patternFill patternType="solid">
          <fgColor rgb="FFFFFF00"/>
          <bgColor rgb="FFFFFF00"/>
        </patternFill>
      </fill>
      <border/>
    </dxf>
    <dxf>
      <font>
        <b/>
      </font>
      <fill>
        <patternFill patternType="solid">
          <fgColor rgb="FFFF00FF"/>
          <bgColor rgb="FFFF00FF"/>
        </patternFill>
      </fill>
      <border/>
    </dxf>
    <dxf>
      <font/>
      <fill>
        <patternFill patternType="solid">
          <fgColor rgb="FF9900FF"/>
          <bgColor rgb="FF9900FF"/>
        </patternFill>
      </fill>
      <border/>
    </dxf>
    <dxf>
      <font>
        <b/>
      </font>
      <fill>
        <patternFill patternType="solid">
          <fgColor theme="9"/>
          <bgColor theme="9"/>
        </patternFill>
      </fill>
      <border/>
    </dxf>
    <dxf>
      <font>
        <b/>
        <color rgb="FFFF0000"/>
      </font>
      <fill>
        <patternFill patternType="solid">
          <fgColor rgb="FFFFFFFF"/>
          <bgColor rgb="FFFFFFFF"/>
        </patternFill>
      </fill>
      <border/>
    </dxf>
    <dxf>
      <font>
        <b/>
        <color rgb="FF000000"/>
      </font>
      <fill>
        <patternFill patternType="solid">
          <fgColor rgb="FF00FF00"/>
          <bgColor rgb="FF00FF00"/>
        </patternFill>
      </fill>
      <border/>
    </dxf>
    <dxf>
      <font/>
      <fill>
        <patternFill patternType="solid">
          <fgColor rgb="FF5B3F86"/>
          <bgColor rgb="FF5B3F86"/>
        </patternFill>
      </fill>
      <border/>
    </dxf>
  </dxfs>
  <tableStyles count="3">
    <tableStyle count="4" pivot="0" name="Bảng tổng hợp-style">
      <tableStyleElement dxfId="1" type="headerRow"/>
      <tableStyleElement dxfId="2" type="firstRowStripe"/>
      <tableStyleElement dxfId="3" type="secondRowStripe"/>
      <tableStyleElement dxfId="4" size="0" type="wholeTable"/>
    </tableStyle>
    <tableStyle count="4" pivot="0" name="Nhật ký nộp hồ sơ -style">
      <tableStyleElement dxfId="43" type="headerRow"/>
      <tableStyleElement dxfId="2" type="firstRowStripe"/>
      <tableStyleElement dxfId="3" type="secondRowStripe"/>
      <tableStyleElement dxfId="4" size="0" type="wholeTable"/>
    </tableStyle>
    <tableStyle count="4" pivot="0" name="Nhật ký đo-style">
      <tableStyleElement dxfId="43"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áu Lê Văn" id="{c2882596-c06c-4afa-b93d-31303a5e1702}" providerId="google-sheets"/>
</x18tc:personList>
</file>

<file path=xl/tables/table1.xml><?xml version="1.0" encoding="utf-8"?>
<table xmlns="http://schemas.openxmlformats.org/spreadsheetml/2006/main" ref="A1:X955" displayName="Form_Responses2" name="Form_Responses2" id="1">
  <autoFilter ref="$A$1:$X$955">
    <filterColumn colId="1">
      <filters>
        <filter val="392/BK-2026"/>
        <filter val="345/BK-2026"/>
        <filter val="015/BK-2026"/>
        <filter val="062/BK-2026"/>
        <filter val="171/BK-2026"/>
        <filter val="233/BK-2026"/>
        <filter val="079/BK-2026"/>
        <filter val="065/BK-2026"/>
        <filter val="283/BK-2026"/>
        <filter val="127/BK-2026"/>
        <filter val="297/BK-2026"/>
        <filter val="331/BK-2026"/>
        <filter val="177/BK-2026"/>
        <filter val="222/BK-2026"/>
        <filter val="359/BK-2026"/>
        <filter val="121/BK-2026"/>
        <filter val="076/BK-2026"/>
        <filter val="348/BK-2026"/>
        <filter val="018/BK-2026"/>
        <filter val="230/BK-2026"/>
        <filter val="124/BK-2026"/>
        <filter val="280/BK-2026"/>
        <filter val="174/BK-2026"/>
        <filter val="356/BK-2026"/>
        <filter val="068/BK-2026"/>
        <filter val="163/BK-2026"/>
        <filter val="225/BK-2026"/>
        <filter val="026/BK-2026"/>
        <filter val="073/BK-2026"/>
        <filter val="272/BK-2026"/>
        <filter val="199/BK-2026"/>
        <filter val="135/BK-2026"/>
        <filter val="334/BK-2026"/>
        <filter val="289/BK-2026"/>
        <filter val="309/BK-2026"/>
        <filter val="247/BK-2026"/>
        <filter val="051/BK-2026"/>
        <filter val="353/BK-2026"/>
        <filter val="070/BK-2026"/>
        <filter val="057/BK-2026"/>
        <filter val="102/BK-2026"/>
        <filter val="087/BK-2026"/>
        <filter val="012/BK-2026"/>
        <filter val="241/BK-2026"/>
        <filter val="196/BK-2026"/>
        <filter val="286/BK-2026"/>
        <filter val="138/BK-2026"/>
        <filter val="395/BK-2026"/>
        <filter val="228/BK-2026"/>
        <filter val="029/BK-2026"/>
        <filter val="211/BK-2026"/>
        <filter val="350/BK-2026"/>
        <filter val="337/BK-2026"/>
        <filter val="054/BK-2026"/>
        <filter val="160/BK-2026"/>
        <filter val="146/BK-2026"/>
        <filter val="152/BK-2026"/>
        <filter val="214/BK-2026"/>
        <filter val="208/BK-2026"/>
        <filter val="364/BK-2026"/>
        <filter val="034/BK-2026"/>
        <filter val="370/BK-2026"/>
        <filter val="264/BK-2026"/>
        <filter val="108/BK-2026"/>
        <filter val="326/BK-2026"/>
        <filter val="252/BK-2026"/>
        <filter val="084/BK-2026"/>
        <filter val="040/BK-2026"/>
        <filter val="314/BK-2026"/>
        <filter val="376/BK-2026"/>
        <filter val="320/BK-2026"/>
        <filter val="258/BK-2026"/>
        <filter val="275/BK-2026"/>
        <filter val="303/BK-2026"/>
        <filter val="157/BK-2026"/>
        <filter val="169/BK-2026"/>
        <filter val="090/BK-2026"/>
        <filter val="141/BK-2026"/>
        <filter val="023/BK-2026"/>
        <filter val="315/BK-2026"/>
        <filter val="375/BK-2026"/>
        <filter val="116/BK-2026"/>
        <filter val="182/BK-2026"/>
        <filter val="381/BK-2026"/>
        <filter val="140/BK-2026"/>
        <filter val="158/BK-2026"/>
        <filter val="239/BK-2026"/>
        <filter val="269/BK-2026"/>
        <filter val="061-1/BK-2026"/>
        <filter val="095/BK-2026"/>
        <filter val="188/BK-2026"/>
        <filter val="004/BK-2026"/>
        <filter val="110/BK-2026"/>
        <filter val="294/BK-2026"/>
        <filter val="387/BK-2026"/>
        <filter val="203/BK-2026"/>
        <filter val="071/BK-2026"/>
        <filter val="133/BK-2026"/>
        <filter val="210/BK-2026"/>
        <filter val="101/BK-2026"/>
        <filter val="242/BK-2026"/>
        <filter val="304/BK-2026"/>
        <filter val="274/BK-2026"/>
        <filter val="336/BK-2026"/>
        <filter val="053/BK-2026"/>
        <filter val="038/BK-2026"/>
        <filter val="027/BK-2026"/>
        <filter val="288/BK-2026"/>
        <filter val="183/BK-2026"/>
        <filter val="104/BK-2026"/>
        <filter val="136/BK-2026"/>
        <filter val="209/BK-2026"/>
        <filter val="340/BK-2026"/>
        <filter val="368/BK-2026"/>
        <filter val="263/BK-2026"/>
        <filter val="006/BK-2026"/>
        <filter val="085/BK-2026"/>
        <filter val="191/BK-2026"/>
        <filter val="112/BK-2026"/>
        <filter val="339/BK-2026"/>
        <filter val="253/BK-2026"/>
        <filter val="238/BK-2026"/>
        <filter val="379/BK-2026"/>
        <filter val="003/BK-2026"/>
        <filter val="063/BK-2026"/>
        <filter val="017/BK-2026"/>
        <filter val="082/BK-2026"/>
        <filter val="096/BK-2026"/>
        <filter val="328/BK-2026"/>
        <filter val="250/BK-2026"/>
        <filter val="144/BK-2026"/>
        <filter val="301/BK-2026"/>
        <filter val="042/BK-2026"/>
        <filter val="147/BK-2026"/>
        <filter val="168/BK-2026"/>
        <filter val="123/BK-2026"/>
        <filter val="380/BK-2026"/>
        <filter val="219/BK-2026"/>
        <filter val="383/BK-2026"/>
        <filter val="066/BK-2026"/>
        <filter val="172/BK-2026"/>
        <filter val="277/BK-2026"/>
        <filter val="220/BK-2026"/>
        <filter val="298/BK-2026"/>
        <filter val="358/BK-2026"/>
        <filter val="325/BK-2026"/>
        <filter val="193/BK-2026"/>
        <filter val="255/BK-2026"/>
        <filter val="317/BK-2026"/>
        <filter val="223/BK-2026"/>
        <filter val="120/BK-2026"/>
        <filter val="019/BK-2026"/>
        <filter val="355/BK-2026"/>
        <filter val="020/BK-2026"/>
        <filter val="098/BK-2026"/>
        <filter val="249/BK-2026"/>
        <filter val="161/BK-2026"/>
        <filter val="149/BK-2026"/>
        <filter val="119/BK-2026"/>
        <filter val="361/BK-2026"/>
        <filter val="055/BK-2026"/>
        <filter val="166/BK-2026"/>
        <filter val="014/BK-2026"/>
        <filter val="093/BK-2026"/>
        <filter val="031/BK-2026"/>
        <filter val="198/BK-2026"/>
        <filter val="323/BK-2026"/>
        <filter val="217/BK-2026"/>
        <filter val="385/BK-2026"/>
        <filter val="296/BK-2026"/>
        <filter val="306/BK-2026"/>
        <filter val="285/BK-2026"/>
        <filter val="347/BK-2026"/>
        <filter val="131/BK-2026"/>
        <filter val="150/BK-2026"/>
        <filter val="366/BK-2026"/>
        <filter val="212/BK-2026"/>
        <filter val="291/BK-2026"/>
        <filter val="231/BK-2026"/>
        <filter val="125/BK-2026"/>
        <filter val="185/BK-2026"/>
        <filter val="206/BK-2026"/>
        <filter val="312/BK-2026"/>
        <filter val="372/BK-2026"/>
        <filter val="266/BK-2026"/>
        <filter val="391/BK-2026"/>
        <filter val="179/BK-2026"/>
        <filter val="074/BK-2026"/>
        <filter val="025/BK-2026"/>
        <filter val="106/BK-2026"/>
        <filter val="001/BK-2026"/>
        <filter val="049/BK-2026"/>
        <filter val="261/BK-2026"/>
        <filter val="050/BK-2026"/>
        <filter val="236/BK-2026"/>
        <filter val="342/BK-2026"/>
        <filter val="377/BK-2026"/>
        <filter val="360/BK-2026"/>
        <filter val="268/BK-2026"/>
        <filter val="030/BK-2026"/>
        <filter val="047/BK-2026"/>
        <filter val="080/BK-2026"/>
        <filter val="156/BK-2026"/>
        <filter val="218/BK-2026"/>
        <filter val="094/BK-2026"/>
        <filter val="142/BK-2026"/>
        <filter val="374/BK-2026"/>
        <filter val="204/BK-2026"/>
        <filter val="310/BK-2026"/>
        <filter val="254/BK-2026"/>
        <filter val="044/BK-2026"/>
        <filter val="153/BK-2026"/>
        <filter val="201/BK-2026"/>
        <filter val="279/BK-2026"/>
        <filter val="097/BK-2026"/>
        <filter val="145/BK-2026"/>
        <filter val="327/BK-2026"/>
        <filter val="251/BK-2026"/>
        <filter val="319/BK-2026"/>
        <filter val="061-2/BK-2026"/>
        <filter val="262/BK-2026"/>
        <filter val="091/BK-2026"/>
        <filter val="388/BK-2026"/>
        <filter val="036/BK-2026"/>
        <filter val="316/BK-2026"/>
        <filter val="117/BK-2026"/>
        <filter val="181/BK-2026"/>
        <filter val="207/BK-2026"/>
        <filter val="290/BK-2026"/>
        <filter val="033/BK-2026"/>
        <filter val="371/BK-2026"/>
        <filter val="008/BK-2026"/>
        <filter val="114/BK-2026"/>
        <filter val="313/BK-2026"/>
        <filter val="159/BK-2026"/>
        <filter val="265/BK-2026"/>
        <filter val="270/BK-2026"/>
        <filter val="287/BK-2026"/>
        <filter val="332/BK-2026"/>
        <filter val="011/BK-2026"/>
        <filter val="349/BK-2026"/>
        <filter val="028/BK-2026"/>
        <filter val="111/BK-2026"/>
        <filter val="293/BK-2026"/>
        <filter val="187/BK-2026"/>
        <filter val="069/BK-2026"/>
        <filter val="005/BK-2026"/>
        <filter val="175/BK-2026"/>
        <filter val="072/BK-2026"/>
        <filter val="089/BK-2026"/>
        <filter val="299/BK-2026"/>
        <filter val="344/BK-2026"/>
        <filter val="393/BK-2026"/>
        <filter val="382/BK-2026"/>
        <filter val="226/BK-2026"/>
        <filter val="064/BK-2026"/>
        <filter val="170/BK-2026"/>
        <filter val="352/BK-2026"/>
        <filter val="246/BK-2026"/>
        <filter val="039/BK-2026"/>
        <filter val="052/BK-2026"/>
        <filter val="128/BK-2026"/>
        <filter val="234/BK-2026"/>
        <filter val="041/BK-2026"/>
        <filter val="103/BK-2026"/>
        <filter val="058/BK-2026"/>
        <filter val="394/BK-2026"/>
        <filter val="195/BK-2026"/>
        <filter val="240/BK-2026"/>
        <filter val="122/BK-2026"/>
        <filter val="257/BK-2026"/>
        <filter val="077/BK-2026"/>
        <filter val="302/BK-2026"/>
        <filter val="369/BK-2026"/>
        <filter val="338/BK-2026"/>
        <filter val="276/BK-2026"/>
        <filter val="139/BK-2026"/>
        <filter val="022/BK-2026"/>
        <filter val="221/BK-2026"/>
        <filter val="357/BK-2026"/>
        <filter val="134/BK-2026"/>
        <filter val="363/BK-2026"/>
        <filter val="164/BK-2026"/>
        <filter val="016/BK-2026"/>
        <filter val="333/BK-2026"/>
        <filter val="215/BK-2026"/>
        <filter val="321/BK-2026"/>
        <filter val="083/BK-2026"/>
        <filter val="109/BK-2026"/>
        <filter val="176/BK-2026"/>
        <filter val="282/BK-2026"/>
        <filter val="308/BK-2026"/>
        <filter val="165/BK-2026"/>
        <filter val="056/BK-2026"/>
        <filter val="088/BK-2026"/>
        <filter val="009/BK-2026"/>
        <filter val="197/BK-2026"/>
        <filter val="259/BK-2026"/>
        <filter val="227/BK-2026"/>
        <filter val="351/BK-2026"/>
        <filter val="386/BK-2026"/>
        <filter val="245/BK-2026"/>
        <filter val="322/BK-2026"/>
        <filter val="115/BK-2026"/>
        <filter val="024/BK-2026"/>
        <filter val="130/BK-2026"/>
        <filter val="307/BK-2026"/>
        <filter val="010/BK-2026"/>
        <filter val="162/BK-2026"/>
        <filter val="194/BK-2026"/>
        <filter val="318/BK-2026"/>
        <filter val="271/BK-2026"/>
        <filter val="213/BK-2026"/>
        <filter val="365/BK-2026"/>
        <filter val="059/BK-2026"/>
        <filter val="260/BK-2026"/>
        <filter val="292/BK-2026"/>
        <filter val="186/BK-2026"/>
        <filter val="035/BK-2026"/>
        <filter val="389/BK-2026"/>
        <filter val="362/BK-2026"/>
        <filter val="107/BK-2026"/>
        <filter val="060/BK-2026"/>
        <filter val="045/BK-2026"/>
        <filter val="202/BK-2026"/>
        <filter val="216/BK-2026"/>
        <filter val="154/BK-2026"/>
        <filter val="295/BK-2026"/>
        <filter val="048/BK-2026"/>
        <filter val="129/BK-2026"/>
        <filter val="343/BK-2026"/>
        <filter val="281/BK-2026"/>
        <filter val="189/BK-2026"/>
        <filter val="235/BK-2026"/>
        <filter val="256/BK-2026"/>
        <filter val="346/BK-2026"/>
        <filter val="190/BK-2026"/>
        <filter val="151/BK-2026"/>
        <filter val="126/BK-2026"/>
        <filter val="232/BK-2026"/>
        <filter val="078/BK-2026"/>
        <filter val="099/BK-2026"/>
        <filter val="021/BK-2026"/>
        <filter val="300/BK-2026"/>
        <filter val="043/BK-2026"/>
        <filter val="178/BK-2026"/>
        <filter val="075/BK-2026"/>
        <filter val="137/BK-2026"/>
        <filter val="105/BK-2026"/>
        <filter val="184/BK-2026"/>
        <filter val="278/BK-2026"/>
        <filter val="367/BK-2026"/>
        <filter val="200/BK-2026"/>
        <filter val="237/BK-2026"/>
        <filter val="341/BK-2026"/>
        <filter val="132/BK-2026"/>
        <filter val="284/BK-2026"/>
        <filter val="335/BK-2026"/>
        <filter val="243/BK-2026"/>
        <filter val="002/BK-2026"/>
        <filter val="081/BK-2026"/>
        <filter val="205/BK-2026"/>
        <filter val="267/BK-2026"/>
        <filter val="100/BK-2026"/>
        <filter val="311/BK-2026"/>
        <filter val="373/BK-2026"/>
        <filter val="390/BK-2026"/>
        <filter val="330/BK-2026"/>
        <filter val="086/BK-2026"/>
        <filter val="148/BK-2026"/>
        <filter val="229/BK-2026"/>
        <filter val="013/BK-2026"/>
        <filter val="092/BK-2026"/>
        <filter val="167/BK-2026"/>
        <filter val="384/BK-2026"/>
        <filter val="324/BK-2026"/>
        <filter val="032/BK-2026"/>
        <filter val="173/BK-2026"/>
        <filter val="007/BK-2026"/>
        <filter val="067/BK-2026"/>
        <filter val="113/BK-2026"/>
        <filter val="192/BK-2026"/>
        <filter val="224/BK-2026"/>
        <filter val="378/BK-2026"/>
        <filter val="305/BK-2026"/>
        <filter val="329/BK-2026"/>
        <filter val="273/BK-2026"/>
        <filter val="248/BK-2026"/>
        <filter val="354/BK-2026"/>
        <filter val="143/BK-2026"/>
        <filter val="037/BK-2026"/>
      </filters>
    </filterColumn>
  </autoFilter>
  <tableColumns count="24">
    <tableColumn name="Dấu thời gian" id="1"/>
    <tableColumn name="Mã hợp đồng" id="2"/>
    <tableColumn name="Tên hồ sơ" id="3"/>
    <tableColumn name="Pháp lý" id="4"/>
    <tableColumn name="Phường_x000a_" id="5"/>
    <tableColumn name="Tên khách hàng " id="6"/>
    <tableColumn name="Số Điện Thoại Liên Hệ" id="7"/>
    <tableColumn name="Phụ Trách Chính" id="8"/>
    <tableColumn name="Phụ đo" id="9"/>
    <tableColumn name="Độ ưu tiên" id="10"/>
    <tableColumn name="Trạng thái mới nhất" id="11"/>
    <tableColumn name="Cảnh báo" id="12"/>
    <tableColumn name="Hạng mục công việc" id="13"/>
    <tableColumn name="Ngày bắt đầu" id="14"/>
    <tableColumn name="Hạn xử lý" id="15"/>
    <tableColumn name="Ngày nộp " id="16"/>
    <tableColumn name="Ngày HT" id="17"/>
    <tableColumn name="Lần nộp" id="18"/>
    <tableColumn name="Ghi chú" id="19"/>
    <tableColumn name="Giải trình lý do" id="20"/>
    <tableColumn name="Quản lý phê duyệt" id="21"/>
    <tableColumn name="Chi kỹ thuật" id="22"/>
    <tableColumn name="Số cọc cắm mốc " id="23"/>
    <tableColumn name="Loại cọc cắm " id="24"/>
  </tableColumns>
  <tableStyleInfo name="Bảng tổng hợp-style" showColumnStripes="0" showFirstColumn="1" showLastColumn="1" showRowStripes="1"/>
</table>
</file>

<file path=xl/tables/table2.xml><?xml version="1.0" encoding="utf-8"?>
<table xmlns="http://schemas.openxmlformats.org/spreadsheetml/2006/main" ref="A1:K1516" displayName="Form_Responses" name="Form_Responses" id="2">
  <autoFilter ref="$A$1:$K$1516">
    <filterColumn colId="1">
      <filters>
        <filter val="392/BK-2026"/>
        <filter val="381/BK-2026"/>
        <filter val="387/BK-2026"/>
        <filter val="368/BK-2026"/>
        <filter val="379/BK-2026"/>
        <filter val="380/BK-2026"/>
        <filter val="591/BK-2025"/>
        <filter val="385/BK-2026"/>
        <filter val="391/BK-2026"/>
        <filter val="374/BK-2026"/>
        <filter val="388/BK-2026"/>
        <filter val="270/BK-2026"/>
        <filter val="393/BK-2026"/>
        <filter val="382/BK-2026"/>
        <filter val="394/BK-2026"/>
        <filter val="386/BK-2026"/>
        <filter val="389/BK-2026"/>
        <filter val="367/BK-2026"/>
        <filter val="390/BK-2026"/>
      </filters>
    </filterColumn>
  </autoFilter>
  <tableColumns count="11">
    <tableColumn name="Dấu thời gian" id="1"/>
    <tableColumn name="Mã hợp đồng: " id="2"/>
    <tableColumn name="Người đi nộp" id="3"/>
    <tableColumn name="  Kết quả lần nộp:  " id="4"/>
    <tableColumn name="  Ghi chú / Yêu cầu của cán bộ:  " id="5"/>
    <tableColumn name="  Ngày hẹn trả kết quả   " id="6"/>
    <tableColumn name="  Ảnh chụp biên nhận   " id="7"/>
    <tableColumn name="Người nhận báo cáo" id="8"/>
    <tableColumn name="Ngày đi nộp" id="9"/>
    <tableColumn name="FILE BẢN VẼ ĐẠT" id="10"/>
    <tableColumn name="Mã hợp đồng đang xử lý: " id="11"/>
  </tableColumns>
  <tableStyleInfo name="Nhật ký nộp hồ sơ -style" showColumnStripes="0" showFirstColumn="1" showLastColumn="1" showRowStripes="1"/>
</table>
</file>

<file path=xl/tables/table3.xml><?xml version="1.0" encoding="utf-8"?>
<table xmlns="http://schemas.openxmlformats.org/spreadsheetml/2006/main" ref="A1:E21" displayName="Form_Responses4" name="Form_Responses4" id="3">
  <autoFilter ref="$A$1:$E$21"/>
  <tableColumns count="5">
    <tableColumn name="Dấu thời gian" id="1"/>
    <tableColumn name="Mã hợp đồng" id="2"/>
    <tableColumn name="  Trạng thái công việc mới  " id="3"/>
    <tableColumn name="Người báo cáo" id="4"/>
    <tableColumn name="Ghi chú" id="5"/>
  </tableColumns>
  <tableStyleInfo name="Nhật ký đ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2" dT="2025-08-26T12:31:38.00" personId="{c2882596-c06c-4afa-b93d-31303a5e1702}" id="{20748283-2e00-42e9-af53-2954626eadfc}" done="0">
    <x18tc:text xml:space="preserve">Tách thửa, sai hiện trạng, chờ thống nhất phương án từ chủ nhà</x18tc:text>
  </x18tc:threadedComment>
  <x18tc:threadedComment ref="F10" dT="2025-08-26T12:28:06.00" personId="{c2882596-c06c-4afa-b93d-31303a5e1702}" id="{1a8134ec-05be-4b4b-9c72-828cb00bf1cc}" done="1">
    <x18tc:text xml:space="preserve">Sai hiện trạng chờ phương án hs Tuấn Bk</x18tc:text>
  </x18tc:threadedComment>
  <x18tc:threadedComment ref="F13" dT="2025-08-26T12:32:21.00" personId="{c2882596-c06c-4afa-b93d-31303a5e1702}" id="{43c41204-eb00-492b-8642-ca971807e094}" done="0">
    <x18tc:text xml:space="preserve">Sai hiện trạng hủy Tuấn đen</x18tc:text>
  </x18tc:threadedComment>
  <x18tc:threadedComment ref="F23" dT="2025-08-26T12:37:37.00" personId="{c2882596-c06c-4afa-b93d-31303a5e1702}" id="{146e0cad-2e38-4d00-9237-15c72de5dcbb}" done="0">
    <x18tc:text xml:space="preserve">Lệch ranh sai hiện trạng chờ phương án</x18tc:text>
  </x18tc:threadedComment>
  <x18tc:threadedComment ref="F11" dT="2025-08-26T12:29:55.00" personId="{c2882596-c06c-4afa-b93d-31303a5e1702}" id="{e73dca57-c05a-4ee0-a631-a776a9dcd624}" done="0">
    <x18tc:text xml:space="preserve">Sai hiện trạng hủy hs Tuấn đen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90" Type="http://schemas.openxmlformats.org/officeDocument/2006/relationships/hyperlink" Target="https://drive.google.com/open?id=1truW_gyklc0hg8wVwJap2gRC2Pdf3xLR" TargetMode="External"/><Relationship Id="rId194" Type="http://schemas.openxmlformats.org/officeDocument/2006/relationships/hyperlink" Target="https://drive.google.com/open?id=1iM_tQh-jeEO7TttELwI7TdLKvN4untDN" TargetMode="External"/><Relationship Id="rId193" Type="http://schemas.openxmlformats.org/officeDocument/2006/relationships/hyperlink" Target="https://drive.google.com/open?id=1c-Qp5dUpwe2lElmETpVAcw7S5MnWIfkx" TargetMode="External"/><Relationship Id="rId192" Type="http://schemas.openxmlformats.org/officeDocument/2006/relationships/hyperlink" Target="https://drive.google.com/open?id=1s3J6RjcXVCBF-tVhdDIzCSa2v2uLXU8u" TargetMode="External"/><Relationship Id="rId191" Type="http://schemas.openxmlformats.org/officeDocument/2006/relationships/hyperlink" Target="https://drive.google.com/open?id=1gFkKCx4YJNwGq6_QhUclWxv0OdcJoJDN" TargetMode="External"/><Relationship Id="rId187" Type="http://schemas.openxmlformats.org/officeDocument/2006/relationships/hyperlink" Target="https://drive.google.com/open?id=1m2GR14nOA5tOXX87FCxsQGgRuUDf86sR" TargetMode="External"/><Relationship Id="rId186" Type="http://schemas.openxmlformats.org/officeDocument/2006/relationships/hyperlink" Target="https://drive.google.com/open?id=1aBh9MlLMu4-vPCFXpktIkAbDjTmT78MM" TargetMode="External"/><Relationship Id="rId185" Type="http://schemas.openxmlformats.org/officeDocument/2006/relationships/hyperlink" Target="https://drive.google.com/open?id=1RSq8ytKyT-jHwfPpLJ47mam9NC9LUrgI" TargetMode="External"/><Relationship Id="rId184" Type="http://schemas.openxmlformats.org/officeDocument/2006/relationships/hyperlink" Target="https://drive.google.com/open?id=1IOgXVUL28tNSvSCNvPXGw2F60JP1HFWg" TargetMode="External"/><Relationship Id="rId189" Type="http://schemas.openxmlformats.org/officeDocument/2006/relationships/hyperlink" Target="https://drive.google.com/open?id=1XSy1o6srOXxFu6UF4ZwZ59-gCnvtUY4m" TargetMode="External"/><Relationship Id="rId188" Type="http://schemas.openxmlformats.org/officeDocument/2006/relationships/hyperlink" Target="https://drive.google.com/open?id=1xtdt6o4_te5U0vMH9hP64jlKKIhHgeKj" TargetMode="External"/><Relationship Id="rId183" Type="http://schemas.openxmlformats.org/officeDocument/2006/relationships/hyperlink" Target="https://drive.google.com/open?id=1-OV2uimCuYitzrUf3pDDNdBUABuW1WGf" TargetMode="External"/><Relationship Id="rId182" Type="http://schemas.openxmlformats.org/officeDocument/2006/relationships/hyperlink" Target="https://drive.google.com/open?id=14HoBglwqAI9YZHs-5glcbetZ7JeQH5TV" TargetMode="External"/><Relationship Id="rId181" Type="http://schemas.openxmlformats.org/officeDocument/2006/relationships/hyperlink" Target="https://drive.google.com/open?id=1e3I4C69D9bBi3bkuZubXGJmCTYY_BcUm" TargetMode="External"/><Relationship Id="rId180" Type="http://schemas.openxmlformats.org/officeDocument/2006/relationships/hyperlink" Target="https://drive.google.com/open?id=1bAaEUQzujy46fKrdxaeNj1QMxW_itlP-" TargetMode="External"/><Relationship Id="rId176" Type="http://schemas.openxmlformats.org/officeDocument/2006/relationships/hyperlink" Target="https://drive.google.com/open?id=17aXQ8Qxd-bw7VyjhVLw7HpC9-ipAHpta" TargetMode="External"/><Relationship Id="rId175" Type="http://schemas.openxmlformats.org/officeDocument/2006/relationships/hyperlink" Target="https://drive.google.com/open?id=1Ao1ihbB-hcT385NfnL_6AnG_x9xNKxky" TargetMode="External"/><Relationship Id="rId174" Type="http://schemas.openxmlformats.org/officeDocument/2006/relationships/hyperlink" Target="https://drive.google.com/open?id=1882eqi4j_4irPBPeptWrgyRw-KFc2E6k" TargetMode="External"/><Relationship Id="rId173" Type="http://schemas.openxmlformats.org/officeDocument/2006/relationships/hyperlink" Target="https://drive.google.com/open?id=1DmMdL-MIh2xqQQR0goZi4L9T6FIwErHf" TargetMode="External"/><Relationship Id="rId179" Type="http://schemas.openxmlformats.org/officeDocument/2006/relationships/hyperlink" Target="https://drive.google.com/open?id=1vLjFJpuHEv5DuZv2QdGlYKvxC2lU7pgI" TargetMode="External"/><Relationship Id="rId178" Type="http://schemas.openxmlformats.org/officeDocument/2006/relationships/hyperlink" Target="https://drive.google.com/open?id=1_57Nn_SZjSR7eBq7DizKcDUXafgN3StM" TargetMode="External"/><Relationship Id="rId177" Type="http://schemas.openxmlformats.org/officeDocument/2006/relationships/hyperlink" Target="https://drive.google.com/open?id=1VVZGTmk5vzE-79p_PiE17VULmkjIJssq" TargetMode="External"/><Relationship Id="rId198" Type="http://schemas.openxmlformats.org/officeDocument/2006/relationships/hyperlink" Target="https://drive.google.com/open?id=1OftaFlu2JpDQIXC0D-szp7YXAiOjfuH4" TargetMode="External"/><Relationship Id="rId197" Type="http://schemas.openxmlformats.org/officeDocument/2006/relationships/hyperlink" Target="https://drive.google.com/open?id=1tjdqonRX4Bm1UVqk2ScXjFCrw8_6u7aP" TargetMode="External"/><Relationship Id="rId196" Type="http://schemas.openxmlformats.org/officeDocument/2006/relationships/hyperlink" Target="https://drive.google.com/open?id=1EFUM4-BfLbLzZB_w4mb22szb3fcOIgVT" TargetMode="External"/><Relationship Id="rId195" Type="http://schemas.openxmlformats.org/officeDocument/2006/relationships/hyperlink" Target="https://drive.google.com/open?id=1KqY7ypfmYsOGgM7_SB1UnH2usGfjIuwa" TargetMode="External"/><Relationship Id="rId199" Type="http://schemas.openxmlformats.org/officeDocument/2006/relationships/hyperlink" Target="https://drive.google.com/open?id=1xnWvIDFAglahY5uciIjie0gy1y5XIGUl" TargetMode="External"/><Relationship Id="rId150" Type="http://schemas.openxmlformats.org/officeDocument/2006/relationships/hyperlink" Target="https://drive.google.com/open?id=1QazJflpGzmSwOxeKYOcrSRoy7jbxpQnj" TargetMode="External"/><Relationship Id="rId392" Type="http://schemas.openxmlformats.org/officeDocument/2006/relationships/hyperlink" Target="https://drive.google.com/open?id=1EdfIEsVs1BpogfG6Ki5xXp3aLYJY66_A" TargetMode="External"/><Relationship Id="rId391" Type="http://schemas.openxmlformats.org/officeDocument/2006/relationships/hyperlink" Target="https://drive.google.com/open?id=12EaU3oEIbuBhOr0NFxuvaLidRw_PuCkO" TargetMode="External"/><Relationship Id="rId390" Type="http://schemas.openxmlformats.org/officeDocument/2006/relationships/hyperlink" Target="https://drive.google.com/open?id=1CzEdGb1r5WFS7tDg7WOreS9Rzg5Vx7kT" TargetMode="External"/><Relationship Id="rId1" Type="http://schemas.openxmlformats.org/officeDocument/2006/relationships/hyperlink" Target="https://drive.google.com/open?id=1mbWSdEzmuVAbsYg3sEBo9Vx1DaLL4eF_" TargetMode="External"/><Relationship Id="rId2" Type="http://schemas.openxmlformats.org/officeDocument/2006/relationships/hyperlink" Target="https://drive.google.com/open?id=1KZMi-oZkW51FO5qW-25h-W3sq5JwGoPD" TargetMode="External"/><Relationship Id="rId3" Type="http://schemas.openxmlformats.org/officeDocument/2006/relationships/hyperlink" Target="https://drive.google.com/open?id=1CCrH-j3BNTvR75TunGGSsKb7oXpPqgYd" TargetMode="External"/><Relationship Id="rId149" Type="http://schemas.openxmlformats.org/officeDocument/2006/relationships/hyperlink" Target="https://drive.google.com/open?id=1JCVuli7Ii1cYvg-WdWpmrq1i6x8UJq9D" TargetMode="External"/><Relationship Id="rId4" Type="http://schemas.openxmlformats.org/officeDocument/2006/relationships/hyperlink" Target="https://drive.google.com/open?id=1Re8nkozMAR6RyxfONEnB07E_Cx1Inqlf" TargetMode="External"/><Relationship Id="rId148" Type="http://schemas.openxmlformats.org/officeDocument/2006/relationships/hyperlink" Target="https://drive.google.com/open?id=14a0lUUltiQYb2FhupGT8PxtF7x7fyAQ5" TargetMode="External"/><Relationship Id="rId1090" Type="http://schemas.openxmlformats.org/officeDocument/2006/relationships/hyperlink" Target="https://drive.google.com/open?id=1V2OHZ6grlKM6sNsUymAJrgQn1eFzHzLB" TargetMode="External"/><Relationship Id="rId1091" Type="http://schemas.openxmlformats.org/officeDocument/2006/relationships/hyperlink" Target="https://drive.google.com/open?id=1HNTmTdqiyLmnpldwjvkPrRtd50Z0U_sB" TargetMode="External"/><Relationship Id="rId1092" Type="http://schemas.openxmlformats.org/officeDocument/2006/relationships/hyperlink" Target="https://drive.google.com/open?id=1tyIOuc02Pcda-waGk-CyTOGxUnpB4hLr" TargetMode="External"/><Relationship Id="rId1093" Type="http://schemas.openxmlformats.org/officeDocument/2006/relationships/hyperlink" Target="https://drive.google.com/open?id=1Q64K-OSgL7x81nEJKzKR5ynL5zecsaZt" TargetMode="External"/><Relationship Id="rId1094" Type="http://schemas.openxmlformats.org/officeDocument/2006/relationships/hyperlink" Target="https://drive.google.com/open?id=1YM8IGz7tpCy_HS0xs4w3-_tg2jbsgldk" TargetMode="External"/><Relationship Id="rId9" Type="http://schemas.openxmlformats.org/officeDocument/2006/relationships/hyperlink" Target="https://drive.google.com/open?id=1VVRXxw73EslTyEPCo7eM4fXk6CYADLGW" TargetMode="External"/><Relationship Id="rId143" Type="http://schemas.openxmlformats.org/officeDocument/2006/relationships/hyperlink" Target="https://drive.google.com/open?id=1FqDwEualR6zGieO09hGPiZcANl0oqerw" TargetMode="External"/><Relationship Id="rId385" Type="http://schemas.openxmlformats.org/officeDocument/2006/relationships/hyperlink" Target="https://drive.google.com/open?id=1npWT3gBNeCKqI_SaSZeDwMZdHT17DjCk" TargetMode="External"/><Relationship Id="rId1095" Type="http://schemas.openxmlformats.org/officeDocument/2006/relationships/hyperlink" Target="https://drive.google.com/open?id=1FE2b99wsVFGnF-Z2o4X_oM7m0LWfUndB" TargetMode="External"/><Relationship Id="rId142" Type="http://schemas.openxmlformats.org/officeDocument/2006/relationships/hyperlink" Target="https://drive.google.com/open?id=1dr80txH2LVvFzbVEo0EYIBq0FTqCUMNF" TargetMode="External"/><Relationship Id="rId384" Type="http://schemas.openxmlformats.org/officeDocument/2006/relationships/hyperlink" Target="https://drive.google.com/open?id=12tQtUq1cpU_Xge2crptAxZ7Pe-wbJUsg" TargetMode="External"/><Relationship Id="rId1096" Type="http://schemas.openxmlformats.org/officeDocument/2006/relationships/hyperlink" Target="https://drive.google.com/open?id=1INB0tkmWrmsKhePR-e9Hzo5AxE9yq8hO" TargetMode="External"/><Relationship Id="rId141" Type="http://schemas.openxmlformats.org/officeDocument/2006/relationships/hyperlink" Target="https://drive.google.com/open?id=1paJNjqhDQBmNfHiiz4jgPzUA_AfAhoOd" TargetMode="External"/><Relationship Id="rId383" Type="http://schemas.openxmlformats.org/officeDocument/2006/relationships/hyperlink" Target="https://drive.google.com/open?id=1nkHzljZvJT7iV93glxhHAjgu1JGdBrGT" TargetMode="External"/><Relationship Id="rId1097" Type="http://schemas.openxmlformats.org/officeDocument/2006/relationships/hyperlink" Target="https://drive.google.com/open?id=1Eg0qnKpgvO-9tBHkuAP0HssLteR4q-Uv" TargetMode="External"/><Relationship Id="rId140" Type="http://schemas.openxmlformats.org/officeDocument/2006/relationships/hyperlink" Target="https://drive.google.com/open?id=1_QreKDSis_KlJDETltAcAo8b3n9eU9d_" TargetMode="External"/><Relationship Id="rId382" Type="http://schemas.openxmlformats.org/officeDocument/2006/relationships/hyperlink" Target="https://drive.google.com/open?id=1Dx_3JjoC7-HmpiNIOJ9RKuVkJOdUoULN" TargetMode="External"/><Relationship Id="rId1098" Type="http://schemas.openxmlformats.org/officeDocument/2006/relationships/hyperlink" Target="https://drive.google.com/open?id=1Ead-pgPB2PeGgIlQztdcJnOiAQeg7AcC" TargetMode="External"/><Relationship Id="rId5" Type="http://schemas.openxmlformats.org/officeDocument/2006/relationships/hyperlink" Target="https://drive.google.com/open?id=1_cGRHw5lyvnfewQwwYb8TwelB9CaKZmJ" TargetMode="External"/><Relationship Id="rId147" Type="http://schemas.openxmlformats.org/officeDocument/2006/relationships/hyperlink" Target="https://drive.google.com/open?id=1lx1rgh7TCxRQ_2x1K4_LqX-mqf87FWnZ" TargetMode="External"/><Relationship Id="rId389" Type="http://schemas.openxmlformats.org/officeDocument/2006/relationships/hyperlink" Target="https://drive.google.com/open?id=1Mduop8EUkTSFpnv96U_YAX-EwJ_t3jYN" TargetMode="External"/><Relationship Id="rId1099" Type="http://schemas.openxmlformats.org/officeDocument/2006/relationships/hyperlink" Target="https://drive.google.com/open?id=1R6Ys6RIS1OEv_kdTfExAyBv9V_MEW-Ww" TargetMode="External"/><Relationship Id="rId6" Type="http://schemas.openxmlformats.org/officeDocument/2006/relationships/hyperlink" Target="https://drive.google.com/open?id=128EjSWz_8TOhPZQahkOKsKSMdzkqetGH" TargetMode="External"/><Relationship Id="rId146" Type="http://schemas.openxmlformats.org/officeDocument/2006/relationships/hyperlink" Target="https://drive.google.com/open?id=1J__FQJBeAp29bjR6Pxnf9N8NT2VejTzR" TargetMode="External"/><Relationship Id="rId388" Type="http://schemas.openxmlformats.org/officeDocument/2006/relationships/hyperlink" Target="https://drive.google.com/open?id=1H5eFdadRRASC15tKBejb97z6x481IhVN" TargetMode="External"/><Relationship Id="rId7" Type="http://schemas.openxmlformats.org/officeDocument/2006/relationships/hyperlink" Target="https://drive.google.com/open?id=1pGdKsJFlC4Dg9fgFsHg_K52gg24aX0XG" TargetMode="External"/><Relationship Id="rId145" Type="http://schemas.openxmlformats.org/officeDocument/2006/relationships/hyperlink" Target="https://drive.google.com/open?id=1a9wvk_S0BrfcEOij9bs7uYi72f_aYXsE" TargetMode="External"/><Relationship Id="rId387" Type="http://schemas.openxmlformats.org/officeDocument/2006/relationships/hyperlink" Target="https://drive.google.com/open?id=1HoLkMY3qHwA8EDKamXGtq9S1j0bB5Fwu" TargetMode="External"/><Relationship Id="rId8" Type="http://schemas.openxmlformats.org/officeDocument/2006/relationships/hyperlink" Target="https://drive.google.com/open?id=1gWdvwj9lCPRGEoMkc8nF9EyXBp_zyz8H" TargetMode="External"/><Relationship Id="rId144" Type="http://schemas.openxmlformats.org/officeDocument/2006/relationships/hyperlink" Target="https://drive.google.com/open?id=1_yHG9vPp6lWHcuqGW06yZ6wR6DB5kQrT" TargetMode="External"/><Relationship Id="rId386" Type="http://schemas.openxmlformats.org/officeDocument/2006/relationships/hyperlink" Target="https://drive.google.com/open?id=12E0O-9YcCk8mocPNi3k6owUtx0wlIV9s" TargetMode="External"/><Relationship Id="rId381" Type="http://schemas.openxmlformats.org/officeDocument/2006/relationships/hyperlink" Target="https://drive.google.com/open?id=10khbuICd7p0hNOTyWH4KLsvzu8SKEaGn" TargetMode="External"/><Relationship Id="rId380" Type="http://schemas.openxmlformats.org/officeDocument/2006/relationships/hyperlink" Target="https://drive.google.com/open?id=1Bn-KoF0kJCuPPaM8Sjm4G0QZJcjODPk7" TargetMode="External"/><Relationship Id="rId139" Type="http://schemas.openxmlformats.org/officeDocument/2006/relationships/hyperlink" Target="https://drive.google.com/open?id=1rKv3Fo2csVv4fNvLt0SqoHlTlfIGVsG8" TargetMode="External"/><Relationship Id="rId138" Type="http://schemas.openxmlformats.org/officeDocument/2006/relationships/hyperlink" Target="https://drive.google.com/open?id=1LDBWXrns3hJ5dFnjoH7ZATTC0RL3Tjc4" TargetMode="External"/><Relationship Id="rId137" Type="http://schemas.openxmlformats.org/officeDocument/2006/relationships/hyperlink" Target="https://drive.google.com/open?id=1jDLipGl1CUcPvcA26fqkcccpWpJCI_si" TargetMode="External"/><Relationship Id="rId379" Type="http://schemas.openxmlformats.org/officeDocument/2006/relationships/hyperlink" Target="https://drive.google.com/open?id=1ZC9yQvfgIpH4jktVnVjV1M4jAtJ88z8P" TargetMode="External"/><Relationship Id="rId1080" Type="http://schemas.openxmlformats.org/officeDocument/2006/relationships/hyperlink" Target="https://drive.google.com/open?id=1yxXqxFYZHQ0nZLTO8JBNkGHxX83PXsZC" TargetMode="External"/><Relationship Id="rId1081" Type="http://schemas.openxmlformats.org/officeDocument/2006/relationships/hyperlink" Target="https://drive.google.com/open?id=1qdEphST1vXP12LcVpcqjzTrJGwwz5VuG" TargetMode="External"/><Relationship Id="rId1082" Type="http://schemas.openxmlformats.org/officeDocument/2006/relationships/hyperlink" Target="https://drive.google.com/open?id=12ztTMe4y6tDJgm18xP6SPUZyaRbw3yim" TargetMode="External"/><Relationship Id="rId1083" Type="http://schemas.openxmlformats.org/officeDocument/2006/relationships/hyperlink" Target="https://drive.google.com/open?id=1X5R2snrQBN78YtmKabTsxVYQwkHvNopp" TargetMode="External"/><Relationship Id="rId132" Type="http://schemas.openxmlformats.org/officeDocument/2006/relationships/hyperlink" Target="https://drive.google.com/open?id=1mTyb4CYMiQNUx2y-aQ31wB5oSchofX0O" TargetMode="External"/><Relationship Id="rId374" Type="http://schemas.openxmlformats.org/officeDocument/2006/relationships/hyperlink" Target="https://drive.google.com/open?id=1xjeWXwVEo3a2XVvrnreBN0oM_Aij07uB" TargetMode="External"/><Relationship Id="rId1084" Type="http://schemas.openxmlformats.org/officeDocument/2006/relationships/hyperlink" Target="https://drive.google.com/open?id=10EelpzrQV0UNyvHl-xOf7Qy5-3Pqlpgq" TargetMode="External"/><Relationship Id="rId131" Type="http://schemas.openxmlformats.org/officeDocument/2006/relationships/hyperlink" Target="https://drive.google.com/open?id=1i5hPdmYjkevlN1HxDpkpPpgtM3x2cthW" TargetMode="External"/><Relationship Id="rId373" Type="http://schemas.openxmlformats.org/officeDocument/2006/relationships/hyperlink" Target="https://drive.google.com/open?id=1KzFmBkw5UZMG8PqenyUS5xko5ROcmEDC" TargetMode="External"/><Relationship Id="rId1085" Type="http://schemas.openxmlformats.org/officeDocument/2006/relationships/hyperlink" Target="https://drive.google.com/open?id=1ghGcMKF1mB9lp27VTRslbWyo0baB0Cnp" TargetMode="External"/><Relationship Id="rId130" Type="http://schemas.openxmlformats.org/officeDocument/2006/relationships/hyperlink" Target="https://drive.google.com/open?id=1iSOrnWOqtr1hcm3KRopvU8Eux6MC1bEz" TargetMode="External"/><Relationship Id="rId372" Type="http://schemas.openxmlformats.org/officeDocument/2006/relationships/hyperlink" Target="https://drive.google.com/open?id=1xQOLGr2v1AYWD73IwpnBYzN11VlzUyq_" TargetMode="External"/><Relationship Id="rId1086" Type="http://schemas.openxmlformats.org/officeDocument/2006/relationships/hyperlink" Target="https://drive.google.com/open?id=1Wo2dtOx1vj0orOHNXYxNRqq_c6CTFv_5" TargetMode="External"/><Relationship Id="rId371" Type="http://schemas.openxmlformats.org/officeDocument/2006/relationships/hyperlink" Target="https://drive.google.com/open?id=1Cxuijj3C-hQTMYF6a3VytlvG81J3Zu2N" TargetMode="External"/><Relationship Id="rId1087" Type="http://schemas.openxmlformats.org/officeDocument/2006/relationships/hyperlink" Target="https://drive.google.com/open?id=17dNNAkaQ4jB-4fjpQFuOcYgDHVW5PbII" TargetMode="External"/><Relationship Id="rId136" Type="http://schemas.openxmlformats.org/officeDocument/2006/relationships/hyperlink" Target="https://drive.google.com/open?id=1JBt3om4MdHh8S4F4qoqcpAHPqx189-Z2" TargetMode="External"/><Relationship Id="rId378" Type="http://schemas.openxmlformats.org/officeDocument/2006/relationships/hyperlink" Target="https://drive.google.com/open?id=1XscAoBe0xgbV1R4sq40BnyxipKhMrwlA" TargetMode="External"/><Relationship Id="rId1088" Type="http://schemas.openxmlformats.org/officeDocument/2006/relationships/hyperlink" Target="https://drive.google.com/open?id=1wZx5MlRcruLmG6yW-KKWJoIcfiHDavkD" TargetMode="External"/><Relationship Id="rId135" Type="http://schemas.openxmlformats.org/officeDocument/2006/relationships/hyperlink" Target="https://drive.google.com/open?id=1-0gWxWahNnttfMp1Th0bpByPtetAlqmz" TargetMode="External"/><Relationship Id="rId377" Type="http://schemas.openxmlformats.org/officeDocument/2006/relationships/hyperlink" Target="https://drive.google.com/open?id=10ruiV5lDlVP4NqT6FHKsVTGeGEzxJFW1" TargetMode="External"/><Relationship Id="rId1089" Type="http://schemas.openxmlformats.org/officeDocument/2006/relationships/hyperlink" Target="https://drive.google.com/open?id=1WPfSl2yfKNXxfrCh_mN0xwJ4GIUupGJA" TargetMode="External"/><Relationship Id="rId134" Type="http://schemas.openxmlformats.org/officeDocument/2006/relationships/hyperlink" Target="https://drive.google.com/open?id=1_n5exSuC0BOTQKDVyuks7OWsq3fLFnqk" TargetMode="External"/><Relationship Id="rId376" Type="http://schemas.openxmlformats.org/officeDocument/2006/relationships/hyperlink" Target="https://drive.google.com/open?id=1P3jDw60z6y_d5KQHws2DzGY5FwNo9mAc" TargetMode="External"/><Relationship Id="rId133" Type="http://schemas.openxmlformats.org/officeDocument/2006/relationships/hyperlink" Target="https://drive.google.com/open?id=1NKDJwD1dB0xVrHNcZGSoizrhaI_rUBD2" TargetMode="External"/><Relationship Id="rId375" Type="http://schemas.openxmlformats.org/officeDocument/2006/relationships/hyperlink" Target="https://drive.google.com/open?id=15HD9-wIyGxbEWHA8vc_pkVJurcHt4oFh" TargetMode="External"/><Relationship Id="rId172" Type="http://schemas.openxmlformats.org/officeDocument/2006/relationships/hyperlink" Target="https://drive.google.com/open?id=1zF3VYMLvzWwUd7XksZZGdCG3h6Nnf6lT" TargetMode="External"/><Relationship Id="rId171" Type="http://schemas.openxmlformats.org/officeDocument/2006/relationships/hyperlink" Target="https://drive.google.com/open?id=1wqmti7W0VtgJiSdYUpqSymTvAD-9PZAn" TargetMode="External"/><Relationship Id="rId170" Type="http://schemas.openxmlformats.org/officeDocument/2006/relationships/hyperlink" Target="https://drive.google.com/open?id=1dodOTbrvV4yj9FzvkAIYXDiPaETCe0ef" TargetMode="External"/><Relationship Id="rId165" Type="http://schemas.openxmlformats.org/officeDocument/2006/relationships/hyperlink" Target="https://drive.google.com/open?id=1s3QIRHBmOQtg5AL1mgnmaUTxc67mYjSr" TargetMode="External"/><Relationship Id="rId164" Type="http://schemas.openxmlformats.org/officeDocument/2006/relationships/hyperlink" Target="https://drive.google.com/open?id=1ozVPh0KIjvO3jE73ihyFbJ71gpQma4m3" TargetMode="External"/><Relationship Id="rId163" Type="http://schemas.openxmlformats.org/officeDocument/2006/relationships/hyperlink" Target="https://drive.google.com/open?id=1b5vGG1FL_8jyOJLDN29HMUpwxEt2u_ST" TargetMode="External"/><Relationship Id="rId162" Type="http://schemas.openxmlformats.org/officeDocument/2006/relationships/hyperlink" Target="https://drive.google.com/open?id=1-9kzwbeS7BhK5iUcJhA8YHARh3D4jCKy" TargetMode="External"/><Relationship Id="rId169" Type="http://schemas.openxmlformats.org/officeDocument/2006/relationships/hyperlink" Target="https://drive.google.com/open?id=1YVtEaA8P6HdqQ4oARykpC2TKINkqKdWT" TargetMode="External"/><Relationship Id="rId168" Type="http://schemas.openxmlformats.org/officeDocument/2006/relationships/hyperlink" Target="https://drive.google.com/open?id=1RiXGo4JBiH0OR2scRQ-CAD1MJQ0qj-S9" TargetMode="External"/><Relationship Id="rId167" Type="http://schemas.openxmlformats.org/officeDocument/2006/relationships/hyperlink" Target="https://drive.google.com/open?id=1hSYRdtxOcOcxLb0dQEy82pewoWbZXbY0" TargetMode="External"/><Relationship Id="rId166" Type="http://schemas.openxmlformats.org/officeDocument/2006/relationships/hyperlink" Target="https://drive.google.com/open?id=14o5tC5u8gc3kU0vvcWe5Wh_wC1B03FQo" TargetMode="External"/><Relationship Id="rId161" Type="http://schemas.openxmlformats.org/officeDocument/2006/relationships/hyperlink" Target="https://drive.google.com/open?id=1nYytDqcSahdUpPcgCF3Yj1MgkVJK3HuE" TargetMode="External"/><Relationship Id="rId160" Type="http://schemas.openxmlformats.org/officeDocument/2006/relationships/hyperlink" Target="https://drive.google.com/open?id=1WwuTghqkqzzV2p_sULczeAGPVqcMJdhe" TargetMode="External"/><Relationship Id="rId159" Type="http://schemas.openxmlformats.org/officeDocument/2006/relationships/hyperlink" Target="https://drive.google.com/open?id=1FRkffOWDm_zg1DI4Q9nfxIaBBhAqHz-r" TargetMode="External"/><Relationship Id="rId154" Type="http://schemas.openxmlformats.org/officeDocument/2006/relationships/hyperlink" Target="https://drive.google.com/open?id=12vC8hCutRKyxM7AEbIJpTPiTiB9X31C8" TargetMode="External"/><Relationship Id="rId396" Type="http://schemas.openxmlformats.org/officeDocument/2006/relationships/hyperlink" Target="https://drive.google.com/open?id=1YJn_agOgzkUIrSMpk0grXT3XEfP6W5TG" TargetMode="External"/><Relationship Id="rId153" Type="http://schemas.openxmlformats.org/officeDocument/2006/relationships/hyperlink" Target="https://drive.google.com/open?id=1qJwZwgfIxiOtgU7D2WAUFBBI3_w96QJD" TargetMode="External"/><Relationship Id="rId395" Type="http://schemas.openxmlformats.org/officeDocument/2006/relationships/hyperlink" Target="https://drive.google.com/open?id=1SR3z55NJNHYbNCcg4q_hod4URVnlldIq" TargetMode="External"/><Relationship Id="rId152" Type="http://schemas.openxmlformats.org/officeDocument/2006/relationships/hyperlink" Target="https://drive.google.com/open?id=1i4JRZatiJIhprLkk0wJof44kiBkQaXNL" TargetMode="External"/><Relationship Id="rId394" Type="http://schemas.openxmlformats.org/officeDocument/2006/relationships/hyperlink" Target="https://drive.google.com/open?id=1gTCWc-Zsw8fL1xz0Bp81N0x4P4xqYLes" TargetMode="External"/><Relationship Id="rId151" Type="http://schemas.openxmlformats.org/officeDocument/2006/relationships/hyperlink" Target="https://drive.google.com/open?id=1ZAq83jsvjosVW0HbBXBCo1Bo8sNly4FN" TargetMode="External"/><Relationship Id="rId393" Type="http://schemas.openxmlformats.org/officeDocument/2006/relationships/hyperlink" Target="https://drive.google.com/open?id=1njiwusCFmixwVgcWaV4K29pXbcdgVmbY" TargetMode="External"/><Relationship Id="rId158" Type="http://schemas.openxmlformats.org/officeDocument/2006/relationships/hyperlink" Target="https://drive.google.com/open?id=1CcEim1fjU6pIf3JwC7K65c1C6ynUdOGn" TargetMode="External"/><Relationship Id="rId157" Type="http://schemas.openxmlformats.org/officeDocument/2006/relationships/hyperlink" Target="https://drive.google.com/open?id=1nbeGweXb9zPZZ9jS5PC0BnHO3oTK8CGh" TargetMode="External"/><Relationship Id="rId399" Type="http://schemas.openxmlformats.org/officeDocument/2006/relationships/hyperlink" Target="https://drive.google.com/open?id=1m3231GBeGgNQEgpJyv1yl52HHh7hwkK_" TargetMode="External"/><Relationship Id="rId156" Type="http://schemas.openxmlformats.org/officeDocument/2006/relationships/hyperlink" Target="https://drive.google.com/open?id=1bjm-4HT9V3eOMLhdRXzFVBohu0vy2vtz" TargetMode="External"/><Relationship Id="rId398" Type="http://schemas.openxmlformats.org/officeDocument/2006/relationships/hyperlink" Target="https://drive.google.com/open?id=1CQxDVgAWjIk_vW7X3fAG8UVwWaIXVanj" TargetMode="External"/><Relationship Id="rId155" Type="http://schemas.openxmlformats.org/officeDocument/2006/relationships/hyperlink" Target="https://drive.google.com/open?id=1ws9dixZUR8qQ6DcdOBGsoZ9gC4Jjw-DU" TargetMode="External"/><Relationship Id="rId397" Type="http://schemas.openxmlformats.org/officeDocument/2006/relationships/hyperlink" Target="https://drive.google.com/open?id=135uH_7O9OSXp21FIpL7CNrtmlNyoPmA2" TargetMode="External"/><Relationship Id="rId808" Type="http://schemas.openxmlformats.org/officeDocument/2006/relationships/hyperlink" Target="https://drive.google.com/open?id=1suBjd2t1lGrk_9btMPGn7ISXzF_6Ugv4" TargetMode="External"/><Relationship Id="rId807" Type="http://schemas.openxmlformats.org/officeDocument/2006/relationships/hyperlink" Target="https://drive.google.com/open?id=14psg-Y1khk0f_nfOAUJDEKauX-1oQe0a" TargetMode="External"/><Relationship Id="rId806" Type="http://schemas.openxmlformats.org/officeDocument/2006/relationships/hyperlink" Target="https://drive.google.com/open?id=1JhP6_cc131Sju7D2eCo95xPa5WH0xXuN" TargetMode="External"/><Relationship Id="rId805" Type="http://schemas.openxmlformats.org/officeDocument/2006/relationships/hyperlink" Target="https://drive.google.com/open?id=1p-os9ReeYcnrJXZa4Nt4gdZQHEc3XLt6" TargetMode="External"/><Relationship Id="rId809" Type="http://schemas.openxmlformats.org/officeDocument/2006/relationships/hyperlink" Target="https://drive.google.com/open?id=1QKrfXN662-QUPI2zAEoJPO-6fgj33nFu" TargetMode="External"/><Relationship Id="rId800" Type="http://schemas.openxmlformats.org/officeDocument/2006/relationships/hyperlink" Target="https://drive.google.com/open?id=1w4hSQTNGehsNK-48BGH2wkTtfVOvd2gO" TargetMode="External"/><Relationship Id="rId804" Type="http://schemas.openxmlformats.org/officeDocument/2006/relationships/hyperlink" Target="https://drive.google.com/open?id=1jfHhoquxyiC-4UgCIlFW1QQpBWAlv-vw" TargetMode="External"/><Relationship Id="rId803" Type="http://schemas.openxmlformats.org/officeDocument/2006/relationships/hyperlink" Target="https://drive.google.com/open?id=1XOWn7BeIz_V8xUPDYm2IHdY1uZHZ7cH_" TargetMode="External"/><Relationship Id="rId802" Type="http://schemas.openxmlformats.org/officeDocument/2006/relationships/hyperlink" Target="https://drive.google.com/open?id=1USiwDP0ypSTleM6VAW4SlDea6GnVRgKj" TargetMode="External"/><Relationship Id="rId801" Type="http://schemas.openxmlformats.org/officeDocument/2006/relationships/hyperlink" Target="https://drive.google.com/open?id=1xmUFyVFdSQ_7_fZEJwc77Fl09Wr2f_qv" TargetMode="External"/><Relationship Id="rId40" Type="http://schemas.openxmlformats.org/officeDocument/2006/relationships/hyperlink" Target="https://drive.google.com/open?id=1e3y1MN75p_hUOMqBXg_66KrPOxbCNZwX" TargetMode="External"/><Relationship Id="rId42" Type="http://schemas.openxmlformats.org/officeDocument/2006/relationships/hyperlink" Target="https://drive.google.com/open?id=18F7OOgaobJ7hI-Z3ijurt_SQyaVOEQqy" TargetMode="External"/><Relationship Id="rId41" Type="http://schemas.openxmlformats.org/officeDocument/2006/relationships/hyperlink" Target="https://drive.google.com/open?id=1KwTWg4W7XjWEGZuUKPPZmaVgWEWW9IxO" TargetMode="External"/><Relationship Id="rId44" Type="http://schemas.openxmlformats.org/officeDocument/2006/relationships/hyperlink" Target="https://drive.google.com/open?id=1_RakE6sdG_0owng5nkXRHF8ptxtH8jMF" TargetMode="External"/><Relationship Id="rId43" Type="http://schemas.openxmlformats.org/officeDocument/2006/relationships/hyperlink" Target="https://drive.google.com/open?id=1WhW2oTB-FV6eBi8FSvCOI4o4UWYHm8jp" TargetMode="External"/><Relationship Id="rId46" Type="http://schemas.openxmlformats.org/officeDocument/2006/relationships/hyperlink" Target="https://drive.google.com/open?id=1JrJyduawf3qisT189UEW__Kuzwr4jlxq" TargetMode="External"/><Relationship Id="rId45" Type="http://schemas.openxmlformats.org/officeDocument/2006/relationships/hyperlink" Target="https://drive.google.com/open?id=1hRZC26rVaa483jGENwQEnV-8N9oJ80z0" TargetMode="External"/><Relationship Id="rId509" Type="http://schemas.openxmlformats.org/officeDocument/2006/relationships/hyperlink" Target="https://drive.google.com/open?id=1ievRUMjKOSGxKW-Naw_XWSdQYJWjAOlo" TargetMode="External"/><Relationship Id="rId508" Type="http://schemas.openxmlformats.org/officeDocument/2006/relationships/hyperlink" Target="https://drive.google.com/open?id=15gdrfTE_JCfIwHQUPsR9l7CmLusGgJZ5" TargetMode="External"/><Relationship Id="rId503" Type="http://schemas.openxmlformats.org/officeDocument/2006/relationships/hyperlink" Target="https://drive.google.com/open?id=1T6DJ_QmvJmUyOOX7mF2hKZMZIH124cLa" TargetMode="External"/><Relationship Id="rId745" Type="http://schemas.openxmlformats.org/officeDocument/2006/relationships/hyperlink" Target="https://drive.google.com/open?id=1Idb7xaQfhP1m0ubTEa_kvu0vPgwukZ_c" TargetMode="External"/><Relationship Id="rId987" Type="http://schemas.openxmlformats.org/officeDocument/2006/relationships/hyperlink" Target="https://drive.google.com/open?id=1H2gbb_1-k0FjHXpVPwOnDp-2VZ-OAKjR" TargetMode="External"/><Relationship Id="rId502" Type="http://schemas.openxmlformats.org/officeDocument/2006/relationships/hyperlink" Target="https://drive.google.com/open?id=1xrhOPkOVCdpPL1j0wo5yzOiG7bdrsUsE" TargetMode="External"/><Relationship Id="rId744" Type="http://schemas.openxmlformats.org/officeDocument/2006/relationships/hyperlink" Target="https://drive.google.com/open?id=1SNSHILwDAGPZYcot6tlUwi8uXxJSbAsc" TargetMode="External"/><Relationship Id="rId986" Type="http://schemas.openxmlformats.org/officeDocument/2006/relationships/hyperlink" Target="https://drive.google.com/open?id=10PWGbCYCyJAlm6_hB817E5g1y-I4AIEr" TargetMode="External"/><Relationship Id="rId501" Type="http://schemas.openxmlformats.org/officeDocument/2006/relationships/hyperlink" Target="https://drive.google.com/open?id=1uQFqMXNe-HCYQgrUJxFovaVuyigZK_vB" TargetMode="External"/><Relationship Id="rId743" Type="http://schemas.openxmlformats.org/officeDocument/2006/relationships/hyperlink" Target="https://drive.google.com/open?id=1IgeG_m-C6L0qov7bn2jTGj-x1gPriJ63" TargetMode="External"/><Relationship Id="rId985" Type="http://schemas.openxmlformats.org/officeDocument/2006/relationships/hyperlink" Target="https://drive.google.com/open?id=1RX9o7OWm7Oc6E9JCv8qTeaUwSn3Sv9j_" TargetMode="External"/><Relationship Id="rId500" Type="http://schemas.openxmlformats.org/officeDocument/2006/relationships/hyperlink" Target="https://drive.google.com/open?id=1YdN4xn_H4vb6nVNRsf9h61_evFz0LoJO" TargetMode="External"/><Relationship Id="rId742" Type="http://schemas.openxmlformats.org/officeDocument/2006/relationships/hyperlink" Target="https://drive.google.com/open?id=1PMm8Tcs_ib_J66ElU3_kioWTIFgw_Mcu" TargetMode="External"/><Relationship Id="rId984" Type="http://schemas.openxmlformats.org/officeDocument/2006/relationships/hyperlink" Target="https://drive.google.com/open?id=1jyLlnBZwKRDVXIBIO7GAIKOt7VJVtRP9" TargetMode="External"/><Relationship Id="rId507" Type="http://schemas.openxmlformats.org/officeDocument/2006/relationships/hyperlink" Target="https://drive.google.com/open?id=1vJxo2gdMH4K-W7KcaYnrP1qDatH0bkSN" TargetMode="External"/><Relationship Id="rId749" Type="http://schemas.openxmlformats.org/officeDocument/2006/relationships/hyperlink" Target="https://drive.google.com/open?id=1Gt7XUOOiECSXuzS4FpjFTzMQktfmOUE8" TargetMode="External"/><Relationship Id="rId506" Type="http://schemas.openxmlformats.org/officeDocument/2006/relationships/hyperlink" Target="https://drive.google.com/open?id=196Xw8DgK47EFyKJmf_5lol8ol14usG_J" TargetMode="External"/><Relationship Id="rId748" Type="http://schemas.openxmlformats.org/officeDocument/2006/relationships/hyperlink" Target="https://drive.google.com/open?id=1Hm6Zz9bY7zPJnUS1tpBPy-h-6X1D4Idt" TargetMode="External"/><Relationship Id="rId505" Type="http://schemas.openxmlformats.org/officeDocument/2006/relationships/hyperlink" Target="https://drive.google.com/open?id=1-Eye48KsXBbUQXWVfMOI9-2xEuFcL2Ly" TargetMode="External"/><Relationship Id="rId747" Type="http://schemas.openxmlformats.org/officeDocument/2006/relationships/hyperlink" Target="https://drive.google.com/open?id=14utl-SQ8LalhbYVJCcAa7IaHLUkp6-51" TargetMode="External"/><Relationship Id="rId989" Type="http://schemas.openxmlformats.org/officeDocument/2006/relationships/hyperlink" Target="https://drive.google.com/open?id=1i1canVpPVMMrkfJ3nu14mYoHuhxO5ScH" TargetMode="External"/><Relationship Id="rId504" Type="http://schemas.openxmlformats.org/officeDocument/2006/relationships/hyperlink" Target="https://drive.google.com/open?id=1PQ2v65Krb_U31bzyMjOA5ByFHcRf5TwY" TargetMode="External"/><Relationship Id="rId746" Type="http://schemas.openxmlformats.org/officeDocument/2006/relationships/hyperlink" Target="https://drive.google.com/open?id=17ZQEvOMRoZPWlBr954IzK6__ebUuuXuu" TargetMode="External"/><Relationship Id="rId988" Type="http://schemas.openxmlformats.org/officeDocument/2006/relationships/hyperlink" Target="https://drive.google.com/open?id=1Behcmuxmb81xTYXv_CiGBmxAjIl0DH5c" TargetMode="External"/><Relationship Id="rId48" Type="http://schemas.openxmlformats.org/officeDocument/2006/relationships/hyperlink" Target="https://drive.google.com/open?id=1LpnLRVIMEIbUtUN88z-sJurgX3q9g1cM" TargetMode="External"/><Relationship Id="rId47" Type="http://schemas.openxmlformats.org/officeDocument/2006/relationships/hyperlink" Target="https://drive.google.com/open?id=1HwOzyuRjoCbtVrgmi3967o9MnWuhOB_m" TargetMode="External"/><Relationship Id="rId49" Type="http://schemas.openxmlformats.org/officeDocument/2006/relationships/hyperlink" Target="https://drive.google.com/open?id=1hEuAqB7n3LeLzL-9M6RWbeUl-8QdZVa8" TargetMode="External"/><Relationship Id="rId741" Type="http://schemas.openxmlformats.org/officeDocument/2006/relationships/hyperlink" Target="https://drive.google.com/open?id=14qeS5kca_SHW5i1-eH751nWtqj0RmMrG" TargetMode="External"/><Relationship Id="rId983" Type="http://schemas.openxmlformats.org/officeDocument/2006/relationships/hyperlink" Target="https://drive.google.com/open?id=1SQ194vbbMKMYbJTKy_uO9izOpe03BbLH" TargetMode="External"/><Relationship Id="rId740" Type="http://schemas.openxmlformats.org/officeDocument/2006/relationships/hyperlink" Target="https://drive.google.com/open?id=1d2WZcvgNBUusat1KFkFlZkQMR-vpOBfL" TargetMode="External"/><Relationship Id="rId982" Type="http://schemas.openxmlformats.org/officeDocument/2006/relationships/hyperlink" Target="https://drive.google.com/open?id=1DO453asf5E5oZnRLM2Rhuq4Dgz-FdVNo" TargetMode="External"/><Relationship Id="rId981" Type="http://schemas.openxmlformats.org/officeDocument/2006/relationships/hyperlink" Target="https://drive.google.com/open?id=1QazXJ6H0vv_6i-Ldo9o2wERH3j3h490k" TargetMode="External"/><Relationship Id="rId980" Type="http://schemas.openxmlformats.org/officeDocument/2006/relationships/hyperlink" Target="https://drive.google.com/open?id=1TtZPUoiwThyXtdaF7dc-O_sqDQFq-hWc" TargetMode="External"/><Relationship Id="rId31" Type="http://schemas.openxmlformats.org/officeDocument/2006/relationships/hyperlink" Target="https://drive.google.com/open?id=1KOj42k2fcI11gv1Ls5AxWx6tbEgX_myH" TargetMode="External"/><Relationship Id="rId30" Type="http://schemas.openxmlformats.org/officeDocument/2006/relationships/hyperlink" Target="https://drive.google.com/open?id=1-I5VlTf-IiNKk7siRBDDNEPm6V3-2OMg" TargetMode="External"/><Relationship Id="rId33" Type="http://schemas.openxmlformats.org/officeDocument/2006/relationships/hyperlink" Target="https://drive.google.com/open?id=1B2CBT9C7katL5JBBQgxfXDdKaNrrPe4Z" TargetMode="External"/><Relationship Id="rId32" Type="http://schemas.openxmlformats.org/officeDocument/2006/relationships/hyperlink" Target="https://drive.google.com/open?id=1Yf0n4x1MTAjCGuaphryp4c4ET2cfzy_9" TargetMode="External"/><Relationship Id="rId35" Type="http://schemas.openxmlformats.org/officeDocument/2006/relationships/hyperlink" Target="https://drive.google.com/open?id=1RoUr5Lt7a7nOGZ_0vkv83uocxnkfzV9v" TargetMode="External"/><Relationship Id="rId34" Type="http://schemas.openxmlformats.org/officeDocument/2006/relationships/hyperlink" Target="https://drive.google.com/open?id=1VXqfHEyIxEC4fLRzSUKaSLLPFFbF3k1a" TargetMode="External"/><Relationship Id="rId739" Type="http://schemas.openxmlformats.org/officeDocument/2006/relationships/hyperlink" Target="https://drive.google.com/open?id=1h37eitK3wmEmOK5bfWza157GXth2YNtp" TargetMode="External"/><Relationship Id="rId734" Type="http://schemas.openxmlformats.org/officeDocument/2006/relationships/hyperlink" Target="https://drive.google.com/open?id=15jF8TcJc-s8XHcO6P6Tfs8Ap-AkAWkzY" TargetMode="External"/><Relationship Id="rId976" Type="http://schemas.openxmlformats.org/officeDocument/2006/relationships/hyperlink" Target="https://drive.google.com/open?id=1ab79TzYHl3mo55_fXbAKcG9tYrIDPPDx" TargetMode="External"/><Relationship Id="rId733" Type="http://schemas.openxmlformats.org/officeDocument/2006/relationships/hyperlink" Target="https://drive.google.com/open?id=1cACgqwYuKIWvRS5bh86pT-ke8HUa8FOI" TargetMode="External"/><Relationship Id="rId975" Type="http://schemas.openxmlformats.org/officeDocument/2006/relationships/hyperlink" Target="https://drive.google.com/open?id=1NjIpARIqxUC0k-A4mXs7u6g9bMwa24rG" TargetMode="External"/><Relationship Id="rId732" Type="http://schemas.openxmlformats.org/officeDocument/2006/relationships/hyperlink" Target="https://drive.google.com/open?id=1ka1VFCz7Y5Ga7oCqjAqicFwUtAlVQyzI" TargetMode="External"/><Relationship Id="rId974" Type="http://schemas.openxmlformats.org/officeDocument/2006/relationships/hyperlink" Target="https://drive.google.com/open?id=1hJNFeh6cks3zHgt04rVckFLYi9Wjxbxk" TargetMode="External"/><Relationship Id="rId731" Type="http://schemas.openxmlformats.org/officeDocument/2006/relationships/hyperlink" Target="https://drive.google.com/open?id=1BGiezIZR0JU8mmGI8WwnsCl8H2L2NkDz" TargetMode="External"/><Relationship Id="rId973" Type="http://schemas.openxmlformats.org/officeDocument/2006/relationships/hyperlink" Target="https://drive.google.com/open?id=16sXIe7Mnurbb9qUdALnZF30fxzlLi4ys" TargetMode="External"/><Relationship Id="rId738" Type="http://schemas.openxmlformats.org/officeDocument/2006/relationships/hyperlink" Target="https://drive.google.com/open?id=1j8y2dCkmRwtMyOvWljCttS9BrGKLg8cn" TargetMode="External"/><Relationship Id="rId737" Type="http://schemas.openxmlformats.org/officeDocument/2006/relationships/hyperlink" Target="https://drive.google.com/open?id=1XSCfkh1RlgWiio7hhkk0hwgTtBr_-Qih" TargetMode="External"/><Relationship Id="rId979" Type="http://schemas.openxmlformats.org/officeDocument/2006/relationships/hyperlink" Target="https://drive.google.com/open?id=1k42X-DiDZYF77XiWt3M5697c9obnMLQG" TargetMode="External"/><Relationship Id="rId736" Type="http://schemas.openxmlformats.org/officeDocument/2006/relationships/hyperlink" Target="https://drive.google.com/open?id=1GsbH4jkIz_za4ZJfOuhc2Ri_KUWl9Vkv" TargetMode="External"/><Relationship Id="rId978" Type="http://schemas.openxmlformats.org/officeDocument/2006/relationships/hyperlink" Target="https://drive.google.com/open?id=1DVa9Sas-k6R4uGSn54iyedWxRjIrxQ2D" TargetMode="External"/><Relationship Id="rId735" Type="http://schemas.openxmlformats.org/officeDocument/2006/relationships/hyperlink" Target="https://drive.google.com/open?id=1KaodJiM_OrJM-eRgvaljCCNs-KQ6KhQO" TargetMode="External"/><Relationship Id="rId977" Type="http://schemas.openxmlformats.org/officeDocument/2006/relationships/hyperlink" Target="https://drive.google.com/open?id=1Ezv8u0ZMH5vw7uvVbB4v3PqwFGfoUYYa" TargetMode="External"/><Relationship Id="rId37" Type="http://schemas.openxmlformats.org/officeDocument/2006/relationships/hyperlink" Target="https://drive.google.com/open?id=1T5zq5lqzYnx3dCpcUUK_u_ni6hVq_v7s" TargetMode="External"/><Relationship Id="rId36" Type="http://schemas.openxmlformats.org/officeDocument/2006/relationships/hyperlink" Target="https://drive.google.com/open?id=1kUafm2k1Ln1FjdQBwYYwsO5gTNwzDQrr" TargetMode="External"/><Relationship Id="rId39" Type="http://schemas.openxmlformats.org/officeDocument/2006/relationships/hyperlink" Target="https://drive.google.com/open?id=1T64sL_VsngvEqfYXGRO5Gz247rzXR-5f" TargetMode="External"/><Relationship Id="rId38" Type="http://schemas.openxmlformats.org/officeDocument/2006/relationships/hyperlink" Target="https://drive.google.com/open?id=1AzTtNPgedvLnvOs8AYTwnAgEnxSCJaq8" TargetMode="External"/><Relationship Id="rId730" Type="http://schemas.openxmlformats.org/officeDocument/2006/relationships/hyperlink" Target="https://drive.google.com/open?id=17hSg1zMTGuFkn9UWHhjy-rDA9sWj_ayO" TargetMode="External"/><Relationship Id="rId972" Type="http://schemas.openxmlformats.org/officeDocument/2006/relationships/hyperlink" Target="https://drive.google.com/open?id=1CoC-wShIihit7qZhraETTieJTdrSjJ1E" TargetMode="External"/><Relationship Id="rId971" Type="http://schemas.openxmlformats.org/officeDocument/2006/relationships/hyperlink" Target="https://drive.google.com/open?id=1t6pZH_vF-LmclwUSg51gbb5VWXrWwZs7" TargetMode="External"/><Relationship Id="rId970" Type="http://schemas.openxmlformats.org/officeDocument/2006/relationships/hyperlink" Target="https://drive.google.com/open?id=1xceDnnscCHaGIE8eATQ_RzEV8JkoXpmO" TargetMode="External"/><Relationship Id="rId20" Type="http://schemas.openxmlformats.org/officeDocument/2006/relationships/hyperlink" Target="https://drive.google.com/open?id=1yzysDepUzkFu19-9VSxH482HgxiBeaLh" TargetMode="External"/><Relationship Id="rId22" Type="http://schemas.openxmlformats.org/officeDocument/2006/relationships/hyperlink" Target="https://drive.google.com/open?id=1IxCpLiCi6NmSd8ICk5ciH6ZQ0IHgheH7" TargetMode="External"/><Relationship Id="rId21" Type="http://schemas.openxmlformats.org/officeDocument/2006/relationships/hyperlink" Target="https://drive.google.com/open?id=1Qs4h6PfSdcN39l4gdLMLHW-O9RVBhELu" TargetMode="External"/><Relationship Id="rId24" Type="http://schemas.openxmlformats.org/officeDocument/2006/relationships/hyperlink" Target="https://drive.google.com/open?id=16CJQsIgF_8TTAtApX9HoY3XJKkLN-ju7" TargetMode="External"/><Relationship Id="rId23" Type="http://schemas.openxmlformats.org/officeDocument/2006/relationships/hyperlink" Target="https://drive.google.com/open?id=1ofq2YKiZsDa0buPemQlj5fnCNgB9ec0X" TargetMode="External"/><Relationship Id="rId525" Type="http://schemas.openxmlformats.org/officeDocument/2006/relationships/hyperlink" Target="https://drive.google.com/open?id=1VLhQq6eb-tqBH0V1eQcXhtZaKwunJQ8d" TargetMode="External"/><Relationship Id="rId767" Type="http://schemas.openxmlformats.org/officeDocument/2006/relationships/hyperlink" Target="https://drive.google.com/open?id=1nFIfkA6xaT1V3dfF45SUJMgwDocqL3FY" TargetMode="External"/><Relationship Id="rId524" Type="http://schemas.openxmlformats.org/officeDocument/2006/relationships/hyperlink" Target="https://drive.google.com/open?id=1odeWnPsbk7cdo_3_iFhe2ilmeuGqQS-1" TargetMode="External"/><Relationship Id="rId766" Type="http://schemas.openxmlformats.org/officeDocument/2006/relationships/hyperlink" Target="https://drive.google.com/open?id=1npQDgr4oKiUb6DrIFm2ShtlHJEQ8yBlU" TargetMode="External"/><Relationship Id="rId523" Type="http://schemas.openxmlformats.org/officeDocument/2006/relationships/hyperlink" Target="https://drive.google.com/open?id=1KeABZKkH3mpJURGIwZ6uowIppEqcICbL" TargetMode="External"/><Relationship Id="rId765" Type="http://schemas.openxmlformats.org/officeDocument/2006/relationships/hyperlink" Target="https://drive.google.com/open?id=1yFCxWx6bRAc4FPXVYrhZeVvuhK5rK-bj" TargetMode="External"/><Relationship Id="rId522" Type="http://schemas.openxmlformats.org/officeDocument/2006/relationships/hyperlink" Target="https://drive.google.com/open?id=1innXYS1J1Czb0fFz8WvqnncvjcA8YXTF" TargetMode="External"/><Relationship Id="rId764" Type="http://schemas.openxmlformats.org/officeDocument/2006/relationships/hyperlink" Target="https://drive.google.com/open?id=1nE3Tz4oIWldCBjCldiwFXxZpMITvaBQK" TargetMode="External"/><Relationship Id="rId529" Type="http://schemas.openxmlformats.org/officeDocument/2006/relationships/hyperlink" Target="https://drive.google.com/open?id=1Y85V_1TRhZxbvnIZN1LmxPLcqJ777VCI" TargetMode="External"/><Relationship Id="rId528" Type="http://schemas.openxmlformats.org/officeDocument/2006/relationships/hyperlink" Target="https://drive.google.com/open?id=1i0uveGvF1mLUXcgztNGiNeLkbLyLf-iN" TargetMode="External"/><Relationship Id="rId527" Type="http://schemas.openxmlformats.org/officeDocument/2006/relationships/hyperlink" Target="https://drive.google.com/open?id=1w3IhMN-qmBpUcyVSKE8icRBtjYZrfHY_" TargetMode="External"/><Relationship Id="rId769" Type="http://schemas.openxmlformats.org/officeDocument/2006/relationships/hyperlink" Target="https://drive.google.com/open?id=1AwLx87cE4EbcEOteTzvBSJRY9RoQdOTx" TargetMode="External"/><Relationship Id="rId526" Type="http://schemas.openxmlformats.org/officeDocument/2006/relationships/hyperlink" Target="https://drive.google.com/open?id=135U6hdJq-KBbV5YxOsIvJiLPKdyAx5Fx" TargetMode="External"/><Relationship Id="rId768" Type="http://schemas.openxmlformats.org/officeDocument/2006/relationships/hyperlink" Target="https://drive.google.com/open?id=1kgJP_GzbK5_QDTRhxAKGgFD5UrzL8u4n" TargetMode="External"/><Relationship Id="rId26" Type="http://schemas.openxmlformats.org/officeDocument/2006/relationships/hyperlink" Target="https://drive.google.com/open?id=1nUiGrsvAEWXuw4ixK4sxYFAcBBHZDIUK" TargetMode="External"/><Relationship Id="rId25" Type="http://schemas.openxmlformats.org/officeDocument/2006/relationships/hyperlink" Target="https://drive.google.com/open?id=1CGJ05Gw51hjZgNCc6jhtg_symXznud-Z" TargetMode="External"/><Relationship Id="rId28" Type="http://schemas.openxmlformats.org/officeDocument/2006/relationships/hyperlink" Target="https://drive.google.com/open?id=1td_Qy3ivyNI1yKjSQlq-0o1BJgacGF1f" TargetMode="External"/><Relationship Id="rId27" Type="http://schemas.openxmlformats.org/officeDocument/2006/relationships/hyperlink" Target="https://drive.google.com/open?id=1ZFKHAPUG2Lxot7B-wk3ClR33crUh3p_7" TargetMode="External"/><Relationship Id="rId521" Type="http://schemas.openxmlformats.org/officeDocument/2006/relationships/hyperlink" Target="https://drive.google.com/open?id=1hDFCE_VpyybTl3wLGbC7HgEWvKMNlQb4" TargetMode="External"/><Relationship Id="rId763" Type="http://schemas.openxmlformats.org/officeDocument/2006/relationships/hyperlink" Target="https://drive.google.com/open?id=1eQbK1bUQOMyk2-mqsbfFDpJyUUJjBODr" TargetMode="External"/><Relationship Id="rId29" Type="http://schemas.openxmlformats.org/officeDocument/2006/relationships/hyperlink" Target="https://drive.google.com/open?id=1FrScvDtdMn10n7zws-JoXL7rod8NjOoB" TargetMode="External"/><Relationship Id="rId520" Type="http://schemas.openxmlformats.org/officeDocument/2006/relationships/hyperlink" Target="https://drive.google.com/open?id=1IpLueR6BMLVH5CEpfx1LWtkSzpvcU0X-" TargetMode="External"/><Relationship Id="rId762" Type="http://schemas.openxmlformats.org/officeDocument/2006/relationships/hyperlink" Target="https://drive.google.com/open?id=10HyI2jY6bZVV42DcHl8iK4Nn7qTBZLI7" TargetMode="External"/><Relationship Id="rId761" Type="http://schemas.openxmlformats.org/officeDocument/2006/relationships/hyperlink" Target="https://drive.google.com/open?id=1eKo9pSts3XqGRBgjyVVgXVUtQfCWzYM1" TargetMode="External"/><Relationship Id="rId760" Type="http://schemas.openxmlformats.org/officeDocument/2006/relationships/hyperlink" Target="https://drive.google.com/open?id=1nvR0ApY4z2IMYZdwesSDDZHx0zx_Ncqg" TargetMode="External"/><Relationship Id="rId1103" Type="http://schemas.openxmlformats.org/officeDocument/2006/relationships/drawing" Target="../drawings/drawing6.xml"/><Relationship Id="rId1105" Type="http://schemas.openxmlformats.org/officeDocument/2006/relationships/table" Target="../tables/table2.xml"/><Relationship Id="rId11" Type="http://schemas.openxmlformats.org/officeDocument/2006/relationships/hyperlink" Target="https://drive.google.com/open?id=1x-LJoOSs6_6UUdiZAn4BXC70tQlh1i6l" TargetMode="External"/><Relationship Id="rId10" Type="http://schemas.openxmlformats.org/officeDocument/2006/relationships/hyperlink" Target="https://drive.google.com/open?id=1nF98DlNKLNrds70wau9NxVMJFefSQeQ0" TargetMode="External"/><Relationship Id="rId13" Type="http://schemas.openxmlformats.org/officeDocument/2006/relationships/hyperlink" Target="https://drive.google.com/open?id=1lZNte1PvFgMZ6cu_S8Lnvz9spF3H4s-m" TargetMode="External"/><Relationship Id="rId12" Type="http://schemas.openxmlformats.org/officeDocument/2006/relationships/hyperlink" Target="https://drive.google.com/open?id=1EdvmkURDhaNgl_yB8O9kh4MltnCBJ3bg" TargetMode="External"/><Relationship Id="rId519" Type="http://schemas.openxmlformats.org/officeDocument/2006/relationships/hyperlink" Target="https://drive.google.com/open?id=1kVWgkmuldagdFdRVU1gZt90QbxX98XR8" TargetMode="External"/><Relationship Id="rId514" Type="http://schemas.openxmlformats.org/officeDocument/2006/relationships/hyperlink" Target="https://drive.google.com/open?id=1ruFJtzkRGaQK_TuDiEHLMYMMWMB-eShC" TargetMode="External"/><Relationship Id="rId756" Type="http://schemas.openxmlformats.org/officeDocument/2006/relationships/hyperlink" Target="https://drive.google.com/open?id=1w-2SS9gq31vheC61MMfz2-ysyd_llvGq" TargetMode="External"/><Relationship Id="rId998" Type="http://schemas.openxmlformats.org/officeDocument/2006/relationships/hyperlink" Target="https://drive.google.com/open?id=1HLAG_gLNdLpSMGHylqhkmtfmjJfQMsnZ" TargetMode="External"/><Relationship Id="rId513" Type="http://schemas.openxmlformats.org/officeDocument/2006/relationships/hyperlink" Target="https://drive.google.com/open?id=1NbfNy_rjzlaVfR76fMJQmqyu1vrNywhE" TargetMode="External"/><Relationship Id="rId755" Type="http://schemas.openxmlformats.org/officeDocument/2006/relationships/hyperlink" Target="https://drive.google.com/open?id=17OikhAZbtWqqg2RNUlkAzihWhiHfDpgG" TargetMode="External"/><Relationship Id="rId997" Type="http://schemas.openxmlformats.org/officeDocument/2006/relationships/hyperlink" Target="https://drive.google.com/open?id=1pJvZSMe0kiPCHGU50wy8ssoS_VYywd_q" TargetMode="External"/><Relationship Id="rId512" Type="http://schemas.openxmlformats.org/officeDocument/2006/relationships/hyperlink" Target="https://drive.google.com/open?id=1UQefzinutSk-XyQrRBmGdfudKvlliwL7" TargetMode="External"/><Relationship Id="rId754" Type="http://schemas.openxmlformats.org/officeDocument/2006/relationships/hyperlink" Target="https://drive.google.com/open?id=1_akzUR9x_c32lHl0NWKZ__ZUxHc45nT7" TargetMode="External"/><Relationship Id="rId996" Type="http://schemas.openxmlformats.org/officeDocument/2006/relationships/hyperlink" Target="https://drive.google.com/open?id=1z83bbWRDba3Yjkhx2yPxEEWz19kwlLHP" TargetMode="External"/><Relationship Id="rId511" Type="http://schemas.openxmlformats.org/officeDocument/2006/relationships/hyperlink" Target="https://drive.google.com/open?id=1nwdXLBE48ORx4bXFRohT96zT2JShFBSf" TargetMode="External"/><Relationship Id="rId753" Type="http://schemas.openxmlformats.org/officeDocument/2006/relationships/hyperlink" Target="https://drive.google.com/open?id=1m7HWLZ9kbQMvYOLHV5i7VUXeZhLUtMKf" TargetMode="External"/><Relationship Id="rId995" Type="http://schemas.openxmlformats.org/officeDocument/2006/relationships/hyperlink" Target="https://drive.google.com/open?id=1InpH9M4s-Fy2J370E4Q1t_3v_CIIc3Ty" TargetMode="External"/><Relationship Id="rId518" Type="http://schemas.openxmlformats.org/officeDocument/2006/relationships/hyperlink" Target="https://drive.google.com/open?id=1kf6ZO54ptAlv1lhp84k1x9_O4Gb467up" TargetMode="External"/><Relationship Id="rId517" Type="http://schemas.openxmlformats.org/officeDocument/2006/relationships/hyperlink" Target="https://drive.google.com/open?id=1zg6wlZpexdht5UrpQLKQnsv4HObfZMhL" TargetMode="External"/><Relationship Id="rId759" Type="http://schemas.openxmlformats.org/officeDocument/2006/relationships/hyperlink" Target="https://drive.google.com/open?id=1eIiDwEgSNIwM52b3ADFqfZ0JKAF74dD4" TargetMode="External"/><Relationship Id="rId516" Type="http://schemas.openxmlformats.org/officeDocument/2006/relationships/hyperlink" Target="https://drive.google.com/open?id=1-M14CuqBdZrFs5Zb1bJHEn9FyDiFz8ao" TargetMode="External"/><Relationship Id="rId758" Type="http://schemas.openxmlformats.org/officeDocument/2006/relationships/hyperlink" Target="https://drive.google.com/open?id=189L-9Pz9HYp50dHyw0yK7PKeUK0BceDm" TargetMode="External"/><Relationship Id="rId515" Type="http://schemas.openxmlformats.org/officeDocument/2006/relationships/hyperlink" Target="https://drive.google.com/open?id=10vjeptkomTebmrmCnX8bdtkZFU4PSLD5" TargetMode="External"/><Relationship Id="rId757" Type="http://schemas.openxmlformats.org/officeDocument/2006/relationships/hyperlink" Target="https://drive.google.com/open?id=1D-N6jotXC3bc6xfcYfkqLSIDU5NJfqZz" TargetMode="External"/><Relationship Id="rId999" Type="http://schemas.openxmlformats.org/officeDocument/2006/relationships/hyperlink" Target="https://drive.google.com/open?id=1YMEDCDrl3lcxawAij2ckwG2hc4VigCzx" TargetMode="External"/><Relationship Id="rId15" Type="http://schemas.openxmlformats.org/officeDocument/2006/relationships/hyperlink" Target="https://drive.google.com/open?id=1yymKoRo9Sb4PB1ao3BnFBcVY_27tbgpZ" TargetMode="External"/><Relationship Id="rId990" Type="http://schemas.openxmlformats.org/officeDocument/2006/relationships/hyperlink" Target="https://drive.google.com/open?id=1z2brMK1WKU89F9chwp_ftqnjesLoUVNJ" TargetMode="External"/><Relationship Id="rId14" Type="http://schemas.openxmlformats.org/officeDocument/2006/relationships/hyperlink" Target="https://drive.google.com/open?id=1h6HfrpkmchRGJTwikvVqXHs66B4nM5FL" TargetMode="External"/><Relationship Id="rId17" Type="http://schemas.openxmlformats.org/officeDocument/2006/relationships/hyperlink" Target="https://drive.google.com/open?id=1wxL4E4vPaMBXu13vJbn4xjevqfhdwHCu" TargetMode="External"/><Relationship Id="rId16" Type="http://schemas.openxmlformats.org/officeDocument/2006/relationships/hyperlink" Target="https://drive.google.com/open?id=15SAC6dNoNx9UTl_LS8P_h8rWkOsQr5tQ" TargetMode="External"/><Relationship Id="rId19" Type="http://schemas.openxmlformats.org/officeDocument/2006/relationships/hyperlink" Target="https://drive.google.com/open?id=1mQub8pKokD62g09-1hjDu2BVSOZ4Rt8Z" TargetMode="External"/><Relationship Id="rId510" Type="http://schemas.openxmlformats.org/officeDocument/2006/relationships/hyperlink" Target="https://drive.google.com/open?id=17qR8ib9BLW-P1wShKAYD5wbIZKYxhhbi" TargetMode="External"/><Relationship Id="rId752" Type="http://schemas.openxmlformats.org/officeDocument/2006/relationships/hyperlink" Target="https://drive.google.com/open?id=1F5y55K8YGK0RsjA13JsMIyzc8ZmVG1My" TargetMode="External"/><Relationship Id="rId994" Type="http://schemas.openxmlformats.org/officeDocument/2006/relationships/hyperlink" Target="https://drive.google.com/open?id=1JziXV1o108LiZNQARjXVZoQYxFi213sY" TargetMode="External"/><Relationship Id="rId18" Type="http://schemas.openxmlformats.org/officeDocument/2006/relationships/hyperlink" Target="https://drive.google.com/open?id=1WxIYOCDgPcfTQ3PBN2uGOqgMyszSvqZO" TargetMode="External"/><Relationship Id="rId751" Type="http://schemas.openxmlformats.org/officeDocument/2006/relationships/hyperlink" Target="https://drive.google.com/open?id=1pbqrQLxPAlJobT03B1XxDnRdBBy7gMh0" TargetMode="External"/><Relationship Id="rId993" Type="http://schemas.openxmlformats.org/officeDocument/2006/relationships/hyperlink" Target="https://drive.google.com/open?id=1pw4by2AJai3OXH28r7HFbxxBwbk66ein" TargetMode="External"/><Relationship Id="rId1100" Type="http://schemas.openxmlformats.org/officeDocument/2006/relationships/hyperlink" Target="https://drive.google.com/open?id=10n-DWHpBJ6G7Q7hGdstBhVQhhHHnItgc" TargetMode="External"/><Relationship Id="rId750" Type="http://schemas.openxmlformats.org/officeDocument/2006/relationships/hyperlink" Target="https://drive.google.com/open?id=1cjFVplw-JbQL3Z_GmBrvVFLrOgGAs1rc" TargetMode="External"/><Relationship Id="rId992" Type="http://schemas.openxmlformats.org/officeDocument/2006/relationships/hyperlink" Target="https://drive.google.com/open?id=14j3r7hRGhsfBQ2BWXBVvP_ITseWaUf-j" TargetMode="External"/><Relationship Id="rId1101" Type="http://schemas.openxmlformats.org/officeDocument/2006/relationships/hyperlink" Target="https://drive.google.com/open?id=1JK0pB6VXJLJx244RVb3vKQR4niNWCDOI" TargetMode="External"/><Relationship Id="rId991" Type="http://schemas.openxmlformats.org/officeDocument/2006/relationships/hyperlink" Target="https://drive.google.com/open?id=1XQOBUIqps3IvSVWXkrmNVF9nOQWD7XCI" TargetMode="External"/><Relationship Id="rId1102" Type="http://schemas.openxmlformats.org/officeDocument/2006/relationships/hyperlink" Target="https://drive.google.com/open?id=1Z5L9mgdwrDIykys4ObmIsxEvXDFNFOfb" TargetMode="External"/><Relationship Id="rId84" Type="http://schemas.openxmlformats.org/officeDocument/2006/relationships/hyperlink" Target="https://drive.google.com/open?id=1NuSUFo1IBVonNQirhX47ZauS0BR80juN" TargetMode="External"/><Relationship Id="rId83" Type="http://schemas.openxmlformats.org/officeDocument/2006/relationships/hyperlink" Target="https://drive.google.com/open?id=1fQs-cn1mZcajKnsafOhyLmSJWpKBhDNi" TargetMode="External"/><Relationship Id="rId86" Type="http://schemas.openxmlformats.org/officeDocument/2006/relationships/hyperlink" Target="https://drive.google.com/open?id=116zcYbxOJ0YINQNUobEwCpTXwfw3DwVV" TargetMode="External"/><Relationship Id="rId85" Type="http://schemas.openxmlformats.org/officeDocument/2006/relationships/hyperlink" Target="https://drive.google.com/open?id=1MjfICRNly-GA9xFjyACe4GDzh_u8IrAN" TargetMode="External"/><Relationship Id="rId88" Type="http://schemas.openxmlformats.org/officeDocument/2006/relationships/hyperlink" Target="https://drive.google.com/open?id=18OLv1VpL_7T3Djlq5IJMClcmuhf78-Jv" TargetMode="External"/><Relationship Id="rId87" Type="http://schemas.openxmlformats.org/officeDocument/2006/relationships/hyperlink" Target="https://drive.google.com/open?id=1BPxvfrcmTn_Vn1u1hH2tUumD_mNXmWpz" TargetMode="External"/><Relationship Id="rId89" Type="http://schemas.openxmlformats.org/officeDocument/2006/relationships/hyperlink" Target="https://drive.google.com/open?id=1LNlOej3AgVZ6DZOxMFoYFIvKK5-Wk6tJ" TargetMode="External"/><Relationship Id="rId709" Type="http://schemas.openxmlformats.org/officeDocument/2006/relationships/hyperlink" Target="https://drive.google.com/open?id=1HIqJktbg_8qJSeroB23MbI-ZzqSHRIae" TargetMode="External"/><Relationship Id="rId708" Type="http://schemas.openxmlformats.org/officeDocument/2006/relationships/hyperlink" Target="https://drive.google.com/open?id=1-BcG7KvoMDHxIodRYzicCI8BvGKhygfd" TargetMode="External"/><Relationship Id="rId707" Type="http://schemas.openxmlformats.org/officeDocument/2006/relationships/hyperlink" Target="https://drive.google.com/open?id=1j90S8oNAwQ2Pdn4Ia08BOf-G6yD-JljR" TargetMode="External"/><Relationship Id="rId949" Type="http://schemas.openxmlformats.org/officeDocument/2006/relationships/hyperlink" Target="https://drive.google.com/open?id=1_B-9ah7Q8QFcUpIInTLs7Ly65jh6048O" TargetMode="External"/><Relationship Id="rId706" Type="http://schemas.openxmlformats.org/officeDocument/2006/relationships/hyperlink" Target="https://drive.google.com/open?id=1qpI27OXmhdlC1fHA8NjhR_vS3-r1LZE7" TargetMode="External"/><Relationship Id="rId948" Type="http://schemas.openxmlformats.org/officeDocument/2006/relationships/hyperlink" Target="https://drive.google.com/open?id=1zuMx-Faa6WZ8NzelTWwmoFQekq_EAqKF" TargetMode="External"/><Relationship Id="rId80" Type="http://schemas.openxmlformats.org/officeDocument/2006/relationships/hyperlink" Target="https://drive.google.com/open?id=1Fa1R9nomHC6M2a7YUxR3Oe1AY0o4HHAg" TargetMode="External"/><Relationship Id="rId82" Type="http://schemas.openxmlformats.org/officeDocument/2006/relationships/hyperlink" Target="https://drive.google.com/open?id=14mOkiTJL7Tl7f66L1C6kdMKFVN60O7U4" TargetMode="External"/><Relationship Id="rId81" Type="http://schemas.openxmlformats.org/officeDocument/2006/relationships/hyperlink" Target="https://drive.google.com/open?id=1rgQw3_3ByyT_JNPg7dTC_itYE0FqzPpk" TargetMode="External"/><Relationship Id="rId701" Type="http://schemas.openxmlformats.org/officeDocument/2006/relationships/hyperlink" Target="https://drive.google.com/open?id=1LROfewadx1NoldWivgNAWPCD1MkL9dO7" TargetMode="External"/><Relationship Id="rId943" Type="http://schemas.openxmlformats.org/officeDocument/2006/relationships/hyperlink" Target="https://drive.google.com/open?id=1peo5UiARVdyF3MkoaUztIaEUEnwuUMV_" TargetMode="External"/><Relationship Id="rId700" Type="http://schemas.openxmlformats.org/officeDocument/2006/relationships/hyperlink" Target="https://drive.google.com/open?id=1UYagSKF3C3YqDvDn_3xITH2kH0MY94qK" TargetMode="External"/><Relationship Id="rId942" Type="http://schemas.openxmlformats.org/officeDocument/2006/relationships/hyperlink" Target="https://drive.google.com/open?id=1E00GAyVEqfb2Giktd33q7CC7SN4qPPoJ" TargetMode="External"/><Relationship Id="rId941" Type="http://schemas.openxmlformats.org/officeDocument/2006/relationships/hyperlink" Target="https://drive.google.com/open?id=12hyyggo_C0Wkl9UkyjCoOVMUFUJ99EjW" TargetMode="External"/><Relationship Id="rId940" Type="http://schemas.openxmlformats.org/officeDocument/2006/relationships/hyperlink" Target="https://drive.google.com/open?id=1oloT-YOQ_iUHc0MR6zKo6DZ9yfdaBCp5" TargetMode="External"/><Relationship Id="rId705" Type="http://schemas.openxmlformats.org/officeDocument/2006/relationships/hyperlink" Target="https://drive.google.com/open?id=1NT7AfJAVe9dMja1svaH86d1bWCjocga6" TargetMode="External"/><Relationship Id="rId947" Type="http://schemas.openxmlformats.org/officeDocument/2006/relationships/hyperlink" Target="https://drive.google.com/open?id=1Ktb9QryvhbT0xjehSJsC2xKTuUQTN8GY" TargetMode="External"/><Relationship Id="rId704" Type="http://schemas.openxmlformats.org/officeDocument/2006/relationships/hyperlink" Target="https://drive.google.com/open?id=1XplAedITiu_0K6NrExYT-eZOzOMHBhl9" TargetMode="External"/><Relationship Id="rId946" Type="http://schemas.openxmlformats.org/officeDocument/2006/relationships/hyperlink" Target="https://drive.google.com/open?id=11TBEQaJFlbGSFwdn4sNN_fBfL3H5GlIT" TargetMode="External"/><Relationship Id="rId703" Type="http://schemas.openxmlformats.org/officeDocument/2006/relationships/hyperlink" Target="https://drive.google.com/open?id=1RKYZu24uQqK6ozyLkTEwXOOu6h7TT-Q8" TargetMode="External"/><Relationship Id="rId945" Type="http://schemas.openxmlformats.org/officeDocument/2006/relationships/hyperlink" Target="https://drive.google.com/open?id=14ZQW0QdcuMhlHVOAh2tJkLt4t88dd7fU" TargetMode="External"/><Relationship Id="rId702" Type="http://schemas.openxmlformats.org/officeDocument/2006/relationships/hyperlink" Target="https://drive.google.com/open?id=1RE5dNJ2sxI1LR2VsHVmhlc_hCa11Pza5" TargetMode="External"/><Relationship Id="rId944" Type="http://schemas.openxmlformats.org/officeDocument/2006/relationships/hyperlink" Target="https://drive.google.com/open?id=1TibijpGTAxf_fO2RvvzVc2GS9qZi3XYk" TargetMode="External"/><Relationship Id="rId73" Type="http://schemas.openxmlformats.org/officeDocument/2006/relationships/hyperlink" Target="https://drive.google.com/open?id=1TfXfLFrUoZjEIFqQmRE-xzzuzrrstZk4" TargetMode="External"/><Relationship Id="rId72" Type="http://schemas.openxmlformats.org/officeDocument/2006/relationships/hyperlink" Target="https://drive.google.com/open?id=1yxX-dSTK9uJZ1NQmzCrPs1PQLX1pnWdW" TargetMode="External"/><Relationship Id="rId75" Type="http://schemas.openxmlformats.org/officeDocument/2006/relationships/hyperlink" Target="https://drive.google.com/open?id=1uStO9ObnLOnaVk7QHm25Pe_0yLT1K-lY" TargetMode="External"/><Relationship Id="rId74" Type="http://schemas.openxmlformats.org/officeDocument/2006/relationships/hyperlink" Target="https://drive.google.com/open?id=1TYSZfI5JTZQvBfZuNbjC-CoZwsCwmnhn" TargetMode="External"/><Relationship Id="rId77" Type="http://schemas.openxmlformats.org/officeDocument/2006/relationships/hyperlink" Target="https://drive.google.com/open?id=11vjbvQwGJeXnktinKUkuLFpJD_0NOMQk" TargetMode="External"/><Relationship Id="rId76" Type="http://schemas.openxmlformats.org/officeDocument/2006/relationships/hyperlink" Target="https://drive.google.com/open?id=1c2YwYIisQo8-mlqHXTX_gehA8i4dx5cc" TargetMode="External"/><Relationship Id="rId79" Type="http://schemas.openxmlformats.org/officeDocument/2006/relationships/hyperlink" Target="https://drive.google.com/open?id=1HMYEQFzmFh80_YKeIxEYU9-AgIH5NxN6" TargetMode="External"/><Relationship Id="rId78" Type="http://schemas.openxmlformats.org/officeDocument/2006/relationships/hyperlink" Target="https://drive.google.com/open?id=1sVADtxh_Z-DEGghMRRohq3ZLTBnuiiCV" TargetMode="External"/><Relationship Id="rId939" Type="http://schemas.openxmlformats.org/officeDocument/2006/relationships/hyperlink" Target="https://drive.google.com/open?id=1gat47G20CrqbuD1tqtmoCx9_hdkU8Oti" TargetMode="External"/><Relationship Id="rId938" Type="http://schemas.openxmlformats.org/officeDocument/2006/relationships/hyperlink" Target="https://drive.google.com/open?id=1Du9zecn4Pfwj7_9VP-r0JKqiDu_tYaPf" TargetMode="External"/><Relationship Id="rId937" Type="http://schemas.openxmlformats.org/officeDocument/2006/relationships/hyperlink" Target="https://drive.google.com/open?id=1TlQMHG-eMGLgu7NvQ40T7DZTcEfcplnJ" TargetMode="External"/><Relationship Id="rId71" Type="http://schemas.openxmlformats.org/officeDocument/2006/relationships/hyperlink" Target="https://drive.google.com/open?id=1txy11k04Y0UN1jlpoBsIEPICIEhK1TTc" TargetMode="External"/><Relationship Id="rId70" Type="http://schemas.openxmlformats.org/officeDocument/2006/relationships/hyperlink" Target="https://drive.google.com/open?id=1F1Uy7rDW11J1WoGxSmJQv-BRGUQ1jh-9" TargetMode="External"/><Relationship Id="rId932" Type="http://schemas.openxmlformats.org/officeDocument/2006/relationships/hyperlink" Target="https://drive.google.com/open?id=1L8fICxDqrJPWcZITvxVKHBCeI_flFJzm" TargetMode="External"/><Relationship Id="rId931" Type="http://schemas.openxmlformats.org/officeDocument/2006/relationships/hyperlink" Target="https://drive.google.com/open?id=1XpKGFb_JYRZBzjcQtV0jueFYSOcm_v9_" TargetMode="External"/><Relationship Id="rId930" Type="http://schemas.openxmlformats.org/officeDocument/2006/relationships/hyperlink" Target="https://drive.google.com/open?id=18MyiATeUOKj8222dAhjae7pThnWcitdC" TargetMode="External"/><Relationship Id="rId936" Type="http://schemas.openxmlformats.org/officeDocument/2006/relationships/hyperlink" Target="https://drive.google.com/open?id=1GkIj3PfXXR173o46fnFbKEBXanKkKx-w" TargetMode="External"/><Relationship Id="rId935" Type="http://schemas.openxmlformats.org/officeDocument/2006/relationships/hyperlink" Target="https://drive.google.com/open?id=1C9MbTLmGkeV-AskevhJVzCog4Q4-xi4V" TargetMode="External"/><Relationship Id="rId934" Type="http://schemas.openxmlformats.org/officeDocument/2006/relationships/hyperlink" Target="https://drive.google.com/open?id=1teJn9DWuq21M3v_z-bVL7bfp3CPIVexf" TargetMode="External"/><Relationship Id="rId933" Type="http://schemas.openxmlformats.org/officeDocument/2006/relationships/hyperlink" Target="https://drive.google.com/open?id=1llNclAvZcKcS7wT0KooCma8eC75nGMme" TargetMode="External"/><Relationship Id="rId62" Type="http://schemas.openxmlformats.org/officeDocument/2006/relationships/hyperlink" Target="https://drive.google.com/open?id=1wulC1r7iNIHqIuCzgsUA3qIk3UJ_F9A9" TargetMode="External"/><Relationship Id="rId61" Type="http://schemas.openxmlformats.org/officeDocument/2006/relationships/hyperlink" Target="https://drive.google.com/open?id=1-lPDRzWcVmQMGdPHD-jQuFzLDbU4k5GY" TargetMode="External"/><Relationship Id="rId64" Type="http://schemas.openxmlformats.org/officeDocument/2006/relationships/hyperlink" Target="https://drive.google.com/open?id=1JjG8sa1i9Gbi7e980B0Rl2VJ-NdR2Une" TargetMode="External"/><Relationship Id="rId63" Type="http://schemas.openxmlformats.org/officeDocument/2006/relationships/hyperlink" Target="https://drive.google.com/open?id=1zmGJrpdkh-52b8FTOFqzpyIOsolDiLL9" TargetMode="External"/><Relationship Id="rId66" Type="http://schemas.openxmlformats.org/officeDocument/2006/relationships/hyperlink" Target="https://drive.google.com/open?id=1eaxns3KTC6uT-uobvmy3f8SXxnUYiP0S" TargetMode="External"/><Relationship Id="rId65" Type="http://schemas.openxmlformats.org/officeDocument/2006/relationships/hyperlink" Target="https://drive.google.com/open?id=1UfH4tR02BwtcgqPmn3usp2_0M52UYC7k" TargetMode="External"/><Relationship Id="rId68" Type="http://schemas.openxmlformats.org/officeDocument/2006/relationships/hyperlink" Target="https://drive.google.com/open?id=1tkb1Tit8heLmLjbLAXgQdmtd8urEpnyK" TargetMode="External"/><Relationship Id="rId67" Type="http://schemas.openxmlformats.org/officeDocument/2006/relationships/hyperlink" Target="https://drive.google.com/open?id=1_uwowfxd-8dzso4DWz1B5mFvf2sMFHd6" TargetMode="External"/><Relationship Id="rId729" Type="http://schemas.openxmlformats.org/officeDocument/2006/relationships/hyperlink" Target="https://drive.google.com/open?id=1HKmQAvVR9DGlYgZ7Rgqf4a2jlIxdEMxX" TargetMode="External"/><Relationship Id="rId728" Type="http://schemas.openxmlformats.org/officeDocument/2006/relationships/hyperlink" Target="https://drive.google.com/open?id=1NavXG_-L6wLzhf4VC7Y-I67PylQiaJkN" TargetMode="External"/><Relationship Id="rId60" Type="http://schemas.openxmlformats.org/officeDocument/2006/relationships/hyperlink" Target="https://drive.google.com/open?id=1TURZoQivDdNWDCIqaCpWEgVwgx_HWeGj" TargetMode="External"/><Relationship Id="rId723" Type="http://schemas.openxmlformats.org/officeDocument/2006/relationships/hyperlink" Target="https://drive.google.com/open?id=1q1xrtpaXghN4OuiqFQF0M-C2AyMsVV_a" TargetMode="External"/><Relationship Id="rId965" Type="http://schemas.openxmlformats.org/officeDocument/2006/relationships/hyperlink" Target="https://drive.google.com/open?id=1o_CsllTOIK1-uzPwbmyf9Kk-5YKKaAxo" TargetMode="External"/><Relationship Id="rId722" Type="http://schemas.openxmlformats.org/officeDocument/2006/relationships/hyperlink" Target="https://drive.google.com/open?id=13TI3TodoR5lta0QyiIaPORHp8KwBpD5K" TargetMode="External"/><Relationship Id="rId964" Type="http://schemas.openxmlformats.org/officeDocument/2006/relationships/hyperlink" Target="https://drive.google.com/open?id=1xOp-4AFp-Qq37S1VQG74LCno7A8z44YA" TargetMode="External"/><Relationship Id="rId721" Type="http://schemas.openxmlformats.org/officeDocument/2006/relationships/hyperlink" Target="https://drive.google.com/open?id=1DxdBp0ZMnMQ6uOfDEZhCJ19dm1NL0-7r" TargetMode="External"/><Relationship Id="rId963" Type="http://schemas.openxmlformats.org/officeDocument/2006/relationships/hyperlink" Target="https://drive.google.com/open?id=1jIsVFEW0c5wCse9LSfku7jxMLzHMx1iB" TargetMode="External"/><Relationship Id="rId720" Type="http://schemas.openxmlformats.org/officeDocument/2006/relationships/hyperlink" Target="https://drive.google.com/open?id=1zKfD70IBwRfInop6ATSJnPFcw_13iVk8" TargetMode="External"/><Relationship Id="rId962" Type="http://schemas.openxmlformats.org/officeDocument/2006/relationships/hyperlink" Target="https://drive.google.com/open?id=1OAhKGDCii73eTk24CLbCHIpwoJKl_8Xw" TargetMode="External"/><Relationship Id="rId727" Type="http://schemas.openxmlformats.org/officeDocument/2006/relationships/hyperlink" Target="https://drive.google.com/open?id=1g0kqUxPzBHHGOh-EbwnudS41-KAU2om2" TargetMode="External"/><Relationship Id="rId969" Type="http://schemas.openxmlformats.org/officeDocument/2006/relationships/hyperlink" Target="https://drive.google.com/open?id=1DLkJ4YcvYuHCpU3hIHD9BSHNfLl0gnqn" TargetMode="External"/><Relationship Id="rId726" Type="http://schemas.openxmlformats.org/officeDocument/2006/relationships/hyperlink" Target="https://drive.google.com/open?id=1jLypCbEJ5W8BnpfRDa66EF9wru5A-Ian" TargetMode="External"/><Relationship Id="rId968" Type="http://schemas.openxmlformats.org/officeDocument/2006/relationships/hyperlink" Target="https://drive.google.com/open?id=1POsU25dR5YnASCc4iQi3XHDk5_SemFvY" TargetMode="External"/><Relationship Id="rId725" Type="http://schemas.openxmlformats.org/officeDocument/2006/relationships/hyperlink" Target="https://drive.google.com/open?id=15U8w5fb2KxxDEDvAG9gQ5lg4tr__keYP" TargetMode="External"/><Relationship Id="rId967" Type="http://schemas.openxmlformats.org/officeDocument/2006/relationships/hyperlink" Target="https://drive.google.com/open?id=1yY5YpVPj-9Fw9TY5TjgLDGiLny2uXnHx" TargetMode="External"/><Relationship Id="rId724" Type="http://schemas.openxmlformats.org/officeDocument/2006/relationships/hyperlink" Target="https://drive.google.com/open?id=1bwA32nmVLlPONVK3TdjkAYT8Z8shIqKQ" TargetMode="External"/><Relationship Id="rId966" Type="http://schemas.openxmlformats.org/officeDocument/2006/relationships/hyperlink" Target="https://drive.google.com/open?id=19l7h09i_gmWWSS_KNwygEjIjnouGZEtQ" TargetMode="External"/><Relationship Id="rId69" Type="http://schemas.openxmlformats.org/officeDocument/2006/relationships/hyperlink" Target="https://drive.google.com/open?id=1BVHD0owxIu-tykdDJmStQvOOi-zHxblZ" TargetMode="External"/><Relationship Id="rId961" Type="http://schemas.openxmlformats.org/officeDocument/2006/relationships/hyperlink" Target="https://drive.google.com/open?id=1z4ZI7j4j2fd3ljm5CwdZeZmiGL5KpVeF" TargetMode="External"/><Relationship Id="rId960" Type="http://schemas.openxmlformats.org/officeDocument/2006/relationships/hyperlink" Target="https://drive.google.com/open?id=1cxdlzIvdZjYXCYO92kNM2EMNNy_3sFuJ" TargetMode="External"/><Relationship Id="rId51" Type="http://schemas.openxmlformats.org/officeDocument/2006/relationships/hyperlink" Target="https://drive.google.com/open?id=1RECJEkKJh10GIs0ZV5P43ChdpE-O5dLK" TargetMode="External"/><Relationship Id="rId50" Type="http://schemas.openxmlformats.org/officeDocument/2006/relationships/hyperlink" Target="https://drive.google.com/open?id=1KPJ54SHDc6Wh6jtgMhP_WW9Po8hTJZNI" TargetMode="External"/><Relationship Id="rId53" Type="http://schemas.openxmlformats.org/officeDocument/2006/relationships/hyperlink" Target="https://drive.google.com/open?id=15LbABNLayeUwke9ifTeGVDikF9FQPU04" TargetMode="External"/><Relationship Id="rId52" Type="http://schemas.openxmlformats.org/officeDocument/2006/relationships/hyperlink" Target="https://drive.google.com/open?id=1Tt1WCB-GY8s2JUHQd-g3HoXIHr9eN17c" TargetMode="External"/><Relationship Id="rId55" Type="http://schemas.openxmlformats.org/officeDocument/2006/relationships/hyperlink" Target="https://drive.google.com/open?id=1fdiS5Wq6RCpvyl7NmpL4jrRCg_8RJouV" TargetMode="External"/><Relationship Id="rId54" Type="http://schemas.openxmlformats.org/officeDocument/2006/relationships/hyperlink" Target="https://drive.google.com/open?id=16y5uQlARBOVrXMobzm0rPh4qalfdAkhH" TargetMode="External"/><Relationship Id="rId57" Type="http://schemas.openxmlformats.org/officeDocument/2006/relationships/hyperlink" Target="https://drive.google.com/open?id=1oWCB7BtqSQFEYtOI_SH_DrB3LZWc95-o" TargetMode="External"/><Relationship Id="rId56" Type="http://schemas.openxmlformats.org/officeDocument/2006/relationships/hyperlink" Target="https://drive.google.com/open?id=1U0B6DMZer4t2QpBi_mSw_S3PtCy6hKwt" TargetMode="External"/><Relationship Id="rId719" Type="http://schemas.openxmlformats.org/officeDocument/2006/relationships/hyperlink" Target="https://drive.google.com/open?id=12HVJ9lkDZSeYcpMndFZUZH92hbu6IOVH" TargetMode="External"/><Relationship Id="rId718" Type="http://schemas.openxmlformats.org/officeDocument/2006/relationships/hyperlink" Target="https://drive.google.com/open?id=1Omqk0-YRlgd5YmQjIFBSJurxbZ7qpGex" TargetMode="External"/><Relationship Id="rId717" Type="http://schemas.openxmlformats.org/officeDocument/2006/relationships/hyperlink" Target="https://drive.google.com/open?id=1di9o6tPlLSYDMa4T_68T9UULLbel_xd2" TargetMode="External"/><Relationship Id="rId959" Type="http://schemas.openxmlformats.org/officeDocument/2006/relationships/hyperlink" Target="https://drive.google.com/open?id=11f9k06JXJ0npG7xSKS3ywV-Mh4BwfQh1" TargetMode="External"/><Relationship Id="rId712" Type="http://schemas.openxmlformats.org/officeDocument/2006/relationships/hyperlink" Target="https://drive.google.com/open?id=1PvjnIuethQjP0gJccDzl9RvXPwX8mtMx" TargetMode="External"/><Relationship Id="rId954" Type="http://schemas.openxmlformats.org/officeDocument/2006/relationships/hyperlink" Target="https://drive.google.com/open?id=1XqhxLHhjcIKu1lsBVF1Zd634wqbuotQ4" TargetMode="External"/><Relationship Id="rId711" Type="http://schemas.openxmlformats.org/officeDocument/2006/relationships/hyperlink" Target="https://drive.google.com/open?id=1ACmcUCYEp6EdNoGZGhwbJogpLlKovlqz" TargetMode="External"/><Relationship Id="rId953" Type="http://schemas.openxmlformats.org/officeDocument/2006/relationships/hyperlink" Target="https://drive.google.com/open?id=1jcvU3JIRZN9sGN8Kzq4UmVQZNw6W3W5Z" TargetMode="External"/><Relationship Id="rId710" Type="http://schemas.openxmlformats.org/officeDocument/2006/relationships/hyperlink" Target="https://drive.google.com/open?id=1KN_gaWgOa4t1H51Tc0vyy2OQZe77qTas" TargetMode="External"/><Relationship Id="rId952" Type="http://schemas.openxmlformats.org/officeDocument/2006/relationships/hyperlink" Target="https://drive.google.com/open?id=1QXwZHnAMBxUKsIUUOQYB7yOQFE4IUlz-" TargetMode="External"/><Relationship Id="rId951" Type="http://schemas.openxmlformats.org/officeDocument/2006/relationships/hyperlink" Target="https://drive.google.com/open?id=1KaYMXNna3miRMG_Br6xdNdFM7--IXB5A" TargetMode="External"/><Relationship Id="rId716" Type="http://schemas.openxmlformats.org/officeDocument/2006/relationships/hyperlink" Target="https://drive.google.com/open?id=1vAqTx0p7sAgZv9wAk0ryOepXF1tkfhiX" TargetMode="External"/><Relationship Id="rId958" Type="http://schemas.openxmlformats.org/officeDocument/2006/relationships/hyperlink" Target="https://drive.google.com/open?id=1dV09Li_bC9-jL9Ir1gZty3W3DmgS9Bg7" TargetMode="External"/><Relationship Id="rId715" Type="http://schemas.openxmlformats.org/officeDocument/2006/relationships/hyperlink" Target="https://drive.google.com/open?id=1kFhz32tnXk2KCUTAHElfHGrKc1gcn3I4" TargetMode="External"/><Relationship Id="rId957" Type="http://schemas.openxmlformats.org/officeDocument/2006/relationships/hyperlink" Target="https://drive.google.com/open?id=1dEVzSBhdDyaVsP6eN1AY-0ekcyv849Y8" TargetMode="External"/><Relationship Id="rId714" Type="http://schemas.openxmlformats.org/officeDocument/2006/relationships/hyperlink" Target="https://drive.google.com/open?id=1kvgnKWVVITKZrObT8n28pMMBgkkjAIV3" TargetMode="External"/><Relationship Id="rId956" Type="http://schemas.openxmlformats.org/officeDocument/2006/relationships/hyperlink" Target="https://drive.google.com/open?id=1rR7HHoVWdWp0sGy_Z17qy-V-kNhz9xh5" TargetMode="External"/><Relationship Id="rId713" Type="http://schemas.openxmlformats.org/officeDocument/2006/relationships/hyperlink" Target="https://drive.google.com/open?id=1mfSLg6v1jjXdTXRkZq6Kp3mKuAXPt2WI" TargetMode="External"/><Relationship Id="rId955" Type="http://schemas.openxmlformats.org/officeDocument/2006/relationships/hyperlink" Target="https://drive.google.com/open?id=1dRrW2Pfrj_Az9yaT_onAgIyWGLwcMe4F" TargetMode="External"/><Relationship Id="rId59" Type="http://schemas.openxmlformats.org/officeDocument/2006/relationships/hyperlink" Target="https://drive.google.com/open?id=13Y8CJQDu4rQnb48R7pm42M-UbE-hL-0_" TargetMode="External"/><Relationship Id="rId58" Type="http://schemas.openxmlformats.org/officeDocument/2006/relationships/hyperlink" Target="https://drive.google.com/open?id=1VbdBU3y7icYPpxq_qmrzmfn96QAJ2iPo" TargetMode="External"/><Relationship Id="rId950" Type="http://schemas.openxmlformats.org/officeDocument/2006/relationships/hyperlink" Target="https://drive.google.com/open?id=1APHMUpYmHXiuCJbrOIy13CHcVM1oMRIb" TargetMode="External"/><Relationship Id="rId590" Type="http://schemas.openxmlformats.org/officeDocument/2006/relationships/hyperlink" Target="https://drive.google.com/open?id=1uAWr7tcJiN7RmBJpNkdlp-qhoAmzCsGi" TargetMode="External"/><Relationship Id="rId107" Type="http://schemas.openxmlformats.org/officeDocument/2006/relationships/hyperlink" Target="https://drive.google.com/open?id=1cbltveb-aceKbCshggJ0YodHxeivwAG3" TargetMode="External"/><Relationship Id="rId349" Type="http://schemas.openxmlformats.org/officeDocument/2006/relationships/hyperlink" Target="https://drive.google.com/open?id=1mpBv48f6SVn_huxxianu50yX9hdV6QLL" TargetMode="External"/><Relationship Id="rId106" Type="http://schemas.openxmlformats.org/officeDocument/2006/relationships/hyperlink" Target="https://drive.google.com/open?id=1dmsmaOloZ4UdBAr-OWsN9-uF5-vZGOpq" TargetMode="External"/><Relationship Id="rId348" Type="http://schemas.openxmlformats.org/officeDocument/2006/relationships/hyperlink" Target="https://drive.google.com/open?id=1EMQ4EAod_fC2l3A8DHH8WCKyu2pVZmLc" TargetMode="External"/><Relationship Id="rId105" Type="http://schemas.openxmlformats.org/officeDocument/2006/relationships/hyperlink" Target="https://drive.google.com/open?id=1OhBj-W_QBomY9R93jzjuEVf6zLY1f2ff" TargetMode="External"/><Relationship Id="rId347" Type="http://schemas.openxmlformats.org/officeDocument/2006/relationships/hyperlink" Target="https://drive.google.com/open?id=1mLGTkYME4koUKQD4WtkJQJs56GtgM0gW" TargetMode="External"/><Relationship Id="rId589" Type="http://schemas.openxmlformats.org/officeDocument/2006/relationships/hyperlink" Target="https://drive.google.com/open?id=1glT73mnAqLf5biPoOKQCzsU12f6LG2Y6" TargetMode="External"/><Relationship Id="rId104" Type="http://schemas.openxmlformats.org/officeDocument/2006/relationships/hyperlink" Target="https://drive.google.com/open?id=1keeZAK1C1iHPbQOJBjgVN9h1ant1oIwA" TargetMode="External"/><Relationship Id="rId346" Type="http://schemas.openxmlformats.org/officeDocument/2006/relationships/hyperlink" Target="https://drive.google.com/open?id=1CQvv_OjaeRJ-PHaiTFX96tHsWj3ITlHu" TargetMode="External"/><Relationship Id="rId588" Type="http://schemas.openxmlformats.org/officeDocument/2006/relationships/hyperlink" Target="https://drive.google.com/open?id=1xmGlVvV91pUFFwo2hWO-U9EJlgwDGoai" TargetMode="External"/><Relationship Id="rId109" Type="http://schemas.openxmlformats.org/officeDocument/2006/relationships/hyperlink" Target="https://drive.google.com/open?id=18Wb4E7CaPefj_6A7Uor1s6SJ0DfciyQX" TargetMode="External"/><Relationship Id="rId108" Type="http://schemas.openxmlformats.org/officeDocument/2006/relationships/hyperlink" Target="https://drive.google.com/open?id=1bWvxEhKOFOc1CNfRJFHJP6R2g43umS56" TargetMode="External"/><Relationship Id="rId341" Type="http://schemas.openxmlformats.org/officeDocument/2006/relationships/hyperlink" Target="https://drive.google.com/open?id=1ef8J_dfVnrLq4QuUIDNIHaqa9MxKlODo" TargetMode="External"/><Relationship Id="rId583" Type="http://schemas.openxmlformats.org/officeDocument/2006/relationships/hyperlink" Target="https://drive.google.com/open?id=1vIrUJnHC_Xt9Rw1imVWA0SD0lc_xhEnY" TargetMode="External"/><Relationship Id="rId340" Type="http://schemas.openxmlformats.org/officeDocument/2006/relationships/hyperlink" Target="https://drive.google.com/open?id=17p7m1OD5EGJfbel3NDu5GRD-33aeAXlX" TargetMode="External"/><Relationship Id="rId582" Type="http://schemas.openxmlformats.org/officeDocument/2006/relationships/hyperlink" Target="https://drive.google.com/open?id=10RmZEbBz4OISrImbHGf8lrB9Z9XZmjPX" TargetMode="External"/><Relationship Id="rId581" Type="http://schemas.openxmlformats.org/officeDocument/2006/relationships/hyperlink" Target="https://drive.google.com/open?id=1QAp73RELK50CsC08cESYgGzWAGjie_DH" TargetMode="External"/><Relationship Id="rId580" Type="http://schemas.openxmlformats.org/officeDocument/2006/relationships/hyperlink" Target="https://drive.google.com/open?id=1Qk-YlGcjpuxbwUrLXh-X2XMkhgs8jMaA" TargetMode="External"/><Relationship Id="rId103" Type="http://schemas.openxmlformats.org/officeDocument/2006/relationships/hyperlink" Target="https://drive.google.com/open?id=137pPxWfmWj_F0KraL2u7a8qHCV7R3_jf" TargetMode="External"/><Relationship Id="rId345" Type="http://schemas.openxmlformats.org/officeDocument/2006/relationships/hyperlink" Target="https://drive.google.com/open?id=1E1HN9rBZqSUGLoenbcn-HKQdwCx5VUkL" TargetMode="External"/><Relationship Id="rId587" Type="http://schemas.openxmlformats.org/officeDocument/2006/relationships/hyperlink" Target="https://drive.google.com/open?id=1FusUDg40EAUX5FUrwu980TqvrQGT1ZI0" TargetMode="External"/><Relationship Id="rId102" Type="http://schemas.openxmlformats.org/officeDocument/2006/relationships/hyperlink" Target="https://drive.google.com/open?id=1j8lUOgdxSqfPYHvcrai7ErEc5u34UE9h" TargetMode="External"/><Relationship Id="rId344" Type="http://schemas.openxmlformats.org/officeDocument/2006/relationships/hyperlink" Target="https://drive.google.com/open?id=1pXymrHkZBhReooQ78CeJmxWhvYCMMfgI" TargetMode="External"/><Relationship Id="rId586" Type="http://schemas.openxmlformats.org/officeDocument/2006/relationships/hyperlink" Target="https://drive.google.com/open?id=1KAwsycTLqfTVEq4Nt2KjvFTiMWUDjHIa" TargetMode="External"/><Relationship Id="rId101" Type="http://schemas.openxmlformats.org/officeDocument/2006/relationships/hyperlink" Target="https://drive.google.com/open?id=1RGV91Usg_UFYTqrpcy31YV5bOdKl9UYO" TargetMode="External"/><Relationship Id="rId343" Type="http://schemas.openxmlformats.org/officeDocument/2006/relationships/hyperlink" Target="https://drive.google.com/open?id=1n8BsZAK_lQIsZDJ5MUnPk1yrEDEOLKCD" TargetMode="External"/><Relationship Id="rId585" Type="http://schemas.openxmlformats.org/officeDocument/2006/relationships/hyperlink" Target="https://drive.google.com/open?id=1bbhQm6n0_rKoBXdrZgYsiMBk4ikFEPk8" TargetMode="External"/><Relationship Id="rId100" Type="http://schemas.openxmlformats.org/officeDocument/2006/relationships/hyperlink" Target="https://drive.google.com/open?id=1fWeYxoYmjBFlBPqnaDurPr3St9EE6tp-" TargetMode="External"/><Relationship Id="rId342" Type="http://schemas.openxmlformats.org/officeDocument/2006/relationships/hyperlink" Target="https://drive.google.com/open?id=14x6_hMtWVqCbvB_UniCfAP9Vl61IwqSh" TargetMode="External"/><Relationship Id="rId584" Type="http://schemas.openxmlformats.org/officeDocument/2006/relationships/hyperlink" Target="https://drive.google.com/open?id=15rgTX7TKWsvrOnorKdFXEHCUZrLnEOlZ" TargetMode="External"/><Relationship Id="rId338" Type="http://schemas.openxmlformats.org/officeDocument/2006/relationships/hyperlink" Target="https://drive.google.com/open?id=1r3iVMtKtEvswqu7GxTrcLE6IBqZb_20u" TargetMode="External"/><Relationship Id="rId337" Type="http://schemas.openxmlformats.org/officeDocument/2006/relationships/hyperlink" Target="https://drive.google.com/open?id=1AouJipXkbzMB05k4oW6JYLIT1x2XnIXJ" TargetMode="External"/><Relationship Id="rId579" Type="http://schemas.openxmlformats.org/officeDocument/2006/relationships/hyperlink" Target="https://drive.google.com/open?id=13ZC4GjYB_9-eO3zmXrF8gkVQ8KV7LXN1" TargetMode="External"/><Relationship Id="rId336" Type="http://schemas.openxmlformats.org/officeDocument/2006/relationships/hyperlink" Target="https://drive.google.com/open?id=1k2dNqXEVAf2gYhXtNAXbV57bYHBy9pjX" TargetMode="External"/><Relationship Id="rId578" Type="http://schemas.openxmlformats.org/officeDocument/2006/relationships/hyperlink" Target="https://drive.google.com/open?id=1Oi_kVsYasZR1vvF2CaDNDWZ13bli4UaM" TargetMode="External"/><Relationship Id="rId335" Type="http://schemas.openxmlformats.org/officeDocument/2006/relationships/hyperlink" Target="https://drive.google.com/open?id=110exFSjjRMs6M7QaZuXhjn00RbemfYRX" TargetMode="External"/><Relationship Id="rId577" Type="http://schemas.openxmlformats.org/officeDocument/2006/relationships/hyperlink" Target="https://drive.google.com/open?id=1sMEaSv6Zu3Hm4CAGlpRK5MUEHZM-YnIF" TargetMode="External"/><Relationship Id="rId339" Type="http://schemas.openxmlformats.org/officeDocument/2006/relationships/hyperlink" Target="https://drive.google.com/open?id=109ZFVfr57LUk6b4_olvIYNDz5m1IeC9n" TargetMode="External"/><Relationship Id="rId330" Type="http://schemas.openxmlformats.org/officeDocument/2006/relationships/hyperlink" Target="https://drive.google.com/open?id=1LsEcH7cAijh4kOlFG03BRVsA6sL8YcG9" TargetMode="External"/><Relationship Id="rId572" Type="http://schemas.openxmlformats.org/officeDocument/2006/relationships/hyperlink" Target="https://drive.google.com/open?id=15QfylF-A3guR81jF6DPv1PP_pAMlzp6v" TargetMode="External"/><Relationship Id="rId571" Type="http://schemas.openxmlformats.org/officeDocument/2006/relationships/hyperlink" Target="https://drive.google.com/open?id=10Jl4uhsEZ9Fr2FluFbQy41lVHxI7vaKa" TargetMode="External"/><Relationship Id="rId570" Type="http://schemas.openxmlformats.org/officeDocument/2006/relationships/hyperlink" Target="https://drive.google.com/open?id=1dShdN-2J8EqNMDRhFgv-THcev0iQZOaM" TargetMode="External"/><Relationship Id="rId334" Type="http://schemas.openxmlformats.org/officeDocument/2006/relationships/hyperlink" Target="https://drive.google.com/open?id=1gIAoK5C37RWCpZyuH1P3CTZot2WUjQKf" TargetMode="External"/><Relationship Id="rId576" Type="http://schemas.openxmlformats.org/officeDocument/2006/relationships/hyperlink" Target="https://drive.google.com/open?id=1oYprj8NUN7NvsyG6V8FCrflhL9t2dE9K" TargetMode="External"/><Relationship Id="rId333" Type="http://schemas.openxmlformats.org/officeDocument/2006/relationships/hyperlink" Target="https://drive.google.com/open?id=15CGWQJwQ6mTf-Al78dISqzOi18EfHcke" TargetMode="External"/><Relationship Id="rId575" Type="http://schemas.openxmlformats.org/officeDocument/2006/relationships/hyperlink" Target="https://drive.google.com/open?id=1RB4wZKtceiwzsTCGGaPZp-PcPZIk4AwL" TargetMode="External"/><Relationship Id="rId332" Type="http://schemas.openxmlformats.org/officeDocument/2006/relationships/hyperlink" Target="https://drive.google.com/open?id=14C_AxUTNtGp8_SpgP-conVS38nKV3dKJ" TargetMode="External"/><Relationship Id="rId574" Type="http://schemas.openxmlformats.org/officeDocument/2006/relationships/hyperlink" Target="https://drive.google.com/open?id=113y-xPpBzgGZ1TYD_JRbC3ahw1ds4Z3s" TargetMode="External"/><Relationship Id="rId331" Type="http://schemas.openxmlformats.org/officeDocument/2006/relationships/hyperlink" Target="https://drive.google.com/open?id=1XKB_VoyC-GmipA8XUGkXFLBSqrqkKe4D" TargetMode="External"/><Relationship Id="rId573" Type="http://schemas.openxmlformats.org/officeDocument/2006/relationships/hyperlink" Target="https://drive.google.com/open?id=1dE8lH3NVjeWCD1ppKn7xISm9wzVXwqB8" TargetMode="External"/><Relationship Id="rId370" Type="http://schemas.openxmlformats.org/officeDocument/2006/relationships/hyperlink" Target="https://drive.google.com/open?id=1-840JYPqKXchKuuxymTNQ6RvYo_K3LRe" TargetMode="External"/><Relationship Id="rId129" Type="http://schemas.openxmlformats.org/officeDocument/2006/relationships/hyperlink" Target="https://drive.google.com/open?id=1TMktY9OWToP6H9ior0veSyA-b2z7FLmd" TargetMode="External"/><Relationship Id="rId128" Type="http://schemas.openxmlformats.org/officeDocument/2006/relationships/hyperlink" Target="https://drive.google.com/open?id=183qvuNCn066h2Y7-fuw9MKkeIBw2KWp8" TargetMode="External"/><Relationship Id="rId127" Type="http://schemas.openxmlformats.org/officeDocument/2006/relationships/hyperlink" Target="https://drive.google.com/open?id=1eAG0HUV1KjDp8PPNjzBHX2gXfgJjP8yV" TargetMode="External"/><Relationship Id="rId369" Type="http://schemas.openxmlformats.org/officeDocument/2006/relationships/hyperlink" Target="https://drive.google.com/open?id=1n85fr0MAlFM7xrTuPd4GA_VgPrlr13P6" TargetMode="External"/><Relationship Id="rId126" Type="http://schemas.openxmlformats.org/officeDocument/2006/relationships/hyperlink" Target="https://drive.google.com/open?id=16eM1d6rfievTk8PU30myXVWip_0wpxSH" TargetMode="External"/><Relationship Id="rId368" Type="http://schemas.openxmlformats.org/officeDocument/2006/relationships/hyperlink" Target="https://drive.google.com/open?id=1cpWViQNpbo2-FKrjt1UaEs_qJWGh2iNk" TargetMode="External"/><Relationship Id="rId121" Type="http://schemas.openxmlformats.org/officeDocument/2006/relationships/hyperlink" Target="https://drive.google.com/open?id=1caaCrzXXRiMINk4XdFAIrcCbUNvqIy-H" TargetMode="External"/><Relationship Id="rId363" Type="http://schemas.openxmlformats.org/officeDocument/2006/relationships/hyperlink" Target="https://drive.google.com/open?id=1tBf5Q_zhnJYcQ7qzLhZjGamL5Bi6Fsa7" TargetMode="External"/><Relationship Id="rId120" Type="http://schemas.openxmlformats.org/officeDocument/2006/relationships/hyperlink" Target="https://drive.google.com/open?id=1QD0fqL7_2L6akS8rAY0G76fDOofob_Bn" TargetMode="External"/><Relationship Id="rId362" Type="http://schemas.openxmlformats.org/officeDocument/2006/relationships/hyperlink" Target="https://drive.google.com/open?id=1hG3CMZzWFD0vy9BoFnumOYfJnGeUqbrc" TargetMode="External"/><Relationship Id="rId361" Type="http://schemas.openxmlformats.org/officeDocument/2006/relationships/hyperlink" Target="https://drive.google.com/open?id=1IPoJl3fZUsqw0f84pZwMJCA4ZUGw88N-" TargetMode="External"/><Relationship Id="rId360" Type="http://schemas.openxmlformats.org/officeDocument/2006/relationships/hyperlink" Target="https://drive.google.com/open?id=12y7zJiQYcOqh_37vO3bRGn4CUeagClLb" TargetMode="External"/><Relationship Id="rId125" Type="http://schemas.openxmlformats.org/officeDocument/2006/relationships/hyperlink" Target="https://drive.google.com/open?id=1mMVmR5k7AsuIEysP8AyID_SjEhlU0-pw" TargetMode="External"/><Relationship Id="rId367" Type="http://schemas.openxmlformats.org/officeDocument/2006/relationships/hyperlink" Target="https://drive.google.com/open?id=1Uecae8-vl_lEUit1atFn2P4o6Xozexak" TargetMode="External"/><Relationship Id="rId124" Type="http://schemas.openxmlformats.org/officeDocument/2006/relationships/hyperlink" Target="https://drive.google.com/open?id=1fGuFa7QUSgsvpZl_B6lleNdNl66C0UhP" TargetMode="External"/><Relationship Id="rId366" Type="http://schemas.openxmlformats.org/officeDocument/2006/relationships/hyperlink" Target="https://drive.google.com/open?id=1pjsCqlE43XfbKv7NLaBV0tK-wUxcMQJm" TargetMode="External"/><Relationship Id="rId123" Type="http://schemas.openxmlformats.org/officeDocument/2006/relationships/hyperlink" Target="https://drive.google.com/open?id=1oNE9AC2-1x37W28oyS8W7_Rl2WBEwON8" TargetMode="External"/><Relationship Id="rId365" Type="http://schemas.openxmlformats.org/officeDocument/2006/relationships/hyperlink" Target="https://drive.google.com/open?id=1s8vhnrhrXnSFYcn9AH_SDFc1j7svhYVA" TargetMode="External"/><Relationship Id="rId122" Type="http://schemas.openxmlformats.org/officeDocument/2006/relationships/hyperlink" Target="https://drive.google.com/open?id=1LyRE7wWCiQQGLwzQRH_b-tWgasEKG2BX" TargetMode="External"/><Relationship Id="rId364" Type="http://schemas.openxmlformats.org/officeDocument/2006/relationships/hyperlink" Target="https://drive.google.com/open?id=1DzejkKymGzQvUBncU4xB5iksq4eifVw5" TargetMode="External"/><Relationship Id="rId95" Type="http://schemas.openxmlformats.org/officeDocument/2006/relationships/hyperlink" Target="https://drive.google.com/open?id=1YTNjfeHypuPqb_hCd_WA_TRah_wYpyKR" TargetMode="External"/><Relationship Id="rId94" Type="http://schemas.openxmlformats.org/officeDocument/2006/relationships/hyperlink" Target="https://drive.google.com/open?id=1jLIXn02-zi43H6tm37WCEDCLruRIyo41" TargetMode="External"/><Relationship Id="rId97" Type="http://schemas.openxmlformats.org/officeDocument/2006/relationships/hyperlink" Target="https://drive.google.com/open?id=1p5RWoPfPo-yu0LTUQltShq8YvF_18YyB" TargetMode="External"/><Relationship Id="rId96" Type="http://schemas.openxmlformats.org/officeDocument/2006/relationships/hyperlink" Target="https://drive.google.com/open?id=1_edXgP8E2rm9IUkQvRs63F2d4XwGh3os" TargetMode="External"/><Relationship Id="rId99" Type="http://schemas.openxmlformats.org/officeDocument/2006/relationships/hyperlink" Target="https://drive.google.com/open?id=1IF-ctgaAKMUKK0NT3E2in7SvOXw13aC2" TargetMode="External"/><Relationship Id="rId98" Type="http://schemas.openxmlformats.org/officeDocument/2006/relationships/hyperlink" Target="https://drive.google.com/open?id=1TFSoDPazCM_W_0od3YjaGX6lxz9gbjy1" TargetMode="External"/><Relationship Id="rId91" Type="http://schemas.openxmlformats.org/officeDocument/2006/relationships/hyperlink" Target="https://drive.google.com/open?id=1AYMov7UlQ8KstclMKoBd6EniVrTeHzJ3" TargetMode="External"/><Relationship Id="rId90" Type="http://schemas.openxmlformats.org/officeDocument/2006/relationships/hyperlink" Target="https://drive.google.com/open?id=1Rl7Yi-WsmBi3ZfLo-7OdDwDuPguVVpLm" TargetMode="External"/><Relationship Id="rId93" Type="http://schemas.openxmlformats.org/officeDocument/2006/relationships/hyperlink" Target="https://drive.google.com/open?id=1Zlw77RFu0YUqC1FIvN_yW5cAruRv7cN1" TargetMode="External"/><Relationship Id="rId92" Type="http://schemas.openxmlformats.org/officeDocument/2006/relationships/hyperlink" Target="https://drive.google.com/open?id=1zzbIqzhqzPgsUcviAYtCGvO2jWWmvxt_" TargetMode="External"/><Relationship Id="rId118" Type="http://schemas.openxmlformats.org/officeDocument/2006/relationships/hyperlink" Target="https://drive.google.com/open?id=1qr7NpbofWow5QY1KjvtyopkeUJNfPu6P" TargetMode="External"/><Relationship Id="rId117" Type="http://schemas.openxmlformats.org/officeDocument/2006/relationships/hyperlink" Target="https://drive.google.com/open?id=1OGv-WLHkZv8ZK7Gu0q34nc1QdO_ivk_p" TargetMode="External"/><Relationship Id="rId359" Type="http://schemas.openxmlformats.org/officeDocument/2006/relationships/hyperlink" Target="https://drive.google.com/open?id=1QvU9QDGH8IS0HjdVtzcRC697kKXLPpql" TargetMode="External"/><Relationship Id="rId116" Type="http://schemas.openxmlformats.org/officeDocument/2006/relationships/hyperlink" Target="https://drive.google.com/open?id=1m8HnNIrz2ZcuwsyT7BPUHGdnZl_Xedbr" TargetMode="External"/><Relationship Id="rId358" Type="http://schemas.openxmlformats.org/officeDocument/2006/relationships/hyperlink" Target="https://drive.google.com/open?id=1ovlqFZeXmtU9gMLvYqaLKyEGKg7Y0Kee" TargetMode="External"/><Relationship Id="rId115" Type="http://schemas.openxmlformats.org/officeDocument/2006/relationships/hyperlink" Target="https://drive.google.com/open?id=1eQ17v2wS-J01KUaJLAZFXnevF3yshX6L" TargetMode="External"/><Relationship Id="rId357" Type="http://schemas.openxmlformats.org/officeDocument/2006/relationships/hyperlink" Target="https://drive.google.com/open?id=15X0YEs8ksvFFviDUkwIBB-ScGRcTUiqp" TargetMode="External"/><Relationship Id="rId599" Type="http://schemas.openxmlformats.org/officeDocument/2006/relationships/hyperlink" Target="https://drive.google.com/open?id=1o7xmmYNg4mvhl_GEJhtngmdr_Zv8OMKH" TargetMode="External"/><Relationship Id="rId119" Type="http://schemas.openxmlformats.org/officeDocument/2006/relationships/hyperlink" Target="https://drive.google.com/open?id=1G8N6yCZd93kFUy5mknYOOMSGSuAomVS_" TargetMode="External"/><Relationship Id="rId110" Type="http://schemas.openxmlformats.org/officeDocument/2006/relationships/hyperlink" Target="https://drive.google.com/open?id=1qQkmHqhbiUQUATkhsdWXf5-NzGbFXxdz" TargetMode="External"/><Relationship Id="rId352" Type="http://schemas.openxmlformats.org/officeDocument/2006/relationships/hyperlink" Target="https://drive.google.com/open?id=1dx5mi545VMjo6Km8pIbrYLBmvngiBbB9" TargetMode="External"/><Relationship Id="rId594" Type="http://schemas.openxmlformats.org/officeDocument/2006/relationships/hyperlink" Target="https://drive.google.com/open?id=1h8tR2ColhUWw4yNaAjHt-v_m1oG6XpK8" TargetMode="External"/><Relationship Id="rId351" Type="http://schemas.openxmlformats.org/officeDocument/2006/relationships/hyperlink" Target="https://drive.google.com/open?id=1mzv5kSKHxgGl7EtBS2ZbncwW9IzEU2GN" TargetMode="External"/><Relationship Id="rId593" Type="http://schemas.openxmlformats.org/officeDocument/2006/relationships/hyperlink" Target="https://drive.google.com/open?id=14gli_aOqS11clAicsnGHyth_TmBjnUp9" TargetMode="External"/><Relationship Id="rId350" Type="http://schemas.openxmlformats.org/officeDocument/2006/relationships/hyperlink" Target="https://drive.google.com/open?id=1o7e-x8Os_Ot5P7ZHhostcvC_WddoH_S0" TargetMode="External"/><Relationship Id="rId592" Type="http://schemas.openxmlformats.org/officeDocument/2006/relationships/hyperlink" Target="https://drive.google.com/open?id=19EG69R3tUmUlmmSF7bJW5_xKwfPxKNQg" TargetMode="External"/><Relationship Id="rId591" Type="http://schemas.openxmlformats.org/officeDocument/2006/relationships/hyperlink" Target="https://drive.google.com/open?id=13kRdzzxXlkIFbey4p9Nuoh_DogoOrc7k" TargetMode="External"/><Relationship Id="rId114" Type="http://schemas.openxmlformats.org/officeDocument/2006/relationships/hyperlink" Target="https://drive.google.com/open?id=1NTUiNuh2s9MW7327W08OjH4xa_pjAXci" TargetMode="External"/><Relationship Id="rId356" Type="http://schemas.openxmlformats.org/officeDocument/2006/relationships/hyperlink" Target="https://drive.google.com/open?id=1N-h2uIXVw7la1OBXtlFWpa1LeBmic-Mu" TargetMode="External"/><Relationship Id="rId598" Type="http://schemas.openxmlformats.org/officeDocument/2006/relationships/hyperlink" Target="https://drive.google.com/open?id=1HjKSpn9rYube6-K1-mY0rHC_awYxPcdR" TargetMode="External"/><Relationship Id="rId113" Type="http://schemas.openxmlformats.org/officeDocument/2006/relationships/hyperlink" Target="https://drive.google.com/open?id=1guStpYdbGSl2_G2wUcnM0Rf4wpo74gvp" TargetMode="External"/><Relationship Id="rId355" Type="http://schemas.openxmlformats.org/officeDocument/2006/relationships/hyperlink" Target="https://drive.google.com/open?id=15Q22Y5YkybF7b1kJ-2VesfQvK2RCAFvZ" TargetMode="External"/><Relationship Id="rId597" Type="http://schemas.openxmlformats.org/officeDocument/2006/relationships/hyperlink" Target="https://drive.google.com/open?id=1OqeP8e1pBbDq9Bs8zeQ8u1Zuxx7jhJnS" TargetMode="External"/><Relationship Id="rId112" Type="http://schemas.openxmlformats.org/officeDocument/2006/relationships/hyperlink" Target="https://drive.google.com/open?id=1JE1IlKldL_m4E7QweTT3iGz1fACLEBxN" TargetMode="External"/><Relationship Id="rId354" Type="http://schemas.openxmlformats.org/officeDocument/2006/relationships/hyperlink" Target="https://drive.google.com/open?id=1CFxdnszaT3HnqfTkC6WJAucfrUa9IyKh" TargetMode="External"/><Relationship Id="rId596" Type="http://schemas.openxmlformats.org/officeDocument/2006/relationships/hyperlink" Target="https://drive.google.com/open?id=1mc8dTH07kXwGtrDZFYIlBq8z1HBuGBAp" TargetMode="External"/><Relationship Id="rId111" Type="http://schemas.openxmlformats.org/officeDocument/2006/relationships/hyperlink" Target="https://drive.google.com/open?id=13amOK8on-LV2Y4LdEUxrUyl_xaPJXfik" TargetMode="External"/><Relationship Id="rId353" Type="http://schemas.openxmlformats.org/officeDocument/2006/relationships/hyperlink" Target="https://drive.google.com/open?id=1Rz_2QAa4NXLqLKVMXSwhmWsBB0A-bmQs" TargetMode="External"/><Relationship Id="rId595" Type="http://schemas.openxmlformats.org/officeDocument/2006/relationships/hyperlink" Target="https://drive.google.com/open?id=1p2QupHBtkgHhWQvuA6jJXPMPBSG7nwiQ" TargetMode="External"/><Relationship Id="rId305" Type="http://schemas.openxmlformats.org/officeDocument/2006/relationships/hyperlink" Target="https://drive.google.com/open?id=1O6lvatLMloXDQkxql0NqOp3wwCF0cNCv" TargetMode="External"/><Relationship Id="rId547" Type="http://schemas.openxmlformats.org/officeDocument/2006/relationships/hyperlink" Target="https://drive.google.com/open?id=1xw57fSztavtgLx9Dgcr6bsOvW8mq0jjY" TargetMode="External"/><Relationship Id="rId789" Type="http://schemas.openxmlformats.org/officeDocument/2006/relationships/hyperlink" Target="https://drive.google.com/open?id=1XZ_8VGZhQt2npEC3RqQ3Abjs4FW7C6tJ" TargetMode="External"/><Relationship Id="rId304" Type="http://schemas.openxmlformats.org/officeDocument/2006/relationships/hyperlink" Target="https://drive.google.com/open?id=14qb1xR-NEImtbbZ5z8fAnKbN53S2yrVc" TargetMode="External"/><Relationship Id="rId546" Type="http://schemas.openxmlformats.org/officeDocument/2006/relationships/hyperlink" Target="https://drive.google.com/open?id=15HQxwKc_VrqGrHEr5jAVNekZWNo6Gz2j" TargetMode="External"/><Relationship Id="rId788" Type="http://schemas.openxmlformats.org/officeDocument/2006/relationships/hyperlink" Target="https://drive.google.com/open?id=1n8JqZA7i99SaT8eqi-MyYX4iVnESsjRj" TargetMode="External"/><Relationship Id="rId303" Type="http://schemas.openxmlformats.org/officeDocument/2006/relationships/hyperlink" Target="https://drive.google.com/open?id=1Qj82hBaoXFEYR19rfXQ44YwwiPx6XW2L" TargetMode="External"/><Relationship Id="rId545" Type="http://schemas.openxmlformats.org/officeDocument/2006/relationships/hyperlink" Target="https://drive.google.com/open?id=1Ax6Nk0ar8WAeT7gDSdyatkKzxRmRWY99" TargetMode="External"/><Relationship Id="rId787" Type="http://schemas.openxmlformats.org/officeDocument/2006/relationships/hyperlink" Target="https://drive.google.com/open?id=1vyYLxsGj0QBfOjiWh_MkkM7FAzM34HGE" TargetMode="External"/><Relationship Id="rId302" Type="http://schemas.openxmlformats.org/officeDocument/2006/relationships/hyperlink" Target="https://drive.google.com/open?id=1-_ZJCFeY23heP8IftLTg9rLlAagtX2uh" TargetMode="External"/><Relationship Id="rId544" Type="http://schemas.openxmlformats.org/officeDocument/2006/relationships/hyperlink" Target="https://drive.google.com/open?id=1S07stAhzfzKq8kQyujm5ien2V2RpUGtB" TargetMode="External"/><Relationship Id="rId786" Type="http://schemas.openxmlformats.org/officeDocument/2006/relationships/hyperlink" Target="https://drive.google.com/open?id=1P8uMGBUmxkYMopyrFSf87Dc3ul69k58A" TargetMode="External"/><Relationship Id="rId309" Type="http://schemas.openxmlformats.org/officeDocument/2006/relationships/hyperlink" Target="https://drive.google.com/open?id=1Evesqrx7AiQczNP74yCyEe1s6XvP7lZu" TargetMode="External"/><Relationship Id="rId308" Type="http://schemas.openxmlformats.org/officeDocument/2006/relationships/hyperlink" Target="https://drive.google.com/open?id=12EtovZpLCIqFhv21F0nbYziDCLMJG0pt" TargetMode="External"/><Relationship Id="rId307" Type="http://schemas.openxmlformats.org/officeDocument/2006/relationships/hyperlink" Target="https://drive.google.com/open?id=1dvntQh7LqSRiSFsYfpS-KGx9lKlXT0fz" TargetMode="External"/><Relationship Id="rId549" Type="http://schemas.openxmlformats.org/officeDocument/2006/relationships/hyperlink" Target="https://drive.google.com/open?id=11ubY1DYJAizraaGoAKgby2kLvW0HYApe" TargetMode="External"/><Relationship Id="rId306" Type="http://schemas.openxmlformats.org/officeDocument/2006/relationships/hyperlink" Target="https://drive.google.com/open?id=1HvGsS0W3dDgdU5XUufd1PsmM37rbmrNx" TargetMode="External"/><Relationship Id="rId548" Type="http://schemas.openxmlformats.org/officeDocument/2006/relationships/hyperlink" Target="https://drive.google.com/open?id=1JyXwVbwZAMCqTbeb0vM4pYOaza1wuyNn" TargetMode="External"/><Relationship Id="rId781" Type="http://schemas.openxmlformats.org/officeDocument/2006/relationships/hyperlink" Target="https://drive.google.com/open?id=1MeTo_WpExsK84h6O8Gj6Cl9oOEwYU6AC" TargetMode="External"/><Relationship Id="rId780" Type="http://schemas.openxmlformats.org/officeDocument/2006/relationships/hyperlink" Target="https://drive.google.com/open?id=1SRQpy6rK0fJ7dklZVbm2d41BKJrPz1NQ" TargetMode="External"/><Relationship Id="rId301" Type="http://schemas.openxmlformats.org/officeDocument/2006/relationships/hyperlink" Target="https://drive.google.com/open?id=1eWRfPR9iOewjNj9SW6GqP4OFduGJSz5q" TargetMode="External"/><Relationship Id="rId543" Type="http://schemas.openxmlformats.org/officeDocument/2006/relationships/hyperlink" Target="https://drive.google.com/open?id=1HDxHIefEjd41qGj9RDiN6TWth9s3vPCC" TargetMode="External"/><Relationship Id="rId785" Type="http://schemas.openxmlformats.org/officeDocument/2006/relationships/hyperlink" Target="https://drive.google.com/open?id=1DHEoTvoMjHRhJFckj83Gb6-nb4bSKld3" TargetMode="External"/><Relationship Id="rId300" Type="http://schemas.openxmlformats.org/officeDocument/2006/relationships/hyperlink" Target="https://drive.google.com/open?id=1SAEAVTMN10tgGePZ9n4pEKioF6dwEIMR" TargetMode="External"/><Relationship Id="rId542" Type="http://schemas.openxmlformats.org/officeDocument/2006/relationships/hyperlink" Target="https://drive.google.com/open?id=1bWs-_H92O1LYCnYRl_GJP3q1AR4RciLp" TargetMode="External"/><Relationship Id="rId784" Type="http://schemas.openxmlformats.org/officeDocument/2006/relationships/hyperlink" Target="https://drive.google.com/open?id=1GAIY8QsHnGbDnaxCODxH5Z-ZcYzWuCtV" TargetMode="External"/><Relationship Id="rId541" Type="http://schemas.openxmlformats.org/officeDocument/2006/relationships/hyperlink" Target="https://drive.google.com/open?id=1nyr0tsXTYfVyx7NwqLxIQryr0DQAR6wN" TargetMode="External"/><Relationship Id="rId783" Type="http://schemas.openxmlformats.org/officeDocument/2006/relationships/hyperlink" Target="https://drive.google.com/open?id=1ou-onoK6xgO8orZAA1Jxkwsx33wH9qg5" TargetMode="External"/><Relationship Id="rId540" Type="http://schemas.openxmlformats.org/officeDocument/2006/relationships/hyperlink" Target="https://drive.google.com/open?id=1_mD6iY7px6wUzpmITGVXF1TN4Lj-qR4s" TargetMode="External"/><Relationship Id="rId782" Type="http://schemas.openxmlformats.org/officeDocument/2006/relationships/hyperlink" Target="https://drive.google.com/open?id=18lzqegVcoMI0FW3mBNpoSMG2TYsBP7pK" TargetMode="External"/><Relationship Id="rId536" Type="http://schemas.openxmlformats.org/officeDocument/2006/relationships/hyperlink" Target="https://drive.google.com/open?id=1BGenb-JcVqngPJvBy-UpVGs5gZuhRWzY" TargetMode="External"/><Relationship Id="rId778" Type="http://schemas.openxmlformats.org/officeDocument/2006/relationships/hyperlink" Target="https://drive.google.com/open?id=1wXkNyUkve8Obo3vhjSeHsrpnXdEpGlRS" TargetMode="External"/><Relationship Id="rId535" Type="http://schemas.openxmlformats.org/officeDocument/2006/relationships/hyperlink" Target="https://drive.google.com/open?id=14SwtCGn7A9JLb1A1-ITdNv3LuYsR3rO8" TargetMode="External"/><Relationship Id="rId777" Type="http://schemas.openxmlformats.org/officeDocument/2006/relationships/hyperlink" Target="https://drive.google.com/open?id=1DqwNoX70s4h16G4jUGM_FTek3u6XBLzj" TargetMode="External"/><Relationship Id="rId534" Type="http://schemas.openxmlformats.org/officeDocument/2006/relationships/hyperlink" Target="https://drive.google.com/open?id=1UUcpr8M9XaC-XiMMdUUksgVc32_GyyND" TargetMode="External"/><Relationship Id="rId776" Type="http://schemas.openxmlformats.org/officeDocument/2006/relationships/hyperlink" Target="https://drive.google.com/open?id=1WYG86wfBR9UgPawYhQADlzArQJDuvyUW" TargetMode="External"/><Relationship Id="rId533" Type="http://schemas.openxmlformats.org/officeDocument/2006/relationships/hyperlink" Target="https://drive.google.com/open?id=12-U2tMsbFuN_pUCd_IEzDeJw2_Th0RJy" TargetMode="External"/><Relationship Id="rId775" Type="http://schemas.openxmlformats.org/officeDocument/2006/relationships/hyperlink" Target="https://drive.google.com/open?id=162onwtgA6iOA01j-LDSdvISf6D1i1ZUi" TargetMode="External"/><Relationship Id="rId539" Type="http://schemas.openxmlformats.org/officeDocument/2006/relationships/hyperlink" Target="https://drive.google.com/open?id=1QxWN-Ou377o92lOz97K9trUhR7wOPwIA" TargetMode="External"/><Relationship Id="rId538" Type="http://schemas.openxmlformats.org/officeDocument/2006/relationships/hyperlink" Target="https://drive.google.com/open?id=1MFeLR_KA-7ntF_g50hXg882wARtWGE3a" TargetMode="External"/><Relationship Id="rId537" Type="http://schemas.openxmlformats.org/officeDocument/2006/relationships/hyperlink" Target="https://drive.google.com/open?id=1niWphIE-WQBoXR2W9ycMRv1yB8TKsDBV" TargetMode="External"/><Relationship Id="rId779" Type="http://schemas.openxmlformats.org/officeDocument/2006/relationships/hyperlink" Target="https://drive.google.com/open?id=10Cjv-KqCPeaKFunFK-1ZmJx7z9LCNicE" TargetMode="External"/><Relationship Id="rId770" Type="http://schemas.openxmlformats.org/officeDocument/2006/relationships/hyperlink" Target="https://drive.google.com/open?id=1RFV7oi73XMLzJFlXJIcFH_yMhj6Q1urw" TargetMode="External"/><Relationship Id="rId532" Type="http://schemas.openxmlformats.org/officeDocument/2006/relationships/hyperlink" Target="https://drive.google.com/open?id=1a3FIoGdmKl1KvsghLvM0L2NB6OxjnwPD" TargetMode="External"/><Relationship Id="rId774" Type="http://schemas.openxmlformats.org/officeDocument/2006/relationships/hyperlink" Target="https://drive.google.com/open?id=1EocvOn0B0Df1A1qoGBovVDdkgjMol83H" TargetMode="External"/><Relationship Id="rId531" Type="http://schemas.openxmlformats.org/officeDocument/2006/relationships/hyperlink" Target="https://drive.google.com/open?id=1TYaValzpMyqNPeK9Z1kI3NpPRj1qytBV" TargetMode="External"/><Relationship Id="rId773" Type="http://schemas.openxmlformats.org/officeDocument/2006/relationships/hyperlink" Target="https://drive.google.com/open?id=1bQCKFlXmumKIsE2THncrGC4fwDIljit-" TargetMode="External"/><Relationship Id="rId530" Type="http://schemas.openxmlformats.org/officeDocument/2006/relationships/hyperlink" Target="https://drive.google.com/open?id=1w3Bdop60-zFYwOdMBLI9k0JlYp9UJQ0T" TargetMode="External"/><Relationship Id="rId772" Type="http://schemas.openxmlformats.org/officeDocument/2006/relationships/hyperlink" Target="https://drive.google.com/open?id=11wOUATX9nee-G64TR6ugyfF7RVIu7Ism" TargetMode="External"/><Relationship Id="rId771" Type="http://schemas.openxmlformats.org/officeDocument/2006/relationships/hyperlink" Target="https://drive.google.com/open?id=156GYO9KoUw01EuoTnh2RUFyu5qm5EFI3" TargetMode="External"/><Relationship Id="rId327" Type="http://schemas.openxmlformats.org/officeDocument/2006/relationships/hyperlink" Target="https://drive.google.com/open?id=1se4zWtifWkTa0YF5Dvep6FbqOk51UMj5" TargetMode="External"/><Relationship Id="rId569" Type="http://schemas.openxmlformats.org/officeDocument/2006/relationships/hyperlink" Target="https://drive.google.com/open?id=16kUY1Rz6EGm11x0TR42EuAzng7P8h8X7" TargetMode="External"/><Relationship Id="rId326" Type="http://schemas.openxmlformats.org/officeDocument/2006/relationships/hyperlink" Target="https://drive.google.com/open?id=1Diylgo5kk3so3WuqXdUlFBLmltdcIPtm" TargetMode="External"/><Relationship Id="rId568" Type="http://schemas.openxmlformats.org/officeDocument/2006/relationships/hyperlink" Target="https://drive.google.com/open?id=1qHR0RrLQmd4y9pbPRH4Q2OJuPRaVYP9A" TargetMode="External"/><Relationship Id="rId325" Type="http://schemas.openxmlformats.org/officeDocument/2006/relationships/hyperlink" Target="https://drive.google.com/open?id=1HUX0JI5eYAEaI3ssmALl08_qdBwaVGYh" TargetMode="External"/><Relationship Id="rId567" Type="http://schemas.openxmlformats.org/officeDocument/2006/relationships/hyperlink" Target="https://drive.google.com/open?id=1Jftt33LL2lxSaS7UQtEzrwd9CafCJ8rw" TargetMode="External"/><Relationship Id="rId324" Type="http://schemas.openxmlformats.org/officeDocument/2006/relationships/hyperlink" Target="https://drive.google.com/open?id=1xIxA9uD6dPxDkTJeEcASi_EDKirKX7DC" TargetMode="External"/><Relationship Id="rId566" Type="http://schemas.openxmlformats.org/officeDocument/2006/relationships/hyperlink" Target="https://drive.google.com/open?id=10Bxe9ISLZ2bxaSxh8u6QXhkeQv7S92Z3" TargetMode="External"/><Relationship Id="rId329" Type="http://schemas.openxmlformats.org/officeDocument/2006/relationships/hyperlink" Target="https://drive.google.com/open?id=1fpgQzZMGSbAFh-HqFvdbrtCgOFyQcpZW" TargetMode="External"/><Relationship Id="rId328" Type="http://schemas.openxmlformats.org/officeDocument/2006/relationships/hyperlink" Target="https://drive.google.com/open?id=1nsfFL7zzfGxz_HWCC9AmbMFwQ6maScEO" TargetMode="External"/><Relationship Id="rId561" Type="http://schemas.openxmlformats.org/officeDocument/2006/relationships/hyperlink" Target="https://drive.google.com/open?id=1YUNwGRSvA-6iJ5npKyBFrmOE4WGAHAsm" TargetMode="External"/><Relationship Id="rId560" Type="http://schemas.openxmlformats.org/officeDocument/2006/relationships/hyperlink" Target="https://drive.google.com/open?id=1ueFEKxbaXyZq806nWGKmiMCG-NbctNVM" TargetMode="External"/><Relationship Id="rId323" Type="http://schemas.openxmlformats.org/officeDocument/2006/relationships/hyperlink" Target="https://drive.google.com/open?id=137TjlUsb5_8woRW5hEz08iuFVzWYPJTq" TargetMode="External"/><Relationship Id="rId565" Type="http://schemas.openxmlformats.org/officeDocument/2006/relationships/hyperlink" Target="https://drive.google.com/open?id=1iObvrNXSOXWv84Q3HSFExQbLmqfE5K2d" TargetMode="External"/><Relationship Id="rId322" Type="http://schemas.openxmlformats.org/officeDocument/2006/relationships/hyperlink" Target="https://drive.google.com/open?id=1IDUjXL5kdVfnZyQVfLRbprv7h9o0-TDk" TargetMode="External"/><Relationship Id="rId564" Type="http://schemas.openxmlformats.org/officeDocument/2006/relationships/hyperlink" Target="https://drive.google.com/open?id=1F4KX9KpmMCrnKfs2MCTXCNEiPERe9T5h" TargetMode="External"/><Relationship Id="rId321" Type="http://schemas.openxmlformats.org/officeDocument/2006/relationships/hyperlink" Target="https://drive.google.com/open?id=1INHJLwbQkwpMyJBPaxp_QG8p4w_P99MJ" TargetMode="External"/><Relationship Id="rId563" Type="http://schemas.openxmlformats.org/officeDocument/2006/relationships/hyperlink" Target="https://drive.google.com/open?id=1wB1Ssl70qayc4tOUAiJWJvhIxgnzSwjd" TargetMode="External"/><Relationship Id="rId320" Type="http://schemas.openxmlformats.org/officeDocument/2006/relationships/hyperlink" Target="https://drive.google.com/open?id=1WfjGDy1sd3N803vy_CWalc4HRDYgpdZU" TargetMode="External"/><Relationship Id="rId562" Type="http://schemas.openxmlformats.org/officeDocument/2006/relationships/hyperlink" Target="https://drive.google.com/open?id=1SXX6JqM5euz_CkqB9aUH-AtYM6PT_A-A" TargetMode="External"/><Relationship Id="rId316" Type="http://schemas.openxmlformats.org/officeDocument/2006/relationships/hyperlink" Target="https://drive.google.com/open?id=1mm2TmQ1p4_yvezmMQGSKk_vgnaABBYan" TargetMode="External"/><Relationship Id="rId558" Type="http://schemas.openxmlformats.org/officeDocument/2006/relationships/hyperlink" Target="https://drive.google.com/open?id=1SVe6G4aFt3NcaYLi1OKR2momewMqZuSY" TargetMode="External"/><Relationship Id="rId315" Type="http://schemas.openxmlformats.org/officeDocument/2006/relationships/hyperlink" Target="https://drive.google.com/open?id=15pCLEtcCQxV8YhK7rEktqA8M2Mz8EfXQ" TargetMode="External"/><Relationship Id="rId557" Type="http://schemas.openxmlformats.org/officeDocument/2006/relationships/hyperlink" Target="https://drive.google.com/open?id=1cNqVAZcL_ehvfpVgWCaO5G9rH5h2Y2_u" TargetMode="External"/><Relationship Id="rId799" Type="http://schemas.openxmlformats.org/officeDocument/2006/relationships/hyperlink" Target="https://drive.google.com/open?id=10jkJAqVb4FFyreXDAnZ61MpQ8kvUNeDS" TargetMode="External"/><Relationship Id="rId314" Type="http://schemas.openxmlformats.org/officeDocument/2006/relationships/hyperlink" Target="https://drive.google.com/open?id=1ACXrjWMWKBNkr88byUddhJccciAdbcEw" TargetMode="External"/><Relationship Id="rId556" Type="http://schemas.openxmlformats.org/officeDocument/2006/relationships/hyperlink" Target="https://drive.google.com/open?id=1_FwlmDhG5JJlbrfLG54TSeq6Hc-nr1zd" TargetMode="External"/><Relationship Id="rId798" Type="http://schemas.openxmlformats.org/officeDocument/2006/relationships/hyperlink" Target="https://drive.google.com/open?id=1GWrY4JLXNg7iOPRt0NJ69E01T9BHIqQI" TargetMode="External"/><Relationship Id="rId313" Type="http://schemas.openxmlformats.org/officeDocument/2006/relationships/hyperlink" Target="https://drive.google.com/open?id=1irlxDTOxZRHSPBWVtqDIoP7VLJYm7hCq" TargetMode="External"/><Relationship Id="rId555" Type="http://schemas.openxmlformats.org/officeDocument/2006/relationships/hyperlink" Target="https://drive.google.com/open?id=1kUqzapabLSJGcKznsdjouE90yLcC2AR8" TargetMode="External"/><Relationship Id="rId797" Type="http://schemas.openxmlformats.org/officeDocument/2006/relationships/hyperlink" Target="https://drive.google.com/open?id=1PtUaOASl5pvZ_J80lEOb9tK0-1M0zruu" TargetMode="External"/><Relationship Id="rId319" Type="http://schemas.openxmlformats.org/officeDocument/2006/relationships/hyperlink" Target="https://drive.google.com/open?id=1wpW6wCnD6sfbA94A1Nc64CfTHEZa3L3K" TargetMode="External"/><Relationship Id="rId318" Type="http://schemas.openxmlformats.org/officeDocument/2006/relationships/hyperlink" Target="https://drive.google.com/open?id=1N9lEVgqglqw9FanVWR_qdpcrYfK4sZCz" TargetMode="External"/><Relationship Id="rId317" Type="http://schemas.openxmlformats.org/officeDocument/2006/relationships/hyperlink" Target="https://drive.google.com/open?id=11gNmEXF8dVv8gD_tre6fkxFYaeqqFjAx" TargetMode="External"/><Relationship Id="rId559" Type="http://schemas.openxmlformats.org/officeDocument/2006/relationships/hyperlink" Target="https://drive.google.com/open?id=1z4mlsdj2RxjIUsaKPg1TV5E4TbkuXlZN" TargetMode="External"/><Relationship Id="rId550" Type="http://schemas.openxmlformats.org/officeDocument/2006/relationships/hyperlink" Target="https://drive.google.com/open?id=1BQkHa_b_Df0Ff2oWKCURfgisceY1smis" TargetMode="External"/><Relationship Id="rId792" Type="http://schemas.openxmlformats.org/officeDocument/2006/relationships/hyperlink" Target="https://drive.google.com/open?id=1K4TNnxtt6f9L5BE5OdVo1s9XDKBnssuV" TargetMode="External"/><Relationship Id="rId791" Type="http://schemas.openxmlformats.org/officeDocument/2006/relationships/hyperlink" Target="https://drive.google.com/open?id=12j7uUW0EVg1hzIE8vnh4g5mYfPCgHRZ_" TargetMode="External"/><Relationship Id="rId790" Type="http://schemas.openxmlformats.org/officeDocument/2006/relationships/hyperlink" Target="https://drive.google.com/open?id=10TmWL8CGnS8T9nfHjT9mJbuZdebLmpzm" TargetMode="External"/><Relationship Id="rId312" Type="http://schemas.openxmlformats.org/officeDocument/2006/relationships/hyperlink" Target="https://drive.google.com/open?id=1k9xoxnD1IMVYsebJeGLPT5woZcE8Y6Gq" TargetMode="External"/><Relationship Id="rId554" Type="http://schemas.openxmlformats.org/officeDocument/2006/relationships/hyperlink" Target="https://drive.google.com/open?id=1b493jVJ7yJFDn0bI_Nwzg5Cs7opgdf1G" TargetMode="External"/><Relationship Id="rId796" Type="http://schemas.openxmlformats.org/officeDocument/2006/relationships/hyperlink" Target="https://drive.google.com/open?id=1BHllumYVbKbfVr4keKKZ58dDBExDmtel" TargetMode="External"/><Relationship Id="rId311" Type="http://schemas.openxmlformats.org/officeDocument/2006/relationships/hyperlink" Target="https://drive.google.com/open?id=1PoQUUrfgKvJhTsfAKjc7V-2S7Ot5SDuL" TargetMode="External"/><Relationship Id="rId553" Type="http://schemas.openxmlformats.org/officeDocument/2006/relationships/hyperlink" Target="https://drive.google.com/open?id=1qeI_r4dxuIS04KzscuuZ1KWF7EIsaYum" TargetMode="External"/><Relationship Id="rId795" Type="http://schemas.openxmlformats.org/officeDocument/2006/relationships/hyperlink" Target="https://drive.google.com/open?id=1nJJhENTWEm9sbYAkhYUxShgRY2qn-f4Q" TargetMode="External"/><Relationship Id="rId310" Type="http://schemas.openxmlformats.org/officeDocument/2006/relationships/hyperlink" Target="https://drive.google.com/open?id=1_N1Suct6XBYJfih1xChfuMyxkuV2BxyO" TargetMode="External"/><Relationship Id="rId552" Type="http://schemas.openxmlformats.org/officeDocument/2006/relationships/hyperlink" Target="https://drive.google.com/open?id=1wSJt3QDa3O50vo27opFedv578gJsRYAg" TargetMode="External"/><Relationship Id="rId794" Type="http://schemas.openxmlformats.org/officeDocument/2006/relationships/hyperlink" Target="https://drive.google.com/open?id=1SqS3LZnlQOQb1rcIi-1xbl5OES-ibztq" TargetMode="External"/><Relationship Id="rId551" Type="http://schemas.openxmlformats.org/officeDocument/2006/relationships/hyperlink" Target="https://drive.google.com/open?id=1e2HR6NkslCqRKd1eay4338NybtmstAas" TargetMode="External"/><Relationship Id="rId793" Type="http://schemas.openxmlformats.org/officeDocument/2006/relationships/hyperlink" Target="https://drive.google.com/open?id=1K-6AYbxHlCTe5Ps45M1KTe5uLQCJK7Qy" TargetMode="External"/><Relationship Id="rId297" Type="http://schemas.openxmlformats.org/officeDocument/2006/relationships/hyperlink" Target="https://drive.google.com/open?id=18iUqGb4LMs6NoDlyLN8yR_3IQbsoariy" TargetMode="External"/><Relationship Id="rId296" Type="http://schemas.openxmlformats.org/officeDocument/2006/relationships/hyperlink" Target="https://drive.google.com/open?id=1RWCHT7Njnt3RUJxPUaqACYiTKyh0fZ14" TargetMode="External"/><Relationship Id="rId295" Type="http://schemas.openxmlformats.org/officeDocument/2006/relationships/hyperlink" Target="https://drive.google.com/open?id=1lXY-UWsyc_mVpeph0aZqxvJ55a8WpW4x" TargetMode="External"/><Relationship Id="rId294" Type="http://schemas.openxmlformats.org/officeDocument/2006/relationships/hyperlink" Target="https://drive.google.com/open?id=1U20idE61FFEVTkkHa4TYkNUv-fb3RJ_x" TargetMode="External"/><Relationship Id="rId299" Type="http://schemas.openxmlformats.org/officeDocument/2006/relationships/hyperlink" Target="https://drive.google.com/open?id=1HxVlCgqKU70TWdVXFg5Xu7cp7UShfPNl" TargetMode="External"/><Relationship Id="rId298" Type="http://schemas.openxmlformats.org/officeDocument/2006/relationships/hyperlink" Target="https://drive.google.com/open?id=1ja2CXwF0Xoy4cA80pscWxvoAdRf5ys58" TargetMode="External"/><Relationship Id="rId271" Type="http://schemas.openxmlformats.org/officeDocument/2006/relationships/hyperlink" Target="https://drive.google.com/open?id=1ZBPgotRb_YYCspoBpVgzWeT3F-Rj3FnQ" TargetMode="External"/><Relationship Id="rId270" Type="http://schemas.openxmlformats.org/officeDocument/2006/relationships/hyperlink" Target="https://drive.google.com/open?id=1JUNCgH86kFfKBiShx-ykoa077m7umXEn" TargetMode="External"/><Relationship Id="rId269" Type="http://schemas.openxmlformats.org/officeDocument/2006/relationships/hyperlink" Target="https://drive.google.com/open?id=1wzOlFxjKvghDojdBEzmee8TWxiD1uVTS" TargetMode="External"/><Relationship Id="rId264" Type="http://schemas.openxmlformats.org/officeDocument/2006/relationships/hyperlink" Target="https://drive.google.com/open?id=1w6zblTioweQHoTBRvC3VZFwUAKV7i0VA" TargetMode="External"/><Relationship Id="rId263" Type="http://schemas.openxmlformats.org/officeDocument/2006/relationships/hyperlink" Target="https://drive.google.com/open?id=1wjMb0Cqgqz73abJXVrHwspt2gqqoPJjX" TargetMode="External"/><Relationship Id="rId262" Type="http://schemas.openxmlformats.org/officeDocument/2006/relationships/hyperlink" Target="https://drive.google.com/open?id=1nU5QzmZf1oUPePcvqktMAsIgNIF0Gc_9" TargetMode="External"/><Relationship Id="rId261" Type="http://schemas.openxmlformats.org/officeDocument/2006/relationships/hyperlink" Target="https://drive.google.com/open?id=1q4TRJtQVPmjFoPUgpTiwyI-aUTQdvZ0h" TargetMode="External"/><Relationship Id="rId268" Type="http://schemas.openxmlformats.org/officeDocument/2006/relationships/hyperlink" Target="https://drive.google.com/open?id=1DlqSQIQBLn5IrDZ_I5y19ca2uEOV23Zy" TargetMode="External"/><Relationship Id="rId267" Type="http://schemas.openxmlformats.org/officeDocument/2006/relationships/hyperlink" Target="https://drive.google.com/open?id=1lHVgOghtea3mnzOPGGsiHCN01r6Ggn-E" TargetMode="External"/><Relationship Id="rId266" Type="http://schemas.openxmlformats.org/officeDocument/2006/relationships/hyperlink" Target="https://drive.google.com/open?id=1AqhMIaCU0uZD6KE2jA1ZgDCdFsI4mVDo" TargetMode="External"/><Relationship Id="rId265" Type="http://schemas.openxmlformats.org/officeDocument/2006/relationships/hyperlink" Target="https://drive.google.com/open?id=1uNZWMRgz-oYzx08p5WvSYQvqUzKY3g0G" TargetMode="External"/><Relationship Id="rId260" Type="http://schemas.openxmlformats.org/officeDocument/2006/relationships/hyperlink" Target="https://drive.google.com/open?id=17YzszuZdWO5yVGQSGY2JvXYOGeClut84" TargetMode="External"/><Relationship Id="rId259" Type="http://schemas.openxmlformats.org/officeDocument/2006/relationships/hyperlink" Target="https://drive.google.com/open?id=10MZIMx08demRXtDruYo8sdsVKCrHvgKk" TargetMode="External"/><Relationship Id="rId258" Type="http://schemas.openxmlformats.org/officeDocument/2006/relationships/hyperlink" Target="https://drive.google.com/open?id=1yArYFi4DRWNLcFSr8ZftxUHJOZ3tAQFE" TargetMode="External"/><Relationship Id="rId253" Type="http://schemas.openxmlformats.org/officeDocument/2006/relationships/hyperlink" Target="https://drive.google.com/open?id=1F1cgL1ehdExLYoRSmabRvkGSD31IIP8J" TargetMode="External"/><Relationship Id="rId495" Type="http://schemas.openxmlformats.org/officeDocument/2006/relationships/hyperlink" Target="https://drive.google.com/open?id=1YgRSuhmKDySc8HiXzVaWuaAP3QuT0OJF" TargetMode="External"/><Relationship Id="rId252" Type="http://schemas.openxmlformats.org/officeDocument/2006/relationships/hyperlink" Target="https://drive.google.com/open?id=1CggBnF5iMeHtGGyhcs0N4UW0sdjsU_rd" TargetMode="External"/><Relationship Id="rId494" Type="http://schemas.openxmlformats.org/officeDocument/2006/relationships/hyperlink" Target="https://drive.google.com/open?id=1jpUVNNkA9_uigmjb4yBnxRV5ffO-OUF6" TargetMode="External"/><Relationship Id="rId251" Type="http://schemas.openxmlformats.org/officeDocument/2006/relationships/hyperlink" Target="https://drive.google.com/open?id=1zB4KJYrVZRmHwk3L95vIEzgIxq7UjTcW" TargetMode="External"/><Relationship Id="rId493" Type="http://schemas.openxmlformats.org/officeDocument/2006/relationships/hyperlink" Target="https://drive.google.com/open?id=1aAlB8QvRai2uJbhu1HMaWeGifwNRMdp1" TargetMode="External"/><Relationship Id="rId250" Type="http://schemas.openxmlformats.org/officeDocument/2006/relationships/hyperlink" Target="https://drive.google.com/open?id=1jVRHNBh0lED7uHISFHmwDeDcWe8VkrZA" TargetMode="External"/><Relationship Id="rId492" Type="http://schemas.openxmlformats.org/officeDocument/2006/relationships/hyperlink" Target="https://drive.google.com/open?id=1CICLkvqJg7w6mVq8KzbdP6C8YNWnkPEp" TargetMode="External"/><Relationship Id="rId257" Type="http://schemas.openxmlformats.org/officeDocument/2006/relationships/hyperlink" Target="https://drive.google.com/open?id=1XvduEJjq8fTu2i7Bwaf4Vm8vXp01Wvys" TargetMode="External"/><Relationship Id="rId499" Type="http://schemas.openxmlformats.org/officeDocument/2006/relationships/hyperlink" Target="https://drive.google.com/open?id=1I4GMFhKstWeDXmGn1OcAhcc8-GDLiHi1" TargetMode="External"/><Relationship Id="rId256" Type="http://schemas.openxmlformats.org/officeDocument/2006/relationships/hyperlink" Target="https://drive.google.com/open?id=1wziRkNa8fC2Ao2bvucYvel8MRCuuRanE" TargetMode="External"/><Relationship Id="rId498" Type="http://schemas.openxmlformats.org/officeDocument/2006/relationships/hyperlink" Target="https://drive.google.com/open?id=1Vbr1Xhu4L8l_V8HpQ1KsttjgMfpr0iXr" TargetMode="External"/><Relationship Id="rId255" Type="http://schemas.openxmlformats.org/officeDocument/2006/relationships/hyperlink" Target="https://drive.google.com/open?id=1puJKQ3YlDZMTQ1m8MAxbAiXarNMfXGVJ" TargetMode="External"/><Relationship Id="rId497" Type="http://schemas.openxmlformats.org/officeDocument/2006/relationships/hyperlink" Target="https://drive.google.com/open?id=1b7MwjIkaiJfy0fJfoiT_DxvOiixEfsLY" TargetMode="External"/><Relationship Id="rId254" Type="http://schemas.openxmlformats.org/officeDocument/2006/relationships/hyperlink" Target="https://drive.google.com/open?id=1M73I489IK6uM3jWYtDU6901iFOW8h7nh" TargetMode="External"/><Relationship Id="rId496" Type="http://schemas.openxmlformats.org/officeDocument/2006/relationships/hyperlink" Target="https://drive.google.com/open?id=17N5BlMcQ5JDksX-0nk-pTeaQEov5KRDD" TargetMode="External"/><Relationship Id="rId293" Type="http://schemas.openxmlformats.org/officeDocument/2006/relationships/hyperlink" Target="https://drive.google.com/open?id=12qlhY8FGtf7kmvX6QeQ6h6-JYWQE_MAB" TargetMode="External"/><Relationship Id="rId292" Type="http://schemas.openxmlformats.org/officeDocument/2006/relationships/hyperlink" Target="https://drive.google.com/open?id=17UFjEoykO9mbggsIgThCaiTddtM9zXOH" TargetMode="External"/><Relationship Id="rId291" Type="http://schemas.openxmlformats.org/officeDocument/2006/relationships/hyperlink" Target="https://drive.google.com/open?id=16ksOX3HLKLVcGbcTceqsV30BdGb4gul9" TargetMode="External"/><Relationship Id="rId290" Type="http://schemas.openxmlformats.org/officeDocument/2006/relationships/hyperlink" Target="https://drive.google.com/open?id=1XZqJB3kEWgVox4tv0rumJcHTeb5RAeM6" TargetMode="External"/><Relationship Id="rId286" Type="http://schemas.openxmlformats.org/officeDocument/2006/relationships/hyperlink" Target="https://drive.google.com/open?id=1db_vkYKEyLREN7Zw0Bu85Zb5XXcoOHsU" TargetMode="External"/><Relationship Id="rId285" Type="http://schemas.openxmlformats.org/officeDocument/2006/relationships/hyperlink" Target="https://drive.google.com/open?id=1F0bNucr05vygTNPp1PVT_KTT2_T_tzQJ" TargetMode="External"/><Relationship Id="rId284" Type="http://schemas.openxmlformats.org/officeDocument/2006/relationships/hyperlink" Target="https://drive.google.com/open?id=1HUioZ_tRThPnPB-pouio8_TQKuVi9gYW" TargetMode="External"/><Relationship Id="rId283" Type="http://schemas.openxmlformats.org/officeDocument/2006/relationships/hyperlink" Target="https://drive.google.com/open?id=1cRfz72AUKntNFx2rC3J3_yoLFyf5mbyy" TargetMode="External"/><Relationship Id="rId289" Type="http://schemas.openxmlformats.org/officeDocument/2006/relationships/hyperlink" Target="https://drive.google.com/open?id=1yVB--BoCqS3t6aVUB2ltY6cxqP1MyKm-" TargetMode="External"/><Relationship Id="rId288" Type="http://schemas.openxmlformats.org/officeDocument/2006/relationships/hyperlink" Target="https://drive.google.com/open?id=1I2Rp50o3hY6Gytgt9aL-Y00crJ1ohLD3" TargetMode="External"/><Relationship Id="rId287" Type="http://schemas.openxmlformats.org/officeDocument/2006/relationships/hyperlink" Target="https://drive.google.com/open?id=1-q0L5qd7PrbKNexT8xqaYCrRhvR3Ltft" TargetMode="External"/><Relationship Id="rId282" Type="http://schemas.openxmlformats.org/officeDocument/2006/relationships/hyperlink" Target="https://drive.google.com/open?id=1Iqxsj3WDrZhs3Yi-UXR7N6fgQdo99HnW" TargetMode="External"/><Relationship Id="rId281" Type="http://schemas.openxmlformats.org/officeDocument/2006/relationships/hyperlink" Target="https://drive.google.com/open?id=1uaxzZa5PNwf1xLvLEiwhSQkhKfUzHXD5" TargetMode="External"/><Relationship Id="rId280" Type="http://schemas.openxmlformats.org/officeDocument/2006/relationships/hyperlink" Target="https://drive.google.com/open?id=10ct4vLChUNsY2ttPQM4NbcHf_2sIxUgj" TargetMode="External"/><Relationship Id="rId275" Type="http://schemas.openxmlformats.org/officeDocument/2006/relationships/hyperlink" Target="https://drive.google.com/open?id=1dFNJuLo64Zu97r5tAvP7zOAMFtOPUvDq" TargetMode="External"/><Relationship Id="rId274" Type="http://schemas.openxmlformats.org/officeDocument/2006/relationships/hyperlink" Target="https://drive.google.com/open?id=1fHfTpdXqjTmsz1yddGjEyR356Pc1ehn-" TargetMode="External"/><Relationship Id="rId273" Type="http://schemas.openxmlformats.org/officeDocument/2006/relationships/hyperlink" Target="https://drive.google.com/open?id=1MpN6wIphaKh2pDtxsm7TxAtrOfPOQyXM" TargetMode="External"/><Relationship Id="rId272" Type="http://schemas.openxmlformats.org/officeDocument/2006/relationships/hyperlink" Target="https://drive.google.com/open?id=15LIpse6LLkASupT5jHrpC-_rMOgrkbSw" TargetMode="External"/><Relationship Id="rId279" Type="http://schemas.openxmlformats.org/officeDocument/2006/relationships/hyperlink" Target="https://drive.google.com/open?id=1YmnaZeiTrZdBVIN59hk4lC2hzYFjTrIc" TargetMode="External"/><Relationship Id="rId278" Type="http://schemas.openxmlformats.org/officeDocument/2006/relationships/hyperlink" Target="https://drive.google.com/open?id=110PJwD3QFefAce_C5-Ymgn9vY8gSqnny" TargetMode="External"/><Relationship Id="rId277" Type="http://schemas.openxmlformats.org/officeDocument/2006/relationships/hyperlink" Target="https://drive.google.com/open?id=1YTXA8wuuW6W_N4skn3_pcHJ3jLutxOyQ" TargetMode="External"/><Relationship Id="rId276" Type="http://schemas.openxmlformats.org/officeDocument/2006/relationships/hyperlink" Target="https://drive.google.com/open?id=10f62J6QjrkzqqUs6pVUMEh9JlTlHreU_" TargetMode="External"/><Relationship Id="rId907" Type="http://schemas.openxmlformats.org/officeDocument/2006/relationships/hyperlink" Target="https://drive.google.com/open?id=1ZffOTo2XcFYb_FP01h9P0BTfdYlsSlYi" TargetMode="External"/><Relationship Id="rId906" Type="http://schemas.openxmlformats.org/officeDocument/2006/relationships/hyperlink" Target="https://drive.google.com/open?id=1yLLwbg2gI9Jhq5kahbATM4olVMZSmSLf" TargetMode="External"/><Relationship Id="rId905" Type="http://schemas.openxmlformats.org/officeDocument/2006/relationships/hyperlink" Target="https://drive.google.com/open?id=1eFvDfLqhCsoBjhLzxKziZ7lXdcHeoA7p" TargetMode="External"/><Relationship Id="rId904" Type="http://schemas.openxmlformats.org/officeDocument/2006/relationships/hyperlink" Target="https://drive.google.com/open?id=10obYQcQ2XGY1WkHvrAZq5Nx7GzzPdjDe" TargetMode="External"/><Relationship Id="rId909" Type="http://schemas.openxmlformats.org/officeDocument/2006/relationships/hyperlink" Target="https://drive.google.com/open?id=1CnWQz1IqH7A6W-81v2tj98dbtk-iFS4m" TargetMode="External"/><Relationship Id="rId908" Type="http://schemas.openxmlformats.org/officeDocument/2006/relationships/hyperlink" Target="https://drive.google.com/open?id=14Vm-IlWU9kwrtXwHFL-cse_8nigJkNY4" TargetMode="External"/><Relationship Id="rId903" Type="http://schemas.openxmlformats.org/officeDocument/2006/relationships/hyperlink" Target="https://drive.google.com/open?id=1Z5FVdM0iP3jZoT4dFmCSJUVkiW9RIYX-" TargetMode="External"/><Relationship Id="rId902" Type="http://schemas.openxmlformats.org/officeDocument/2006/relationships/hyperlink" Target="https://drive.google.com/open?id=1L7Ndk_hK8uHasj_VGkpCVoXqGuWGVzdH" TargetMode="External"/><Relationship Id="rId901" Type="http://schemas.openxmlformats.org/officeDocument/2006/relationships/hyperlink" Target="https://drive.google.com/open?id=1jAsZiLF-jWcuGpKuZ2s0_aGcFuNlyQI3" TargetMode="External"/><Relationship Id="rId900" Type="http://schemas.openxmlformats.org/officeDocument/2006/relationships/hyperlink" Target="https://drive.google.com/open?id=17aVSw78lpEXeg28qi_zQ6qHDB_pTxj7k" TargetMode="External"/><Relationship Id="rId929" Type="http://schemas.openxmlformats.org/officeDocument/2006/relationships/hyperlink" Target="https://drive.google.com/open?id=1teS3lXx27AeZ5WtcbOLkMDd_ADsjArnu" TargetMode="External"/><Relationship Id="rId928" Type="http://schemas.openxmlformats.org/officeDocument/2006/relationships/hyperlink" Target="https://drive.google.com/open?id=1gQX3iKKNaMHOW7TRWOO8w2AGbZPb_s6w" TargetMode="External"/><Relationship Id="rId927" Type="http://schemas.openxmlformats.org/officeDocument/2006/relationships/hyperlink" Target="https://drive.google.com/open?id=1scnMh90AlVnF-SQpPb9ab4MTiIJYajYj" TargetMode="External"/><Relationship Id="rId926" Type="http://schemas.openxmlformats.org/officeDocument/2006/relationships/hyperlink" Target="https://drive.google.com/open?id=1Kw1gPIusL-cXINbQc_7kya7FzZyFSGFG" TargetMode="External"/><Relationship Id="rId921" Type="http://schemas.openxmlformats.org/officeDocument/2006/relationships/hyperlink" Target="https://drive.google.com/open?id=1pTA8TSjYBKkVnZ3Hxuok7YhE69N3MiYO" TargetMode="External"/><Relationship Id="rId920" Type="http://schemas.openxmlformats.org/officeDocument/2006/relationships/hyperlink" Target="https://drive.google.com/open?id=1RLVqM19ltK8KgeybqZlefBRO3uDQOqfY" TargetMode="External"/><Relationship Id="rId925" Type="http://schemas.openxmlformats.org/officeDocument/2006/relationships/hyperlink" Target="https://drive.google.com/open?id=1sYSH_5SBe2jc9BOyKucEKY6X1AGQFpGy" TargetMode="External"/><Relationship Id="rId924" Type="http://schemas.openxmlformats.org/officeDocument/2006/relationships/hyperlink" Target="https://drive.google.com/open?id=1HVTm6b9ujru1ecFv7W5PGO8yuJaK4Wyy" TargetMode="External"/><Relationship Id="rId923" Type="http://schemas.openxmlformats.org/officeDocument/2006/relationships/hyperlink" Target="https://drive.google.com/open?id=1c7CF81Ti5HA9b0BBeCPV5Bzw_wzmPPel" TargetMode="External"/><Relationship Id="rId922" Type="http://schemas.openxmlformats.org/officeDocument/2006/relationships/hyperlink" Target="https://drive.google.com/open?id=1KidLYol8DCYlSZ-VEW8XOArlfTko7aI7" TargetMode="External"/><Relationship Id="rId918" Type="http://schemas.openxmlformats.org/officeDocument/2006/relationships/hyperlink" Target="https://drive.google.com/open?id=1cWD4p4N_jA2w4Du0mvxpiEQ1_fHQkZ99" TargetMode="External"/><Relationship Id="rId917" Type="http://schemas.openxmlformats.org/officeDocument/2006/relationships/hyperlink" Target="https://drive.google.com/open?id=1pKBr3JLhtdSs7zuYFUCvIQa_wP1VLgah" TargetMode="External"/><Relationship Id="rId916" Type="http://schemas.openxmlformats.org/officeDocument/2006/relationships/hyperlink" Target="https://drive.google.com/open?id=1P6m4m2n3CDhYnC-VkDbqJfN10NU9lXpt" TargetMode="External"/><Relationship Id="rId915" Type="http://schemas.openxmlformats.org/officeDocument/2006/relationships/hyperlink" Target="https://drive.google.com/open?id=1iHQLs-GvOSp2SKbEiZFsu48IDu4DGMyE" TargetMode="External"/><Relationship Id="rId919" Type="http://schemas.openxmlformats.org/officeDocument/2006/relationships/hyperlink" Target="https://drive.google.com/open?id=1MkWJ6Af4AJBuT2HX8J6N6kc9I5uYaAeB" TargetMode="External"/><Relationship Id="rId910" Type="http://schemas.openxmlformats.org/officeDocument/2006/relationships/hyperlink" Target="https://drive.google.com/open?id=14JWVUxjFy9TAIT38_PI0i7pj-V3WqpWX" TargetMode="External"/><Relationship Id="rId914" Type="http://schemas.openxmlformats.org/officeDocument/2006/relationships/hyperlink" Target="https://drive.google.com/open?id=1lJeLdyXDap6c9C70SaiFQOWa_SJ35XjP" TargetMode="External"/><Relationship Id="rId913" Type="http://schemas.openxmlformats.org/officeDocument/2006/relationships/hyperlink" Target="https://drive.google.com/open?id=1p5p0wPXcaBFGvPwf5ELIlVAIgEJN5igE" TargetMode="External"/><Relationship Id="rId912" Type="http://schemas.openxmlformats.org/officeDocument/2006/relationships/hyperlink" Target="https://drive.google.com/open?id=1W2gX3OoqSyyGZ2xUNR3d3XghKHaMe-rE" TargetMode="External"/><Relationship Id="rId911" Type="http://schemas.openxmlformats.org/officeDocument/2006/relationships/hyperlink" Target="https://drive.google.com/open?id=1DHRUY_Ath7KOPS6asuW4MkoneFOrqVIA" TargetMode="External"/><Relationship Id="rId629" Type="http://schemas.openxmlformats.org/officeDocument/2006/relationships/hyperlink" Target="https://drive.google.com/open?id=1ieeTG6YxgW2htLFe8EUDCxfnIFBAPyKG" TargetMode="External"/><Relationship Id="rId624" Type="http://schemas.openxmlformats.org/officeDocument/2006/relationships/hyperlink" Target="https://drive.google.com/open?id=1YKZ5xEJLDjfJdDE64T2ytQiv-OHA654Y" TargetMode="External"/><Relationship Id="rId866" Type="http://schemas.openxmlformats.org/officeDocument/2006/relationships/hyperlink" Target="https://drive.google.com/open?id=1LwejJdBwAFjl80GVlUdJOP7E98SbmZc8" TargetMode="External"/><Relationship Id="rId623" Type="http://schemas.openxmlformats.org/officeDocument/2006/relationships/hyperlink" Target="https://drive.google.com/open?id=1nA4t94nIdfJAgpSLdG4i7_5heKTPUja6" TargetMode="External"/><Relationship Id="rId865" Type="http://schemas.openxmlformats.org/officeDocument/2006/relationships/hyperlink" Target="https://drive.google.com/open?id=1Nh1Gn5GK8JEEPiFXoZG8faLofjympu8G" TargetMode="External"/><Relationship Id="rId622" Type="http://schemas.openxmlformats.org/officeDocument/2006/relationships/hyperlink" Target="https://drive.google.com/open?id=16dsHkCmMPspzR255brMO1nYl6XPNhdvj" TargetMode="External"/><Relationship Id="rId864" Type="http://schemas.openxmlformats.org/officeDocument/2006/relationships/hyperlink" Target="https://drive.google.com/open?id=1FNoTlG9QN40T1rPuPW5xOIkhIm6BFuKZ" TargetMode="External"/><Relationship Id="rId621" Type="http://schemas.openxmlformats.org/officeDocument/2006/relationships/hyperlink" Target="https://drive.google.com/open?id=1dUYGlI1OnBbu_-lgjhaDqhpFXzEEEV1s" TargetMode="External"/><Relationship Id="rId863" Type="http://schemas.openxmlformats.org/officeDocument/2006/relationships/hyperlink" Target="https://drive.google.com/open?id=1w8jjnzaihR-J7Y1wLA5wDji0kakvE4Z9" TargetMode="External"/><Relationship Id="rId628" Type="http://schemas.openxmlformats.org/officeDocument/2006/relationships/hyperlink" Target="https://drive.google.com/open?id=1pLFLKK_ams5tF_RSrQf8ezqKQe6mglI5" TargetMode="External"/><Relationship Id="rId627" Type="http://schemas.openxmlformats.org/officeDocument/2006/relationships/hyperlink" Target="https://drive.google.com/open?id=1qZQ8UBdezmGHl7UGhlPb-MTia0BERCId" TargetMode="External"/><Relationship Id="rId869" Type="http://schemas.openxmlformats.org/officeDocument/2006/relationships/hyperlink" Target="https://drive.google.com/open?id=1PlIhx1XPTdswMxKFv8XTrUdJPonArAuI" TargetMode="External"/><Relationship Id="rId626" Type="http://schemas.openxmlformats.org/officeDocument/2006/relationships/hyperlink" Target="https://drive.google.com/open?id=1GpAQfs42JBZiXPEmAwt2pzE-EsywcvUE" TargetMode="External"/><Relationship Id="rId868" Type="http://schemas.openxmlformats.org/officeDocument/2006/relationships/hyperlink" Target="https://drive.google.com/open?id=1X2g6PfmHsLGsxcMgzy8FKWtNptQLxu__" TargetMode="External"/><Relationship Id="rId625" Type="http://schemas.openxmlformats.org/officeDocument/2006/relationships/hyperlink" Target="https://drive.google.com/open?id=1hwCtFEakNOfTKjnRaqHXiXlgLKvNzsF3" TargetMode="External"/><Relationship Id="rId867" Type="http://schemas.openxmlformats.org/officeDocument/2006/relationships/hyperlink" Target="https://drive.google.com/open?id=15FE32PrUWz7_bhcFZqrPGdnJcfOR561Z" TargetMode="External"/><Relationship Id="rId620" Type="http://schemas.openxmlformats.org/officeDocument/2006/relationships/hyperlink" Target="https://drive.google.com/open?id=1c8yGj71wzY0-Tq2OKX_RwRJLQJHGbCpx" TargetMode="External"/><Relationship Id="rId862" Type="http://schemas.openxmlformats.org/officeDocument/2006/relationships/hyperlink" Target="https://drive.google.com/open?id=1Cp0dTBjSDxOPN74D1WbYaQPjcnOSDXUY" TargetMode="External"/><Relationship Id="rId861" Type="http://schemas.openxmlformats.org/officeDocument/2006/relationships/hyperlink" Target="https://drive.google.com/open?id=1yBKJG2MZ0KSfvoL-30tSC-TOr9Y7kyM_" TargetMode="External"/><Relationship Id="rId860" Type="http://schemas.openxmlformats.org/officeDocument/2006/relationships/hyperlink" Target="https://drive.google.com/open?id=1fdGsq_dIl2JR57taSe64XPTkPh70cHcK" TargetMode="External"/><Relationship Id="rId619" Type="http://schemas.openxmlformats.org/officeDocument/2006/relationships/hyperlink" Target="https://drive.google.com/open?id=1WRnNhLzLjdOhpMURzCyUs4J3ROQrW_pc" TargetMode="External"/><Relationship Id="rId618" Type="http://schemas.openxmlformats.org/officeDocument/2006/relationships/hyperlink" Target="https://drive.google.com/open?id=1tj3J_qb0GM9KMhjAQVcLbkcyxsUKLn3x" TargetMode="External"/><Relationship Id="rId613" Type="http://schemas.openxmlformats.org/officeDocument/2006/relationships/hyperlink" Target="https://drive.google.com/open?id=1b2nDst1rBSS4SlpzBMH7NLOF1zthujj1" TargetMode="External"/><Relationship Id="rId855" Type="http://schemas.openxmlformats.org/officeDocument/2006/relationships/hyperlink" Target="https://drive.google.com/open?id=1mjzAwqnuvXKngVMAjD8z2oGghTsP8r7c" TargetMode="External"/><Relationship Id="rId612" Type="http://schemas.openxmlformats.org/officeDocument/2006/relationships/hyperlink" Target="https://drive.google.com/open?id=1J1v9O4V-Z7H72VQUzpFUy-VNR4j35-Px" TargetMode="External"/><Relationship Id="rId854" Type="http://schemas.openxmlformats.org/officeDocument/2006/relationships/hyperlink" Target="https://drive.google.com/open?id=1H_9D25rCaMoWy2KR6ANhlwUS1mc68Fnq" TargetMode="External"/><Relationship Id="rId611" Type="http://schemas.openxmlformats.org/officeDocument/2006/relationships/hyperlink" Target="https://drive.google.com/open?id=1qOmWYvmsbKb7NHnQeQF9w6ciRgr7bx-f" TargetMode="External"/><Relationship Id="rId853" Type="http://schemas.openxmlformats.org/officeDocument/2006/relationships/hyperlink" Target="https://drive.google.com/open?id=1Sp2jc8AEDq_kBKcqQWz07GLd-arEkiKy" TargetMode="External"/><Relationship Id="rId610" Type="http://schemas.openxmlformats.org/officeDocument/2006/relationships/hyperlink" Target="https://drive.google.com/open?id=1d_KIeev5xJaC5eOVsiymc0ucDbWZTa_0" TargetMode="External"/><Relationship Id="rId852" Type="http://schemas.openxmlformats.org/officeDocument/2006/relationships/hyperlink" Target="https://drive.google.com/open?id=1t-Rf9lFp1589XojQN5yKRYF7fVGWa1va" TargetMode="External"/><Relationship Id="rId617" Type="http://schemas.openxmlformats.org/officeDocument/2006/relationships/hyperlink" Target="https://drive.google.com/open?id=1OEXoym9hNORYbMI2ihyhUIx9pqFHjb8_" TargetMode="External"/><Relationship Id="rId859" Type="http://schemas.openxmlformats.org/officeDocument/2006/relationships/hyperlink" Target="https://drive.google.com/open?id=1zVFb1OR_ChUDSn7sp8jNnmCcYn0kD1Jz" TargetMode="External"/><Relationship Id="rId616" Type="http://schemas.openxmlformats.org/officeDocument/2006/relationships/hyperlink" Target="https://drive.google.com/open?id=1E__gQc100oeRu-GWzUTnCePxyom6soAg" TargetMode="External"/><Relationship Id="rId858" Type="http://schemas.openxmlformats.org/officeDocument/2006/relationships/hyperlink" Target="https://drive.google.com/open?id=1H60r2c6njxJH1rGGndi_8xseKi0Qaelw" TargetMode="External"/><Relationship Id="rId615" Type="http://schemas.openxmlformats.org/officeDocument/2006/relationships/hyperlink" Target="https://drive.google.com/open?id=1ZxrQdDovywuNUbxuoS_RKPjxOsZXIYLq" TargetMode="External"/><Relationship Id="rId857" Type="http://schemas.openxmlformats.org/officeDocument/2006/relationships/hyperlink" Target="https://drive.google.com/open?id=1F8x4uguWV00q7vrQIbH_33XheGH6OMDr" TargetMode="External"/><Relationship Id="rId614" Type="http://schemas.openxmlformats.org/officeDocument/2006/relationships/hyperlink" Target="https://drive.google.com/open?id=17bsPuXT5BZX09mGazK-LlXkX10tPahIP" TargetMode="External"/><Relationship Id="rId856" Type="http://schemas.openxmlformats.org/officeDocument/2006/relationships/hyperlink" Target="https://drive.google.com/open?id=1dD1eAFqnLbqsKeWxyuuO-6Fpdr2l7Tja" TargetMode="External"/><Relationship Id="rId851" Type="http://schemas.openxmlformats.org/officeDocument/2006/relationships/hyperlink" Target="https://drive.google.com/open?id=1x-iFNb7r3LiUzB_hoEeU3czTvNIbfiWC" TargetMode="External"/><Relationship Id="rId850" Type="http://schemas.openxmlformats.org/officeDocument/2006/relationships/hyperlink" Target="https://drive.google.com/open?id=12R_2nKkQsnfzWQxK9omIrSSdBZLFaF9X" TargetMode="External"/><Relationship Id="rId409" Type="http://schemas.openxmlformats.org/officeDocument/2006/relationships/hyperlink" Target="https://drive.google.com/open?id=1Cvowzb3u9s8IlFI-8H9Z3x_Bdjvq1e7E" TargetMode="External"/><Relationship Id="rId404" Type="http://schemas.openxmlformats.org/officeDocument/2006/relationships/hyperlink" Target="https://drive.google.com/open?id=1feTYBcqYWUIv1rhjwmmlb-vJGNfR0m9V" TargetMode="External"/><Relationship Id="rId646" Type="http://schemas.openxmlformats.org/officeDocument/2006/relationships/hyperlink" Target="https://drive.google.com/open?id=1G51QUMXYJsl0VURZj94ZB9uaxkIpvIx8" TargetMode="External"/><Relationship Id="rId888" Type="http://schemas.openxmlformats.org/officeDocument/2006/relationships/hyperlink" Target="https://drive.google.com/open?id=1Chw3kvZXU7msyppPlQ0h0tfTdntczJtK" TargetMode="External"/><Relationship Id="rId403" Type="http://schemas.openxmlformats.org/officeDocument/2006/relationships/hyperlink" Target="https://drive.google.com/open?id=16xOT48bIoOiQkBnoVcxMszEpb4Bzf-i-" TargetMode="External"/><Relationship Id="rId645" Type="http://schemas.openxmlformats.org/officeDocument/2006/relationships/hyperlink" Target="https://drive.google.com/open?id=1Wo5xOMXVv-Zq7sU3G3yhHLRDL-ql2DMq" TargetMode="External"/><Relationship Id="rId887" Type="http://schemas.openxmlformats.org/officeDocument/2006/relationships/hyperlink" Target="https://drive.google.com/open?id=1NmXbeuFCIU2DOHX4QzDXTSc6JVFE4jOw" TargetMode="External"/><Relationship Id="rId402" Type="http://schemas.openxmlformats.org/officeDocument/2006/relationships/hyperlink" Target="https://drive.google.com/open?id=1ny8834Xu-O1io9ejXMUh6T-cGjxqsfZJ" TargetMode="External"/><Relationship Id="rId644" Type="http://schemas.openxmlformats.org/officeDocument/2006/relationships/hyperlink" Target="https://drive.google.com/open?id=1y9m8xcIcgcYSXsOIS6uLb92ZRTMqhy4z" TargetMode="External"/><Relationship Id="rId886" Type="http://schemas.openxmlformats.org/officeDocument/2006/relationships/hyperlink" Target="https://drive.google.com/open?id=12MM7GOY5ehWlqNAHHdoy_R1yqbWtUrgJ" TargetMode="External"/><Relationship Id="rId401" Type="http://schemas.openxmlformats.org/officeDocument/2006/relationships/hyperlink" Target="https://drive.google.com/open?id=1ljS4NRwA1QqnFh6UolMhfRG96V-DAoSl" TargetMode="External"/><Relationship Id="rId643" Type="http://schemas.openxmlformats.org/officeDocument/2006/relationships/hyperlink" Target="https://drive.google.com/open?id=1fmOxypoyUeIPkJie4IffDgbgudBYCb-A" TargetMode="External"/><Relationship Id="rId885" Type="http://schemas.openxmlformats.org/officeDocument/2006/relationships/hyperlink" Target="https://drive.google.com/open?id=1QvpewOqxy8DcNfD10MgFMCSpcLAITW6H" TargetMode="External"/><Relationship Id="rId408" Type="http://schemas.openxmlformats.org/officeDocument/2006/relationships/hyperlink" Target="https://drive.google.com/open?id=1y6t2_nwY4HLvbiR9s0bQB9eQ2Dh1c4it" TargetMode="External"/><Relationship Id="rId407" Type="http://schemas.openxmlformats.org/officeDocument/2006/relationships/hyperlink" Target="https://drive.google.com/open?id=1W8GGQc2SyYC8qlwwqGnmdMbgG1UjGNgt" TargetMode="External"/><Relationship Id="rId649" Type="http://schemas.openxmlformats.org/officeDocument/2006/relationships/hyperlink" Target="https://drive.google.com/open?id=1iIGIv9-o0kdxqaShATSlCqhG6skfPpAp" TargetMode="External"/><Relationship Id="rId406" Type="http://schemas.openxmlformats.org/officeDocument/2006/relationships/hyperlink" Target="https://drive.google.com/open?id=1nNrrmfxA-NtYt-CcTqJpN14AqOkwty7Z" TargetMode="External"/><Relationship Id="rId648" Type="http://schemas.openxmlformats.org/officeDocument/2006/relationships/hyperlink" Target="https://drive.google.com/open?id=1mZ6ASBBIPmpSQtFH95-NiWck7SGECdOL" TargetMode="External"/><Relationship Id="rId405" Type="http://schemas.openxmlformats.org/officeDocument/2006/relationships/hyperlink" Target="https://drive.google.com/open?id=1MsmdcDvLi4_nqM8ZzslnjX3W7gU7krrK" TargetMode="External"/><Relationship Id="rId647" Type="http://schemas.openxmlformats.org/officeDocument/2006/relationships/hyperlink" Target="https://drive.google.com/open?id=1w159b4aufGpK-ho7a6OabKroGjA2HZT9" TargetMode="External"/><Relationship Id="rId889" Type="http://schemas.openxmlformats.org/officeDocument/2006/relationships/hyperlink" Target="https://drive.google.com/open?id=10NArJsYy-wwi1AcJbaNmwlucXpooyFth" TargetMode="External"/><Relationship Id="rId880" Type="http://schemas.openxmlformats.org/officeDocument/2006/relationships/hyperlink" Target="https://drive.google.com/open?id=1bo5v-ZmcAihAkvOZPujFPU_NxbFbMc4l" TargetMode="External"/><Relationship Id="rId400" Type="http://schemas.openxmlformats.org/officeDocument/2006/relationships/hyperlink" Target="https://drive.google.com/open?id=1YH5xUQvT1_uYvvXb6Phqp2D3dmfT9Hn9" TargetMode="External"/><Relationship Id="rId642" Type="http://schemas.openxmlformats.org/officeDocument/2006/relationships/hyperlink" Target="https://drive.google.com/open?id=14srbMl9Hm4rhdZzSgwwylSMbyz12G4MA" TargetMode="External"/><Relationship Id="rId884" Type="http://schemas.openxmlformats.org/officeDocument/2006/relationships/hyperlink" Target="https://drive.google.com/open?id=1u94xdKfGmQNyFsUgODArbuEZ6Y8F_pVK" TargetMode="External"/><Relationship Id="rId641" Type="http://schemas.openxmlformats.org/officeDocument/2006/relationships/hyperlink" Target="https://drive.google.com/open?id=1sBskLBJ9-KHyupPs8NcVkn8EeUlCc5i2" TargetMode="External"/><Relationship Id="rId883" Type="http://schemas.openxmlformats.org/officeDocument/2006/relationships/hyperlink" Target="https://drive.google.com/open?id=1CqNuSx7YPCjfLsR7ba83lEg-42brjOx3" TargetMode="External"/><Relationship Id="rId640" Type="http://schemas.openxmlformats.org/officeDocument/2006/relationships/hyperlink" Target="https://drive.google.com/open?id=19Qy3ixlM86GdI_VgkTbUObez6JdIXCz5" TargetMode="External"/><Relationship Id="rId882" Type="http://schemas.openxmlformats.org/officeDocument/2006/relationships/hyperlink" Target="https://drive.google.com/open?id=1mCq7kNEbQh7ecCml0XN8de_OxOPYN8Ft" TargetMode="External"/><Relationship Id="rId881" Type="http://schemas.openxmlformats.org/officeDocument/2006/relationships/hyperlink" Target="https://drive.google.com/open?id=15HRjPLfdwY9vuChyjEY0Y6issBjcrtC5" TargetMode="External"/><Relationship Id="rId635" Type="http://schemas.openxmlformats.org/officeDocument/2006/relationships/hyperlink" Target="https://drive.google.com/open?id=1i2HRFo0bYrdaf-cg12inHaOzrSBMAo3R" TargetMode="External"/><Relationship Id="rId877" Type="http://schemas.openxmlformats.org/officeDocument/2006/relationships/hyperlink" Target="https://drive.google.com/open?id=1xR3FvTEQBphyTLjp4s7vjq_mqNrBvPTa" TargetMode="External"/><Relationship Id="rId634" Type="http://schemas.openxmlformats.org/officeDocument/2006/relationships/hyperlink" Target="https://drive.google.com/open?id=1-mSkXE550JpsBOT2yqbQRFsN-pKthwX_" TargetMode="External"/><Relationship Id="rId876" Type="http://schemas.openxmlformats.org/officeDocument/2006/relationships/hyperlink" Target="https://drive.google.com/open?id=1RGNjWSsdPbkp1Tki89eHF_96EEr2XyRg" TargetMode="External"/><Relationship Id="rId633" Type="http://schemas.openxmlformats.org/officeDocument/2006/relationships/hyperlink" Target="https://drive.google.com/open?id=1DqLhEgHvBWBcK1v6PJyZwQTsElaAOAt4" TargetMode="External"/><Relationship Id="rId875" Type="http://schemas.openxmlformats.org/officeDocument/2006/relationships/hyperlink" Target="https://drive.google.com/open?id=1p8b-LyiLthEpZkA0bqxpIH0YOc1xej_Q" TargetMode="External"/><Relationship Id="rId632" Type="http://schemas.openxmlformats.org/officeDocument/2006/relationships/hyperlink" Target="https://drive.google.com/open?id=1o0IFnPVAcOcirD6kveFaLBngTiyXkAdG" TargetMode="External"/><Relationship Id="rId874" Type="http://schemas.openxmlformats.org/officeDocument/2006/relationships/hyperlink" Target="https://drive.google.com/open?id=1whcKWoHBgCDZ9BhtrtaQkXaGlmdvMf4M" TargetMode="External"/><Relationship Id="rId639" Type="http://schemas.openxmlformats.org/officeDocument/2006/relationships/hyperlink" Target="https://drive.google.com/open?id=12aZX1ssu-QiME22f2KYjBwXX0CGE8cBB" TargetMode="External"/><Relationship Id="rId638" Type="http://schemas.openxmlformats.org/officeDocument/2006/relationships/hyperlink" Target="https://drive.google.com/open?id=1e-s5i_YnW10faU_6EuCpMMKqYOBy0Gef" TargetMode="External"/><Relationship Id="rId637" Type="http://schemas.openxmlformats.org/officeDocument/2006/relationships/hyperlink" Target="https://drive.google.com/open?id=1CvXcLap0BPjYaT5bDI5RiFj7M5IVi3OP" TargetMode="External"/><Relationship Id="rId879" Type="http://schemas.openxmlformats.org/officeDocument/2006/relationships/hyperlink" Target="https://drive.google.com/open?id=1otBcZV_m7Eu2FEDb4TMXcocZygY7WOGN" TargetMode="External"/><Relationship Id="rId636" Type="http://schemas.openxmlformats.org/officeDocument/2006/relationships/hyperlink" Target="https://drive.google.com/open?id=18r6P4EKC8O0Y2c0gkAQDg4oGJrHL63dL" TargetMode="External"/><Relationship Id="rId878" Type="http://schemas.openxmlformats.org/officeDocument/2006/relationships/hyperlink" Target="https://drive.google.com/open?id=1kBK7xnDzZHOzH0jDaRHK-NW15DYjpZqY" TargetMode="External"/><Relationship Id="rId631" Type="http://schemas.openxmlformats.org/officeDocument/2006/relationships/hyperlink" Target="https://drive.google.com/open?id=1cY7Nv76T0qZcFk6QV5pIXFuhrCnzOwHV" TargetMode="External"/><Relationship Id="rId873" Type="http://schemas.openxmlformats.org/officeDocument/2006/relationships/hyperlink" Target="https://drive.google.com/open?id=1853DRE8CwySQZd9II3jYx5zbBntaJ3QC" TargetMode="External"/><Relationship Id="rId630" Type="http://schemas.openxmlformats.org/officeDocument/2006/relationships/hyperlink" Target="https://drive.google.com/open?id=1n7cLVZF-0i9yMyQ7HtMY4Q_VeYX2QTlX" TargetMode="External"/><Relationship Id="rId872" Type="http://schemas.openxmlformats.org/officeDocument/2006/relationships/hyperlink" Target="https://drive.google.com/open?id=1yEsr5L-X4XopSwrTaohEr0tt2CUGQhf5" TargetMode="External"/><Relationship Id="rId871" Type="http://schemas.openxmlformats.org/officeDocument/2006/relationships/hyperlink" Target="https://drive.google.com/open?id=1PXHQFU0cqui5FICAYy-MTokj5eQRlMgV" TargetMode="External"/><Relationship Id="rId870" Type="http://schemas.openxmlformats.org/officeDocument/2006/relationships/hyperlink" Target="https://drive.google.com/open?id=18L1CZQH8OutswrXXX21v-1qA8HGKuvn1" TargetMode="External"/><Relationship Id="rId829" Type="http://schemas.openxmlformats.org/officeDocument/2006/relationships/hyperlink" Target="https://drive.google.com/open?id=1Itb_wSOpp4PgqTUduXrzMdEFCjX9WATU" TargetMode="External"/><Relationship Id="rId828" Type="http://schemas.openxmlformats.org/officeDocument/2006/relationships/hyperlink" Target="https://drive.google.com/open?id=1TFs0bg3ev2s__dk2UOAxRHq2PC8NziQA" TargetMode="External"/><Relationship Id="rId827" Type="http://schemas.openxmlformats.org/officeDocument/2006/relationships/hyperlink" Target="https://drive.google.com/open?id=1I9roknQYnwZyA9FtId6DMshWq_2Q1HtI" TargetMode="External"/><Relationship Id="rId822" Type="http://schemas.openxmlformats.org/officeDocument/2006/relationships/hyperlink" Target="https://drive.google.com/open?id=1_EfGS5dU5quDF6SmPlSMnxmfw7lG11E6" TargetMode="External"/><Relationship Id="rId821" Type="http://schemas.openxmlformats.org/officeDocument/2006/relationships/hyperlink" Target="https://drive.google.com/open?id=1xlVfkJFdfySG0hQOAG7OSaazB8ypOKfc" TargetMode="External"/><Relationship Id="rId820" Type="http://schemas.openxmlformats.org/officeDocument/2006/relationships/hyperlink" Target="https://drive.google.com/open?id=18Yz0SSNCEezIwJQldIOKXjqjL7rL5jHa" TargetMode="External"/><Relationship Id="rId826" Type="http://schemas.openxmlformats.org/officeDocument/2006/relationships/hyperlink" Target="https://drive.google.com/open?id=1OLIRhefSFPUqwBdngBA_5VTMlpPD6755" TargetMode="External"/><Relationship Id="rId825" Type="http://schemas.openxmlformats.org/officeDocument/2006/relationships/hyperlink" Target="https://drive.google.com/open?id=1x7pOJIuEbptsjtzgpBX69zHgBetoenrU" TargetMode="External"/><Relationship Id="rId824" Type="http://schemas.openxmlformats.org/officeDocument/2006/relationships/hyperlink" Target="https://drive.google.com/open?id=1YjuDjahKvuiCs9McRKJjPLouMoiTDGul" TargetMode="External"/><Relationship Id="rId823" Type="http://schemas.openxmlformats.org/officeDocument/2006/relationships/hyperlink" Target="https://drive.google.com/open?id=1tbITaFBdo_XMTkNOvMmmjZSyIxo6XKAI" TargetMode="External"/><Relationship Id="rId819" Type="http://schemas.openxmlformats.org/officeDocument/2006/relationships/hyperlink" Target="https://drive.google.com/open?id=1Cu5uqv0fpJptDsur29No1ZJTRs4GWGem" TargetMode="External"/><Relationship Id="rId818" Type="http://schemas.openxmlformats.org/officeDocument/2006/relationships/hyperlink" Target="https://drive.google.com/open?id=1Ln8rVGyeClxGYSGfXmqNdriUzY44PRNg" TargetMode="External"/><Relationship Id="rId817" Type="http://schemas.openxmlformats.org/officeDocument/2006/relationships/hyperlink" Target="https://drive.google.com/open?id=1nKI8WDkY5e7hm2z4kN9IIQP94Sd92tCK" TargetMode="External"/><Relationship Id="rId816" Type="http://schemas.openxmlformats.org/officeDocument/2006/relationships/hyperlink" Target="https://drive.google.com/open?id=1sQs8t_fLHTfpqFa8QFeBhBJBqUonDvSX" TargetMode="External"/><Relationship Id="rId811" Type="http://schemas.openxmlformats.org/officeDocument/2006/relationships/hyperlink" Target="https://drive.google.com/open?id=1pW8YSiDItjqOFvNVZXld3fe0bFoPHAxZ" TargetMode="External"/><Relationship Id="rId810" Type="http://schemas.openxmlformats.org/officeDocument/2006/relationships/hyperlink" Target="https://drive.google.com/open?id=1iVYEf8pknU5jWhvfAZWV6mjuwKBgfpOr" TargetMode="External"/><Relationship Id="rId815" Type="http://schemas.openxmlformats.org/officeDocument/2006/relationships/hyperlink" Target="https://drive.google.com/open?id=1uyBNSk9TSlyiEq7264LyTQIO3ExGFyNI" TargetMode="External"/><Relationship Id="rId814" Type="http://schemas.openxmlformats.org/officeDocument/2006/relationships/hyperlink" Target="https://drive.google.com/open?id=1Roqb6Eni3apJgfNqvvnnFpCkhHcPRyUX" TargetMode="External"/><Relationship Id="rId813" Type="http://schemas.openxmlformats.org/officeDocument/2006/relationships/hyperlink" Target="https://drive.google.com/open?id=18HEJKhVSqALzwdygfjz_4-3yA3fqhsQJ" TargetMode="External"/><Relationship Id="rId812" Type="http://schemas.openxmlformats.org/officeDocument/2006/relationships/hyperlink" Target="https://drive.google.com/open?id=1eOZEy1amjMhBmmUG6zUKs2D9KLgTeBtn" TargetMode="External"/><Relationship Id="rId609" Type="http://schemas.openxmlformats.org/officeDocument/2006/relationships/hyperlink" Target="https://drive.google.com/open?id=1jBEGfYxDTAbXDRk0XupJ9Wh5kM6Pu_dk" TargetMode="External"/><Relationship Id="rId608" Type="http://schemas.openxmlformats.org/officeDocument/2006/relationships/hyperlink" Target="https://drive.google.com/open?id=1TsYIwVTnKl3a807yr-K4_LIKF04bsmPV" TargetMode="External"/><Relationship Id="rId607" Type="http://schemas.openxmlformats.org/officeDocument/2006/relationships/hyperlink" Target="https://drive.google.com/open?id=15NCLyVFsYsEexVPkj2BhRoZCa9TDfY54" TargetMode="External"/><Relationship Id="rId849" Type="http://schemas.openxmlformats.org/officeDocument/2006/relationships/hyperlink" Target="https://drive.google.com/open?id=1i6FGpiGrFDuAKSeVNk0MRcLK80wr8Q8k" TargetMode="External"/><Relationship Id="rId602" Type="http://schemas.openxmlformats.org/officeDocument/2006/relationships/hyperlink" Target="https://drive.google.com/open?id=1UZ3925asRwwSCCyXJXVIG8MV1oA-yxlY" TargetMode="External"/><Relationship Id="rId844" Type="http://schemas.openxmlformats.org/officeDocument/2006/relationships/hyperlink" Target="https://drive.google.com/open?id=1bOOykGTorYNAeVKXuu8lDqf-wloTyH5l" TargetMode="External"/><Relationship Id="rId601" Type="http://schemas.openxmlformats.org/officeDocument/2006/relationships/hyperlink" Target="https://drive.google.com/open?id=1XuDnjWBMNqmZyEcgA-mEkRvJll9Xzjl8" TargetMode="External"/><Relationship Id="rId843" Type="http://schemas.openxmlformats.org/officeDocument/2006/relationships/hyperlink" Target="https://drive.google.com/open?id=1J7XTsLULkt45cGVLAgLWipzgtVLcgiTv" TargetMode="External"/><Relationship Id="rId600" Type="http://schemas.openxmlformats.org/officeDocument/2006/relationships/hyperlink" Target="https://drive.google.com/open?id=16EwpEiGyHI9pjQvbWmWETM2B2eXDlAu8" TargetMode="External"/><Relationship Id="rId842" Type="http://schemas.openxmlformats.org/officeDocument/2006/relationships/hyperlink" Target="https://drive.google.com/open?id=1OV9SXQhfuYzOijI2uSV5HJ8mEgovoxkQ" TargetMode="External"/><Relationship Id="rId841" Type="http://schemas.openxmlformats.org/officeDocument/2006/relationships/hyperlink" Target="https://drive.google.com/open?id=1jW9mhNd2eQp4uLEN0HtaoOyVcJ0Qi0DG" TargetMode="External"/><Relationship Id="rId606" Type="http://schemas.openxmlformats.org/officeDocument/2006/relationships/hyperlink" Target="https://drive.google.com/open?id=19ULOuFKpQibVeaBzTnttSCMmKrJ1Apgx" TargetMode="External"/><Relationship Id="rId848" Type="http://schemas.openxmlformats.org/officeDocument/2006/relationships/hyperlink" Target="https://drive.google.com/open?id=1r8e1X7ov9rdApp90a10K9jSn5R7Q5zMQ" TargetMode="External"/><Relationship Id="rId605" Type="http://schemas.openxmlformats.org/officeDocument/2006/relationships/hyperlink" Target="https://drive.google.com/open?id=1pqB8wT1i9jxT2CQQs3zBX50C0LpKpspZ" TargetMode="External"/><Relationship Id="rId847" Type="http://schemas.openxmlformats.org/officeDocument/2006/relationships/hyperlink" Target="https://drive.google.com/open?id=1a20DT-2gw3VBQKet1wLj7wnr2qfzmQZD" TargetMode="External"/><Relationship Id="rId604" Type="http://schemas.openxmlformats.org/officeDocument/2006/relationships/hyperlink" Target="https://drive.google.com/open?id=18cJI7FIRLxw9rnaCYbWL1Z5U0YkrDikC" TargetMode="External"/><Relationship Id="rId846" Type="http://schemas.openxmlformats.org/officeDocument/2006/relationships/hyperlink" Target="https://drive.google.com/open?id=1vDWjSpUXuiyBdvqX9THklmaIckzebj5O" TargetMode="External"/><Relationship Id="rId603" Type="http://schemas.openxmlformats.org/officeDocument/2006/relationships/hyperlink" Target="https://drive.google.com/open?id=1aVxeNTWWM7aslnb-LL_V_K3dt8SnOBEf" TargetMode="External"/><Relationship Id="rId845" Type="http://schemas.openxmlformats.org/officeDocument/2006/relationships/hyperlink" Target="https://drive.google.com/open?id=19QmQaagcCUrTElgP8bLk3oI_DuSXRbvH" TargetMode="External"/><Relationship Id="rId840" Type="http://schemas.openxmlformats.org/officeDocument/2006/relationships/hyperlink" Target="https://drive.google.com/open?id=1mQTxgn-fHx_r1r1CkxFUrKtAkKf2kfSE" TargetMode="External"/><Relationship Id="rId839" Type="http://schemas.openxmlformats.org/officeDocument/2006/relationships/hyperlink" Target="https://drive.google.com/open?id=1OEBzshGcB4XqSp1zQ3F0jkV3A629hKU4" TargetMode="External"/><Relationship Id="rId838" Type="http://schemas.openxmlformats.org/officeDocument/2006/relationships/hyperlink" Target="https://drive.google.com/open?id=135XZRH2BqCBSUGj4CvUnOSHJ_Lzv21GF" TargetMode="External"/><Relationship Id="rId833" Type="http://schemas.openxmlformats.org/officeDocument/2006/relationships/hyperlink" Target="https://drive.google.com/open?id=11o1JtEevNvMVjN5F_Fk9NAFSMNiTVkYT" TargetMode="External"/><Relationship Id="rId832" Type="http://schemas.openxmlformats.org/officeDocument/2006/relationships/hyperlink" Target="https://drive.google.com/open?id=1Us3z28fenZE3qJbnctrLcFWDofRXtc7M" TargetMode="External"/><Relationship Id="rId831" Type="http://schemas.openxmlformats.org/officeDocument/2006/relationships/hyperlink" Target="https://drive.google.com/open?id=1T_Vo45LZeyKhek_iSJwZHmn1dgU6Aym4" TargetMode="External"/><Relationship Id="rId830" Type="http://schemas.openxmlformats.org/officeDocument/2006/relationships/hyperlink" Target="https://drive.google.com/open?id=1L4NzKjI-y0AhSFOB2CUXS_iGFMGQNQjn" TargetMode="External"/><Relationship Id="rId837" Type="http://schemas.openxmlformats.org/officeDocument/2006/relationships/hyperlink" Target="https://drive.google.com/open?id=1qw1PNli8qzuArWCalMHgGWjBucJjLe3A" TargetMode="External"/><Relationship Id="rId836" Type="http://schemas.openxmlformats.org/officeDocument/2006/relationships/hyperlink" Target="https://drive.google.com/open?id=1zA883-R8RWNCNJxoqxGENH_3XTuNRWWi" TargetMode="External"/><Relationship Id="rId835" Type="http://schemas.openxmlformats.org/officeDocument/2006/relationships/hyperlink" Target="https://drive.google.com/open?id=1T76qEQXESV9vawdpJl2kVDwXwDvoIt-H" TargetMode="External"/><Relationship Id="rId834" Type="http://schemas.openxmlformats.org/officeDocument/2006/relationships/hyperlink" Target="https://drive.google.com/open?id=1baf_uGfM-qi68fm5w_DT5zga-jRUmKx2" TargetMode="External"/><Relationship Id="rId1059" Type="http://schemas.openxmlformats.org/officeDocument/2006/relationships/hyperlink" Target="https://drive.google.com/open?id=1NOP3fTrqUtatd8Dj0qyJUrtOxEcXpZq_" TargetMode="External"/><Relationship Id="rId228" Type="http://schemas.openxmlformats.org/officeDocument/2006/relationships/hyperlink" Target="https://drive.google.com/open?id=1iqAbscLdtDNkr4nQKfXEwPlGc9YlCbTO" TargetMode="External"/><Relationship Id="rId227" Type="http://schemas.openxmlformats.org/officeDocument/2006/relationships/hyperlink" Target="https://drive.google.com/open?id=1anDoJyqGG6Dr8leMIayLZO6cx9qVrmFf" TargetMode="External"/><Relationship Id="rId469" Type="http://schemas.openxmlformats.org/officeDocument/2006/relationships/hyperlink" Target="https://drive.google.com/open?id=1_mKr_aOeXSLttRJYmXjLhnqtG5n4pQZf" TargetMode="External"/><Relationship Id="rId226" Type="http://schemas.openxmlformats.org/officeDocument/2006/relationships/hyperlink" Target="https://drive.google.com/open?id=1OSskrJeQUHK9y9kVD5NnxprQpbyCfyUR" TargetMode="External"/><Relationship Id="rId468" Type="http://schemas.openxmlformats.org/officeDocument/2006/relationships/hyperlink" Target="https://drive.google.com/open?id=1sIOrcGggCGQOOPuB7D_xsDPByYe5iOPv" TargetMode="External"/><Relationship Id="rId225" Type="http://schemas.openxmlformats.org/officeDocument/2006/relationships/hyperlink" Target="https://drive.google.com/open?id=1htvr7SIj2ln67Wbb_aUfCkhhAcNkq2X2" TargetMode="External"/><Relationship Id="rId467" Type="http://schemas.openxmlformats.org/officeDocument/2006/relationships/hyperlink" Target="https://drive.google.com/open?id=1_EEO54W1djAF-Wn9SZ3e0xUuFeNIeUNe" TargetMode="External"/><Relationship Id="rId229" Type="http://schemas.openxmlformats.org/officeDocument/2006/relationships/hyperlink" Target="https://drive.google.com/open?id=1gWGk1xcal9KPAvd7m1WGiqib4vF6CKlr" TargetMode="External"/><Relationship Id="rId1050" Type="http://schemas.openxmlformats.org/officeDocument/2006/relationships/hyperlink" Target="https://drive.google.com/open?id=1tjTbPVyBtCJfu3G2cy2Y3NTlRZaqMEf6" TargetMode="External"/><Relationship Id="rId220" Type="http://schemas.openxmlformats.org/officeDocument/2006/relationships/hyperlink" Target="https://drive.google.com/open?id=1PA5oUP-zqlVgUeGNR3lTy6BziRxs4KQL" TargetMode="External"/><Relationship Id="rId462" Type="http://schemas.openxmlformats.org/officeDocument/2006/relationships/hyperlink" Target="https://drive.google.com/open?id=12MQn2vxPenQj32PBEVrbgvUHqDHjKb7U" TargetMode="External"/><Relationship Id="rId1051" Type="http://schemas.openxmlformats.org/officeDocument/2006/relationships/hyperlink" Target="https://drive.google.com/open?id=1chqMWakwbQr1aysgilDNerg4KGNlBT48" TargetMode="External"/><Relationship Id="rId461" Type="http://schemas.openxmlformats.org/officeDocument/2006/relationships/hyperlink" Target="https://drive.google.com/open?id=1CiOh8hP2XL6uYVPMq1zeeWnn9qQ9xpIY" TargetMode="External"/><Relationship Id="rId1052" Type="http://schemas.openxmlformats.org/officeDocument/2006/relationships/hyperlink" Target="https://drive.google.com/open?id=1wW8ZpomYYsJZoRO8hkXmwMeXX23m5Tbz" TargetMode="External"/><Relationship Id="rId460" Type="http://schemas.openxmlformats.org/officeDocument/2006/relationships/hyperlink" Target="https://drive.google.com/open?id=1qCVJKVZIMCJpPD6oDc6EFtUfk_tNviUr" TargetMode="External"/><Relationship Id="rId1053" Type="http://schemas.openxmlformats.org/officeDocument/2006/relationships/hyperlink" Target="https://drive.google.com/open?id=1RhQVOHWE21KDbTdhvBkf9135pt3QuZDX" TargetMode="External"/><Relationship Id="rId1054" Type="http://schemas.openxmlformats.org/officeDocument/2006/relationships/hyperlink" Target="https://drive.google.com/open?id=11x5pYAxocKeFFlYXuexEua_MUgcsmN0z" TargetMode="External"/><Relationship Id="rId224" Type="http://schemas.openxmlformats.org/officeDocument/2006/relationships/hyperlink" Target="https://drive.google.com/open?id=136c9yhBWsYBjNpxw6VQ65nHRg98pZusv" TargetMode="External"/><Relationship Id="rId466" Type="http://schemas.openxmlformats.org/officeDocument/2006/relationships/hyperlink" Target="https://drive.google.com/open?id=1zKCRkW4nKe62APf-1Ik2FCKQrpyCFgde" TargetMode="External"/><Relationship Id="rId1055" Type="http://schemas.openxmlformats.org/officeDocument/2006/relationships/hyperlink" Target="https://drive.google.com/open?id=1dn1PtUwH-kQFT-poApSRxOdunhNwQ5GN" TargetMode="External"/><Relationship Id="rId223" Type="http://schemas.openxmlformats.org/officeDocument/2006/relationships/hyperlink" Target="https://drive.google.com/open?id=1yCUkxIkfqAOo3aENYFomzdW6WnI2yZgE" TargetMode="External"/><Relationship Id="rId465" Type="http://schemas.openxmlformats.org/officeDocument/2006/relationships/hyperlink" Target="https://drive.google.com/open?id=1JiIQHT4BWLQc_47ePRBr9QFJMocCdqC7" TargetMode="External"/><Relationship Id="rId1056" Type="http://schemas.openxmlformats.org/officeDocument/2006/relationships/hyperlink" Target="https://drive.google.com/open?id=18Cmvoe8Elr3HhK57DKr30e5vBZGCoSRi" TargetMode="External"/><Relationship Id="rId222" Type="http://schemas.openxmlformats.org/officeDocument/2006/relationships/hyperlink" Target="https://drive.google.com/open?id=1RcpSpACSH_-wMB7c5mIdPYUzqg24X5Vc" TargetMode="External"/><Relationship Id="rId464" Type="http://schemas.openxmlformats.org/officeDocument/2006/relationships/hyperlink" Target="https://drive.google.com/open?id=1Cf0nTWBDpIzbV8AxOsXodeMVbc4FUDJ-" TargetMode="External"/><Relationship Id="rId1057" Type="http://schemas.openxmlformats.org/officeDocument/2006/relationships/hyperlink" Target="https://drive.google.com/open?id=1chHZAGHwdQwJaCoaXs_2pz4RM-pOCYGu" TargetMode="External"/><Relationship Id="rId221" Type="http://schemas.openxmlformats.org/officeDocument/2006/relationships/hyperlink" Target="https://drive.google.com/open?id=1YhRCEQbw1JQEMGkdmRCrqYmZuXRzyh1A" TargetMode="External"/><Relationship Id="rId463" Type="http://schemas.openxmlformats.org/officeDocument/2006/relationships/hyperlink" Target="https://drive.google.com/open?id=13Wbzg4jR2uc1wQLqeNS7fFilod7EHtbc" TargetMode="External"/><Relationship Id="rId1058" Type="http://schemas.openxmlformats.org/officeDocument/2006/relationships/hyperlink" Target="https://drive.google.com/open?id=1GP375WLDCOvLmXLJtlKrVkUVytnM876c" TargetMode="External"/><Relationship Id="rId1048" Type="http://schemas.openxmlformats.org/officeDocument/2006/relationships/hyperlink" Target="https://drive.google.com/open?id=1d6XfaQ-Qv3N0dlWqADJAVAaZYwixD4oH" TargetMode="External"/><Relationship Id="rId1049" Type="http://schemas.openxmlformats.org/officeDocument/2006/relationships/hyperlink" Target="https://drive.google.com/open?id=1_tIqTmvqAPteC6Yq3XO6pOFTYehlt1os" TargetMode="External"/><Relationship Id="rId217" Type="http://schemas.openxmlformats.org/officeDocument/2006/relationships/hyperlink" Target="https://drive.google.com/open?id=1BywdKgddwj4-0uY-kvZsIkcpYw7gAipl" TargetMode="External"/><Relationship Id="rId459" Type="http://schemas.openxmlformats.org/officeDocument/2006/relationships/hyperlink" Target="https://drive.google.com/open?id=1KHvZTgUF18VDsa4qMtbTKqcmyTabByK-" TargetMode="External"/><Relationship Id="rId216" Type="http://schemas.openxmlformats.org/officeDocument/2006/relationships/hyperlink" Target="https://drive.google.com/open?id=1ibgQAZ0zFzqJvn-tcLKJz1eQPvRQcHxs" TargetMode="External"/><Relationship Id="rId458" Type="http://schemas.openxmlformats.org/officeDocument/2006/relationships/hyperlink" Target="https://drive.google.com/open?id=1cIwjK1XUpUQxSLRoLoJVvZlCxpfmrCmu" TargetMode="External"/><Relationship Id="rId215" Type="http://schemas.openxmlformats.org/officeDocument/2006/relationships/hyperlink" Target="https://drive.google.com/open?id=1ojKiS2jmgYgoCehC5FQhn2OEQhRpxJZR" TargetMode="External"/><Relationship Id="rId457" Type="http://schemas.openxmlformats.org/officeDocument/2006/relationships/hyperlink" Target="https://drive.google.com/open?id=1VK3klVJFHqAdmONOVUHse4f12ATr8yPG" TargetMode="External"/><Relationship Id="rId699" Type="http://schemas.openxmlformats.org/officeDocument/2006/relationships/hyperlink" Target="https://drive.google.com/open?id=19878G_dD1k6C-693vqgv0V9y0LRrWEYi" TargetMode="External"/><Relationship Id="rId214" Type="http://schemas.openxmlformats.org/officeDocument/2006/relationships/hyperlink" Target="https://drive.google.com/open?id=1RzLxrPFeUjUbNMGYTUCVgvyamTX4_OU-" TargetMode="External"/><Relationship Id="rId456" Type="http://schemas.openxmlformats.org/officeDocument/2006/relationships/hyperlink" Target="https://drive.google.com/open?id=1J0BoBHBYo5jMtUycTGV5oXWngeHDhVe7" TargetMode="External"/><Relationship Id="rId698" Type="http://schemas.openxmlformats.org/officeDocument/2006/relationships/hyperlink" Target="https://drive.google.com/open?id=19LYGvqS1uFvXVSI-Y4MbsUuJNCI0yLrw" TargetMode="External"/><Relationship Id="rId219" Type="http://schemas.openxmlformats.org/officeDocument/2006/relationships/hyperlink" Target="https://drive.google.com/open?id=1pFUf9z66HcIh_tKDgH-Fu_lNNTD1Lmmp" TargetMode="External"/><Relationship Id="rId218" Type="http://schemas.openxmlformats.org/officeDocument/2006/relationships/hyperlink" Target="https://drive.google.com/open?id=1U0t8cX_svZ4GTNyPlR4E2xUQpk8qui-B" TargetMode="External"/><Relationship Id="rId451" Type="http://schemas.openxmlformats.org/officeDocument/2006/relationships/hyperlink" Target="https://drive.google.com/open?id=1_fdgG-dBEy2ParfPDg2zoiom2UeGKRHV" TargetMode="External"/><Relationship Id="rId693" Type="http://schemas.openxmlformats.org/officeDocument/2006/relationships/hyperlink" Target="https://drive.google.com/open?id=148oEdFDKnyvNpbbv4NqHYLtxs4aEiTP8" TargetMode="External"/><Relationship Id="rId1040" Type="http://schemas.openxmlformats.org/officeDocument/2006/relationships/hyperlink" Target="https://drive.google.com/open?id=1Qd9xoIPCFeRRyh4SLZTcGyeHumIxLr78" TargetMode="External"/><Relationship Id="rId450" Type="http://schemas.openxmlformats.org/officeDocument/2006/relationships/hyperlink" Target="https://drive.google.com/open?id=1WD3DMxY9A10tAIv_oNy0LzHdOmhWlM51" TargetMode="External"/><Relationship Id="rId692" Type="http://schemas.openxmlformats.org/officeDocument/2006/relationships/hyperlink" Target="https://drive.google.com/open?id=1Y3EJUtlUmIBYUUL9S9EWOQJEwUM3dnLX" TargetMode="External"/><Relationship Id="rId1041" Type="http://schemas.openxmlformats.org/officeDocument/2006/relationships/hyperlink" Target="https://drive.google.com/open?id=1YYYS2MnCVyjRX57pCfxX6EGeoKEsQNU_" TargetMode="External"/><Relationship Id="rId691" Type="http://schemas.openxmlformats.org/officeDocument/2006/relationships/hyperlink" Target="https://drive.google.com/open?id=1ZAkkKaY6ft4KSmaAO15C2Iqp_Tn0OfrN" TargetMode="External"/><Relationship Id="rId1042" Type="http://schemas.openxmlformats.org/officeDocument/2006/relationships/hyperlink" Target="https://drive.google.com/open?id=1ZrKpUCHe-ZUkQf8uLLpyM9xDjcOYsNhq" TargetMode="External"/><Relationship Id="rId690" Type="http://schemas.openxmlformats.org/officeDocument/2006/relationships/hyperlink" Target="https://drive.google.com/open?id=1NjpAeTv9eRAdNMbyjnRpRUx-fWeAGoF8" TargetMode="External"/><Relationship Id="rId1043" Type="http://schemas.openxmlformats.org/officeDocument/2006/relationships/hyperlink" Target="https://drive.google.com/open?id=1e_O16vY6o0zzX27tE_ydcf03HuVDGW1J" TargetMode="External"/><Relationship Id="rId213" Type="http://schemas.openxmlformats.org/officeDocument/2006/relationships/hyperlink" Target="https://drive.google.com/open?id=1rytQKuofCvHdVjB1bJXeN27qBnbvMpMM" TargetMode="External"/><Relationship Id="rId455" Type="http://schemas.openxmlformats.org/officeDocument/2006/relationships/hyperlink" Target="https://drive.google.com/open?id=1SgXTitgD4oOQ20mOdLqRn81HL6HPfCtL" TargetMode="External"/><Relationship Id="rId697" Type="http://schemas.openxmlformats.org/officeDocument/2006/relationships/hyperlink" Target="https://drive.google.com/open?id=1ctLe_m3HD9RrU9JUQIIyPDf8ycSYiKjh" TargetMode="External"/><Relationship Id="rId1044" Type="http://schemas.openxmlformats.org/officeDocument/2006/relationships/hyperlink" Target="https://drive.google.com/open?id=19gEbwqr29KHt2os0_acTbspd8NbLkeP3" TargetMode="External"/><Relationship Id="rId212" Type="http://schemas.openxmlformats.org/officeDocument/2006/relationships/hyperlink" Target="https://drive.google.com/open?id=1bmj2fLjmb9tVj2zdU8F11U8NC5szo9WH" TargetMode="External"/><Relationship Id="rId454" Type="http://schemas.openxmlformats.org/officeDocument/2006/relationships/hyperlink" Target="https://drive.google.com/open?id=1-CJDXMq7DQVpvynM7QdA33cVXOGbgGji" TargetMode="External"/><Relationship Id="rId696" Type="http://schemas.openxmlformats.org/officeDocument/2006/relationships/hyperlink" Target="https://drive.google.com/open?id=16XNdidMOLABxMEmTuGJxVXV280UEGedL" TargetMode="External"/><Relationship Id="rId1045" Type="http://schemas.openxmlformats.org/officeDocument/2006/relationships/hyperlink" Target="https://drive.google.com/open?id=1u6wPtFsbaE3q7qSCNtgIgSecnR-8oIvc" TargetMode="External"/><Relationship Id="rId211" Type="http://schemas.openxmlformats.org/officeDocument/2006/relationships/hyperlink" Target="https://drive.google.com/open?id=1CXGocJEZscby7-HMU299TGiWMMzcgJWV" TargetMode="External"/><Relationship Id="rId453" Type="http://schemas.openxmlformats.org/officeDocument/2006/relationships/hyperlink" Target="https://drive.google.com/open?id=1M8zMp-qgIRdS4BDNWCpebPONnOlZCtsQ" TargetMode="External"/><Relationship Id="rId695" Type="http://schemas.openxmlformats.org/officeDocument/2006/relationships/hyperlink" Target="https://drive.google.com/open?id=1e0Icl_P8cf8CKgt_GexKYXeqoS_yfu0A" TargetMode="External"/><Relationship Id="rId1046" Type="http://schemas.openxmlformats.org/officeDocument/2006/relationships/hyperlink" Target="https://drive.google.com/open?id=1Tz8bjzBd4Sp9MjNjxYByEnQBllfs2Kud" TargetMode="External"/><Relationship Id="rId210" Type="http://schemas.openxmlformats.org/officeDocument/2006/relationships/hyperlink" Target="https://drive.google.com/open?id=1vAHNqbZvheskwMRE-HXKFOvngoCEZX0Q" TargetMode="External"/><Relationship Id="rId452" Type="http://schemas.openxmlformats.org/officeDocument/2006/relationships/hyperlink" Target="https://drive.google.com/open?id=1-dQkSnWGRy2839rryVLXIzr38fU0unb6" TargetMode="External"/><Relationship Id="rId694" Type="http://schemas.openxmlformats.org/officeDocument/2006/relationships/hyperlink" Target="https://drive.google.com/open?id=1sfyn750_YTwT-YamVV_4tZUqCK5BcGzF" TargetMode="External"/><Relationship Id="rId1047" Type="http://schemas.openxmlformats.org/officeDocument/2006/relationships/hyperlink" Target="https://drive.google.com/open?id=1rX3x8UElGO456op052D2AZaf_tBBMKOe" TargetMode="External"/><Relationship Id="rId491" Type="http://schemas.openxmlformats.org/officeDocument/2006/relationships/hyperlink" Target="https://drive.google.com/open?id=1pOTjYPmoezKh6ecy735PmjRQ29u5uXHD" TargetMode="External"/><Relationship Id="rId490" Type="http://schemas.openxmlformats.org/officeDocument/2006/relationships/hyperlink" Target="https://drive.google.com/open?id=1lPrsUVeZCLcYmftqKjQfVuQd5qf-jyzL" TargetMode="External"/><Relationship Id="rId249" Type="http://schemas.openxmlformats.org/officeDocument/2006/relationships/hyperlink" Target="https://drive.google.com/open?id=1RfYgdHlh_Pvh1JPYiy9z3gisK7YmWORs" TargetMode="External"/><Relationship Id="rId248" Type="http://schemas.openxmlformats.org/officeDocument/2006/relationships/hyperlink" Target="https://drive.google.com/open?id=1HmicLoXNnAnutYgXkaFDLV6wml0YDkez" TargetMode="External"/><Relationship Id="rId247" Type="http://schemas.openxmlformats.org/officeDocument/2006/relationships/hyperlink" Target="https://drive.google.com/open?id=1g8nrp2e0ZCw796jU2aiBR2nsle7Wk8YS" TargetMode="External"/><Relationship Id="rId489" Type="http://schemas.openxmlformats.org/officeDocument/2006/relationships/hyperlink" Target="https://drive.google.com/open?id=11GbRkGJe_DRgi_jidIOP2lUgMz13SY9M" TargetMode="External"/><Relationship Id="rId1070" Type="http://schemas.openxmlformats.org/officeDocument/2006/relationships/hyperlink" Target="https://drive.google.com/open?id=1vdC-xktbflwemeRNOWIsKE_ApBVq2um0" TargetMode="External"/><Relationship Id="rId1071" Type="http://schemas.openxmlformats.org/officeDocument/2006/relationships/hyperlink" Target="https://drive.google.com/open?id=1j1mlvoFPLMsB6rg0yEVoDC-EXsxrVwaY" TargetMode="External"/><Relationship Id="rId1072" Type="http://schemas.openxmlformats.org/officeDocument/2006/relationships/hyperlink" Target="https://drive.google.com/open?id=1WnoFo6-db5or9ClAzTX0tHV76W4AIpoU" TargetMode="External"/><Relationship Id="rId242" Type="http://schemas.openxmlformats.org/officeDocument/2006/relationships/hyperlink" Target="https://drive.google.com/open?id=1k8_lLGGGGS7ZyZ5Anr-WFyTvlMHamcQr" TargetMode="External"/><Relationship Id="rId484" Type="http://schemas.openxmlformats.org/officeDocument/2006/relationships/hyperlink" Target="https://drive.google.com/open?id=1aUe--SRxk4w7OOoxuKXtO5GtY7jZfrtW" TargetMode="External"/><Relationship Id="rId1073" Type="http://schemas.openxmlformats.org/officeDocument/2006/relationships/hyperlink" Target="https://drive.google.com/open?id=1iFaYwF-o_biuedtkG2gOolcVtIwuBbUL" TargetMode="External"/><Relationship Id="rId241" Type="http://schemas.openxmlformats.org/officeDocument/2006/relationships/hyperlink" Target="https://drive.google.com/open?id=1JYma4bnlXVABTwFlTl3rCG20JjwkujYk" TargetMode="External"/><Relationship Id="rId483" Type="http://schemas.openxmlformats.org/officeDocument/2006/relationships/hyperlink" Target="https://drive.google.com/open?id=15GZgE7CdRZK3KYDqkbKzJ6FfZOOQA-3I" TargetMode="External"/><Relationship Id="rId1074" Type="http://schemas.openxmlformats.org/officeDocument/2006/relationships/hyperlink" Target="https://drive.google.com/open?id=1FGbaG2C2Xj8GOL1Z_qr6_dmyKXtCggBq" TargetMode="External"/><Relationship Id="rId240" Type="http://schemas.openxmlformats.org/officeDocument/2006/relationships/hyperlink" Target="https://drive.google.com/open?id=1XxLjidXctSfFf4j5PcWvsktGp0DwVAa0" TargetMode="External"/><Relationship Id="rId482" Type="http://schemas.openxmlformats.org/officeDocument/2006/relationships/hyperlink" Target="https://drive.google.com/open?id=1Lt6lmGpk77Ave5VWKUBFoETTkgdAS4RZ" TargetMode="External"/><Relationship Id="rId1075" Type="http://schemas.openxmlformats.org/officeDocument/2006/relationships/hyperlink" Target="https://drive.google.com/open?id=14m6CTsQ9NQDSxmmXNszogDs119KrcflY" TargetMode="External"/><Relationship Id="rId481" Type="http://schemas.openxmlformats.org/officeDocument/2006/relationships/hyperlink" Target="https://drive.google.com/open?id=1LaWacgfyHC4k6Ps3zd8YYMSNUXtiHm6S" TargetMode="External"/><Relationship Id="rId1076" Type="http://schemas.openxmlformats.org/officeDocument/2006/relationships/hyperlink" Target="https://drive.google.com/open?id=1EpICp0DeHWru-7LshnLU7TqCyxJXtSJK" TargetMode="External"/><Relationship Id="rId246" Type="http://schemas.openxmlformats.org/officeDocument/2006/relationships/hyperlink" Target="https://drive.google.com/open?id=1_HrPHtOmfqFuwtnrxrg-aYJMuCC0Usuf" TargetMode="External"/><Relationship Id="rId488" Type="http://schemas.openxmlformats.org/officeDocument/2006/relationships/hyperlink" Target="https://drive.google.com/open?id=1lebHIgNarG0naFEfli0csNAGLCAJ592r" TargetMode="External"/><Relationship Id="rId1077" Type="http://schemas.openxmlformats.org/officeDocument/2006/relationships/hyperlink" Target="https://drive.google.com/open?id=1ScTuLI8693CT3Tjj1cDd6GgeL6iDTzby" TargetMode="External"/><Relationship Id="rId245" Type="http://schemas.openxmlformats.org/officeDocument/2006/relationships/hyperlink" Target="https://drive.google.com/open?id=1hEtDHWcl5S2ODQBJpHXAmam-00iazmXm" TargetMode="External"/><Relationship Id="rId487" Type="http://schemas.openxmlformats.org/officeDocument/2006/relationships/hyperlink" Target="https://drive.google.com/open?id=1KvgieoczdxARCWV4QYYB9onCu4hYuuyv" TargetMode="External"/><Relationship Id="rId1078" Type="http://schemas.openxmlformats.org/officeDocument/2006/relationships/hyperlink" Target="https://drive.google.com/open?id=192uSGEnap5tHfRCvmWEACmruM1y9xs0I" TargetMode="External"/><Relationship Id="rId244" Type="http://schemas.openxmlformats.org/officeDocument/2006/relationships/hyperlink" Target="https://drive.google.com/open?id=1KmMiRO21ZTFVqy1wHY9TxI-MC03Im4uU" TargetMode="External"/><Relationship Id="rId486" Type="http://schemas.openxmlformats.org/officeDocument/2006/relationships/hyperlink" Target="https://drive.google.com/open?id=1b_KUpmjez8m8-sZLQyDGHcBLai_OsUmi" TargetMode="External"/><Relationship Id="rId1079" Type="http://schemas.openxmlformats.org/officeDocument/2006/relationships/hyperlink" Target="https://drive.google.com/open?id=171FPlEzs2SFtzFAvpxlGrT3L8N62oDlp" TargetMode="External"/><Relationship Id="rId243" Type="http://schemas.openxmlformats.org/officeDocument/2006/relationships/hyperlink" Target="https://drive.google.com/open?id=1UI_OndQZ6HoZt89Dz4YWn7SQCYAfW_1Q" TargetMode="External"/><Relationship Id="rId485" Type="http://schemas.openxmlformats.org/officeDocument/2006/relationships/hyperlink" Target="https://drive.google.com/open?id=1VJEcBT6cVQpC34hMBOy5hDzZU5ed5yCw" TargetMode="External"/><Relationship Id="rId480" Type="http://schemas.openxmlformats.org/officeDocument/2006/relationships/hyperlink" Target="https://drive.google.com/open?id=1q-Lpj1Tb9HRdDqKwsFMchQsslct8ZxBN" TargetMode="External"/><Relationship Id="rId239" Type="http://schemas.openxmlformats.org/officeDocument/2006/relationships/hyperlink" Target="https://drive.google.com/open?id=1QCacDRWPO15yZWwK7jlXyAVkWYfUanik" TargetMode="External"/><Relationship Id="rId238" Type="http://schemas.openxmlformats.org/officeDocument/2006/relationships/hyperlink" Target="https://drive.google.com/open?id=1zZLB5iCAJBMTwiD9hDXcL1WPMbvfWl3J" TargetMode="External"/><Relationship Id="rId237" Type="http://schemas.openxmlformats.org/officeDocument/2006/relationships/hyperlink" Target="https://drive.google.com/open?id=1lPrknQDxs7nNfVA0MzQees0nuXp0FykI" TargetMode="External"/><Relationship Id="rId479" Type="http://schemas.openxmlformats.org/officeDocument/2006/relationships/hyperlink" Target="https://drive.google.com/open?id=1i827S946ukbTmGWRe2szE5L25Br5cflT" TargetMode="External"/><Relationship Id="rId236" Type="http://schemas.openxmlformats.org/officeDocument/2006/relationships/hyperlink" Target="https://drive.google.com/open?id=1cetmFoizIRFSAERn1HhSpBz_DoGrHy-N" TargetMode="External"/><Relationship Id="rId478" Type="http://schemas.openxmlformats.org/officeDocument/2006/relationships/hyperlink" Target="https://drive.google.com/open?id=1PpR2uWZz2iIn42EXKmrRh5lWAAl4AuG6" TargetMode="External"/><Relationship Id="rId1060" Type="http://schemas.openxmlformats.org/officeDocument/2006/relationships/hyperlink" Target="https://drive.google.com/open?id=1f2-PG5YEt1jdXvIQ4ChCtiaTaY55aoSr" TargetMode="External"/><Relationship Id="rId1061" Type="http://schemas.openxmlformats.org/officeDocument/2006/relationships/hyperlink" Target="https://drive.google.com/open?id=13DUxEJlrLNh5qf87LSgVu3-wXsS1VXrv" TargetMode="External"/><Relationship Id="rId231" Type="http://schemas.openxmlformats.org/officeDocument/2006/relationships/hyperlink" Target="https://drive.google.com/open?id=13tskYvEmzZpvyKehamBHjE9Ea18DstrR" TargetMode="External"/><Relationship Id="rId473" Type="http://schemas.openxmlformats.org/officeDocument/2006/relationships/hyperlink" Target="https://drive.google.com/open?id=1ojp-v70sLxz41Qkd51WvFf8UjkXaom7q" TargetMode="External"/><Relationship Id="rId1062" Type="http://schemas.openxmlformats.org/officeDocument/2006/relationships/hyperlink" Target="https://drive.google.com/open?id=11RQ-QDSUC5J1Jy2uRIu6mJSIqaYQhsBv" TargetMode="External"/><Relationship Id="rId230" Type="http://schemas.openxmlformats.org/officeDocument/2006/relationships/hyperlink" Target="https://drive.google.com/open?id=1yyZPCNOLHgeAD1mFRIHXOKhzpAQFaKo_" TargetMode="External"/><Relationship Id="rId472" Type="http://schemas.openxmlformats.org/officeDocument/2006/relationships/hyperlink" Target="https://drive.google.com/open?id=1A_Icl6EtpyQI67ZvXKQGI9fxOWwfT78X" TargetMode="External"/><Relationship Id="rId1063" Type="http://schemas.openxmlformats.org/officeDocument/2006/relationships/hyperlink" Target="https://drive.google.com/open?id=11MfjLIgOTjvbqW2rJzp_J0qp4BfsdZ88" TargetMode="External"/><Relationship Id="rId471" Type="http://schemas.openxmlformats.org/officeDocument/2006/relationships/hyperlink" Target="https://drive.google.com/open?id=1r9intHGZaltFKjPxUcmmyTAebWGM349J" TargetMode="External"/><Relationship Id="rId1064" Type="http://schemas.openxmlformats.org/officeDocument/2006/relationships/hyperlink" Target="https://drive.google.com/open?id=1c5spwiSVjEa-pKYtJobru5_aUwDzeulz" TargetMode="External"/><Relationship Id="rId470" Type="http://schemas.openxmlformats.org/officeDocument/2006/relationships/hyperlink" Target="https://drive.google.com/open?id=1Pv3w467R3YEjvrkKrPTqmnljUGRxkSpO" TargetMode="External"/><Relationship Id="rId1065" Type="http://schemas.openxmlformats.org/officeDocument/2006/relationships/hyperlink" Target="https://drive.google.com/open?id=1jtXl5cW_m-R9Oh6QbZME0sMfzYTleghQ" TargetMode="External"/><Relationship Id="rId235" Type="http://schemas.openxmlformats.org/officeDocument/2006/relationships/hyperlink" Target="https://drive.google.com/open?id=18FMEyte2NIXckV7AEH5Mn5NgjdAGYmYA" TargetMode="External"/><Relationship Id="rId477" Type="http://schemas.openxmlformats.org/officeDocument/2006/relationships/hyperlink" Target="https://drive.google.com/open?id=13m0JnQpgM-rmY2iLEwDcjJED9vERtSxW" TargetMode="External"/><Relationship Id="rId1066" Type="http://schemas.openxmlformats.org/officeDocument/2006/relationships/hyperlink" Target="https://drive.google.com/open?id=1GpPHLp-GWKjbLwSlxbx4Cll0_HlbOnJ8" TargetMode="External"/><Relationship Id="rId234" Type="http://schemas.openxmlformats.org/officeDocument/2006/relationships/hyperlink" Target="https://drive.google.com/open?id=1BmCvLOFaFAZ9Y4QFPGMoL1NTpYUv7_Td" TargetMode="External"/><Relationship Id="rId476" Type="http://schemas.openxmlformats.org/officeDocument/2006/relationships/hyperlink" Target="https://drive.google.com/open?id=1A_7no1prTHSNPGeZ3HpkokCxqItLjVvk" TargetMode="External"/><Relationship Id="rId1067" Type="http://schemas.openxmlformats.org/officeDocument/2006/relationships/hyperlink" Target="https://drive.google.com/open?id=1mrJRh1yqhvzNjjKLs1ytBF7V4rDTjoa2" TargetMode="External"/><Relationship Id="rId233" Type="http://schemas.openxmlformats.org/officeDocument/2006/relationships/hyperlink" Target="https://drive.google.com/open?id=1t7GFEA_FSOEVY_6g0X6S7PVPZ6dEbroj" TargetMode="External"/><Relationship Id="rId475" Type="http://schemas.openxmlformats.org/officeDocument/2006/relationships/hyperlink" Target="https://drive.google.com/open?id=1IHUee6kNRl-4_fIQRM9cx3nFOXZloUNR" TargetMode="External"/><Relationship Id="rId1068" Type="http://schemas.openxmlformats.org/officeDocument/2006/relationships/hyperlink" Target="https://drive.google.com/open?id=1PNFyk0CMdN2Bfuz_7h28xeTA6lA9c3CP" TargetMode="External"/><Relationship Id="rId232" Type="http://schemas.openxmlformats.org/officeDocument/2006/relationships/hyperlink" Target="https://drive.google.com/open?id=1w-k0Hc0RDdtANHUujmdINPNQbq2r0TI8" TargetMode="External"/><Relationship Id="rId474" Type="http://schemas.openxmlformats.org/officeDocument/2006/relationships/hyperlink" Target="https://drive.google.com/open?id=1guvQIMRejhBKcqIhUzpZOxd2kmNCsua7" TargetMode="External"/><Relationship Id="rId1069" Type="http://schemas.openxmlformats.org/officeDocument/2006/relationships/hyperlink" Target="https://drive.google.com/open?id=1jGNsavWOWWWF8cqQNsyUBJ8wCQZRt0WT" TargetMode="External"/><Relationship Id="rId1015" Type="http://schemas.openxmlformats.org/officeDocument/2006/relationships/hyperlink" Target="https://drive.google.com/open?id=1s2NVdycnxlsKv7dz5TdemN5siJqQ-2vT" TargetMode="External"/><Relationship Id="rId1016" Type="http://schemas.openxmlformats.org/officeDocument/2006/relationships/hyperlink" Target="https://drive.google.com/open?id=1D2LuI82PfsVvC8o9xfIij4JTkxD-0TZY" TargetMode="External"/><Relationship Id="rId1017" Type="http://schemas.openxmlformats.org/officeDocument/2006/relationships/hyperlink" Target="https://drive.google.com/open?id=1hkbBYiixNWvXmJL-DgrCjU8F0k9czmFG" TargetMode="External"/><Relationship Id="rId1018" Type="http://schemas.openxmlformats.org/officeDocument/2006/relationships/hyperlink" Target="https://drive.google.com/open?id=15YOj_reN44LJpSFLaQilvmB9Fylrkgrz" TargetMode="External"/><Relationship Id="rId1019" Type="http://schemas.openxmlformats.org/officeDocument/2006/relationships/hyperlink" Target="https://drive.google.com/open?id=1UO9Fq8ke0rwRhWrlgRmhHzxzjQB4FzSx" TargetMode="External"/><Relationship Id="rId426" Type="http://schemas.openxmlformats.org/officeDocument/2006/relationships/hyperlink" Target="https://drive.google.com/open?id=1Eb3RxuuP4X-6gtMKBykKrsF134diM2bY" TargetMode="External"/><Relationship Id="rId668" Type="http://schemas.openxmlformats.org/officeDocument/2006/relationships/hyperlink" Target="https://drive.google.com/open?id=108X_iUu-9guXQllOfLHwt7_5qymXHAkL" TargetMode="External"/><Relationship Id="rId425" Type="http://schemas.openxmlformats.org/officeDocument/2006/relationships/hyperlink" Target="https://drive.google.com/open?id=1OI07TKtRiGXPK_MvA6rCFZUdLq4YBe7c" TargetMode="External"/><Relationship Id="rId667" Type="http://schemas.openxmlformats.org/officeDocument/2006/relationships/hyperlink" Target="https://drive.google.com/open?id=1o1Th1tinWNEmGxZ34yhyW55Xoh5IyvV9" TargetMode="External"/><Relationship Id="rId424" Type="http://schemas.openxmlformats.org/officeDocument/2006/relationships/hyperlink" Target="https://drive.google.com/open?id=1Cuepk7UNQimykMf-zGUVR9lcuZWWOTEZ" TargetMode="External"/><Relationship Id="rId666" Type="http://schemas.openxmlformats.org/officeDocument/2006/relationships/hyperlink" Target="https://drive.google.com/open?id=1YS7oRbIoN9IMXViX-YNhmXoGEpXZohls" TargetMode="External"/><Relationship Id="rId423" Type="http://schemas.openxmlformats.org/officeDocument/2006/relationships/hyperlink" Target="https://drive.google.com/open?id=1pkRE0hD2LVF4Fnv-Fql0qa8_lWwC--t_" TargetMode="External"/><Relationship Id="rId665" Type="http://schemas.openxmlformats.org/officeDocument/2006/relationships/hyperlink" Target="https://drive.google.com/open?id=15IBW0GvqtUeiE5O7kF5-1DK8h4tXXS5W" TargetMode="External"/><Relationship Id="rId429" Type="http://schemas.openxmlformats.org/officeDocument/2006/relationships/hyperlink" Target="https://drive.google.com/open?id=1YCgN4Xz-hOmdsLwMAoq_WUHHhYlJGd5k" TargetMode="External"/><Relationship Id="rId428" Type="http://schemas.openxmlformats.org/officeDocument/2006/relationships/hyperlink" Target="https://drive.google.com/open?id=1iMUeg6DVcGpi7Gs9VZGY1s6UbwRdvZsz" TargetMode="External"/><Relationship Id="rId427" Type="http://schemas.openxmlformats.org/officeDocument/2006/relationships/hyperlink" Target="https://drive.google.com/open?id=1tEKo4fvcw5vGNWfcQf50yWLl9z6xWvb3" TargetMode="External"/><Relationship Id="rId669" Type="http://schemas.openxmlformats.org/officeDocument/2006/relationships/hyperlink" Target="https://drive.google.com/open?id=1AIPjoUwWLvYVrO01R0e6A4fi_MbXf043" TargetMode="External"/><Relationship Id="rId660" Type="http://schemas.openxmlformats.org/officeDocument/2006/relationships/hyperlink" Target="https://drive.google.com/open?id=1fcwOhaled77ndwhQhCOOmB9BRKxgZ_1I" TargetMode="External"/><Relationship Id="rId1010" Type="http://schemas.openxmlformats.org/officeDocument/2006/relationships/hyperlink" Target="https://drive.google.com/open?id=1FhtNNQIcCBSGhkkc430icBcQXcwFfDTt" TargetMode="External"/><Relationship Id="rId422" Type="http://schemas.openxmlformats.org/officeDocument/2006/relationships/hyperlink" Target="https://drive.google.com/open?id=1nMVYEV8diemtgAVj4krHvYH4hVY3Z-db" TargetMode="External"/><Relationship Id="rId664" Type="http://schemas.openxmlformats.org/officeDocument/2006/relationships/hyperlink" Target="https://drive.google.com/open?id=1xXbkCAC_G-TvWLm6VBp5wK5SYqSOZkR9" TargetMode="External"/><Relationship Id="rId1011" Type="http://schemas.openxmlformats.org/officeDocument/2006/relationships/hyperlink" Target="https://drive.google.com/open?id=1T8fPfqTdF9H9pt9Cq-DuOUZPDW9fp1Er" TargetMode="External"/><Relationship Id="rId421" Type="http://schemas.openxmlformats.org/officeDocument/2006/relationships/hyperlink" Target="https://drive.google.com/open?id=1OIxBrFlY35bchHL8cyEmE_HPAUumVPkY" TargetMode="External"/><Relationship Id="rId663" Type="http://schemas.openxmlformats.org/officeDocument/2006/relationships/hyperlink" Target="https://drive.google.com/open?id=1L_ciytvy8oH_aF1xoBw3gSHx5Hv4bXyZ" TargetMode="External"/><Relationship Id="rId1012" Type="http://schemas.openxmlformats.org/officeDocument/2006/relationships/hyperlink" Target="https://drive.google.com/open?id=1MCiu230ZCVWnsGI-a8Jra1ONqstrOJkx" TargetMode="External"/><Relationship Id="rId420" Type="http://schemas.openxmlformats.org/officeDocument/2006/relationships/hyperlink" Target="https://drive.google.com/open?id=1oWAxHSmYeWplEso64iTbfTiHC2t7YR2Q" TargetMode="External"/><Relationship Id="rId662" Type="http://schemas.openxmlformats.org/officeDocument/2006/relationships/hyperlink" Target="https://drive.google.com/open?id=1fisldN28CzZPxzxsH-y-5KLzXD8yGq2m" TargetMode="External"/><Relationship Id="rId1013" Type="http://schemas.openxmlformats.org/officeDocument/2006/relationships/hyperlink" Target="https://drive.google.com/open?id=1cit-kjujWvzmhS0Y_bXSKjeZqaMco87W" TargetMode="External"/><Relationship Id="rId661" Type="http://schemas.openxmlformats.org/officeDocument/2006/relationships/hyperlink" Target="https://drive.google.com/open?id=1yl49K_074O8w24_ICem9P--VmIC3jJZY" TargetMode="External"/><Relationship Id="rId1014" Type="http://schemas.openxmlformats.org/officeDocument/2006/relationships/hyperlink" Target="https://drive.google.com/open?id=1dGu8TLkn3jxS0R9o9Jqa0m3TKHjY3o6f" TargetMode="External"/><Relationship Id="rId1004" Type="http://schemas.openxmlformats.org/officeDocument/2006/relationships/hyperlink" Target="https://drive.google.com/open?id=1Fayq7zA3eIcbV3UtmFnDCqlILi0pWhEH" TargetMode="External"/><Relationship Id="rId1005" Type="http://schemas.openxmlformats.org/officeDocument/2006/relationships/hyperlink" Target="https://drive.google.com/open?id=1yl5yh2xErF8JMySmzEkPoAey97aLToli" TargetMode="External"/><Relationship Id="rId1006" Type="http://schemas.openxmlformats.org/officeDocument/2006/relationships/hyperlink" Target="https://drive.google.com/open?id=1AYdpF3Kc37pYPMqS9OfOkM6C_koVHk9G" TargetMode="External"/><Relationship Id="rId1007" Type="http://schemas.openxmlformats.org/officeDocument/2006/relationships/hyperlink" Target="https://drive.google.com/open?id=177G630lMvfKb_SsXPdxPkb9VOuwyFB4v" TargetMode="External"/><Relationship Id="rId1008" Type="http://schemas.openxmlformats.org/officeDocument/2006/relationships/hyperlink" Target="https://drive.google.com/open?id=11jJaT0T7Sk_GLii2oVdZkHSiQ5vmACO0" TargetMode="External"/><Relationship Id="rId1009" Type="http://schemas.openxmlformats.org/officeDocument/2006/relationships/hyperlink" Target="https://drive.google.com/open?id=1e4ARuFeWrSv-SZsuj-uYGVht_eReZjPZ" TargetMode="External"/><Relationship Id="rId415" Type="http://schemas.openxmlformats.org/officeDocument/2006/relationships/hyperlink" Target="https://drive.google.com/open?id=1E_ay9IHf7xEsLUQb3dCOmZtFEb-mVszC" TargetMode="External"/><Relationship Id="rId657" Type="http://schemas.openxmlformats.org/officeDocument/2006/relationships/hyperlink" Target="https://drive.google.com/open?id=1TStkDv3qCDYdVKuipO_KeKgC_bnuqMh7" TargetMode="External"/><Relationship Id="rId899" Type="http://schemas.openxmlformats.org/officeDocument/2006/relationships/hyperlink" Target="https://drive.google.com/open?id=1Jlz4ERKN_Vwf_H-IJKMCNLHYsay7pWX1" TargetMode="External"/><Relationship Id="rId414" Type="http://schemas.openxmlformats.org/officeDocument/2006/relationships/hyperlink" Target="https://drive.google.com/open?id=1J67yqz4bKx5cjtcUEYlldCyMvU4dHU1m" TargetMode="External"/><Relationship Id="rId656" Type="http://schemas.openxmlformats.org/officeDocument/2006/relationships/hyperlink" Target="https://drive.google.com/open?id=12izFJG8OhlTm9FiiGw2kiVYTC3o_eM2t" TargetMode="External"/><Relationship Id="rId898" Type="http://schemas.openxmlformats.org/officeDocument/2006/relationships/hyperlink" Target="https://drive.google.com/open?id=1-_esO7YgFNtHO2pIvyEDv9804-M_ibUe" TargetMode="External"/><Relationship Id="rId413" Type="http://schemas.openxmlformats.org/officeDocument/2006/relationships/hyperlink" Target="https://drive.google.com/open?id=1GM-Po6bytuJzx_sdSMZD1H1wslqSDfr0" TargetMode="External"/><Relationship Id="rId655" Type="http://schemas.openxmlformats.org/officeDocument/2006/relationships/hyperlink" Target="https://drive.google.com/open?id=1JPSmaVytEhOs0HGsXnoYgykQvN95e0BD" TargetMode="External"/><Relationship Id="rId897" Type="http://schemas.openxmlformats.org/officeDocument/2006/relationships/hyperlink" Target="https://drive.google.com/open?id=1pi-EjKEaOrZulK7PB1FLEiLUY5DlIxSM" TargetMode="External"/><Relationship Id="rId412" Type="http://schemas.openxmlformats.org/officeDocument/2006/relationships/hyperlink" Target="https://drive.google.com/open?id=1VyK9U6hyRo47UJoa0faXkBcTqEqg37OR" TargetMode="External"/><Relationship Id="rId654" Type="http://schemas.openxmlformats.org/officeDocument/2006/relationships/hyperlink" Target="https://drive.google.com/open?id=1pJazISlr5DqEgg5zMD5VowtgyzWOe6OS" TargetMode="External"/><Relationship Id="rId896" Type="http://schemas.openxmlformats.org/officeDocument/2006/relationships/hyperlink" Target="https://drive.google.com/open?id=1CefL69Sy9DgY39Kj0uXyOZ0w3Dv5AvwR" TargetMode="External"/><Relationship Id="rId419" Type="http://schemas.openxmlformats.org/officeDocument/2006/relationships/hyperlink" Target="https://drive.google.com/open?id=102ROljzAShkj-o_7AEyv2EHR2p6blnfw" TargetMode="External"/><Relationship Id="rId418" Type="http://schemas.openxmlformats.org/officeDocument/2006/relationships/hyperlink" Target="https://drive.google.com/open?id=1T2mSwnj6pPewSW8eUPKVk8-t80EogdOD" TargetMode="External"/><Relationship Id="rId417" Type="http://schemas.openxmlformats.org/officeDocument/2006/relationships/hyperlink" Target="https://drive.google.com/open?id=1MyFGZNVAi0-TX2fLg0WlB7waYQvTQxgO" TargetMode="External"/><Relationship Id="rId659" Type="http://schemas.openxmlformats.org/officeDocument/2006/relationships/hyperlink" Target="https://drive.google.com/open?id=1IE3VRW23FChQt5H4X-qLK29ksmnkJ68h" TargetMode="External"/><Relationship Id="rId416" Type="http://schemas.openxmlformats.org/officeDocument/2006/relationships/hyperlink" Target="https://drive.google.com/open?id=1yuXdMQd3FBhulzFg5x95CFXv0sgNLfDO" TargetMode="External"/><Relationship Id="rId658" Type="http://schemas.openxmlformats.org/officeDocument/2006/relationships/hyperlink" Target="https://drive.google.com/open?id=1ajEXhfn5elLG8ululcLkZ-9SOUAvszOV" TargetMode="External"/><Relationship Id="rId891" Type="http://schemas.openxmlformats.org/officeDocument/2006/relationships/hyperlink" Target="https://drive.google.com/open?id=1fe5WkmDL4UZTqiFeSjwJ7cAd3pdZorMv" TargetMode="External"/><Relationship Id="rId890" Type="http://schemas.openxmlformats.org/officeDocument/2006/relationships/hyperlink" Target="https://drive.google.com/open?id=1NyqRN2gG7wd3p7iWW55JPsndUP36_pFw" TargetMode="External"/><Relationship Id="rId411" Type="http://schemas.openxmlformats.org/officeDocument/2006/relationships/hyperlink" Target="https://drive.google.com/open?id=1j7omBxyagCXFzbmVOJvdPyLYQ4hUEIxa" TargetMode="External"/><Relationship Id="rId653" Type="http://schemas.openxmlformats.org/officeDocument/2006/relationships/hyperlink" Target="https://drive.google.com/open?id=1_1YlnZZjkwYagK8moGKSzsceZ9lGZxIj" TargetMode="External"/><Relationship Id="rId895" Type="http://schemas.openxmlformats.org/officeDocument/2006/relationships/hyperlink" Target="https://drive.google.com/open?id=1y-uzi8QP-lAwIvO82zMh5SAi-MRNSn53" TargetMode="External"/><Relationship Id="rId1000" Type="http://schemas.openxmlformats.org/officeDocument/2006/relationships/hyperlink" Target="https://drive.google.com/open?id=1G4p_1pPLUWQwJk1F__XQra0jpmY_0CH7" TargetMode="External"/><Relationship Id="rId410" Type="http://schemas.openxmlformats.org/officeDocument/2006/relationships/hyperlink" Target="https://drive.google.com/open?id=1ZrzNTOLpaz6oCe5zW_vCHxthII5cFvz3" TargetMode="External"/><Relationship Id="rId652" Type="http://schemas.openxmlformats.org/officeDocument/2006/relationships/hyperlink" Target="https://drive.google.com/open?id=18DjqOVsXN_4WdrzofvCF_bf-X2wzw_m_" TargetMode="External"/><Relationship Id="rId894" Type="http://schemas.openxmlformats.org/officeDocument/2006/relationships/hyperlink" Target="https://drive.google.com/open?id=1e4mFpzN84L7zR3NozZWTaMQU6KxfUBBH" TargetMode="External"/><Relationship Id="rId1001" Type="http://schemas.openxmlformats.org/officeDocument/2006/relationships/hyperlink" Target="https://drive.google.com/open?id=1jz80Z1SZAOuzxPQAhB28kAvVGKhuaugl" TargetMode="External"/><Relationship Id="rId651" Type="http://schemas.openxmlformats.org/officeDocument/2006/relationships/hyperlink" Target="https://drive.google.com/open?id=1hSWo068h9gz1usnXtAUlMURzBSeA-GOB" TargetMode="External"/><Relationship Id="rId893" Type="http://schemas.openxmlformats.org/officeDocument/2006/relationships/hyperlink" Target="https://drive.google.com/open?id=1UgnnNAOtDET8dEyK1W18uTYOtvlSwIQr" TargetMode="External"/><Relationship Id="rId1002" Type="http://schemas.openxmlformats.org/officeDocument/2006/relationships/hyperlink" Target="https://drive.google.com/open?id=1b5bD771aHsvubrhPELbiR7tT6DuLuR2e" TargetMode="External"/><Relationship Id="rId650" Type="http://schemas.openxmlformats.org/officeDocument/2006/relationships/hyperlink" Target="https://drive.google.com/open?id=1F8cK5xqdqRKIJ9zFrCSkFEWCLmiU122-" TargetMode="External"/><Relationship Id="rId892" Type="http://schemas.openxmlformats.org/officeDocument/2006/relationships/hyperlink" Target="https://drive.google.com/open?id=1tSAXmx1gPgZHeYmV09YRnCD939LPPApJ" TargetMode="External"/><Relationship Id="rId1003" Type="http://schemas.openxmlformats.org/officeDocument/2006/relationships/hyperlink" Target="https://drive.google.com/open?id=1oINm4kFwQJtsCGIZJf1kdBpBpUNL50nG" TargetMode="External"/><Relationship Id="rId1037" Type="http://schemas.openxmlformats.org/officeDocument/2006/relationships/hyperlink" Target="https://drive.google.com/open?id=1eDWX7CB2BZbcPzKBobsR30ghEBRovd8N" TargetMode="External"/><Relationship Id="rId1038" Type="http://schemas.openxmlformats.org/officeDocument/2006/relationships/hyperlink" Target="https://drive.google.com/open?id=15k_bbhZIYEINeaUbUPnnvoocCaFMM8z0" TargetMode="External"/><Relationship Id="rId1039" Type="http://schemas.openxmlformats.org/officeDocument/2006/relationships/hyperlink" Target="https://drive.google.com/open?id=1K9Yo5i2l3_IoUPCh2YiGgcW1g0YyiVsM" TargetMode="External"/><Relationship Id="rId206" Type="http://schemas.openxmlformats.org/officeDocument/2006/relationships/hyperlink" Target="https://drive.google.com/open?id=1TsVwlRRCs8Q4wR6rbSIo9HYDBl5u9sff" TargetMode="External"/><Relationship Id="rId448" Type="http://schemas.openxmlformats.org/officeDocument/2006/relationships/hyperlink" Target="https://drive.google.com/open?id=1ivpSeiD5nuHTKIRfW7dfNOkKJ8MEACSy" TargetMode="External"/><Relationship Id="rId205" Type="http://schemas.openxmlformats.org/officeDocument/2006/relationships/hyperlink" Target="https://drive.google.com/open?id=1Y0dM-7ihom6KTevefnelI_pIiL97L5ix" TargetMode="External"/><Relationship Id="rId447" Type="http://schemas.openxmlformats.org/officeDocument/2006/relationships/hyperlink" Target="https://drive.google.com/open?id=1JH0XcCSUrv5BRZuOx_oF1F_v-ncsGeWd" TargetMode="External"/><Relationship Id="rId689" Type="http://schemas.openxmlformats.org/officeDocument/2006/relationships/hyperlink" Target="https://drive.google.com/open?id=1c4MIzsiyiN5mQlZJr4yAli3PrKkaC18g" TargetMode="External"/><Relationship Id="rId204" Type="http://schemas.openxmlformats.org/officeDocument/2006/relationships/hyperlink" Target="https://drive.google.com/open?id=1jSiIbacOxb787LuTqkNOSIotnjD31qkb" TargetMode="External"/><Relationship Id="rId446" Type="http://schemas.openxmlformats.org/officeDocument/2006/relationships/hyperlink" Target="https://drive.google.com/open?id=193RFghocffUm2H_isse3A-CC0eBre_NK" TargetMode="External"/><Relationship Id="rId688" Type="http://schemas.openxmlformats.org/officeDocument/2006/relationships/hyperlink" Target="https://drive.google.com/open?id=12rNFVmlnFCTlh7dr_iJ_DC5n7ToZUGAJ" TargetMode="External"/><Relationship Id="rId203" Type="http://schemas.openxmlformats.org/officeDocument/2006/relationships/hyperlink" Target="https://drive.google.com/open?id=1kfqrpJ0cttmM6rsbqS-WFwcrd_QA5A6m" TargetMode="External"/><Relationship Id="rId445" Type="http://schemas.openxmlformats.org/officeDocument/2006/relationships/hyperlink" Target="https://drive.google.com/open?id=1u2cbaW3qAQlOq69XXVmI-R9Y4WNcyge8" TargetMode="External"/><Relationship Id="rId687" Type="http://schemas.openxmlformats.org/officeDocument/2006/relationships/hyperlink" Target="https://drive.google.com/open?id=12v5Z7Y6pKhRX98SGOxi31T9u44_b-Gi4" TargetMode="External"/><Relationship Id="rId209" Type="http://schemas.openxmlformats.org/officeDocument/2006/relationships/hyperlink" Target="https://drive.google.com/open?id=16dwKAhgzbwzA5zWsM2FWQ5ZquLZWC6Ny" TargetMode="External"/><Relationship Id="rId208" Type="http://schemas.openxmlformats.org/officeDocument/2006/relationships/hyperlink" Target="https://drive.google.com/open?id=1AAUykzu-5I0sdrO_B3Zh5VH8ElNfXGRa" TargetMode="External"/><Relationship Id="rId207" Type="http://schemas.openxmlformats.org/officeDocument/2006/relationships/hyperlink" Target="https://drive.google.com/open?id=1-0IfSo2fiog8375ml4yE6f-VBTzTnN2E" TargetMode="External"/><Relationship Id="rId449" Type="http://schemas.openxmlformats.org/officeDocument/2006/relationships/hyperlink" Target="https://drive.google.com/open?id=1Bp-Bm-u6MT_TmJfXnNA6obc9HFYtav4J" TargetMode="External"/><Relationship Id="rId440" Type="http://schemas.openxmlformats.org/officeDocument/2006/relationships/hyperlink" Target="https://drive.google.com/open?id=1Y2GgWzKpnBm4iN_GrBIDZVxw7lPaBEa-" TargetMode="External"/><Relationship Id="rId682" Type="http://schemas.openxmlformats.org/officeDocument/2006/relationships/hyperlink" Target="https://drive.google.com/open?id=1MYwuUbYGSMzZ-vBgFWRGs_CBcPQ8cKK-" TargetMode="External"/><Relationship Id="rId681" Type="http://schemas.openxmlformats.org/officeDocument/2006/relationships/hyperlink" Target="https://drive.google.com/open?id=1xqBf4NcHsfFt0h2DDkLJRuHTFnkmhs8h" TargetMode="External"/><Relationship Id="rId1030" Type="http://schemas.openxmlformats.org/officeDocument/2006/relationships/hyperlink" Target="https://drive.google.com/open?id=1heZ2c9RDe50dNBiR1OwoPRThIAgXiGJo" TargetMode="External"/><Relationship Id="rId680" Type="http://schemas.openxmlformats.org/officeDocument/2006/relationships/hyperlink" Target="https://drive.google.com/open?id=1crNl4-uEvSy7WuxmeRuUfkhBZY6qdrai" TargetMode="External"/><Relationship Id="rId1031" Type="http://schemas.openxmlformats.org/officeDocument/2006/relationships/hyperlink" Target="https://drive.google.com/open?id=1mVJjf9ZUTub0QSFdAVfPaLCGV_4lPf5k" TargetMode="External"/><Relationship Id="rId1032" Type="http://schemas.openxmlformats.org/officeDocument/2006/relationships/hyperlink" Target="https://drive.google.com/open?id=131apD-p8RH0TcLwL0a3-ginJ5w155mzc" TargetMode="External"/><Relationship Id="rId202" Type="http://schemas.openxmlformats.org/officeDocument/2006/relationships/hyperlink" Target="https://drive.google.com/open?id=1RhSLOl0un9VQAUuZoL0TUn97JcIXAJWk" TargetMode="External"/><Relationship Id="rId444" Type="http://schemas.openxmlformats.org/officeDocument/2006/relationships/hyperlink" Target="https://drive.google.com/open?id=1D_U15983pIX_mof2tURKv_z_9SA2LDWX" TargetMode="External"/><Relationship Id="rId686" Type="http://schemas.openxmlformats.org/officeDocument/2006/relationships/hyperlink" Target="https://drive.google.com/open?id=18spo0BLd-pn7QoKV4O6RYV5rWtmvJTdl" TargetMode="External"/><Relationship Id="rId1033" Type="http://schemas.openxmlformats.org/officeDocument/2006/relationships/hyperlink" Target="https://drive.google.com/open?id=1eMAjY4W6fzQDKTed_ob-dNvkoTO1P7ci" TargetMode="External"/><Relationship Id="rId201" Type="http://schemas.openxmlformats.org/officeDocument/2006/relationships/hyperlink" Target="https://drive.google.com/open?id=1IQFF1UIuUPrj18rPWX11fW2TcVJGVAKO" TargetMode="External"/><Relationship Id="rId443" Type="http://schemas.openxmlformats.org/officeDocument/2006/relationships/hyperlink" Target="https://drive.google.com/open?id=1XzBwL_sG0a1oMhIpiColzdcYD6z4-Z76" TargetMode="External"/><Relationship Id="rId685" Type="http://schemas.openxmlformats.org/officeDocument/2006/relationships/hyperlink" Target="https://drive.google.com/open?id=1weo2LaOrr6T1isdKDgNEuFJjv9qXjZWK" TargetMode="External"/><Relationship Id="rId1034" Type="http://schemas.openxmlformats.org/officeDocument/2006/relationships/hyperlink" Target="https://drive.google.com/open?id=1riWvkPcswzWSscTfqD21R93dIeVfgdB8" TargetMode="External"/><Relationship Id="rId200" Type="http://schemas.openxmlformats.org/officeDocument/2006/relationships/hyperlink" Target="https://drive.google.com/open?id=1FR78cOR6gTBFjhYTR7fTIiyjlLrsxn--" TargetMode="External"/><Relationship Id="rId442" Type="http://schemas.openxmlformats.org/officeDocument/2006/relationships/hyperlink" Target="https://drive.google.com/open?id=1WKk0ERgdOQmx12htwK4Acg8LGEIk5WnI" TargetMode="External"/><Relationship Id="rId684" Type="http://schemas.openxmlformats.org/officeDocument/2006/relationships/hyperlink" Target="https://drive.google.com/open?id=1jx-qruBDXm8UCG_bylv8ic6a2RynA2Ne" TargetMode="External"/><Relationship Id="rId1035" Type="http://schemas.openxmlformats.org/officeDocument/2006/relationships/hyperlink" Target="https://drive.google.com/open?id=1gmx1giKkWb_ZBIoii5qeP2vZrLAcV5Ht" TargetMode="External"/><Relationship Id="rId441" Type="http://schemas.openxmlformats.org/officeDocument/2006/relationships/hyperlink" Target="https://drive.google.com/open?id=1kcD9u4dp3r1G81EQx3E1GamaPlokgSVG" TargetMode="External"/><Relationship Id="rId683" Type="http://schemas.openxmlformats.org/officeDocument/2006/relationships/hyperlink" Target="https://drive.google.com/open?id=1_KHMWwEqW1U9yD4Vg9gsp9F4T09R2Ne8" TargetMode="External"/><Relationship Id="rId1036" Type="http://schemas.openxmlformats.org/officeDocument/2006/relationships/hyperlink" Target="https://drive.google.com/open?id=10TfQPNpQBqJHxJzZ6CA5opHLPsiTj7Zp" TargetMode="External"/><Relationship Id="rId1026" Type="http://schemas.openxmlformats.org/officeDocument/2006/relationships/hyperlink" Target="https://drive.google.com/open?id=1P7VTmiubqqNVQKcnqQeXGvj69sauoxfC" TargetMode="External"/><Relationship Id="rId1027" Type="http://schemas.openxmlformats.org/officeDocument/2006/relationships/hyperlink" Target="https://drive.google.com/open?id=1cnwO79q3bl6Sp71kQxsHyK37rgJtM7e-" TargetMode="External"/><Relationship Id="rId1028" Type="http://schemas.openxmlformats.org/officeDocument/2006/relationships/hyperlink" Target="https://drive.google.com/open?id=1w4P1ul-9BBxhHwCFMnfttOG1yuELFTHW" TargetMode="External"/><Relationship Id="rId1029" Type="http://schemas.openxmlformats.org/officeDocument/2006/relationships/hyperlink" Target="https://drive.google.com/open?id=1Iva5LM-jIl4LimrI6HtBC5oC5IlL6_KK" TargetMode="External"/><Relationship Id="rId437" Type="http://schemas.openxmlformats.org/officeDocument/2006/relationships/hyperlink" Target="https://drive.google.com/open?id=15sTJGIOcUzfSV0vNYKb8GKsejozAFolg" TargetMode="External"/><Relationship Id="rId679" Type="http://schemas.openxmlformats.org/officeDocument/2006/relationships/hyperlink" Target="https://drive.google.com/open?id=1wBCHWeZ5jS18bYMhjECxWYsK70hrgspG" TargetMode="External"/><Relationship Id="rId436" Type="http://schemas.openxmlformats.org/officeDocument/2006/relationships/hyperlink" Target="https://drive.google.com/open?id=1I5BEtJZSEjIKzPlkcVKjRnUSv8i788MF" TargetMode="External"/><Relationship Id="rId678" Type="http://schemas.openxmlformats.org/officeDocument/2006/relationships/hyperlink" Target="https://drive.google.com/open?id=1QKk3v-FK2ApGjN9l0gA7U-XtxPlphXQs" TargetMode="External"/><Relationship Id="rId435" Type="http://schemas.openxmlformats.org/officeDocument/2006/relationships/hyperlink" Target="https://drive.google.com/open?id=1hEpgWH-qDVM1_kjUsgEuGpy5yO3yd2P8" TargetMode="External"/><Relationship Id="rId677" Type="http://schemas.openxmlformats.org/officeDocument/2006/relationships/hyperlink" Target="https://drive.google.com/open?id=1ILOFjrM1vgPXvxrHczyynenoAmLrmWFM" TargetMode="External"/><Relationship Id="rId434" Type="http://schemas.openxmlformats.org/officeDocument/2006/relationships/hyperlink" Target="https://drive.google.com/open?id=1EuyA90V1vFjnAL33Nf4BO3AB4PlM9yt9" TargetMode="External"/><Relationship Id="rId676" Type="http://schemas.openxmlformats.org/officeDocument/2006/relationships/hyperlink" Target="https://drive.google.com/open?id=1b5QDSpUtFFHwUQIMvt8gr45yZTn3lcGb" TargetMode="External"/><Relationship Id="rId439" Type="http://schemas.openxmlformats.org/officeDocument/2006/relationships/hyperlink" Target="https://drive.google.com/open?id=1pOU74Ux-nHYFI-wqwM06I38_StNiy8Hj" TargetMode="External"/><Relationship Id="rId438" Type="http://schemas.openxmlformats.org/officeDocument/2006/relationships/hyperlink" Target="https://drive.google.com/open?id=1u4dR2cqBEMnUpYsHaFYeioZSOMjb_ntU" TargetMode="External"/><Relationship Id="rId671" Type="http://schemas.openxmlformats.org/officeDocument/2006/relationships/hyperlink" Target="https://drive.google.com/open?id=1BB-OCrFm8nBN6bn3DsD2WahcVD04H9LY" TargetMode="External"/><Relationship Id="rId670" Type="http://schemas.openxmlformats.org/officeDocument/2006/relationships/hyperlink" Target="https://drive.google.com/open?id=1n2RZB4uZ6Ih_RBFcrlGrsnDC73golggD" TargetMode="External"/><Relationship Id="rId1020" Type="http://schemas.openxmlformats.org/officeDocument/2006/relationships/hyperlink" Target="https://drive.google.com/open?id=1EosTa6ejOIU_WF9MlyD13P-Lc-5cS_-n" TargetMode="External"/><Relationship Id="rId1021" Type="http://schemas.openxmlformats.org/officeDocument/2006/relationships/hyperlink" Target="https://drive.google.com/open?id=1TOU24vFt2z6hCdF8eL-Mb98Nce8GhnCo" TargetMode="External"/><Relationship Id="rId433" Type="http://schemas.openxmlformats.org/officeDocument/2006/relationships/hyperlink" Target="https://drive.google.com/open?id=1MNV8QNrVMqcS--s_VBrkRn-cBhAIZ8dv" TargetMode="External"/><Relationship Id="rId675" Type="http://schemas.openxmlformats.org/officeDocument/2006/relationships/hyperlink" Target="https://drive.google.com/open?id=1nE-MIFAYMds7abG0mF-Etu2giC1erQJh" TargetMode="External"/><Relationship Id="rId1022" Type="http://schemas.openxmlformats.org/officeDocument/2006/relationships/hyperlink" Target="https://drive.google.com/open?id=1NDc-9u8OWzTko8lI3v8XL77GTa0ngm-F" TargetMode="External"/><Relationship Id="rId432" Type="http://schemas.openxmlformats.org/officeDocument/2006/relationships/hyperlink" Target="https://drive.google.com/open?id=1njkm0Lq_3iCLXD6Uk6eqU0feLLttVdFV" TargetMode="External"/><Relationship Id="rId674" Type="http://schemas.openxmlformats.org/officeDocument/2006/relationships/hyperlink" Target="https://drive.google.com/open?id=1sK3SUfxa5YGty2L8Ua6Nn-QjmE2Me7Wa" TargetMode="External"/><Relationship Id="rId1023" Type="http://schemas.openxmlformats.org/officeDocument/2006/relationships/hyperlink" Target="https://drive.google.com/open?id=1GTGpxEtgBpkvqVc4Q0XXrf66_c1xPuRZ" TargetMode="External"/><Relationship Id="rId431" Type="http://schemas.openxmlformats.org/officeDocument/2006/relationships/hyperlink" Target="https://drive.google.com/open?id=1KztbTRaq0ABxBx_4bcobr4ZrCTe3kO6d" TargetMode="External"/><Relationship Id="rId673" Type="http://schemas.openxmlformats.org/officeDocument/2006/relationships/hyperlink" Target="https://drive.google.com/open?id=1JVMqmAAg6fqMM6yVm_v1GiPO3iXjurVa" TargetMode="External"/><Relationship Id="rId1024" Type="http://schemas.openxmlformats.org/officeDocument/2006/relationships/hyperlink" Target="https://drive.google.com/open?id=1Mx-CrFKY08nOSLSOgAYVFyX_P4cwFpBk" TargetMode="External"/><Relationship Id="rId430" Type="http://schemas.openxmlformats.org/officeDocument/2006/relationships/hyperlink" Target="https://drive.google.com/open?id=1aYwVLGBVy8tQ0Cljbp4RRyw2TaunlycU" TargetMode="External"/><Relationship Id="rId672" Type="http://schemas.openxmlformats.org/officeDocument/2006/relationships/hyperlink" Target="https://drive.google.com/open?id=1hW_bJF-1Tuy4Lwvzr-r-U8q6gnwuxG5q" TargetMode="External"/><Relationship Id="rId1025" Type="http://schemas.openxmlformats.org/officeDocument/2006/relationships/hyperlink" Target="https://drive.google.com/open?id=1xdrFeWWrNbOMP3s5gpMBpJwa2rmqhtG4"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13.13"/>
    <col customWidth="1" min="3" max="3" width="24.0"/>
    <col customWidth="1" min="4" max="4" width="11.75"/>
    <col customWidth="1" min="5" max="5" width="10.63"/>
    <col customWidth="1" min="6" max="6" width="17.5"/>
    <col customWidth="1" min="7" max="7" width="12.38"/>
    <col customWidth="1" min="8" max="8" width="13.38"/>
    <col customWidth="1" min="9" max="9" width="12.63"/>
    <col customWidth="1" min="10" max="10" width="9.38"/>
    <col customWidth="1" min="11" max="11" width="13.75"/>
    <col customWidth="1" min="12" max="12" width="14.25"/>
    <col customWidth="1" min="13" max="13" width="15.25"/>
    <col customWidth="1" min="14" max="15" width="11.63"/>
    <col customWidth="1" min="16" max="16" width="11.5"/>
    <col customWidth="1" min="17" max="17" width="10.63"/>
    <col customWidth="1" min="18" max="18" width="7.13"/>
    <col customWidth="1" min="19" max="19" width="16.0"/>
    <col customWidth="1" min="20" max="20" width="23.13"/>
    <col customWidth="1" min="21" max="21" width="13.88"/>
    <col customWidth="1" min="22" max="22" width="18.0"/>
    <col customWidth="1" min="23" max="23" width="8.5"/>
    <col customWidth="1" min="24" max="24" width="11.88"/>
  </cols>
  <sheetData>
    <row r="1" ht="22.5" customHeight="1">
      <c r="A1" s="1" t="s">
        <v>0</v>
      </c>
      <c r="B1" s="2" t="s">
        <v>1</v>
      </c>
      <c r="C1" s="3" t="s">
        <v>2</v>
      </c>
      <c r="D1" s="4" t="s">
        <v>3</v>
      </c>
      <c r="E1" s="5" t="s">
        <v>4</v>
      </c>
      <c r="F1" s="6" t="s">
        <v>5</v>
      </c>
      <c r="G1" s="3" t="s">
        <v>6</v>
      </c>
      <c r="H1" s="3" t="s">
        <v>7</v>
      </c>
      <c r="I1" s="3" t="s">
        <v>8</v>
      </c>
      <c r="J1" s="7" t="s">
        <v>9</v>
      </c>
      <c r="K1" s="3" t="s">
        <v>10</v>
      </c>
      <c r="L1" s="7" t="s">
        <v>11</v>
      </c>
      <c r="M1" s="3" t="s">
        <v>12</v>
      </c>
      <c r="N1" s="8" t="s">
        <v>13</v>
      </c>
      <c r="O1" s="8" t="s">
        <v>14</v>
      </c>
      <c r="P1" s="8" t="s">
        <v>15</v>
      </c>
      <c r="Q1" s="8" t="s">
        <v>16</v>
      </c>
      <c r="R1" s="3" t="s">
        <v>17</v>
      </c>
      <c r="S1" s="3" t="s">
        <v>18</v>
      </c>
      <c r="T1" s="3" t="s">
        <v>19</v>
      </c>
      <c r="U1" s="9" t="s">
        <v>20</v>
      </c>
      <c r="V1" s="10" t="s">
        <v>21</v>
      </c>
      <c r="W1" s="3" t="s">
        <v>22</v>
      </c>
      <c r="X1" s="7" t="s">
        <v>23</v>
      </c>
    </row>
    <row r="2" ht="22.5" hidden="1" customHeight="1">
      <c r="A2" s="11">
        <v>45890.61594278935</v>
      </c>
      <c r="B2" s="12" t="s">
        <v>24</v>
      </c>
      <c r="C2" s="13" t="s">
        <v>25</v>
      </c>
      <c r="D2" s="14"/>
      <c r="E2" s="13" t="s">
        <v>26</v>
      </c>
      <c r="F2" s="15" t="s">
        <v>27</v>
      </c>
      <c r="G2" s="16"/>
      <c r="H2" s="13" t="s">
        <v>28</v>
      </c>
      <c r="I2" s="13" t="s">
        <v>29</v>
      </c>
      <c r="J2" s="14"/>
      <c r="K2" s="16" t="str">
        <f t="array" ref="K2">IFERROR(VLOOKUP(B2, SORT('Nhật ký nộp hồ sơ '!B:D, 'Nhật ký nộp hồ sơ '!A:A, FALSE), 3, FALSE),"")</f>
        <v>Hủy</v>
      </c>
      <c r="L2" s="16" t="str">
        <f t="shared" ref="L2:L955" si="1">IF(K2="Hủy","ĐÃ HỦY",
 IF(K2="Nộp thành công - Chờ kết quả","Đã nộp",
 IF(K2="Hoàn thành","Hoàn thành",
 IF(O2="","",
 IF(TODAY()&gt;O2,"QUÁ HẠN","Trong hạn")
 ))))
</f>
        <v>ĐÃ HỦY</v>
      </c>
      <c r="M2" s="13" t="s">
        <v>30</v>
      </c>
      <c r="N2" s="17">
        <f>IFERROR(__xludf.DUMMYFUNCTION("ARRAYFORMULA(IF(A2:A3293="""","""",TO_DATE(INT(A2:A3293))))"),45890.0)</f>
        <v>45890</v>
      </c>
      <c r="O2" s="17">
        <f t="array" ref="O2:O3293">IF(N2:N3293="", "", SWITCH(IF(J2:J3293="", "Trung bình", TRIM(J2:J3293)), "Cao", N2:N3293+1, "Trung bình", N2:N3293+3, "Thấp", N2:N3293+5))</f>
        <v>45893</v>
      </c>
      <c r="P2" s="17">
        <f>IFERROR(__xludf.DUMMYFUNCTION("IFERROR(QUERY('Nhật ký nộp hồ sơ '!A:I, ""SELECT I WHERE B = '""&amp;B2&amp;""' ORDER BY A DESC LIMIT 1"", 0))"),46039.0)</f>
        <v>46039</v>
      </c>
      <c r="Q2" s="17" t="str">
        <f t="shared" ref="Q2:Q955" si="2">IF(K2="Hoàn thành", P2, "")</f>
        <v/>
      </c>
      <c r="R2" s="16">
        <f t="array" ref="R2:R3279">IF(B16:B3293="", "", COUNTIF('Nhật ký nộp hồ sơ '!B:B, B16:B3293))</f>
        <v>1</v>
      </c>
      <c r="S2" s="13" t="s">
        <v>31</v>
      </c>
      <c r="T2" s="13" t="s">
        <v>32</v>
      </c>
      <c r="U2" s="18" t="s">
        <v>33</v>
      </c>
      <c r="V2" s="18" t="s">
        <v>34</v>
      </c>
      <c r="W2" s="16"/>
      <c r="X2" s="16"/>
    </row>
    <row r="3" ht="22.5" hidden="1" customHeight="1">
      <c r="A3" s="11">
        <v>45890.613631203705</v>
      </c>
      <c r="B3" s="12" t="s">
        <v>35</v>
      </c>
      <c r="C3" s="13" t="s">
        <v>36</v>
      </c>
      <c r="D3" s="14"/>
      <c r="E3" s="13" t="s">
        <v>26</v>
      </c>
      <c r="F3" s="15" t="s">
        <v>27</v>
      </c>
      <c r="G3" s="16"/>
      <c r="H3" s="13" t="s">
        <v>28</v>
      </c>
      <c r="I3" s="13" t="s">
        <v>29</v>
      </c>
      <c r="J3" s="14"/>
      <c r="K3" s="16" t="str">
        <f t="array" ref="K3">IFERROR(VLOOKUP(B3, SORT('Nhật ký nộp hồ sơ '!B:D, 'Nhật ký nộp hồ sơ '!A:A, FALSE), 3, FALSE),"")</f>
        <v>Hủy</v>
      </c>
      <c r="L3" s="16" t="str">
        <f t="shared" si="1"/>
        <v>ĐÃ HỦY</v>
      </c>
      <c r="M3" s="13" t="s">
        <v>30</v>
      </c>
      <c r="N3" s="17">
        <f>IFERROR(__xludf.DUMMYFUNCTION("""COMPUTED_VALUE"""),45890.0)</f>
        <v>45890</v>
      </c>
      <c r="O3" s="17">
        <v>45893.0</v>
      </c>
      <c r="P3" s="17">
        <f>IFERROR(__xludf.DUMMYFUNCTION("IFERROR(QUERY('Nhật ký nộp hồ sơ '!A:I, ""SELECT I WHERE B = '""&amp;B3&amp;""' ORDER BY A DESC LIMIT 1"", 0))"),46039.0)</f>
        <v>46039</v>
      </c>
      <c r="Q3" s="17" t="str">
        <f t="shared" si="2"/>
        <v/>
      </c>
      <c r="R3" s="16">
        <v>1.0</v>
      </c>
      <c r="S3" s="16"/>
      <c r="T3" s="13" t="s">
        <v>32</v>
      </c>
      <c r="U3" s="18" t="s">
        <v>33</v>
      </c>
      <c r="V3" s="18" t="s">
        <v>34</v>
      </c>
      <c r="W3" s="16"/>
      <c r="X3" s="16"/>
    </row>
    <row r="4" ht="22.5" hidden="1" customHeight="1">
      <c r="A4" s="11">
        <v>45891.57892181713</v>
      </c>
      <c r="B4" s="12" t="s">
        <v>37</v>
      </c>
      <c r="C4" s="13" t="s">
        <v>38</v>
      </c>
      <c r="D4" s="14"/>
      <c r="E4" s="13" t="s">
        <v>26</v>
      </c>
      <c r="F4" s="13" t="s">
        <v>39</v>
      </c>
      <c r="G4" s="16"/>
      <c r="H4" s="13" t="s">
        <v>29</v>
      </c>
      <c r="I4" s="13" t="s">
        <v>40</v>
      </c>
      <c r="J4" s="14"/>
      <c r="K4" s="16" t="str">
        <f t="array" ref="K4">IFERROR(VLOOKUP(B4, SORT('Nhật ký nộp hồ sơ '!B:D, 'Nhật ký nộp hồ sơ '!A:A, FALSE), 3, FALSE),"")</f>
        <v>Hoàn thành</v>
      </c>
      <c r="L4" s="16" t="str">
        <f t="shared" si="1"/>
        <v>Hoàn thành</v>
      </c>
      <c r="M4" s="13" t="s">
        <v>41</v>
      </c>
      <c r="N4" s="17">
        <f>IFERROR(__xludf.DUMMYFUNCTION("""COMPUTED_VALUE"""),45891.0)</f>
        <v>45891</v>
      </c>
      <c r="O4" s="17">
        <v>45894.0</v>
      </c>
      <c r="P4" s="17">
        <f>IFERROR(__xludf.DUMMYFUNCTION("IFERROR(QUERY('Nhật ký nộp hồ sơ '!A:I, ""SELECT I WHERE B = '""&amp;B4&amp;""' ORDER BY A DESC LIMIT 1"", 0))"),45873.0)</f>
        <v>45873</v>
      </c>
      <c r="Q4" s="17">
        <f t="shared" si="2"/>
        <v>45873</v>
      </c>
      <c r="R4" s="16">
        <v>1.0</v>
      </c>
      <c r="S4" s="16"/>
      <c r="T4" s="16"/>
      <c r="U4" s="14"/>
      <c r="V4" s="18" t="s">
        <v>34</v>
      </c>
      <c r="W4" s="16"/>
      <c r="X4" s="16"/>
    </row>
    <row r="5" ht="22.5" hidden="1" customHeight="1">
      <c r="A5" s="11">
        <v>45890.599332303245</v>
      </c>
      <c r="B5" s="12" t="s">
        <v>42</v>
      </c>
      <c r="C5" s="13" t="s">
        <v>43</v>
      </c>
      <c r="D5" s="18" t="s">
        <v>44</v>
      </c>
      <c r="E5" s="13" t="s">
        <v>45</v>
      </c>
      <c r="F5" s="13" t="s">
        <v>46</v>
      </c>
      <c r="G5" s="16"/>
      <c r="H5" s="13" t="s">
        <v>47</v>
      </c>
      <c r="I5" s="13" t="s">
        <v>29</v>
      </c>
      <c r="J5" s="14"/>
      <c r="K5" s="16" t="str">
        <f t="array" ref="K5">IFERROR(VLOOKUP(B5, SORT('Nhật ký nộp hồ sơ '!B:D, 'Nhật ký nộp hồ sơ '!A:A, FALSE), 3, FALSE),"")</f>
        <v>Hủy</v>
      </c>
      <c r="L5" s="16" t="str">
        <f t="shared" si="1"/>
        <v>ĐÃ HỦY</v>
      </c>
      <c r="M5" s="13" t="s">
        <v>48</v>
      </c>
      <c r="N5" s="17">
        <f>IFERROR(__xludf.DUMMYFUNCTION("""COMPUTED_VALUE"""),45890.0)</f>
        <v>45890</v>
      </c>
      <c r="O5" s="17">
        <v>45893.0</v>
      </c>
      <c r="P5" s="17">
        <f>IFERROR(__xludf.DUMMYFUNCTION("IFERROR(QUERY('Nhật ký nộp hồ sơ '!A:I, ""SELECT I WHERE B = '""&amp;B5&amp;""' ORDER BY A DESC LIMIT 1"", 0))"),46038.0)</f>
        <v>46038</v>
      </c>
      <c r="Q5" s="17" t="str">
        <f t="shared" si="2"/>
        <v/>
      </c>
      <c r="R5" s="16">
        <v>1.0</v>
      </c>
      <c r="S5" s="13" t="s">
        <v>49</v>
      </c>
      <c r="T5" s="13" t="s">
        <v>50</v>
      </c>
      <c r="U5" s="18" t="s">
        <v>33</v>
      </c>
      <c r="V5" s="18" t="s">
        <v>34</v>
      </c>
      <c r="W5" s="16"/>
      <c r="X5" s="16"/>
    </row>
    <row r="6" ht="22.5" hidden="1" customHeight="1">
      <c r="A6" s="11">
        <v>45891.51614630787</v>
      </c>
      <c r="B6" s="12" t="s">
        <v>51</v>
      </c>
      <c r="C6" s="13" t="s">
        <v>52</v>
      </c>
      <c r="D6" s="14"/>
      <c r="E6" s="13" t="s">
        <v>53</v>
      </c>
      <c r="F6" s="13" t="s">
        <v>54</v>
      </c>
      <c r="G6" s="16"/>
      <c r="H6" s="13" t="s">
        <v>55</v>
      </c>
      <c r="I6" s="13" t="s">
        <v>29</v>
      </c>
      <c r="J6" s="14"/>
      <c r="K6" s="16" t="str">
        <f t="array" ref="K6">IFERROR(VLOOKUP(B6, SORT('Nhật ký nộp hồ sơ '!B:D, 'Nhật ký nộp hồ sơ '!A:A, FALSE), 3, FALSE),"")</f>
        <v>Hủy</v>
      </c>
      <c r="L6" s="16" t="str">
        <f t="shared" si="1"/>
        <v>ĐÃ HỦY</v>
      </c>
      <c r="M6" s="13" t="s">
        <v>56</v>
      </c>
      <c r="N6" s="17">
        <f>IFERROR(__xludf.DUMMYFUNCTION("""COMPUTED_VALUE"""),45891.0)</f>
        <v>45891</v>
      </c>
      <c r="O6" s="17">
        <v>45894.0</v>
      </c>
      <c r="P6" s="17">
        <f>IFERROR(__xludf.DUMMYFUNCTION("IFERROR(QUERY('Nhật ký nộp hồ sơ '!A:I, ""SELECT I WHERE B = '""&amp;B6&amp;""' ORDER BY A DESC LIMIT 1"", 0))"),45892.0)</f>
        <v>45892</v>
      </c>
      <c r="Q6" s="17" t="str">
        <f t="shared" si="2"/>
        <v/>
      </c>
      <c r="R6" s="16">
        <v>1.0</v>
      </c>
      <c r="S6" s="16"/>
      <c r="T6" s="13" t="s">
        <v>57</v>
      </c>
      <c r="U6" s="18" t="s">
        <v>33</v>
      </c>
      <c r="V6" s="18" t="s">
        <v>34</v>
      </c>
      <c r="W6" s="16"/>
      <c r="X6" s="16"/>
    </row>
    <row r="7" ht="22.5" hidden="1" customHeight="1">
      <c r="A7" s="11">
        <v>45891.51514753472</v>
      </c>
      <c r="B7" s="12" t="s">
        <v>58</v>
      </c>
      <c r="C7" s="13" t="s">
        <v>59</v>
      </c>
      <c r="D7" s="14"/>
      <c r="E7" s="13" t="s">
        <v>53</v>
      </c>
      <c r="F7" s="13" t="s">
        <v>54</v>
      </c>
      <c r="G7" s="16"/>
      <c r="H7" s="13" t="s">
        <v>55</v>
      </c>
      <c r="I7" s="13" t="s">
        <v>29</v>
      </c>
      <c r="J7" s="14"/>
      <c r="K7" s="16" t="str">
        <f t="array" ref="K7">IFERROR(VLOOKUP(B7, SORT('Nhật ký nộp hồ sơ '!B:D, 'Nhật ký nộp hồ sơ '!A:A, FALSE), 3, FALSE),"")</f>
        <v>Hủy</v>
      </c>
      <c r="L7" s="16" t="str">
        <f t="shared" si="1"/>
        <v>ĐÃ HỦY</v>
      </c>
      <c r="M7" s="13" t="s">
        <v>56</v>
      </c>
      <c r="N7" s="17">
        <f>IFERROR(__xludf.DUMMYFUNCTION("""COMPUTED_VALUE"""),45891.0)</f>
        <v>45891</v>
      </c>
      <c r="O7" s="17">
        <v>45894.0</v>
      </c>
      <c r="P7" s="17">
        <f>IFERROR(__xludf.DUMMYFUNCTION("IFERROR(QUERY('Nhật ký nộp hồ sơ '!A:I, ""SELECT I WHERE B = '""&amp;B7&amp;""' ORDER BY A DESC LIMIT 1"", 0))"),46038.0)</f>
        <v>46038</v>
      </c>
      <c r="Q7" s="17" t="str">
        <f t="shared" si="2"/>
        <v/>
      </c>
      <c r="R7" s="16">
        <v>5.0</v>
      </c>
      <c r="S7" s="16"/>
      <c r="T7" s="13" t="s">
        <v>57</v>
      </c>
      <c r="U7" s="18" t="s">
        <v>33</v>
      </c>
      <c r="V7" s="18" t="s">
        <v>34</v>
      </c>
      <c r="W7" s="16"/>
      <c r="X7" s="16"/>
    </row>
    <row r="8" ht="22.5" hidden="1" customHeight="1">
      <c r="A8" s="11">
        <v>45891.509079421296</v>
      </c>
      <c r="B8" s="12" t="s">
        <v>60</v>
      </c>
      <c r="C8" s="13" t="s">
        <v>61</v>
      </c>
      <c r="D8" s="14"/>
      <c r="E8" s="13" t="s">
        <v>62</v>
      </c>
      <c r="F8" s="15" t="s">
        <v>27</v>
      </c>
      <c r="G8" s="16"/>
      <c r="H8" s="13" t="s">
        <v>55</v>
      </c>
      <c r="I8" s="13" t="s">
        <v>29</v>
      </c>
      <c r="J8" s="14"/>
      <c r="K8" s="16" t="str">
        <f t="array" ref="K8">IFERROR(VLOOKUP(B8, SORT('Nhật ký nộp hồ sơ '!B:D, 'Nhật ký nộp hồ sơ '!A:A, FALSE), 3, FALSE),"")</f>
        <v>Hủy</v>
      </c>
      <c r="L8" s="16" t="str">
        <f t="shared" si="1"/>
        <v>ĐÃ HỦY</v>
      </c>
      <c r="M8" s="13" t="s">
        <v>48</v>
      </c>
      <c r="N8" s="17">
        <f>IFERROR(__xludf.DUMMYFUNCTION("""COMPUTED_VALUE"""),45891.0)</f>
        <v>45891</v>
      </c>
      <c r="O8" s="17">
        <v>45894.0</v>
      </c>
      <c r="P8" s="17">
        <f>IFERROR(__xludf.DUMMYFUNCTION("IFERROR(QUERY('Nhật ký nộp hồ sơ '!A:I, ""SELECT I WHERE B = '""&amp;B8&amp;""' ORDER BY A DESC LIMIT 1"", 0))"),46039.0)</f>
        <v>46039</v>
      </c>
      <c r="Q8" s="17" t="str">
        <f t="shared" si="2"/>
        <v/>
      </c>
      <c r="R8" s="16">
        <v>1.0</v>
      </c>
      <c r="S8" s="16"/>
      <c r="T8" s="13" t="s">
        <v>63</v>
      </c>
      <c r="U8" s="18" t="s">
        <v>33</v>
      </c>
      <c r="V8" s="18" t="s">
        <v>34</v>
      </c>
      <c r="W8" s="16"/>
      <c r="X8" s="16"/>
    </row>
    <row r="9" ht="22.5" hidden="1" customHeight="1">
      <c r="A9" s="11">
        <v>45891.50762232639</v>
      </c>
      <c r="B9" s="12" t="s">
        <v>64</v>
      </c>
      <c r="C9" s="13" t="s">
        <v>65</v>
      </c>
      <c r="D9" s="14"/>
      <c r="E9" s="13" t="s">
        <v>62</v>
      </c>
      <c r="F9" s="15" t="s">
        <v>27</v>
      </c>
      <c r="G9" s="16"/>
      <c r="H9" s="13" t="s">
        <v>55</v>
      </c>
      <c r="I9" s="13" t="s">
        <v>29</v>
      </c>
      <c r="J9" s="14"/>
      <c r="K9" s="16" t="str">
        <f t="array" ref="K9">IFERROR(VLOOKUP(B9, SORT('Nhật ký nộp hồ sơ '!B:D, 'Nhật ký nộp hồ sơ '!A:A, FALSE), 3, FALSE),"")</f>
        <v>Hủy</v>
      </c>
      <c r="L9" s="16" t="str">
        <f t="shared" si="1"/>
        <v>ĐÃ HỦY</v>
      </c>
      <c r="M9" s="13" t="s">
        <v>48</v>
      </c>
      <c r="N9" s="17">
        <f>IFERROR(__xludf.DUMMYFUNCTION("""COMPUTED_VALUE"""),45891.0)</f>
        <v>45891</v>
      </c>
      <c r="O9" s="17">
        <v>45894.0</v>
      </c>
      <c r="P9" s="17">
        <f>IFERROR(__xludf.DUMMYFUNCTION("IFERROR(QUERY('Nhật ký nộp hồ sơ '!A:I, ""SELECT I WHERE B = '""&amp;B9&amp;""' ORDER BY A DESC LIMIT 1"", 0))"),46039.0)</f>
        <v>46039</v>
      </c>
      <c r="Q9" s="17" t="str">
        <f t="shared" si="2"/>
        <v/>
      </c>
      <c r="R9" s="16">
        <v>2.0</v>
      </c>
      <c r="S9" s="16"/>
      <c r="T9" s="13" t="s">
        <v>63</v>
      </c>
      <c r="U9" s="18" t="s">
        <v>33</v>
      </c>
      <c r="V9" s="18" t="s">
        <v>34</v>
      </c>
      <c r="W9" s="16"/>
      <c r="X9" s="16"/>
    </row>
    <row r="10" ht="22.5" hidden="1" customHeight="1">
      <c r="A10" s="11">
        <v>45887.495781192134</v>
      </c>
      <c r="B10" s="12" t="s">
        <v>66</v>
      </c>
      <c r="C10" s="13" t="s">
        <v>67</v>
      </c>
      <c r="D10" s="14"/>
      <c r="E10" s="13" t="s">
        <v>26</v>
      </c>
      <c r="F10" s="13" t="s">
        <v>68</v>
      </c>
      <c r="G10" s="16"/>
      <c r="H10" s="13" t="s">
        <v>69</v>
      </c>
      <c r="I10" s="13" t="s">
        <v>29</v>
      </c>
      <c r="J10" s="14"/>
      <c r="K10" s="16" t="str">
        <f t="array" ref="K10">IFERROR(VLOOKUP(B10, SORT('Nhật ký nộp hồ sơ '!B:D, 'Nhật ký nộp hồ sơ '!A:A, FALSE), 3, FALSE),"")</f>
        <v>Nộp thành công - Chờ kết quả</v>
      </c>
      <c r="L10" s="16" t="str">
        <f t="shared" si="1"/>
        <v>Đã nộp</v>
      </c>
      <c r="M10" s="13" t="s">
        <v>48</v>
      </c>
      <c r="N10" s="17">
        <f>IFERROR(__xludf.DUMMYFUNCTION("""COMPUTED_VALUE"""),45887.0)</f>
        <v>45887</v>
      </c>
      <c r="O10" s="17">
        <v>45890.0</v>
      </c>
      <c r="P10" s="17">
        <f>IFERROR(__xludf.DUMMYFUNCTION("IFERROR(QUERY('Nhật ký nộp hồ sơ '!A:I, ""SELECT I WHERE B = '""&amp;B10&amp;""' ORDER BY A DESC LIMIT 1"", 0))"),45887.0)</f>
        <v>45887</v>
      </c>
      <c r="Q10" s="17" t="str">
        <f t="shared" si="2"/>
        <v/>
      </c>
      <c r="R10" s="16">
        <v>1.0</v>
      </c>
      <c r="S10" s="13" t="s">
        <v>70</v>
      </c>
      <c r="T10" s="13" t="s">
        <v>71</v>
      </c>
      <c r="U10" s="14"/>
      <c r="V10" s="18" t="s">
        <v>34</v>
      </c>
      <c r="W10" s="16"/>
      <c r="X10" s="16"/>
    </row>
    <row r="11" ht="22.5" hidden="1" customHeight="1">
      <c r="A11" s="11">
        <v>45891.50582770833</v>
      </c>
      <c r="B11" s="12" t="s">
        <v>72</v>
      </c>
      <c r="C11" s="13" t="s">
        <v>73</v>
      </c>
      <c r="D11" s="18"/>
      <c r="E11" s="13" t="s">
        <v>74</v>
      </c>
      <c r="F11" s="13" t="s">
        <v>75</v>
      </c>
      <c r="G11" s="16"/>
      <c r="H11" s="13" t="s">
        <v>47</v>
      </c>
      <c r="I11" s="13" t="s">
        <v>29</v>
      </c>
      <c r="J11" s="14"/>
      <c r="K11" s="16" t="str">
        <f t="array" ref="K11">IFERROR(VLOOKUP(B11, SORT('Nhật ký nộp hồ sơ '!B:D, 'Nhật ký nộp hồ sơ '!A:A, FALSE), 3, FALSE),"")</f>
        <v>Hoàn thành</v>
      </c>
      <c r="L11" s="16" t="str">
        <f t="shared" si="1"/>
        <v>Hoàn thành</v>
      </c>
      <c r="M11" s="13" t="s">
        <v>48</v>
      </c>
      <c r="N11" s="17">
        <f>IFERROR(__xludf.DUMMYFUNCTION("""COMPUTED_VALUE"""),45891.0)</f>
        <v>45891</v>
      </c>
      <c r="O11" s="17">
        <v>45894.0</v>
      </c>
      <c r="P11" s="17">
        <f>IFERROR(__xludf.DUMMYFUNCTION("IFERROR(QUERY('Nhật ký nộp hồ sơ '!A:I, ""SELECT I WHERE B = '""&amp;B11&amp;""' ORDER BY A DESC LIMIT 1"", 0))"),45904.0)</f>
        <v>45904</v>
      </c>
      <c r="Q11" s="17">
        <f t="shared" si="2"/>
        <v>45904</v>
      </c>
      <c r="R11" s="16">
        <v>1.0</v>
      </c>
      <c r="S11" s="13" t="s">
        <v>76</v>
      </c>
      <c r="T11" s="16"/>
      <c r="U11" s="14"/>
      <c r="V11" s="18" t="s">
        <v>34</v>
      </c>
      <c r="W11" s="16"/>
      <c r="X11" s="16"/>
    </row>
    <row r="12" ht="22.5" hidden="1" customHeight="1">
      <c r="A12" s="11">
        <v>45890.6183212037</v>
      </c>
      <c r="B12" s="12" t="s">
        <v>77</v>
      </c>
      <c r="C12" s="13" t="s">
        <v>78</v>
      </c>
      <c r="D12" s="14"/>
      <c r="E12" s="13" t="s">
        <v>79</v>
      </c>
      <c r="F12" s="13" t="s">
        <v>80</v>
      </c>
      <c r="G12" s="16"/>
      <c r="H12" s="13" t="s">
        <v>55</v>
      </c>
      <c r="I12" s="13" t="s">
        <v>81</v>
      </c>
      <c r="J12" s="14"/>
      <c r="K12" s="16" t="str">
        <f t="array" ref="K12">IFERROR(VLOOKUP(B12, SORT('Nhật ký nộp hồ sơ '!B:D, 'Nhật ký nộp hồ sơ '!A:A, FALSE), 3, FALSE),"")</f>
        <v>Hủy</v>
      </c>
      <c r="L12" s="16" t="str">
        <f t="shared" si="1"/>
        <v>ĐÃ HỦY</v>
      </c>
      <c r="M12" s="13" t="s">
        <v>82</v>
      </c>
      <c r="N12" s="17">
        <f>IFERROR(__xludf.DUMMYFUNCTION("""COMPUTED_VALUE"""),45890.0)</f>
        <v>45890</v>
      </c>
      <c r="O12" s="17">
        <v>45893.0</v>
      </c>
      <c r="P12" s="17">
        <f>IFERROR(__xludf.DUMMYFUNCTION("IFERROR(QUERY('Nhật ký nộp hồ sơ '!A:I, ""SELECT I WHERE B = '""&amp;B12&amp;""' ORDER BY A DESC LIMIT 1"", 0))"),45899.0)</f>
        <v>45899</v>
      </c>
      <c r="Q12" s="17" t="str">
        <f t="shared" si="2"/>
        <v/>
      </c>
      <c r="R12" s="16">
        <v>1.0</v>
      </c>
      <c r="S12" s="13" t="s">
        <v>83</v>
      </c>
      <c r="T12" s="13" t="s">
        <v>84</v>
      </c>
      <c r="U12" s="18" t="s">
        <v>85</v>
      </c>
      <c r="V12" s="18" t="s">
        <v>34</v>
      </c>
      <c r="W12" s="16"/>
      <c r="X12" s="16"/>
    </row>
    <row r="13" ht="22.5" hidden="1" customHeight="1">
      <c r="A13" s="11">
        <v>45894.64329063657</v>
      </c>
      <c r="B13" s="12" t="s">
        <v>86</v>
      </c>
      <c r="C13" s="13" t="s">
        <v>87</v>
      </c>
      <c r="D13" s="14"/>
      <c r="E13" s="13" t="s">
        <v>88</v>
      </c>
      <c r="F13" s="13" t="s">
        <v>89</v>
      </c>
      <c r="G13" s="16"/>
      <c r="H13" s="13" t="s">
        <v>69</v>
      </c>
      <c r="I13" s="13" t="s">
        <v>40</v>
      </c>
      <c r="J13" s="14"/>
      <c r="K13" s="16" t="str">
        <f t="array" ref="K13">IFERROR(VLOOKUP(B13, SORT('Nhật ký nộp hồ sơ '!B:D, 'Nhật ký nộp hồ sơ '!A:A, FALSE), 3, FALSE),"")</f>
        <v>Hoàn thành</v>
      </c>
      <c r="L13" s="16" t="str">
        <f t="shared" si="1"/>
        <v>Hoàn thành</v>
      </c>
      <c r="M13" s="13" t="s">
        <v>48</v>
      </c>
      <c r="N13" s="17">
        <f>IFERROR(__xludf.DUMMYFUNCTION("""COMPUTED_VALUE"""),45894.0)</f>
        <v>45894</v>
      </c>
      <c r="O13" s="17">
        <v>45897.0</v>
      </c>
      <c r="P13" s="17">
        <f>IFERROR(__xludf.DUMMYFUNCTION("IFERROR(QUERY('Nhật ký nộp hồ sơ '!A:I, ""SELECT I WHERE B = '""&amp;B13&amp;""' ORDER BY A DESC LIMIT 1"", 0))"),45912.0)</f>
        <v>45912</v>
      </c>
      <c r="Q13" s="17">
        <f t="shared" si="2"/>
        <v>45912</v>
      </c>
      <c r="R13" s="16">
        <v>3.0</v>
      </c>
      <c r="S13" s="16"/>
      <c r="T13" s="16"/>
      <c r="U13" s="14"/>
      <c r="V13" s="18" t="s">
        <v>34</v>
      </c>
      <c r="W13" s="16"/>
      <c r="X13" s="16"/>
    </row>
    <row r="14" ht="22.5" hidden="1" customHeight="1">
      <c r="A14" s="11">
        <v>45890.51816640046</v>
      </c>
      <c r="B14" s="12" t="s">
        <v>90</v>
      </c>
      <c r="C14" s="13" t="s">
        <v>91</v>
      </c>
      <c r="D14" s="18" t="s">
        <v>44</v>
      </c>
      <c r="E14" s="13" t="s">
        <v>26</v>
      </c>
      <c r="F14" s="13" t="s">
        <v>92</v>
      </c>
      <c r="G14" s="16"/>
      <c r="H14" s="13" t="s">
        <v>55</v>
      </c>
      <c r="I14" s="13" t="s">
        <v>81</v>
      </c>
      <c r="J14" s="14"/>
      <c r="K14" s="16" t="str">
        <f t="array" ref="K14">IFERROR(VLOOKUP(B14, SORT('Nhật ký nộp hồ sơ '!B:D, 'Nhật ký nộp hồ sơ '!A:A, FALSE), 3, FALSE),"")</f>
        <v>Hủy</v>
      </c>
      <c r="L14" s="16" t="str">
        <f t="shared" si="1"/>
        <v>ĐÃ HỦY</v>
      </c>
      <c r="M14" s="13" t="s">
        <v>93</v>
      </c>
      <c r="N14" s="17">
        <f>IFERROR(__xludf.DUMMYFUNCTION("""COMPUTED_VALUE"""),45890.0)</f>
        <v>45890</v>
      </c>
      <c r="O14" s="17">
        <v>45893.0</v>
      </c>
      <c r="P14" s="17">
        <f>IFERROR(__xludf.DUMMYFUNCTION("IFERROR(QUERY('Nhật ký nộp hồ sơ '!A:I, ""SELECT I WHERE B = '""&amp;B14&amp;""' ORDER BY A DESC LIMIT 1"", 0))"),46039.0)</f>
        <v>46039</v>
      </c>
      <c r="Q14" s="17" t="str">
        <f t="shared" si="2"/>
        <v/>
      </c>
      <c r="R14" s="16">
        <v>1.0</v>
      </c>
      <c r="S14" s="16"/>
      <c r="T14" s="13" t="s">
        <v>94</v>
      </c>
      <c r="U14" s="18" t="s">
        <v>33</v>
      </c>
      <c r="V14" s="18" t="s">
        <v>34</v>
      </c>
      <c r="W14" s="16"/>
      <c r="X14" s="16"/>
    </row>
    <row r="15" ht="22.5" hidden="1" customHeight="1">
      <c r="A15" s="11">
        <v>45890.515237280095</v>
      </c>
      <c r="B15" s="12" t="s">
        <v>95</v>
      </c>
      <c r="C15" s="13" t="s">
        <v>96</v>
      </c>
      <c r="D15" s="14"/>
      <c r="E15" s="13" t="s">
        <v>26</v>
      </c>
      <c r="F15" s="13" t="s">
        <v>92</v>
      </c>
      <c r="G15" s="16"/>
      <c r="H15" s="13" t="s">
        <v>28</v>
      </c>
      <c r="I15" s="13" t="s">
        <v>29</v>
      </c>
      <c r="J15" s="14"/>
      <c r="K15" s="16" t="str">
        <f t="array" ref="K15">IFERROR(VLOOKUP(B15, SORT('Nhật ký nộp hồ sơ '!B:D, 'Nhật ký nộp hồ sơ '!A:A, FALSE), 3, FALSE),"")</f>
        <v>Hủy</v>
      </c>
      <c r="L15" s="16" t="str">
        <f t="shared" si="1"/>
        <v>ĐÃ HỦY</v>
      </c>
      <c r="M15" s="13" t="s">
        <v>48</v>
      </c>
      <c r="N15" s="17">
        <f>IFERROR(__xludf.DUMMYFUNCTION("""COMPUTED_VALUE"""),45890.0)</f>
        <v>45890</v>
      </c>
      <c r="O15" s="17">
        <v>45893.0</v>
      </c>
      <c r="P15" s="17">
        <f>IFERROR(__xludf.DUMMYFUNCTION("IFERROR(QUERY('Nhật ký nộp hồ sơ '!A:I, ""SELECT I WHERE B = '""&amp;B15&amp;""' ORDER BY A DESC LIMIT 1"", 0))"),45899.0)</f>
        <v>45899</v>
      </c>
      <c r="Q15" s="17" t="str">
        <f t="shared" si="2"/>
        <v/>
      </c>
      <c r="R15" s="16">
        <v>1.0</v>
      </c>
      <c r="S15" s="16"/>
      <c r="T15" s="13" t="s">
        <v>97</v>
      </c>
      <c r="U15" s="18" t="s">
        <v>85</v>
      </c>
      <c r="V15" s="18" t="s">
        <v>34</v>
      </c>
      <c r="W15" s="16"/>
      <c r="X15" s="16"/>
    </row>
    <row r="16" ht="22.5" hidden="1" customHeight="1">
      <c r="A16" s="11">
        <v>45885.63026372685</v>
      </c>
      <c r="B16" s="12" t="s">
        <v>98</v>
      </c>
      <c r="C16" s="13" t="s">
        <v>99</v>
      </c>
      <c r="D16" s="14"/>
      <c r="E16" s="13" t="s">
        <v>26</v>
      </c>
      <c r="F16" s="15" t="s">
        <v>27</v>
      </c>
      <c r="G16" s="16"/>
      <c r="H16" s="13" t="s">
        <v>28</v>
      </c>
      <c r="I16" s="13" t="s">
        <v>100</v>
      </c>
      <c r="J16" s="14"/>
      <c r="K16" s="16" t="str">
        <f t="array" ref="K16">IFERROR(VLOOKUP(B16, SORT('Nhật ký nộp hồ sơ '!B:D, 'Nhật ký nộp hồ sơ '!A:A, FALSE), 3, FALSE),"")</f>
        <v>Hoàn thành</v>
      </c>
      <c r="L16" s="16" t="str">
        <f t="shared" si="1"/>
        <v>Hoàn thành</v>
      </c>
      <c r="M16" s="13" t="s">
        <v>30</v>
      </c>
      <c r="N16" s="19">
        <f>IFERROR(__xludf.DUMMYFUNCTION("""COMPUTED_VALUE"""),45885.0)</f>
        <v>45885</v>
      </c>
      <c r="O16" s="19">
        <v>45888.0</v>
      </c>
      <c r="P16" s="17">
        <f>IFERROR(__xludf.DUMMYFUNCTION("IFERROR(QUERY('Nhật ký nộp hồ sơ '!A:I, ""SELECT I WHERE B = '""&amp;B16&amp;""' ORDER BY A DESC LIMIT 1"", 0))"),45880.0)</f>
        <v>45880</v>
      </c>
      <c r="Q16" s="19">
        <f t="shared" si="2"/>
        <v>45880</v>
      </c>
      <c r="R16" s="16">
        <v>1.0</v>
      </c>
      <c r="S16" s="16"/>
      <c r="T16" s="16"/>
      <c r="U16" s="14"/>
      <c r="V16" s="18" t="s">
        <v>34</v>
      </c>
      <c r="W16" s="16"/>
      <c r="X16" s="16"/>
    </row>
    <row r="17" ht="22.5" hidden="1" customHeight="1">
      <c r="A17" s="11">
        <v>45884.35357077546</v>
      </c>
      <c r="B17" s="12" t="s">
        <v>101</v>
      </c>
      <c r="C17" s="13" t="s">
        <v>102</v>
      </c>
      <c r="D17" s="14"/>
      <c r="E17" s="13" t="s">
        <v>26</v>
      </c>
      <c r="F17" s="15" t="s">
        <v>27</v>
      </c>
      <c r="G17" s="16"/>
      <c r="H17" s="13" t="s">
        <v>28</v>
      </c>
      <c r="I17" s="13" t="s">
        <v>100</v>
      </c>
      <c r="J17" s="14"/>
      <c r="K17" s="16" t="str">
        <f t="array" ref="K17">IFERROR(VLOOKUP(B17, SORT('Nhật ký nộp hồ sơ '!B:D, 'Nhật ký nộp hồ sơ '!A:A, FALSE), 3, FALSE),"")</f>
        <v>Hoàn thành</v>
      </c>
      <c r="L17" s="16" t="str">
        <f t="shared" si="1"/>
        <v>Hoàn thành</v>
      </c>
      <c r="M17" s="13" t="s">
        <v>30</v>
      </c>
      <c r="N17" s="19">
        <f>IFERROR(__xludf.DUMMYFUNCTION("""COMPUTED_VALUE"""),45884.0)</f>
        <v>45884</v>
      </c>
      <c r="O17" s="19">
        <v>45887.0</v>
      </c>
      <c r="P17" s="17">
        <f>IFERROR(__xludf.DUMMYFUNCTION("IFERROR(QUERY('Nhật ký nộp hồ sơ '!A:I, ""SELECT I WHERE B = '""&amp;B17&amp;""' ORDER BY A DESC LIMIT 1"", 0))"),45880.0)</f>
        <v>45880</v>
      </c>
      <c r="Q17" s="19">
        <f t="shared" si="2"/>
        <v>45880</v>
      </c>
      <c r="R17" s="16">
        <v>1.0</v>
      </c>
      <c r="S17" s="16"/>
      <c r="T17" s="16"/>
      <c r="U17" s="14"/>
      <c r="V17" s="18" t="s">
        <v>34</v>
      </c>
      <c r="W17" s="16"/>
      <c r="X17" s="16"/>
    </row>
    <row r="18" ht="22.5" hidden="1" customHeight="1">
      <c r="A18" s="11">
        <v>45884.354489108795</v>
      </c>
      <c r="B18" s="12" t="s">
        <v>103</v>
      </c>
      <c r="C18" s="13" t="s">
        <v>104</v>
      </c>
      <c r="D18" s="14"/>
      <c r="E18" s="13" t="s">
        <v>26</v>
      </c>
      <c r="F18" s="15" t="s">
        <v>27</v>
      </c>
      <c r="G18" s="16"/>
      <c r="H18" s="13" t="s">
        <v>28</v>
      </c>
      <c r="I18" s="13" t="s">
        <v>100</v>
      </c>
      <c r="J18" s="14"/>
      <c r="K18" s="16" t="str">
        <f t="array" ref="K18">IFERROR(VLOOKUP(B18, SORT('Nhật ký nộp hồ sơ '!B:D, 'Nhật ký nộp hồ sơ '!A:A, FALSE), 3, FALSE),"")</f>
        <v>Hoàn thành</v>
      </c>
      <c r="L18" s="16" t="str">
        <f t="shared" si="1"/>
        <v>Hoàn thành</v>
      </c>
      <c r="M18" s="13" t="s">
        <v>30</v>
      </c>
      <c r="N18" s="19">
        <f>IFERROR(__xludf.DUMMYFUNCTION("""COMPUTED_VALUE"""),45884.0)</f>
        <v>45884</v>
      </c>
      <c r="O18" s="19">
        <v>45887.0</v>
      </c>
      <c r="P18" s="17">
        <f>IFERROR(__xludf.DUMMYFUNCTION("IFERROR(QUERY('Nhật ký nộp hồ sơ '!A:I, ""SELECT I WHERE B = '""&amp;B18&amp;""' ORDER BY A DESC LIMIT 1"", 0))"),45883.0)</f>
        <v>45883</v>
      </c>
      <c r="Q18" s="19">
        <f t="shared" si="2"/>
        <v>45883</v>
      </c>
      <c r="R18" s="16">
        <v>1.0</v>
      </c>
      <c r="S18" s="16"/>
      <c r="T18" s="16"/>
      <c r="U18" s="14"/>
      <c r="V18" s="18" t="s">
        <v>34</v>
      </c>
      <c r="W18" s="16"/>
      <c r="X18" s="16"/>
    </row>
    <row r="19" ht="22.5" hidden="1" customHeight="1">
      <c r="A19" s="11">
        <v>45894.47587672454</v>
      </c>
      <c r="B19" s="12" t="s">
        <v>105</v>
      </c>
      <c r="C19" s="13" t="s">
        <v>106</v>
      </c>
      <c r="D19" s="18" t="s">
        <v>44</v>
      </c>
      <c r="E19" s="13" t="s">
        <v>45</v>
      </c>
      <c r="F19" s="13" t="s">
        <v>46</v>
      </c>
      <c r="G19" s="16"/>
      <c r="H19" s="13" t="s">
        <v>28</v>
      </c>
      <c r="I19" s="13" t="s">
        <v>100</v>
      </c>
      <c r="J19" s="14"/>
      <c r="K19" s="16" t="str">
        <f t="array" ref="K19">IFERROR(VLOOKUP(B19, SORT('Nhật ký nộp hồ sơ '!B:D, 'Nhật ký nộp hồ sơ '!A:A, FALSE), 3, FALSE),"")</f>
        <v>Hoàn thành</v>
      </c>
      <c r="L19" s="16" t="str">
        <f t="shared" si="1"/>
        <v>Hoàn thành</v>
      </c>
      <c r="M19" s="13" t="s">
        <v>41</v>
      </c>
      <c r="N19" s="17">
        <f>IFERROR(__xludf.DUMMYFUNCTION("""COMPUTED_VALUE"""),45894.0)</f>
        <v>45894</v>
      </c>
      <c r="O19" s="17">
        <v>45897.0</v>
      </c>
      <c r="P19" s="17">
        <f>IFERROR(__xludf.DUMMYFUNCTION("IFERROR(QUERY('Nhật ký nộp hồ sơ '!A:I, ""SELECT I WHERE B = '""&amp;B19&amp;""' ORDER BY A DESC LIMIT 1"", 0))"),45863.0)</f>
        <v>45863</v>
      </c>
      <c r="Q19" s="17">
        <f t="shared" si="2"/>
        <v>45863</v>
      </c>
      <c r="R19" s="16">
        <v>1.0</v>
      </c>
      <c r="S19" s="16"/>
      <c r="T19" s="16"/>
      <c r="U19" s="14"/>
      <c r="V19" s="18" t="s">
        <v>34</v>
      </c>
      <c r="W19" s="16"/>
      <c r="X19" s="16"/>
    </row>
    <row r="20" ht="22.5" hidden="1" customHeight="1">
      <c r="A20" s="11">
        <v>45890.512795601855</v>
      </c>
      <c r="B20" s="12" t="s">
        <v>107</v>
      </c>
      <c r="C20" s="13" t="s">
        <v>108</v>
      </c>
      <c r="D20" s="14"/>
      <c r="E20" s="13" t="s">
        <v>45</v>
      </c>
      <c r="F20" s="13" t="s">
        <v>68</v>
      </c>
      <c r="G20" s="16"/>
      <c r="H20" s="13" t="s">
        <v>69</v>
      </c>
      <c r="I20" s="13" t="s">
        <v>29</v>
      </c>
      <c r="J20" s="14"/>
      <c r="K20" s="16" t="str">
        <f t="array" ref="K20">IFERROR(VLOOKUP(B20, SORT('Nhật ký nộp hồ sơ '!B:D, 'Nhật ký nộp hồ sơ '!A:A, FALSE), 3, FALSE),"")</f>
        <v>Hủy</v>
      </c>
      <c r="L20" s="16" t="str">
        <f t="shared" si="1"/>
        <v>ĐÃ HỦY</v>
      </c>
      <c r="M20" s="13" t="s">
        <v>48</v>
      </c>
      <c r="N20" s="17">
        <f>IFERROR(__xludf.DUMMYFUNCTION("""COMPUTED_VALUE"""),45890.0)</f>
        <v>45890</v>
      </c>
      <c r="O20" s="17">
        <v>45893.0</v>
      </c>
      <c r="P20" s="17">
        <f>IFERROR(__xludf.DUMMYFUNCTION("IFERROR(QUERY('Nhật ký nộp hồ sơ '!A:I, ""SELECT I WHERE B = '""&amp;B20&amp;""' ORDER BY A DESC LIMIT 1"", 0))"),46038.0)</f>
        <v>46038</v>
      </c>
      <c r="Q20" s="17" t="str">
        <f t="shared" si="2"/>
        <v/>
      </c>
      <c r="R20" s="16">
        <v>3.0</v>
      </c>
      <c r="S20" s="16"/>
      <c r="T20" s="13" t="s">
        <v>109</v>
      </c>
      <c r="U20" s="18" t="s">
        <v>33</v>
      </c>
      <c r="V20" s="18" t="s">
        <v>34</v>
      </c>
      <c r="W20" s="16"/>
      <c r="X20" s="16"/>
    </row>
    <row r="21" ht="22.5" hidden="1" customHeight="1">
      <c r="A21" s="11">
        <v>45890.62052517361</v>
      </c>
      <c r="B21" s="12" t="s">
        <v>110</v>
      </c>
      <c r="C21" s="13" t="s">
        <v>111</v>
      </c>
      <c r="D21" s="14"/>
      <c r="E21" s="13" t="s">
        <v>26</v>
      </c>
      <c r="F21" s="13" t="s">
        <v>112</v>
      </c>
      <c r="G21" s="16"/>
      <c r="H21" s="13" t="s">
        <v>28</v>
      </c>
      <c r="I21" s="13" t="s">
        <v>81</v>
      </c>
      <c r="J21" s="14"/>
      <c r="K21" s="16" t="str">
        <f t="array" ref="K21">IFERROR(VLOOKUP(B21, SORT('Nhật ký nộp hồ sơ '!B:D, 'Nhật ký nộp hồ sơ '!A:A, FALSE), 3, FALSE),"")</f>
        <v>Hoàn thành</v>
      </c>
      <c r="L21" s="16" t="str">
        <f t="shared" si="1"/>
        <v>Hoàn thành</v>
      </c>
      <c r="M21" s="13" t="s">
        <v>56</v>
      </c>
      <c r="N21" s="17">
        <f>IFERROR(__xludf.DUMMYFUNCTION("""COMPUTED_VALUE"""),45890.0)</f>
        <v>45890</v>
      </c>
      <c r="O21" s="17">
        <v>45893.0</v>
      </c>
      <c r="P21" s="17">
        <f>IFERROR(__xludf.DUMMYFUNCTION("IFERROR(QUERY('Nhật ký nộp hồ sơ '!A:I, ""SELECT I WHERE B = '""&amp;B21&amp;""' ORDER BY A DESC LIMIT 1"", 0))"),46044.0)</f>
        <v>46044</v>
      </c>
      <c r="Q21" s="17">
        <f t="shared" si="2"/>
        <v>46044</v>
      </c>
      <c r="R21" s="16">
        <v>1.0</v>
      </c>
      <c r="S21" s="16"/>
      <c r="T21" s="13" t="s">
        <v>113</v>
      </c>
      <c r="U21" s="18" t="s">
        <v>33</v>
      </c>
      <c r="V21" s="18" t="s">
        <v>34</v>
      </c>
      <c r="W21" s="16"/>
      <c r="X21" s="16"/>
    </row>
    <row r="22" ht="22.5" hidden="1" customHeight="1">
      <c r="A22" s="11">
        <v>45891.46042230324</v>
      </c>
      <c r="B22" s="12" t="s">
        <v>114</v>
      </c>
      <c r="C22" s="13" t="s">
        <v>115</v>
      </c>
      <c r="D22" s="14"/>
      <c r="E22" s="13" t="s">
        <v>88</v>
      </c>
      <c r="F22" s="13" t="s">
        <v>116</v>
      </c>
      <c r="G22" s="16"/>
      <c r="H22" s="13" t="s">
        <v>28</v>
      </c>
      <c r="I22" s="13" t="s">
        <v>81</v>
      </c>
      <c r="J22" s="14"/>
      <c r="K22" s="16" t="str">
        <f t="array" ref="K22">IFERROR(VLOOKUP(B22, SORT('Nhật ký nộp hồ sơ '!B:D, 'Nhật ký nộp hồ sơ '!A:A, FALSE), 3, FALSE),"")</f>
        <v>Hoàn thành</v>
      </c>
      <c r="L22" s="16" t="str">
        <f t="shared" si="1"/>
        <v>Hoàn thành</v>
      </c>
      <c r="M22" s="13" t="s">
        <v>82</v>
      </c>
      <c r="N22" s="17">
        <f>IFERROR(__xludf.DUMMYFUNCTION("""COMPUTED_VALUE"""),45891.0)</f>
        <v>45891</v>
      </c>
      <c r="O22" s="17">
        <v>45894.0</v>
      </c>
      <c r="P22" s="17">
        <f>IFERROR(__xludf.DUMMYFUNCTION("IFERROR(QUERY('Nhật ký nộp hồ sơ '!A:I, ""SELECT I WHERE B = '""&amp;B22&amp;""' ORDER BY A DESC LIMIT 1"", 0))"),45877.0)</f>
        <v>45877</v>
      </c>
      <c r="Q22" s="17">
        <f t="shared" si="2"/>
        <v>45877</v>
      </c>
      <c r="R22" s="16">
        <v>1.0</v>
      </c>
      <c r="S22" s="13" t="s">
        <v>117</v>
      </c>
      <c r="T22" s="16"/>
      <c r="U22" s="14"/>
      <c r="V22" s="18" t="s">
        <v>34</v>
      </c>
      <c r="W22" s="16"/>
      <c r="X22" s="16"/>
    </row>
    <row r="23" ht="22.5" hidden="1" customHeight="1">
      <c r="A23" s="11">
        <v>45894.58774903935</v>
      </c>
      <c r="B23" s="12" t="s">
        <v>118</v>
      </c>
      <c r="C23" s="13" t="s">
        <v>119</v>
      </c>
      <c r="D23" s="14"/>
      <c r="E23" s="13" t="s">
        <v>26</v>
      </c>
      <c r="F23" s="13" t="s">
        <v>89</v>
      </c>
      <c r="G23" s="16"/>
      <c r="H23" s="13" t="s">
        <v>69</v>
      </c>
      <c r="I23" s="13" t="s">
        <v>40</v>
      </c>
      <c r="J23" s="14"/>
      <c r="K23" s="16" t="str">
        <f t="array" ref="K23">IFERROR(VLOOKUP(B23, SORT('Nhật ký nộp hồ sơ '!B:D, 'Nhật ký nộp hồ sơ '!A:A, FALSE), 3, FALSE),"")</f>
        <v>Hoàn thành</v>
      </c>
      <c r="L23" s="16" t="str">
        <f t="shared" si="1"/>
        <v>Hoàn thành</v>
      </c>
      <c r="M23" s="13" t="s">
        <v>56</v>
      </c>
      <c r="N23" s="17">
        <f>IFERROR(__xludf.DUMMYFUNCTION("""COMPUTED_VALUE"""),45894.0)</f>
        <v>45894</v>
      </c>
      <c r="O23" s="17">
        <v>45897.0</v>
      </c>
      <c r="P23" s="17">
        <f>IFERROR(__xludf.DUMMYFUNCTION("IFERROR(QUERY('Nhật ký nộp hồ sơ '!A:I, ""SELECT I WHERE B = '""&amp;B23&amp;""' ORDER BY A DESC LIMIT 1"", 0))"),45904.0)</f>
        <v>45904</v>
      </c>
      <c r="Q23" s="17">
        <f t="shared" si="2"/>
        <v>45904</v>
      </c>
      <c r="R23" s="16">
        <v>4.0</v>
      </c>
      <c r="S23" s="16"/>
      <c r="T23" s="16"/>
      <c r="U23" s="14"/>
      <c r="V23" s="18" t="s">
        <v>34</v>
      </c>
      <c r="W23" s="16"/>
      <c r="X23" s="16"/>
    </row>
    <row r="24" ht="22.5" hidden="1" customHeight="1">
      <c r="A24" s="11">
        <v>45897.50250365741</v>
      </c>
      <c r="B24" s="12" t="s">
        <v>120</v>
      </c>
      <c r="C24" s="13" t="s">
        <v>121</v>
      </c>
      <c r="D24" s="18" t="s">
        <v>44</v>
      </c>
      <c r="E24" s="13" t="s">
        <v>122</v>
      </c>
      <c r="F24" s="13" t="s">
        <v>123</v>
      </c>
      <c r="G24" s="16"/>
      <c r="H24" s="13" t="s">
        <v>55</v>
      </c>
      <c r="I24" s="13" t="s">
        <v>29</v>
      </c>
      <c r="J24" s="14"/>
      <c r="K24" s="16" t="str">
        <f t="array" ref="K24">IFERROR(VLOOKUP(B24, SORT('Nhật ký nộp hồ sơ '!B:D, 'Nhật ký nộp hồ sơ '!A:A, FALSE), 3, FALSE),"")</f>
        <v>Hoàn thành</v>
      </c>
      <c r="L24" s="16" t="str">
        <f t="shared" si="1"/>
        <v>Hoàn thành</v>
      </c>
      <c r="M24" s="13" t="s">
        <v>56</v>
      </c>
      <c r="N24" s="17">
        <f>IFERROR(__xludf.DUMMYFUNCTION("""COMPUTED_VALUE"""),45897.0)</f>
        <v>45897</v>
      </c>
      <c r="O24" s="17">
        <v>45900.0</v>
      </c>
      <c r="P24" s="17">
        <f>IFERROR(__xludf.DUMMYFUNCTION("IFERROR(QUERY('Nhật ký nộp hồ sơ '!A:I, ""SELECT I WHERE B = '""&amp;B24&amp;""' ORDER BY A DESC LIMIT 1"", 0))"),45897.0)</f>
        <v>45897</v>
      </c>
      <c r="Q24" s="17">
        <f t="shared" si="2"/>
        <v>45897</v>
      </c>
      <c r="R24" s="16">
        <v>3.0</v>
      </c>
      <c r="S24" s="16"/>
      <c r="T24" s="16"/>
      <c r="U24" s="14"/>
      <c r="V24" s="18" t="s">
        <v>34</v>
      </c>
      <c r="W24" s="16"/>
      <c r="X24" s="16"/>
    </row>
    <row r="25" ht="22.5" hidden="1" customHeight="1">
      <c r="A25" s="11">
        <v>45890.507147743054</v>
      </c>
      <c r="B25" s="12" t="s">
        <v>124</v>
      </c>
      <c r="C25" s="13" t="s">
        <v>125</v>
      </c>
      <c r="D25" s="14"/>
      <c r="E25" s="13" t="s">
        <v>45</v>
      </c>
      <c r="F25" s="13" t="s">
        <v>126</v>
      </c>
      <c r="G25" s="16"/>
      <c r="H25" s="13" t="s">
        <v>69</v>
      </c>
      <c r="I25" s="13" t="s">
        <v>40</v>
      </c>
      <c r="J25" s="14"/>
      <c r="K25" s="16" t="str">
        <f t="array" ref="K25">IFERROR(VLOOKUP(B25, SORT('Nhật ký nộp hồ sơ '!B:D, 'Nhật ký nộp hồ sơ '!A:A, FALSE), 3, FALSE),"")</f>
        <v>Hủy</v>
      </c>
      <c r="L25" s="16" t="str">
        <f t="shared" si="1"/>
        <v>ĐÃ HỦY</v>
      </c>
      <c r="M25" s="13" t="s">
        <v>56</v>
      </c>
      <c r="N25" s="17">
        <f>IFERROR(__xludf.DUMMYFUNCTION("""COMPUTED_VALUE"""),45890.0)</f>
        <v>45890</v>
      </c>
      <c r="O25" s="17">
        <v>45893.0</v>
      </c>
      <c r="P25" s="17">
        <f>IFERROR(__xludf.DUMMYFUNCTION("IFERROR(QUERY('Nhật ký nộp hồ sơ '!A:I, ""SELECT I WHERE B = '""&amp;B25&amp;""' ORDER BY A DESC LIMIT 1"", 0))"),45899.0)</f>
        <v>45899</v>
      </c>
      <c r="Q25" s="17" t="str">
        <f t="shared" si="2"/>
        <v/>
      </c>
      <c r="R25" s="16">
        <v>1.0</v>
      </c>
      <c r="S25" s="16"/>
      <c r="T25" s="13" t="s">
        <v>127</v>
      </c>
      <c r="U25" s="18" t="s">
        <v>85</v>
      </c>
      <c r="V25" s="18" t="s">
        <v>34</v>
      </c>
      <c r="W25" s="16"/>
      <c r="X25" s="16"/>
    </row>
    <row r="26" ht="22.5" hidden="1" customHeight="1">
      <c r="A26" s="11">
        <v>45891.494043252314</v>
      </c>
      <c r="B26" s="12" t="s">
        <v>128</v>
      </c>
      <c r="C26" s="13" t="s">
        <v>129</v>
      </c>
      <c r="D26" s="14"/>
      <c r="E26" s="13" t="s">
        <v>74</v>
      </c>
      <c r="F26" s="13" t="s">
        <v>126</v>
      </c>
      <c r="G26" s="16"/>
      <c r="H26" s="13" t="s">
        <v>29</v>
      </c>
      <c r="I26" s="13" t="s">
        <v>40</v>
      </c>
      <c r="J26" s="14"/>
      <c r="K26" s="16" t="str">
        <f t="array" ref="K26">IFERROR(VLOOKUP(B26, SORT('Nhật ký nộp hồ sơ '!B:D, 'Nhật ký nộp hồ sơ '!A:A, FALSE), 3, FALSE),"")</f>
        <v>Hoàn thành</v>
      </c>
      <c r="L26" s="16" t="str">
        <f t="shared" si="1"/>
        <v>Hoàn thành</v>
      </c>
      <c r="M26" s="13" t="s">
        <v>56</v>
      </c>
      <c r="N26" s="17">
        <f>IFERROR(__xludf.DUMMYFUNCTION("""COMPUTED_VALUE"""),45891.0)</f>
        <v>45891</v>
      </c>
      <c r="O26" s="17">
        <v>45894.0</v>
      </c>
      <c r="P26" s="17">
        <f>IFERROR(__xludf.DUMMYFUNCTION("IFERROR(QUERY('Nhật ký nộp hồ sơ '!A:I, ""SELECT I WHERE B = '""&amp;B26&amp;""' ORDER BY A DESC LIMIT 1"", 0))"),45881.0)</f>
        <v>45881</v>
      </c>
      <c r="Q26" s="17">
        <f t="shared" si="2"/>
        <v>45881</v>
      </c>
      <c r="R26" s="16">
        <v>1.0</v>
      </c>
      <c r="S26" s="16"/>
      <c r="T26" s="16"/>
      <c r="U26" s="14"/>
      <c r="V26" s="18" t="s">
        <v>34</v>
      </c>
      <c r="W26" s="16"/>
      <c r="X26" s="16"/>
    </row>
    <row r="27" ht="22.5" hidden="1" customHeight="1">
      <c r="A27" s="11">
        <v>45890.49305291667</v>
      </c>
      <c r="B27" s="12" t="s">
        <v>130</v>
      </c>
      <c r="C27" s="13" t="s">
        <v>131</v>
      </c>
      <c r="D27" s="18" t="s">
        <v>44</v>
      </c>
      <c r="E27" s="13" t="s">
        <v>132</v>
      </c>
      <c r="F27" s="13" t="s">
        <v>133</v>
      </c>
      <c r="G27" s="20" t="s">
        <v>134</v>
      </c>
      <c r="H27" s="13" t="s">
        <v>69</v>
      </c>
      <c r="I27" s="13" t="s">
        <v>40</v>
      </c>
      <c r="J27" s="14"/>
      <c r="K27" s="16" t="str">
        <f t="array" ref="K27">IFERROR(VLOOKUP(B27, SORT('Nhật ký nộp hồ sơ '!B:D, 'Nhật ký nộp hồ sơ '!A:A, FALSE), 3, FALSE),"")</f>
        <v>Hoàn thành</v>
      </c>
      <c r="L27" s="16" t="str">
        <f t="shared" si="1"/>
        <v>Hoàn thành</v>
      </c>
      <c r="M27" s="13" t="s">
        <v>135</v>
      </c>
      <c r="N27" s="17">
        <f>IFERROR(__xludf.DUMMYFUNCTION("""COMPUTED_VALUE"""),45890.0)</f>
        <v>45890</v>
      </c>
      <c r="O27" s="17">
        <v>45893.0</v>
      </c>
      <c r="P27" s="17">
        <f>IFERROR(__xludf.DUMMYFUNCTION("IFERROR(QUERY('Nhật ký nộp hồ sơ '!A:I, ""SELECT I WHERE B = '""&amp;B27&amp;""' ORDER BY A DESC LIMIT 1"", 0))"),46037.0)</f>
        <v>46037</v>
      </c>
      <c r="Q27" s="17">
        <f t="shared" si="2"/>
        <v>46037</v>
      </c>
      <c r="R27" s="16">
        <v>1.0</v>
      </c>
      <c r="S27" s="16"/>
      <c r="T27" s="13" t="s">
        <v>136</v>
      </c>
      <c r="U27" s="18" t="s">
        <v>33</v>
      </c>
      <c r="V27" s="18" t="s">
        <v>34</v>
      </c>
      <c r="W27" s="16"/>
      <c r="X27" s="16"/>
    </row>
    <row r="28" ht="22.5" hidden="1" customHeight="1">
      <c r="A28" s="11">
        <v>45891.49090694444</v>
      </c>
      <c r="B28" s="12" t="s">
        <v>137</v>
      </c>
      <c r="C28" s="13" t="s">
        <v>138</v>
      </c>
      <c r="D28" s="14"/>
      <c r="E28" s="13" t="s">
        <v>74</v>
      </c>
      <c r="F28" s="13" t="s">
        <v>133</v>
      </c>
      <c r="G28" s="20" t="s">
        <v>139</v>
      </c>
      <c r="H28" s="13" t="s">
        <v>28</v>
      </c>
      <c r="I28" s="13" t="s">
        <v>40</v>
      </c>
      <c r="J28" s="14"/>
      <c r="K28" s="16" t="str">
        <f t="array" ref="K28">IFERROR(VLOOKUP(B28, SORT('Nhật ký nộp hồ sơ '!B:D, 'Nhật ký nộp hồ sơ '!A:A, FALSE), 3, FALSE),"")</f>
        <v>Hoàn thành</v>
      </c>
      <c r="L28" s="16" t="str">
        <f t="shared" si="1"/>
        <v>Hoàn thành</v>
      </c>
      <c r="M28" s="13" t="s">
        <v>56</v>
      </c>
      <c r="N28" s="17">
        <f>IFERROR(__xludf.DUMMYFUNCTION("""COMPUTED_VALUE"""),45891.0)</f>
        <v>45891</v>
      </c>
      <c r="O28" s="17">
        <v>45894.0</v>
      </c>
      <c r="P28" s="17">
        <f>IFERROR(__xludf.DUMMYFUNCTION("IFERROR(QUERY('Nhật ký nộp hồ sơ '!A:I, ""SELECT I WHERE B = '""&amp;B28&amp;""' ORDER BY A DESC LIMIT 1"", 0))"),45877.0)</f>
        <v>45877</v>
      </c>
      <c r="Q28" s="17">
        <f t="shared" si="2"/>
        <v>45877</v>
      </c>
      <c r="R28" s="16">
        <v>1.0</v>
      </c>
      <c r="S28" s="13" t="s">
        <v>140</v>
      </c>
      <c r="T28" s="16"/>
      <c r="U28" s="14"/>
      <c r="V28" s="18" t="s">
        <v>34</v>
      </c>
      <c r="W28" s="16"/>
      <c r="X28" s="16"/>
    </row>
    <row r="29" ht="22.5" hidden="1" customHeight="1">
      <c r="A29" s="11">
        <v>45891.48856604166</v>
      </c>
      <c r="B29" s="12" t="s">
        <v>141</v>
      </c>
      <c r="C29" s="13" t="s">
        <v>142</v>
      </c>
      <c r="D29" s="14"/>
      <c r="E29" s="13" t="s">
        <v>53</v>
      </c>
      <c r="F29" s="13" t="s">
        <v>133</v>
      </c>
      <c r="G29" s="20" t="s">
        <v>143</v>
      </c>
      <c r="H29" s="13" t="s">
        <v>28</v>
      </c>
      <c r="I29" s="13" t="s">
        <v>81</v>
      </c>
      <c r="J29" s="14"/>
      <c r="K29" s="16" t="str">
        <f t="array" ref="K29">IFERROR(VLOOKUP(B29, SORT('Nhật ký nộp hồ sơ '!B:D, 'Nhật ký nộp hồ sơ '!A:A, FALSE), 3, FALSE),"")</f>
        <v>Hoàn thành</v>
      </c>
      <c r="L29" s="16" t="str">
        <f t="shared" si="1"/>
        <v>Hoàn thành</v>
      </c>
      <c r="M29" s="13" t="s">
        <v>30</v>
      </c>
      <c r="N29" s="17">
        <f>IFERROR(__xludf.DUMMYFUNCTION("""COMPUTED_VALUE"""),45891.0)</f>
        <v>45891</v>
      </c>
      <c r="O29" s="17">
        <v>45894.0</v>
      </c>
      <c r="P29" s="17">
        <f>IFERROR(__xludf.DUMMYFUNCTION("IFERROR(QUERY('Nhật ký nộp hồ sơ '!A:I, ""SELECT I WHERE B = '""&amp;B29&amp;""' ORDER BY A DESC LIMIT 1"", 0))"),45867.0)</f>
        <v>45867</v>
      </c>
      <c r="Q29" s="17">
        <f t="shared" si="2"/>
        <v>45867</v>
      </c>
      <c r="R29" s="16">
        <v>1.0</v>
      </c>
      <c r="S29" s="13" t="s">
        <v>144</v>
      </c>
      <c r="T29" s="16"/>
      <c r="U29" s="14"/>
      <c r="V29" s="18" t="s">
        <v>34</v>
      </c>
      <c r="W29" s="16"/>
      <c r="X29" s="16"/>
    </row>
    <row r="30" ht="22.5" hidden="1" customHeight="1">
      <c r="A30" s="11">
        <v>45894.36722126158</v>
      </c>
      <c r="B30" s="12" t="s">
        <v>145</v>
      </c>
      <c r="C30" s="13" t="s">
        <v>142</v>
      </c>
      <c r="D30" s="14"/>
      <c r="E30" s="13" t="s">
        <v>53</v>
      </c>
      <c r="F30" s="13" t="s">
        <v>133</v>
      </c>
      <c r="G30" s="20" t="s">
        <v>143</v>
      </c>
      <c r="H30" s="13" t="s">
        <v>28</v>
      </c>
      <c r="I30" s="13" t="s">
        <v>81</v>
      </c>
      <c r="J30" s="14"/>
      <c r="K30" s="16" t="str">
        <f t="array" ref="K30">IFERROR(VLOOKUP(B30, SORT('Nhật ký nộp hồ sơ '!B:D, 'Nhật ký nộp hồ sơ '!A:A, FALSE), 3, FALSE),"")</f>
        <v>Hoàn thành</v>
      </c>
      <c r="L30" s="16" t="str">
        <f t="shared" si="1"/>
        <v>Hoàn thành</v>
      </c>
      <c r="M30" s="13" t="s">
        <v>146</v>
      </c>
      <c r="N30" s="17">
        <f>IFERROR(__xludf.DUMMYFUNCTION("""COMPUTED_VALUE"""),45894.0)</f>
        <v>45894</v>
      </c>
      <c r="O30" s="17">
        <v>45897.0</v>
      </c>
      <c r="P30" s="17">
        <f>IFERROR(__xludf.DUMMYFUNCTION("IFERROR(QUERY('Nhật ký nộp hồ sơ '!A:I, ""SELECT I WHERE B = '""&amp;B30&amp;""' ORDER BY A DESC LIMIT 1"", 0))"),45867.0)</f>
        <v>45867</v>
      </c>
      <c r="Q30" s="17">
        <f t="shared" si="2"/>
        <v>45867</v>
      </c>
      <c r="R30" s="16">
        <v>1.0</v>
      </c>
      <c r="S30" s="16"/>
      <c r="T30" s="16"/>
      <c r="U30" s="14"/>
      <c r="V30" s="18" t="s">
        <v>34</v>
      </c>
      <c r="W30" s="16"/>
      <c r="X30" s="16"/>
    </row>
    <row r="31" ht="22.5" hidden="1" customHeight="1">
      <c r="A31" s="11">
        <v>45891.48223746528</v>
      </c>
      <c r="B31" s="12" t="s">
        <v>147</v>
      </c>
      <c r="C31" s="13" t="s">
        <v>142</v>
      </c>
      <c r="D31" s="14"/>
      <c r="E31" s="13" t="s">
        <v>53</v>
      </c>
      <c r="F31" s="13" t="s">
        <v>133</v>
      </c>
      <c r="G31" s="20" t="s">
        <v>143</v>
      </c>
      <c r="H31" s="13" t="s">
        <v>28</v>
      </c>
      <c r="I31" s="13" t="s">
        <v>81</v>
      </c>
      <c r="J31" s="14"/>
      <c r="K31" s="16" t="str">
        <f t="array" ref="K31">IFERROR(VLOOKUP(B31, SORT('Nhật ký nộp hồ sơ '!B:D, 'Nhật ký nộp hồ sơ '!A:A, FALSE), 3, FALSE),"")</f>
        <v>Hoàn thành</v>
      </c>
      <c r="L31" s="16" t="str">
        <f t="shared" si="1"/>
        <v>Hoàn thành</v>
      </c>
      <c r="M31" s="13" t="s">
        <v>30</v>
      </c>
      <c r="N31" s="17">
        <f>IFERROR(__xludf.DUMMYFUNCTION("""COMPUTED_VALUE"""),45891.0)</f>
        <v>45891</v>
      </c>
      <c r="O31" s="17">
        <v>45894.0</v>
      </c>
      <c r="P31" s="17">
        <f>IFERROR(__xludf.DUMMYFUNCTION("IFERROR(QUERY('Nhật ký nộp hồ sơ '!A:I, ""SELECT I WHERE B = '""&amp;B31&amp;""' ORDER BY A DESC LIMIT 1"", 0))"),45867.0)</f>
        <v>45867</v>
      </c>
      <c r="Q31" s="17">
        <f t="shared" si="2"/>
        <v>45867</v>
      </c>
      <c r="R31" s="16">
        <v>2.0</v>
      </c>
      <c r="S31" s="13" t="s">
        <v>148</v>
      </c>
      <c r="T31" s="16"/>
      <c r="U31" s="14"/>
      <c r="V31" s="18" t="s">
        <v>34</v>
      </c>
      <c r="W31" s="16"/>
      <c r="X31" s="16"/>
    </row>
    <row r="32" ht="22.5" hidden="1" customHeight="1">
      <c r="A32" s="11">
        <v>45891.47946369213</v>
      </c>
      <c r="B32" s="12" t="s">
        <v>149</v>
      </c>
      <c r="C32" s="13" t="s">
        <v>150</v>
      </c>
      <c r="D32" s="18"/>
      <c r="E32" s="13" t="s">
        <v>151</v>
      </c>
      <c r="F32" s="13" t="s">
        <v>152</v>
      </c>
      <c r="G32" s="20" t="s">
        <v>153</v>
      </c>
      <c r="H32" s="13" t="s">
        <v>28</v>
      </c>
      <c r="I32" s="13" t="s">
        <v>40</v>
      </c>
      <c r="J32" s="14"/>
      <c r="K32" s="16" t="str">
        <f t="array" ref="K32">IFERROR(VLOOKUP(B32, SORT('Nhật ký nộp hồ sơ '!B:D, 'Nhật ký nộp hồ sơ '!A:A, FALSE), 3, FALSE),"")</f>
        <v>Hoàn thành</v>
      </c>
      <c r="L32" s="16" t="str">
        <f t="shared" si="1"/>
        <v>Hoàn thành</v>
      </c>
      <c r="M32" s="13" t="s">
        <v>56</v>
      </c>
      <c r="N32" s="17">
        <f>IFERROR(__xludf.DUMMYFUNCTION("""COMPUTED_VALUE"""),45891.0)</f>
        <v>45891</v>
      </c>
      <c r="O32" s="17">
        <v>45894.0</v>
      </c>
      <c r="P32" s="17">
        <f>IFERROR(__xludf.DUMMYFUNCTION("IFERROR(QUERY('Nhật ký nộp hồ sơ '!A:I, ""SELECT I WHERE B = '""&amp;B32&amp;""' ORDER BY A DESC LIMIT 1"", 0))"),45882.0)</f>
        <v>45882</v>
      </c>
      <c r="Q32" s="17">
        <f t="shared" si="2"/>
        <v>45882</v>
      </c>
      <c r="R32" s="16">
        <v>1.0</v>
      </c>
      <c r="S32" s="13" t="s">
        <v>154</v>
      </c>
      <c r="T32" s="16"/>
      <c r="U32" s="14"/>
      <c r="V32" s="18" t="s">
        <v>34</v>
      </c>
      <c r="W32" s="16"/>
      <c r="X32" s="16"/>
    </row>
    <row r="33" ht="22.5" hidden="1" customHeight="1">
      <c r="A33" s="11">
        <v>45894.43720033565</v>
      </c>
      <c r="B33" s="12" t="s">
        <v>155</v>
      </c>
      <c r="C33" s="13" t="s">
        <v>156</v>
      </c>
      <c r="D33" s="14"/>
      <c r="E33" s="13" t="s">
        <v>151</v>
      </c>
      <c r="F33" s="13" t="s">
        <v>133</v>
      </c>
      <c r="G33" s="20" t="s">
        <v>157</v>
      </c>
      <c r="H33" s="13" t="s">
        <v>28</v>
      </c>
      <c r="I33" s="13" t="s">
        <v>81</v>
      </c>
      <c r="J33" s="14"/>
      <c r="K33" s="16" t="str">
        <f t="array" ref="K33">IFERROR(VLOOKUP(B33, SORT('Nhật ký nộp hồ sơ '!B:D, 'Nhật ký nộp hồ sơ '!A:A, FALSE), 3, FALSE),"")</f>
        <v>Hoàn thành</v>
      </c>
      <c r="L33" s="16" t="str">
        <f t="shared" si="1"/>
        <v>Hoàn thành</v>
      </c>
      <c r="M33" s="13" t="s">
        <v>146</v>
      </c>
      <c r="N33" s="17">
        <f>IFERROR(__xludf.DUMMYFUNCTION("""COMPUTED_VALUE"""),45894.0)</f>
        <v>45894</v>
      </c>
      <c r="O33" s="17">
        <v>45897.0</v>
      </c>
      <c r="P33" s="17">
        <f>IFERROR(__xludf.DUMMYFUNCTION("IFERROR(QUERY('Nhật ký nộp hồ sơ '!A:I, ""SELECT I WHERE B = '""&amp;B33&amp;""' ORDER BY A DESC LIMIT 1"", 0))"),45869.0)</f>
        <v>45869</v>
      </c>
      <c r="Q33" s="17">
        <f t="shared" si="2"/>
        <v>45869</v>
      </c>
      <c r="R33" s="16">
        <v>4.0</v>
      </c>
      <c r="S33" s="16"/>
      <c r="T33" s="16"/>
      <c r="U33" s="14"/>
      <c r="V33" s="18" t="s">
        <v>34</v>
      </c>
      <c r="W33" s="16"/>
      <c r="X33" s="16"/>
    </row>
    <row r="34" ht="22.5" hidden="1" customHeight="1">
      <c r="A34" s="11">
        <v>45891.47164347222</v>
      </c>
      <c r="B34" s="12" t="s">
        <v>158</v>
      </c>
      <c r="C34" s="13" t="s">
        <v>156</v>
      </c>
      <c r="D34" s="14"/>
      <c r="E34" s="13" t="s">
        <v>151</v>
      </c>
      <c r="F34" s="13" t="s">
        <v>133</v>
      </c>
      <c r="G34" s="20" t="s">
        <v>157</v>
      </c>
      <c r="H34" s="13" t="s">
        <v>28</v>
      </c>
      <c r="I34" s="13" t="s">
        <v>40</v>
      </c>
      <c r="J34" s="14"/>
      <c r="K34" s="16" t="str">
        <f t="array" ref="K34">IFERROR(VLOOKUP(B34, SORT('Nhật ký nộp hồ sơ '!B:D, 'Nhật ký nộp hồ sơ '!A:A, FALSE), 3, FALSE),"")</f>
        <v>Hoàn thành</v>
      </c>
      <c r="L34" s="16" t="str">
        <f t="shared" si="1"/>
        <v>Hoàn thành</v>
      </c>
      <c r="M34" s="13" t="s">
        <v>56</v>
      </c>
      <c r="N34" s="17">
        <f>IFERROR(__xludf.DUMMYFUNCTION("""COMPUTED_VALUE"""),45891.0)</f>
        <v>45891</v>
      </c>
      <c r="O34" s="17">
        <v>45894.0</v>
      </c>
      <c r="P34" s="17">
        <f>IFERROR(__xludf.DUMMYFUNCTION("IFERROR(QUERY('Nhật ký nộp hồ sơ '!A:I, ""SELECT I WHERE B = '""&amp;B34&amp;""' ORDER BY A DESC LIMIT 1"", 0))"),45895.0)</f>
        <v>45895</v>
      </c>
      <c r="Q34" s="17">
        <f t="shared" si="2"/>
        <v>45895</v>
      </c>
      <c r="R34" s="16">
        <v>4.0</v>
      </c>
      <c r="S34" s="13" t="s">
        <v>159</v>
      </c>
      <c r="T34" s="16"/>
      <c r="U34" s="14"/>
      <c r="V34" s="18" t="s">
        <v>34</v>
      </c>
      <c r="W34" s="16"/>
      <c r="X34" s="16"/>
    </row>
    <row r="35" ht="22.5" hidden="1" customHeight="1">
      <c r="A35" s="11">
        <v>45891.46813288194</v>
      </c>
      <c r="B35" s="12" t="s">
        <v>160</v>
      </c>
      <c r="C35" s="13" t="s">
        <v>161</v>
      </c>
      <c r="D35" s="14"/>
      <c r="E35" s="13" t="s">
        <v>26</v>
      </c>
      <c r="F35" s="13" t="s">
        <v>162</v>
      </c>
      <c r="G35" s="16"/>
      <c r="H35" s="13" t="s">
        <v>29</v>
      </c>
      <c r="I35" s="13" t="s">
        <v>47</v>
      </c>
      <c r="J35" s="14"/>
      <c r="K35" s="16" t="str">
        <f t="array" ref="K35">IFERROR(VLOOKUP(B35, SORT('Nhật ký nộp hồ sơ '!B:D, 'Nhật ký nộp hồ sơ '!A:A, FALSE), 3, FALSE),"")</f>
        <v>Hoàn thành</v>
      </c>
      <c r="L35" s="16" t="str">
        <f t="shared" si="1"/>
        <v>Hoàn thành</v>
      </c>
      <c r="M35" s="13" t="s">
        <v>30</v>
      </c>
      <c r="N35" s="17">
        <f>IFERROR(__xludf.DUMMYFUNCTION("""COMPUTED_VALUE"""),45891.0)</f>
        <v>45891</v>
      </c>
      <c r="O35" s="17">
        <v>45894.0</v>
      </c>
      <c r="P35" s="17">
        <f>IFERROR(__xludf.DUMMYFUNCTION("IFERROR(QUERY('Nhật ký nộp hồ sơ '!A:I, ""SELECT I WHERE B = '""&amp;B35&amp;""' ORDER BY A DESC LIMIT 1"", 0))"),45870.0)</f>
        <v>45870</v>
      </c>
      <c r="Q35" s="17">
        <f t="shared" si="2"/>
        <v>45870</v>
      </c>
      <c r="R35" s="16">
        <v>2.0</v>
      </c>
      <c r="S35" s="16"/>
      <c r="T35" s="16"/>
      <c r="U35" s="14"/>
      <c r="V35" s="18" t="s">
        <v>34</v>
      </c>
      <c r="W35" s="16"/>
      <c r="X35" s="16"/>
    </row>
    <row r="36" ht="22.5" hidden="1" customHeight="1">
      <c r="A36" s="11">
        <v>45894.47834313658</v>
      </c>
      <c r="B36" s="12" t="s">
        <v>163</v>
      </c>
      <c r="C36" s="13" t="s">
        <v>164</v>
      </c>
      <c r="D36" s="18" t="s">
        <v>44</v>
      </c>
      <c r="E36" s="13" t="s">
        <v>45</v>
      </c>
      <c r="F36" s="13" t="s">
        <v>46</v>
      </c>
      <c r="G36" s="16"/>
      <c r="H36" s="13" t="s">
        <v>69</v>
      </c>
      <c r="I36" s="13" t="s">
        <v>40</v>
      </c>
      <c r="J36" s="14"/>
      <c r="K36" s="16" t="str">
        <f t="array" ref="K36">IFERROR(VLOOKUP(B36, SORT('Nhật ký nộp hồ sơ '!B:D, 'Nhật ký nộp hồ sơ '!A:A, FALSE), 3, FALSE),"")</f>
        <v>Hoàn thành</v>
      </c>
      <c r="L36" s="16" t="str">
        <f t="shared" si="1"/>
        <v>Hoàn thành</v>
      </c>
      <c r="M36" s="13" t="s">
        <v>56</v>
      </c>
      <c r="N36" s="17">
        <f>IFERROR(__xludf.DUMMYFUNCTION("""COMPUTED_VALUE"""),45894.0)</f>
        <v>45894</v>
      </c>
      <c r="O36" s="17">
        <v>45897.0</v>
      </c>
      <c r="P36" s="17">
        <f>IFERROR(__xludf.DUMMYFUNCTION("IFERROR(QUERY('Nhật ký nộp hồ sơ '!A:I, ""SELECT I WHERE B = '""&amp;B36&amp;""' ORDER BY A DESC LIMIT 1"", 0))"),45890.0)</f>
        <v>45890</v>
      </c>
      <c r="Q36" s="17">
        <f t="shared" si="2"/>
        <v>45890</v>
      </c>
      <c r="R36" s="16">
        <v>2.0</v>
      </c>
      <c r="S36" s="16"/>
      <c r="T36" s="16"/>
      <c r="U36" s="14"/>
      <c r="V36" s="18" t="s">
        <v>34</v>
      </c>
      <c r="W36" s="16"/>
      <c r="X36" s="16"/>
    </row>
    <row r="37" ht="22.5" hidden="1" customHeight="1">
      <c r="A37" s="11">
        <v>45894.481118275464</v>
      </c>
      <c r="B37" s="12" t="s">
        <v>165</v>
      </c>
      <c r="C37" s="13" t="s">
        <v>166</v>
      </c>
      <c r="D37" s="18" t="s">
        <v>44</v>
      </c>
      <c r="E37" s="13" t="s">
        <v>26</v>
      </c>
      <c r="F37" s="13" t="s">
        <v>167</v>
      </c>
      <c r="G37" s="16"/>
      <c r="H37" s="13" t="s">
        <v>55</v>
      </c>
      <c r="I37" s="13" t="s">
        <v>40</v>
      </c>
      <c r="J37" s="14"/>
      <c r="K37" s="16" t="str">
        <f t="array" ref="K37">IFERROR(VLOOKUP(B37, SORT('Nhật ký nộp hồ sơ '!B:D, 'Nhật ký nộp hồ sơ '!A:A, FALSE), 3, FALSE),"")</f>
        <v>Hoàn thành</v>
      </c>
      <c r="L37" s="16" t="str">
        <f t="shared" si="1"/>
        <v>Hoàn thành</v>
      </c>
      <c r="M37" s="13" t="s">
        <v>56</v>
      </c>
      <c r="N37" s="17">
        <f>IFERROR(__xludf.DUMMYFUNCTION("""COMPUTED_VALUE"""),45894.0)</f>
        <v>45894</v>
      </c>
      <c r="O37" s="17">
        <v>45897.0</v>
      </c>
      <c r="P37" s="17">
        <f>IFERROR(__xludf.DUMMYFUNCTION("IFERROR(QUERY('Nhật ký nộp hồ sơ '!A:I, ""SELECT I WHERE B = '""&amp;B37&amp;""' ORDER BY A DESC LIMIT 1"", 0))"),45910.0)</f>
        <v>45910</v>
      </c>
      <c r="Q37" s="17">
        <f t="shared" si="2"/>
        <v>45910</v>
      </c>
      <c r="R37" s="16">
        <v>1.0</v>
      </c>
      <c r="S37" s="16"/>
      <c r="T37" s="16"/>
      <c r="U37" s="14"/>
      <c r="V37" s="18" t="s">
        <v>34</v>
      </c>
      <c r="W37" s="16"/>
      <c r="X37" s="16"/>
    </row>
    <row r="38" ht="22.5" hidden="1" customHeight="1">
      <c r="A38" s="11">
        <v>45891.466836631946</v>
      </c>
      <c r="B38" s="12" t="s">
        <v>168</v>
      </c>
      <c r="C38" s="13" t="s">
        <v>169</v>
      </c>
      <c r="D38" s="14"/>
      <c r="E38" s="13" t="s">
        <v>74</v>
      </c>
      <c r="F38" s="13" t="s">
        <v>80</v>
      </c>
      <c r="G38" s="16"/>
      <c r="H38" s="13" t="s">
        <v>55</v>
      </c>
      <c r="I38" s="13" t="s">
        <v>81</v>
      </c>
      <c r="J38" s="14"/>
      <c r="K38" s="16" t="str">
        <f t="array" ref="K38">IFERROR(VLOOKUP(B38, SORT('Nhật ký nộp hồ sơ '!B:D, 'Nhật ký nộp hồ sơ '!A:A, FALSE), 3, FALSE),"")</f>
        <v>Hoàn thành</v>
      </c>
      <c r="L38" s="16" t="str">
        <f t="shared" si="1"/>
        <v>Hoàn thành</v>
      </c>
      <c r="M38" s="13" t="s">
        <v>56</v>
      </c>
      <c r="N38" s="17">
        <f>IFERROR(__xludf.DUMMYFUNCTION("""COMPUTED_VALUE"""),45891.0)</f>
        <v>45891</v>
      </c>
      <c r="O38" s="17">
        <v>45894.0</v>
      </c>
      <c r="P38" s="17">
        <f>IFERROR(__xludf.DUMMYFUNCTION("IFERROR(QUERY('Nhật ký nộp hồ sơ '!A:I, ""SELECT I WHERE B = '""&amp;B38&amp;""' ORDER BY A DESC LIMIT 1"", 0))"),45891.0)</f>
        <v>45891</v>
      </c>
      <c r="Q38" s="17">
        <f t="shared" si="2"/>
        <v>45891</v>
      </c>
      <c r="R38" s="16">
        <v>2.0</v>
      </c>
      <c r="S38" s="16"/>
      <c r="T38" s="16"/>
      <c r="U38" s="14"/>
      <c r="V38" s="18" t="s">
        <v>34</v>
      </c>
      <c r="W38" s="16"/>
      <c r="X38" s="16"/>
    </row>
    <row r="39" ht="22.5" hidden="1" customHeight="1">
      <c r="A39" s="11">
        <v>45890.478332349536</v>
      </c>
      <c r="B39" s="12" t="s">
        <v>170</v>
      </c>
      <c r="C39" s="13" t="s">
        <v>171</v>
      </c>
      <c r="D39" s="14"/>
      <c r="E39" s="13" t="s">
        <v>26</v>
      </c>
      <c r="F39" s="13" t="s">
        <v>126</v>
      </c>
      <c r="G39" s="16"/>
      <c r="H39" s="13" t="s">
        <v>69</v>
      </c>
      <c r="I39" s="13" t="s">
        <v>40</v>
      </c>
      <c r="J39" s="14"/>
      <c r="K39" s="16" t="str">
        <f t="array" ref="K39">IFERROR(VLOOKUP(B39, SORT('Nhật ký nộp hồ sơ '!B:D, 'Nhật ký nộp hồ sơ '!A:A, FALSE), 3, FALSE),"")</f>
        <v>Hủy</v>
      </c>
      <c r="L39" s="16" t="str">
        <f t="shared" si="1"/>
        <v>ĐÃ HỦY</v>
      </c>
      <c r="M39" s="13" t="s">
        <v>48</v>
      </c>
      <c r="N39" s="17">
        <f>IFERROR(__xludf.DUMMYFUNCTION("""COMPUTED_VALUE"""),45890.0)</f>
        <v>45890</v>
      </c>
      <c r="O39" s="17">
        <v>45893.0</v>
      </c>
      <c r="P39" s="17">
        <f>IFERROR(__xludf.DUMMYFUNCTION("IFERROR(QUERY('Nhật ký nộp hồ sơ '!A:I, ""SELECT I WHERE B = '""&amp;B39&amp;""' ORDER BY A DESC LIMIT 1"", 0))"),45905.0)</f>
        <v>45905</v>
      </c>
      <c r="Q39" s="17" t="str">
        <f t="shared" si="2"/>
        <v/>
      </c>
      <c r="R39" s="16">
        <v>1.0</v>
      </c>
      <c r="S39" s="16"/>
      <c r="T39" s="13" t="s">
        <v>172</v>
      </c>
      <c r="U39" s="18" t="s">
        <v>33</v>
      </c>
      <c r="V39" s="18" t="s">
        <v>34</v>
      </c>
      <c r="W39" s="16"/>
      <c r="X39" s="16"/>
    </row>
    <row r="40" ht="22.5" hidden="1" customHeight="1">
      <c r="A40" s="11">
        <v>45891.4968871875</v>
      </c>
      <c r="B40" s="12" t="s">
        <v>173</v>
      </c>
      <c r="C40" s="13" t="s">
        <v>43</v>
      </c>
      <c r="D40" s="18" t="s">
        <v>44</v>
      </c>
      <c r="E40" s="13" t="s">
        <v>45</v>
      </c>
      <c r="F40" s="13" t="s">
        <v>46</v>
      </c>
      <c r="G40" s="16"/>
      <c r="H40" s="13" t="s">
        <v>28</v>
      </c>
      <c r="I40" s="13" t="s">
        <v>81</v>
      </c>
      <c r="J40" s="14"/>
      <c r="K40" s="16" t="str">
        <f t="array" ref="K40">IFERROR(VLOOKUP(B40, SORT('Nhật ký nộp hồ sơ '!B:D, 'Nhật ký nộp hồ sơ '!A:A, FALSE), 3, FALSE),"")</f>
        <v>Hoàn thành</v>
      </c>
      <c r="L40" s="16" t="str">
        <f t="shared" si="1"/>
        <v>Hoàn thành</v>
      </c>
      <c r="M40" s="13" t="s">
        <v>146</v>
      </c>
      <c r="N40" s="17">
        <f>IFERROR(__xludf.DUMMYFUNCTION("""COMPUTED_VALUE"""),45891.0)</f>
        <v>45891</v>
      </c>
      <c r="O40" s="17">
        <v>45894.0</v>
      </c>
      <c r="P40" s="17">
        <f>IFERROR(__xludf.DUMMYFUNCTION("IFERROR(QUERY('Nhật ký nộp hồ sơ '!A:I, ""SELECT I WHERE B = '""&amp;B40&amp;""' ORDER BY A DESC LIMIT 1"", 0))"),45849.0)</f>
        <v>45849</v>
      </c>
      <c r="Q40" s="17">
        <f t="shared" si="2"/>
        <v>45849</v>
      </c>
      <c r="R40" s="16">
        <v>1.0</v>
      </c>
      <c r="S40" s="16"/>
      <c r="T40" s="16"/>
      <c r="U40" s="14"/>
      <c r="V40" s="18" t="s">
        <v>34</v>
      </c>
      <c r="W40" s="16"/>
      <c r="X40" s="16"/>
    </row>
    <row r="41" ht="22.5" hidden="1" customHeight="1">
      <c r="A41" s="11">
        <v>45891.58051775463</v>
      </c>
      <c r="B41" s="12" t="s">
        <v>174</v>
      </c>
      <c r="C41" s="13" t="s">
        <v>175</v>
      </c>
      <c r="D41" s="14"/>
      <c r="E41" s="13" t="s">
        <v>122</v>
      </c>
      <c r="F41" s="13" t="s">
        <v>176</v>
      </c>
      <c r="G41" s="16"/>
      <c r="H41" s="13" t="s">
        <v>55</v>
      </c>
      <c r="I41" s="13" t="s">
        <v>40</v>
      </c>
      <c r="J41" s="14"/>
      <c r="K41" s="16" t="str">
        <f t="array" ref="K41">IFERROR(VLOOKUP(B41, SORT('Nhật ký nộp hồ sơ '!B:D, 'Nhật ký nộp hồ sơ '!A:A, FALSE), 3, FALSE),"")</f>
        <v>Hủy</v>
      </c>
      <c r="L41" s="16" t="str">
        <f t="shared" si="1"/>
        <v>ĐÃ HỦY</v>
      </c>
      <c r="M41" s="13" t="s">
        <v>135</v>
      </c>
      <c r="N41" s="17">
        <f>IFERROR(__xludf.DUMMYFUNCTION("""COMPUTED_VALUE"""),45891.0)</f>
        <v>45891</v>
      </c>
      <c r="O41" s="17">
        <v>45894.0</v>
      </c>
      <c r="P41" s="17">
        <f>IFERROR(__xludf.DUMMYFUNCTION("IFERROR(QUERY('Nhật ký nộp hồ sơ '!A:I, ""SELECT I WHERE B = '""&amp;B41&amp;""' ORDER BY A DESC LIMIT 1"", 0))"),45874.0)</f>
        <v>45874</v>
      </c>
      <c r="Q41" s="17" t="str">
        <f t="shared" si="2"/>
        <v/>
      </c>
      <c r="R41" s="16">
        <v>2.0</v>
      </c>
      <c r="S41" s="13" t="s">
        <v>177</v>
      </c>
      <c r="T41" s="13" t="s">
        <v>178</v>
      </c>
      <c r="U41" s="18" t="s">
        <v>85</v>
      </c>
      <c r="V41" s="18" t="s">
        <v>34</v>
      </c>
      <c r="W41" s="16"/>
      <c r="X41" s="16"/>
    </row>
    <row r="42" ht="22.5" hidden="1" customHeight="1">
      <c r="A42" s="11">
        <v>45891.45601840278</v>
      </c>
      <c r="B42" s="12" t="s">
        <v>179</v>
      </c>
      <c r="C42" s="13" t="s">
        <v>180</v>
      </c>
      <c r="D42" s="18" t="s">
        <v>44</v>
      </c>
      <c r="E42" s="13" t="s">
        <v>45</v>
      </c>
      <c r="F42" s="13" t="s">
        <v>46</v>
      </c>
      <c r="G42" s="16"/>
      <c r="H42" s="13" t="s">
        <v>29</v>
      </c>
      <c r="I42" s="13" t="s">
        <v>47</v>
      </c>
      <c r="J42" s="14"/>
      <c r="K42" s="16" t="str">
        <f t="array" ref="K42">IFERROR(VLOOKUP(B42, SORT('Nhật ký nộp hồ sơ '!B:D, 'Nhật ký nộp hồ sơ '!A:A, FALSE), 3, FALSE),"")</f>
        <v>Hoàn thành</v>
      </c>
      <c r="L42" s="16" t="str">
        <f t="shared" si="1"/>
        <v>Hoàn thành</v>
      </c>
      <c r="M42" s="13" t="s">
        <v>181</v>
      </c>
      <c r="N42" s="17">
        <f>IFERROR(__xludf.DUMMYFUNCTION("""COMPUTED_VALUE"""),45891.0)</f>
        <v>45891</v>
      </c>
      <c r="O42" s="17">
        <v>45894.0</v>
      </c>
      <c r="P42" s="17">
        <f>IFERROR(__xludf.DUMMYFUNCTION("IFERROR(QUERY('Nhật ký nộp hồ sơ '!A:I, ""SELECT I WHERE B = '""&amp;B42&amp;""' ORDER BY A DESC LIMIT 1"", 0))"),45874.0)</f>
        <v>45874</v>
      </c>
      <c r="Q42" s="17">
        <f t="shared" si="2"/>
        <v>45874</v>
      </c>
      <c r="R42" s="16">
        <v>1.0</v>
      </c>
      <c r="S42" s="13" t="s">
        <v>182</v>
      </c>
      <c r="T42" s="16"/>
      <c r="U42" s="14"/>
      <c r="V42" s="18" t="s">
        <v>34</v>
      </c>
      <c r="W42" s="16"/>
      <c r="X42" s="16"/>
    </row>
    <row r="43" ht="22.5" hidden="1" customHeight="1">
      <c r="A43" s="11">
        <v>45891.454052245375</v>
      </c>
      <c r="B43" s="12" t="s">
        <v>183</v>
      </c>
      <c r="C43" s="13" t="s">
        <v>184</v>
      </c>
      <c r="D43" s="18" t="s">
        <v>44</v>
      </c>
      <c r="E43" s="13" t="s">
        <v>45</v>
      </c>
      <c r="F43" s="13" t="s">
        <v>46</v>
      </c>
      <c r="G43" s="16"/>
      <c r="H43" s="13" t="s">
        <v>29</v>
      </c>
      <c r="I43" s="13" t="s">
        <v>47</v>
      </c>
      <c r="J43" s="14"/>
      <c r="K43" s="16" t="str">
        <f t="array" ref="K43">IFERROR(VLOOKUP(B43, SORT('Nhật ký nộp hồ sơ '!B:D, 'Nhật ký nộp hồ sơ '!A:A, FALSE), 3, FALSE),"")</f>
        <v>Hoàn thành</v>
      </c>
      <c r="L43" s="16" t="str">
        <f t="shared" si="1"/>
        <v>Hoàn thành</v>
      </c>
      <c r="M43" s="13" t="s">
        <v>30</v>
      </c>
      <c r="N43" s="17">
        <f>IFERROR(__xludf.DUMMYFUNCTION("""COMPUTED_VALUE"""),45891.0)</f>
        <v>45891</v>
      </c>
      <c r="O43" s="17">
        <v>45894.0</v>
      </c>
      <c r="P43" s="17">
        <f>IFERROR(__xludf.DUMMYFUNCTION("IFERROR(QUERY('Nhật ký nộp hồ sơ '!A:I, ""SELECT I WHERE B = '""&amp;B43&amp;""' ORDER BY A DESC LIMIT 1"", 0))"),45875.0)</f>
        <v>45875</v>
      </c>
      <c r="Q43" s="17">
        <f t="shared" si="2"/>
        <v>45875</v>
      </c>
      <c r="R43" s="16">
        <v>2.0</v>
      </c>
      <c r="S43" s="13" t="s">
        <v>182</v>
      </c>
      <c r="T43" s="16"/>
      <c r="U43" s="14"/>
      <c r="V43" s="18" t="s">
        <v>34</v>
      </c>
      <c r="W43" s="16"/>
      <c r="X43" s="16"/>
    </row>
    <row r="44" ht="22.5" hidden="1" customHeight="1">
      <c r="A44" s="11">
        <v>45891.4518140625</v>
      </c>
      <c r="B44" s="12" t="s">
        <v>185</v>
      </c>
      <c r="C44" s="13" t="s">
        <v>186</v>
      </c>
      <c r="D44" s="14"/>
      <c r="E44" s="13" t="s">
        <v>187</v>
      </c>
      <c r="F44" s="13" t="s">
        <v>188</v>
      </c>
      <c r="G44" s="16"/>
      <c r="H44" s="13" t="s">
        <v>47</v>
      </c>
      <c r="I44" s="13" t="s">
        <v>81</v>
      </c>
      <c r="J44" s="14"/>
      <c r="K44" s="16" t="str">
        <f t="array" ref="K44">IFERROR(VLOOKUP(B44, SORT('Nhật ký nộp hồ sơ '!B:D, 'Nhật ký nộp hồ sơ '!A:A, FALSE), 3, FALSE),"")</f>
        <v>Hoàn thành</v>
      </c>
      <c r="L44" s="16" t="str">
        <f t="shared" si="1"/>
        <v>Hoàn thành</v>
      </c>
      <c r="M44" s="13" t="s">
        <v>56</v>
      </c>
      <c r="N44" s="17">
        <f>IFERROR(__xludf.DUMMYFUNCTION("""COMPUTED_VALUE"""),45891.0)</f>
        <v>45891</v>
      </c>
      <c r="O44" s="17">
        <v>45894.0</v>
      </c>
      <c r="P44" s="17">
        <f>IFERROR(__xludf.DUMMYFUNCTION("IFERROR(QUERY('Nhật ký nộp hồ sơ '!A:I, ""SELECT I WHERE B = '""&amp;B44&amp;""' ORDER BY A DESC LIMIT 1"", 0))"),45883.0)</f>
        <v>45883</v>
      </c>
      <c r="Q44" s="17">
        <f t="shared" si="2"/>
        <v>45883</v>
      </c>
      <c r="R44" s="16">
        <v>3.0</v>
      </c>
      <c r="S44" s="16"/>
      <c r="T44" s="16"/>
      <c r="U44" s="14"/>
      <c r="V44" s="18" t="s">
        <v>34</v>
      </c>
      <c r="W44" s="16"/>
      <c r="X44" s="16"/>
    </row>
    <row r="45" ht="22.5" hidden="1" customHeight="1">
      <c r="A45" s="11">
        <v>45891.449024155096</v>
      </c>
      <c r="B45" s="12" t="s">
        <v>189</v>
      </c>
      <c r="C45" s="13" t="s">
        <v>190</v>
      </c>
      <c r="D45" s="14"/>
      <c r="E45" s="13" t="s">
        <v>26</v>
      </c>
      <c r="F45" s="13" t="s">
        <v>191</v>
      </c>
      <c r="G45" s="16"/>
      <c r="H45" s="13" t="s">
        <v>28</v>
      </c>
      <c r="I45" s="13" t="s">
        <v>81</v>
      </c>
      <c r="J45" s="14"/>
      <c r="K45" s="16" t="str">
        <f t="array" ref="K45">IFERROR(VLOOKUP(B45, SORT('Nhật ký nộp hồ sơ '!B:D, 'Nhật ký nộp hồ sơ '!A:A, FALSE), 3, FALSE),"")</f>
        <v>Hoàn thành</v>
      </c>
      <c r="L45" s="16" t="str">
        <f t="shared" si="1"/>
        <v>Hoàn thành</v>
      </c>
      <c r="M45" s="13" t="s">
        <v>56</v>
      </c>
      <c r="N45" s="17">
        <f>IFERROR(__xludf.DUMMYFUNCTION("""COMPUTED_VALUE"""),45891.0)</f>
        <v>45891</v>
      </c>
      <c r="O45" s="17">
        <v>45894.0</v>
      </c>
      <c r="P45" s="17">
        <f>IFERROR(__xludf.DUMMYFUNCTION("IFERROR(QUERY('Nhật ký nộp hồ sơ '!A:I, ""SELECT I WHERE B = '""&amp;B45&amp;""' ORDER BY A DESC LIMIT 1"", 0))"),45897.0)</f>
        <v>45897</v>
      </c>
      <c r="Q45" s="17">
        <f t="shared" si="2"/>
        <v>45897</v>
      </c>
      <c r="R45" s="16">
        <v>1.0</v>
      </c>
      <c r="S45" s="13" t="s">
        <v>192</v>
      </c>
      <c r="T45" s="16"/>
      <c r="U45" s="14"/>
      <c r="V45" s="18" t="s">
        <v>34</v>
      </c>
      <c r="W45" s="16"/>
      <c r="X45" s="16"/>
    </row>
    <row r="46" ht="22.5" hidden="1" customHeight="1">
      <c r="A46" s="11">
        <v>45891.43851952546</v>
      </c>
      <c r="B46" s="12" t="s">
        <v>193</v>
      </c>
      <c r="C46" s="13" t="s">
        <v>194</v>
      </c>
      <c r="D46" s="14"/>
      <c r="E46" s="13" t="s">
        <v>45</v>
      </c>
      <c r="F46" s="13" t="s">
        <v>133</v>
      </c>
      <c r="G46" s="16"/>
      <c r="H46" s="13" t="s">
        <v>47</v>
      </c>
      <c r="I46" s="13" t="s">
        <v>81</v>
      </c>
      <c r="J46" s="14"/>
      <c r="K46" s="16" t="str">
        <f t="array" ref="K46">IFERROR(VLOOKUP(B46, SORT('Nhật ký nộp hồ sơ '!B:D, 'Nhật ký nộp hồ sơ '!A:A, FALSE), 3, FALSE),"")</f>
        <v>Hoàn thành</v>
      </c>
      <c r="L46" s="16" t="str">
        <f t="shared" si="1"/>
        <v>Hoàn thành</v>
      </c>
      <c r="M46" s="13" t="s">
        <v>82</v>
      </c>
      <c r="N46" s="17">
        <f>IFERROR(__xludf.DUMMYFUNCTION("""COMPUTED_VALUE"""),45891.0)</f>
        <v>45891</v>
      </c>
      <c r="O46" s="17">
        <v>45894.0</v>
      </c>
      <c r="P46" s="17">
        <f>IFERROR(__xludf.DUMMYFUNCTION("IFERROR(QUERY('Nhật ký nộp hồ sơ '!A:I, ""SELECT I WHERE B = '""&amp;B46&amp;""' ORDER BY A DESC LIMIT 1"", 0))"),45876.0)</f>
        <v>45876</v>
      </c>
      <c r="Q46" s="17">
        <f t="shared" si="2"/>
        <v>45876</v>
      </c>
      <c r="R46" s="16">
        <v>6.0</v>
      </c>
      <c r="S46" s="13" t="s">
        <v>195</v>
      </c>
      <c r="T46" s="16"/>
      <c r="U46" s="14"/>
      <c r="V46" s="18" t="s">
        <v>34</v>
      </c>
      <c r="W46" s="16"/>
      <c r="X46" s="16"/>
    </row>
    <row r="47" ht="22.5" hidden="1" customHeight="1">
      <c r="A47" s="11">
        <v>45891.377903125</v>
      </c>
      <c r="B47" s="12" t="s">
        <v>196</v>
      </c>
      <c r="C47" s="13" t="s">
        <v>197</v>
      </c>
      <c r="D47" s="14"/>
      <c r="E47" s="13" t="s">
        <v>26</v>
      </c>
      <c r="F47" s="13" t="s">
        <v>162</v>
      </c>
      <c r="G47" s="16"/>
      <c r="H47" s="13" t="s">
        <v>47</v>
      </c>
      <c r="I47" s="13" t="s">
        <v>29</v>
      </c>
      <c r="J47" s="14"/>
      <c r="K47" s="16" t="str">
        <f t="array" ref="K47">IFERROR(VLOOKUP(B47, SORT('Nhật ký nộp hồ sơ '!B:D, 'Nhật ký nộp hồ sơ '!A:A, FALSE), 3, FALSE),"")</f>
        <v>Hoàn thành</v>
      </c>
      <c r="L47" s="16" t="str">
        <f t="shared" si="1"/>
        <v>Hoàn thành</v>
      </c>
      <c r="M47" s="13" t="s">
        <v>135</v>
      </c>
      <c r="N47" s="17">
        <f>IFERROR(__xludf.DUMMYFUNCTION("""COMPUTED_VALUE"""),45891.0)</f>
        <v>45891</v>
      </c>
      <c r="O47" s="17">
        <v>45894.0</v>
      </c>
      <c r="P47" s="17">
        <f>IFERROR(__xludf.DUMMYFUNCTION("IFERROR(QUERY('Nhật ký nộp hồ sơ '!A:I, ""SELECT I WHERE B = '""&amp;B47&amp;""' ORDER BY A DESC LIMIT 1"", 0))"),46157.0)</f>
        <v>46157</v>
      </c>
      <c r="Q47" s="17">
        <f t="shared" si="2"/>
        <v>46157</v>
      </c>
      <c r="R47" s="16">
        <v>2.0</v>
      </c>
      <c r="S47" s="16"/>
      <c r="T47" s="16"/>
      <c r="U47" s="14"/>
      <c r="V47" s="18" t="s">
        <v>34</v>
      </c>
      <c r="W47" s="16"/>
      <c r="X47" s="16"/>
    </row>
    <row r="48" ht="22.5" hidden="1" customHeight="1">
      <c r="A48" s="11">
        <v>45891.44658234954</v>
      </c>
      <c r="B48" s="12" t="s">
        <v>198</v>
      </c>
      <c r="C48" s="13" t="s">
        <v>197</v>
      </c>
      <c r="D48" s="14"/>
      <c r="E48" s="13" t="s">
        <v>26</v>
      </c>
      <c r="F48" s="13" t="s">
        <v>162</v>
      </c>
      <c r="G48" s="16"/>
      <c r="H48" s="13" t="s">
        <v>47</v>
      </c>
      <c r="I48" s="13" t="s">
        <v>81</v>
      </c>
      <c r="J48" s="14"/>
      <c r="K48" s="16" t="str">
        <f t="array" ref="K48">IFERROR(VLOOKUP(B48, SORT('Nhật ký nộp hồ sơ '!B:D, 'Nhật ký nộp hồ sơ '!A:A, FALSE), 3, FALSE),"")</f>
        <v>Hoàn thành</v>
      </c>
      <c r="L48" s="16" t="str">
        <f t="shared" si="1"/>
        <v>Hoàn thành</v>
      </c>
      <c r="M48" s="13" t="s">
        <v>135</v>
      </c>
      <c r="N48" s="17">
        <f>IFERROR(__xludf.DUMMYFUNCTION("""COMPUTED_VALUE"""),45891.0)</f>
        <v>45891</v>
      </c>
      <c r="O48" s="17">
        <v>45894.0</v>
      </c>
      <c r="P48" s="17">
        <f>IFERROR(__xludf.DUMMYFUNCTION("IFERROR(QUERY('Nhật ký nộp hồ sơ '!A:I, ""SELECT I WHERE B = '""&amp;B48&amp;""' ORDER BY A DESC LIMIT 1"", 0))"),46157.0)</f>
        <v>46157</v>
      </c>
      <c r="Q48" s="17">
        <f t="shared" si="2"/>
        <v>46157</v>
      </c>
      <c r="R48" s="16">
        <v>1.0</v>
      </c>
      <c r="S48" s="16"/>
      <c r="T48" s="16"/>
      <c r="U48" s="14"/>
      <c r="V48" s="18" t="s">
        <v>34</v>
      </c>
      <c r="W48" s="16"/>
      <c r="X48" s="16"/>
    </row>
    <row r="49" ht="22.5" hidden="1" customHeight="1">
      <c r="A49" s="11">
        <v>45891.42811086806</v>
      </c>
      <c r="B49" s="12" t="s">
        <v>199</v>
      </c>
      <c r="C49" s="13" t="s">
        <v>197</v>
      </c>
      <c r="D49" s="14"/>
      <c r="E49" s="13" t="s">
        <v>26</v>
      </c>
      <c r="F49" s="13" t="s">
        <v>162</v>
      </c>
      <c r="G49" s="16"/>
      <c r="H49" s="13" t="s">
        <v>47</v>
      </c>
      <c r="I49" s="13" t="s">
        <v>81</v>
      </c>
      <c r="J49" s="14"/>
      <c r="K49" s="16" t="str">
        <f t="array" ref="K49">IFERROR(VLOOKUP(B49, SORT('Nhật ký nộp hồ sơ '!B:D, 'Nhật ký nộp hồ sơ '!A:A, FALSE), 3, FALSE),"")</f>
        <v>Nộp thành công - Chờ kết quả</v>
      </c>
      <c r="L49" s="16" t="str">
        <f t="shared" si="1"/>
        <v>Đã nộp</v>
      </c>
      <c r="M49" s="13" t="s">
        <v>135</v>
      </c>
      <c r="N49" s="17">
        <f>IFERROR(__xludf.DUMMYFUNCTION("""COMPUTED_VALUE"""),45891.0)</f>
        <v>45891</v>
      </c>
      <c r="O49" s="17">
        <v>45894.0</v>
      </c>
      <c r="P49" s="17">
        <f>IFERROR(__xludf.DUMMYFUNCTION("IFERROR(QUERY('Nhật ký nộp hồ sơ '!A:I, ""SELECT I WHERE B = '""&amp;B49&amp;""' ORDER BY A DESC LIMIT 1"", 0))"),46003.0)</f>
        <v>46003</v>
      </c>
      <c r="Q49" s="17" t="str">
        <f t="shared" si="2"/>
        <v/>
      </c>
      <c r="R49" s="16">
        <v>1.0</v>
      </c>
      <c r="S49" s="16"/>
      <c r="T49" s="16"/>
      <c r="U49" s="14"/>
      <c r="V49" s="18" t="s">
        <v>34</v>
      </c>
      <c r="W49" s="16"/>
      <c r="X49" s="16"/>
    </row>
    <row r="50" ht="22.5" hidden="1" customHeight="1">
      <c r="A50" s="11">
        <v>45881.90156958334</v>
      </c>
      <c r="B50" s="12" t="s">
        <v>200</v>
      </c>
      <c r="C50" s="13" t="s">
        <v>201</v>
      </c>
      <c r="D50" s="14"/>
      <c r="E50" s="13" t="s">
        <v>53</v>
      </c>
      <c r="F50" s="13" t="s">
        <v>126</v>
      </c>
      <c r="G50" s="16"/>
      <c r="H50" s="13" t="s">
        <v>29</v>
      </c>
      <c r="I50" s="13" t="s">
        <v>40</v>
      </c>
      <c r="J50" s="18" t="s">
        <v>202</v>
      </c>
      <c r="K50" s="16" t="str">
        <f t="array" ref="K50">IFERROR(VLOOKUP(B50, SORT('Nhật ký nộp hồ sơ '!B:D, 'Nhật ký nộp hồ sơ '!A:A, FALSE), 3, FALSE),"")</f>
        <v>Hoàn thành</v>
      </c>
      <c r="L50" s="21" t="str">
        <f t="shared" si="1"/>
        <v>Hoàn thành</v>
      </c>
      <c r="M50" s="13" t="s">
        <v>56</v>
      </c>
      <c r="N50" s="19">
        <f>IFERROR(__xludf.DUMMYFUNCTION("""COMPUTED_VALUE"""),45881.0)</f>
        <v>45881</v>
      </c>
      <c r="O50" s="19">
        <v>45882.0</v>
      </c>
      <c r="P50" s="22">
        <f>IFERROR(__xludf.DUMMYFUNCTION("IFERROR(QUERY('Nhật ký nộp hồ sơ '!A:I, ""SELECT I WHERE B = '""&amp;B50&amp;""' ORDER BY A DESC LIMIT 1"", 0))"),45887.0)</f>
        <v>45887</v>
      </c>
      <c r="Q50" s="19">
        <f t="shared" si="2"/>
        <v>45887</v>
      </c>
      <c r="R50" s="16">
        <v>1.0</v>
      </c>
      <c r="S50" s="16"/>
      <c r="T50" s="16"/>
      <c r="U50" s="14"/>
      <c r="V50" s="18" t="s">
        <v>34</v>
      </c>
      <c r="W50" s="16"/>
      <c r="X50" s="16"/>
    </row>
    <row r="51" ht="22.5" hidden="1" customHeight="1">
      <c r="A51" s="11">
        <v>45897.50663268518</v>
      </c>
      <c r="B51" s="12" t="s">
        <v>203</v>
      </c>
      <c r="C51" s="13" t="s">
        <v>204</v>
      </c>
      <c r="D51" s="18"/>
      <c r="E51" s="13" t="s">
        <v>122</v>
      </c>
      <c r="F51" s="13" t="s">
        <v>205</v>
      </c>
      <c r="G51" s="16"/>
      <c r="H51" s="13" t="s">
        <v>28</v>
      </c>
      <c r="I51" s="13" t="s">
        <v>81</v>
      </c>
      <c r="J51" s="14"/>
      <c r="K51" s="16" t="str">
        <f t="array" ref="K51">IFERROR(VLOOKUP(B51, SORT('Nhật ký nộp hồ sơ '!B:D, 'Nhật ký nộp hồ sơ '!A:A, FALSE), 3, FALSE),"")</f>
        <v>Hoàn thành</v>
      </c>
      <c r="L51" s="16" t="str">
        <f t="shared" si="1"/>
        <v>Hoàn thành</v>
      </c>
      <c r="M51" s="13" t="s">
        <v>146</v>
      </c>
      <c r="N51" s="17">
        <f>IFERROR(__xludf.DUMMYFUNCTION("""COMPUTED_VALUE"""),45897.0)</f>
        <v>45897</v>
      </c>
      <c r="O51" s="17">
        <v>45900.0</v>
      </c>
      <c r="P51" s="17">
        <f>IFERROR(__xludf.DUMMYFUNCTION("IFERROR(QUERY('Nhật ký nộp hồ sơ '!A:I, ""SELECT I WHERE B = '""&amp;B51&amp;""' ORDER BY A DESC LIMIT 1"", 0))"),45882.0)</f>
        <v>45882</v>
      </c>
      <c r="Q51" s="17">
        <f t="shared" si="2"/>
        <v>45882</v>
      </c>
      <c r="R51" s="16">
        <v>2.0</v>
      </c>
      <c r="S51" s="16"/>
      <c r="T51" s="16"/>
      <c r="U51" s="14"/>
      <c r="V51" s="18" t="s">
        <v>34</v>
      </c>
      <c r="W51" s="16"/>
      <c r="X51" s="16"/>
    </row>
    <row r="52" ht="22.5" hidden="1" customHeight="1">
      <c r="A52" s="11">
        <v>45894.63127334491</v>
      </c>
      <c r="B52" s="12" t="s">
        <v>206</v>
      </c>
      <c r="C52" s="13" t="s">
        <v>204</v>
      </c>
      <c r="D52" s="18" t="s">
        <v>44</v>
      </c>
      <c r="E52" s="13" t="s">
        <v>122</v>
      </c>
      <c r="F52" s="13" t="s">
        <v>205</v>
      </c>
      <c r="G52" s="16"/>
      <c r="H52" s="13" t="s">
        <v>55</v>
      </c>
      <c r="I52" s="13" t="s">
        <v>40</v>
      </c>
      <c r="J52" s="18" t="s">
        <v>202</v>
      </c>
      <c r="K52" s="16" t="str">
        <f t="array" ref="K52">IFERROR(VLOOKUP(B52, SORT('Nhật ký nộp hồ sơ '!B:D, 'Nhật ký nộp hồ sơ '!A:A, FALSE), 3, FALSE),"")</f>
        <v>Hoàn thành</v>
      </c>
      <c r="L52" s="16" t="str">
        <f t="shared" si="1"/>
        <v>Hoàn thành</v>
      </c>
      <c r="M52" s="13" t="s">
        <v>56</v>
      </c>
      <c r="N52" s="17">
        <f>IFERROR(__xludf.DUMMYFUNCTION("""COMPUTED_VALUE"""),45894.0)</f>
        <v>45894</v>
      </c>
      <c r="O52" s="17">
        <v>45895.0</v>
      </c>
      <c r="P52" s="17">
        <f>IFERROR(__xludf.DUMMYFUNCTION("IFERROR(QUERY('Nhật ký nộp hồ sơ '!A:I, ""SELECT I WHERE B = '""&amp;B52&amp;""' ORDER BY A DESC LIMIT 1"", 0))"),45917.0)</f>
        <v>45917</v>
      </c>
      <c r="Q52" s="17">
        <f t="shared" si="2"/>
        <v>45917</v>
      </c>
      <c r="R52" s="16">
        <v>2.0</v>
      </c>
      <c r="S52" s="16"/>
      <c r="T52" s="13" t="s">
        <v>207</v>
      </c>
      <c r="U52" s="18" t="s">
        <v>208</v>
      </c>
      <c r="V52" s="18" t="s">
        <v>34</v>
      </c>
      <c r="W52" s="16"/>
      <c r="X52" s="16"/>
    </row>
    <row r="53" ht="22.5" hidden="1" customHeight="1">
      <c r="A53" s="11">
        <v>45878.81362423611</v>
      </c>
      <c r="B53" s="23" t="s">
        <v>209</v>
      </c>
      <c r="C53" s="13" t="s">
        <v>210</v>
      </c>
      <c r="D53" s="14"/>
      <c r="E53" s="13" t="s">
        <v>187</v>
      </c>
      <c r="F53" s="13" t="s">
        <v>92</v>
      </c>
      <c r="G53" s="16"/>
      <c r="H53" s="13" t="s">
        <v>55</v>
      </c>
      <c r="I53" s="13" t="s">
        <v>40</v>
      </c>
      <c r="J53" s="24"/>
      <c r="K53" s="16" t="str">
        <f t="array" ref="K53">IFERROR(VLOOKUP(B53, SORT('Nhật ký nộp hồ sơ '!B:D, 'Nhật ký nộp hồ sơ '!A:A, FALSE), 3, FALSE),"")</f>
        <v>Hủy</v>
      </c>
      <c r="L53" s="21" t="str">
        <f t="shared" si="1"/>
        <v>ĐÃ HỦY</v>
      </c>
      <c r="M53" s="13" t="s">
        <v>48</v>
      </c>
      <c r="N53" s="19">
        <f>IFERROR(__xludf.DUMMYFUNCTION("""COMPUTED_VALUE"""),45878.0)</f>
        <v>45878</v>
      </c>
      <c r="O53" s="19">
        <v>45881.0</v>
      </c>
      <c r="P53" s="22">
        <f>IFERROR(__xludf.DUMMYFUNCTION("IFERROR(QUERY('Nhật ký nộp hồ sơ '!A:I, ""SELECT I WHERE B = '""&amp;B53&amp;""' ORDER BY A DESC LIMIT 1"", 0))"),46038.0)</f>
        <v>46038</v>
      </c>
      <c r="Q53" s="19" t="str">
        <f t="shared" si="2"/>
        <v/>
      </c>
      <c r="R53" s="16">
        <v>3.0</v>
      </c>
      <c r="S53" s="13" t="s">
        <v>211</v>
      </c>
      <c r="T53" s="13" t="s">
        <v>212</v>
      </c>
      <c r="U53" s="18" t="s">
        <v>33</v>
      </c>
      <c r="V53" s="18" t="s">
        <v>34</v>
      </c>
      <c r="W53" s="16"/>
      <c r="X53" s="16"/>
    </row>
    <row r="54" ht="22.5" hidden="1" customHeight="1">
      <c r="A54" s="25">
        <v>45877.65200503472</v>
      </c>
      <c r="B54" s="26" t="s">
        <v>213</v>
      </c>
      <c r="C54" s="27" t="s">
        <v>214</v>
      </c>
      <c r="D54" s="28"/>
      <c r="E54" s="27" t="s">
        <v>187</v>
      </c>
      <c r="F54" s="27" t="s">
        <v>133</v>
      </c>
      <c r="G54" s="29" t="s">
        <v>215</v>
      </c>
      <c r="H54" s="27" t="s">
        <v>28</v>
      </c>
      <c r="I54" s="27" t="s">
        <v>40</v>
      </c>
      <c r="J54" s="24"/>
      <c r="K54" s="16" t="str">
        <f t="array" ref="K54">IFERROR(VLOOKUP(B54, SORT('Nhật ký nộp hồ sơ '!B:D, 'Nhật ký nộp hồ sơ '!A:A, FALSE), 3, FALSE),"")</f>
        <v>Hoàn thành</v>
      </c>
      <c r="L54" s="21" t="str">
        <f t="shared" si="1"/>
        <v>Hoàn thành</v>
      </c>
      <c r="M54" s="27" t="s">
        <v>216</v>
      </c>
      <c r="N54" s="19">
        <f>IFERROR(__xludf.DUMMYFUNCTION("""COMPUTED_VALUE"""),45877.0)</f>
        <v>45877</v>
      </c>
      <c r="O54" s="19">
        <v>45880.0</v>
      </c>
      <c r="P54" s="22">
        <f>IFERROR(__xludf.DUMMYFUNCTION("IFERROR(QUERY('Nhật ký nộp hồ sơ '!A:I, ""SELECT I WHERE B = '""&amp;B54&amp;""' ORDER BY A DESC LIMIT 1"", 0))"),45879.0)</f>
        <v>45879</v>
      </c>
      <c r="Q54" s="19">
        <f t="shared" si="2"/>
        <v>45879</v>
      </c>
      <c r="R54" s="16">
        <v>2.0</v>
      </c>
      <c r="S54" s="21"/>
      <c r="T54" s="27"/>
      <c r="U54" s="30"/>
      <c r="V54" s="18" t="s">
        <v>34</v>
      </c>
      <c r="W54" s="21"/>
      <c r="X54" s="21"/>
    </row>
    <row r="55" ht="22.5" hidden="1" customHeight="1">
      <c r="A55" s="25">
        <v>45877.90283644676</v>
      </c>
      <c r="B55" s="26" t="s">
        <v>217</v>
      </c>
      <c r="C55" s="27" t="s">
        <v>218</v>
      </c>
      <c r="D55" s="28"/>
      <c r="E55" s="27" t="s">
        <v>151</v>
      </c>
      <c r="F55" s="27" t="s">
        <v>219</v>
      </c>
      <c r="G55" s="21"/>
      <c r="H55" s="27" t="s">
        <v>69</v>
      </c>
      <c r="I55" s="27" t="s">
        <v>40</v>
      </c>
      <c r="J55" s="24"/>
      <c r="K55" s="16" t="str">
        <f t="array" ref="K55">IFERROR(VLOOKUP(B55, SORT('Nhật ký nộp hồ sơ '!B:D, 'Nhật ký nộp hồ sơ '!A:A, FALSE), 3, FALSE),"")</f>
        <v>Hoàn thành</v>
      </c>
      <c r="L55" s="21" t="str">
        <f t="shared" si="1"/>
        <v>Hoàn thành</v>
      </c>
      <c r="M55" s="27" t="s">
        <v>56</v>
      </c>
      <c r="N55" s="19">
        <f>IFERROR(__xludf.DUMMYFUNCTION("""COMPUTED_VALUE"""),45877.0)</f>
        <v>45877</v>
      </c>
      <c r="O55" s="19">
        <v>45880.0</v>
      </c>
      <c r="P55" s="22">
        <f>IFERROR(__xludf.DUMMYFUNCTION("IFERROR(QUERY('Nhật ký nộp hồ sơ '!A:I, ""SELECT I WHERE B = '""&amp;B55&amp;""' ORDER BY A DESC LIMIT 1"", 0))"),45925.0)</f>
        <v>45925</v>
      </c>
      <c r="Q55" s="19">
        <f t="shared" si="2"/>
        <v>45925</v>
      </c>
      <c r="R55" s="16">
        <v>2.0</v>
      </c>
      <c r="S55" s="21"/>
      <c r="T55" s="21"/>
      <c r="U55" s="28"/>
      <c r="V55" s="18" t="s">
        <v>34</v>
      </c>
      <c r="W55" s="21"/>
      <c r="X55" s="21"/>
    </row>
    <row r="56" ht="22.5" hidden="1" customHeight="1">
      <c r="A56" s="25">
        <v>45878.51288394676</v>
      </c>
      <c r="B56" s="26" t="s">
        <v>220</v>
      </c>
      <c r="C56" s="27" t="s">
        <v>221</v>
      </c>
      <c r="D56" s="28"/>
      <c r="E56" s="27" t="s">
        <v>222</v>
      </c>
      <c r="F56" s="27" t="s">
        <v>133</v>
      </c>
      <c r="G56" s="27" t="s">
        <v>223</v>
      </c>
      <c r="H56" s="27" t="s">
        <v>28</v>
      </c>
      <c r="I56" s="27" t="s">
        <v>47</v>
      </c>
      <c r="J56" s="24"/>
      <c r="K56" s="16" t="str">
        <f t="array" ref="K56">IFERROR(VLOOKUP(B56, SORT('Nhật ký nộp hồ sơ '!B:D, 'Nhật ký nộp hồ sơ '!A:A, FALSE), 3, FALSE),"")</f>
        <v>Hoàn thành</v>
      </c>
      <c r="L56" s="21" t="str">
        <f t="shared" si="1"/>
        <v>Hoàn thành</v>
      </c>
      <c r="M56" s="27" t="s">
        <v>216</v>
      </c>
      <c r="N56" s="19">
        <f>IFERROR(__xludf.DUMMYFUNCTION("""COMPUTED_VALUE"""),45878.0)</f>
        <v>45878</v>
      </c>
      <c r="O56" s="19">
        <v>45881.0</v>
      </c>
      <c r="P56" s="22">
        <f>IFERROR(__xludf.DUMMYFUNCTION("IFERROR(QUERY('Nhật ký nộp hồ sơ '!A:I, ""SELECT I WHERE B = '""&amp;B56&amp;""' ORDER BY A DESC LIMIT 1"", 0))"),45878.0)</f>
        <v>45878</v>
      </c>
      <c r="Q56" s="19">
        <f t="shared" si="2"/>
        <v>45878</v>
      </c>
      <c r="R56" s="16">
        <v>1.0</v>
      </c>
      <c r="S56" s="27" t="s">
        <v>224</v>
      </c>
      <c r="T56" s="21"/>
      <c r="U56" s="28"/>
      <c r="V56" s="18" t="s">
        <v>34</v>
      </c>
      <c r="W56" s="21"/>
      <c r="X56" s="21"/>
    </row>
    <row r="57" ht="22.5" hidden="1" customHeight="1">
      <c r="A57" s="11">
        <v>45880.370456006945</v>
      </c>
      <c r="B57" s="23" t="s">
        <v>225</v>
      </c>
      <c r="C57" s="13" t="s">
        <v>226</v>
      </c>
      <c r="D57" s="14"/>
      <c r="E57" s="13" t="s">
        <v>45</v>
      </c>
      <c r="F57" s="13" t="s">
        <v>126</v>
      </c>
      <c r="G57" s="16"/>
      <c r="H57" s="13" t="s">
        <v>29</v>
      </c>
      <c r="I57" s="13" t="s">
        <v>40</v>
      </c>
      <c r="J57" s="31" t="s">
        <v>202</v>
      </c>
      <c r="K57" s="16" t="str">
        <f t="array" ref="K57">IFERROR(VLOOKUP(B57, SORT('Nhật ký nộp hồ sơ '!B:D, 'Nhật ký nộp hồ sơ '!A:A, FALSE), 3, FALSE),"")</f>
        <v>Hoàn thành</v>
      </c>
      <c r="L57" s="21" t="str">
        <f t="shared" si="1"/>
        <v>Hoàn thành</v>
      </c>
      <c r="M57" s="13" t="s">
        <v>56</v>
      </c>
      <c r="N57" s="19">
        <f>IFERROR(__xludf.DUMMYFUNCTION("""COMPUTED_VALUE"""),45880.0)</f>
        <v>45880</v>
      </c>
      <c r="O57" s="19">
        <v>45881.0</v>
      </c>
      <c r="P57" s="22">
        <f>IFERROR(__xludf.DUMMYFUNCTION("IFERROR(QUERY('Nhật ký nộp hồ sơ '!A:I, ""SELECT I WHERE B = '""&amp;B57&amp;""' ORDER BY A DESC LIMIT 1"", 0))"),45890.0)</f>
        <v>45890</v>
      </c>
      <c r="Q57" s="19">
        <f t="shared" si="2"/>
        <v>45890</v>
      </c>
      <c r="R57" s="16">
        <v>1.0</v>
      </c>
      <c r="S57" s="16"/>
      <c r="T57" s="16"/>
      <c r="U57" s="14"/>
      <c r="V57" s="18" t="s">
        <v>34</v>
      </c>
      <c r="W57" s="16"/>
      <c r="X57" s="16"/>
    </row>
    <row r="58" ht="22.5" hidden="1" customHeight="1">
      <c r="A58" s="11">
        <v>45880.404277407404</v>
      </c>
      <c r="B58" s="23" t="s">
        <v>227</v>
      </c>
      <c r="C58" s="13" t="s">
        <v>228</v>
      </c>
      <c r="D58" s="14"/>
      <c r="E58" s="13" t="s">
        <v>45</v>
      </c>
      <c r="F58" s="13" t="s">
        <v>126</v>
      </c>
      <c r="G58" s="16"/>
      <c r="H58" s="13" t="s">
        <v>55</v>
      </c>
      <c r="I58" s="13" t="s">
        <v>40</v>
      </c>
      <c r="J58" s="24"/>
      <c r="K58" s="16" t="str">
        <f t="array" ref="K58">IFERROR(VLOOKUP(B58, SORT('Nhật ký nộp hồ sơ '!B:D, 'Nhật ký nộp hồ sơ '!A:A, FALSE), 3, FALSE),"")</f>
        <v>Hoàn thành</v>
      </c>
      <c r="L58" s="21" t="str">
        <f t="shared" si="1"/>
        <v>Hoàn thành</v>
      </c>
      <c r="M58" s="13" t="s">
        <v>56</v>
      </c>
      <c r="N58" s="19">
        <f>IFERROR(__xludf.DUMMYFUNCTION("""COMPUTED_VALUE"""),45880.0)</f>
        <v>45880</v>
      </c>
      <c r="O58" s="19">
        <v>45883.0</v>
      </c>
      <c r="P58" s="22">
        <f>IFERROR(__xludf.DUMMYFUNCTION("IFERROR(QUERY('Nhật ký nộp hồ sơ '!A:I, ""SELECT I WHERE B = '""&amp;B58&amp;""' ORDER BY A DESC LIMIT 1"", 0))"),45910.0)</f>
        <v>45910</v>
      </c>
      <c r="Q58" s="19">
        <f t="shared" si="2"/>
        <v>45910</v>
      </c>
      <c r="R58" s="16">
        <v>1.0</v>
      </c>
      <c r="S58" s="16"/>
      <c r="T58" s="16"/>
      <c r="U58" s="14"/>
      <c r="V58" s="18" t="s">
        <v>34</v>
      </c>
      <c r="W58" s="16"/>
      <c r="X58" s="16"/>
    </row>
    <row r="59" ht="22.5" hidden="1" customHeight="1">
      <c r="A59" s="11">
        <v>45880.515049375</v>
      </c>
      <c r="B59" s="23" t="s">
        <v>229</v>
      </c>
      <c r="C59" s="13" t="s">
        <v>230</v>
      </c>
      <c r="D59" s="18" t="s">
        <v>44</v>
      </c>
      <c r="E59" s="13" t="s">
        <v>231</v>
      </c>
      <c r="F59" s="13" t="s">
        <v>232</v>
      </c>
      <c r="G59" s="16"/>
      <c r="H59" s="13" t="s">
        <v>47</v>
      </c>
      <c r="I59" s="13" t="s">
        <v>81</v>
      </c>
      <c r="J59" s="24"/>
      <c r="K59" s="16" t="str">
        <f t="array" ref="K59">IFERROR(VLOOKUP(B59, SORT('Nhật ký nộp hồ sơ '!B:D, 'Nhật ký nộp hồ sơ '!A:A, FALSE), 3, FALSE),"")</f>
        <v>Hoàn thành</v>
      </c>
      <c r="L59" s="21" t="str">
        <f t="shared" si="1"/>
        <v>Hoàn thành</v>
      </c>
      <c r="M59" s="13" t="s">
        <v>181</v>
      </c>
      <c r="N59" s="19">
        <f>IFERROR(__xludf.DUMMYFUNCTION("""COMPUTED_VALUE"""),45880.0)</f>
        <v>45880</v>
      </c>
      <c r="O59" s="19">
        <v>45883.0</v>
      </c>
      <c r="P59" s="22">
        <f>IFERROR(__xludf.DUMMYFUNCTION("IFERROR(QUERY('Nhật ký nộp hồ sơ '!A:I, ""SELECT I WHERE B = '""&amp;B59&amp;""' ORDER BY A DESC LIMIT 1"", 0))"),45879.0)</f>
        <v>45879</v>
      </c>
      <c r="Q59" s="19">
        <f t="shared" si="2"/>
        <v>45879</v>
      </c>
      <c r="R59" s="16">
        <v>1.0</v>
      </c>
      <c r="S59" s="16"/>
      <c r="T59" s="16"/>
      <c r="U59" s="14"/>
      <c r="V59" s="18" t="s">
        <v>34</v>
      </c>
      <c r="W59" s="16"/>
      <c r="X59" s="16"/>
    </row>
    <row r="60" ht="22.5" hidden="1" customHeight="1">
      <c r="A60" s="11">
        <v>45894.47735097222</v>
      </c>
      <c r="B60" s="12" t="s">
        <v>233</v>
      </c>
      <c r="C60" s="13" t="s">
        <v>234</v>
      </c>
      <c r="D60" s="14"/>
      <c r="E60" s="13" t="s">
        <v>132</v>
      </c>
      <c r="F60" s="13" t="s">
        <v>133</v>
      </c>
      <c r="G60" s="20" t="s">
        <v>235</v>
      </c>
      <c r="H60" s="13" t="s">
        <v>29</v>
      </c>
      <c r="I60" s="13" t="s">
        <v>40</v>
      </c>
      <c r="J60" s="14"/>
      <c r="K60" s="16" t="str">
        <f t="array" ref="K60">IFERROR(VLOOKUP(B60, SORT('Nhật ký nộp hồ sơ '!B:D, 'Nhật ký nộp hồ sơ '!A:A, FALSE), 3, FALSE),"")</f>
        <v>Hoàn thành</v>
      </c>
      <c r="L60" s="16" t="str">
        <f t="shared" si="1"/>
        <v>Hoàn thành</v>
      </c>
      <c r="M60" s="13" t="s">
        <v>56</v>
      </c>
      <c r="N60" s="17">
        <f>IFERROR(__xludf.DUMMYFUNCTION("""COMPUTED_VALUE"""),45894.0)</f>
        <v>45894</v>
      </c>
      <c r="O60" s="17">
        <v>45897.0</v>
      </c>
      <c r="P60" s="17">
        <f>IFERROR(__xludf.DUMMYFUNCTION("IFERROR(QUERY('Nhật ký nộp hồ sơ '!A:I, ""SELECT I WHERE B = '""&amp;B60&amp;""' ORDER BY A DESC LIMIT 1"", 0))"),45951.0)</f>
        <v>45951</v>
      </c>
      <c r="Q60" s="17">
        <f t="shared" si="2"/>
        <v>45951</v>
      </c>
      <c r="R60" s="16">
        <v>1.0</v>
      </c>
      <c r="S60" s="13" t="s">
        <v>236</v>
      </c>
      <c r="T60" s="13" t="s">
        <v>237</v>
      </c>
      <c r="U60" s="18" t="s">
        <v>238</v>
      </c>
      <c r="V60" s="18" t="s">
        <v>34</v>
      </c>
      <c r="W60" s="16"/>
      <c r="X60" s="16"/>
    </row>
    <row r="61" ht="22.5" hidden="1" customHeight="1">
      <c r="A61" s="11">
        <v>45881.48201518519</v>
      </c>
      <c r="B61" s="23" t="s">
        <v>239</v>
      </c>
      <c r="C61" s="13" t="s">
        <v>240</v>
      </c>
      <c r="D61" s="18" t="s">
        <v>44</v>
      </c>
      <c r="E61" s="13" t="s">
        <v>62</v>
      </c>
      <c r="F61" s="13" t="s">
        <v>133</v>
      </c>
      <c r="G61" s="16"/>
      <c r="H61" s="13" t="s">
        <v>47</v>
      </c>
      <c r="I61" s="13" t="s">
        <v>40</v>
      </c>
      <c r="J61" s="24"/>
      <c r="K61" s="16" t="str">
        <f t="array" ref="K61">IFERROR(VLOOKUP(B61, SORT('Nhật ký nộp hồ sơ '!B:D, 'Nhật ký nộp hồ sơ '!A:A, FALSE), 3, FALSE),"")</f>
        <v>Hoàn thành</v>
      </c>
      <c r="L61" s="21" t="str">
        <f t="shared" si="1"/>
        <v>Hoàn thành</v>
      </c>
      <c r="M61" s="13" t="s">
        <v>56</v>
      </c>
      <c r="N61" s="19">
        <f>IFERROR(__xludf.DUMMYFUNCTION("""COMPUTED_VALUE"""),45881.0)</f>
        <v>45881</v>
      </c>
      <c r="O61" s="19">
        <v>45884.0</v>
      </c>
      <c r="P61" s="22">
        <f>IFERROR(__xludf.DUMMYFUNCTION("IFERROR(QUERY('Nhật ký nộp hồ sơ '!A:I, ""SELECT I WHERE B = '""&amp;B61&amp;""' ORDER BY A DESC LIMIT 1"", 0))"),45904.0)</f>
        <v>45904</v>
      </c>
      <c r="Q61" s="19">
        <f t="shared" si="2"/>
        <v>45904</v>
      </c>
      <c r="R61" s="16">
        <v>2.0</v>
      </c>
      <c r="S61" s="16"/>
      <c r="T61" s="16"/>
      <c r="U61" s="14"/>
      <c r="V61" s="18" t="s">
        <v>34</v>
      </c>
      <c r="W61" s="16"/>
      <c r="X61" s="16"/>
    </row>
    <row r="62" ht="22.5" hidden="1" customHeight="1">
      <c r="A62" s="11">
        <v>45881.578553969906</v>
      </c>
      <c r="B62" s="23" t="s">
        <v>241</v>
      </c>
      <c r="C62" s="13" t="s">
        <v>201</v>
      </c>
      <c r="D62" s="14"/>
      <c r="E62" s="13" t="s">
        <v>151</v>
      </c>
      <c r="F62" s="13" t="s">
        <v>126</v>
      </c>
      <c r="G62" s="16"/>
      <c r="H62" s="13" t="s">
        <v>28</v>
      </c>
      <c r="I62" s="13" t="s">
        <v>81</v>
      </c>
      <c r="J62" s="24"/>
      <c r="K62" s="16" t="str">
        <f t="array" ref="K62">IFERROR(VLOOKUP(B62, SORT('Nhật ký nộp hồ sơ '!B:D, 'Nhật ký nộp hồ sơ '!A:A, FALSE), 3, FALSE),"")</f>
        <v>Hoàn thành</v>
      </c>
      <c r="L62" s="21" t="str">
        <f t="shared" si="1"/>
        <v>Hoàn thành</v>
      </c>
      <c r="M62" s="13" t="s">
        <v>216</v>
      </c>
      <c r="N62" s="19">
        <f>IFERROR(__xludf.DUMMYFUNCTION("""COMPUTED_VALUE"""),45881.0)</f>
        <v>45881</v>
      </c>
      <c r="O62" s="19">
        <v>45884.0</v>
      </c>
      <c r="P62" s="22">
        <f>IFERROR(__xludf.DUMMYFUNCTION("IFERROR(QUERY('Nhật ký nộp hồ sơ '!A:I, ""SELECT I WHERE B = '""&amp;B62&amp;""' ORDER BY A DESC LIMIT 1"", 0))"),45881.0)</f>
        <v>45881</v>
      </c>
      <c r="Q62" s="19">
        <f t="shared" si="2"/>
        <v>45881</v>
      </c>
      <c r="R62" s="16">
        <v>1.0</v>
      </c>
      <c r="S62" s="13"/>
      <c r="T62" s="16"/>
      <c r="U62" s="14"/>
      <c r="V62" s="18" t="s">
        <v>34</v>
      </c>
      <c r="W62" s="16"/>
      <c r="X62" s="16"/>
    </row>
    <row r="63" ht="22.5" hidden="1" customHeight="1">
      <c r="A63" s="11">
        <v>45881.5891944676</v>
      </c>
      <c r="B63" s="23" t="s">
        <v>242</v>
      </c>
      <c r="C63" s="13" t="s">
        <v>226</v>
      </c>
      <c r="D63" s="14"/>
      <c r="E63" s="13" t="s">
        <v>45</v>
      </c>
      <c r="F63" s="13" t="s">
        <v>126</v>
      </c>
      <c r="G63" s="16"/>
      <c r="H63" s="13" t="s">
        <v>28</v>
      </c>
      <c r="I63" s="13" t="s">
        <v>81</v>
      </c>
      <c r="J63" s="24"/>
      <c r="K63" s="16" t="str">
        <f t="array" ref="K63">IFERROR(VLOOKUP(B63, SORT('Nhật ký nộp hồ sơ '!B:D, 'Nhật ký nộp hồ sơ '!A:A, FALSE), 3, FALSE),"")</f>
        <v>Hoàn thành</v>
      </c>
      <c r="L63" s="21" t="str">
        <f t="shared" si="1"/>
        <v>Hoàn thành</v>
      </c>
      <c r="M63" s="13" t="s">
        <v>146</v>
      </c>
      <c r="N63" s="19">
        <f>IFERROR(__xludf.DUMMYFUNCTION("""COMPUTED_VALUE"""),45881.0)</f>
        <v>45881</v>
      </c>
      <c r="O63" s="19">
        <v>45884.0</v>
      </c>
      <c r="P63" s="22">
        <f>IFERROR(__xludf.DUMMYFUNCTION("IFERROR(QUERY('Nhật ký nộp hồ sơ '!A:I, ""SELECT I WHERE B = '""&amp;B63&amp;""' ORDER BY A DESC LIMIT 1"", 0))"),45881.0)</f>
        <v>45881</v>
      </c>
      <c r="Q63" s="19">
        <f t="shared" si="2"/>
        <v>45881</v>
      </c>
      <c r="R63" s="16">
        <v>1.0</v>
      </c>
      <c r="S63" s="13" t="s">
        <v>243</v>
      </c>
      <c r="T63" s="16"/>
      <c r="U63" s="14"/>
      <c r="V63" s="18" t="s">
        <v>34</v>
      </c>
      <c r="W63" s="16"/>
      <c r="X63" s="16"/>
    </row>
    <row r="64" ht="22.5" hidden="1" customHeight="1">
      <c r="A64" s="11">
        <v>45881.62436736111</v>
      </c>
      <c r="B64" s="23" t="s">
        <v>244</v>
      </c>
      <c r="C64" s="13" t="s">
        <v>245</v>
      </c>
      <c r="D64" s="14"/>
      <c r="E64" s="13" t="s">
        <v>151</v>
      </c>
      <c r="F64" s="13" t="s">
        <v>246</v>
      </c>
      <c r="G64" s="16"/>
      <c r="H64" s="13" t="s">
        <v>28</v>
      </c>
      <c r="I64" s="13" t="s">
        <v>29</v>
      </c>
      <c r="J64" s="24"/>
      <c r="K64" s="16" t="str">
        <f t="array" ref="K64">IFERROR(VLOOKUP(B64, SORT('Nhật ký nộp hồ sơ '!B:D, 'Nhật ký nộp hồ sơ '!A:A, FALSE), 3, FALSE),"")</f>
        <v>Hoàn thành</v>
      </c>
      <c r="L64" s="21" t="str">
        <f t="shared" si="1"/>
        <v>Hoàn thành</v>
      </c>
      <c r="M64" s="13" t="s">
        <v>216</v>
      </c>
      <c r="N64" s="19">
        <f>IFERROR(__xludf.DUMMYFUNCTION("""COMPUTED_VALUE"""),45881.0)</f>
        <v>45881</v>
      </c>
      <c r="O64" s="19">
        <v>45884.0</v>
      </c>
      <c r="P64" s="22">
        <f>IFERROR(__xludf.DUMMYFUNCTION("IFERROR(QUERY('Nhật ký nộp hồ sơ '!A:I, ""SELECT I WHERE B = '""&amp;B64&amp;""' ORDER BY A DESC LIMIT 1"", 0))"),45874.0)</f>
        <v>45874</v>
      </c>
      <c r="Q64" s="19">
        <f t="shared" si="2"/>
        <v>45874</v>
      </c>
      <c r="R64" s="16">
        <v>1.0</v>
      </c>
      <c r="S64" s="16"/>
      <c r="T64" s="16"/>
      <c r="U64" s="14"/>
      <c r="V64" s="18" t="s">
        <v>34</v>
      </c>
      <c r="W64" s="16"/>
      <c r="X64" s="16"/>
    </row>
    <row r="65" ht="22.5" hidden="1" customHeight="1">
      <c r="A65" s="11">
        <v>45881.72785258102</v>
      </c>
      <c r="B65" s="23" t="s">
        <v>247</v>
      </c>
      <c r="C65" s="13" t="s">
        <v>248</v>
      </c>
      <c r="D65" s="14"/>
      <c r="E65" s="13" t="s">
        <v>132</v>
      </c>
      <c r="F65" s="13" t="s">
        <v>123</v>
      </c>
      <c r="G65" s="16"/>
      <c r="H65" s="13" t="s">
        <v>69</v>
      </c>
      <c r="I65" s="13" t="s">
        <v>81</v>
      </c>
      <c r="J65" s="24"/>
      <c r="K65" s="16" t="str">
        <f t="array" ref="K65">IFERROR(VLOOKUP(B65, SORT('Nhật ký nộp hồ sơ '!B:D, 'Nhật ký nộp hồ sơ '!A:A, FALSE), 3, FALSE),"")</f>
        <v>Hoàn thành</v>
      </c>
      <c r="L65" s="21" t="str">
        <f t="shared" si="1"/>
        <v>Hoàn thành</v>
      </c>
      <c r="M65" s="13" t="s">
        <v>56</v>
      </c>
      <c r="N65" s="19">
        <f>IFERROR(__xludf.DUMMYFUNCTION("""COMPUTED_VALUE"""),45881.0)</f>
        <v>45881</v>
      </c>
      <c r="O65" s="19">
        <v>45884.0</v>
      </c>
      <c r="P65" s="22">
        <f>IFERROR(__xludf.DUMMYFUNCTION("IFERROR(QUERY('Nhật ký nộp hồ sơ '!A:I, ""SELECT I WHERE B = '""&amp;B65&amp;""' ORDER BY A DESC LIMIT 1"", 0))"),45891.0)</f>
        <v>45891</v>
      </c>
      <c r="Q65" s="19">
        <f t="shared" si="2"/>
        <v>45891</v>
      </c>
      <c r="R65" s="16">
        <v>2.0</v>
      </c>
      <c r="S65" s="16"/>
      <c r="T65" s="16"/>
      <c r="U65" s="14"/>
      <c r="V65" s="18" t="s">
        <v>34</v>
      </c>
      <c r="W65" s="16"/>
      <c r="X65" s="16"/>
    </row>
    <row r="66" ht="22.5" hidden="1" customHeight="1">
      <c r="A66" s="11">
        <v>45882.618621828704</v>
      </c>
      <c r="B66" s="12" t="s">
        <v>249</v>
      </c>
      <c r="C66" s="13" t="s">
        <v>250</v>
      </c>
      <c r="D66" s="14"/>
      <c r="E66" s="13" t="s">
        <v>151</v>
      </c>
      <c r="F66" s="27" t="s">
        <v>219</v>
      </c>
      <c r="G66" s="16"/>
      <c r="H66" s="13" t="s">
        <v>55</v>
      </c>
      <c r="I66" s="13" t="s">
        <v>29</v>
      </c>
      <c r="J66" s="18" t="s">
        <v>202</v>
      </c>
      <c r="K66" s="16" t="str">
        <f t="array" ref="K66">IFERROR(VLOOKUP(B66, SORT('Nhật ký nộp hồ sơ '!B:D, 'Nhật ký nộp hồ sơ '!A:A, FALSE), 3, FALSE),"")</f>
        <v>Hoàn thành</v>
      </c>
      <c r="L66" s="21" t="str">
        <f t="shared" si="1"/>
        <v>Hoàn thành</v>
      </c>
      <c r="M66" s="13" t="s">
        <v>56</v>
      </c>
      <c r="N66" s="19">
        <f>IFERROR(__xludf.DUMMYFUNCTION("""COMPUTED_VALUE"""),45882.0)</f>
        <v>45882</v>
      </c>
      <c r="O66" s="19">
        <v>45883.0</v>
      </c>
      <c r="P66" s="22">
        <f>IFERROR(__xludf.DUMMYFUNCTION("IFERROR(QUERY('Nhật ký nộp hồ sơ '!A:I, ""SELECT I WHERE B = '""&amp;B66&amp;""' ORDER BY A DESC LIMIT 1"", 0))"),45887.0)</f>
        <v>45887</v>
      </c>
      <c r="Q66" s="19">
        <f t="shared" si="2"/>
        <v>45887</v>
      </c>
      <c r="R66" s="16">
        <v>1.0</v>
      </c>
      <c r="S66" s="16"/>
      <c r="T66" s="16"/>
      <c r="U66" s="14"/>
      <c r="V66" s="18" t="s">
        <v>34</v>
      </c>
      <c r="W66" s="16"/>
      <c r="X66" s="16"/>
    </row>
    <row r="67" ht="22.5" hidden="1" customHeight="1">
      <c r="A67" s="11">
        <v>45882.678079502315</v>
      </c>
      <c r="B67" s="12" t="s">
        <v>251</v>
      </c>
      <c r="C67" s="13" t="s">
        <v>252</v>
      </c>
      <c r="D67" s="18" t="s">
        <v>44</v>
      </c>
      <c r="E67" s="13" t="s">
        <v>26</v>
      </c>
      <c r="F67" s="13" t="s">
        <v>167</v>
      </c>
      <c r="G67" s="16"/>
      <c r="H67" s="13" t="s">
        <v>47</v>
      </c>
      <c r="I67" s="13" t="s">
        <v>40</v>
      </c>
      <c r="J67" s="14"/>
      <c r="K67" s="16" t="str">
        <f t="array" ref="K67">IFERROR(VLOOKUP(B67, SORT('Nhật ký nộp hồ sơ '!B:D, 'Nhật ký nộp hồ sơ '!A:A, FALSE), 3, FALSE),"")</f>
        <v>Nộp thành công - Chờ kết quả</v>
      </c>
      <c r="L67" s="21" t="str">
        <f t="shared" si="1"/>
        <v>Đã nộp</v>
      </c>
      <c r="M67" s="13" t="s">
        <v>56</v>
      </c>
      <c r="N67" s="19">
        <f>IFERROR(__xludf.DUMMYFUNCTION("""COMPUTED_VALUE"""),45882.0)</f>
        <v>45882</v>
      </c>
      <c r="O67" s="19">
        <v>45885.0</v>
      </c>
      <c r="P67" s="17">
        <f>IFERROR(__xludf.DUMMYFUNCTION("IFERROR(QUERY('Nhật ký nộp hồ sơ '!A:I, ""SELECT I WHERE B = '""&amp;B67&amp;""' ORDER BY A DESC LIMIT 1"", 0))"),45910.0)</f>
        <v>45910</v>
      </c>
      <c r="Q67" s="19" t="str">
        <f t="shared" si="2"/>
        <v/>
      </c>
      <c r="R67" s="16">
        <v>2.0</v>
      </c>
      <c r="S67" s="13" t="s">
        <v>253</v>
      </c>
      <c r="T67" s="13" t="s">
        <v>254</v>
      </c>
      <c r="U67" s="18" t="s">
        <v>85</v>
      </c>
      <c r="V67" s="18" t="s">
        <v>34</v>
      </c>
      <c r="W67" s="16"/>
      <c r="X67" s="16"/>
    </row>
    <row r="68" ht="22.5" hidden="1" customHeight="1">
      <c r="A68" s="11">
        <v>45882.680216458335</v>
      </c>
      <c r="B68" s="12" t="s">
        <v>255</v>
      </c>
      <c r="C68" s="13" t="s">
        <v>252</v>
      </c>
      <c r="D68" s="18" t="s">
        <v>44</v>
      </c>
      <c r="E68" s="13" t="s">
        <v>26</v>
      </c>
      <c r="F68" s="13" t="s">
        <v>167</v>
      </c>
      <c r="G68" s="16"/>
      <c r="H68" s="13" t="s">
        <v>47</v>
      </c>
      <c r="I68" s="13" t="s">
        <v>40</v>
      </c>
      <c r="J68" s="14"/>
      <c r="K68" s="16" t="str">
        <f t="array" ref="K68">IFERROR(VLOOKUP(B68, SORT('Nhật ký nộp hồ sơ '!B:D, 'Nhật ký nộp hồ sơ '!A:A, FALSE), 3, FALSE),"")</f>
        <v>Nộp thành công - Chờ kết quả</v>
      </c>
      <c r="L68" s="21" t="str">
        <f t="shared" si="1"/>
        <v>Đã nộp</v>
      </c>
      <c r="M68" s="13" t="s">
        <v>56</v>
      </c>
      <c r="N68" s="19">
        <f>IFERROR(__xludf.DUMMYFUNCTION("""COMPUTED_VALUE"""),45882.0)</f>
        <v>45882</v>
      </c>
      <c r="O68" s="19">
        <v>45885.0</v>
      </c>
      <c r="P68" s="17">
        <f>IFERROR(__xludf.DUMMYFUNCTION("IFERROR(QUERY('Nhật ký nộp hồ sơ '!A:I, ""SELECT I WHERE B = '""&amp;B68&amp;""' ORDER BY A DESC LIMIT 1"", 0))"),45910.0)</f>
        <v>45910</v>
      </c>
      <c r="Q68" s="19" t="str">
        <f t="shared" si="2"/>
        <v/>
      </c>
      <c r="R68" s="16">
        <v>1.0</v>
      </c>
      <c r="S68" s="13" t="s">
        <v>253</v>
      </c>
      <c r="T68" s="13" t="s">
        <v>254</v>
      </c>
      <c r="U68" s="18" t="s">
        <v>85</v>
      </c>
      <c r="V68" s="18" t="s">
        <v>34</v>
      </c>
      <c r="W68" s="16"/>
      <c r="X68" s="16"/>
    </row>
    <row r="69" ht="22.5" hidden="1" customHeight="1">
      <c r="A69" s="11">
        <v>45882.6989303588</v>
      </c>
      <c r="B69" s="12" t="s">
        <v>256</v>
      </c>
      <c r="C69" s="13" t="s">
        <v>252</v>
      </c>
      <c r="D69" s="18" t="s">
        <v>44</v>
      </c>
      <c r="E69" s="13" t="s">
        <v>26</v>
      </c>
      <c r="F69" s="13" t="s">
        <v>167</v>
      </c>
      <c r="G69" s="16"/>
      <c r="H69" s="13" t="s">
        <v>47</v>
      </c>
      <c r="I69" s="13" t="s">
        <v>40</v>
      </c>
      <c r="J69" s="14"/>
      <c r="K69" s="16" t="str">
        <f t="array" ref="K69">IFERROR(VLOOKUP(B69, SORT('Nhật ký nộp hồ sơ '!B:D, 'Nhật ký nộp hồ sơ '!A:A, FALSE), 3, FALSE),"")</f>
        <v>Nộp thành công - Chờ kết quả</v>
      </c>
      <c r="L69" s="21" t="str">
        <f t="shared" si="1"/>
        <v>Đã nộp</v>
      </c>
      <c r="M69" s="13" t="s">
        <v>56</v>
      </c>
      <c r="N69" s="19">
        <f>IFERROR(__xludf.DUMMYFUNCTION("""COMPUTED_VALUE"""),45882.0)</f>
        <v>45882</v>
      </c>
      <c r="O69" s="19">
        <v>45885.0</v>
      </c>
      <c r="P69" s="17">
        <f>IFERROR(__xludf.DUMMYFUNCTION("IFERROR(QUERY('Nhật ký nộp hồ sơ '!A:I, ""SELECT I WHERE B = '""&amp;B69&amp;""' ORDER BY A DESC LIMIT 1"", 0))"),45910.0)</f>
        <v>45910</v>
      </c>
      <c r="Q69" s="19" t="str">
        <f t="shared" si="2"/>
        <v/>
      </c>
      <c r="R69" s="16">
        <v>3.0</v>
      </c>
      <c r="S69" s="13" t="s">
        <v>253</v>
      </c>
      <c r="T69" s="13" t="s">
        <v>254</v>
      </c>
      <c r="U69" s="18" t="s">
        <v>85</v>
      </c>
      <c r="V69" s="18" t="s">
        <v>34</v>
      </c>
      <c r="W69" s="16"/>
      <c r="X69" s="16"/>
    </row>
    <row r="70" ht="22.5" hidden="1" customHeight="1">
      <c r="A70" s="11">
        <v>45882.699726921295</v>
      </c>
      <c r="B70" s="12" t="s">
        <v>257</v>
      </c>
      <c r="C70" s="13" t="s">
        <v>258</v>
      </c>
      <c r="D70" s="18" t="s">
        <v>44</v>
      </c>
      <c r="E70" s="13" t="s">
        <v>26</v>
      </c>
      <c r="F70" s="13" t="s">
        <v>167</v>
      </c>
      <c r="G70" s="16"/>
      <c r="H70" s="13" t="s">
        <v>47</v>
      </c>
      <c r="I70" s="13" t="s">
        <v>40</v>
      </c>
      <c r="J70" s="14"/>
      <c r="K70" s="16" t="str">
        <f t="array" ref="K70">IFERROR(VLOOKUP(B70, SORT('Nhật ký nộp hồ sơ '!B:D, 'Nhật ký nộp hồ sơ '!A:A, FALSE), 3, FALSE),"")</f>
        <v>Nộp thành công - Chờ kết quả</v>
      </c>
      <c r="L70" s="21" t="str">
        <f t="shared" si="1"/>
        <v>Đã nộp</v>
      </c>
      <c r="M70" s="13" t="s">
        <v>56</v>
      </c>
      <c r="N70" s="19">
        <f>IFERROR(__xludf.DUMMYFUNCTION("""COMPUTED_VALUE"""),45882.0)</f>
        <v>45882</v>
      </c>
      <c r="O70" s="19">
        <v>45885.0</v>
      </c>
      <c r="P70" s="17">
        <f>IFERROR(__xludf.DUMMYFUNCTION("IFERROR(QUERY('Nhật ký nộp hồ sơ '!A:I, ""SELECT I WHERE B = '""&amp;B70&amp;""' ORDER BY A DESC LIMIT 1"", 0))"),45896.0)</f>
        <v>45896</v>
      </c>
      <c r="Q70" s="19" t="str">
        <f t="shared" si="2"/>
        <v/>
      </c>
      <c r="R70" s="16">
        <v>1.0</v>
      </c>
      <c r="S70" s="13" t="s">
        <v>253</v>
      </c>
      <c r="T70" s="13" t="s">
        <v>254</v>
      </c>
      <c r="U70" s="18" t="s">
        <v>85</v>
      </c>
      <c r="V70" s="18" t="s">
        <v>34</v>
      </c>
      <c r="W70" s="16"/>
      <c r="X70" s="16"/>
    </row>
    <row r="71" ht="22.5" hidden="1" customHeight="1">
      <c r="A71" s="11">
        <v>45883.42837725695</v>
      </c>
      <c r="B71" s="12" t="s">
        <v>259</v>
      </c>
      <c r="C71" s="13" t="s">
        <v>260</v>
      </c>
      <c r="D71" s="14"/>
      <c r="E71" s="13" t="s">
        <v>187</v>
      </c>
      <c r="F71" s="13" t="s">
        <v>133</v>
      </c>
      <c r="G71" s="16"/>
      <c r="H71" s="13" t="s">
        <v>28</v>
      </c>
      <c r="I71" s="13" t="s">
        <v>40</v>
      </c>
      <c r="J71" s="14"/>
      <c r="K71" s="16" t="str">
        <f t="array" ref="K71">IFERROR(VLOOKUP(B71, SORT('Nhật ký nộp hồ sơ '!B:D, 'Nhật ký nộp hồ sơ '!A:A, FALSE), 3, FALSE),"")</f>
        <v>Hoàn thành</v>
      </c>
      <c r="L71" s="21" t="str">
        <f t="shared" si="1"/>
        <v>Hoàn thành</v>
      </c>
      <c r="M71" s="13" t="s">
        <v>216</v>
      </c>
      <c r="N71" s="19">
        <f>IFERROR(__xludf.DUMMYFUNCTION("""COMPUTED_VALUE"""),45883.0)</f>
        <v>45883</v>
      </c>
      <c r="O71" s="19">
        <v>45886.0</v>
      </c>
      <c r="P71" s="17">
        <f>IFERROR(__xludf.DUMMYFUNCTION("IFERROR(QUERY('Nhật ký nộp hồ sơ '!A:I, ""SELECT I WHERE B = '""&amp;B71&amp;""' ORDER BY A DESC LIMIT 1"", 0))"),45882.0)</f>
        <v>45882</v>
      </c>
      <c r="Q71" s="19">
        <f t="shared" si="2"/>
        <v>45882</v>
      </c>
      <c r="R71" s="16">
        <v>1.0</v>
      </c>
      <c r="S71" s="13" t="s">
        <v>261</v>
      </c>
      <c r="T71" s="16"/>
      <c r="U71" s="14"/>
      <c r="V71" s="18" t="s">
        <v>34</v>
      </c>
      <c r="W71" s="16"/>
      <c r="X71" s="16"/>
    </row>
    <row r="72" ht="22.5" hidden="1" customHeight="1">
      <c r="A72" s="11">
        <v>45883.43394938657</v>
      </c>
      <c r="B72" s="12" t="s">
        <v>262</v>
      </c>
      <c r="C72" s="13" t="s">
        <v>263</v>
      </c>
      <c r="D72" s="14"/>
      <c r="E72" s="13" t="s">
        <v>53</v>
      </c>
      <c r="F72" s="13" t="s">
        <v>133</v>
      </c>
      <c r="G72" s="20" t="s">
        <v>264</v>
      </c>
      <c r="H72" s="13" t="s">
        <v>47</v>
      </c>
      <c r="I72" s="13" t="s">
        <v>81</v>
      </c>
      <c r="J72" s="14"/>
      <c r="K72" s="16" t="str">
        <f t="array" ref="K72">IFERROR(VLOOKUP(B72, SORT('Nhật ký nộp hồ sơ '!B:D, 'Nhật ký nộp hồ sơ '!A:A, FALSE), 3, FALSE),"")</f>
        <v>Hoàn thành</v>
      </c>
      <c r="L72" s="21" t="str">
        <f t="shared" si="1"/>
        <v>Hoàn thành</v>
      </c>
      <c r="M72" s="13" t="s">
        <v>41</v>
      </c>
      <c r="N72" s="19">
        <f>IFERROR(__xludf.DUMMYFUNCTION("""COMPUTED_VALUE"""),45883.0)</f>
        <v>45883</v>
      </c>
      <c r="O72" s="19">
        <v>45886.0</v>
      </c>
      <c r="P72" s="17">
        <f>IFERROR(__xludf.DUMMYFUNCTION("IFERROR(QUERY('Nhật ký nộp hồ sơ '!A:I, ""SELECT I WHERE B = '""&amp;B72&amp;""' ORDER BY A DESC LIMIT 1"", 0))"),45882.0)</f>
        <v>45882</v>
      </c>
      <c r="Q72" s="19">
        <f t="shared" si="2"/>
        <v>45882</v>
      </c>
      <c r="R72" s="16">
        <v>1.0</v>
      </c>
      <c r="S72" s="13" t="s">
        <v>265</v>
      </c>
      <c r="T72" s="16"/>
      <c r="U72" s="14"/>
      <c r="V72" s="18" t="s">
        <v>34</v>
      </c>
      <c r="W72" s="16"/>
      <c r="X72" s="16"/>
    </row>
    <row r="73" ht="22.5" hidden="1" customHeight="1">
      <c r="A73" s="11">
        <v>45883.4381346875</v>
      </c>
      <c r="B73" s="12" t="s">
        <v>266</v>
      </c>
      <c r="C73" s="13" t="s">
        <v>267</v>
      </c>
      <c r="D73" s="14"/>
      <c r="E73" s="13" t="s">
        <v>26</v>
      </c>
      <c r="F73" s="13" t="s">
        <v>68</v>
      </c>
      <c r="G73" s="16"/>
      <c r="H73" s="13" t="s">
        <v>28</v>
      </c>
      <c r="I73" s="13" t="s">
        <v>81</v>
      </c>
      <c r="J73" s="14"/>
      <c r="K73" s="16" t="str">
        <f t="array" ref="K73">IFERROR(VLOOKUP(B73, SORT('Nhật ký nộp hồ sơ '!B:D, 'Nhật ký nộp hồ sơ '!A:A, FALSE), 3, FALSE),"")</f>
        <v>Hoàn thành</v>
      </c>
      <c r="L73" s="16" t="str">
        <f t="shared" si="1"/>
        <v>Hoàn thành</v>
      </c>
      <c r="M73" s="13" t="s">
        <v>146</v>
      </c>
      <c r="N73" s="19">
        <f>IFERROR(__xludf.DUMMYFUNCTION("""COMPUTED_VALUE"""),45883.0)</f>
        <v>45883</v>
      </c>
      <c r="O73" s="19">
        <v>45886.0</v>
      </c>
      <c r="P73" s="17">
        <f>IFERROR(__xludf.DUMMYFUNCTION("IFERROR(QUERY('Nhật ký nộp hồ sơ '!A:I, ""SELECT I WHERE B = '""&amp;B73&amp;""' ORDER BY A DESC LIMIT 1"", 0))"),45882.0)</f>
        <v>45882</v>
      </c>
      <c r="Q73" s="17">
        <f t="shared" si="2"/>
        <v>45882</v>
      </c>
      <c r="R73" s="16">
        <v>1.0</v>
      </c>
      <c r="S73" s="13" t="s">
        <v>268</v>
      </c>
      <c r="T73" s="16"/>
      <c r="U73" s="14"/>
      <c r="V73" s="18" t="s">
        <v>34</v>
      </c>
      <c r="W73" s="16"/>
      <c r="X73" s="16"/>
    </row>
    <row r="74" ht="22.5" hidden="1" customHeight="1">
      <c r="A74" s="11">
        <v>45883.543038206015</v>
      </c>
      <c r="B74" s="12" t="s">
        <v>269</v>
      </c>
      <c r="C74" s="13" t="s">
        <v>270</v>
      </c>
      <c r="D74" s="14"/>
      <c r="E74" s="13" t="s">
        <v>53</v>
      </c>
      <c r="F74" s="13" t="s">
        <v>133</v>
      </c>
      <c r="G74" s="20" t="s">
        <v>271</v>
      </c>
      <c r="H74" s="13" t="s">
        <v>47</v>
      </c>
      <c r="I74" s="13" t="s">
        <v>29</v>
      </c>
      <c r="J74" s="14"/>
      <c r="K74" s="16" t="str">
        <f t="array" ref="K74">IFERROR(VLOOKUP(B74, SORT('Nhật ký nộp hồ sơ '!B:D, 'Nhật ký nộp hồ sơ '!A:A, FALSE), 3, FALSE),"")</f>
        <v>Hoàn thành</v>
      </c>
      <c r="L74" s="16" t="str">
        <f t="shared" si="1"/>
        <v>Hoàn thành</v>
      </c>
      <c r="M74" s="13" t="s">
        <v>30</v>
      </c>
      <c r="N74" s="19">
        <f>IFERROR(__xludf.DUMMYFUNCTION("""COMPUTED_VALUE"""),45883.0)</f>
        <v>45883</v>
      </c>
      <c r="O74" s="19">
        <v>45886.0</v>
      </c>
      <c r="P74" s="17">
        <f>IFERROR(__xludf.DUMMYFUNCTION("IFERROR(QUERY('Nhật ký nộp hồ sơ '!A:I, ""SELECT I WHERE B = '""&amp;B74&amp;""' ORDER BY A DESC LIMIT 1"", 0))"),45883.0)</f>
        <v>45883</v>
      </c>
      <c r="Q74" s="17">
        <f t="shared" si="2"/>
        <v>45883</v>
      </c>
      <c r="R74" s="16">
        <v>1.0</v>
      </c>
      <c r="S74" s="13" t="s">
        <v>272</v>
      </c>
      <c r="T74" s="16"/>
      <c r="U74" s="14"/>
      <c r="V74" s="18" t="s">
        <v>34</v>
      </c>
      <c r="W74" s="16"/>
      <c r="X74" s="16"/>
    </row>
    <row r="75" ht="22.5" hidden="1" customHeight="1">
      <c r="A75" s="11">
        <v>45883.705979791666</v>
      </c>
      <c r="B75" s="12" t="s">
        <v>273</v>
      </c>
      <c r="C75" s="13" t="s">
        <v>274</v>
      </c>
      <c r="D75" s="18" t="s">
        <v>44</v>
      </c>
      <c r="E75" s="13" t="s">
        <v>26</v>
      </c>
      <c r="F75" s="13" t="s">
        <v>167</v>
      </c>
      <c r="G75" s="16"/>
      <c r="H75" s="13" t="s">
        <v>55</v>
      </c>
      <c r="I75" s="13" t="s">
        <v>40</v>
      </c>
      <c r="J75" s="14"/>
      <c r="K75" s="16" t="str">
        <f t="array" ref="K75">IFERROR(VLOOKUP(B75, SORT('Nhật ký nộp hồ sơ '!B:D, 'Nhật ký nộp hồ sơ '!A:A, FALSE), 3, FALSE),"")</f>
        <v>Hoàn thành</v>
      </c>
      <c r="L75" s="16" t="str">
        <f t="shared" si="1"/>
        <v>Hoàn thành</v>
      </c>
      <c r="M75" s="13" t="s">
        <v>48</v>
      </c>
      <c r="N75" s="19">
        <f>IFERROR(__xludf.DUMMYFUNCTION("""COMPUTED_VALUE"""),45883.0)</f>
        <v>45883</v>
      </c>
      <c r="O75" s="19">
        <v>45886.0</v>
      </c>
      <c r="P75" s="17">
        <f>IFERROR(__xludf.DUMMYFUNCTION("IFERROR(QUERY('Nhật ký nộp hồ sơ '!A:I, ""SELECT I WHERE B = '""&amp;B75&amp;""' ORDER BY A DESC LIMIT 1"", 0))"),45896.0)</f>
        <v>45896</v>
      </c>
      <c r="Q75" s="17">
        <f t="shared" si="2"/>
        <v>45896</v>
      </c>
      <c r="R75" s="16">
        <v>1.0</v>
      </c>
      <c r="S75" s="16"/>
      <c r="T75" s="16"/>
      <c r="U75" s="14"/>
      <c r="V75" s="18" t="s">
        <v>34</v>
      </c>
      <c r="W75" s="16"/>
      <c r="X75" s="16"/>
    </row>
    <row r="76" ht="22.5" hidden="1" customHeight="1">
      <c r="A76" s="11">
        <v>45883.70777841435</v>
      </c>
      <c r="B76" s="12" t="s">
        <v>275</v>
      </c>
      <c r="C76" s="13" t="s">
        <v>276</v>
      </c>
      <c r="D76" s="18" t="s">
        <v>44</v>
      </c>
      <c r="E76" s="13" t="s">
        <v>26</v>
      </c>
      <c r="F76" s="13" t="s">
        <v>167</v>
      </c>
      <c r="G76" s="16"/>
      <c r="H76" s="13" t="s">
        <v>47</v>
      </c>
      <c r="I76" s="13" t="s">
        <v>40</v>
      </c>
      <c r="J76" s="14"/>
      <c r="K76" s="16" t="str">
        <f t="array" ref="K76">IFERROR(VLOOKUP(B76, SORT('Nhật ký nộp hồ sơ '!B:D, 'Nhật ký nộp hồ sơ '!A:A, FALSE), 3, FALSE),"")</f>
        <v>Nộp thành công - Chờ kết quả</v>
      </c>
      <c r="L76" s="16" t="str">
        <f t="shared" si="1"/>
        <v>Đã nộp</v>
      </c>
      <c r="M76" s="13" t="s">
        <v>56</v>
      </c>
      <c r="N76" s="17">
        <f>IFERROR(__xludf.DUMMYFUNCTION("""COMPUTED_VALUE"""),45883.0)</f>
        <v>45883</v>
      </c>
      <c r="O76" s="17">
        <v>45886.0</v>
      </c>
      <c r="P76" s="17">
        <f>IFERROR(__xludf.DUMMYFUNCTION("IFERROR(QUERY('Nhật ký nộp hồ sơ '!A:I, ""SELECT I WHERE B = '""&amp;B76&amp;""' ORDER BY A DESC LIMIT 1"", 0))"),45926.0)</f>
        <v>45926</v>
      </c>
      <c r="Q76" s="17" t="str">
        <f t="shared" si="2"/>
        <v/>
      </c>
      <c r="R76" s="16">
        <v>2.0</v>
      </c>
      <c r="S76" s="13" t="s">
        <v>277</v>
      </c>
      <c r="T76" s="13" t="s">
        <v>278</v>
      </c>
      <c r="U76" s="18" t="s">
        <v>33</v>
      </c>
      <c r="V76" s="18" t="s">
        <v>34</v>
      </c>
      <c r="W76" s="16"/>
      <c r="X76" s="16"/>
    </row>
    <row r="77" ht="22.5" hidden="1" customHeight="1">
      <c r="A77" s="11">
        <v>45884.5820003125</v>
      </c>
      <c r="B77" s="12" t="s">
        <v>279</v>
      </c>
      <c r="C77" s="13" t="s">
        <v>280</v>
      </c>
      <c r="D77" s="14"/>
      <c r="E77" s="13" t="s">
        <v>79</v>
      </c>
      <c r="F77" s="13" t="s">
        <v>80</v>
      </c>
      <c r="G77" s="16"/>
      <c r="H77" s="13" t="s">
        <v>47</v>
      </c>
      <c r="I77" s="13" t="s">
        <v>40</v>
      </c>
      <c r="J77" s="14"/>
      <c r="K77" s="16" t="str">
        <f t="array" ref="K77">IFERROR(VLOOKUP(B77, SORT('Nhật ký nộp hồ sơ '!B:D, 'Nhật ký nộp hồ sơ '!A:A, FALSE), 3, FALSE),"")</f>
        <v>Nộp thành công - Chờ kết quả</v>
      </c>
      <c r="L77" s="16" t="str">
        <f t="shared" si="1"/>
        <v>Đã nộp</v>
      </c>
      <c r="M77" s="13" t="s">
        <v>56</v>
      </c>
      <c r="N77" s="17">
        <f>IFERROR(__xludf.DUMMYFUNCTION("""COMPUTED_VALUE"""),45884.0)</f>
        <v>45884</v>
      </c>
      <c r="O77" s="17">
        <v>45887.0</v>
      </c>
      <c r="P77" s="17">
        <f>IFERROR(__xludf.DUMMYFUNCTION("IFERROR(QUERY('Nhật ký nộp hồ sơ '!A:I, ""SELECT I WHERE B = '""&amp;B77&amp;""' ORDER BY A DESC LIMIT 1"", 0))"),45885.0)</f>
        <v>45885</v>
      </c>
      <c r="Q77" s="17" t="str">
        <f t="shared" si="2"/>
        <v/>
      </c>
      <c r="R77" s="16">
        <v>3.0</v>
      </c>
      <c r="S77" s="13" t="s">
        <v>272</v>
      </c>
      <c r="T77" s="16"/>
      <c r="U77" s="14"/>
      <c r="V77" s="18" t="s">
        <v>34</v>
      </c>
      <c r="W77" s="16"/>
      <c r="X77" s="16"/>
    </row>
    <row r="78" ht="22.5" hidden="1" customHeight="1">
      <c r="A78" s="11">
        <v>45884.73636060185</v>
      </c>
      <c r="B78" s="12" t="s">
        <v>281</v>
      </c>
      <c r="C78" s="13" t="s">
        <v>260</v>
      </c>
      <c r="D78" s="14"/>
      <c r="E78" s="13" t="s">
        <v>187</v>
      </c>
      <c r="F78" s="13" t="s">
        <v>133</v>
      </c>
      <c r="G78" s="16"/>
      <c r="H78" s="13" t="s">
        <v>28</v>
      </c>
      <c r="I78" s="13" t="s">
        <v>40</v>
      </c>
      <c r="J78" s="14"/>
      <c r="K78" s="16" t="str">
        <f t="array" ref="K78">IFERROR(VLOOKUP(B78, SORT('Nhật ký nộp hồ sơ '!B:D, 'Nhật ký nộp hồ sơ '!A:A, FALSE), 3, FALSE),"")</f>
        <v>Hoàn thành</v>
      </c>
      <c r="L78" s="16" t="str">
        <f t="shared" si="1"/>
        <v>Hoàn thành</v>
      </c>
      <c r="M78" s="13" t="s">
        <v>41</v>
      </c>
      <c r="N78" s="17">
        <f>IFERROR(__xludf.DUMMYFUNCTION("""COMPUTED_VALUE"""),45884.0)</f>
        <v>45884</v>
      </c>
      <c r="O78" s="17">
        <v>45887.0</v>
      </c>
      <c r="P78" s="17">
        <f>IFERROR(__xludf.DUMMYFUNCTION("IFERROR(QUERY('Nhật ký nộp hồ sơ '!A:I, ""SELECT I WHERE B = '""&amp;B78&amp;""' ORDER BY A DESC LIMIT 1"", 0))"),45883.0)</f>
        <v>45883</v>
      </c>
      <c r="Q78" s="17">
        <f t="shared" si="2"/>
        <v>45883</v>
      </c>
      <c r="R78" s="16">
        <v>2.0</v>
      </c>
      <c r="S78" s="13" t="s">
        <v>282</v>
      </c>
      <c r="T78" s="16"/>
      <c r="U78" s="14"/>
      <c r="V78" s="18" t="s">
        <v>34</v>
      </c>
      <c r="W78" s="16"/>
      <c r="X78" s="16"/>
    </row>
    <row r="79" ht="22.5" hidden="1" customHeight="1">
      <c r="A79" s="11">
        <v>45885.49163856481</v>
      </c>
      <c r="B79" s="12" t="s">
        <v>283</v>
      </c>
      <c r="C79" s="13" t="s">
        <v>284</v>
      </c>
      <c r="D79" s="14"/>
      <c r="E79" s="13" t="s">
        <v>45</v>
      </c>
      <c r="F79" s="13" t="s">
        <v>133</v>
      </c>
      <c r="G79" s="13">
        <v>9.85889875E8</v>
      </c>
      <c r="H79" s="13" t="s">
        <v>69</v>
      </c>
      <c r="I79" s="13" t="s">
        <v>40</v>
      </c>
      <c r="J79" s="14"/>
      <c r="K79" s="16" t="str">
        <f t="array" ref="K79">IFERROR(VLOOKUP(B79, SORT('Nhật ký nộp hồ sơ '!B:D, 'Nhật ký nộp hồ sơ '!A:A, FALSE), 3, FALSE),"")</f>
        <v>Hoàn thành</v>
      </c>
      <c r="L79" s="16" t="str">
        <f t="shared" si="1"/>
        <v>Hoàn thành</v>
      </c>
      <c r="M79" s="13" t="s">
        <v>48</v>
      </c>
      <c r="N79" s="17">
        <f>IFERROR(__xludf.DUMMYFUNCTION("""COMPUTED_VALUE"""),45885.0)</f>
        <v>45885</v>
      </c>
      <c r="O79" s="17">
        <v>45888.0</v>
      </c>
      <c r="P79" s="17">
        <f>IFERROR(__xludf.DUMMYFUNCTION("IFERROR(QUERY('Nhật ký nộp hồ sơ '!A:I, ""SELECT I WHERE B = '""&amp;B79&amp;""' ORDER BY A DESC LIMIT 1"", 0))"),45895.0)</f>
        <v>45895</v>
      </c>
      <c r="Q79" s="17">
        <f t="shared" si="2"/>
        <v>45895</v>
      </c>
      <c r="R79" s="16">
        <v>1.0</v>
      </c>
      <c r="S79" s="16"/>
      <c r="T79" s="16"/>
      <c r="U79" s="14"/>
      <c r="V79" s="18" t="s">
        <v>34</v>
      </c>
      <c r="W79" s="16"/>
      <c r="X79" s="16"/>
    </row>
    <row r="80" ht="22.5" hidden="1" customHeight="1">
      <c r="A80" s="11">
        <v>45887.34363503472</v>
      </c>
      <c r="B80" s="12" t="s">
        <v>285</v>
      </c>
      <c r="C80" s="13" t="s">
        <v>286</v>
      </c>
      <c r="D80" s="18" t="s">
        <v>44</v>
      </c>
      <c r="E80" s="13" t="s">
        <v>45</v>
      </c>
      <c r="F80" s="13" t="s">
        <v>46</v>
      </c>
      <c r="G80" s="16"/>
      <c r="H80" s="13" t="s">
        <v>29</v>
      </c>
      <c r="I80" s="13" t="s">
        <v>47</v>
      </c>
      <c r="J80" s="18" t="s">
        <v>202</v>
      </c>
      <c r="K80" s="16" t="str">
        <f t="array" ref="K80">IFERROR(VLOOKUP(B80, SORT('Nhật ký nộp hồ sơ '!B:D, 'Nhật ký nộp hồ sơ '!A:A, FALSE), 3, FALSE),"")</f>
        <v>Hoàn thành</v>
      </c>
      <c r="L80" s="16" t="str">
        <f t="shared" si="1"/>
        <v>Hoàn thành</v>
      </c>
      <c r="M80" s="13" t="s">
        <v>30</v>
      </c>
      <c r="N80" s="17">
        <f>IFERROR(__xludf.DUMMYFUNCTION("""COMPUTED_VALUE"""),45887.0)</f>
        <v>45887</v>
      </c>
      <c r="O80" s="17">
        <v>45888.0</v>
      </c>
      <c r="P80" s="17">
        <f>IFERROR(__xludf.DUMMYFUNCTION("IFERROR(QUERY('Nhật ký nộp hồ sơ '!A:I, ""SELECT I WHERE B = '""&amp;B80&amp;""' ORDER BY A DESC LIMIT 1"", 0))"),45887.0)</f>
        <v>45887</v>
      </c>
      <c r="Q80" s="17">
        <f t="shared" si="2"/>
        <v>45887</v>
      </c>
      <c r="R80" s="16">
        <v>3.0</v>
      </c>
      <c r="S80" s="13" t="s">
        <v>287</v>
      </c>
      <c r="T80" s="16"/>
      <c r="U80" s="14"/>
      <c r="V80" s="18" t="s">
        <v>34</v>
      </c>
      <c r="W80" s="16"/>
      <c r="X80" s="16"/>
    </row>
    <row r="81" ht="22.5" hidden="1" customHeight="1">
      <c r="A81" s="11">
        <v>45888.44320799768</v>
      </c>
      <c r="B81" s="12" t="s">
        <v>288</v>
      </c>
      <c r="C81" s="13" t="s">
        <v>289</v>
      </c>
      <c r="D81" s="14"/>
      <c r="E81" s="13" t="s">
        <v>132</v>
      </c>
      <c r="F81" s="13" t="s">
        <v>116</v>
      </c>
      <c r="G81" s="16"/>
      <c r="H81" s="13" t="s">
        <v>69</v>
      </c>
      <c r="I81" s="13" t="s">
        <v>40</v>
      </c>
      <c r="J81" s="14"/>
      <c r="K81" s="16" t="str">
        <f t="array" ref="K81">IFERROR(VLOOKUP(B81, SORT('Nhật ký nộp hồ sơ '!B:D, 'Nhật ký nộp hồ sơ '!A:A, FALSE), 3, FALSE),"")</f>
        <v>Hoàn thành</v>
      </c>
      <c r="L81" s="16" t="str">
        <f t="shared" si="1"/>
        <v>Hoàn thành</v>
      </c>
      <c r="M81" s="13" t="s">
        <v>56</v>
      </c>
      <c r="N81" s="17">
        <f>IFERROR(__xludf.DUMMYFUNCTION("""COMPUTED_VALUE"""),45888.0)</f>
        <v>45888</v>
      </c>
      <c r="O81" s="17">
        <v>45891.0</v>
      </c>
      <c r="P81" s="17">
        <f>IFERROR(__xludf.DUMMYFUNCTION("IFERROR(QUERY('Nhật ký nộp hồ sơ '!A:I, ""SELECT I WHERE B = '""&amp;B81&amp;""' ORDER BY A DESC LIMIT 1"", 0))"),45904.0)</f>
        <v>45904</v>
      </c>
      <c r="Q81" s="17">
        <f t="shared" si="2"/>
        <v>45904</v>
      </c>
      <c r="R81" s="16">
        <v>1.0</v>
      </c>
      <c r="S81" s="16"/>
      <c r="T81" s="16"/>
      <c r="U81" s="14"/>
      <c r="V81" s="18" t="s">
        <v>34</v>
      </c>
      <c r="W81" s="16"/>
      <c r="X81" s="16"/>
    </row>
    <row r="82" ht="22.5" hidden="1" customHeight="1">
      <c r="A82" s="11">
        <v>45894.480088807875</v>
      </c>
      <c r="B82" s="12" t="s">
        <v>290</v>
      </c>
      <c r="C82" s="13" t="s">
        <v>291</v>
      </c>
      <c r="D82" s="14"/>
      <c r="E82" s="13" t="s">
        <v>74</v>
      </c>
      <c r="F82" s="13" t="s">
        <v>123</v>
      </c>
      <c r="G82" s="16"/>
      <c r="H82" s="13" t="s">
        <v>47</v>
      </c>
      <c r="I82" s="13" t="s">
        <v>28</v>
      </c>
      <c r="J82" s="14"/>
      <c r="K82" s="16" t="str">
        <f t="array" ref="K82">IFERROR(VLOOKUP(B82, SORT('Nhật ký nộp hồ sơ '!B:D, 'Nhật ký nộp hồ sơ '!A:A, FALSE), 3, FALSE),"")</f>
        <v>Hoàn thành</v>
      </c>
      <c r="L82" s="16" t="str">
        <f t="shared" si="1"/>
        <v>Hoàn thành</v>
      </c>
      <c r="M82" s="13" t="s">
        <v>30</v>
      </c>
      <c r="N82" s="17">
        <f>IFERROR(__xludf.DUMMYFUNCTION("""COMPUTED_VALUE"""),45894.0)</f>
        <v>45894</v>
      </c>
      <c r="O82" s="17">
        <v>45897.0</v>
      </c>
      <c r="P82" s="17">
        <f>IFERROR(__xludf.DUMMYFUNCTION("IFERROR(QUERY('Nhật ký nộp hồ sơ '!A:I, ""SELECT I WHERE B = '""&amp;B82&amp;""' ORDER BY A DESC LIMIT 1"", 0))"),45888.0)</f>
        <v>45888</v>
      </c>
      <c r="Q82" s="17">
        <f t="shared" si="2"/>
        <v>45888</v>
      </c>
      <c r="R82" s="16">
        <v>5.0</v>
      </c>
      <c r="S82" s="13" t="s">
        <v>292</v>
      </c>
      <c r="T82" s="16"/>
      <c r="U82" s="14"/>
      <c r="V82" s="18" t="s">
        <v>34</v>
      </c>
      <c r="W82" s="16"/>
      <c r="X82" s="16"/>
    </row>
    <row r="83" ht="22.5" hidden="1" customHeight="1">
      <c r="A83" s="11">
        <v>45888.63459070602</v>
      </c>
      <c r="B83" s="12" t="s">
        <v>293</v>
      </c>
      <c r="C83" s="13" t="s">
        <v>252</v>
      </c>
      <c r="D83" s="18" t="s">
        <v>44</v>
      </c>
      <c r="E83" s="13" t="s">
        <v>26</v>
      </c>
      <c r="F83" s="13" t="s">
        <v>167</v>
      </c>
      <c r="G83" s="16"/>
      <c r="H83" s="13" t="s">
        <v>47</v>
      </c>
      <c r="I83" s="13" t="s">
        <v>40</v>
      </c>
      <c r="J83" s="14"/>
      <c r="K83" s="16" t="str">
        <f t="array" ref="K83">IFERROR(VLOOKUP(B83, SORT('Nhật ký nộp hồ sơ '!B:D, 'Nhật ký nộp hồ sơ '!A:A, FALSE), 3, FALSE),"")</f>
        <v>Nộp thành công - Chờ kết quả</v>
      </c>
      <c r="L83" s="16" t="str">
        <f t="shared" si="1"/>
        <v>Đã nộp</v>
      </c>
      <c r="M83" s="13" t="s">
        <v>56</v>
      </c>
      <c r="N83" s="17">
        <f>IFERROR(__xludf.DUMMYFUNCTION("""COMPUTED_VALUE"""),45888.0)</f>
        <v>45888</v>
      </c>
      <c r="O83" s="17">
        <v>45891.0</v>
      </c>
      <c r="P83" s="17">
        <f>IFERROR(__xludf.DUMMYFUNCTION("IFERROR(QUERY('Nhật ký nộp hồ sơ '!A:I, ""SELECT I WHERE B = '""&amp;B83&amp;""' ORDER BY A DESC LIMIT 1"", 0))"),45919.0)</f>
        <v>45919</v>
      </c>
      <c r="Q83" s="17" t="str">
        <f t="shared" si="2"/>
        <v/>
      </c>
      <c r="R83" s="16">
        <v>3.0</v>
      </c>
      <c r="S83" s="16"/>
      <c r="T83" s="13" t="s">
        <v>254</v>
      </c>
      <c r="U83" s="18" t="s">
        <v>238</v>
      </c>
      <c r="V83" s="18" t="s">
        <v>34</v>
      </c>
      <c r="W83" s="16"/>
      <c r="X83" s="16"/>
    </row>
    <row r="84" ht="22.5" hidden="1" customHeight="1">
      <c r="A84" s="11">
        <v>45888.63715605324</v>
      </c>
      <c r="B84" s="12" t="s">
        <v>294</v>
      </c>
      <c r="C84" s="13" t="s">
        <v>295</v>
      </c>
      <c r="D84" s="14"/>
      <c r="E84" s="13" t="s">
        <v>187</v>
      </c>
      <c r="F84" s="13" t="s">
        <v>68</v>
      </c>
      <c r="G84" s="16"/>
      <c r="H84" s="13" t="s">
        <v>69</v>
      </c>
      <c r="I84" s="13" t="s">
        <v>40</v>
      </c>
      <c r="J84" s="14"/>
      <c r="K84" s="16" t="str">
        <f t="array" ref="K84">IFERROR(VLOOKUP(B84, SORT('Nhật ký nộp hồ sơ '!B:D, 'Nhật ký nộp hồ sơ '!A:A, FALSE), 3, FALSE),"")</f>
        <v>Hủy</v>
      </c>
      <c r="L84" s="16" t="str">
        <f t="shared" si="1"/>
        <v>ĐÃ HỦY</v>
      </c>
      <c r="M84" s="13" t="s">
        <v>56</v>
      </c>
      <c r="N84" s="17">
        <f>IFERROR(__xludf.DUMMYFUNCTION("""COMPUTED_VALUE"""),45888.0)</f>
        <v>45888</v>
      </c>
      <c r="O84" s="17">
        <v>45891.0</v>
      </c>
      <c r="P84" s="17">
        <f>IFERROR(__xludf.DUMMYFUNCTION("IFERROR(QUERY('Nhật ký nộp hồ sơ '!A:I, ""SELECT I WHERE B = '""&amp;B84&amp;""' ORDER BY A DESC LIMIT 1"", 0))"),46038.0)</f>
        <v>46038</v>
      </c>
      <c r="Q84" s="17" t="str">
        <f t="shared" si="2"/>
        <v/>
      </c>
      <c r="R84" s="16">
        <v>2.0</v>
      </c>
      <c r="S84" s="13" t="s">
        <v>296</v>
      </c>
      <c r="T84" s="13" t="s">
        <v>172</v>
      </c>
      <c r="U84" s="18" t="s">
        <v>33</v>
      </c>
      <c r="V84" s="18" t="s">
        <v>34</v>
      </c>
      <c r="W84" s="16"/>
      <c r="X84" s="16"/>
    </row>
    <row r="85" ht="22.5" hidden="1" customHeight="1">
      <c r="A85" s="11">
        <v>45888.659527870375</v>
      </c>
      <c r="B85" s="12" t="s">
        <v>297</v>
      </c>
      <c r="C85" s="13" t="s">
        <v>298</v>
      </c>
      <c r="D85" s="18" t="s">
        <v>44</v>
      </c>
      <c r="E85" s="13" t="s">
        <v>26</v>
      </c>
      <c r="F85" s="13" t="s">
        <v>133</v>
      </c>
      <c r="G85" s="16"/>
      <c r="H85" s="13" t="s">
        <v>55</v>
      </c>
      <c r="I85" s="13" t="s">
        <v>81</v>
      </c>
      <c r="J85" s="14"/>
      <c r="K85" s="16" t="str">
        <f t="array" ref="K85">IFERROR(VLOOKUP(B85, SORT('Nhật ký nộp hồ sơ '!B:D, 'Nhật ký nộp hồ sơ '!A:A, FALSE), 3, FALSE),"")</f>
        <v>Hoàn thành</v>
      </c>
      <c r="L85" s="16" t="str">
        <f t="shared" si="1"/>
        <v>Hoàn thành</v>
      </c>
      <c r="M85" s="13" t="s">
        <v>30</v>
      </c>
      <c r="N85" s="17">
        <f>IFERROR(__xludf.DUMMYFUNCTION("""COMPUTED_VALUE"""),45888.0)</f>
        <v>45888</v>
      </c>
      <c r="O85" s="17">
        <v>45891.0</v>
      </c>
      <c r="P85" s="17">
        <f>IFERROR(__xludf.DUMMYFUNCTION("IFERROR(QUERY('Nhật ký nộp hồ sơ '!A:I, ""SELECT I WHERE B = '""&amp;B85&amp;""' ORDER BY A DESC LIMIT 1"", 0))"),45889.0)</f>
        <v>45889</v>
      </c>
      <c r="Q85" s="17">
        <f t="shared" si="2"/>
        <v>45889</v>
      </c>
      <c r="R85" s="16">
        <v>1.0</v>
      </c>
      <c r="S85" s="16"/>
      <c r="T85" s="16"/>
      <c r="U85" s="14"/>
      <c r="V85" s="18" t="s">
        <v>34</v>
      </c>
      <c r="W85" s="16"/>
      <c r="X85" s="16"/>
    </row>
    <row r="86" ht="22.5" hidden="1" customHeight="1">
      <c r="A86" s="11">
        <v>45889.37399574074</v>
      </c>
      <c r="B86" s="12" t="s">
        <v>299</v>
      </c>
      <c r="C86" s="13" t="s">
        <v>300</v>
      </c>
      <c r="D86" s="18" t="s">
        <v>44</v>
      </c>
      <c r="E86" s="13" t="s">
        <v>26</v>
      </c>
      <c r="F86" s="13" t="s">
        <v>46</v>
      </c>
      <c r="G86" s="16"/>
      <c r="H86" s="13" t="s">
        <v>28</v>
      </c>
      <c r="I86" s="13" t="s">
        <v>40</v>
      </c>
      <c r="J86" s="14"/>
      <c r="K86" s="16" t="str">
        <f t="array" ref="K86">IFERROR(VLOOKUP(B86, SORT('Nhật ký nộp hồ sơ '!B:D, 'Nhật ký nộp hồ sơ '!A:A, FALSE), 3, FALSE),"")</f>
        <v>Hoàn thành</v>
      </c>
      <c r="L86" s="16" t="str">
        <f t="shared" si="1"/>
        <v>Hoàn thành</v>
      </c>
      <c r="M86" s="13" t="s">
        <v>216</v>
      </c>
      <c r="N86" s="17">
        <f>IFERROR(__xludf.DUMMYFUNCTION("""COMPUTED_VALUE"""),45889.0)</f>
        <v>45889</v>
      </c>
      <c r="O86" s="17">
        <v>45892.0</v>
      </c>
      <c r="P86" s="17">
        <f>IFERROR(__xludf.DUMMYFUNCTION("IFERROR(QUERY('Nhật ký nộp hồ sơ '!A:I, ""SELECT I WHERE B = '""&amp;B86&amp;""' ORDER BY A DESC LIMIT 1"", 0))"),45888.0)</f>
        <v>45888</v>
      </c>
      <c r="Q86" s="17">
        <f t="shared" si="2"/>
        <v>45888</v>
      </c>
      <c r="R86" s="16">
        <v>3.0</v>
      </c>
      <c r="S86" s="13" t="s">
        <v>301</v>
      </c>
      <c r="T86" s="16"/>
      <c r="U86" s="14"/>
      <c r="V86" s="18" t="s">
        <v>34</v>
      </c>
      <c r="W86" s="16"/>
      <c r="X86" s="16"/>
    </row>
    <row r="87" ht="22.5" hidden="1" customHeight="1">
      <c r="A87" s="11">
        <v>45889.3749662037</v>
      </c>
      <c r="B87" s="12" t="s">
        <v>302</v>
      </c>
      <c r="C87" s="13" t="s">
        <v>303</v>
      </c>
      <c r="D87" s="18" t="s">
        <v>44</v>
      </c>
      <c r="E87" s="13" t="s">
        <v>26</v>
      </c>
      <c r="F87" s="13" t="s">
        <v>133</v>
      </c>
      <c r="G87" s="16"/>
      <c r="H87" s="13" t="s">
        <v>28</v>
      </c>
      <c r="I87" s="13" t="s">
        <v>40</v>
      </c>
      <c r="J87" s="14"/>
      <c r="K87" s="16" t="str">
        <f t="array" ref="K87">IFERROR(VLOOKUP(B87, SORT('Nhật ký nộp hồ sơ '!B:D, 'Nhật ký nộp hồ sơ '!A:A, FALSE), 3, FALSE),"")</f>
        <v>Hoàn thành</v>
      </c>
      <c r="L87" s="16" t="str">
        <f t="shared" si="1"/>
        <v>Hoàn thành</v>
      </c>
      <c r="M87" s="13" t="s">
        <v>216</v>
      </c>
      <c r="N87" s="17">
        <f>IFERROR(__xludf.DUMMYFUNCTION("""COMPUTED_VALUE"""),45889.0)</f>
        <v>45889</v>
      </c>
      <c r="O87" s="17">
        <v>45892.0</v>
      </c>
      <c r="P87" s="17">
        <f>IFERROR(__xludf.DUMMYFUNCTION("IFERROR(QUERY('Nhật ký nộp hồ sơ '!A:I, ""SELECT I WHERE B = '""&amp;B87&amp;""' ORDER BY A DESC LIMIT 1"", 0))"),45888.0)</f>
        <v>45888</v>
      </c>
      <c r="Q87" s="17">
        <f t="shared" si="2"/>
        <v>45888</v>
      </c>
      <c r="R87" s="16">
        <v>3.0</v>
      </c>
      <c r="S87" s="13" t="s">
        <v>301</v>
      </c>
      <c r="T87" s="16"/>
      <c r="U87" s="14"/>
      <c r="V87" s="18" t="s">
        <v>34</v>
      </c>
      <c r="W87" s="16"/>
      <c r="X87" s="16"/>
    </row>
    <row r="88" ht="22.5" hidden="1" customHeight="1">
      <c r="A88" s="11">
        <v>45889.37571400463</v>
      </c>
      <c r="B88" s="12" t="s">
        <v>304</v>
      </c>
      <c r="C88" s="13" t="s">
        <v>305</v>
      </c>
      <c r="D88" s="18" t="s">
        <v>44</v>
      </c>
      <c r="E88" s="13" t="s">
        <v>26</v>
      </c>
      <c r="F88" s="13" t="s">
        <v>133</v>
      </c>
      <c r="G88" s="16"/>
      <c r="H88" s="13" t="s">
        <v>28</v>
      </c>
      <c r="I88" s="13" t="s">
        <v>40</v>
      </c>
      <c r="J88" s="14"/>
      <c r="K88" s="16" t="str">
        <f t="array" ref="K88">IFERROR(VLOOKUP(B88, SORT('Nhật ký nộp hồ sơ '!B:D, 'Nhật ký nộp hồ sơ '!A:A, FALSE), 3, FALSE),"")</f>
        <v>Hoàn thành</v>
      </c>
      <c r="L88" s="16" t="str">
        <f t="shared" si="1"/>
        <v>Hoàn thành</v>
      </c>
      <c r="M88" s="13" t="s">
        <v>216</v>
      </c>
      <c r="N88" s="17">
        <f>IFERROR(__xludf.DUMMYFUNCTION("""COMPUTED_VALUE"""),45889.0)</f>
        <v>45889</v>
      </c>
      <c r="O88" s="17">
        <v>45892.0</v>
      </c>
      <c r="P88" s="17">
        <f>IFERROR(__xludf.DUMMYFUNCTION("IFERROR(QUERY('Nhật ký nộp hồ sơ '!A:I, ""SELECT I WHERE B = '""&amp;B88&amp;""' ORDER BY A DESC LIMIT 1"", 0))"),45888.0)</f>
        <v>45888</v>
      </c>
      <c r="Q88" s="17">
        <f t="shared" si="2"/>
        <v>45888</v>
      </c>
      <c r="R88" s="16">
        <v>5.0</v>
      </c>
      <c r="S88" s="13" t="s">
        <v>301</v>
      </c>
      <c r="T88" s="16"/>
      <c r="U88" s="14"/>
      <c r="V88" s="18" t="s">
        <v>34</v>
      </c>
      <c r="W88" s="16"/>
      <c r="X88" s="16"/>
    </row>
    <row r="89" ht="22.5" hidden="1" customHeight="1">
      <c r="A89" s="11">
        <v>45889.378979236106</v>
      </c>
      <c r="B89" s="12" t="s">
        <v>306</v>
      </c>
      <c r="C89" s="13" t="s">
        <v>307</v>
      </c>
      <c r="D89" s="14"/>
      <c r="E89" s="13" t="s">
        <v>26</v>
      </c>
      <c r="F89" s="13" t="s">
        <v>133</v>
      </c>
      <c r="G89" s="16"/>
      <c r="H89" s="13" t="s">
        <v>28</v>
      </c>
      <c r="I89" s="13" t="s">
        <v>40</v>
      </c>
      <c r="J89" s="14"/>
      <c r="K89" s="16" t="str">
        <f t="array" ref="K89">IFERROR(VLOOKUP(B89, SORT('Nhật ký nộp hồ sơ '!B:D, 'Nhật ký nộp hồ sơ '!A:A, FALSE), 3, FALSE),"")</f>
        <v>Hoàn thành</v>
      </c>
      <c r="L89" s="16" t="str">
        <f t="shared" si="1"/>
        <v>Hoàn thành</v>
      </c>
      <c r="M89" s="13" t="s">
        <v>216</v>
      </c>
      <c r="N89" s="17">
        <f>IFERROR(__xludf.DUMMYFUNCTION("""COMPUTED_VALUE"""),45889.0)</f>
        <v>45889</v>
      </c>
      <c r="O89" s="17">
        <v>45892.0</v>
      </c>
      <c r="P89" s="17">
        <f>IFERROR(__xludf.DUMMYFUNCTION("IFERROR(QUERY('Nhật ký nộp hồ sơ '!A:I, ""SELECT I WHERE B = '""&amp;B89&amp;""' ORDER BY A DESC LIMIT 1"", 0))"),45888.0)</f>
        <v>45888</v>
      </c>
      <c r="Q89" s="17">
        <f t="shared" si="2"/>
        <v>45888</v>
      </c>
      <c r="R89" s="16">
        <v>5.0</v>
      </c>
      <c r="S89" s="13" t="s">
        <v>301</v>
      </c>
      <c r="T89" s="16"/>
      <c r="U89" s="14"/>
      <c r="V89" s="18" t="s">
        <v>34</v>
      </c>
      <c r="W89" s="16"/>
      <c r="X89" s="16"/>
    </row>
    <row r="90" ht="22.5" hidden="1" customHeight="1">
      <c r="A90" s="11">
        <v>45889.595494375</v>
      </c>
      <c r="B90" s="12" t="s">
        <v>308</v>
      </c>
      <c r="C90" s="13" t="s">
        <v>309</v>
      </c>
      <c r="D90" s="14"/>
      <c r="E90" s="13" t="s">
        <v>88</v>
      </c>
      <c r="F90" s="13" t="s">
        <v>133</v>
      </c>
      <c r="G90" s="20" t="s">
        <v>310</v>
      </c>
      <c r="H90" s="13" t="s">
        <v>47</v>
      </c>
      <c r="I90" s="13" t="s">
        <v>40</v>
      </c>
      <c r="J90" s="14"/>
      <c r="K90" s="16" t="str">
        <f t="array" ref="K90">IFERROR(VLOOKUP(B90, SORT('Nhật ký nộp hồ sơ '!B:D, 'Nhật ký nộp hồ sơ '!A:A, FALSE), 3, FALSE),"")</f>
        <v>Hoàn thành</v>
      </c>
      <c r="L90" s="16" t="str">
        <f t="shared" si="1"/>
        <v>Hoàn thành</v>
      </c>
      <c r="M90" s="13" t="s">
        <v>56</v>
      </c>
      <c r="N90" s="17">
        <f>IFERROR(__xludf.DUMMYFUNCTION("""COMPUTED_VALUE"""),45889.0)</f>
        <v>45889</v>
      </c>
      <c r="O90" s="17">
        <v>45892.0</v>
      </c>
      <c r="P90" s="17">
        <f>IFERROR(__xludf.DUMMYFUNCTION("IFERROR(QUERY('Nhật ký nộp hồ sơ '!A:I, ""SELECT I WHERE B = '""&amp;B90&amp;""' ORDER BY A DESC LIMIT 1"", 0))"),45896.0)</f>
        <v>45896</v>
      </c>
      <c r="Q90" s="17">
        <f t="shared" si="2"/>
        <v>45896</v>
      </c>
      <c r="R90" s="16">
        <v>5.0</v>
      </c>
      <c r="S90" s="13" t="s">
        <v>272</v>
      </c>
      <c r="T90" s="16"/>
      <c r="U90" s="14"/>
      <c r="V90" s="18" t="s">
        <v>34</v>
      </c>
      <c r="W90" s="16"/>
      <c r="X90" s="16"/>
    </row>
    <row r="91" ht="22.5" hidden="1" customHeight="1">
      <c r="A91" s="11">
        <v>45891.58131741898</v>
      </c>
      <c r="B91" s="12" t="s">
        <v>311</v>
      </c>
      <c r="C91" s="13" t="s">
        <v>312</v>
      </c>
      <c r="D91" s="18" t="s">
        <v>44</v>
      </c>
      <c r="E91" s="13" t="s">
        <v>26</v>
      </c>
      <c r="F91" s="13" t="s">
        <v>46</v>
      </c>
      <c r="G91" s="16"/>
      <c r="H91" s="13" t="s">
        <v>69</v>
      </c>
      <c r="I91" s="13" t="s">
        <v>40</v>
      </c>
      <c r="J91" s="14"/>
      <c r="K91" s="16" t="str">
        <f t="array" ref="K91">IFERROR(VLOOKUP(B91, SORT('Nhật ký nộp hồ sơ '!B:D, 'Nhật ký nộp hồ sơ '!A:A, FALSE), 3, FALSE),"")</f>
        <v>Hoàn thành</v>
      </c>
      <c r="L91" s="16" t="str">
        <f t="shared" si="1"/>
        <v>Hoàn thành</v>
      </c>
      <c r="M91" s="13" t="s">
        <v>48</v>
      </c>
      <c r="N91" s="17">
        <f>IFERROR(__xludf.DUMMYFUNCTION("""COMPUTED_VALUE"""),45891.0)</f>
        <v>45891</v>
      </c>
      <c r="O91" s="17">
        <v>45894.0</v>
      </c>
      <c r="P91" s="17">
        <f>IFERROR(__xludf.DUMMYFUNCTION("IFERROR(QUERY('Nhật ký nộp hồ sơ '!A:I, ""SELECT I WHERE B = '""&amp;B91&amp;""' ORDER BY A DESC LIMIT 1"", 0))"),45912.0)</f>
        <v>45912</v>
      </c>
      <c r="Q91" s="17">
        <f t="shared" si="2"/>
        <v>45912</v>
      </c>
      <c r="R91" s="16">
        <v>4.0</v>
      </c>
      <c r="S91" s="16"/>
      <c r="T91" s="13" t="s">
        <v>313</v>
      </c>
      <c r="U91" s="18" t="s">
        <v>238</v>
      </c>
      <c r="V91" s="18" t="s">
        <v>34</v>
      </c>
      <c r="W91" s="16"/>
      <c r="X91" s="16"/>
    </row>
    <row r="92" ht="22.5" hidden="1" customHeight="1">
      <c r="A92" s="11">
        <v>45890.46292042824</v>
      </c>
      <c r="B92" s="12" t="s">
        <v>314</v>
      </c>
      <c r="C92" s="13" t="s">
        <v>315</v>
      </c>
      <c r="D92" s="14"/>
      <c r="E92" s="13" t="s">
        <v>53</v>
      </c>
      <c r="F92" s="13" t="s">
        <v>133</v>
      </c>
      <c r="G92" s="13">
        <v>9.09794949E8</v>
      </c>
      <c r="H92" s="13" t="s">
        <v>28</v>
      </c>
      <c r="I92" s="13" t="s">
        <v>81</v>
      </c>
      <c r="J92" s="14"/>
      <c r="K92" s="16" t="str">
        <f t="array" ref="K92">IFERROR(VLOOKUP(B92, SORT('Nhật ký nộp hồ sơ '!B:D, 'Nhật ký nộp hồ sơ '!A:A, FALSE), 3, FALSE),"")</f>
        <v>Hoàn thành</v>
      </c>
      <c r="L92" s="16" t="str">
        <f t="shared" si="1"/>
        <v>Hoàn thành</v>
      </c>
      <c r="M92" s="13" t="s">
        <v>56</v>
      </c>
      <c r="N92" s="17">
        <f>IFERROR(__xludf.DUMMYFUNCTION("""COMPUTED_VALUE"""),45890.0)</f>
        <v>45890</v>
      </c>
      <c r="O92" s="17">
        <v>45893.0</v>
      </c>
      <c r="P92" s="17">
        <f>IFERROR(__xludf.DUMMYFUNCTION("IFERROR(QUERY('Nhật ký nộp hồ sơ '!A:I, ""SELECT I WHERE B = '""&amp;B92&amp;""' ORDER BY A DESC LIMIT 1"", 0))"),45904.0)</f>
        <v>45904</v>
      </c>
      <c r="Q92" s="17">
        <f t="shared" si="2"/>
        <v>45904</v>
      </c>
      <c r="R92" s="16">
        <v>1.0</v>
      </c>
      <c r="S92" s="13" t="s">
        <v>272</v>
      </c>
      <c r="T92" s="16"/>
      <c r="U92" s="14"/>
      <c r="V92" s="18" t="s">
        <v>34</v>
      </c>
      <c r="W92" s="16"/>
      <c r="X92" s="16"/>
    </row>
    <row r="93" ht="22.5" hidden="1" customHeight="1">
      <c r="A93" s="11">
        <v>45890.46445339121</v>
      </c>
      <c r="B93" s="12" t="s">
        <v>316</v>
      </c>
      <c r="C93" s="13" t="s">
        <v>315</v>
      </c>
      <c r="D93" s="14"/>
      <c r="E93" s="13" t="s">
        <v>53</v>
      </c>
      <c r="F93" s="13" t="s">
        <v>133</v>
      </c>
      <c r="G93" s="13">
        <v>9.09794949E8</v>
      </c>
      <c r="H93" s="13" t="s">
        <v>28</v>
      </c>
      <c r="I93" s="13" t="s">
        <v>81</v>
      </c>
      <c r="J93" s="14"/>
      <c r="K93" s="16" t="str">
        <f t="array" ref="K93">IFERROR(VLOOKUP(B93, SORT('Nhật ký nộp hồ sơ '!B:D, 'Nhật ký nộp hồ sơ '!A:A, FALSE), 3, FALSE),"")</f>
        <v>Hoàn thành</v>
      </c>
      <c r="L93" s="16" t="str">
        <f t="shared" si="1"/>
        <v>Hoàn thành</v>
      </c>
      <c r="M93" s="13" t="s">
        <v>146</v>
      </c>
      <c r="N93" s="17">
        <f>IFERROR(__xludf.DUMMYFUNCTION("""COMPUTED_VALUE"""),45890.0)</f>
        <v>45890</v>
      </c>
      <c r="O93" s="17">
        <v>45893.0</v>
      </c>
      <c r="P93" s="17">
        <f>IFERROR(__xludf.DUMMYFUNCTION("IFERROR(QUERY('Nhật ký nộp hồ sơ '!A:I, ""SELECT I WHERE B = '""&amp;B93&amp;""' ORDER BY A DESC LIMIT 1"", 0))"),45890.0)</f>
        <v>45890</v>
      </c>
      <c r="Q93" s="17">
        <f t="shared" si="2"/>
        <v>45890</v>
      </c>
      <c r="R93" s="16">
        <v>3.0</v>
      </c>
      <c r="S93" s="16"/>
      <c r="T93" s="16"/>
      <c r="U93" s="14"/>
      <c r="V93" s="18" t="s">
        <v>34</v>
      </c>
      <c r="W93" s="16"/>
      <c r="X93" s="16"/>
    </row>
    <row r="94" ht="22.5" hidden="1" customHeight="1">
      <c r="A94" s="11">
        <v>45891.39892383102</v>
      </c>
      <c r="B94" s="12" t="s">
        <v>317</v>
      </c>
      <c r="C94" s="13" t="s">
        <v>318</v>
      </c>
      <c r="D94" s="18" t="s">
        <v>44</v>
      </c>
      <c r="E94" s="13" t="s">
        <v>26</v>
      </c>
      <c r="F94" s="13" t="s">
        <v>133</v>
      </c>
      <c r="G94" s="20" t="s">
        <v>319</v>
      </c>
      <c r="H94" s="13" t="s">
        <v>29</v>
      </c>
      <c r="I94" s="13" t="s">
        <v>47</v>
      </c>
      <c r="J94" s="14"/>
      <c r="K94" s="16" t="str">
        <f t="array" ref="K94">IFERROR(VLOOKUP(B94, SORT('Nhật ký nộp hồ sơ '!B:D, 'Nhật ký nộp hồ sơ '!A:A, FALSE), 3, FALSE),"")</f>
        <v>Hoàn thành</v>
      </c>
      <c r="L94" s="16" t="str">
        <f t="shared" si="1"/>
        <v>Hoàn thành</v>
      </c>
      <c r="M94" s="13" t="s">
        <v>48</v>
      </c>
      <c r="N94" s="17">
        <f>IFERROR(__xludf.DUMMYFUNCTION("""COMPUTED_VALUE"""),45891.0)</f>
        <v>45891</v>
      </c>
      <c r="O94" s="17">
        <v>45894.0</v>
      </c>
      <c r="P94" s="17">
        <f>IFERROR(__xludf.DUMMYFUNCTION("IFERROR(QUERY('Nhật ký nộp hồ sơ '!A:I, ""SELECT I WHERE B = '""&amp;B94&amp;""' ORDER BY A DESC LIMIT 1"", 0))"),45912.0)</f>
        <v>45912</v>
      </c>
      <c r="Q94" s="17">
        <f t="shared" si="2"/>
        <v>45912</v>
      </c>
      <c r="R94" s="16">
        <v>2.0</v>
      </c>
      <c r="S94" s="16"/>
      <c r="T94" s="13" t="s">
        <v>320</v>
      </c>
      <c r="U94" s="18" t="s">
        <v>238</v>
      </c>
      <c r="V94" s="18" t="s">
        <v>34</v>
      </c>
      <c r="W94" s="16"/>
      <c r="X94" s="16"/>
    </row>
    <row r="95" ht="22.5" hidden="1" customHeight="1">
      <c r="A95" s="11">
        <v>45890.667845752316</v>
      </c>
      <c r="B95" s="12" t="s">
        <v>321</v>
      </c>
      <c r="C95" s="13" t="s">
        <v>322</v>
      </c>
      <c r="D95" s="14"/>
      <c r="E95" s="13" t="s">
        <v>45</v>
      </c>
      <c r="F95" s="13" t="s">
        <v>133</v>
      </c>
      <c r="G95" s="20" t="s">
        <v>323</v>
      </c>
      <c r="H95" s="13" t="s">
        <v>28</v>
      </c>
      <c r="I95" s="13" t="s">
        <v>81</v>
      </c>
      <c r="J95" s="14"/>
      <c r="K95" s="16" t="str">
        <f t="array" ref="K95">IFERROR(VLOOKUP(B95, SORT('Nhật ký nộp hồ sơ '!B:D, 'Nhật ký nộp hồ sơ '!A:A, FALSE), 3, FALSE),"")</f>
        <v>Hoàn thành</v>
      </c>
      <c r="L95" s="16" t="str">
        <f t="shared" si="1"/>
        <v>Hoàn thành</v>
      </c>
      <c r="M95" s="13" t="s">
        <v>30</v>
      </c>
      <c r="N95" s="17">
        <f>IFERROR(__xludf.DUMMYFUNCTION("""COMPUTED_VALUE"""),45890.0)</f>
        <v>45890</v>
      </c>
      <c r="O95" s="17">
        <v>45893.0</v>
      </c>
      <c r="P95" s="17">
        <f>IFERROR(__xludf.DUMMYFUNCTION("IFERROR(QUERY('Nhật ký nộp hồ sơ '!A:I, ""SELECT I WHERE B = '""&amp;B95&amp;""' ORDER BY A DESC LIMIT 1"", 0))"),45891.0)</f>
        <v>45891</v>
      </c>
      <c r="Q95" s="17">
        <f t="shared" si="2"/>
        <v>45891</v>
      </c>
      <c r="R95" s="16">
        <v>1.0</v>
      </c>
      <c r="S95" s="16"/>
      <c r="T95" s="16"/>
      <c r="U95" s="14"/>
      <c r="V95" s="18" t="s">
        <v>34</v>
      </c>
      <c r="W95" s="16"/>
      <c r="X95" s="16"/>
    </row>
    <row r="96" ht="22.5" hidden="1" customHeight="1">
      <c r="A96" s="11">
        <v>45891.41862503473</v>
      </c>
      <c r="B96" s="12" t="s">
        <v>324</v>
      </c>
      <c r="C96" s="13" t="s">
        <v>325</v>
      </c>
      <c r="D96" s="18" t="s">
        <v>44</v>
      </c>
      <c r="E96" s="13" t="s">
        <v>26</v>
      </c>
      <c r="F96" s="13" t="s">
        <v>46</v>
      </c>
      <c r="G96" s="16"/>
      <c r="H96" s="13" t="s">
        <v>69</v>
      </c>
      <c r="I96" s="13" t="s">
        <v>40</v>
      </c>
      <c r="J96" s="14"/>
      <c r="K96" s="16" t="str">
        <f t="array" ref="K96">IFERROR(VLOOKUP(B96, SORT('Nhật ký nộp hồ sơ '!B:D, 'Nhật ký nộp hồ sơ '!A:A, FALSE), 3, FALSE),"")</f>
        <v>Hoàn thành</v>
      </c>
      <c r="L96" s="16" t="str">
        <f t="shared" si="1"/>
        <v>Hoàn thành</v>
      </c>
      <c r="M96" s="13" t="s">
        <v>48</v>
      </c>
      <c r="N96" s="17">
        <f>IFERROR(__xludf.DUMMYFUNCTION("""COMPUTED_VALUE"""),45891.0)</f>
        <v>45891</v>
      </c>
      <c r="O96" s="17">
        <v>45894.0</v>
      </c>
      <c r="P96" s="17">
        <f>IFERROR(__xludf.DUMMYFUNCTION("IFERROR(QUERY('Nhật ký nộp hồ sơ '!A:I, ""SELECT I WHERE B = '""&amp;B96&amp;""' ORDER BY A DESC LIMIT 1"", 0))"),45943.0)</f>
        <v>45943</v>
      </c>
      <c r="Q96" s="17">
        <f t="shared" si="2"/>
        <v>45943</v>
      </c>
      <c r="R96" s="16">
        <v>1.0</v>
      </c>
      <c r="S96" s="16"/>
      <c r="T96" s="16"/>
      <c r="U96" s="14"/>
      <c r="V96" s="18" t="s">
        <v>34</v>
      </c>
      <c r="W96" s="16"/>
      <c r="X96" s="16"/>
    </row>
    <row r="97" ht="22.5" hidden="1" customHeight="1">
      <c r="A97" s="11">
        <v>45891.419540057876</v>
      </c>
      <c r="B97" s="12" t="s">
        <v>326</v>
      </c>
      <c r="C97" s="13" t="s">
        <v>327</v>
      </c>
      <c r="D97" s="18" t="s">
        <v>44</v>
      </c>
      <c r="E97" s="13" t="s">
        <v>26</v>
      </c>
      <c r="F97" s="13" t="s">
        <v>167</v>
      </c>
      <c r="G97" s="16"/>
      <c r="H97" s="13" t="s">
        <v>69</v>
      </c>
      <c r="I97" s="13" t="s">
        <v>40</v>
      </c>
      <c r="J97" s="14"/>
      <c r="K97" s="16" t="str">
        <f t="array" ref="K97">IFERROR(VLOOKUP(B97, SORT('Nhật ký nộp hồ sơ '!B:D, 'Nhật ký nộp hồ sơ '!A:A, FALSE), 3, FALSE),"")</f>
        <v>Nộp thành công - Chờ kết quả</v>
      </c>
      <c r="L97" s="16" t="str">
        <f t="shared" si="1"/>
        <v>Đã nộp</v>
      </c>
      <c r="M97" s="13" t="s">
        <v>48</v>
      </c>
      <c r="N97" s="17">
        <f>IFERROR(__xludf.DUMMYFUNCTION("""COMPUTED_VALUE"""),45891.0)</f>
        <v>45891</v>
      </c>
      <c r="O97" s="17">
        <v>45894.0</v>
      </c>
      <c r="P97" s="17">
        <f>IFERROR(__xludf.DUMMYFUNCTION("IFERROR(QUERY('Nhật ký nộp hồ sơ '!A:I, ""SELECT I WHERE B = '""&amp;B97&amp;""' ORDER BY A DESC LIMIT 1"", 0))"),45940.0)</f>
        <v>45940</v>
      </c>
      <c r="Q97" s="17" t="str">
        <f t="shared" si="2"/>
        <v/>
      </c>
      <c r="R97" s="16">
        <v>1.0</v>
      </c>
      <c r="S97" s="16"/>
      <c r="T97" s="13" t="s">
        <v>328</v>
      </c>
      <c r="U97" s="18" t="s">
        <v>208</v>
      </c>
      <c r="V97" s="18" t="s">
        <v>34</v>
      </c>
      <c r="W97" s="16"/>
      <c r="X97" s="16"/>
    </row>
    <row r="98" ht="22.5" hidden="1" customHeight="1">
      <c r="A98" s="11">
        <v>45891.423086435185</v>
      </c>
      <c r="B98" s="12" t="s">
        <v>329</v>
      </c>
      <c r="C98" s="13" t="s">
        <v>330</v>
      </c>
      <c r="D98" s="14"/>
      <c r="E98" s="13" t="s">
        <v>26</v>
      </c>
      <c r="F98" s="13" t="s">
        <v>162</v>
      </c>
      <c r="G98" s="16"/>
      <c r="H98" s="13" t="s">
        <v>47</v>
      </c>
      <c r="I98" s="13" t="s">
        <v>40</v>
      </c>
      <c r="J98" s="14"/>
      <c r="K98" s="16" t="str">
        <f t="array" ref="K98">IFERROR(VLOOKUP(B98, SORT('Nhật ký nộp hồ sơ '!B:D, 'Nhật ký nộp hồ sơ '!A:A, FALSE), 3, FALSE),"")</f>
        <v>Hủy</v>
      </c>
      <c r="L98" s="16" t="str">
        <f t="shared" si="1"/>
        <v>ĐÃ HỦY</v>
      </c>
      <c r="M98" s="13" t="s">
        <v>56</v>
      </c>
      <c r="N98" s="17">
        <f>IFERROR(__xludf.DUMMYFUNCTION("""COMPUTED_VALUE"""),45891.0)</f>
        <v>45891</v>
      </c>
      <c r="O98" s="17">
        <v>45894.0</v>
      </c>
      <c r="P98" s="17">
        <f>IFERROR(__xludf.DUMMYFUNCTION("IFERROR(QUERY('Nhật ký nộp hồ sơ '!A:I, ""SELECT I WHERE B = '""&amp;B98&amp;""' ORDER BY A DESC LIMIT 1"", 0))"),46038.0)</f>
        <v>46038</v>
      </c>
      <c r="Q98" s="17" t="str">
        <f t="shared" si="2"/>
        <v/>
      </c>
      <c r="R98" s="16">
        <v>1.0</v>
      </c>
      <c r="S98" s="16"/>
      <c r="T98" s="13" t="s">
        <v>33</v>
      </c>
      <c r="U98" s="18" t="s">
        <v>33</v>
      </c>
      <c r="V98" s="18" t="s">
        <v>34</v>
      </c>
      <c r="W98" s="16"/>
      <c r="X98" s="16"/>
    </row>
    <row r="99" ht="22.5" hidden="1" customHeight="1">
      <c r="A99" s="11">
        <v>45891.42376244213</v>
      </c>
      <c r="B99" s="12" t="s">
        <v>331</v>
      </c>
      <c r="C99" s="13" t="s">
        <v>332</v>
      </c>
      <c r="D99" s="14"/>
      <c r="E99" s="13" t="s">
        <v>26</v>
      </c>
      <c r="F99" s="13" t="s">
        <v>162</v>
      </c>
      <c r="G99" s="16"/>
      <c r="H99" s="13" t="s">
        <v>47</v>
      </c>
      <c r="I99" s="13" t="s">
        <v>40</v>
      </c>
      <c r="J99" s="14"/>
      <c r="K99" s="16" t="str">
        <f t="array" ref="K99">IFERROR(VLOOKUP(B99, SORT('Nhật ký nộp hồ sơ '!B:D, 'Nhật ký nộp hồ sơ '!A:A, FALSE), 3, FALSE),"")</f>
        <v>Hủy</v>
      </c>
      <c r="L99" s="16" t="str">
        <f t="shared" si="1"/>
        <v>ĐÃ HỦY</v>
      </c>
      <c r="M99" s="13" t="s">
        <v>56</v>
      </c>
      <c r="N99" s="17">
        <f>IFERROR(__xludf.DUMMYFUNCTION("""COMPUTED_VALUE"""),45891.0)</f>
        <v>45891</v>
      </c>
      <c r="O99" s="17">
        <v>45894.0</v>
      </c>
      <c r="P99" s="17">
        <f>IFERROR(__xludf.DUMMYFUNCTION("IFERROR(QUERY('Nhật ký nộp hồ sơ '!A:I, ""SELECT I WHERE B = '""&amp;B99&amp;""' ORDER BY A DESC LIMIT 1"", 0))"),46038.0)</f>
        <v>46038</v>
      </c>
      <c r="Q99" s="17" t="str">
        <f t="shared" si="2"/>
        <v/>
      </c>
      <c r="R99" s="16">
        <v>7.0</v>
      </c>
      <c r="S99" s="16"/>
      <c r="T99" s="13" t="s">
        <v>33</v>
      </c>
      <c r="U99" s="18" t="s">
        <v>33</v>
      </c>
      <c r="V99" s="18" t="s">
        <v>34</v>
      </c>
      <c r="W99" s="16"/>
      <c r="X99" s="16"/>
    </row>
    <row r="100" ht="22.5" hidden="1" customHeight="1">
      <c r="A100" s="11">
        <v>45891.586902627314</v>
      </c>
      <c r="B100" s="12" t="s">
        <v>333</v>
      </c>
      <c r="C100" s="13" t="s">
        <v>334</v>
      </c>
      <c r="D100" s="14"/>
      <c r="E100" s="13" t="s">
        <v>26</v>
      </c>
      <c r="F100" s="15" t="s">
        <v>27</v>
      </c>
      <c r="G100" s="16"/>
      <c r="H100" s="13" t="s">
        <v>47</v>
      </c>
      <c r="I100" s="13" t="s">
        <v>29</v>
      </c>
      <c r="J100" s="14"/>
      <c r="K100" s="16" t="str">
        <f t="array" ref="K100">IFERROR(VLOOKUP(B100, SORT('Nhật ký nộp hồ sơ '!B:D, 'Nhật ký nộp hồ sơ '!A:A, FALSE), 3, FALSE),"")</f>
        <v>Hoàn thành</v>
      </c>
      <c r="L100" s="16" t="str">
        <f t="shared" si="1"/>
        <v>Hoàn thành</v>
      </c>
      <c r="M100" s="13" t="s">
        <v>56</v>
      </c>
      <c r="N100" s="17">
        <f>IFERROR(__xludf.DUMMYFUNCTION("""COMPUTED_VALUE"""),45891.0)</f>
        <v>45891</v>
      </c>
      <c r="O100" s="17">
        <v>45894.0</v>
      </c>
      <c r="P100" s="17">
        <f>IFERROR(__xludf.DUMMYFUNCTION("IFERROR(QUERY('Nhật ký nộp hồ sơ '!A:I, ""SELECT I WHERE B = '""&amp;B100&amp;""' ORDER BY A DESC LIMIT 1"", 0))"),45925.0)</f>
        <v>45925</v>
      </c>
      <c r="Q100" s="17">
        <f t="shared" si="2"/>
        <v>45925</v>
      </c>
      <c r="R100" s="16">
        <v>2.0</v>
      </c>
      <c r="S100" s="16"/>
      <c r="T100" s="13" t="s">
        <v>335</v>
      </c>
      <c r="U100" s="18" t="s">
        <v>33</v>
      </c>
      <c r="V100" s="18" t="s">
        <v>34</v>
      </c>
      <c r="W100" s="16"/>
      <c r="X100" s="16"/>
    </row>
    <row r="101" ht="22.5" hidden="1" customHeight="1">
      <c r="A101" s="11">
        <v>45894.59029881944</v>
      </c>
      <c r="B101" s="12" t="s">
        <v>336</v>
      </c>
      <c r="C101" s="13" t="s">
        <v>337</v>
      </c>
      <c r="D101" s="14"/>
      <c r="E101" s="13" t="s">
        <v>122</v>
      </c>
      <c r="F101" s="13" t="s">
        <v>338</v>
      </c>
      <c r="G101" s="16"/>
      <c r="H101" s="13" t="s">
        <v>69</v>
      </c>
      <c r="I101" s="13" t="s">
        <v>40</v>
      </c>
      <c r="J101" s="14"/>
      <c r="K101" s="16" t="str">
        <f t="array" ref="K101">IFERROR(VLOOKUP(B101, SORT('Nhật ký nộp hồ sơ '!B:D, 'Nhật ký nộp hồ sơ '!A:A, FALSE), 3, FALSE),"")</f>
        <v>Hoàn thành</v>
      </c>
      <c r="L101" s="16" t="str">
        <f t="shared" si="1"/>
        <v>Hoàn thành</v>
      </c>
      <c r="M101" s="13" t="s">
        <v>56</v>
      </c>
      <c r="N101" s="17">
        <f>IFERROR(__xludf.DUMMYFUNCTION("""COMPUTED_VALUE"""),45894.0)</f>
        <v>45894</v>
      </c>
      <c r="O101" s="17">
        <v>45897.0</v>
      </c>
      <c r="P101" s="17">
        <f>IFERROR(__xludf.DUMMYFUNCTION("IFERROR(QUERY('Nhật ký nộp hồ sơ '!A:I, ""SELECT I WHERE B = '""&amp;B101&amp;""' ORDER BY A DESC LIMIT 1"", 0))"),45918.0)</f>
        <v>45918</v>
      </c>
      <c r="Q101" s="17">
        <f t="shared" si="2"/>
        <v>45918</v>
      </c>
      <c r="R101" s="16">
        <v>2.0</v>
      </c>
      <c r="S101" s="16"/>
      <c r="T101" s="13" t="s">
        <v>313</v>
      </c>
      <c r="U101" s="18" t="s">
        <v>238</v>
      </c>
      <c r="V101" s="18" t="s">
        <v>34</v>
      </c>
      <c r="W101" s="16"/>
      <c r="X101" s="16"/>
    </row>
    <row r="102" ht="22.5" hidden="1" customHeight="1">
      <c r="A102" s="11">
        <v>45894.65080717593</v>
      </c>
      <c r="B102" s="12" t="s">
        <v>339</v>
      </c>
      <c r="C102" s="13" t="s">
        <v>340</v>
      </c>
      <c r="D102" s="14"/>
      <c r="E102" s="13" t="s">
        <v>187</v>
      </c>
      <c r="F102" s="13" t="s">
        <v>126</v>
      </c>
      <c r="G102" s="16"/>
      <c r="H102" s="13" t="s">
        <v>29</v>
      </c>
      <c r="I102" s="13" t="s">
        <v>40</v>
      </c>
      <c r="J102" s="14"/>
      <c r="K102" s="16" t="str">
        <f t="array" ref="K102">IFERROR(VLOOKUP(B102, SORT('Nhật ký nộp hồ sơ '!B:D, 'Nhật ký nộp hồ sơ '!A:A, FALSE), 3, FALSE),"")</f>
        <v>Hoàn thành</v>
      </c>
      <c r="L102" s="16" t="str">
        <f t="shared" si="1"/>
        <v>Hoàn thành</v>
      </c>
      <c r="M102" s="13" t="s">
        <v>135</v>
      </c>
      <c r="N102" s="17">
        <f>IFERROR(__xludf.DUMMYFUNCTION("""COMPUTED_VALUE"""),45894.0)</f>
        <v>45894</v>
      </c>
      <c r="O102" s="17">
        <v>45897.0</v>
      </c>
      <c r="P102" s="17">
        <f>IFERROR(__xludf.DUMMYFUNCTION("IFERROR(QUERY('Nhật ký nộp hồ sơ '!A:I, ""SELECT I WHERE B = '""&amp;B102&amp;""' ORDER BY A DESC LIMIT 1"", 0))"),45945.0)</f>
        <v>45945</v>
      </c>
      <c r="Q102" s="17">
        <f t="shared" si="2"/>
        <v>45945</v>
      </c>
      <c r="R102" s="16">
        <v>1.0</v>
      </c>
      <c r="S102" s="16"/>
      <c r="T102" s="13" t="s">
        <v>341</v>
      </c>
      <c r="U102" s="18" t="s">
        <v>208</v>
      </c>
      <c r="V102" s="18" t="s">
        <v>34</v>
      </c>
      <c r="W102" s="16"/>
      <c r="X102" s="16"/>
    </row>
    <row r="103" ht="22.5" hidden="1" customHeight="1">
      <c r="A103" s="11">
        <v>45894.661106203705</v>
      </c>
      <c r="B103" s="12" t="s">
        <v>342</v>
      </c>
      <c r="C103" s="13" t="s">
        <v>340</v>
      </c>
      <c r="D103" s="14"/>
      <c r="E103" s="13" t="s">
        <v>187</v>
      </c>
      <c r="F103" s="13" t="s">
        <v>126</v>
      </c>
      <c r="G103" s="16"/>
      <c r="H103" s="13" t="s">
        <v>29</v>
      </c>
      <c r="I103" s="13" t="s">
        <v>81</v>
      </c>
      <c r="J103" s="14"/>
      <c r="K103" s="16" t="str">
        <f t="array" ref="K103">IFERROR(VLOOKUP(B103, SORT('Nhật ký nộp hồ sơ '!B:D, 'Nhật ký nộp hồ sơ '!A:A, FALSE), 3, FALSE),"")</f>
        <v>Hoàn thành</v>
      </c>
      <c r="L103" s="16" t="str">
        <f t="shared" si="1"/>
        <v>Hoàn thành</v>
      </c>
      <c r="M103" s="13" t="s">
        <v>135</v>
      </c>
      <c r="N103" s="17">
        <f>IFERROR(__xludf.DUMMYFUNCTION("""COMPUTED_VALUE"""),45894.0)</f>
        <v>45894</v>
      </c>
      <c r="O103" s="17">
        <v>45897.0</v>
      </c>
      <c r="P103" s="17">
        <f>IFERROR(__xludf.DUMMYFUNCTION("IFERROR(QUERY('Nhật ký nộp hồ sơ '!A:I, ""SELECT I WHERE B = '""&amp;B103&amp;""' ORDER BY A DESC LIMIT 1"", 0))"),45945.0)</f>
        <v>45945</v>
      </c>
      <c r="Q103" s="17">
        <f t="shared" si="2"/>
        <v>45945</v>
      </c>
      <c r="R103" s="16">
        <v>2.0</v>
      </c>
      <c r="S103" s="13" t="s">
        <v>343</v>
      </c>
      <c r="T103" s="13" t="s">
        <v>344</v>
      </c>
      <c r="U103" s="18" t="s">
        <v>208</v>
      </c>
      <c r="V103" s="18" t="s">
        <v>34</v>
      </c>
      <c r="W103" s="16"/>
      <c r="X103" s="16"/>
    </row>
    <row r="104" ht="22.5" hidden="1" customHeight="1">
      <c r="A104" s="11">
        <v>45894.662474259254</v>
      </c>
      <c r="B104" s="12" t="s">
        <v>345</v>
      </c>
      <c r="C104" s="13" t="s">
        <v>340</v>
      </c>
      <c r="D104" s="14"/>
      <c r="E104" s="13" t="s">
        <v>187</v>
      </c>
      <c r="F104" s="13" t="s">
        <v>126</v>
      </c>
      <c r="G104" s="16"/>
      <c r="H104" s="13" t="s">
        <v>29</v>
      </c>
      <c r="I104" s="13" t="s">
        <v>81</v>
      </c>
      <c r="J104" s="14"/>
      <c r="K104" s="16" t="str">
        <f t="array" ref="K104">IFERROR(VLOOKUP(B104, SORT('Nhật ký nộp hồ sơ '!B:D, 'Nhật ký nộp hồ sơ '!A:A, FALSE), 3, FALSE),"")</f>
        <v>Hoàn thành</v>
      </c>
      <c r="L104" s="16" t="str">
        <f t="shared" si="1"/>
        <v>Hoàn thành</v>
      </c>
      <c r="M104" s="13" t="s">
        <v>135</v>
      </c>
      <c r="N104" s="17">
        <f>IFERROR(__xludf.DUMMYFUNCTION("""COMPUTED_VALUE"""),45894.0)</f>
        <v>45894</v>
      </c>
      <c r="O104" s="17">
        <v>45897.0</v>
      </c>
      <c r="P104" s="17">
        <f>IFERROR(__xludf.DUMMYFUNCTION("IFERROR(QUERY('Nhật ký nộp hồ sơ '!A:I, ""SELECT I WHERE B = '""&amp;B104&amp;""' ORDER BY A DESC LIMIT 1"", 0))"),45945.0)</f>
        <v>45945</v>
      </c>
      <c r="Q104" s="17">
        <f t="shared" si="2"/>
        <v>45945</v>
      </c>
      <c r="R104" s="16">
        <v>2.0</v>
      </c>
      <c r="S104" s="13" t="s">
        <v>346</v>
      </c>
      <c r="T104" s="13" t="s">
        <v>341</v>
      </c>
      <c r="U104" s="18" t="s">
        <v>208</v>
      </c>
      <c r="V104" s="18" t="s">
        <v>34</v>
      </c>
      <c r="W104" s="16"/>
      <c r="X104" s="16"/>
    </row>
    <row r="105" ht="22.5" hidden="1" customHeight="1">
      <c r="A105" s="11">
        <v>45896.407430694446</v>
      </c>
      <c r="B105" s="12" t="s">
        <v>347</v>
      </c>
      <c r="C105" s="13" t="s">
        <v>348</v>
      </c>
      <c r="D105" s="14"/>
      <c r="E105" s="13" t="s">
        <v>122</v>
      </c>
      <c r="F105" s="13" t="s">
        <v>92</v>
      </c>
      <c r="G105" s="16"/>
      <c r="H105" s="13" t="s">
        <v>28</v>
      </c>
      <c r="I105" s="13" t="s">
        <v>40</v>
      </c>
      <c r="J105" s="14"/>
      <c r="K105" s="16" t="str">
        <f t="array" ref="K105">IFERROR(VLOOKUP(B105, SORT('Nhật ký nộp hồ sơ '!B:D, 'Nhật ký nộp hồ sơ '!A:A, FALSE), 3, FALSE),"")</f>
        <v>Hoàn thành</v>
      </c>
      <c r="L105" s="16" t="str">
        <f t="shared" si="1"/>
        <v>Hoàn thành</v>
      </c>
      <c r="M105" s="13" t="s">
        <v>30</v>
      </c>
      <c r="N105" s="17">
        <f>IFERROR(__xludf.DUMMYFUNCTION("""COMPUTED_VALUE"""),45896.0)</f>
        <v>45896</v>
      </c>
      <c r="O105" s="17">
        <v>45899.0</v>
      </c>
      <c r="P105" s="17">
        <f>IFERROR(__xludf.DUMMYFUNCTION("IFERROR(QUERY('Nhật ký nộp hồ sơ '!A:I, ""SELECT I WHERE B = '""&amp;B105&amp;""' ORDER BY A DESC LIMIT 1"", 0))"),45944.0)</f>
        <v>45944</v>
      </c>
      <c r="Q105" s="17">
        <f t="shared" si="2"/>
        <v>45944</v>
      </c>
      <c r="R105" s="16">
        <v>1.0</v>
      </c>
      <c r="S105" s="16"/>
      <c r="T105" s="13" t="s">
        <v>349</v>
      </c>
      <c r="U105" s="18" t="s">
        <v>33</v>
      </c>
      <c r="V105" s="18" t="s">
        <v>34</v>
      </c>
      <c r="W105" s="16"/>
      <c r="X105" s="16"/>
    </row>
    <row r="106" ht="22.5" hidden="1" customHeight="1">
      <c r="A106" s="11">
        <v>45896.50531777777</v>
      </c>
      <c r="B106" s="12" t="s">
        <v>350</v>
      </c>
      <c r="C106" s="13" t="s">
        <v>351</v>
      </c>
      <c r="D106" s="14"/>
      <c r="E106" s="13" t="s">
        <v>187</v>
      </c>
      <c r="F106" s="13" t="s">
        <v>133</v>
      </c>
      <c r="G106" s="16"/>
      <c r="H106" s="13" t="s">
        <v>29</v>
      </c>
      <c r="I106" s="13" t="s">
        <v>40</v>
      </c>
      <c r="J106" s="14"/>
      <c r="K106" s="16" t="str">
        <f t="array" ref="K106">IFERROR(VLOOKUP(B106, SORT('Nhật ký nộp hồ sơ '!B:D, 'Nhật ký nộp hồ sơ '!A:A, FALSE), 3, FALSE),"")</f>
        <v>Nộp thành công - Chờ kết quả</v>
      </c>
      <c r="L106" s="16" t="str">
        <f t="shared" si="1"/>
        <v>Đã nộp</v>
      </c>
      <c r="M106" s="13" t="s">
        <v>56</v>
      </c>
      <c r="N106" s="17">
        <f>IFERROR(__xludf.DUMMYFUNCTION("""COMPUTED_VALUE"""),45896.0)</f>
        <v>45896</v>
      </c>
      <c r="O106" s="17">
        <v>45899.0</v>
      </c>
      <c r="P106" s="17">
        <f>IFERROR(__xludf.DUMMYFUNCTION("IFERROR(QUERY('Nhật ký nộp hồ sơ '!A:I, ""SELECT I WHERE B = '""&amp;B106&amp;""' ORDER BY A DESC LIMIT 1"", 0))"),46183.0)</f>
        <v>46183</v>
      </c>
      <c r="Q106" s="17" t="str">
        <f t="shared" si="2"/>
        <v/>
      </c>
      <c r="R106" s="16">
        <v>2.0</v>
      </c>
      <c r="S106" s="16"/>
      <c r="T106" s="13" t="s">
        <v>352</v>
      </c>
      <c r="U106" s="18" t="s">
        <v>85</v>
      </c>
      <c r="V106" s="18" t="s">
        <v>34</v>
      </c>
      <c r="W106" s="16"/>
      <c r="X106" s="16"/>
    </row>
    <row r="107" ht="22.5" hidden="1" customHeight="1">
      <c r="A107" s="11">
        <v>45896.63688494213</v>
      </c>
      <c r="B107" s="12" t="s">
        <v>353</v>
      </c>
      <c r="C107" s="13" t="s">
        <v>354</v>
      </c>
      <c r="D107" s="14"/>
      <c r="E107" s="13" t="s">
        <v>122</v>
      </c>
      <c r="F107" s="13" t="s">
        <v>176</v>
      </c>
      <c r="G107" s="16"/>
      <c r="H107" s="13" t="s">
        <v>28</v>
      </c>
      <c r="I107" s="13" t="s">
        <v>40</v>
      </c>
      <c r="J107" s="14"/>
      <c r="K107" s="16" t="str">
        <f t="array" ref="K107">IFERROR(VLOOKUP(B107, SORT('Nhật ký nộp hồ sơ '!B:D, 'Nhật ký nộp hồ sơ '!A:A, FALSE), 3, FALSE),"")</f>
        <v>Hoàn thành</v>
      </c>
      <c r="L107" s="16" t="str">
        <f t="shared" si="1"/>
        <v>Hoàn thành</v>
      </c>
      <c r="M107" s="13" t="s">
        <v>56</v>
      </c>
      <c r="N107" s="17">
        <f>IFERROR(__xludf.DUMMYFUNCTION("""COMPUTED_VALUE"""),45896.0)</f>
        <v>45896</v>
      </c>
      <c r="O107" s="17">
        <v>45899.0</v>
      </c>
      <c r="P107" s="17">
        <f>IFERROR(__xludf.DUMMYFUNCTION("IFERROR(QUERY('Nhật ký nộp hồ sơ '!A:I, ""SELECT I WHERE B = '""&amp;B107&amp;""' ORDER BY A DESC LIMIT 1"", 0))"),45918.0)</f>
        <v>45918</v>
      </c>
      <c r="Q107" s="17">
        <f t="shared" si="2"/>
        <v>45918</v>
      </c>
      <c r="R107" s="16">
        <v>1.0</v>
      </c>
      <c r="S107" s="16"/>
      <c r="T107" s="13" t="s">
        <v>272</v>
      </c>
      <c r="U107" s="18" t="s">
        <v>208</v>
      </c>
      <c r="V107" s="18" t="s">
        <v>34</v>
      </c>
      <c r="W107" s="16"/>
      <c r="X107" s="16"/>
    </row>
    <row r="108" ht="22.5" hidden="1" customHeight="1">
      <c r="A108" s="11">
        <v>45897.42457505787</v>
      </c>
      <c r="B108" s="12" t="s">
        <v>355</v>
      </c>
      <c r="C108" s="13" t="s">
        <v>356</v>
      </c>
      <c r="D108" s="18" t="s">
        <v>44</v>
      </c>
      <c r="E108" s="13" t="s">
        <v>79</v>
      </c>
      <c r="F108" s="13" t="s">
        <v>357</v>
      </c>
      <c r="G108" s="16"/>
      <c r="H108" s="13" t="s">
        <v>47</v>
      </c>
      <c r="I108" s="13" t="s">
        <v>81</v>
      </c>
      <c r="J108" s="14"/>
      <c r="K108" s="16" t="str">
        <f t="array" ref="K108">IFERROR(VLOOKUP(B108, SORT('Nhật ký nộp hồ sơ '!B:D, 'Nhật ký nộp hồ sơ '!A:A, FALSE), 3, FALSE),"")</f>
        <v>Hoàn thành</v>
      </c>
      <c r="L108" s="16" t="str">
        <f t="shared" si="1"/>
        <v>Hoàn thành</v>
      </c>
      <c r="M108" s="13" t="s">
        <v>48</v>
      </c>
      <c r="N108" s="17">
        <f>IFERROR(__xludf.DUMMYFUNCTION("""COMPUTED_VALUE"""),45897.0)</f>
        <v>45897</v>
      </c>
      <c r="O108" s="17">
        <v>45900.0</v>
      </c>
      <c r="P108" s="17">
        <f>IFERROR(__xludf.DUMMYFUNCTION("IFERROR(QUERY('Nhật ký nộp hồ sơ '!A:I, ""SELECT I WHERE B = '""&amp;B108&amp;""' ORDER BY A DESC LIMIT 1"", 0))"),45910.0)</f>
        <v>45910</v>
      </c>
      <c r="Q108" s="17">
        <f t="shared" si="2"/>
        <v>45910</v>
      </c>
      <c r="R108" s="16">
        <v>3.0</v>
      </c>
      <c r="S108" s="13" t="s">
        <v>358</v>
      </c>
      <c r="T108" s="16"/>
      <c r="U108" s="14"/>
      <c r="V108" s="18" t="s">
        <v>34</v>
      </c>
      <c r="W108" s="16"/>
      <c r="X108" s="16"/>
    </row>
    <row r="109" ht="22.5" hidden="1" customHeight="1">
      <c r="A109" s="11">
        <v>45897.4295834838</v>
      </c>
      <c r="B109" s="12" t="s">
        <v>359</v>
      </c>
      <c r="C109" s="13" t="s">
        <v>360</v>
      </c>
      <c r="D109" s="14"/>
      <c r="E109" s="13" t="s">
        <v>26</v>
      </c>
      <c r="F109" s="13" t="s">
        <v>191</v>
      </c>
      <c r="G109" s="16"/>
      <c r="H109" s="13" t="s">
        <v>28</v>
      </c>
      <c r="I109" s="13" t="s">
        <v>81</v>
      </c>
      <c r="J109" s="14"/>
      <c r="K109" s="16" t="str">
        <f t="array" ref="K109">IFERROR(VLOOKUP(B109, SORT('Nhật ký nộp hồ sơ '!B:D, 'Nhật ký nộp hồ sơ '!A:A, FALSE), 3, FALSE),"")</f>
        <v>Hoàn thành</v>
      </c>
      <c r="L109" s="16" t="str">
        <f t="shared" si="1"/>
        <v>Hoàn thành</v>
      </c>
      <c r="M109" s="13" t="s">
        <v>41</v>
      </c>
      <c r="N109" s="17">
        <f>IFERROR(__xludf.DUMMYFUNCTION("""COMPUTED_VALUE"""),45897.0)</f>
        <v>45897</v>
      </c>
      <c r="O109" s="17">
        <v>45900.0</v>
      </c>
      <c r="P109" s="17">
        <f>IFERROR(__xludf.DUMMYFUNCTION("IFERROR(QUERY('Nhật ký nộp hồ sơ '!A:I, ""SELECT I WHERE B = '""&amp;B109&amp;""' ORDER BY A DESC LIMIT 1"", 0))"),45892.0)</f>
        <v>45892</v>
      </c>
      <c r="Q109" s="17">
        <f t="shared" si="2"/>
        <v>45892</v>
      </c>
      <c r="R109" s="16">
        <v>2.0</v>
      </c>
      <c r="S109" s="16"/>
      <c r="T109" s="16"/>
      <c r="U109" s="14"/>
      <c r="V109" s="18" t="s">
        <v>34</v>
      </c>
      <c r="W109" s="16"/>
      <c r="X109" s="16"/>
    </row>
    <row r="110" ht="22.5" hidden="1" customHeight="1">
      <c r="A110" s="11">
        <v>45897.4449736574</v>
      </c>
      <c r="B110" s="12" t="s">
        <v>361</v>
      </c>
      <c r="C110" s="13" t="s">
        <v>362</v>
      </c>
      <c r="D110" s="18" t="s">
        <v>44</v>
      </c>
      <c r="E110" s="13" t="s">
        <v>122</v>
      </c>
      <c r="F110" s="13" t="s">
        <v>338</v>
      </c>
      <c r="G110" s="16"/>
      <c r="H110" s="13" t="s">
        <v>47</v>
      </c>
      <c r="I110" s="13" t="s">
        <v>40</v>
      </c>
      <c r="J110" s="14"/>
      <c r="K110" s="16" t="str">
        <f t="array" ref="K110">IFERROR(VLOOKUP(B110, SORT('Nhật ký nộp hồ sơ '!B:D, 'Nhật ký nộp hồ sơ '!A:A, FALSE), 3, FALSE),"")</f>
        <v>Hoàn thành</v>
      </c>
      <c r="L110" s="16" t="str">
        <f t="shared" si="1"/>
        <v>Hoàn thành</v>
      </c>
      <c r="M110" s="13" t="s">
        <v>30</v>
      </c>
      <c r="N110" s="17">
        <f>IFERROR(__xludf.DUMMYFUNCTION("""COMPUTED_VALUE"""),45897.0)</f>
        <v>45897</v>
      </c>
      <c r="O110" s="17">
        <v>45900.0</v>
      </c>
      <c r="P110" s="17">
        <f>IFERROR(__xludf.DUMMYFUNCTION("IFERROR(QUERY('Nhật ký nộp hồ sơ '!A:I, ""SELECT I WHERE B = '""&amp;B110&amp;""' ORDER BY A DESC LIMIT 1"", 0))"),45904.0)</f>
        <v>45904</v>
      </c>
      <c r="Q110" s="17">
        <f t="shared" si="2"/>
        <v>45904</v>
      </c>
      <c r="R110" s="16">
        <v>2.0</v>
      </c>
      <c r="S110" s="16"/>
      <c r="T110" s="13" t="s">
        <v>363</v>
      </c>
      <c r="U110" s="18" t="s">
        <v>208</v>
      </c>
      <c r="V110" s="18" t="s">
        <v>34</v>
      </c>
      <c r="W110" s="16"/>
      <c r="X110" s="16"/>
    </row>
    <row r="111" ht="22.5" hidden="1" customHeight="1">
      <c r="A111" s="11">
        <v>45897.462100324075</v>
      </c>
      <c r="B111" s="12" t="s">
        <v>364</v>
      </c>
      <c r="C111" s="13" t="s">
        <v>327</v>
      </c>
      <c r="D111" s="18"/>
      <c r="E111" s="13" t="s">
        <v>26</v>
      </c>
      <c r="F111" s="13" t="s">
        <v>167</v>
      </c>
      <c r="G111" s="16"/>
      <c r="H111" s="13" t="s">
        <v>28</v>
      </c>
      <c r="I111" s="13" t="s">
        <v>81</v>
      </c>
      <c r="J111" s="14"/>
      <c r="K111" s="16" t="str">
        <f t="array" ref="K111">IFERROR(VLOOKUP(B111, SORT('Nhật ký nộp hồ sơ '!B:D, 'Nhật ký nộp hồ sơ '!A:A, FALSE), 3, FALSE),"")</f>
        <v>Hoàn thành</v>
      </c>
      <c r="L111" s="16" t="str">
        <f t="shared" si="1"/>
        <v>Hoàn thành</v>
      </c>
      <c r="M111" s="13" t="s">
        <v>146</v>
      </c>
      <c r="N111" s="17">
        <f>IFERROR(__xludf.DUMMYFUNCTION("""COMPUTED_VALUE"""),45897.0)</f>
        <v>45897</v>
      </c>
      <c r="O111" s="17">
        <v>45900.0</v>
      </c>
      <c r="P111" s="17">
        <f>IFERROR(__xludf.DUMMYFUNCTION("IFERROR(QUERY('Nhật ký nộp hồ sơ '!A:I, ""SELECT I WHERE B = '""&amp;B111&amp;""' ORDER BY A DESC LIMIT 1"", 0))"),45890.0)</f>
        <v>45890</v>
      </c>
      <c r="Q111" s="17">
        <f t="shared" si="2"/>
        <v>45890</v>
      </c>
      <c r="R111" s="16">
        <v>1.0</v>
      </c>
      <c r="S111" s="16"/>
      <c r="T111" s="16"/>
      <c r="U111" s="14"/>
      <c r="V111" s="18" t="s">
        <v>34</v>
      </c>
      <c r="W111" s="16"/>
      <c r="X111" s="16"/>
    </row>
    <row r="112" ht="22.5" hidden="1" customHeight="1">
      <c r="A112" s="11">
        <v>45897.46363795139</v>
      </c>
      <c r="B112" s="12" t="s">
        <v>365</v>
      </c>
      <c r="C112" s="13" t="s">
        <v>366</v>
      </c>
      <c r="D112" s="14"/>
      <c r="E112" s="13" t="s">
        <v>79</v>
      </c>
      <c r="F112" s="13" t="s">
        <v>123</v>
      </c>
      <c r="G112" s="16"/>
      <c r="H112" s="13" t="s">
        <v>47</v>
      </c>
      <c r="I112" s="13" t="s">
        <v>29</v>
      </c>
      <c r="J112" s="14"/>
      <c r="K112" s="16" t="str">
        <f t="array" ref="K112">IFERROR(VLOOKUP(B112, SORT('Nhật ký nộp hồ sơ '!B:D, 'Nhật ký nộp hồ sơ '!A:A, FALSE), 3, FALSE),"")</f>
        <v>Hủy</v>
      </c>
      <c r="L112" s="16" t="str">
        <f t="shared" si="1"/>
        <v>ĐÃ HỦY</v>
      </c>
      <c r="M112" s="13" t="s">
        <v>48</v>
      </c>
      <c r="N112" s="17">
        <f>IFERROR(__xludf.DUMMYFUNCTION("""COMPUTED_VALUE"""),45897.0)</f>
        <v>45897</v>
      </c>
      <c r="O112" s="17">
        <v>45900.0</v>
      </c>
      <c r="P112" s="17">
        <f>IFERROR(__xludf.DUMMYFUNCTION("IFERROR(QUERY('Nhật ký nộp hồ sơ '!A:I, ""SELECT I WHERE B = '""&amp;B112&amp;""' ORDER BY A DESC LIMIT 1"", 0))"),46038.0)</f>
        <v>46038</v>
      </c>
      <c r="Q112" s="17" t="str">
        <f t="shared" si="2"/>
        <v/>
      </c>
      <c r="R112" s="16">
        <v>2.0</v>
      </c>
      <c r="S112" s="13" t="s">
        <v>367</v>
      </c>
      <c r="T112" s="13" t="s">
        <v>368</v>
      </c>
      <c r="U112" s="14"/>
      <c r="V112" s="18" t="s">
        <v>34</v>
      </c>
      <c r="W112" s="16"/>
      <c r="X112" s="16"/>
    </row>
    <row r="113" ht="22.5" hidden="1" customHeight="1">
      <c r="A113" s="11">
        <v>45897.46539493055</v>
      </c>
      <c r="B113" s="12" t="s">
        <v>369</v>
      </c>
      <c r="C113" s="13" t="s">
        <v>370</v>
      </c>
      <c r="D113" s="14"/>
      <c r="E113" s="13" t="s">
        <v>53</v>
      </c>
      <c r="F113" s="13" t="s">
        <v>133</v>
      </c>
      <c r="G113" s="20" t="s">
        <v>371</v>
      </c>
      <c r="H113" s="13" t="s">
        <v>29</v>
      </c>
      <c r="I113" s="13" t="s">
        <v>28</v>
      </c>
      <c r="J113" s="18" t="s">
        <v>202</v>
      </c>
      <c r="K113" s="16" t="str">
        <f t="array" ref="K113">IFERROR(VLOOKUP(B113, SORT('Nhật ký nộp hồ sơ '!B:D, 'Nhật ký nộp hồ sơ '!A:A, FALSE), 3, FALSE),"")</f>
        <v>Hoàn thành</v>
      </c>
      <c r="L113" s="16" t="str">
        <f t="shared" si="1"/>
        <v>Hoàn thành</v>
      </c>
      <c r="M113" s="13" t="s">
        <v>56</v>
      </c>
      <c r="N113" s="17">
        <f>IFERROR(__xludf.DUMMYFUNCTION("""COMPUTED_VALUE"""),45897.0)</f>
        <v>45897</v>
      </c>
      <c r="O113" s="17">
        <v>45898.0</v>
      </c>
      <c r="P113" s="17">
        <f>IFERROR(__xludf.DUMMYFUNCTION("IFERROR(QUERY('Nhật ký nộp hồ sơ '!A:I, ""SELECT I WHERE B = '""&amp;B113&amp;""' ORDER BY A DESC LIMIT 1"", 0))"),45987.0)</f>
        <v>45987</v>
      </c>
      <c r="Q113" s="17">
        <f t="shared" si="2"/>
        <v>45987</v>
      </c>
      <c r="R113" s="16">
        <v>1.0</v>
      </c>
      <c r="S113" s="16"/>
      <c r="T113" s="16"/>
      <c r="U113" s="14"/>
      <c r="V113" s="18" t="s">
        <v>34</v>
      </c>
      <c r="W113" s="16"/>
      <c r="X113" s="16"/>
    </row>
    <row r="114" ht="22.5" hidden="1" customHeight="1">
      <c r="A114" s="11">
        <v>45897.46801540509</v>
      </c>
      <c r="B114" s="12" t="s">
        <v>372</v>
      </c>
      <c r="C114" s="13" t="s">
        <v>370</v>
      </c>
      <c r="D114" s="14"/>
      <c r="E114" s="13" t="s">
        <v>53</v>
      </c>
      <c r="F114" s="13" t="s">
        <v>133</v>
      </c>
      <c r="G114" s="20" t="s">
        <v>371</v>
      </c>
      <c r="H114" s="13" t="s">
        <v>28</v>
      </c>
      <c r="I114" s="13" t="s">
        <v>29</v>
      </c>
      <c r="J114" s="18" t="s">
        <v>202</v>
      </c>
      <c r="K114" s="16" t="str">
        <f t="array" ref="K114">IFERROR(VLOOKUP(B114, SORT('Nhật ký nộp hồ sơ '!B:D, 'Nhật ký nộp hồ sơ '!A:A, FALSE), 3, FALSE),"")</f>
        <v>Hoàn thành</v>
      </c>
      <c r="L114" s="16" t="str">
        <f t="shared" si="1"/>
        <v>Hoàn thành</v>
      </c>
      <c r="M114" s="13" t="s">
        <v>56</v>
      </c>
      <c r="N114" s="17">
        <f>IFERROR(__xludf.DUMMYFUNCTION("""COMPUTED_VALUE"""),45897.0)</f>
        <v>45897</v>
      </c>
      <c r="O114" s="17">
        <v>45898.0</v>
      </c>
      <c r="P114" s="17">
        <f>IFERROR(__xludf.DUMMYFUNCTION("IFERROR(QUERY('Nhật ký nộp hồ sơ '!A:I, ""SELECT I WHERE B = '""&amp;B114&amp;""' ORDER BY A DESC LIMIT 1"", 0))"),45912.0)</f>
        <v>45912</v>
      </c>
      <c r="Q114" s="17">
        <f t="shared" si="2"/>
        <v>45912</v>
      </c>
      <c r="R114" s="16">
        <v>1.0</v>
      </c>
      <c r="S114" s="16"/>
      <c r="T114" s="16"/>
      <c r="U114" s="14"/>
      <c r="V114" s="18" t="s">
        <v>34</v>
      </c>
      <c r="W114" s="16"/>
      <c r="X114" s="16"/>
    </row>
    <row r="115" ht="22.5" hidden="1" customHeight="1">
      <c r="A115" s="11">
        <v>45897.47035069445</v>
      </c>
      <c r="B115" s="12" t="s">
        <v>373</v>
      </c>
      <c r="C115" s="13" t="s">
        <v>370</v>
      </c>
      <c r="D115" s="14"/>
      <c r="E115" s="13" t="s">
        <v>53</v>
      </c>
      <c r="F115" s="13" t="s">
        <v>133</v>
      </c>
      <c r="G115" s="20" t="s">
        <v>371</v>
      </c>
      <c r="H115" s="13" t="s">
        <v>28</v>
      </c>
      <c r="I115" s="13" t="s">
        <v>29</v>
      </c>
      <c r="J115" s="18" t="s">
        <v>202</v>
      </c>
      <c r="K115" s="16" t="str">
        <f t="array" ref="K115">IFERROR(VLOOKUP(B115, SORT('Nhật ký nộp hồ sơ '!B:D, 'Nhật ký nộp hồ sơ '!A:A, FALSE), 3, FALSE),"")</f>
        <v>Hoàn thành</v>
      </c>
      <c r="L115" s="16" t="str">
        <f t="shared" si="1"/>
        <v>Hoàn thành</v>
      </c>
      <c r="M115" s="13" t="s">
        <v>56</v>
      </c>
      <c r="N115" s="17">
        <f>IFERROR(__xludf.DUMMYFUNCTION("""COMPUTED_VALUE"""),45897.0)</f>
        <v>45897</v>
      </c>
      <c r="O115" s="17">
        <v>45898.0</v>
      </c>
      <c r="P115" s="17">
        <f>IFERROR(__xludf.DUMMYFUNCTION("IFERROR(QUERY('Nhật ký nộp hồ sơ '!A:I, ""SELECT I WHERE B = '""&amp;B115&amp;""' ORDER BY A DESC LIMIT 1"", 0))"),45912.0)</f>
        <v>45912</v>
      </c>
      <c r="Q115" s="17">
        <f t="shared" si="2"/>
        <v>45912</v>
      </c>
      <c r="R115" s="16">
        <v>1.0</v>
      </c>
      <c r="S115" s="16"/>
      <c r="T115" s="16"/>
      <c r="U115" s="14"/>
      <c r="V115" s="18" t="s">
        <v>34</v>
      </c>
      <c r="W115" s="16"/>
      <c r="X115" s="16"/>
    </row>
    <row r="116" ht="22.5" hidden="1" customHeight="1">
      <c r="A116" s="11">
        <v>45897.47197986111</v>
      </c>
      <c r="B116" s="12" t="s">
        <v>374</v>
      </c>
      <c r="C116" s="13" t="s">
        <v>370</v>
      </c>
      <c r="D116" s="14"/>
      <c r="E116" s="13" t="s">
        <v>53</v>
      </c>
      <c r="F116" s="13" t="s">
        <v>133</v>
      </c>
      <c r="G116" s="20" t="s">
        <v>371</v>
      </c>
      <c r="H116" s="13" t="s">
        <v>28</v>
      </c>
      <c r="I116" s="13" t="s">
        <v>81</v>
      </c>
      <c r="J116" s="14"/>
      <c r="K116" s="16" t="str">
        <f t="array" ref="K116">IFERROR(VLOOKUP(B116, SORT('Nhật ký nộp hồ sơ '!B:D, 'Nhật ký nộp hồ sơ '!A:A, FALSE), 3, FALSE),"")</f>
        <v>Hoàn thành</v>
      </c>
      <c r="L116" s="16" t="str">
        <f t="shared" si="1"/>
        <v>Hoàn thành</v>
      </c>
      <c r="M116" s="13" t="s">
        <v>146</v>
      </c>
      <c r="N116" s="17">
        <f>IFERROR(__xludf.DUMMYFUNCTION("""COMPUTED_VALUE"""),45897.0)</f>
        <v>45897</v>
      </c>
      <c r="O116" s="17">
        <v>45900.0</v>
      </c>
      <c r="P116" s="17">
        <f>IFERROR(__xludf.DUMMYFUNCTION("IFERROR(QUERY('Nhật ký nộp hồ sơ '!A:I, ""SELECT I WHERE B = '""&amp;B116&amp;""' ORDER BY A DESC LIMIT 1"", 0))"),45897.0)</f>
        <v>45897</v>
      </c>
      <c r="Q116" s="17">
        <f t="shared" si="2"/>
        <v>45897</v>
      </c>
      <c r="R116" s="16">
        <v>3.0</v>
      </c>
      <c r="S116" s="16"/>
      <c r="T116" s="16"/>
      <c r="U116" s="14"/>
      <c r="V116" s="18" t="s">
        <v>34</v>
      </c>
      <c r="W116" s="16"/>
      <c r="X116" s="16"/>
    </row>
    <row r="117" ht="22.5" hidden="1" customHeight="1">
      <c r="A117" s="11">
        <v>45884.34572709491</v>
      </c>
      <c r="B117" s="12" t="s">
        <v>375</v>
      </c>
      <c r="C117" s="13" t="s">
        <v>376</v>
      </c>
      <c r="D117" s="14"/>
      <c r="E117" s="13" t="s">
        <v>45</v>
      </c>
      <c r="F117" s="13" t="s">
        <v>133</v>
      </c>
      <c r="G117" s="16"/>
      <c r="H117" s="13" t="s">
        <v>28</v>
      </c>
      <c r="I117" s="13" t="s">
        <v>81</v>
      </c>
      <c r="J117" s="14"/>
      <c r="K117" s="16" t="str">
        <f t="array" ref="K117">IFERROR(VLOOKUP(B117, SORT('Nhật ký nộp hồ sơ '!B:D, 'Nhật ký nộp hồ sơ '!A:A, FALSE), 3, FALSE),"")</f>
        <v>Hoàn thành</v>
      </c>
      <c r="L117" s="16" t="str">
        <f t="shared" si="1"/>
        <v>Hoàn thành</v>
      </c>
      <c r="M117" s="13" t="s">
        <v>82</v>
      </c>
      <c r="N117" s="17">
        <f>IFERROR(__xludf.DUMMYFUNCTION("""COMPUTED_VALUE"""),45884.0)</f>
        <v>45884</v>
      </c>
      <c r="O117" s="17">
        <v>45887.0</v>
      </c>
      <c r="P117" s="17">
        <f>IFERROR(__xludf.DUMMYFUNCTION("IFERROR(QUERY('Nhật ký nộp hồ sơ '!A:I, ""SELECT I WHERE B = '""&amp;B117&amp;""' ORDER BY A DESC LIMIT 1"", 0))"),45912.0)</f>
        <v>45912</v>
      </c>
      <c r="Q117" s="17">
        <f t="shared" si="2"/>
        <v>45912</v>
      </c>
      <c r="R117" s="16">
        <v>2.0</v>
      </c>
      <c r="S117" s="16"/>
      <c r="T117" s="16"/>
      <c r="U117" s="14"/>
      <c r="V117" s="18" t="s">
        <v>34</v>
      </c>
      <c r="W117" s="16"/>
      <c r="X117" s="16"/>
    </row>
    <row r="118" ht="22.5" hidden="1" customHeight="1">
      <c r="A118" s="11">
        <v>45884.34809322917</v>
      </c>
      <c r="B118" s="12" t="s">
        <v>377</v>
      </c>
      <c r="C118" s="13" t="s">
        <v>376</v>
      </c>
      <c r="D118" s="14"/>
      <c r="E118" s="13" t="s">
        <v>45</v>
      </c>
      <c r="F118" s="13" t="s">
        <v>133</v>
      </c>
      <c r="G118" s="16"/>
      <c r="H118" s="13" t="s">
        <v>28</v>
      </c>
      <c r="I118" s="13" t="s">
        <v>81</v>
      </c>
      <c r="J118" s="14"/>
      <c r="K118" s="16" t="str">
        <f t="array" ref="K118">IFERROR(VLOOKUP(B118, SORT('Nhật ký nộp hồ sơ '!B:D, 'Nhật ký nộp hồ sơ '!A:A, FALSE), 3, FALSE),"")</f>
        <v>Hoàn thành</v>
      </c>
      <c r="L118" s="16" t="str">
        <f t="shared" si="1"/>
        <v>Hoàn thành</v>
      </c>
      <c r="M118" s="13" t="s">
        <v>82</v>
      </c>
      <c r="N118" s="17">
        <f>IFERROR(__xludf.DUMMYFUNCTION("""COMPUTED_VALUE"""),45884.0)</f>
        <v>45884</v>
      </c>
      <c r="O118" s="17">
        <v>45887.0</v>
      </c>
      <c r="P118" s="17">
        <f>IFERROR(__xludf.DUMMYFUNCTION("IFERROR(QUERY('Nhật ký nộp hồ sơ '!A:I, ""SELECT I WHERE B = '""&amp;B118&amp;""' ORDER BY A DESC LIMIT 1"", 0))"),45912.0)</f>
        <v>45912</v>
      </c>
      <c r="Q118" s="17">
        <f t="shared" si="2"/>
        <v>45912</v>
      </c>
      <c r="R118" s="16">
        <v>4.0</v>
      </c>
      <c r="S118" s="16"/>
      <c r="T118" s="16"/>
      <c r="U118" s="14"/>
      <c r="V118" s="18" t="s">
        <v>34</v>
      </c>
      <c r="W118" s="16"/>
      <c r="X118" s="16"/>
    </row>
    <row r="119" ht="22.5" hidden="1" customHeight="1">
      <c r="A119" s="11">
        <v>45897.682448148145</v>
      </c>
      <c r="B119" s="12" t="s">
        <v>378</v>
      </c>
      <c r="C119" s="13" t="s">
        <v>379</v>
      </c>
      <c r="D119" s="18" t="s">
        <v>44</v>
      </c>
      <c r="E119" s="13" t="s">
        <v>45</v>
      </c>
      <c r="F119" s="13" t="s">
        <v>46</v>
      </c>
      <c r="G119" s="16"/>
      <c r="H119" s="13" t="s">
        <v>29</v>
      </c>
      <c r="I119" s="13" t="s">
        <v>40</v>
      </c>
      <c r="J119" s="14"/>
      <c r="K119" s="16" t="str">
        <f t="array" ref="K119">IFERROR(VLOOKUP(B119, SORT('Nhật ký nộp hồ sơ '!B:D, 'Nhật ký nộp hồ sơ '!A:A, FALSE), 3, FALSE),"")</f>
        <v>Hủy</v>
      </c>
      <c r="L119" s="16" t="str">
        <f t="shared" si="1"/>
        <v>ĐÃ HỦY</v>
      </c>
      <c r="M119" s="13" t="s">
        <v>48</v>
      </c>
      <c r="N119" s="17">
        <f>IFERROR(__xludf.DUMMYFUNCTION("""COMPUTED_VALUE"""),45897.0)</f>
        <v>45897</v>
      </c>
      <c r="O119" s="17">
        <v>45900.0</v>
      </c>
      <c r="P119" s="17">
        <f>IFERROR(__xludf.DUMMYFUNCTION("IFERROR(QUERY('Nhật ký nộp hồ sơ '!A:I, ""SELECT I WHERE B = '""&amp;B119&amp;""' ORDER BY A DESC LIMIT 1"", 0))"),46038.0)</f>
        <v>46038</v>
      </c>
      <c r="Q119" s="17" t="str">
        <f t="shared" si="2"/>
        <v/>
      </c>
      <c r="R119" s="16">
        <v>2.0</v>
      </c>
      <c r="S119" s="16"/>
      <c r="T119" s="13" t="s">
        <v>380</v>
      </c>
      <c r="U119" s="18" t="s">
        <v>33</v>
      </c>
      <c r="V119" s="18" t="s">
        <v>34</v>
      </c>
      <c r="W119" s="16"/>
      <c r="X119" s="16"/>
    </row>
    <row r="120" ht="22.5" hidden="1" customHeight="1">
      <c r="A120" s="11">
        <v>45898.59144440972</v>
      </c>
      <c r="B120" s="12" t="s">
        <v>381</v>
      </c>
      <c r="C120" s="13" t="s">
        <v>382</v>
      </c>
      <c r="D120" s="14"/>
      <c r="E120" s="13" t="s">
        <v>45</v>
      </c>
      <c r="F120" s="13" t="s">
        <v>133</v>
      </c>
      <c r="G120" s="20" t="s">
        <v>383</v>
      </c>
      <c r="H120" s="13" t="s">
        <v>55</v>
      </c>
      <c r="I120" s="13" t="s">
        <v>29</v>
      </c>
      <c r="J120" s="14"/>
      <c r="K120" s="16" t="str">
        <f t="array" ref="K120">IFERROR(VLOOKUP(B120, SORT('Nhật ký nộp hồ sơ '!B:D, 'Nhật ký nộp hồ sơ '!A:A, FALSE), 3, FALSE),"")</f>
        <v>Hoàn thành</v>
      </c>
      <c r="L120" s="16" t="str">
        <f t="shared" si="1"/>
        <v>Hoàn thành</v>
      </c>
      <c r="M120" s="13" t="s">
        <v>56</v>
      </c>
      <c r="N120" s="17">
        <f>IFERROR(__xludf.DUMMYFUNCTION("""COMPUTED_VALUE"""),45898.0)</f>
        <v>45898</v>
      </c>
      <c r="O120" s="17">
        <v>45901.0</v>
      </c>
      <c r="P120" s="17">
        <f>IFERROR(__xludf.DUMMYFUNCTION("IFERROR(QUERY('Nhật ký nộp hồ sơ '!A:I, ""SELECT I WHERE B = '""&amp;B120&amp;""' ORDER BY A DESC LIMIT 1"", 0))"),45912.0)</f>
        <v>45912</v>
      </c>
      <c r="Q120" s="17">
        <f t="shared" si="2"/>
        <v>45912</v>
      </c>
      <c r="R120" s="16">
        <v>3.0</v>
      </c>
      <c r="S120" s="16"/>
      <c r="T120" s="16"/>
      <c r="U120" s="14"/>
      <c r="V120" s="18" t="s">
        <v>34</v>
      </c>
      <c r="W120" s="16"/>
      <c r="X120" s="16"/>
    </row>
    <row r="121" ht="22.5" hidden="1" customHeight="1">
      <c r="A121" s="11">
        <v>45898.59419960648</v>
      </c>
      <c r="B121" s="12" t="s">
        <v>384</v>
      </c>
      <c r="C121" s="13" t="s">
        <v>385</v>
      </c>
      <c r="D121" s="18" t="s">
        <v>44</v>
      </c>
      <c r="E121" s="13" t="s">
        <v>53</v>
      </c>
      <c r="F121" s="13" t="s">
        <v>133</v>
      </c>
      <c r="G121" s="20" t="s">
        <v>386</v>
      </c>
      <c r="H121" s="13" t="s">
        <v>55</v>
      </c>
      <c r="I121" s="13" t="s">
        <v>81</v>
      </c>
      <c r="J121" s="14"/>
      <c r="K121" s="16" t="str">
        <f t="array" ref="K121">IFERROR(VLOOKUP(B121, SORT('Nhật ký nộp hồ sơ '!B:D, 'Nhật ký nộp hồ sơ '!A:A, FALSE), 3, FALSE),"")</f>
        <v>Nộp thành công - Chờ kết quả</v>
      </c>
      <c r="L121" s="16" t="str">
        <f t="shared" si="1"/>
        <v>Đã nộp</v>
      </c>
      <c r="M121" s="13" t="s">
        <v>56</v>
      </c>
      <c r="N121" s="17">
        <f>IFERROR(__xludf.DUMMYFUNCTION("""COMPUTED_VALUE"""),45898.0)</f>
        <v>45898</v>
      </c>
      <c r="O121" s="17">
        <v>45901.0</v>
      </c>
      <c r="P121" s="17">
        <f>IFERROR(__xludf.DUMMYFUNCTION("IFERROR(QUERY('Nhật ký nộp hồ sơ '!A:I, ""SELECT I WHERE B = '""&amp;B121&amp;""' ORDER BY A DESC LIMIT 1"", 0))"),45909.0)</f>
        <v>45909</v>
      </c>
      <c r="Q121" s="17" t="str">
        <f t="shared" si="2"/>
        <v/>
      </c>
      <c r="R121" s="16">
        <v>3.0</v>
      </c>
      <c r="S121" s="13" t="s">
        <v>387</v>
      </c>
      <c r="T121" s="16"/>
      <c r="U121" s="14"/>
      <c r="V121" s="18" t="s">
        <v>34</v>
      </c>
      <c r="W121" s="16"/>
      <c r="X121" s="16"/>
    </row>
    <row r="122" ht="22.5" hidden="1" customHeight="1">
      <c r="A122" s="11">
        <v>45903.444078796296</v>
      </c>
      <c r="B122" s="12" t="s">
        <v>388</v>
      </c>
      <c r="C122" s="13" t="s">
        <v>389</v>
      </c>
      <c r="D122" s="14"/>
      <c r="E122" s="13" t="s">
        <v>132</v>
      </c>
      <c r="F122" s="13" t="s">
        <v>338</v>
      </c>
      <c r="G122" s="16"/>
      <c r="H122" s="13" t="s">
        <v>28</v>
      </c>
      <c r="I122" s="13" t="s">
        <v>29</v>
      </c>
      <c r="J122" s="18" t="s">
        <v>202</v>
      </c>
      <c r="K122" s="16" t="str">
        <f t="array" ref="K122">IFERROR(VLOOKUP(B122, SORT('Nhật ký nộp hồ sơ '!B:D, 'Nhật ký nộp hồ sơ '!A:A, FALSE), 3, FALSE),"")</f>
        <v>Hoàn thành</v>
      </c>
      <c r="L122" s="16" t="str">
        <f t="shared" si="1"/>
        <v>Hoàn thành</v>
      </c>
      <c r="M122" s="13" t="s">
        <v>56</v>
      </c>
      <c r="N122" s="17">
        <f>IFERROR(__xludf.DUMMYFUNCTION("""COMPUTED_VALUE"""),45903.0)</f>
        <v>45903</v>
      </c>
      <c r="O122" s="17">
        <v>45904.0</v>
      </c>
      <c r="P122" s="17">
        <f>IFERROR(__xludf.DUMMYFUNCTION("IFERROR(QUERY('Nhật ký nộp hồ sơ '!A:I, ""SELECT I WHERE B = '""&amp;B122&amp;""' ORDER BY A DESC LIMIT 1"", 0))"),45912.0)</f>
        <v>45912</v>
      </c>
      <c r="Q122" s="17">
        <f t="shared" si="2"/>
        <v>45912</v>
      </c>
      <c r="R122" s="16">
        <v>1.0</v>
      </c>
      <c r="S122" s="16"/>
      <c r="T122" s="16"/>
      <c r="U122" s="14"/>
      <c r="V122" s="18" t="s">
        <v>34</v>
      </c>
      <c r="W122" s="16"/>
      <c r="X122" s="16"/>
    </row>
    <row r="123" ht="22.5" hidden="1" customHeight="1">
      <c r="A123" s="11">
        <v>45903.54527528935</v>
      </c>
      <c r="B123" s="12" t="s">
        <v>390</v>
      </c>
      <c r="C123" s="13" t="s">
        <v>391</v>
      </c>
      <c r="D123" s="18" t="s">
        <v>44</v>
      </c>
      <c r="E123" s="13" t="s">
        <v>45</v>
      </c>
      <c r="F123" s="13" t="s">
        <v>392</v>
      </c>
      <c r="G123" s="16"/>
      <c r="H123" s="13" t="s">
        <v>28</v>
      </c>
      <c r="I123" s="13" t="s">
        <v>29</v>
      </c>
      <c r="J123" s="18" t="s">
        <v>202</v>
      </c>
      <c r="K123" s="16" t="str">
        <f t="array" ref="K123">IFERROR(VLOOKUP(B123, SORT('Nhật ký nộp hồ sơ '!B:D, 'Nhật ký nộp hồ sơ '!A:A, FALSE), 3, FALSE),"")</f>
        <v>Hoàn thành</v>
      </c>
      <c r="L123" s="16" t="str">
        <f t="shared" si="1"/>
        <v>Hoàn thành</v>
      </c>
      <c r="M123" s="13" t="s">
        <v>56</v>
      </c>
      <c r="N123" s="17">
        <f>IFERROR(__xludf.DUMMYFUNCTION("""COMPUTED_VALUE"""),45903.0)</f>
        <v>45903</v>
      </c>
      <c r="O123" s="17">
        <v>45904.0</v>
      </c>
      <c r="P123" s="17">
        <f>IFERROR(__xludf.DUMMYFUNCTION("IFERROR(QUERY('Nhật ký nộp hồ sơ '!A:I, ""SELECT I WHERE B = '""&amp;B123&amp;""' ORDER BY A DESC LIMIT 1"", 0))"),45918.0)</f>
        <v>45918</v>
      </c>
      <c r="Q123" s="17">
        <f t="shared" si="2"/>
        <v>45918</v>
      </c>
      <c r="R123" s="16">
        <v>4.0</v>
      </c>
      <c r="S123" s="16"/>
      <c r="T123" s="16"/>
      <c r="U123" s="14"/>
      <c r="V123" s="18" t="s">
        <v>34</v>
      </c>
      <c r="W123" s="16"/>
      <c r="X123" s="16"/>
    </row>
    <row r="124" ht="22.5" hidden="1" customHeight="1">
      <c r="A124" s="11">
        <v>45903.68575931713</v>
      </c>
      <c r="B124" s="12" t="s">
        <v>393</v>
      </c>
      <c r="C124" s="13" t="s">
        <v>394</v>
      </c>
      <c r="D124" s="14"/>
      <c r="E124" s="13" t="s">
        <v>151</v>
      </c>
      <c r="F124" s="13" t="s">
        <v>395</v>
      </c>
      <c r="G124" s="16"/>
      <c r="H124" s="13" t="s">
        <v>69</v>
      </c>
      <c r="I124" s="13" t="s">
        <v>40</v>
      </c>
      <c r="J124" s="14"/>
      <c r="K124" s="16" t="str">
        <f t="array" ref="K124">IFERROR(VLOOKUP(B124, SORT('Nhật ký nộp hồ sơ '!B:D, 'Nhật ký nộp hồ sơ '!A:A, FALSE), 3, FALSE),"")</f>
        <v>Nộp thành công - Chờ kết quả</v>
      </c>
      <c r="L124" s="16" t="str">
        <f t="shared" si="1"/>
        <v>Đã nộp</v>
      </c>
      <c r="M124" s="13" t="s">
        <v>56</v>
      </c>
      <c r="N124" s="17">
        <f>IFERROR(__xludf.DUMMYFUNCTION("""COMPUTED_VALUE"""),45903.0)</f>
        <v>45903</v>
      </c>
      <c r="O124" s="17">
        <v>45906.0</v>
      </c>
      <c r="P124" s="17">
        <f>IFERROR(__xludf.DUMMYFUNCTION("IFERROR(QUERY('Nhật ký nộp hồ sơ '!A:I, ""SELECT I WHERE B = '""&amp;B124&amp;""' ORDER BY A DESC LIMIT 1"", 0))"),45916.0)</f>
        <v>45916</v>
      </c>
      <c r="Q124" s="17" t="str">
        <f t="shared" si="2"/>
        <v/>
      </c>
      <c r="R124" s="16">
        <v>1.0</v>
      </c>
      <c r="S124" s="16"/>
      <c r="T124" s="13" t="s">
        <v>396</v>
      </c>
      <c r="U124" s="14"/>
      <c r="V124" s="18" t="s">
        <v>34</v>
      </c>
      <c r="W124" s="16"/>
      <c r="X124" s="16"/>
    </row>
    <row r="125" ht="22.5" hidden="1" customHeight="1">
      <c r="A125" s="11">
        <v>45903.72763127315</v>
      </c>
      <c r="B125" s="12" t="s">
        <v>397</v>
      </c>
      <c r="C125" s="13" t="s">
        <v>370</v>
      </c>
      <c r="D125" s="14"/>
      <c r="E125" s="13" t="s">
        <v>53</v>
      </c>
      <c r="F125" s="13" t="s">
        <v>133</v>
      </c>
      <c r="G125" s="20" t="s">
        <v>371</v>
      </c>
      <c r="H125" s="13" t="s">
        <v>28</v>
      </c>
      <c r="I125" s="13" t="s">
        <v>81</v>
      </c>
      <c r="J125" s="14"/>
      <c r="K125" s="16" t="str">
        <f t="array" ref="K125">IFERROR(VLOOKUP(B125, SORT('Nhật ký nộp hồ sơ '!B:D, 'Nhật ký nộp hồ sơ '!A:A, FALSE), 3, FALSE),"")</f>
        <v>Hoàn thành</v>
      </c>
      <c r="L125" s="16" t="str">
        <f t="shared" si="1"/>
        <v>Hoàn thành</v>
      </c>
      <c r="M125" s="13" t="s">
        <v>146</v>
      </c>
      <c r="N125" s="17">
        <f>IFERROR(__xludf.DUMMYFUNCTION("""COMPUTED_VALUE"""),45903.0)</f>
        <v>45903</v>
      </c>
      <c r="O125" s="17">
        <v>45906.0</v>
      </c>
      <c r="P125" s="17">
        <f>IFERROR(__xludf.DUMMYFUNCTION("IFERROR(QUERY('Nhật ký nộp hồ sơ '!A:I, ""SELECT I WHERE B = '""&amp;B125&amp;""' ORDER BY A DESC LIMIT 1"", 0))"),45897.0)</f>
        <v>45897</v>
      </c>
      <c r="Q125" s="17">
        <f t="shared" si="2"/>
        <v>45897</v>
      </c>
      <c r="R125" s="16">
        <v>1.0</v>
      </c>
      <c r="S125" s="16"/>
      <c r="T125" s="16"/>
      <c r="U125" s="14"/>
      <c r="V125" s="18" t="s">
        <v>34</v>
      </c>
      <c r="W125" s="16"/>
      <c r="X125" s="16"/>
    </row>
    <row r="126" ht="22.5" hidden="1" customHeight="1">
      <c r="A126" s="11">
        <v>45904.61433303241</v>
      </c>
      <c r="B126" s="12" t="s">
        <v>398</v>
      </c>
      <c r="C126" s="13" t="s">
        <v>399</v>
      </c>
      <c r="D126" s="18" t="s">
        <v>44</v>
      </c>
      <c r="E126" s="13" t="s">
        <v>231</v>
      </c>
      <c r="F126" s="13" t="s">
        <v>232</v>
      </c>
      <c r="G126" s="20" t="s">
        <v>400</v>
      </c>
      <c r="H126" s="13" t="s">
        <v>29</v>
      </c>
      <c r="I126" s="13" t="s">
        <v>81</v>
      </c>
      <c r="J126" s="14"/>
      <c r="K126" s="16" t="str">
        <f t="array" ref="K126">IFERROR(VLOOKUP(B126, SORT('Nhật ký nộp hồ sơ '!B:D, 'Nhật ký nộp hồ sơ '!A:A, FALSE), 3, FALSE),"")</f>
        <v>Hoàn thành</v>
      </c>
      <c r="L126" s="16" t="str">
        <f t="shared" si="1"/>
        <v>Hoàn thành</v>
      </c>
      <c r="M126" s="13" t="s">
        <v>56</v>
      </c>
      <c r="N126" s="17">
        <f>IFERROR(__xludf.DUMMYFUNCTION("""COMPUTED_VALUE"""),45904.0)</f>
        <v>45904</v>
      </c>
      <c r="O126" s="17">
        <v>45907.0</v>
      </c>
      <c r="P126" s="17">
        <f>IFERROR(__xludf.DUMMYFUNCTION("IFERROR(QUERY('Nhật ký nộp hồ sơ '!A:I, ""SELECT I WHERE B = '""&amp;B126&amp;""' ORDER BY A DESC LIMIT 1"", 0))"),45912.0)</f>
        <v>45912</v>
      </c>
      <c r="Q126" s="17">
        <f t="shared" si="2"/>
        <v>45912</v>
      </c>
      <c r="R126" s="16">
        <v>2.0</v>
      </c>
      <c r="S126" s="16"/>
      <c r="T126" s="16"/>
      <c r="U126" s="14"/>
      <c r="V126" s="18" t="s">
        <v>34</v>
      </c>
      <c r="W126" s="16"/>
      <c r="X126" s="16"/>
    </row>
    <row r="127" ht="22.5" hidden="1" customHeight="1">
      <c r="A127" s="11">
        <v>45904.71345672454</v>
      </c>
      <c r="B127" s="12" t="s">
        <v>401</v>
      </c>
      <c r="C127" s="13" t="s">
        <v>399</v>
      </c>
      <c r="D127" s="14"/>
      <c r="E127" s="13" t="s">
        <v>231</v>
      </c>
      <c r="F127" s="13" t="s">
        <v>232</v>
      </c>
      <c r="G127" s="20" t="s">
        <v>400</v>
      </c>
      <c r="H127" s="13" t="s">
        <v>28</v>
      </c>
      <c r="I127" s="13" t="s">
        <v>81</v>
      </c>
      <c r="J127" s="14"/>
      <c r="K127" s="16" t="str">
        <f t="array" ref="K127">IFERROR(VLOOKUP(B127, SORT('Nhật ký nộp hồ sơ '!B:D, 'Nhật ký nộp hồ sơ '!A:A, FALSE), 3, FALSE),"")</f>
        <v>Hoàn thành</v>
      </c>
      <c r="L127" s="16" t="str">
        <f t="shared" si="1"/>
        <v>Hoàn thành</v>
      </c>
      <c r="M127" s="13" t="s">
        <v>146</v>
      </c>
      <c r="N127" s="17">
        <f>IFERROR(__xludf.DUMMYFUNCTION("""COMPUTED_VALUE"""),45904.0)</f>
        <v>45904</v>
      </c>
      <c r="O127" s="17">
        <v>45907.0</v>
      </c>
      <c r="P127" s="17">
        <f>IFERROR(__xludf.DUMMYFUNCTION("IFERROR(QUERY('Nhật ký nộp hồ sơ '!A:I, ""SELECT I WHERE B = '""&amp;B127&amp;""' ORDER BY A DESC LIMIT 1"", 0))"),45899.0)</f>
        <v>45899</v>
      </c>
      <c r="Q127" s="17">
        <f t="shared" si="2"/>
        <v>45899</v>
      </c>
      <c r="R127" s="16">
        <v>1.0</v>
      </c>
      <c r="S127" s="16"/>
      <c r="T127" s="16"/>
      <c r="U127" s="14"/>
      <c r="V127" s="18" t="s">
        <v>34</v>
      </c>
      <c r="W127" s="16"/>
      <c r="X127" s="16"/>
    </row>
    <row r="128" ht="22.5" hidden="1" customHeight="1">
      <c r="A128" s="11">
        <v>45905.39182179398</v>
      </c>
      <c r="B128" s="12" t="s">
        <v>402</v>
      </c>
      <c r="C128" s="13" t="s">
        <v>403</v>
      </c>
      <c r="D128" s="14"/>
      <c r="E128" s="13" t="s">
        <v>88</v>
      </c>
      <c r="F128" s="13" t="s">
        <v>404</v>
      </c>
      <c r="G128" s="20" t="s">
        <v>405</v>
      </c>
      <c r="H128" s="13" t="s">
        <v>69</v>
      </c>
      <c r="I128" s="13" t="s">
        <v>40</v>
      </c>
      <c r="J128" s="14"/>
      <c r="K128" s="16" t="str">
        <f t="array" ref="K128">IFERROR(VLOOKUP(B128, SORT('Nhật ký nộp hồ sơ '!B:D, 'Nhật ký nộp hồ sơ '!A:A, FALSE), 3, FALSE),"")</f>
        <v>Hủy</v>
      </c>
      <c r="L128" s="16" t="str">
        <f t="shared" si="1"/>
        <v>ĐÃ HỦY</v>
      </c>
      <c r="M128" s="13" t="s">
        <v>48</v>
      </c>
      <c r="N128" s="17">
        <f>IFERROR(__xludf.DUMMYFUNCTION("""COMPUTED_VALUE"""),45905.0)</f>
        <v>45905</v>
      </c>
      <c r="O128" s="17">
        <v>45908.0</v>
      </c>
      <c r="P128" s="17">
        <f>IFERROR(__xludf.DUMMYFUNCTION("IFERROR(QUERY('Nhật ký nộp hồ sơ '!A:I, ""SELECT I WHERE B = '""&amp;B128&amp;""' ORDER BY A DESC LIMIT 1"", 0))"),46038.0)</f>
        <v>46038</v>
      </c>
      <c r="Q128" s="17" t="str">
        <f t="shared" si="2"/>
        <v/>
      </c>
      <c r="R128" s="16">
        <v>2.0</v>
      </c>
      <c r="S128" s="16"/>
      <c r="T128" s="13" t="s">
        <v>406</v>
      </c>
      <c r="U128" s="14"/>
      <c r="V128" s="18" t="s">
        <v>34</v>
      </c>
      <c r="W128" s="16"/>
      <c r="X128" s="16"/>
    </row>
    <row r="129" ht="22.5" hidden="1" customHeight="1">
      <c r="A129" s="11">
        <v>45905.4874803125</v>
      </c>
      <c r="B129" s="12" t="s">
        <v>407</v>
      </c>
      <c r="C129" s="13" t="s">
        <v>408</v>
      </c>
      <c r="D129" s="14"/>
      <c r="E129" s="13" t="s">
        <v>26</v>
      </c>
      <c r="F129" s="13" t="s">
        <v>133</v>
      </c>
      <c r="G129" s="16"/>
      <c r="H129" s="13" t="s">
        <v>29</v>
      </c>
      <c r="I129" s="13" t="s">
        <v>81</v>
      </c>
      <c r="J129" s="14"/>
      <c r="K129" s="16" t="str">
        <f t="array" ref="K129">IFERROR(VLOOKUP(B129, SORT('Nhật ký nộp hồ sơ '!B:D, 'Nhật ký nộp hồ sơ '!A:A, FALSE), 3, FALSE),"")</f>
        <v>Hoàn thành</v>
      </c>
      <c r="L129" s="16" t="str">
        <f t="shared" si="1"/>
        <v>Hoàn thành</v>
      </c>
      <c r="M129" s="27" t="s">
        <v>409</v>
      </c>
      <c r="N129" s="17">
        <f>IFERROR(__xludf.DUMMYFUNCTION("""COMPUTED_VALUE"""),45905.0)</f>
        <v>45905</v>
      </c>
      <c r="O129" s="17">
        <v>45908.0</v>
      </c>
      <c r="P129" s="17">
        <f>IFERROR(__xludf.DUMMYFUNCTION("IFERROR(QUERY('Nhật ký nộp hồ sơ '!A:I, ""SELECT I WHERE B = '""&amp;B129&amp;""' ORDER BY A DESC LIMIT 1"", 0))"),45905.0)</f>
        <v>45905</v>
      </c>
      <c r="Q129" s="17">
        <f t="shared" si="2"/>
        <v>45905</v>
      </c>
      <c r="R129" s="16">
        <v>1.0</v>
      </c>
      <c r="S129" s="16"/>
      <c r="T129" s="16"/>
      <c r="U129" s="14"/>
      <c r="V129" s="18" t="s">
        <v>34</v>
      </c>
      <c r="W129" s="16"/>
      <c r="X129" s="16"/>
    </row>
    <row r="130" ht="22.5" hidden="1" customHeight="1">
      <c r="A130" s="11">
        <v>45905.560307141204</v>
      </c>
      <c r="B130" s="12" t="s">
        <v>410</v>
      </c>
      <c r="C130" s="13" t="s">
        <v>411</v>
      </c>
      <c r="D130" s="14"/>
      <c r="E130" s="13" t="s">
        <v>74</v>
      </c>
      <c r="F130" s="13" t="s">
        <v>133</v>
      </c>
      <c r="G130" s="13">
        <v>9.03063311E8</v>
      </c>
      <c r="H130" s="13" t="s">
        <v>47</v>
      </c>
      <c r="I130" s="13" t="s">
        <v>40</v>
      </c>
      <c r="J130" s="14"/>
      <c r="K130" s="16" t="str">
        <f t="array" ref="K130">IFERROR(VLOOKUP(B130, SORT('Nhật ký nộp hồ sơ '!B:D, 'Nhật ký nộp hồ sơ '!A:A, FALSE), 3, FALSE),"")</f>
        <v>Nộp thành công - Chờ kết quả</v>
      </c>
      <c r="L130" s="16" t="str">
        <f t="shared" si="1"/>
        <v>Đã nộp</v>
      </c>
      <c r="M130" s="13" t="s">
        <v>56</v>
      </c>
      <c r="N130" s="17">
        <f>IFERROR(__xludf.DUMMYFUNCTION("""COMPUTED_VALUE"""),45905.0)</f>
        <v>45905</v>
      </c>
      <c r="O130" s="17">
        <v>45908.0</v>
      </c>
      <c r="P130" s="17">
        <f>IFERROR(__xludf.DUMMYFUNCTION("IFERROR(QUERY('Nhật ký nộp hồ sơ '!A:I, ""SELECT I WHERE B = '""&amp;B130&amp;""' ORDER BY A DESC LIMIT 1"", 0))"),46091.0)</f>
        <v>46091</v>
      </c>
      <c r="Q130" s="17" t="str">
        <f t="shared" si="2"/>
        <v/>
      </c>
      <c r="R130" s="16">
        <v>2.0</v>
      </c>
      <c r="S130" s="16"/>
      <c r="T130" s="16"/>
      <c r="U130" s="14"/>
      <c r="V130" s="18" t="s">
        <v>34</v>
      </c>
      <c r="W130" s="16"/>
      <c r="X130" s="16"/>
    </row>
    <row r="131" ht="22.5" hidden="1" customHeight="1">
      <c r="A131" s="11">
        <v>45905.56698923611</v>
      </c>
      <c r="B131" s="12" t="s">
        <v>412</v>
      </c>
      <c r="C131" s="13" t="s">
        <v>413</v>
      </c>
      <c r="D131" s="18" t="s">
        <v>44</v>
      </c>
      <c r="E131" s="13" t="s">
        <v>79</v>
      </c>
      <c r="F131" s="13" t="s">
        <v>414</v>
      </c>
      <c r="G131" s="16"/>
      <c r="H131" s="13" t="s">
        <v>47</v>
      </c>
      <c r="I131" s="13" t="s">
        <v>40</v>
      </c>
      <c r="J131" s="14"/>
      <c r="K131" s="16" t="str">
        <f t="array" ref="K131">IFERROR(VLOOKUP(B131, SORT('Nhật ký nộp hồ sơ '!B:D, 'Nhật ký nộp hồ sơ '!A:A, FALSE), 3, FALSE),"")</f>
        <v>Hoàn thành</v>
      </c>
      <c r="L131" s="16" t="str">
        <f t="shared" si="1"/>
        <v>Hoàn thành</v>
      </c>
      <c r="M131" s="13" t="s">
        <v>56</v>
      </c>
      <c r="N131" s="17">
        <f>IFERROR(__xludf.DUMMYFUNCTION("""COMPUTED_VALUE"""),45905.0)</f>
        <v>45905</v>
      </c>
      <c r="O131" s="17">
        <v>45908.0</v>
      </c>
      <c r="P131" s="17">
        <f>IFERROR(__xludf.DUMMYFUNCTION("IFERROR(QUERY('Nhật ký nộp hồ sơ '!A:I, ""SELECT I WHERE B = '""&amp;B131&amp;""' ORDER BY A DESC LIMIT 1"", 0))"),45917.0)</f>
        <v>45917</v>
      </c>
      <c r="Q131" s="17">
        <f t="shared" si="2"/>
        <v>45917</v>
      </c>
      <c r="R131" s="16">
        <v>1.0</v>
      </c>
      <c r="S131" s="16"/>
      <c r="T131" s="16"/>
      <c r="U131" s="14"/>
      <c r="V131" s="18" t="s">
        <v>34</v>
      </c>
      <c r="W131" s="16"/>
      <c r="X131" s="16"/>
    </row>
    <row r="132" ht="22.5" hidden="1" customHeight="1">
      <c r="A132" s="11">
        <v>45905.6385403125</v>
      </c>
      <c r="B132" s="12" t="s">
        <v>415</v>
      </c>
      <c r="C132" s="13" t="s">
        <v>416</v>
      </c>
      <c r="D132" s="14"/>
      <c r="E132" s="13" t="s">
        <v>88</v>
      </c>
      <c r="F132" s="13" t="s">
        <v>133</v>
      </c>
      <c r="G132" s="13" t="s">
        <v>417</v>
      </c>
      <c r="H132" s="13" t="s">
        <v>28</v>
      </c>
      <c r="I132" s="13" t="s">
        <v>81</v>
      </c>
      <c r="J132" s="14"/>
      <c r="K132" s="16" t="str">
        <f t="array" ref="K132">IFERROR(VLOOKUP(B132, SORT('Nhật ký nộp hồ sơ '!B:D, 'Nhật ký nộp hồ sơ '!A:A, FALSE), 3, FALSE),"")</f>
        <v>Hoàn thành</v>
      </c>
      <c r="L132" s="16" t="str">
        <f t="shared" si="1"/>
        <v>Hoàn thành</v>
      </c>
      <c r="M132" s="13" t="s">
        <v>56</v>
      </c>
      <c r="N132" s="17">
        <f>IFERROR(__xludf.DUMMYFUNCTION("""COMPUTED_VALUE"""),45905.0)</f>
        <v>45905</v>
      </c>
      <c r="O132" s="17">
        <v>45908.0</v>
      </c>
      <c r="P132" s="17">
        <f>IFERROR(__xludf.DUMMYFUNCTION("IFERROR(QUERY('Nhật ký nộp hồ sơ '!A:I, ""SELECT I WHERE B = '""&amp;B132&amp;""' ORDER BY A DESC LIMIT 1"", 0))"),45931.0)</f>
        <v>45931</v>
      </c>
      <c r="Q132" s="17">
        <f t="shared" si="2"/>
        <v>45931</v>
      </c>
      <c r="R132" s="16">
        <v>3.0</v>
      </c>
      <c r="S132" s="13" t="s">
        <v>418</v>
      </c>
      <c r="T132" s="16"/>
      <c r="U132" s="14"/>
      <c r="V132" s="18" t="s">
        <v>34</v>
      </c>
      <c r="W132" s="16"/>
      <c r="X132" s="16"/>
    </row>
    <row r="133" ht="22.5" hidden="1" customHeight="1">
      <c r="A133" s="11">
        <v>45906.46457311342</v>
      </c>
      <c r="B133" s="12" t="s">
        <v>419</v>
      </c>
      <c r="C133" s="13" t="s">
        <v>420</v>
      </c>
      <c r="D133" s="14"/>
      <c r="E133" s="13" t="s">
        <v>151</v>
      </c>
      <c r="F133" s="13" t="s">
        <v>152</v>
      </c>
      <c r="G133" s="16"/>
      <c r="H133" s="13" t="s">
        <v>29</v>
      </c>
      <c r="I133" s="13" t="s">
        <v>47</v>
      </c>
      <c r="J133" s="14"/>
      <c r="K133" s="16" t="str">
        <f t="array" ref="K133">IFERROR(VLOOKUP(B133, SORT('Nhật ký nộp hồ sơ '!B:D, 'Nhật ký nộp hồ sơ '!A:A, FALSE), 3, FALSE),"")</f>
        <v>Hoàn thành</v>
      </c>
      <c r="L133" s="16" t="str">
        <f t="shared" si="1"/>
        <v>Hoàn thành</v>
      </c>
      <c r="M133" s="13" t="s">
        <v>56</v>
      </c>
      <c r="N133" s="17">
        <f>IFERROR(__xludf.DUMMYFUNCTION("""COMPUTED_VALUE"""),45906.0)</f>
        <v>45906</v>
      </c>
      <c r="O133" s="17">
        <v>45909.0</v>
      </c>
      <c r="P133" s="17">
        <f>IFERROR(__xludf.DUMMYFUNCTION("IFERROR(QUERY('Nhật ký nộp hồ sơ '!A:I, ""SELECT I WHERE B = '""&amp;B133&amp;""' ORDER BY A DESC LIMIT 1"", 0))"),45925.0)</f>
        <v>45925</v>
      </c>
      <c r="Q133" s="17">
        <f t="shared" si="2"/>
        <v>45925</v>
      </c>
      <c r="R133" s="16">
        <v>2.0</v>
      </c>
      <c r="S133" s="16"/>
      <c r="T133" s="13" t="s">
        <v>421</v>
      </c>
      <c r="U133" s="14"/>
      <c r="V133" s="18" t="s">
        <v>34</v>
      </c>
      <c r="W133" s="16"/>
      <c r="X133" s="16"/>
    </row>
    <row r="134" ht="22.5" hidden="1" customHeight="1">
      <c r="A134" s="11">
        <v>45906.515051875</v>
      </c>
      <c r="B134" s="12" t="s">
        <v>422</v>
      </c>
      <c r="C134" s="13" t="s">
        <v>423</v>
      </c>
      <c r="D134" s="14"/>
      <c r="E134" s="13" t="s">
        <v>122</v>
      </c>
      <c r="F134" s="15" t="s">
        <v>27</v>
      </c>
      <c r="G134" s="16"/>
      <c r="H134" s="13" t="s">
        <v>69</v>
      </c>
      <c r="I134" s="13" t="s">
        <v>40</v>
      </c>
      <c r="J134" s="14"/>
      <c r="K134" s="16" t="str">
        <f t="array" ref="K134">IFERROR(VLOOKUP(B134, SORT('Nhật ký nộp hồ sơ '!B:D, 'Nhật ký nộp hồ sơ '!A:A, FALSE), 3, FALSE),"")</f>
        <v>Hoàn thành</v>
      </c>
      <c r="L134" s="16" t="str">
        <f t="shared" si="1"/>
        <v>Hoàn thành</v>
      </c>
      <c r="M134" s="13" t="s">
        <v>56</v>
      </c>
      <c r="N134" s="17">
        <f>IFERROR(__xludf.DUMMYFUNCTION("""COMPUTED_VALUE"""),45906.0)</f>
        <v>45906</v>
      </c>
      <c r="O134" s="17">
        <v>45909.0</v>
      </c>
      <c r="P134" s="17">
        <f>IFERROR(__xludf.DUMMYFUNCTION("IFERROR(QUERY('Nhật ký nộp hồ sơ '!A:I, ""SELECT I WHERE B = '""&amp;B134&amp;""' ORDER BY A DESC LIMIT 1"", 0))"),45925.0)</f>
        <v>45925</v>
      </c>
      <c r="Q134" s="17">
        <f t="shared" si="2"/>
        <v>45925</v>
      </c>
      <c r="R134" s="16">
        <v>5.0</v>
      </c>
      <c r="S134" s="16"/>
      <c r="T134" s="13" t="s">
        <v>396</v>
      </c>
      <c r="U134" s="14"/>
      <c r="V134" s="18" t="s">
        <v>34</v>
      </c>
      <c r="W134" s="16"/>
      <c r="X134" s="16"/>
    </row>
    <row r="135" ht="22.5" hidden="1" customHeight="1">
      <c r="A135" s="11">
        <v>45906.515769756945</v>
      </c>
      <c r="B135" s="12" t="s">
        <v>424</v>
      </c>
      <c r="C135" s="13" t="s">
        <v>425</v>
      </c>
      <c r="D135" s="14"/>
      <c r="E135" s="13" t="s">
        <v>26</v>
      </c>
      <c r="F135" s="15" t="s">
        <v>27</v>
      </c>
      <c r="G135" s="16"/>
      <c r="H135" s="13" t="s">
        <v>69</v>
      </c>
      <c r="I135" s="13" t="s">
        <v>40</v>
      </c>
      <c r="J135" s="14"/>
      <c r="K135" s="16" t="str">
        <f t="array" ref="K135">IFERROR(VLOOKUP(B135, SORT('Nhật ký nộp hồ sơ '!B:D, 'Nhật ký nộp hồ sơ '!A:A, FALSE), 3, FALSE),"")</f>
        <v>Hoàn thành</v>
      </c>
      <c r="L135" s="16" t="str">
        <f t="shared" si="1"/>
        <v>Hoàn thành</v>
      </c>
      <c r="M135" s="13" t="s">
        <v>48</v>
      </c>
      <c r="N135" s="17">
        <f>IFERROR(__xludf.DUMMYFUNCTION("""COMPUTED_VALUE"""),45906.0)</f>
        <v>45906</v>
      </c>
      <c r="O135" s="17">
        <v>45909.0</v>
      </c>
      <c r="P135" s="17">
        <f>IFERROR(__xludf.DUMMYFUNCTION("IFERROR(QUERY('Nhật ký nộp hồ sơ '!A:I, ""SELECT I WHERE B = '""&amp;B135&amp;""' ORDER BY A DESC LIMIT 1"", 0))"),45925.0)</f>
        <v>45925</v>
      </c>
      <c r="Q135" s="17">
        <f t="shared" si="2"/>
        <v>45925</v>
      </c>
      <c r="R135" s="16">
        <v>1.0</v>
      </c>
      <c r="S135" s="16"/>
      <c r="T135" s="16"/>
      <c r="U135" s="14"/>
      <c r="V135" s="18" t="s">
        <v>34</v>
      </c>
      <c r="W135" s="16"/>
      <c r="X135" s="16"/>
    </row>
    <row r="136" ht="22.5" hidden="1" customHeight="1">
      <c r="A136" s="11">
        <v>45906.658805127314</v>
      </c>
      <c r="B136" s="12" t="s">
        <v>426</v>
      </c>
      <c r="C136" s="13" t="s">
        <v>416</v>
      </c>
      <c r="D136" s="14"/>
      <c r="E136" s="13" t="s">
        <v>88</v>
      </c>
      <c r="F136" s="13" t="s">
        <v>133</v>
      </c>
      <c r="G136" s="16"/>
      <c r="H136" s="13" t="s">
        <v>28</v>
      </c>
      <c r="I136" s="13" t="s">
        <v>81</v>
      </c>
      <c r="J136" s="14"/>
      <c r="K136" s="16" t="str">
        <f t="array" ref="K136">IFERROR(VLOOKUP(B136, SORT('Nhật ký nộp hồ sơ '!B:D, 'Nhật ký nộp hồ sơ '!A:A, FALSE), 3, FALSE),"")</f>
        <v>Hoàn thành</v>
      </c>
      <c r="L136" s="16" t="str">
        <f t="shared" si="1"/>
        <v>Hoàn thành</v>
      </c>
      <c r="M136" s="13" t="s">
        <v>146</v>
      </c>
      <c r="N136" s="17">
        <f>IFERROR(__xludf.DUMMYFUNCTION("""COMPUTED_VALUE"""),45906.0)</f>
        <v>45906</v>
      </c>
      <c r="O136" s="17">
        <v>45909.0</v>
      </c>
      <c r="P136" s="17">
        <f>IFERROR(__xludf.DUMMYFUNCTION("IFERROR(QUERY('Nhật ký nộp hồ sơ '!A:I, ""SELECT I WHERE B = '""&amp;B136&amp;""' ORDER BY A DESC LIMIT 1"", 0))"),45906.0)</f>
        <v>45906</v>
      </c>
      <c r="Q136" s="17">
        <f t="shared" si="2"/>
        <v>45906</v>
      </c>
      <c r="R136" s="16">
        <v>3.0</v>
      </c>
      <c r="S136" s="16"/>
      <c r="T136" s="16"/>
      <c r="U136" s="14"/>
      <c r="V136" s="18" t="s">
        <v>34</v>
      </c>
      <c r="W136" s="16"/>
      <c r="X136" s="16"/>
    </row>
    <row r="137" ht="22.5" hidden="1" customHeight="1">
      <c r="A137" s="11">
        <v>45908.56822622685</v>
      </c>
      <c r="B137" s="12" t="s">
        <v>427</v>
      </c>
      <c r="C137" s="13" t="s">
        <v>428</v>
      </c>
      <c r="D137" s="14"/>
      <c r="E137" s="13" t="s">
        <v>151</v>
      </c>
      <c r="F137" s="13" t="s">
        <v>133</v>
      </c>
      <c r="G137" s="20" t="s">
        <v>429</v>
      </c>
      <c r="H137" s="13" t="s">
        <v>29</v>
      </c>
      <c r="I137" s="13" t="s">
        <v>40</v>
      </c>
      <c r="J137" s="14"/>
      <c r="K137" s="16" t="str">
        <f t="array" ref="K137">IFERROR(VLOOKUP(B137, SORT('Nhật ký nộp hồ sơ '!B:D, 'Nhật ký nộp hồ sơ '!A:A, FALSE), 3, FALSE),"")</f>
        <v>Hoàn thành</v>
      </c>
      <c r="L137" s="16" t="str">
        <f t="shared" si="1"/>
        <v>Hoàn thành</v>
      </c>
      <c r="M137" s="13" t="s">
        <v>56</v>
      </c>
      <c r="N137" s="17">
        <f>IFERROR(__xludf.DUMMYFUNCTION("""COMPUTED_VALUE"""),45908.0)</f>
        <v>45908</v>
      </c>
      <c r="O137" s="17">
        <v>45911.0</v>
      </c>
      <c r="P137" s="17">
        <f>IFERROR(__xludf.DUMMYFUNCTION("IFERROR(QUERY('Nhật ký nộp hồ sơ '!A:I, ""SELECT I WHERE B = '""&amp;B137&amp;""' ORDER BY A DESC LIMIT 1"", 0))"),45944.0)</f>
        <v>45944</v>
      </c>
      <c r="Q137" s="17">
        <f t="shared" si="2"/>
        <v>45944</v>
      </c>
      <c r="R137" s="16">
        <v>4.0</v>
      </c>
      <c r="S137" s="16"/>
      <c r="T137" s="13" t="s">
        <v>430</v>
      </c>
      <c r="U137" s="14"/>
      <c r="V137" s="18" t="s">
        <v>34</v>
      </c>
      <c r="W137" s="16"/>
      <c r="X137" s="16"/>
    </row>
    <row r="138" ht="22.5" hidden="1" customHeight="1">
      <c r="A138" s="11">
        <v>45908.62654140046</v>
      </c>
      <c r="B138" s="12" t="s">
        <v>431</v>
      </c>
      <c r="C138" s="13" t="s">
        <v>432</v>
      </c>
      <c r="D138" s="14"/>
      <c r="E138" s="13" t="s">
        <v>132</v>
      </c>
      <c r="F138" s="13" t="s">
        <v>433</v>
      </c>
      <c r="G138" s="16"/>
      <c r="H138" s="13" t="s">
        <v>55</v>
      </c>
      <c r="I138" s="13" t="s">
        <v>40</v>
      </c>
      <c r="J138" s="14"/>
      <c r="K138" s="16" t="str">
        <f t="array" ref="K138">IFERROR(VLOOKUP(B138, SORT('Nhật ký nộp hồ sơ '!B:D, 'Nhật ký nộp hồ sơ '!A:A, FALSE), 3, FALSE),"")</f>
        <v>Hoàn thành</v>
      </c>
      <c r="L138" s="16" t="str">
        <f t="shared" si="1"/>
        <v>Hoàn thành</v>
      </c>
      <c r="M138" s="13" t="s">
        <v>41</v>
      </c>
      <c r="N138" s="17">
        <f>IFERROR(__xludf.DUMMYFUNCTION("""COMPUTED_VALUE"""),45908.0)</f>
        <v>45908</v>
      </c>
      <c r="O138" s="17">
        <v>45911.0</v>
      </c>
      <c r="P138" s="17">
        <f>IFERROR(__xludf.DUMMYFUNCTION("IFERROR(QUERY('Nhật ký nộp hồ sơ '!A:I, ""SELECT I WHERE B = '""&amp;B138&amp;""' ORDER BY A DESC LIMIT 1"", 0))"),45908.0)</f>
        <v>45908</v>
      </c>
      <c r="Q138" s="17">
        <f t="shared" si="2"/>
        <v>45908</v>
      </c>
      <c r="R138" s="16">
        <v>7.0</v>
      </c>
      <c r="S138" s="16"/>
      <c r="T138" s="16"/>
      <c r="U138" s="14"/>
      <c r="V138" s="18" t="s">
        <v>34</v>
      </c>
      <c r="W138" s="16"/>
      <c r="X138" s="16"/>
    </row>
    <row r="139" ht="22.5" hidden="1" customHeight="1">
      <c r="A139" s="11">
        <v>45909.442654108796</v>
      </c>
      <c r="B139" s="12" t="s">
        <v>434</v>
      </c>
      <c r="C139" s="13" t="s">
        <v>435</v>
      </c>
      <c r="D139" s="14"/>
      <c r="E139" s="13" t="s">
        <v>53</v>
      </c>
      <c r="F139" s="13" t="s">
        <v>133</v>
      </c>
      <c r="G139" s="20" t="s">
        <v>386</v>
      </c>
      <c r="H139" s="13" t="s">
        <v>28</v>
      </c>
      <c r="I139" s="13" t="s">
        <v>81</v>
      </c>
      <c r="J139" s="14"/>
      <c r="K139" s="16" t="str">
        <f t="array" ref="K139">IFERROR(VLOOKUP(B139, SORT('Nhật ký nộp hồ sơ '!B:D, 'Nhật ký nộp hồ sơ '!A:A, FALSE), 3, FALSE),"")</f>
        <v>Hoàn thành</v>
      </c>
      <c r="L139" s="16" t="str">
        <f t="shared" si="1"/>
        <v>Hoàn thành</v>
      </c>
      <c r="M139" s="13" t="s">
        <v>146</v>
      </c>
      <c r="N139" s="17">
        <f>IFERROR(__xludf.DUMMYFUNCTION("""COMPUTED_VALUE"""),45909.0)</f>
        <v>45909</v>
      </c>
      <c r="O139" s="17">
        <v>45912.0</v>
      </c>
      <c r="P139" s="17">
        <f>IFERROR(__xludf.DUMMYFUNCTION("IFERROR(QUERY('Nhật ký nộp hồ sơ '!A:I, ""SELECT I WHERE B = '""&amp;B139&amp;""' ORDER BY A DESC LIMIT 1"", 0))"),45908.0)</f>
        <v>45908</v>
      </c>
      <c r="Q139" s="17">
        <f t="shared" si="2"/>
        <v>45908</v>
      </c>
      <c r="R139" s="16">
        <v>5.0</v>
      </c>
      <c r="S139" s="13" t="s">
        <v>436</v>
      </c>
      <c r="T139" s="16"/>
      <c r="U139" s="14"/>
      <c r="V139" s="18" t="s">
        <v>34</v>
      </c>
      <c r="W139" s="16"/>
      <c r="X139" s="16"/>
    </row>
    <row r="140" ht="22.5" hidden="1" customHeight="1">
      <c r="A140" s="11">
        <v>45909.48427586806</v>
      </c>
      <c r="B140" s="12" t="s">
        <v>437</v>
      </c>
      <c r="C140" s="13" t="s">
        <v>115</v>
      </c>
      <c r="D140" s="14"/>
      <c r="E140" s="13" t="s">
        <v>88</v>
      </c>
      <c r="F140" s="13" t="s">
        <v>116</v>
      </c>
      <c r="G140" s="16"/>
      <c r="H140" s="13" t="s">
        <v>28</v>
      </c>
      <c r="I140" s="13" t="s">
        <v>81</v>
      </c>
      <c r="J140" s="14"/>
      <c r="K140" s="16" t="str">
        <f t="array" ref="K140">IFERROR(VLOOKUP(B140, SORT('Nhật ký nộp hồ sơ '!B:D, 'Nhật ký nộp hồ sơ '!A:A, FALSE), 3, FALSE),"")</f>
        <v>Hoàn thành</v>
      </c>
      <c r="L140" s="16" t="str">
        <f t="shared" si="1"/>
        <v>Hoàn thành</v>
      </c>
      <c r="M140" s="13" t="s">
        <v>82</v>
      </c>
      <c r="N140" s="17">
        <f>IFERROR(__xludf.DUMMYFUNCTION("""COMPUTED_VALUE"""),45909.0)</f>
        <v>45909</v>
      </c>
      <c r="O140" s="17">
        <v>45912.0</v>
      </c>
      <c r="P140" s="17">
        <f>IFERROR(__xludf.DUMMYFUNCTION("IFERROR(QUERY('Nhật ký nộp hồ sơ '!A:I, ""SELECT I WHERE B = '""&amp;B140&amp;""' ORDER BY A DESC LIMIT 1"", 0))"),45918.0)</f>
        <v>45918</v>
      </c>
      <c r="Q140" s="17">
        <f t="shared" si="2"/>
        <v>45918</v>
      </c>
      <c r="R140" s="16">
        <v>5.0</v>
      </c>
      <c r="S140" s="13" t="s">
        <v>117</v>
      </c>
      <c r="T140" s="16"/>
      <c r="U140" s="14"/>
      <c r="V140" s="18" t="s">
        <v>34</v>
      </c>
      <c r="W140" s="16"/>
      <c r="X140" s="16"/>
    </row>
    <row r="141" ht="22.5" hidden="1" customHeight="1">
      <c r="A141" s="11">
        <v>45909.51363987269</v>
      </c>
      <c r="B141" s="12" t="s">
        <v>438</v>
      </c>
      <c r="C141" s="13" t="s">
        <v>439</v>
      </c>
      <c r="D141" s="14"/>
      <c r="E141" s="13" t="s">
        <v>26</v>
      </c>
      <c r="F141" s="13" t="s">
        <v>440</v>
      </c>
      <c r="G141" s="16"/>
      <c r="H141" s="13" t="s">
        <v>29</v>
      </c>
      <c r="I141" s="13" t="s">
        <v>40</v>
      </c>
      <c r="J141" s="14"/>
      <c r="K141" s="16" t="str">
        <f t="array" ref="K141">IFERROR(VLOOKUP(B141, SORT('Nhật ký nộp hồ sơ '!B:D, 'Nhật ký nộp hồ sơ '!A:A, FALSE), 3, FALSE),"")</f>
        <v>Hủy</v>
      </c>
      <c r="L141" s="16" t="str">
        <f t="shared" si="1"/>
        <v>ĐÃ HỦY</v>
      </c>
      <c r="M141" s="13" t="s">
        <v>56</v>
      </c>
      <c r="N141" s="17">
        <f>IFERROR(__xludf.DUMMYFUNCTION("""COMPUTED_VALUE"""),45909.0)</f>
        <v>45909</v>
      </c>
      <c r="O141" s="17">
        <v>45912.0</v>
      </c>
      <c r="P141" s="17">
        <f>IFERROR(__xludf.DUMMYFUNCTION("IFERROR(QUERY('Nhật ký nộp hồ sơ '!A:I, ""SELECT I WHERE B = '""&amp;B141&amp;""' ORDER BY A DESC LIMIT 1"", 0))"),46031.0)</f>
        <v>46031</v>
      </c>
      <c r="Q141" s="17" t="str">
        <f t="shared" si="2"/>
        <v/>
      </c>
      <c r="R141" s="16">
        <v>2.0</v>
      </c>
      <c r="S141" s="16"/>
      <c r="T141" s="13" t="s">
        <v>441</v>
      </c>
      <c r="U141" s="14"/>
      <c r="V141" s="18" t="s">
        <v>34</v>
      </c>
      <c r="W141" s="16"/>
      <c r="X141" s="16"/>
    </row>
    <row r="142" ht="22.5" hidden="1" customHeight="1">
      <c r="A142" s="11">
        <v>45909.69955994213</v>
      </c>
      <c r="B142" s="12" t="s">
        <v>442</v>
      </c>
      <c r="C142" s="13" t="s">
        <v>443</v>
      </c>
      <c r="D142" s="14"/>
      <c r="E142" s="13" t="s">
        <v>45</v>
      </c>
      <c r="F142" s="13" t="s">
        <v>68</v>
      </c>
      <c r="G142" s="16"/>
      <c r="H142" s="13" t="s">
        <v>28</v>
      </c>
      <c r="I142" s="13" t="s">
        <v>40</v>
      </c>
      <c r="J142" s="14"/>
      <c r="K142" s="16" t="str">
        <f t="array" ref="K142">IFERROR(VLOOKUP(B142, SORT('Nhật ký nộp hồ sơ '!B:D, 'Nhật ký nộp hồ sơ '!A:A, FALSE), 3, FALSE),"")</f>
        <v>Hoàn thành</v>
      </c>
      <c r="L142" s="16" t="str">
        <f t="shared" si="1"/>
        <v>Hoàn thành</v>
      </c>
      <c r="M142" s="13" t="s">
        <v>48</v>
      </c>
      <c r="N142" s="17">
        <f>IFERROR(__xludf.DUMMYFUNCTION("""COMPUTED_VALUE"""),45909.0)</f>
        <v>45909</v>
      </c>
      <c r="O142" s="17">
        <v>45912.0</v>
      </c>
      <c r="P142" s="17">
        <f>IFERROR(__xludf.DUMMYFUNCTION("IFERROR(QUERY('Nhật ký nộp hồ sơ '!A:I, ""SELECT I WHERE B = '""&amp;B142&amp;""' ORDER BY A DESC LIMIT 1"", 0))"),45918.0)</f>
        <v>45918</v>
      </c>
      <c r="Q142" s="17">
        <f t="shared" si="2"/>
        <v>45918</v>
      </c>
      <c r="R142" s="16">
        <v>1.0</v>
      </c>
      <c r="S142" s="16"/>
      <c r="T142" s="16"/>
      <c r="U142" s="14"/>
      <c r="V142" s="18" t="s">
        <v>34</v>
      </c>
      <c r="W142" s="16"/>
      <c r="X142" s="16"/>
    </row>
    <row r="143" ht="22.5" hidden="1" customHeight="1">
      <c r="A143" s="11">
        <v>45910.358953194445</v>
      </c>
      <c r="B143" s="12" t="s">
        <v>444</v>
      </c>
      <c r="C143" s="13" t="s">
        <v>445</v>
      </c>
      <c r="D143" s="14"/>
      <c r="E143" s="13" t="s">
        <v>62</v>
      </c>
      <c r="F143" s="13" t="s">
        <v>133</v>
      </c>
      <c r="G143" s="20" t="s">
        <v>446</v>
      </c>
      <c r="H143" s="13" t="s">
        <v>47</v>
      </c>
      <c r="I143" s="13" t="s">
        <v>100</v>
      </c>
      <c r="J143" s="18" t="s">
        <v>202</v>
      </c>
      <c r="K143" s="16" t="str">
        <f t="array" ref="K143">IFERROR(VLOOKUP(B143, SORT('Nhật ký nộp hồ sơ '!B:D, 'Nhật ký nộp hồ sơ '!A:A, FALSE), 3, FALSE),"")</f>
        <v>Nộp thành công - Chờ kết quả</v>
      </c>
      <c r="L143" s="16" t="str">
        <f t="shared" si="1"/>
        <v>Đã nộp</v>
      </c>
      <c r="M143" s="13" t="s">
        <v>48</v>
      </c>
      <c r="N143" s="17">
        <f>IFERROR(__xludf.DUMMYFUNCTION("""COMPUTED_VALUE"""),45910.0)</f>
        <v>45910</v>
      </c>
      <c r="O143" s="17">
        <v>45911.0</v>
      </c>
      <c r="P143" s="17">
        <f>IFERROR(__xludf.DUMMYFUNCTION("IFERROR(QUERY('Nhật ký nộp hồ sơ '!A:I, ""SELECT I WHERE B = '""&amp;B143&amp;""' ORDER BY A DESC LIMIT 1"", 0))"),45910.0)</f>
        <v>45910</v>
      </c>
      <c r="Q143" s="17" t="str">
        <f t="shared" si="2"/>
        <v/>
      </c>
      <c r="R143" s="16">
        <v>2.0</v>
      </c>
      <c r="S143" s="16"/>
      <c r="T143" s="16"/>
      <c r="U143" s="14"/>
      <c r="V143" s="18" t="s">
        <v>34</v>
      </c>
      <c r="W143" s="16"/>
      <c r="X143" s="16"/>
    </row>
    <row r="144" ht="22.5" hidden="1" customHeight="1">
      <c r="A144" s="11">
        <v>45910.67899402778</v>
      </c>
      <c r="B144" s="12" t="s">
        <v>447</v>
      </c>
      <c r="C144" s="13" t="s">
        <v>448</v>
      </c>
      <c r="D144" s="14"/>
      <c r="E144" s="13" t="s">
        <v>45</v>
      </c>
      <c r="F144" s="13" t="s">
        <v>133</v>
      </c>
      <c r="G144" s="20" t="s">
        <v>449</v>
      </c>
      <c r="H144" s="13" t="s">
        <v>55</v>
      </c>
      <c r="I144" s="13" t="s">
        <v>40</v>
      </c>
      <c r="J144" s="14"/>
      <c r="K144" s="16" t="str">
        <f t="array" ref="K144">IFERROR(VLOOKUP(B144, SORT('Nhật ký nộp hồ sơ '!B:D, 'Nhật ký nộp hồ sơ '!A:A, FALSE), 3, FALSE),"")</f>
        <v>Hoàn thành</v>
      </c>
      <c r="L144" s="16" t="str">
        <f t="shared" si="1"/>
        <v>Hoàn thành</v>
      </c>
      <c r="M144" s="13" t="s">
        <v>56</v>
      </c>
      <c r="N144" s="17">
        <f>IFERROR(__xludf.DUMMYFUNCTION("""COMPUTED_VALUE"""),45910.0)</f>
        <v>45910</v>
      </c>
      <c r="O144" s="17">
        <v>45913.0</v>
      </c>
      <c r="P144" s="17">
        <f>IFERROR(__xludf.DUMMYFUNCTION("IFERROR(QUERY('Nhật ký nộp hồ sơ '!A:I, ""SELECT I WHERE B = '""&amp;B144&amp;""' ORDER BY A DESC LIMIT 1"", 0))"),45922.0)</f>
        <v>45922</v>
      </c>
      <c r="Q144" s="17">
        <f t="shared" si="2"/>
        <v>45922</v>
      </c>
      <c r="R144" s="16">
        <v>1.0</v>
      </c>
      <c r="S144" s="16"/>
      <c r="T144" s="16"/>
      <c r="U144" s="14"/>
      <c r="V144" s="18" t="s">
        <v>34</v>
      </c>
      <c r="W144" s="16"/>
      <c r="X144" s="16"/>
    </row>
    <row r="145" ht="22.5" hidden="1" customHeight="1">
      <c r="A145" s="11">
        <v>45910.688619016204</v>
      </c>
      <c r="B145" s="12" t="s">
        <v>450</v>
      </c>
      <c r="C145" s="13" t="s">
        <v>451</v>
      </c>
      <c r="D145" s="14"/>
      <c r="E145" s="13" t="s">
        <v>45</v>
      </c>
      <c r="F145" s="13" t="s">
        <v>133</v>
      </c>
      <c r="G145" s="20" t="s">
        <v>452</v>
      </c>
      <c r="H145" s="13" t="s">
        <v>55</v>
      </c>
      <c r="I145" s="13" t="s">
        <v>40</v>
      </c>
      <c r="J145" s="14"/>
      <c r="K145" s="16" t="str">
        <f t="array" ref="K145">IFERROR(VLOOKUP(B145, SORT('Nhật ký nộp hồ sơ '!B:D, 'Nhật ký nộp hồ sơ '!A:A, FALSE), 3, FALSE),"")</f>
        <v>Hủy</v>
      </c>
      <c r="L145" s="16" t="str">
        <f t="shared" si="1"/>
        <v>ĐÃ HỦY</v>
      </c>
      <c r="M145" s="13" t="s">
        <v>56</v>
      </c>
      <c r="N145" s="17">
        <f>IFERROR(__xludf.DUMMYFUNCTION("""COMPUTED_VALUE"""),45910.0)</f>
        <v>45910</v>
      </c>
      <c r="O145" s="17">
        <v>45913.0</v>
      </c>
      <c r="P145" s="17">
        <f>IFERROR(__xludf.DUMMYFUNCTION("IFERROR(QUERY('Nhật ký nộp hồ sơ '!A:I, ""SELECT I WHERE B = '""&amp;B145&amp;""' ORDER BY A DESC LIMIT 1"", 0))"),45951.0)</f>
        <v>45951</v>
      </c>
      <c r="Q145" s="17" t="str">
        <f t="shared" si="2"/>
        <v/>
      </c>
      <c r="R145" s="16">
        <v>2.0</v>
      </c>
      <c r="S145" s="16"/>
      <c r="T145" s="13" t="s">
        <v>453</v>
      </c>
      <c r="U145" s="14"/>
      <c r="V145" s="18" t="s">
        <v>34</v>
      </c>
      <c r="W145" s="16"/>
      <c r="X145" s="16"/>
    </row>
    <row r="146" ht="22.5" hidden="1" customHeight="1">
      <c r="A146" s="11">
        <v>45911.36760509259</v>
      </c>
      <c r="B146" s="12" t="s">
        <v>454</v>
      </c>
      <c r="C146" s="13" t="s">
        <v>455</v>
      </c>
      <c r="D146" s="14"/>
      <c r="E146" s="13" t="s">
        <v>132</v>
      </c>
      <c r="F146" s="13" t="s">
        <v>456</v>
      </c>
      <c r="G146" s="20" t="s">
        <v>457</v>
      </c>
      <c r="H146" s="13" t="s">
        <v>69</v>
      </c>
      <c r="I146" s="13" t="s">
        <v>40</v>
      </c>
      <c r="J146" s="14"/>
      <c r="K146" s="16" t="str">
        <f t="array" ref="K146">IFERROR(VLOOKUP(B146, SORT('Nhật ký nộp hồ sơ '!B:D, 'Nhật ký nộp hồ sơ '!A:A, FALSE), 3, FALSE),"")</f>
        <v>Hoàn thành</v>
      </c>
      <c r="L146" s="16" t="str">
        <f t="shared" si="1"/>
        <v>Hoàn thành</v>
      </c>
      <c r="M146" s="13" t="s">
        <v>56</v>
      </c>
      <c r="N146" s="17">
        <f>IFERROR(__xludf.DUMMYFUNCTION("""COMPUTED_VALUE"""),45911.0)</f>
        <v>45911</v>
      </c>
      <c r="O146" s="17">
        <v>45914.0</v>
      </c>
      <c r="P146" s="17">
        <f>IFERROR(__xludf.DUMMYFUNCTION("IFERROR(QUERY('Nhật ký nộp hồ sơ '!A:I, ""SELECT I WHERE B = '""&amp;B146&amp;""' ORDER BY A DESC LIMIT 1"", 0))"),45936.0)</f>
        <v>45936</v>
      </c>
      <c r="Q146" s="17">
        <f t="shared" si="2"/>
        <v>45936</v>
      </c>
      <c r="R146" s="16">
        <v>1.0</v>
      </c>
      <c r="S146" s="16"/>
      <c r="T146" s="16"/>
      <c r="U146" s="14"/>
      <c r="V146" s="18" t="s">
        <v>34</v>
      </c>
      <c r="W146" s="16"/>
      <c r="X146" s="16"/>
    </row>
    <row r="147" ht="22.5" hidden="1" customHeight="1">
      <c r="A147" s="11">
        <v>45911.37618255787</v>
      </c>
      <c r="B147" s="12" t="s">
        <v>458</v>
      </c>
      <c r="C147" s="13" t="s">
        <v>459</v>
      </c>
      <c r="D147" s="14"/>
      <c r="E147" s="13" t="s">
        <v>26</v>
      </c>
      <c r="F147" s="13" t="s">
        <v>89</v>
      </c>
      <c r="G147" s="16"/>
      <c r="H147" s="13" t="s">
        <v>69</v>
      </c>
      <c r="I147" s="13" t="s">
        <v>40</v>
      </c>
      <c r="J147" s="14"/>
      <c r="K147" s="16" t="str">
        <f t="array" ref="K147">IFERROR(VLOOKUP(B147, SORT('Nhật ký nộp hồ sơ '!B:D, 'Nhật ký nộp hồ sơ '!A:A, FALSE), 3, FALSE),"")</f>
        <v>Nộp thành công - Chờ kết quả</v>
      </c>
      <c r="L147" s="16" t="str">
        <f t="shared" si="1"/>
        <v>Đã nộp</v>
      </c>
      <c r="M147" s="13" t="s">
        <v>48</v>
      </c>
      <c r="N147" s="17">
        <f>IFERROR(__xludf.DUMMYFUNCTION("""COMPUTED_VALUE"""),45911.0)</f>
        <v>45911</v>
      </c>
      <c r="O147" s="17">
        <v>45914.0</v>
      </c>
      <c r="P147" s="17">
        <f>IFERROR(__xludf.DUMMYFUNCTION("IFERROR(QUERY('Nhật ký nộp hồ sơ '!A:I, ""SELECT I WHERE B = '""&amp;B147&amp;""' ORDER BY A DESC LIMIT 1"", 0))"),45919.0)</f>
        <v>45919</v>
      </c>
      <c r="Q147" s="17" t="str">
        <f t="shared" si="2"/>
        <v/>
      </c>
      <c r="R147" s="16">
        <v>1.0</v>
      </c>
      <c r="S147" s="16"/>
      <c r="T147" s="16"/>
      <c r="U147" s="14"/>
      <c r="V147" s="18" t="s">
        <v>34</v>
      </c>
      <c r="W147" s="16"/>
      <c r="X147" s="16"/>
    </row>
    <row r="148" ht="22.5" hidden="1" customHeight="1">
      <c r="A148" s="11">
        <v>45911.400237222224</v>
      </c>
      <c r="B148" s="12" t="s">
        <v>460</v>
      </c>
      <c r="C148" s="13" t="s">
        <v>461</v>
      </c>
      <c r="D148" s="14"/>
      <c r="E148" s="13" t="s">
        <v>53</v>
      </c>
      <c r="F148" s="13" t="s">
        <v>462</v>
      </c>
      <c r="G148" s="16"/>
      <c r="H148" s="13" t="s">
        <v>28</v>
      </c>
      <c r="I148" s="13" t="s">
        <v>81</v>
      </c>
      <c r="J148" s="14"/>
      <c r="K148" s="16" t="str">
        <f t="array" ref="K148">IFERROR(VLOOKUP(B148, SORT('Nhật ký nộp hồ sơ '!B:D, 'Nhật ký nộp hồ sơ '!A:A, FALSE), 3, FALSE),"")</f>
        <v>Hoàn thành</v>
      </c>
      <c r="L148" s="16" t="str">
        <f t="shared" si="1"/>
        <v>Hoàn thành</v>
      </c>
      <c r="M148" s="13" t="s">
        <v>56</v>
      </c>
      <c r="N148" s="17">
        <f>IFERROR(__xludf.DUMMYFUNCTION("""COMPUTED_VALUE"""),45911.0)</f>
        <v>45911</v>
      </c>
      <c r="O148" s="17">
        <v>45914.0</v>
      </c>
      <c r="P148" s="17">
        <f>IFERROR(__xludf.DUMMYFUNCTION("IFERROR(QUERY('Nhật ký nộp hồ sơ '!A:I, ""SELECT I WHERE B = '""&amp;B148&amp;""' ORDER BY A DESC LIMIT 1"", 0))"),45967.0)</f>
        <v>45967</v>
      </c>
      <c r="Q148" s="17">
        <f t="shared" si="2"/>
        <v>45967</v>
      </c>
      <c r="R148" s="16">
        <v>1.0</v>
      </c>
      <c r="S148" s="16"/>
      <c r="T148" s="16"/>
      <c r="U148" s="14"/>
      <c r="V148" s="18" t="s">
        <v>34</v>
      </c>
      <c r="W148" s="16"/>
      <c r="X148" s="16"/>
    </row>
    <row r="149" ht="22.5" hidden="1" customHeight="1">
      <c r="A149" s="11">
        <v>45911.40191056713</v>
      </c>
      <c r="B149" s="12" t="s">
        <v>463</v>
      </c>
      <c r="C149" s="13" t="s">
        <v>428</v>
      </c>
      <c r="D149" s="14"/>
      <c r="E149" s="13" t="s">
        <v>151</v>
      </c>
      <c r="F149" s="13" t="s">
        <v>133</v>
      </c>
      <c r="G149" s="20" t="s">
        <v>429</v>
      </c>
      <c r="H149" s="13" t="s">
        <v>28</v>
      </c>
      <c r="I149" s="13" t="s">
        <v>81</v>
      </c>
      <c r="J149" s="14"/>
      <c r="K149" s="16" t="str">
        <f t="array" ref="K149">IFERROR(VLOOKUP(B149, SORT('Nhật ký nộp hồ sơ '!B:D, 'Nhật ký nộp hồ sơ '!A:A, FALSE), 3, FALSE),"")</f>
        <v>Hoàn thành</v>
      </c>
      <c r="L149" s="16" t="str">
        <f t="shared" si="1"/>
        <v>Hoàn thành</v>
      </c>
      <c r="M149" s="13" t="s">
        <v>146</v>
      </c>
      <c r="N149" s="17">
        <f>IFERROR(__xludf.DUMMYFUNCTION("""COMPUTED_VALUE"""),45911.0)</f>
        <v>45911</v>
      </c>
      <c r="O149" s="17">
        <v>45914.0</v>
      </c>
      <c r="P149" s="17">
        <f>IFERROR(__xludf.DUMMYFUNCTION("IFERROR(QUERY('Nhật ký nộp hồ sơ '!A:I, ""SELECT I WHERE B = '""&amp;B149&amp;""' ORDER BY A DESC LIMIT 1"", 0))"),45911.0)</f>
        <v>45911</v>
      </c>
      <c r="Q149" s="17">
        <f t="shared" si="2"/>
        <v>45911</v>
      </c>
      <c r="R149" s="16">
        <v>1.0</v>
      </c>
      <c r="S149" s="16"/>
      <c r="T149" s="16"/>
      <c r="U149" s="14"/>
      <c r="V149" s="18" t="s">
        <v>34</v>
      </c>
      <c r="W149" s="16"/>
      <c r="X149" s="16"/>
    </row>
    <row r="150" ht="22.5" hidden="1" customHeight="1">
      <c r="A150" s="11">
        <v>45911.57744256944</v>
      </c>
      <c r="B150" s="12" t="s">
        <v>464</v>
      </c>
      <c r="C150" s="13" t="s">
        <v>465</v>
      </c>
      <c r="D150" s="14"/>
      <c r="E150" s="13" t="s">
        <v>45</v>
      </c>
      <c r="F150" s="13" t="s">
        <v>466</v>
      </c>
      <c r="G150" s="20" t="s">
        <v>467</v>
      </c>
      <c r="H150" s="13" t="s">
        <v>47</v>
      </c>
      <c r="I150" s="13" t="s">
        <v>29</v>
      </c>
      <c r="J150" s="14"/>
      <c r="K150" s="16" t="str">
        <f t="array" ref="K150">IFERROR(VLOOKUP(B150, SORT('Nhật ký nộp hồ sơ '!B:D, 'Nhật ký nộp hồ sơ '!A:A, FALSE), 3, FALSE),"")</f>
        <v>Hoàn thành</v>
      </c>
      <c r="L150" s="16" t="str">
        <f t="shared" si="1"/>
        <v>Hoàn thành</v>
      </c>
      <c r="M150" s="13" t="s">
        <v>56</v>
      </c>
      <c r="N150" s="17">
        <f>IFERROR(__xludf.DUMMYFUNCTION("""COMPUTED_VALUE"""),45911.0)</f>
        <v>45911</v>
      </c>
      <c r="O150" s="17">
        <v>45914.0</v>
      </c>
      <c r="P150" s="17">
        <f>IFERROR(__xludf.DUMMYFUNCTION("IFERROR(QUERY('Nhật ký nộp hồ sơ '!A:I, ""SELECT I WHERE B = '""&amp;B150&amp;""' ORDER BY A DESC LIMIT 1"", 0))"),45925.0)</f>
        <v>45925</v>
      </c>
      <c r="Q150" s="17">
        <f t="shared" si="2"/>
        <v>45925</v>
      </c>
      <c r="R150" s="16">
        <v>3.0</v>
      </c>
      <c r="S150" s="16"/>
      <c r="T150" s="16"/>
      <c r="U150" s="14"/>
      <c r="V150" s="18" t="s">
        <v>34</v>
      </c>
      <c r="W150" s="16"/>
      <c r="X150" s="16"/>
    </row>
    <row r="151" ht="22.5" hidden="1" customHeight="1">
      <c r="A151" s="11">
        <v>45911.5910093287</v>
      </c>
      <c r="B151" s="12" t="s">
        <v>468</v>
      </c>
      <c r="C151" s="13" t="s">
        <v>469</v>
      </c>
      <c r="D151" s="18" t="s">
        <v>44</v>
      </c>
      <c r="E151" s="13" t="s">
        <v>151</v>
      </c>
      <c r="F151" s="13" t="s">
        <v>46</v>
      </c>
      <c r="G151" s="16"/>
      <c r="H151" s="13" t="s">
        <v>29</v>
      </c>
      <c r="I151" s="13" t="s">
        <v>81</v>
      </c>
      <c r="J151" s="14"/>
      <c r="K151" s="16" t="str">
        <f t="array" ref="K151">IFERROR(VLOOKUP(B151, SORT('Nhật ký nộp hồ sơ '!B:D, 'Nhật ký nộp hồ sơ '!A:A, FALSE), 3, FALSE),"")</f>
        <v>Hoàn thành</v>
      </c>
      <c r="L151" s="16" t="str">
        <f t="shared" si="1"/>
        <v>Hoàn thành</v>
      </c>
      <c r="M151" s="13" t="s">
        <v>56</v>
      </c>
      <c r="N151" s="17">
        <f>IFERROR(__xludf.DUMMYFUNCTION("""COMPUTED_VALUE"""),45911.0)</f>
        <v>45911</v>
      </c>
      <c r="O151" s="17">
        <v>45914.0</v>
      </c>
      <c r="P151" s="17">
        <f>IFERROR(__xludf.DUMMYFUNCTION("IFERROR(QUERY('Nhật ký nộp hồ sơ '!A:I, ""SELECT I WHERE B = '""&amp;B151&amp;""' ORDER BY A DESC LIMIT 1"", 0))"),45960.0)</f>
        <v>45960</v>
      </c>
      <c r="Q151" s="17">
        <f t="shared" si="2"/>
        <v>45960</v>
      </c>
      <c r="R151" s="16">
        <v>3.0</v>
      </c>
      <c r="S151" s="16"/>
      <c r="T151" s="13" t="s">
        <v>470</v>
      </c>
      <c r="U151" s="14"/>
      <c r="V151" s="18" t="s">
        <v>34</v>
      </c>
      <c r="W151" s="16"/>
      <c r="X151" s="16"/>
    </row>
    <row r="152" ht="22.5" hidden="1" customHeight="1">
      <c r="A152" s="11">
        <v>45911.59194275463</v>
      </c>
      <c r="B152" s="12" t="s">
        <v>471</v>
      </c>
      <c r="C152" s="13" t="s">
        <v>472</v>
      </c>
      <c r="D152" s="18" t="s">
        <v>44</v>
      </c>
      <c r="E152" s="13" t="s">
        <v>151</v>
      </c>
      <c r="F152" s="13" t="s">
        <v>473</v>
      </c>
      <c r="G152" s="16"/>
      <c r="H152" s="13" t="s">
        <v>29</v>
      </c>
      <c r="I152" s="13" t="s">
        <v>47</v>
      </c>
      <c r="J152" s="14"/>
      <c r="K152" s="16" t="str">
        <f t="array" ref="K152">IFERROR(VLOOKUP(B152, SORT('Nhật ký nộp hồ sơ '!B:D, 'Nhật ký nộp hồ sơ '!A:A, FALSE), 3, FALSE),"")</f>
        <v>Nộp thành công - Chờ kết quả</v>
      </c>
      <c r="L152" s="16" t="str">
        <f t="shared" si="1"/>
        <v>Đã nộp</v>
      </c>
      <c r="M152" s="13" t="s">
        <v>56</v>
      </c>
      <c r="N152" s="17">
        <f>IFERROR(__xludf.DUMMYFUNCTION("""COMPUTED_VALUE"""),45911.0)</f>
        <v>45911</v>
      </c>
      <c r="O152" s="17">
        <v>45914.0</v>
      </c>
      <c r="P152" s="17">
        <f>IFERROR(__xludf.DUMMYFUNCTION("IFERROR(QUERY('Nhật ký nộp hồ sơ '!A:I, ""SELECT I WHERE B = '""&amp;B152&amp;""' ORDER BY A DESC LIMIT 1"", 0))"),45959.0)</f>
        <v>45959</v>
      </c>
      <c r="Q152" s="17" t="str">
        <f t="shared" si="2"/>
        <v/>
      </c>
      <c r="R152" s="16">
        <v>1.0</v>
      </c>
      <c r="S152" s="16"/>
      <c r="T152" s="16"/>
      <c r="U152" s="14"/>
      <c r="V152" s="18" t="s">
        <v>34</v>
      </c>
      <c r="W152" s="16"/>
      <c r="X152" s="16"/>
    </row>
    <row r="153" ht="22.5" hidden="1" customHeight="1">
      <c r="A153" s="11">
        <v>45911.63487142361</v>
      </c>
      <c r="B153" s="12" t="s">
        <v>474</v>
      </c>
      <c r="C153" s="13" t="s">
        <v>475</v>
      </c>
      <c r="D153" s="18" t="s">
        <v>44</v>
      </c>
      <c r="E153" s="13" t="s">
        <v>132</v>
      </c>
      <c r="F153" s="13" t="s">
        <v>46</v>
      </c>
      <c r="G153" s="16"/>
      <c r="H153" s="13" t="s">
        <v>47</v>
      </c>
      <c r="I153" s="13" t="s">
        <v>81</v>
      </c>
      <c r="J153" s="14"/>
      <c r="K153" s="16" t="str">
        <f t="array" ref="K153">IFERROR(VLOOKUP(B153, SORT('Nhật ký nộp hồ sơ '!B:D, 'Nhật ký nộp hồ sơ '!A:A, FALSE), 3, FALSE),"")</f>
        <v>Hoàn thành</v>
      </c>
      <c r="L153" s="16" t="str">
        <f t="shared" si="1"/>
        <v>Hoàn thành</v>
      </c>
      <c r="M153" s="13" t="s">
        <v>135</v>
      </c>
      <c r="N153" s="17">
        <f>IFERROR(__xludf.DUMMYFUNCTION("""COMPUTED_VALUE"""),45911.0)</f>
        <v>45911</v>
      </c>
      <c r="O153" s="17">
        <v>45914.0</v>
      </c>
      <c r="P153" s="17">
        <f>IFERROR(__xludf.DUMMYFUNCTION("IFERROR(QUERY('Nhật ký nộp hồ sơ '!A:I, ""SELECT I WHERE B = '""&amp;B153&amp;""' ORDER BY A DESC LIMIT 1"", 0))"),46041.0)</f>
        <v>46041</v>
      </c>
      <c r="Q153" s="17">
        <f t="shared" si="2"/>
        <v>46041</v>
      </c>
      <c r="R153" s="16">
        <v>1.0</v>
      </c>
      <c r="S153" s="16"/>
      <c r="T153" s="13" t="s">
        <v>406</v>
      </c>
      <c r="U153" s="14"/>
      <c r="V153" s="18" t="s">
        <v>34</v>
      </c>
      <c r="W153" s="16"/>
      <c r="X153" s="16"/>
    </row>
    <row r="154" ht="22.5" hidden="1" customHeight="1">
      <c r="A154" s="11">
        <v>45911.63550481481</v>
      </c>
      <c r="B154" s="12" t="s">
        <v>476</v>
      </c>
      <c r="C154" s="13" t="s">
        <v>475</v>
      </c>
      <c r="D154" s="18" t="s">
        <v>44</v>
      </c>
      <c r="E154" s="13" t="s">
        <v>132</v>
      </c>
      <c r="F154" s="13" t="s">
        <v>46</v>
      </c>
      <c r="G154" s="16"/>
      <c r="H154" s="13" t="s">
        <v>47</v>
      </c>
      <c r="I154" s="13" t="s">
        <v>81</v>
      </c>
      <c r="J154" s="14"/>
      <c r="K154" s="16" t="str">
        <f t="array" ref="K154">IFERROR(VLOOKUP(B154, SORT('Nhật ký nộp hồ sơ '!B:D, 'Nhật ký nộp hồ sơ '!A:A, FALSE), 3, FALSE),"")</f>
        <v>Hoàn thành</v>
      </c>
      <c r="L154" s="16" t="str">
        <f t="shared" si="1"/>
        <v>Hoàn thành</v>
      </c>
      <c r="M154" s="13" t="s">
        <v>135</v>
      </c>
      <c r="N154" s="17">
        <f>IFERROR(__xludf.DUMMYFUNCTION("""COMPUTED_VALUE"""),45911.0)</f>
        <v>45911</v>
      </c>
      <c r="O154" s="17">
        <v>45914.0</v>
      </c>
      <c r="P154" s="17">
        <f>IFERROR(__xludf.DUMMYFUNCTION("IFERROR(QUERY('Nhật ký nộp hồ sơ '!A:I, ""SELECT I WHERE B = '""&amp;B154&amp;""' ORDER BY A DESC LIMIT 1"", 0))"),46041.0)</f>
        <v>46041</v>
      </c>
      <c r="Q154" s="17">
        <f t="shared" si="2"/>
        <v>46041</v>
      </c>
      <c r="R154" s="16">
        <v>1.0</v>
      </c>
      <c r="S154" s="16"/>
      <c r="T154" s="13" t="s">
        <v>406</v>
      </c>
      <c r="U154" s="14"/>
      <c r="V154" s="18" t="s">
        <v>34</v>
      </c>
      <c r="W154" s="16"/>
      <c r="X154" s="16"/>
    </row>
    <row r="155" ht="22.5" hidden="1" customHeight="1">
      <c r="A155" s="11">
        <v>45912.43343578704</v>
      </c>
      <c r="B155" s="12" t="s">
        <v>477</v>
      </c>
      <c r="C155" s="13" t="s">
        <v>340</v>
      </c>
      <c r="D155" s="14"/>
      <c r="E155" s="13" t="s">
        <v>187</v>
      </c>
      <c r="F155" s="13" t="s">
        <v>126</v>
      </c>
      <c r="G155" s="16"/>
      <c r="H155" s="13" t="s">
        <v>29</v>
      </c>
      <c r="I155" s="13" t="s">
        <v>81</v>
      </c>
      <c r="J155" s="14"/>
      <c r="K155" s="16" t="str">
        <f t="array" ref="K155">IFERROR(VLOOKUP(B155, SORT('Nhật ký nộp hồ sơ '!B:D, 'Nhật ký nộp hồ sơ '!A:A, FALSE), 3, FALSE),"")</f>
        <v>Hoàn thành</v>
      </c>
      <c r="L155" s="16" t="str">
        <f t="shared" si="1"/>
        <v>Hoàn thành</v>
      </c>
      <c r="M155" s="13" t="s">
        <v>56</v>
      </c>
      <c r="N155" s="17">
        <f>IFERROR(__xludf.DUMMYFUNCTION("""COMPUTED_VALUE"""),45912.0)</f>
        <v>45912</v>
      </c>
      <c r="O155" s="17">
        <v>45915.0</v>
      </c>
      <c r="P155" s="17">
        <f>IFERROR(__xludf.DUMMYFUNCTION("IFERROR(QUERY('Nhật ký nộp hồ sơ '!A:I, ""SELECT I WHERE B = '""&amp;B155&amp;""' ORDER BY A DESC LIMIT 1"", 0))"),45917.0)</f>
        <v>45917</v>
      </c>
      <c r="Q155" s="17">
        <f t="shared" si="2"/>
        <v>45917</v>
      </c>
      <c r="R155" s="16">
        <v>1.0</v>
      </c>
      <c r="S155" s="16"/>
      <c r="T155" s="16"/>
      <c r="U155" s="14"/>
      <c r="V155" s="18" t="s">
        <v>34</v>
      </c>
      <c r="W155" s="16"/>
      <c r="X155" s="16"/>
    </row>
    <row r="156" ht="22.5" hidden="1" customHeight="1">
      <c r="A156" s="11">
        <v>45912.496807442134</v>
      </c>
      <c r="B156" s="12" t="s">
        <v>478</v>
      </c>
      <c r="C156" s="13" t="s">
        <v>472</v>
      </c>
      <c r="D156" s="18"/>
      <c r="E156" s="13" t="s">
        <v>151</v>
      </c>
      <c r="F156" s="13" t="s">
        <v>473</v>
      </c>
      <c r="G156" s="16"/>
      <c r="H156" s="13" t="s">
        <v>28</v>
      </c>
      <c r="I156" s="13" t="s">
        <v>81</v>
      </c>
      <c r="J156" s="14"/>
      <c r="K156" s="16" t="str">
        <f t="array" ref="K156">IFERROR(VLOOKUP(B156, SORT('Nhật ký nộp hồ sơ '!B:D, 'Nhật ký nộp hồ sơ '!A:A, FALSE), 3, FALSE),"")</f>
        <v>Hoàn thành</v>
      </c>
      <c r="L156" s="16" t="str">
        <f t="shared" si="1"/>
        <v>Hoàn thành</v>
      </c>
      <c r="M156" s="13" t="s">
        <v>146</v>
      </c>
      <c r="N156" s="17">
        <f>IFERROR(__xludf.DUMMYFUNCTION("""COMPUTED_VALUE"""),45912.0)</f>
        <v>45912</v>
      </c>
      <c r="O156" s="17">
        <v>45915.0</v>
      </c>
      <c r="P156" s="17">
        <f>IFERROR(__xludf.DUMMYFUNCTION("IFERROR(QUERY('Nhật ký nộp hồ sơ '!A:I, ""SELECT I WHERE B = '""&amp;B156&amp;""' ORDER BY A DESC LIMIT 1"", 0))"),45912.0)</f>
        <v>45912</v>
      </c>
      <c r="Q156" s="17">
        <f t="shared" si="2"/>
        <v>45912</v>
      </c>
      <c r="R156" s="16">
        <v>1.0</v>
      </c>
      <c r="S156" s="16"/>
      <c r="T156" s="16"/>
      <c r="U156" s="14"/>
      <c r="V156" s="18" t="s">
        <v>34</v>
      </c>
      <c r="W156" s="16"/>
      <c r="X156" s="16"/>
    </row>
    <row r="157" ht="22.5" hidden="1" customHeight="1">
      <c r="A157" s="11">
        <v>45912.503742245375</v>
      </c>
      <c r="B157" s="12" t="s">
        <v>479</v>
      </c>
      <c r="C157" s="13" t="s">
        <v>480</v>
      </c>
      <c r="D157" s="14"/>
      <c r="E157" s="13" t="s">
        <v>53</v>
      </c>
      <c r="F157" s="13" t="s">
        <v>481</v>
      </c>
      <c r="G157" s="16"/>
      <c r="H157" s="13" t="s">
        <v>28</v>
      </c>
      <c r="I157" s="13" t="s">
        <v>81</v>
      </c>
      <c r="J157" s="14"/>
      <c r="K157" s="16" t="str">
        <f t="array" ref="K157">IFERROR(VLOOKUP(B157, SORT('Nhật ký nộp hồ sơ '!B:D, 'Nhật ký nộp hồ sơ '!A:A, FALSE), 3, FALSE),"")</f>
        <v>Nộp thành công - Chờ kết quả</v>
      </c>
      <c r="L157" s="16" t="str">
        <f t="shared" si="1"/>
        <v>Đã nộp</v>
      </c>
      <c r="M157" s="13" t="s">
        <v>56</v>
      </c>
      <c r="N157" s="17">
        <f>IFERROR(__xludf.DUMMYFUNCTION("""COMPUTED_VALUE"""),45912.0)</f>
        <v>45912</v>
      </c>
      <c r="O157" s="17">
        <v>45915.0</v>
      </c>
      <c r="P157" s="17">
        <f>IFERROR(__xludf.DUMMYFUNCTION("IFERROR(QUERY('Nhật ký nộp hồ sơ '!A:I, ""SELECT I WHERE B = '""&amp;B157&amp;""' ORDER BY A DESC LIMIT 1"", 0))"),45925.0)</f>
        <v>45925</v>
      </c>
      <c r="Q157" s="17" t="str">
        <f t="shared" si="2"/>
        <v/>
      </c>
      <c r="R157" s="16">
        <v>4.0</v>
      </c>
      <c r="S157" s="16"/>
      <c r="T157" s="16"/>
      <c r="U157" s="14"/>
      <c r="V157" s="18" t="s">
        <v>34</v>
      </c>
      <c r="W157" s="16"/>
      <c r="X157" s="16"/>
    </row>
    <row r="158" ht="22.5" hidden="1" customHeight="1">
      <c r="A158" s="11">
        <v>45912.50452086805</v>
      </c>
      <c r="B158" s="12" t="s">
        <v>482</v>
      </c>
      <c r="C158" s="13" t="s">
        <v>480</v>
      </c>
      <c r="D158" s="14"/>
      <c r="E158" s="13" t="s">
        <v>53</v>
      </c>
      <c r="F158" s="13" t="s">
        <v>481</v>
      </c>
      <c r="G158" s="16"/>
      <c r="H158" s="13" t="s">
        <v>28</v>
      </c>
      <c r="I158" s="13" t="s">
        <v>81</v>
      </c>
      <c r="J158" s="14"/>
      <c r="K158" s="16" t="str">
        <f t="array" ref="K158">IFERROR(VLOOKUP(B158, SORT('Nhật ký nộp hồ sơ '!B:D, 'Nhật ký nộp hồ sơ '!A:A, FALSE), 3, FALSE),"")</f>
        <v>Hoàn thành</v>
      </c>
      <c r="L158" s="16" t="str">
        <f t="shared" si="1"/>
        <v>Hoàn thành</v>
      </c>
      <c r="M158" s="13" t="s">
        <v>146</v>
      </c>
      <c r="N158" s="17">
        <f>IFERROR(__xludf.DUMMYFUNCTION("""COMPUTED_VALUE"""),45912.0)</f>
        <v>45912</v>
      </c>
      <c r="O158" s="17">
        <v>45915.0</v>
      </c>
      <c r="P158" s="17">
        <f>IFERROR(__xludf.DUMMYFUNCTION("IFERROR(QUERY('Nhật ký nộp hồ sơ '!A:I, ""SELECT I WHERE B = '""&amp;B158&amp;""' ORDER BY A DESC LIMIT 1"", 0))"),45912.0)</f>
        <v>45912</v>
      </c>
      <c r="Q158" s="17">
        <f t="shared" si="2"/>
        <v>45912</v>
      </c>
      <c r="R158" s="16">
        <v>3.0</v>
      </c>
      <c r="S158" s="16"/>
      <c r="T158" s="16"/>
      <c r="U158" s="14"/>
      <c r="V158" s="18" t="s">
        <v>34</v>
      </c>
      <c r="W158" s="16"/>
      <c r="X158" s="16"/>
    </row>
    <row r="159" ht="22.5" hidden="1" customHeight="1">
      <c r="A159" s="11">
        <v>45912.504974062496</v>
      </c>
      <c r="B159" s="12" t="s">
        <v>483</v>
      </c>
      <c r="C159" s="13" t="s">
        <v>480</v>
      </c>
      <c r="D159" s="14"/>
      <c r="E159" s="13" t="s">
        <v>53</v>
      </c>
      <c r="F159" s="13" t="s">
        <v>481</v>
      </c>
      <c r="G159" s="16"/>
      <c r="H159" s="13" t="s">
        <v>28</v>
      </c>
      <c r="I159" s="13" t="s">
        <v>81</v>
      </c>
      <c r="J159" s="14"/>
      <c r="K159" s="16" t="str">
        <f t="array" ref="K159">IFERROR(VLOOKUP(B159, SORT('Nhật ký nộp hồ sơ '!B:D, 'Nhật ký nộp hồ sơ '!A:A, FALSE), 3, FALSE),"")</f>
        <v>Nộp thành công - Chờ kết quả</v>
      </c>
      <c r="L159" s="16" t="str">
        <f t="shared" si="1"/>
        <v>Đã nộp</v>
      </c>
      <c r="M159" s="13" t="s">
        <v>56</v>
      </c>
      <c r="N159" s="17">
        <f>IFERROR(__xludf.DUMMYFUNCTION("""COMPUTED_VALUE"""),45912.0)</f>
        <v>45912</v>
      </c>
      <c r="O159" s="17">
        <v>45915.0</v>
      </c>
      <c r="P159" s="17">
        <f>IFERROR(__xludf.DUMMYFUNCTION("IFERROR(QUERY('Nhật ký nộp hồ sơ '!A:I, ""SELECT I WHERE B = '""&amp;B159&amp;""' ORDER BY A DESC LIMIT 1"", 0))"),45925.0)</f>
        <v>45925</v>
      </c>
      <c r="Q159" s="17" t="str">
        <f t="shared" si="2"/>
        <v/>
      </c>
      <c r="R159" s="16">
        <v>3.0</v>
      </c>
      <c r="S159" s="16"/>
      <c r="T159" s="16"/>
      <c r="U159" s="14"/>
      <c r="V159" s="18" t="s">
        <v>34</v>
      </c>
      <c r="W159" s="16"/>
      <c r="X159" s="16"/>
    </row>
    <row r="160" ht="22.5" hidden="1" customHeight="1">
      <c r="A160" s="11">
        <v>45912.50545920139</v>
      </c>
      <c r="B160" s="12" t="s">
        <v>484</v>
      </c>
      <c r="C160" s="13" t="s">
        <v>480</v>
      </c>
      <c r="D160" s="14"/>
      <c r="E160" s="13" t="s">
        <v>53</v>
      </c>
      <c r="F160" s="13" t="s">
        <v>481</v>
      </c>
      <c r="G160" s="16"/>
      <c r="H160" s="13" t="s">
        <v>28</v>
      </c>
      <c r="I160" s="13" t="s">
        <v>81</v>
      </c>
      <c r="J160" s="14"/>
      <c r="K160" s="16" t="str">
        <f t="array" ref="K160">IFERROR(VLOOKUP(B160, SORT('Nhật ký nộp hồ sơ '!B:D, 'Nhật ký nộp hồ sơ '!A:A, FALSE), 3, FALSE),"")</f>
        <v>Hoàn thành</v>
      </c>
      <c r="L160" s="16" t="str">
        <f t="shared" si="1"/>
        <v>Hoàn thành</v>
      </c>
      <c r="M160" s="13" t="s">
        <v>146</v>
      </c>
      <c r="N160" s="17">
        <f>IFERROR(__xludf.DUMMYFUNCTION("""COMPUTED_VALUE"""),45912.0)</f>
        <v>45912</v>
      </c>
      <c r="O160" s="17">
        <v>45915.0</v>
      </c>
      <c r="P160" s="17">
        <f>IFERROR(__xludf.DUMMYFUNCTION("IFERROR(QUERY('Nhật ký nộp hồ sơ '!A:I, ""SELECT I WHERE B = '""&amp;B160&amp;""' ORDER BY A DESC LIMIT 1"", 0))"),45912.0)</f>
        <v>45912</v>
      </c>
      <c r="Q160" s="17">
        <f t="shared" si="2"/>
        <v>45912</v>
      </c>
      <c r="R160" s="16">
        <v>5.0</v>
      </c>
      <c r="S160" s="16"/>
      <c r="T160" s="16"/>
      <c r="U160" s="14"/>
      <c r="V160" s="18" t="s">
        <v>34</v>
      </c>
      <c r="W160" s="16"/>
      <c r="X160" s="16"/>
    </row>
    <row r="161" ht="22.5" hidden="1" customHeight="1">
      <c r="A161" s="11">
        <v>45912.586327233796</v>
      </c>
      <c r="B161" s="12" t="s">
        <v>485</v>
      </c>
      <c r="C161" s="13" t="s">
        <v>486</v>
      </c>
      <c r="D161" s="14"/>
      <c r="E161" s="13" t="s">
        <v>45</v>
      </c>
      <c r="F161" s="13" t="s">
        <v>116</v>
      </c>
      <c r="G161" s="16"/>
      <c r="H161" s="13" t="s">
        <v>55</v>
      </c>
      <c r="I161" s="13" t="s">
        <v>40</v>
      </c>
      <c r="J161" s="14"/>
      <c r="K161" s="16" t="str">
        <f t="array" ref="K161">IFERROR(VLOOKUP(B161, SORT('Nhật ký nộp hồ sơ '!B:D, 'Nhật ký nộp hồ sơ '!A:A, FALSE), 3, FALSE),"")</f>
        <v>Hủy</v>
      </c>
      <c r="L161" s="16" t="str">
        <f t="shared" si="1"/>
        <v>ĐÃ HỦY</v>
      </c>
      <c r="M161" s="13" t="s">
        <v>56</v>
      </c>
      <c r="N161" s="17">
        <f>IFERROR(__xludf.DUMMYFUNCTION("""COMPUTED_VALUE"""),45912.0)</f>
        <v>45912</v>
      </c>
      <c r="O161" s="17">
        <v>45915.0</v>
      </c>
      <c r="P161" s="17">
        <f>IFERROR(__xludf.DUMMYFUNCTION("IFERROR(QUERY('Nhật ký nộp hồ sơ '!A:I, ""SELECT I WHERE B = '""&amp;B161&amp;""' ORDER BY A DESC LIMIT 1"", 0))"),46038.0)</f>
        <v>46038</v>
      </c>
      <c r="Q161" s="17" t="str">
        <f t="shared" si="2"/>
        <v/>
      </c>
      <c r="R161" s="16">
        <v>3.0</v>
      </c>
      <c r="S161" s="16"/>
      <c r="T161" s="13" t="s">
        <v>487</v>
      </c>
      <c r="U161" s="14"/>
      <c r="V161" s="18" t="s">
        <v>34</v>
      </c>
      <c r="W161" s="16"/>
      <c r="X161" s="16"/>
    </row>
    <row r="162" ht="22.5" hidden="1" customHeight="1">
      <c r="A162" s="11">
        <v>45915.63123543981</v>
      </c>
      <c r="B162" s="12" t="s">
        <v>488</v>
      </c>
      <c r="C162" s="13" t="s">
        <v>489</v>
      </c>
      <c r="D162" s="14"/>
      <c r="E162" s="13" t="s">
        <v>74</v>
      </c>
      <c r="F162" s="13" t="s">
        <v>133</v>
      </c>
      <c r="G162" s="20" t="s">
        <v>490</v>
      </c>
      <c r="H162" s="13" t="s">
        <v>28</v>
      </c>
      <c r="I162" s="13" t="s">
        <v>81</v>
      </c>
      <c r="J162" s="14"/>
      <c r="K162" s="16" t="str">
        <f t="array" ref="K162">IFERROR(VLOOKUP(B162, SORT('Nhật ký nộp hồ sơ '!B:D, 'Nhật ký nộp hồ sơ '!A:A, FALSE), 3, FALSE),"")</f>
        <v>Hoàn thành</v>
      </c>
      <c r="L162" s="16" t="str">
        <f t="shared" si="1"/>
        <v>Hoàn thành</v>
      </c>
      <c r="M162" s="13" t="s">
        <v>216</v>
      </c>
      <c r="N162" s="17">
        <f>IFERROR(__xludf.DUMMYFUNCTION("""COMPUTED_VALUE"""),45915.0)</f>
        <v>45915</v>
      </c>
      <c r="O162" s="17">
        <v>45918.0</v>
      </c>
      <c r="P162" s="17">
        <f>IFERROR(__xludf.DUMMYFUNCTION("IFERROR(QUERY('Nhật ký nộp hồ sơ '!A:I, ""SELECT I WHERE B = '""&amp;B162&amp;""' ORDER BY A DESC LIMIT 1"", 0))"),45913.0)</f>
        <v>45913</v>
      </c>
      <c r="Q162" s="17">
        <f t="shared" si="2"/>
        <v>45913</v>
      </c>
      <c r="R162" s="16">
        <v>3.0</v>
      </c>
      <c r="S162" s="16"/>
      <c r="T162" s="16"/>
      <c r="U162" s="14"/>
      <c r="V162" s="18" t="s">
        <v>34</v>
      </c>
      <c r="W162" s="16"/>
      <c r="X162" s="16"/>
    </row>
    <row r="163" ht="22.5" hidden="1" customHeight="1">
      <c r="A163" s="11">
        <v>45915.6716368287</v>
      </c>
      <c r="B163" s="12" t="s">
        <v>491</v>
      </c>
      <c r="C163" s="13" t="s">
        <v>492</v>
      </c>
      <c r="D163" s="14"/>
      <c r="E163" s="13" t="s">
        <v>62</v>
      </c>
      <c r="F163" s="13" t="s">
        <v>133</v>
      </c>
      <c r="G163" s="20" t="s">
        <v>493</v>
      </c>
      <c r="H163" s="13" t="s">
        <v>69</v>
      </c>
      <c r="I163" s="13" t="s">
        <v>40</v>
      </c>
      <c r="J163" s="14"/>
      <c r="K163" s="16" t="str">
        <f t="array" ref="K163">IFERROR(VLOOKUP(B163, SORT('Nhật ký nộp hồ sơ '!B:D, 'Nhật ký nộp hồ sơ '!A:A, FALSE), 3, FALSE),"")</f>
        <v>Hủy</v>
      </c>
      <c r="L163" s="16" t="str">
        <f t="shared" si="1"/>
        <v>ĐÃ HỦY</v>
      </c>
      <c r="M163" s="13" t="s">
        <v>56</v>
      </c>
      <c r="N163" s="17">
        <f>IFERROR(__xludf.DUMMYFUNCTION("""COMPUTED_VALUE"""),45915.0)</f>
        <v>45915</v>
      </c>
      <c r="O163" s="17">
        <v>45918.0</v>
      </c>
      <c r="P163" s="17">
        <f>IFERROR(__xludf.DUMMYFUNCTION("IFERROR(QUERY('Nhật ký nộp hồ sơ '!A:I, ""SELECT I WHERE B = '""&amp;B163&amp;""' ORDER BY A DESC LIMIT 1"", 0))"),46038.0)</f>
        <v>46038</v>
      </c>
      <c r="Q163" s="17" t="str">
        <f t="shared" si="2"/>
        <v/>
      </c>
      <c r="R163" s="16">
        <v>3.0</v>
      </c>
      <c r="S163" s="16"/>
      <c r="T163" s="13" t="s">
        <v>494</v>
      </c>
      <c r="U163" s="14"/>
      <c r="V163" s="18" t="s">
        <v>34</v>
      </c>
      <c r="W163" s="16"/>
      <c r="X163" s="16"/>
    </row>
    <row r="164" ht="22.5" hidden="1" customHeight="1">
      <c r="A164" s="11">
        <v>45916.43205934028</v>
      </c>
      <c r="B164" s="12" t="s">
        <v>495</v>
      </c>
      <c r="C164" s="13" t="s">
        <v>399</v>
      </c>
      <c r="D164" s="18" t="s">
        <v>44</v>
      </c>
      <c r="E164" s="13" t="s">
        <v>151</v>
      </c>
      <c r="F164" s="13" t="s">
        <v>232</v>
      </c>
      <c r="G164" s="13">
        <v>9.17468888E8</v>
      </c>
      <c r="H164" s="13" t="s">
        <v>47</v>
      </c>
      <c r="I164" s="13" t="s">
        <v>29</v>
      </c>
      <c r="J164" s="14"/>
      <c r="K164" s="16" t="str">
        <f t="array" ref="K164">IFERROR(VLOOKUP(B164, SORT('Nhật ký nộp hồ sơ '!B:D, 'Nhật ký nộp hồ sơ '!A:A, FALSE), 3, FALSE),"")</f>
        <v>Hoàn thành</v>
      </c>
      <c r="L164" s="16" t="str">
        <f t="shared" si="1"/>
        <v>Hoàn thành</v>
      </c>
      <c r="M164" s="13" t="s">
        <v>56</v>
      </c>
      <c r="N164" s="17">
        <f>IFERROR(__xludf.DUMMYFUNCTION("""COMPUTED_VALUE"""),45916.0)</f>
        <v>45916</v>
      </c>
      <c r="O164" s="17">
        <v>45919.0</v>
      </c>
      <c r="P164" s="17">
        <f>IFERROR(__xludf.DUMMYFUNCTION("IFERROR(QUERY('Nhật ký nộp hồ sơ '!A:I, ""SELECT I WHERE B = '""&amp;B164&amp;""' ORDER BY A DESC LIMIT 1"", 0))"),45953.0)</f>
        <v>45953</v>
      </c>
      <c r="Q164" s="17">
        <f t="shared" si="2"/>
        <v>45953</v>
      </c>
      <c r="R164" s="16">
        <v>1.0</v>
      </c>
      <c r="S164" s="16"/>
      <c r="T164" s="13" t="s">
        <v>496</v>
      </c>
      <c r="U164" s="14"/>
      <c r="V164" s="18" t="s">
        <v>34</v>
      </c>
      <c r="W164" s="16"/>
      <c r="X164" s="16"/>
    </row>
    <row r="165" ht="22.5" hidden="1" customHeight="1">
      <c r="A165" s="11">
        <v>45916.433311053246</v>
      </c>
      <c r="B165" s="12" t="s">
        <v>497</v>
      </c>
      <c r="C165" s="13" t="s">
        <v>399</v>
      </c>
      <c r="D165" s="18" t="s">
        <v>44</v>
      </c>
      <c r="E165" s="13" t="s">
        <v>151</v>
      </c>
      <c r="F165" s="13" t="s">
        <v>232</v>
      </c>
      <c r="G165" s="13">
        <v>9.17468888E8</v>
      </c>
      <c r="H165" s="13" t="s">
        <v>47</v>
      </c>
      <c r="I165" s="13" t="s">
        <v>29</v>
      </c>
      <c r="J165" s="14"/>
      <c r="K165" s="16" t="str">
        <f t="array" ref="K165">IFERROR(VLOOKUP(B165, SORT('Nhật ký nộp hồ sơ '!B:D, 'Nhật ký nộp hồ sơ '!A:A, FALSE), 3, FALSE),"")</f>
        <v>Hoàn thành</v>
      </c>
      <c r="L165" s="16" t="str">
        <f t="shared" si="1"/>
        <v>Hoàn thành</v>
      </c>
      <c r="M165" s="13" t="s">
        <v>56</v>
      </c>
      <c r="N165" s="17">
        <f>IFERROR(__xludf.DUMMYFUNCTION("""COMPUTED_VALUE"""),45916.0)</f>
        <v>45916</v>
      </c>
      <c r="O165" s="17">
        <v>45919.0</v>
      </c>
      <c r="P165" s="17">
        <f>IFERROR(__xludf.DUMMYFUNCTION("IFERROR(QUERY('Nhật ký nộp hồ sơ '!A:I, ""SELECT I WHERE B = '""&amp;B165&amp;""' ORDER BY A DESC LIMIT 1"", 0))"),45953.0)</f>
        <v>45953</v>
      </c>
      <c r="Q165" s="17">
        <f t="shared" si="2"/>
        <v>45953</v>
      </c>
      <c r="R165" s="16">
        <v>3.0</v>
      </c>
      <c r="S165" s="16"/>
      <c r="T165" s="13" t="s">
        <v>496</v>
      </c>
      <c r="U165" s="14"/>
      <c r="V165" s="18" t="s">
        <v>34</v>
      </c>
      <c r="W165" s="16"/>
      <c r="X165" s="16"/>
    </row>
    <row r="166" ht="22.5" hidden="1" customHeight="1">
      <c r="A166" s="11">
        <v>45916.443092511574</v>
      </c>
      <c r="B166" s="12" t="s">
        <v>498</v>
      </c>
      <c r="C166" s="13" t="s">
        <v>499</v>
      </c>
      <c r="D166" s="14"/>
      <c r="E166" s="13" t="s">
        <v>74</v>
      </c>
      <c r="F166" s="13" t="s">
        <v>89</v>
      </c>
      <c r="G166" s="16"/>
      <c r="H166" s="13" t="s">
        <v>28</v>
      </c>
      <c r="I166" s="13" t="s">
        <v>81</v>
      </c>
      <c r="J166" s="14"/>
      <c r="K166" s="16" t="str">
        <f t="array" ref="K166">IFERROR(VLOOKUP(B166, SORT('Nhật ký nộp hồ sơ '!B:D, 'Nhật ký nộp hồ sơ '!A:A, FALSE), 3, FALSE),"")</f>
        <v>Hoàn thành</v>
      </c>
      <c r="L166" s="16" t="str">
        <f t="shared" si="1"/>
        <v>Hoàn thành</v>
      </c>
      <c r="M166" s="13" t="s">
        <v>146</v>
      </c>
      <c r="N166" s="17">
        <f>IFERROR(__xludf.DUMMYFUNCTION("""COMPUTED_VALUE"""),45916.0)</f>
        <v>45916</v>
      </c>
      <c r="O166" s="17">
        <v>45919.0</v>
      </c>
      <c r="P166" s="17">
        <f>IFERROR(__xludf.DUMMYFUNCTION("IFERROR(QUERY('Nhật ký nộp hồ sơ '!A:I, ""SELECT I WHERE B = '""&amp;B166&amp;""' ORDER BY A DESC LIMIT 1"", 0))"),45916.0)</f>
        <v>45916</v>
      </c>
      <c r="Q166" s="17">
        <f t="shared" si="2"/>
        <v>45916</v>
      </c>
      <c r="R166" s="16">
        <v>1.0</v>
      </c>
      <c r="S166" s="16"/>
      <c r="T166" s="16"/>
      <c r="U166" s="14"/>
      <c r="V166" s="18" t="s">
        <v>34</v>
      </c>
      <c r="W166" s="16"/>
      <c r="X166" s="16"/>
    </row>
    <row r="167" ht="22.5" hidden="1" customHeight="1">
      <c r="A167" s="11">
        <v>45916.62075818287</v>
      </c>
      <c r="B167" s="12" t="s">
        <v>500</v>
      </c>
      <c r="C167" s="13" t="s">
        <v>501</v>
      </c>
      <c r="D167" s="14"/>
      <c r="E167" s="13" t="s">
        <v>53</v>
      </c>
      <c r="F167" s="13" t="s">
        <v>191</v>
      </c>
      <c r="G167" s="16"/>
      <c r="H167" s="13" t="s">
        <v>28</v>
      </c>
      <c r="I167" s="13" t="s">
        <v>81</v>
      </c>
      <c r="J167" s="14"/>
      <c r="K167" s="16" t="str">
        <f t="array" ref="K167">IFERROR(VLOOKUP(B167, SORT('Nhật ký nộp hồ sơ '!B:D, 'Nhật ký nộp hồ sơ '!A:A, FALSE), 3, FALSE),"")</f>
        <v>Nộp thành công - Chờ kết quả</v>
      </c>
      <c r="L167" s="16" t="str">
        <f t="shared" si="1"/>
        <v>Đã nộp</v>
      </c>
      <c r="M167" s="13" t="s">
        <v>56</v>
      </c>
      <c r="N167" s="17">
        <f>IFERROR(__xludf.DUMMYFUNCTION("""COMPUTED_VALUE"""),45916.0)</f>
        <v>45916</v>
      </c>
      <c r="O167" s="17">
        <v>45919.0</v>
      </c>
      <c r="P167" s="17">
        <f>IFERROR(__xludf.DUMMYFUNCTION("IFERROR(QUERY('Nhật ký nộp hồ sơ '!A:I, ""SELECT I WHERE B = '""&amp;B167&amp;""' ORDER BY A DESC LIMIT 1"", 0))"),45918.0)</f>
        <v>45918</v>
      </c>
      <c r="Q167" s="17" t="str">
        <f t="shared" si="2"/>
        <v/>
      </c>
      <c r="R167" s="16">
        <v>2.0</v>
      </c>
      <c r="S167" s="16"/>
      <c r="T167" s="16"/>
      <c r="U167" s="14"/>
      <c r="V167" s="18" t="s">
        <v>34</v>
      </c>
      <c r="W167" s="16"/>
      <c r="X167" s="16"/>
    </row>
    <row r="168" ht="22.5" hidden="1" customHeight="1">
      <c r="A168" s="11">
        <v>45916.67345166666</v>
      </c>
      <c r="B168" s="12" t="s">
        <v>502</v>
      </c>
      <c r="C168" s="13" t="s">
        <v>469</v>
      </c>
      <c r="D168" s="14"/>
      <c r="E168" s="13" t="s">
        <v>151</v>
      </c>
      <c r="F168" s="13" t="s">
        <v>46</v>
      </c>
      <c r="G168" s="16"/>
      <c r="H168" s="13" t="s">
        <v>29</v>
      </c>
      <c r="I168" s="13" t="s">
        <v>47</v>
      </c>
      <c r="J168" s="14"/>
      <c r="K168" s="16" t="str">
        <f t="array" ref="K168">IFERROR(VLOOKUP(B168, SORT('Nhật ký nộp hồ sơ '!B:D, 'Nhật ký nộp hồ sơ '!A:A, FALSE), 3, FALSE),"")</f>
        <v>Hoàn thành</v>
      </c>
      <c r="L168" s="16" t="str">
        <f t="shared" si="1"/>
        <v>Hoàn thành</v>
      </c>
      <c r="M168" s="13" t="s">
        <v>216</v>
      </c>
      <c r="N168" s="17">
        <f>IFERROR(__xludf.DUMMYFUNCTION("""COMPUTED_VALUE"""),45916.0)</f>
        <v>45916</v>
      </c>
      <c r="O168" s="17">
        <v>45919.0</v>
      </c>
      <c r="P168" s="17">
        <f>IFERROR(__xludf.DUMMYFUNCTION("IFERROR(QUERY('Nhật ký nộp hồ sơ '!A:I, ""SELECT I WHERE B = '""&amp;B168&amp;""' ORDER BY A DESC LIMIT 1"", 0))"),45915.0)</f>
        <v>45915</v>
      </c>
      <c r="Q168" s="17">
        <f t="shared" si="2"/>
        <v>45915</v>
      </c>
      <c r="R168" s="16">
        <v>1.0</v>
      </c>
      <c r="S168" s="16"/>
      <c r="T168" s="16"/>
      <c r="U168" s="14"/>
      <c r="V168" s="18" t="s">
        <v>34</v>
      </c>
      <c r="W168" s="16"/>
      <c r="X168" s="16"/>
    </row>
    <row r="169" ht="22.5" hidden="1" customHeight="1">
      <c r="A169" s="11">
        <v>45917.63165318287</v>
      </c>
      <c r="B169" s="12" t="s">
        <v>503</v>
      </c>
      <c r="C169" s="13" t="s">
        <v>501</v>
      </c>
      <c r="D169" s="14"/>
      <c r="E169" s="13" t="s">
        <v>53</v>
      </c>
      <c r="F169" s="13" t="s">
        <v>191</v>
      </c>
      <c r="G169" s="16"/>
      <c r="H169" s="13" t="s">
        <v>28</v>
      </c>
      <c r="I169" s="13" t="s">
        <v>81</v>
      </c>
      <c r="J169" s="14"/>
      <c r="K169" s="16" t="str">
        <f t="array" ref="K169">IFERROR(VLOOKUP(B169, SORT('Nhật ký nộp hồ sơ '!B:D, 'Nhật ký nộp hồ sơ '!A:A, FALSE), 3, FALSE),"")</f>
        <v>Hoàn thành</v>
      </c>
      <c r="L169" s="16" t="str">
        <f t="shared" si="1"/>
        <v>Hoàn thành</v>
      </c>
      <c r="M169" s="13" t="s">
        <v>146</v>
      </c>
      <c r="N169" s="17">
        <f>IFERROR(__xludf.DUMMYFUNCTION("""COMPUTED_VALUE"""),45917.0)</f>
        <v>45917</v>
      </c>
      <c r="O169" s="17">
        <v>45920.0</v>
      </c>
      <c r="P169" s="17">
        <f>IFERROR(__xludf.DUMMYFUNCTION("IFERROR(QUERY('Nhật ký nộp hồ sơ '!A:I, ""SELECT I WHERE B = '""&amp;B169&amp;""' ORDER BY A DESC LIMIT 1"", 0))"),45917.0)</f>
        <v>45917</v>
      </c>
      <c r="Q169" s="17">
        <f t="shared" si="2"/>
        <v>45917</v>
      </c>
      <c r="R169" s="16">
        <v>1.0</v>
      </c>
      <c r="S169" s="16"/>
      <c r="T169" s="16"/>
      <c r="U169" s="14"/>
      <c r="V169" s="18" t="s">
        <v>34</v>
      </c>
      <c r="W169" s="16"/>
      <c r="X169" s="16"/>
    </row>
    <row r="170" ht="22.5" hidden="1" customHeight="1">
      <c r="A170" s="11">
        <v>45918.41581037037</v>
      </c>
      <c r="B170" s="12" t="s">
        <v>504</v>
      </c>
      <c r="C170" s="13" t="s">
        <v>204</v>
      </c>
      <c r="D170" s="14"/>
      <c r="E170" s="13" t="s">
        <v>122</v>
      </c>
      <c r="F170" s="13" t="s">
        <v>205</v>
      </c>
      <c r="G170" s="16"/>
      <c r="H170" s="13" t="s">
        <v>28</v>
      </c>
      <c r="I170" s="13" t="s">
        <v>29</v>
      </c>
      <c r="J170" s="14"/>
      <c r="K170" s="16" t="str">
        <f t="array" ref="K170">IFERROR(VLOOKUP(B170, SORT('Nhật ký nộp hồ sơ '!B:D, 'Nhật ký nộp hồ sơ '!A:A, FALSE), 3, FALSE),"")</f>
        <v>Hoàn thành</v>
      </c>
      <c r="L170" s="16" t="str">
        <f t="shared" si="1"/>
        <v>Hoàn thành</v>
      </c>
      <c r="M170" s="13" t="s">
        <v>216</v>
      </c>
      <c r="N170" s="17">
        <f>IFERROR(__xludf.DUMMYFUNCTION("""COMPUTED_VALUE"""),45918.0)</f>
        <v>45918</v>
      </c>
      <c r="O170" s="17">
        <v>45921.0</v>
      </c>
      <c r="P170" s="17">
        <f>IFERROR(__xludf.DUMMYFUNCTION("IFERROR(QUERY('Nhật ký nộp hồ sơ '!A:I, ""SELECT I WHERE B = '""&amp;B170&amp;""' ORDER BY A DESC LIMIT 1"", 0))"),45918.0)</f>
        <v>45918</v>
      </c>
      <c r="Q170" s="17">
        <f t="shared" si="2"/>
        <v>45918</v>
      </c>
      <c r="R170" s="16">
        <v>1.0</v>
      </c>
      <c r="S170" s="16"/>
      <c r="T170" s="16"/>
      <c r="U170" s="14"/>
      <c r="V170" s="18" t="s">
        <v>34</v>
      </c>
      <c r="W170" s="16"/>
      <c r="X170" s="16"/>
    </row>
    <row r="171" ht="22.5" hidden="1" customHeight="1">
      <c r="A171" s="11">
        <v>45918.576352777774</v>
      </c>
      <c r="B171" s="12" t="s">
        <v>505</v>
      </c>
      <c r="C171" s="13" t="s">
        <v>506</v>
      </c>
      <c r="D171" s="14"/>
      <c r="E171" s="13" t="s">
        <v>132</v>
      </c>
      <c r="F171" s="13" t="s">
        <v>440</v>
      </c>
      <c r="G171" s="16"/>
      <c r="H171" s="13" t="s">
        <v>47</v>
      </c>
      <c r="I171" s="13" t="s">
        <v>40</v>
      </c>
      <c r="J171" s="14"/>
      <c r="K171" s="16" t="str">
        <f t="array" ref="K171">IFERROR(VLOOKUP(B171, SORT('Nhật ký nộp hồ sơ '!B:D, 'Nhật ký nộp hồ sơ '!A:A, FALSE), 3, FALSE),"")</f>
        <v>Hoàn thành</v>
      </c>
      <c r="L171" s="16" t="str">
        <f t="shared" si="1"/>
        <v>Hoàn thành</v>
      </c>
      <c r="M171" s="13" t="s">
        <v>56</v>
      </c>
      <c r="N171" s="17">
        <f>IFERROR(__xludf.DUMMYFUNCTION("""COMPUTED_VALUE"""),45918.0)</f>
        <v>45918</v>
      </c>
      <c r="O171" s="17">
        <v>45921.0</v>
      </c>
      <c r="P171" s="17">
        <f>IFERROR(__xludf.DUMMYFUNCTION("IFERROR(QUERY('Nhật ký nộp hồ sơ '!A:I, ""SELECT I WHERE B = '""&amp;B171&amp;""' ORDER BY A DESC LIMIT 1"", 0))"),46002.0)</f>
        <v>46002</v>
      </c>
      <c r="Q171" s="17">
        <f t="shared" si="2"/>
        <v>46002</v>
      </c>
      <c r="R171" s="16">
        <v>1.0</v>
      </c>
      <c r="S171" s="13" t="s">
        <v>507</v>
      </c>
      <c r="T171" s="16"/>
      <c r="U171" s="14"/>
      <c r="V171" s="18" t="s">
        <v>34</v>
      </c>
      <c r="W171" s="16"/>
      <c r="X171" s="16"/>
    </row>
    <row r="172" ht="22.5" hidden="1" customHeight="1">
      <c r="A172" s="11">
        <v>45919.37979519676</v>
      </c>
      <c r="B172" s="12" t="s">
        <v>508</v>
      </c>
      <c r="C172" s="13" t="s">
        <v>509</v>
      </c>
      <c r="D172" s="14"/>
      <c r="E172" s="13" t="s">
        <v>62</v>
      </c>
      <c r="F172" s="13" t="s">
        <v>80</v>
      </c>
      <c r="G172" s="16"/>
      <c r="H172" s="13" t="s">
        <v>29</v>
      </c>
      <c r="I172" s="13" t="s">
        <v>28</v>
      </c>
      <c r="J172" s="14"/>
      <c r="K172" s="16" t="str">
        <f t="array" ref="K172">IFERROR(VLOOKUP(B172, SORT('Nhật ký nộp hồ sơ '!B:D, 'Nhật ký nộp hồ sơ '!A:A, FALSE), 3, FALSE),"")</f>
        <v>Nộp thành công - Chờ kết quả</v>
      </c>
      <c r="L172" s="16" t="str">
        <f t="shared" si="1"/>
        <v>Đã nộp</v>
      </c>
      <c r="M172" s="13" t="s">
        <v>56</v>
      </c>
      <c r="N172" s="17">
        <f>IFERROR(__xludf.DUMMYFUNCTION("""COMPUTED_VALUE"""),45919.0)</f>
        <v>45919</v>
      </c>
      <c r="O172" s="17">
        <v>45922.0</v>
      </c>
      <c r="P172" s="17">
        <f>IFERROR(__xludf.DUMMYFUNCTION("IFERROR(QUERY('Nhật ký nộp hồ sơ '!A:I, ""SELECT I WHERE B = '""&amp;B172&amp;""' ORDER BY A DESC LIMIT 1"", 0))"),45958.0)</f>
        <v>45958</v>
      </c>
      <c r="Q172" s="17" t="str">
        <f t="shared" si="2"/>
        <v/>
      </c>
      <c r="R172" s="16">
        <v>1.0</v>
      </c>
      <c r="S172" s="16"/>
      <c r="T172" s="16"/>
      <c r="U172" s="14"/>
      <c r="V172" s="18" t="s">
        <v>34</v>
      </c>
      <c r="W172" s="16"/>
      <c r="X172" s="16"/>
    </row>
    <row r="173" ht="22.5" hidden="1" customHeight="1">
      <c r="A173" s="11">
        <v>45919.456608113425</v>
      </c>
      <c r="B173" s="12" t="s">
        <v>510</v>
      </c>
      <c r="C173" s="13" t="s">
        <v>511</v>
      </c>
      <c r="D173" s="14"/>
      <c r="E173" s="13" t="s">
        <v>88</v>
      </c>
      <c r="F173" s="13" t="s">
        <v>512</v>
      </c>
      <c r="G173" s="20" t="s">
        <v>513</v>
      </c>
      <c r="H173" s="13" t="s">
        <v>28</v>
      </c>
      <c r="I173" s="13" t="s">
        <v>29</v>
      </c>
      <c r="J173" s="14"/>
      <c r="K173" s="16" t="str">
        <f t="array" ref="K173">IFERROR(VLOOKUP(B173, SORT('Nhật ký nộp hồ sơ '!B:D, 'Nhật ký nộp hồ sơ '!A:A, FALSE), 3, FALSE),"")</f>
        <v>Hoàn thành</v>
      </c>
      <c r="L173" s="16" t="str">
        <f t="shared" si="1"/>
        <v>Hoàn thành</v>
      </c>
      <c r="M173" s="13" t="s">
        <v>56</v>
      </c>
      <c r="N173" s="17">
        <f>IFERROR(__xludf.DUMMYFUNCTION("""COMPUTED_VALUE"""),45919.0)</f>
        <v>45919</v>
      </c>
      <c r="O173" s="17">
        <v>45922.0</v>
      </c>
      <c r="P173" s="17">
        <f>IFERROR(__xludf.DUMMYFUNCTION("IFERROR(QUERY('Nhật ký nộp hồ sơ '!A:I, ""SELECT I WHERE B = '""&amp;B173&amp;""' ORDER BY A DESC LIMIT 1"", 0))"),45936.0)</f>
        <v>45936</v>
      </c>
      <c r="Q173" s="17">
        <f t="shared" si="2"/>
        <v>45936</v>
      </c>
      <c r="R173" s="16">
        <v>1.0</v>
      </c>
      <c r="S173" s="16"/>
      <c r="T173" s="16"/>
      <c r="U173" s="14"/>
      <c r="V173" s="18" t="s">
        <v>34</v>
      </c>
      <c r="W173" s="16"/>
      <c r="X173" s="16"/>
    </row>
    <row r="174" ht="22.5" hidden="1" customHeight="1">
      <c r="A174" s="11">
        <v>45919.45858872685</v>
      </c>
      <c r="B174" s="12" t="s">
        <v>514</v>
      </c>
      <c r="C174" s="13" t="s">
        <v>515</v>
      </c>
      <c r="D174" s="14"/>
      <c r="E174" s="13" t="s">
        <v>62</v>
      </c>
      <c r="F174" s="13" t="s">
        <v>133</v>
      </c>
      <c r="G174" s="13" t="s">
        <v>516</v>
      </c>
      <c r="H174" s="13" t="s">
        <v>47</v>
      </c>
      <c r="I174" s="13" t="s">
        <v>29</v>
      </c>
      <c r="J174" s="14"/>
      <c r="K174" s="16" t="str">
        <f t="array" ref="K174">IFERROR(VLOOKUP(B174, SORT('Nhật ký nộp hồ sơ '!B:D, 'Nhật ký nộp hồ sơ '!A:A, FALSE), 3, FALSE),"")</f>
        <v>Hoàn thành</v>
      </c>
      <c r="L174" s="16" t="str">
        <f t="shared" si="1"/>
        <v>Hoàn thành</v>
      </c>
      <c r="M174" s="13" t="s">
        <v>48</v>
      </c>
      <c r="N174" s="17">
        <f>IFERROR(__xludf.DUMMYFUNCTION("""COMPUTED_VALUE"""),45919.0)</f>
        <v>45919</v>
      </c>
      <c r="O174" s="17">
        <v>45922.0</v>
      </c>
      <c r="P174" s="17">
        <f>IFERROR(__xludf.DUMMYFUNCTION("IFERROR(QUERY('Nhật ký nộp hồ sơ '!A:I, ""SELECT I WHERE B = '""&amp;B174&amp;""' ORDER BY A DESC LIMIT 1"", 0))"),45967.0)</f>
        <v>45967</v>
      </c>
      <c r="Q174" s="17">
        <f t="shared" si="2"/>
        <v>45967</v>
      </c>
      <c r="R174" s="16">
        <v>1.0</v>
      </c>
      <c r="S174" s="16"/>
      <c r="T174" s="16"/>
      <c r="U174" s="14"/>
      <c r="V174" s="18" t="s">
        <v>34</v>
      </c>
      <c r="W174" s="16"/>
      <c r="X174" s="16"/>
    </row>
    <row r="175" ht="22.5" hidden="1" customHeight="1">
      <c r="A175" s="11">
        <v>45920.349876736116</v>
      </c>
      <c r="B175" s="12" t="s">
        <v>517</v>
      </c>
      <c r="C175" s="13" t="s">
        <v>518</v>
      </c>
      <c r="D175" s="14"/>
      <c r="E175" s="13" t="s">
        <v>45</v>
      </c>
      <c r="F175" s="13" t="s">
        <v>89</v>
      </c>
      <c r="G175" s="16"/>
      <c r="H175" s="13" t="s">
        <v>28</v>
      </c>
      <c r="I175" s="13" t="s">
        <v>40</v>
      </c>
      <c r="J175" s="14"/>
      <c r="K175" s="16" t="str">
        <f t="array" ref="K175">IFERROR(VLOOKUP(B175, SORT('Nhật ký nộp hồ sơ '!B:D, 'Nhật ký nộp hồ sơ '!A:A, FALSE), 3, FALSE),"")</f>
        <v>Nộp thành công - Chờ kết quả</v>
      </c>
      <c r="L175" s="16" t="str">
        <f t="shared" si="1"/>
        <v>Đã nộp</v>
      </c>
      <c r="M175" s="13" t="s">
        <v>56</v>
      </c>
      <c r="N175" s="17">
        <f>IFERROR(__xludf.DUMMYFUNCTION("""COMPUTED_VALUE"""),45920.0)</f>
        <v>45920</v>
      </c>
      <c r="O175" s="17">
        <v>45923.0</v>
      </c>
      <c r="P175" s="17">
        <f>IFERROR(__xludf.DUMMYFUNCTION("IFERROR(QUERY('Nhật ký nộp hồ sơ '!A:I, ""SELECT I WHERE B = '""&amp;B175&amp;""' ORDER BY A DESC LIMIT 1"", 0))"),45997.0)</f>
        <v>45997</v>
      </c>
      <c r="Q175" s="17" t="str">
        <f t="shared" si="2"/>
        <v/>
      </c>
      <c r="R175" s="16">
        <v>2.0</v>
      </c>
      <c r="S175" s="16"/>
      <c r="T175" s="16"/>
      <c r="U175" s="14"/>
      <c r="V175" s="18" t="s">
        <v>34</v>
      </c>
      <c r="W175" s="16"/>
      <c r="X175" s="16"/>
    </row>
    <row r="176" ht="22.5" hidden="1" customHeight="1">
      <c r="A176" s="11">
        <v>45920.36025761574</v>
      </c>
      <c r="B176" s="12" t="s">
        <v>519</v>
      </c>
      <c r="C176" s="13" t="s">
        <v>520</v>
      </c>
      <c r="D176" s="14"/>
      <c r="E176" s="13" t="s">
        <v>132</v>
      </c>
      <c r="F176" s="13" t="s">
        <v>404</v>
      </c>
      <c r="G176" s="16"/>
      <c r="H176" s="13" t="s">
        <v>47</v>
      </c>
      <c r="I176" s="13" t="s">
        <v>40</v>
      </c>
      <c r="J176" s="14"/>
      <c r="K176" s="16" t="str">
        <f t="array" ref="K176">IFERROR(VLOOKUP(B176, SORT('Nhật ký nộp hồ sơ '!B:D, 'Nhật ký nộp hồ sơ '!A:A, FALSE), 3, FALSE),"")</f>
        <v>Hoàn thành</v>
      </c>
      <c r="L176" s="16" t="str">
        <f t="shared" si="1"/>
        <v>Hoàn thành</v>
      </c>
      <c r="M176" s="13" t="s">
        <v>56</v>
      </c>
      <c r="N176" s="17">
        <f>IFERROR(__xludf.DUMMYFUNCTION("""COMPUTED_VALUE"""),45920.0)</f>
        <v>45920</v>
      </c>
      <c r="O176" s="17">
        <v>45923.0</v>
      </c>
      <c r="P176" s="17">
        <f>IFERROR(__xludf.DUMMYFUNCTION("IFERROR(QUERY('Nhật ký nộp hồ sơ '!A:I, ""SELECT I WHERE B = '""&amp;B176&amp;""' ORDER BY A DESC LIMIT 1"", 0))"),45944.0)</f>
        <v>45944</v>
      </c>
      <c r="Q176" s="17">
        <f t="shared" si="2"/>
        <v>45944</v>
      </c>
      <c r="R176" s="16">
        <v>3.0</v>
      </c>
      <c r="S176" s="13" t="s">
        <v>507</v>
      </c>
      <c r="T176" s="16"/>
      <c r="U176" s="14"/>
      <c r="V176" s="18" t="s">
        <v>34</v>
      </c>
      <c r="W176" s="16"/>
      <c r="X176" s="16"/>
    </row>
    <row r="177" ht="22.5" hidden="1" customHeight="1">
      <c r="A177" s="11">
        <v>45920.415317245366</v>
      </c>
      <c r="B177" s="12" t="s">
        <v>521</v>
      </c>
      <c r="C177" s="13" t="s">
        <v>522</v>
      </c>
      <c r="D177" s="18" t="s">
        <v>44</v>
      </c>
      <c r="E177" s="13" t="s">
        <v>26</v>
      </c>
      <c r="F177" s="13" t="s">
        <v>46</v>
      </c>
      <c r="G177" s="16"/>
      <c r="H177" s="13" t="s">
        <v>29</v>
      </c>
      <c r="I177" s="13" t="s">
        <v>40</v>
      </c>
      <c r="J177" s="14"/>
      <c r="K177" s="16" t="str">
        <f t="array" ref="K177">IFERROR(VLOOKUP(B177, SORT('Nhật ký nộp hồ sơ '!B:D, 'Nhật ký nộp hồ sơ '!A:A, FALSE), 3, FALSE),"")</f>
        <v>Hoàn thành</v>
      </c>
      <c r="L177" s="16" t="str">
        <f t="shared" si="1"/>
        <v>Hoàn thành</v>
      </c>
      <c r="M177" s="13" t="s">
        <v>48</v>
      </c>
      <c r="N177" s="17">
        <f>IFERROR(__xludf.DUMMYFUNCTION("""COMPUTED_VALUE"""),45920.0)</f>
        <v>45920</v>
      </c>
      <c r="O177" s="17">
        <v>45923.0</v>
      </c>
      <c r="P177" s="17">
        <f>IFERROR(__xludf.DUMMYFUNCTION("IFERROR(QUERY('Nhật ký nộp hồ sơ '!A:I, ""SELECT I WHERE B = '""&amp;B177&amp;""' ORDER BY A DESC LIMIT 1"", 0))"),45940.0)</f>
        <v>45940</v>
      </c>
      <c r="Q177" s="17">
        <f t="shared" si="2"/>
        <v>45940</v>
      </c>
      <c r="R177" s="16">
        <v>3.0</v>
      </c>
      <c r="S177" s="16"/>
      <c r="T177" s="16"/>
      <c r="U177" s="14"/>
      <c r="V177" s="18" t="s">
        <v>34</v>
      </c>
      <c r="W177" s="16"/>
      <c r="X177" s="16"/>
    </row>
    <row r="178" ht="22.5" hidden="1" customHeight="1">
      <c r="A178" s="11">
        <v>45920.44714038195</v>
      </c>
      <c r="B178" s="12" t="s">
        <v>523</v>
      </c>
      <c r="C178" s="13" t="s">
        <v>167</v>
      </c>
      <c r="D178" s="14"/>
      <c r="E178" s="13" t="s">
        <v>122</v>
      </c>
      <c r="F178" s="13" t="s">
        <v>167</v>
      </c>
      <c r="G178" s="16"/>
      <c r="H178" s="13" t="s">
        <v>29</v>
      </c>
      <c r="I178" s="13" t="s">
        <v>81</v>
      </c>
      <c r="J178" s="14"/>
      <c r="K178" s="16" t="str">
        <f t="array" ref="K178">IFERROR(VLOOKUP(B178, SORT('Nhật ký nộp hồ sơ '!B:D, 'Nhật ký nộp hồ sơ '!A:A, FALSE), 3, FALSE),"")</f>
        <v>Hoàn thành</v>
      </c>
      <c r="L178" s="16" t="str">
        <f t="shared" si="1"/>
        <v>Hoàn thành</v>
      </c>
      <c r="M178" s="13" t="s">
        <v>524</v>
      </c>
      <c r="N178" s="17">
        <f>IFERROR(__xludf.DUMMYFUNCTION("""COMPUTED_VALUE"""),45920.0)</f>
        <v>45920</v>
      </c>
      <c r="O178" s="17">
        <v>45923.0</v>
      </c>
      <c r="P178" s="17">
        <f>IFERROR(__xludf.DUMMYFUNCTION("IFERROR(QUERY('Nhật ký nộp hồ sơ '!A:I, ""SELECT I WHERE B = '""&amp;B178&amp;""' ORDER BY A DESC LIMIT 1"", 0))"),45919.0)</f>
        <v>45919</v>
      </c>
      <c r="Q178" s="17">
        <f t="shared" si="2"/>
        <v>45919</v>
      </c>
      <c r="R178" s="16">
        <v>5.0</v>
      </c>
      <c r="S178" s="16"/>
      <c r="T178" s="16"/>
      <c r="U178" s="14"/>
      <c r="V178" s="18" t="s">
        <v>34</v>
      </c>
      <c r="W178" s="16"/>
      <c r="X178" s="16"/>
    </row>
    <row r="179" ht="22.5" hidden="1" customHeight="1">
      <c r="A179" s="11">
        <v>45922.50894364584</v>
      </c>
      <c r="B179" s="12" t="s">
        <v>525</v>
      </c>
      <c r="C179" s="13" t="s">
        <v>526</v>
      </c>
      <c r="D179" s="14"/>
      <c r="E179" s="13" t="s">
        <v>79</v>
      </c>
      <c r="F179" s="13" t="s">
        <v>55</v>
      </c>
      <c r="G179" s="16"/>
      <c r="H179" s="13" t="s">
        <v>28</v>
      </c>
      <c r="I179" s="13" t="s">
        <v>40</v>
      </c>
      <c r="J179" s="14"/>
      <c r="K179" s="16" t="str">
        <f t="array" ref="K179">IFERROR(VLOOKUP(B179, SORT('Nhật ký nộp hồ sơ '!B:D, 'Nhật ký nộp hồ sơ '!A:A, FALSE), 3, FALSE),"")</f>
        <v>Hoàn thành</v>
      </c>
      <c r="L179" s="16" t="str">
        <f t="shared" si="1"/>
        <v>Hoàn thành</v>
      </c>
      <c r="M179" s="13" t="s">
        <v>56</v>
      </c>
      <c r="N179" s="17">
        <f>IFERROR(__xludf.DUMMYFUNCTION("""COMPUTED_VALUE"""),45922.0)</f>
        <v>45922</v>
      </c>
      <c r="O179" s="17">
        <v>45925.0</v>
      </c>
      <c r="P179" s="17">
        <f>IFERROR(__xludf.DUMMYFUNCTION("IFERROR(QUERY('Nhật ký nộp hồ sơ '!A:I, ""SELECT I WHERE B = '""&amp;B179&amp;""' ORDER BY A DESC LIMIT 1"", 0))"),45943.0)</f>
        <v>45943</v>
      </c>
      <c r="Q179" s="17">
        <f t="shared" si="2"/>
        <v>45943</v>
      </c>
      <c r="R179" s="16">
        <v>1.0</v>
      </c>
      <c r="S179" s="16"/>
      <c r="T179" s="16"/>
      <c r="U179" s="14"/>
      <c r="V179" s="18" t="s">
        <v>34</v>
      </c>
      <c r="W179" s="16"/>
      <c r="X179" s="16"/>
    </row>
    <row r="180" ht="22.5" hidden="1" customHeight="1">
      <c r="A180" s="11">
        <v>45922.674725219906</v>
      </c>
      <c r="B180" s="12" t="s">
        <v>527</v>
      </c>
      <c r="C180" s="13" t="s">
        <v>528</v>
      </c>
      <c r="D180" s="14"/>
      <c r="E180" s="13" t="s">
        <v>79</v>
      </c>
      <c r="F180" s="13" t="s">
        <v>55</v>
      </c>
      <c r="G180" s="16"/>
      <c r="H180" s="13" t="s">
        <v>28</v>
      </c>
      <c r="I180" s="13" t="s">
        <v>81</v>
      </c>
      <c r="J180" s="14"/>
      <c r="K180" s="16" t="str">
        <f t="array" ref="K180">IFERROR(VLOOKUP(B180, SORT('Nhật ký nộp hồ sơ '!B:D, 'Nhật ký nộp hồ sơ '!A:A, FALSE), 3, FALSE),"")</f>
        <v>Hoàn thành</v>
      </c>
      <c r="L180" s="16" t="str">
        <f t="shared" si="1"/>
        <v>Hoàn thành</v>
      </c>
      <c r="M180" s="13" t="s">
        <v>146</v>
      </c>
      <c r="N180" s="17">
        <f>IFERROR(__xludf.DUMMYFUNCTION("""COMPUTED_VALUE"""),45922.0)</f>
        <v>45922</v>
      </c>
      <c r="O180" s="17">
        <v>45925.0</v>
      </c>
      <c r="P180" s="17">
        <f>IFERROR(__xludf.DUMMYFUNCTION("IFERROR(QUERY('Nhật ký nộp hồ sơ '!A:I, ""SELECT I WHERE B = '""&amp;B180&amp;""' ORDER BY A DESC LIMIT 1"", 0))"),45922.0)</f>
        <v>45922</v>
      </c>
      <c r="Q180" s="17">
        <f t="shared" si="2"/>
        <v>45922</v>
      </c>
      <c r="R180" s="16">
        <v>4.0</v>
      </c>
      <c r="S180" s="16"/>
      <c r="T180" s="16"/>
      <c r="U180" s="14"/>
      <c r="V180" s="18" t="s">
        <v>34</v>
      </c>
      <c r="W180" s="16"/>
      <c r="X180" s="16"/>
    </row>
    <row r="181" ht="22.5" hidden="1" customHeight="1">
      <c r="A181" s="11">
        <v>45922.67771775463</v>
      </c>
      <c r="B181" s="12" t="s">
        <v>529</v>
      </c>
      <c r="C181" s="13" t="s">
        <v>530</v>
      </c>
      <c r="D181" s="14"/>
      <c r="E181" s="13" t="s">
        <v>45</v>
      </c>
      <c r="F181" s="13" t="s">
        <v>68</v>
      </c>
      <c r="G181" s="16"/>
      <c r="H181" s="13" t="s">
        <v>69</v>
      </c>
      <c r="I181" s="13" t="s">
        <v>40</v>
      </c>
      <c r="J181" s="14"/>
      <c r="K181" s="16" t="str">
        <f t="array" ref="K181">IFERROR(VLOOKUP(B181, SORT('Nhật ký nộp hồ sơ '!B:D, 'Nhật ký nộp hồ sơ '!A:A, FALSE), 3, FALSE),"")</f>
        <v>Hoàn thành</v>
      </c>
      <c r="L181" s="16" t="str">
        <f t="shared" si="1"/>
        <v>Hoàn thành</v>
      </c>
      <c r="M181" s="13" t="s">
        <v>48</v>
      </c>
      <c r="N181" s="17">
        <f>IFERROR(__xludf.DUMMYFUNCTION("""COMPUTED_VALUE"""),45922.0)</f>
        <v>45922</v>
      </c>
      <c r="O181" s="17">
        <v>45925.0</v>
      </c>
      <c r="P181" s="17">
        <f>IFERROR(__xludf.DUMMYFUNCTION("IFERROR(QUERY('Nhật ký nộp hồ sơ '!A:I, ""SELECT I WHERE B = '""&amp;B181&amp;""' ORDER BY A DESC LIMIT 1"", 0))"),45946.0)</f>
        <v>45946</v>
      </c>
      <c r="Q181" s="17">
        <f t="shared" si="2"/>
        <v>45946</v>
      </c>
      <c r="R181" s="16">
        <v>1.0</v>
      </c>
      <c r="S181" s="16"/>
      <c r="T181" s="13" t="s">
        <v>531</v>
      </c>
      <c r="U181" s="14"/>
      <c r="V181" s="18" t="s">
        <v>34</v>
      </c>
      <c r="W181" s="16"/>
      <c r="X181" s="16"/>
    </row>
    <row r="182" ht="22.5" hidden="1" customHeight="1">
      <c r="A182" s="11">
        <v>45923.42480734954</v>
      </c>
      <c r="B182" s="12" t="s">
        <v>532</v>
      </c>
      <c r="C182" s="13" t="s">
        <v>506</v>
      </c>
      <c r="D182" s="14"/>
      <c r="E182" s="13" t="s">
        <v>132</v>
      </c>
      <c r="F182" s="13" t="s">
        <v>440</v>
      </c>
      <c r="G182" s="16"/>
      <c r="H182" s="13" t="s">
        <v>28</v>
      </c>
      <c r="I182" s="13" t="s">
        <v>81</v>
      </c>
      <c r="J182" s="14"/>
      <c r="K182" s="16" t="str">
        <f t="array" ref="K182">IFERROR(VLOOKUP(B182, SORT('Nhật ký nộp hồ sơ '!B:D, 'Nhật ký nộp hồ sơ '!A:A, FALSE), 3, FALSE),"")</f>
        <v>Hoàn thành</v>
      </c>
      <c r="L182" s="16" t="str">
        <f t="shared" si="1"/>
        <v>Hoàn thành</v>
      </c>
      <c r="M182" s="13" t="s">
        <v>146</v>
      </c>
      <c r="N182" s="17">
        <f>IFERROR(__xludf.DUMMYFUNCTION("""COMPUTED_VALUE"""),45923.0)</f>
        <v>45923</v>
      </c>
      <c r="O182" s="17">
        <v>45926.0</v>
      </c>
      <c r="P182" s="17">
        <f>IFERROR(__xludf.DUMMYFUNCTION("IFERROR(QUERY('Nhật ký nộp hồ sơ '!A:I, ""SELECT I WHERE B = '""&amp;B182&amp;""' ORDER BY A DESC LIMIT 1"", 0))"),45923.0)</f>
        <v>45923</v>
      </c>
      <c r="Q182" s="17">
        <f t="shared" si="2"/>
        <v>45923</v>
      </c>
      <c r="R182" s="16">
        <v>4.0</v>
      </c>
      <c r="S182" s="16"/>
      <c r="T182" s="16"/>
      <c r="U182" s="14"/>
      <c r="V182" s="18" t="s">
        <v>34</v>
      </c>
      <c r="W182" s="16"/>
      <c r="X182" s="16"/>
    </row>
    <row r="183" ht="22.5" hidden="1" customHeight="1">
      <c r="A183" s="11">
        <v>45923.42721116898</v>
      </c>
      <c r="B183" s="12" t="s">
        <v>533</v>
      </c>
      <c r="C183" s="13" t="s">
        <v>534</v>
      </c>
      <c r="D183" s="14"/>
      <c r="E183" s="13" t="s">
        <v>74</v>
      </c>
      <c r="F183" s="13" t="s">
        <v>133</v>
      </c>
      <c r="G183" s="13">
        <v>9.08083533E8</v>
      </c>
      <c r="H183" s="13" t="s">
        <v>47</v>
      </c>
      <c r="I183" s="13" t="s">
        <v>40</v>
      </c>
      <c r="J183" s="14"/>
      <c r="K183" s="16" t="str">
        <f t="array" ref="K183">IFERROR(VLOOKUP(B183, SORT('Nhật ký nộp hồ sơ '!B:D, 'Nhật ký nộp hồ sơ '!A:A, FALSE), 3, FALSE),"")</f>
        <v>Nộp thành công - Chờ kết quả</v>
      </c>
      <c r="L183" s="16" t="str">
        <f t="shared" si="1"/>
        <v>Đã nộp</v>
      </c>
      <c r="M183" s="13" t="s">
        <v>56</v>
      </c>
      <c r="N183" s="17">
        <f>IFERROR(__xludf.DUMMYFUNCTION("""COMPUTED_VALUE"""),45923.0)</f>
        <v>45923</v>
      </c>
      <c r="O183" s="17">
        <v>45926.0</v>
      </c>
      <c r="P183" s="17">
        <f>IFERROR(__xludf.DUMMYFUNCTION("IFERROR(QUERY('Nhật ký nộp hồ sơ '!A:I, ""SELECT I WHERE B = '""&amp;B183&amp;""' ORDER BY A DESC LIMIT 1"", 0))"),45925.0)</f>
        <v>45925</v>
      </c>
      <c r="Q183" s="17" t="str">
        <f t="shared" si="2"/>
        <v/>
      </c>
      <c r="R183" s="16">
        <v>1.0</v>
      </c>
      <c r="S183" s="16"/>
      <c r="T183" s="16"/>
      <c r="U183" s="14"/>
      <c r="V183" s="18" t="s">
        <v>34</v>
      </c>
      <c r="W183" s="16"/>
      <c r="X183" s="16"/>
    </row>
    <row r="184" ht="22.5" hidden="1" customHeight="1">
      <c r="A184" s="11">
        <v>45923.428520636575</v>
      </c>
      <c r="B184" s="12" t="s">
        <v>535</v>
      </c>
      <c r="C184" s="13" t="s">
        <v>305</v>
      </c>
      <c r="D184" s="14"/>
      <c r="E184" s="13" t="s">
        <v>26</v>
      </c>
      <c r="F184" s="13" t="s">
        <v>133</v>
      </c>
      <c r="G184" s="16"/>
      <c r="H184" s="13" t="s">
        <v>28</v>
      </c>
      <c r="I184" s="13" t="s">
        <v>81</v>
      </c>
      <c r="J184" s="14"/>
      <c r="K184" s="16" t="str">
        <f t="array" ref="K184">IFERROR(VLOOKUP(B184, SORT('Nhật ký nộp hồ sơ '!B:D, 'Nhật ký nộp hồ sơ '!A:A, FALSE), 3, FALSE),"")</f>
        <v>Nộp thành công - Chờ kết quả</v>
      </c>
      <c r="L184" s="16" t="str">
        <f t="shared" si="1"/>
        <v>Đã nộp</v>
      </c>
      <c r="M184" s="13" t="s">
        <v>82</v>
      </c>
      <c r="N184" s="17">
        <f>IFERROR(__xludf.DUMMYFUNCTION("""COMPUTED_VALUE"""),45923.0)</f>
        <v>45923</v>
      </c>
      <c r="O184" s="17">
        <v>45926.0</v>
      </c>
      <c r="P184" s="17">
        <f>IFERROR(__xludf.DUMMYFUNCTION("IFERROR(QUERY('Nhật ký nộp hồ sơ '!A:I, ""SELECT I WHERE B = '""&amp;B184&amp;""' ORDER BY A DESC LIMIT 1"", 0))"),45923.0)</f>
        <v>45923</v>
      </c>
      <c r="Q184" s="17" t="str">
        <f t="shared" si="2"/>
        <v/>
      </c>
      <c r="R184" s="16">
        <v>4.0</v>
      </c>
      <c r="S184" s="16"/>
      <c r="T184" s="16"/>
      <c r="U184" s="14"/>
      <c r="V184" s="18" t="s">
        <v>34</v>
      </c>
      <c r="W184" s="16"/>
      <c r="X184" s="16"/>
    </row>
    <row r="185" ht="22.5" hidden="1" customHeight="1">
      <c r="A185" s="11">
        <v>45923.432215381945</v>
      </c>
      <c r="B185" s="12" t="s">
        <v>536</v>
      </c>
      <c r="C185" s="13" t="s">
        <v>537</v>
      </c>
      <c r="D185" s="14"/>
      <c r="E185" s="13" t="s">
        <v>26</v>
      </c>
      <c r="F185" s="13" t="s">
        <v>191</v>
      </c>
      <c r="G185" s="16"/>
      <c r="H185" s="13" t="s">
        <v>28</v>
      </c>
      <c r="I185" s="13" t="s">
        <v>81</v>
      </c>
      <c r="J185" s="14"/>
      <c r="K185" s="16" t="str">
        <f t="array" ref="K185">IFERROR(VLOOKUP(B185, SORT('Nhật ký nộp hồ sơ '!B:D, 'Nhật ký nộp hồ sơ '!A:A, FALSE), 3, FALSE),"")</f>
        <v>Nộp thành công - Chờ kết quả</v>
      </c>
      <c r="L185" s="16" t="str">
        <f t="shared" si="1"/>
        <v>Đã nộp</v>
      </c>
      <c r="M185" s="13" t="s">
        <v>82</v>
      </c>
      <c r="N185" s="17">
        <f>IFERROR(__xludf.DUMMYFUNCTION("""COMPUTED_VALUE"""),45923.0)</f>
        <v>45923</v>
      </c>
      <c r="O185" s="17">
        <v>45926.0</v>
      </c>
      <c r="P185" s="17">
        <f>IFERROR(__xludf.DUMMYFUNCTION("IFERROR(QUERY('Nhật ký nộp hồ sơ '!A:I, ""SELECT I WHERE B = '""&amp;B185&amp;""' ORDER BY A DESC LIMIT 1"", 0))"),45923.0)</f>
        <v>45923</v>
      </c>
      <c r="Q185" s="17" t="str">
        <f t="shared" si="2"/>
        <v/>
      </c>
      <c r="R185" s="16">
        <v>1.0</v>
      </c>
      <c r="S185" s="16"/>
      <c r="T185" s="16"/>
      <c r="U185" s="14"/>
      <c r="V185" s="18" t="s">
        <v>34</v>
      </c>
      <c r="W185" s="16"/>
      <c r="X185" s="16"/>
    </row>
    <row r="186" ht="22.5" hidden="1" customHeight="1">
      <c r="A186" s="11">
        <v>45924.62499645833</v>
      </c>
      <c r="B186" s="12" t="s">
        <v>538</v>
      </c>
      <c r="C186" s="13" t="s">
        <v>539</v>
      </c>
      <c r="D186" s="14"/>
      <c r="E186" s="13" t="s">
        <v>62</v>
      </c>
      <c r="F186" s="13" t="s">
        <v>133</v>
      </c>
      <c r="G186" s="13" t="s">
        <v>540</v>
      </c>
      <c r="H186" s="13" t="s">
        <v>69</v>
      </c>
      <c r="I186" s="13" t="s">
        <v>40</v>
      </c>
      <c r="J186" s="14"/>
      <c r="K186" s="16" t="str">
        <f t="array" ref="K186">IFERROR(VLOOKUP(B186, SORT('Nhật ký nộp hồ sơ '!B:D, 'Nhật ký nộp hồ sơ '!A:A, FALSE), 3, FALSE),"")</f>
        <v>Hủy</v>
      </c>
      <c r="L186" s="16" t="str">
        <f t="shared" si="1"/>
        <v>ĐÃ HỦY</v>
      </c>
      <c r="M186" s="13" t="s">
        <v>56</v>
      </c>
      <c r="N186" s="17">
        <f>IFERROR(__xludf.DUMMYFUNCTION("""COMPUTED_VALUE"""),45924.0)</f>
        <v>45924</v>
      </c>
      <c r="O186" s="17">
        <v>45927.0</v>
      </c>
      <c r="P186" s="17">
        <f>IFERROR(__xludf.DUMMYFUNCTION("IFERROR(QUERY('Nhật ký nộp hồ sơ '!A:I, ""SELECT I WHERE B = '""&amp;B186&amp;""' ORDER BY A DESC LIMIT 1"", 0))"),46038.0)</f>
        <v>46038</v>
      </c>
      <c r="Q186" s="17" t="str">
        <f t="shared" si="2"/>
        <v/>
      </c>
      <c r="R186" s="16">
        <v>1.0</v>
      </c>
      <c r="S186" s="16"/>
      <c r="T186" s="13" t="s">
        <v>494</v>
      </c>
      <c r="U186" s="14"/>
      <c r="V186" s="18" t="s">
        <v>34</v>
      </c>
      <c r="W186" s="16"/>
      <c r="X186" s="16"/>
    </row>
    <row r="187" ht="22.5" hidden="1" customHeight="1">
      <c r="A187" s="11">
        <v>45924.6285231713</v>
      </c>
      <c r="B187" s="12" t="s">
        <v>541</v>
      </c>
      <c r="C187" s="13" t="s">
        <v>542</v>
      </c>
      <c r="D187" s="14"/>
      <c r="E187" s="13" t="s">
        <v>45</v>
      </c>
      <c r="F187" s="13" t="s">
        <v>46</v>
      </c>
      <c r="G187" s="16"/>
      <c r="H187" s="13" t="s">
        <v>69</v>
      </c>
      <c r="I187" s="13" t="s">
        <v>81</v>
      </c>
      <c r="J187" s="14"/>
      <c r="K187" s="16" t="str">
        <f t="array" ref="K187">IFERROR(VLOOKUP(B187, SORT('Nhật ký nộp hồ sơ '!B:D, 'Nhật ký nộp hồ sơ '!A:A, FALSE), 3, FALSE),"")</f>
        <v>Nộp thành công - Chờ kết quả</v>
      </c>
      <c r="L187" s="16" t="str">
        <f t="shared" si="1"/>
        <v>Đã nộp</v>
      </c>
      <c r="M187" s="13" t="s">
        <v>135</v>
      </c>
      <c r="N187" s="17">
        <f>IFERROR(__xludf.DUMMYFUNCTION("""COMPUTED_VALUE"""),45924.0)</f>
        <v>45924</v>
      </c>
      <c r="O187" s="17">
        <v>45927.0</v>
      </c>
      <c r="P187" s="17">
        <f>IFERROR(__xludf.DUMMYFUNCTION("IFERROR(QUERY('Nhật ký nộp hồ sơ '!A:I, ""SELECT I WHERE B = '""&amp;B187&amp;""' ORDER BY A DESC LIMIT 1"", 0))"),45925.0)</f>
        <v>45925</v>
      </c>
      <c r="Q187" s="17" t="str">
        <f t="shared" si="2"/>
        <v/>
      </c>
      <c r="R187" s="16">
        <v>1.0</v>
      </c>
      <c r="S187" s="16"/>
      <c r="T187" s="16"/>
      <c r="U187" s="14"/>
      <c r="V187" s="18" t="s">
        <v>34</v>
      </c>
      <c r="W187" s="16"/>
      <c r="X187" s="16"/>
    </row>
    <row r="188" ht="22.5" hidden="1" customHeight="1">
      <c r="A188" s="11">
        <v>45924.62970902778</v>
      </c>
      <c r="B188" s="12" t="s">
        <v>543</v>
      </c>
      <c r="C188" s="13" t="s">
        <v>542</v>
      </c>
      <c r="D188" s="14"/>
      <c r="E188" s="13" t="s">
        <v>45</v>
      </c>
      <c r="F188" s="13" t="s">
        <v>46</v>
      </c>
      <c r="G188" s="16"/>
      <c r="H188" s="13" t="s">
        <v>69</v>
      </c>
      <c r="I188" s="13" t="s">
        <v>81</v>
      </c>
      <c r="J188" s="14"/>
      <c r="K188" s="16" t="str">
        <f t="array" ref="K188">IFERROR(VLOOKUP(B188, SORT('Nhật ký nộp hồ sơ '!B:D, 'Nhật ký nộp hồ sơ '!A:A, FALSE), 3, FALSE),"")</f>
        <v>Nộp thành công - Chờ kết quả</v>
      </c>
      <c r="L188" s="16" t="str">
        <f t="shared" si="1"/>
        <v>Đã nộp</v>
      </c>
      <c r="M188" s="13" t="s">
        <v>135</v>
      </c>
      <c r="N188" s="17">
        <f>IFERROR(__xludf.DUMMYFUNCTION("""COMPUTED_VALUE"""),45924.0)</f>
        <v>45924</v>
      </c>
      <c r="O188" s="17">
        <v>45927.0</v>
      </c>
      <c r="P188" s="17">
        <f>IFERROR(__xludf.DUMMYFUNCTION("IFERROR(QUERY('Nhật ký nộp hồ sơ '!A:I, ""SELECT I WHERE B = '""&amp;B188&amp;""' ORDER BY A DESC LIMIT 1"", 0))"),45925.0)</f>
        <v>45925</v>
      </c>
      <c r="Q188" s="17" t="str">
        <f t="shared" si="2"/>
        <v/>
      </c>
      <c r="R188" s="16">
        <v>4.0</v>
      </c>
      <c r="S188" s="16"/>
      <c r="T188" s="16"/>
      <c r="U188" s="14"/>
      <c r="V188" s="18" t="s">
        <v>34</v>
      </c>
      <c r="W188" s="16"/>
      <c r="X188" s="16"/>
    </row>
    <row r="189" ht="22.5" hidden="1" customHeight="1">
      <c r="A189" s="11">
        <v>45924.63060664352</v>
      </c>
      <c r="B189" s="12" t="s">
        <v>544</v>
      </c>
      <c r="C189" s="13" t="s">
        <v>545</v>
      </c>
      <c r="D189" s="14"/>
      <c r="E189" s="13" t="s">
        <v>26</v>
      </c>
      <c r="F189" s="13" t="s">
        <v>133</v>
      </c>
      <c r="G189" s="20" t="s">
        <v>546</v>
      </c>
      <c r="H189" s="13" t="s">
        <v>69</v>
      </c>
      <c r="I189" s="13" t="s">
        <v>81</v>
      </c>
      <c r="J189" s="14"/>
      <c r="K189" s="16" t="str">
        <f t="array" ref="K189">IFERROR(VLOOKUP(B189, SORT('Nhật ký nộp hồ sơ '!B:D, 'Nhật ký nộp hồ sơ '!A:A, FALSE), 3, FALSE),"")</f>
        <v>Hoàn thành</v>
      </c>
      <c r="L189" s="16" t="str">
        <f t="shared" si="1"/>
        <v>Hoàn thành</v>
      </c>
      <c r="M189" s="13" t="s">
        <v>30</v>
      </c>
      <c r="N189" s="17">
        <f>IFERROR(__xludf.DUMMYFUNCTION("""COMPUTED_VALUE"""),45924.0)</f>
        <v>45924</v>
      </c>
      <c r="O189" s="17">
        <v>45927.0</v>
      </c>
      <c r="P189" s="17">
        <f>IFERROR(__xludf.DUMMYFUNCTION("IFERROR(QUERY('Nhật ký nộp hồ sơ '!A:I, ""SELECT I WHERE B = '""&amp;B189&amp;""' ORDER BY A DESC LIMIT 1"", 0))"),45944.0)</f>
        <v>45944</v>
      </c>
      <c r="Q189" s="17">
        <f t="shared" si="2"/>
        <v>45944</v>
      </c>
      <c r="R189" s="16">
        <v>1.0</v>
      </c>
      <c r="S189" s="16"/>
      <c r="T189" s="13" t="s">
        <v>547</v>
      </c>
      <c r="U189" s="14"/>
      <c r="V189" s="18" t="s">
        <v>34</v>
      </c>
      <c r="W189" s="16"/>
      <c r="X189" s="16"/>
    </row>
    <row r="190" ht="22.5" hidden="1" customHeight="1">
      <c r="A190" s="11">
        <v>45924.63202304398</v>
      </c>
      <c r="B190" s="12" t="s">
        <v>548</v>
      </c>
      <c r="C190" s="13" t="s">
        <v>549</v>
      </c>
      <c r="D190" s="14"/>
      <c r="E190" s="13" t="s">
        <v>74</v>
      </c>
      <c r="F190" s="13" t="s">
        <v>80</v>
      </c>
      <c r="G190" s="16"/>
      <c r="H190" s="13" t="s">
        <v>69</v>
      </c>
      <c r="I190" s="13" t="s">
        <v>81</v>
      </c>
      <c r="J190" s="14"/>
      <c r="K190" s="16" t="str">
        <f t="array" ref="K190">IFERROR(VLOOKUP(B190, SORT('Nhật ký nộp hồ sơ '!B:D, 'Nhật ký nộp hồ sơ '!A:A, FALSE), 3, FALSE),"")</f>
        <v>Nộp thành công - Chờ kết quả</v>
      </c>
      <c r="L190" s="16" t="str">
        <f t="shared" si="1"/>
        <v>Đã nộp</v>
      </c>
      <c r="M190" s="13" t="s">
        <v>93</v>
      </c>
      <c r="N190" s="17">
        <f>IFERROR(__xludf.DUMMYFUNCTION("""COMPUTED_VALUE"""),45924.0)</f>
        <v>45924</v>
      </c>
      <c r="O190" s="17">
        <v>45927.0</v>
      </c>
      <c r="P190" s="17">
        <f>IFERROR(__xludf.DUMMYFUNCTION("IFERROR(QUERY('Nhật ký nộp hồ sơ '!A:I, ""SELECT I WHERE B = '""&amp;B190&amp;""' ORDER BY A DESC LIMIT 1"", 0))"),45957.0)</f>
        <v>45957</v>
      </c>
      <c r="Q190" s="17" t="str">
        <f t="shared" si="2"/>
        <v/>
      </c>
      <c r="R190" s="16">
        <v>4.0</v>
      </c>
      <c r="S190" s="16"/>
      <c r="T190" s="16"/>
      <c r="U190" s="14"/>
      <c r="V190" s="18" t="s">
        <v>34</v>
      </c>
      <c r="W190" s="16"/>
      <c r="X190" s="16"/>
    </row>
    <row r="191" ht="22.5" hidden="1" customHeight="1">
      <c r="A191" s="11">
        <v>45925.47222862269</v>
      </c>
      <c r="B191" s="12" t="s">
        <v>550</v>
      </c>
      <c r="C191" s="13" t="s">
        <v>551</v>
      </c>
      <c r="D191" s="14"/>
      <c r="E191" s="13" t="s">
        <v>88</v>
      </c>
      <c r="F191" s="13" t="s">
        <v>133</v>
      </c>
      <c r="G191" s="16"/>
      <c r="H191" s="13" t="s">
        <v>47</v>
      </c>
      <c r="I191" s="13" t="s">
        <v>81</v>
      </c>
      <c r="J191" s="14"/>
      <c r="K191" s="16" t="str">
        <f t="array" ref="K191">IFERROR(VLOOKUP(B191, SORT('Nhật ký nộp hồ sơ '!B:D, 'Nhật ký nộp hồ sơ '!A:A, FALSE), 3, FALSE),"")</f>
        <v>Hoàn thành</v>
      </c>
      <c r="L191" s="16" t="str">
        <f t="shared" si="1"/>
        <v>Hoàn thành</v>
      </c>
      <c r="M191" s="13" t="s">
        <v>82</v>
      </c>
      <c r="N191" s="17">
        <f>IFERROR(__xludf.DUMMYFUNCTION("""COMPUTED_VALUE"""),45925.0)</f>
        <v>45925</v>
      </c>
      <c r="O191" s="17">
        <v>45928.0</v>
      </c>
      <c r="P191" s="17">
        <f>IFERROR(__xludf.DUMMYFUNCTION("IFERROR(QUERY('Nhật ký nộp hồ sơ '!A:I, ""SELECT I WHERE B = '""&amp;B191&amp;""' ORDER BY A DESC LIMIT 1"", 0))"),45944.0)</f>
        <v>45944</v>
      </c>
      <c r="Q191" s="17">
        <f t="shared" si="2"/>
        <v>45944</v>
      </c>
      <c r="R191" s="16">
        <v>1.0</v>
      </c>
      <c r="S191" s="16"/>
      <c r="T191" s="16"/>
      <c r="U191" s="14"/>
      <c r="V191" s="18" t="s">
        <v>34</v>
      </c>
      <c r="W191" s="16"/>
      <c r="X191" s="16"/>
    </row>
    <row r="192" ht="22.5" hidden="1" customHeight="1">
      <c r="A192" s="11">
        <v>45925.497578703704</v>
      </c>
      <c r="B192" s="12" t="s">
        <v>552</v>
      </c>
      <c r="C192" s="13" t="s">
        <v>553</v>
      </c>
      <c r="D192" s="14"/>
      <c r="E192" s="13" t="s">
        <v>53</v>
      </c>
      <c r="F192" s="13" t="s">
        <v>554</v>
      </c>
      <c r="G192" s="16"/>
      <c r="H192" s="13" t="s">
        <v>28</v>
      </c>
      <c r="I192" s="13" t="s">
        <v>81</v>
      </c>
      <c r="J192" s="14"/>
      <c r="K192" s="16" t="str">
        <f t="array" ref="K192">IFERROR(VLOOKUP(B192, SORT('Nhật ký nộp hồ sơ '!B:D, 'Nhật ký nộp hồ sơ '!A:A, FALSE), 3, FALSE),"")</f>
        <v>Hoàn thành</v>
      </c>
      <c r="L192" s="16" t="str">
        <f t="shared" si="1"/>
        <v>Hoàn thành</v>
      </c>
      <c r="M192" s="13" t="s">
        <v>56</v>
      </c>
      <c r="N192" s="17">
        <f>IFERROR(__xludf.DUMMYFUNCTION("""COMPUTED_VALUE"""),45925.0)</f>
        <v>45925</v>
      </c>
      <c r="O192" s="17">
        <v>45928.0</v>
      </c>
      <c r="P192" s="17">
        <f>IFERROR(__xludf.DUMMYFUNCTION("IFERROR(QUERY('Nhật ký nộp hồ sơ '!A:I, ""SELECT I WHERE B = '""&amp;B192&amp;""' ORDER BY A DESC LIMIT 1"", 0))"),45967.0)</f>
        <v>45967</v>
      </c>
      <c r="Q192" s="17">
        <f t="shared" si="2"/>
        <v>45967</v>
      </c>
      <c r="R192" s="16">
        <v>4.0</v>
      </c>
      <c r="S192" s="16"/>
      <c r="T192" s="16"/>
      <c r="U192" s="14"/>
      <c r="V192" s="18" t="s">
        <v>34</v>
      </c>
      <c r="W192" s="16"/>
      <c r="X192" s="16"/>
    </row>
    <row r="193" ht="22.5" hidden="1" customHeight="1">
      <c r="A193" s="11">
        <v>45925.498250833334</v>
      </c>
      <c r="B193" s="12" t="s">
        <v>555</v>
      </c>
      <c r="C193" s="13" t="s">
        <v>553</v>
      </c>
      <c r="D193" s="14"/>
      <c r="E193" s="13" t="s">
        <v>53</v>
      </c>
      <c r="F193" s="13" t="s">
        <v>554</v>
      </c>
      <c r="G193" s="16"/>
      <c r="H193" s="13" t="s">
        <v>28</v>
      </c>
      <c r="I193" s="13" t="s">
        <v>81</v>
      </c>
      <c r="J193" s="14"/>
      <c r="K193" s="16" t="str">
        <f t="array" ref="K193">IFERROR(VLOOKUP(B193, SORT('Nhật ký nộp hồ sơ '!B:D, 'Nhật ký nộp hồ sơ '!A:A, FALSE), 3, FALSE),"")</f>
        <v>Hoàn thành</v>
      </c>
      <c r="L193" s="16" t="str">
        <f t="shared" si="1"/>
        <v>Hoàn thành</v>
      </c>
      <c r="M193" s="13" t="s">
        <v>146</v>
      </c>
      <c r="N193" s="17">
        <f>IFERROR(__xludf.DUMMYFUNCTION("""COMPUTED_VALUE"""),45925.0)</f>
        <v>45925</v>
      </c>
      <c r="O193" s="17">
        <v>45928.0</v>
      </c>
      <c r="P193" s="17">
        <f>IFERROR(__xludf.DUMMYFUNCTION("IFERROR(QUERY('Nhật ký nộp hồ sơ '!A:I, ""SELECT I WHERE B = '""&amp;B193&amp;""' ORDER BY A DESC LIMIT 1"", 0))"),45924.0)</f>
        <v>45924</v>
      </c>
      <c r="Q193" s="17">
        <f t="shared" si="2"/>
        <v>45924</v>
      </c>
      <c r="R193" s="16">
        <v>1.0</v>
      </c>
      <c r="S193" s="16"/>
      <c r="T193" s="16"/>
      <c r="U193" s="14"/>
      <c r="V193" s="18" t="s">
        <v>34</v>
      </c>
      <c r="W193" s="16"/>
      <c r="X193" s="16"/>
    </row>
    <row r="194" ht="22.5" hidden="1" customHeight="1">
      <c r="A194" s="11">
        <v>45925.499732129625</v>
      </c>
      <c r="B194" s="12" t="s">
        <v>556</v>
      </c>
      <c r="C194" s="13" t="s">
        <v>557</v>
      </c>
      <c r="D194" s="14"/>
      <c r="E194" s="13" t="s">
        <v>53</v>
      </c>
      <c r="F194" s="13" t="s">
        <v>554</v>
      </c>
      <c r="G194" s="16"/>
      <c r="H194" s="13" t="s">
        <v>28</v>
      </c>
      <c r="I194" s="13" t="s">
        <v>81</v>
      </c>
      <c r="J194" s="14"/>
      <c r="K194" s="16" t="str">
        <f t="array" ref="K194">IFERROR(VLOOKUP(B194, SORT('Nhật ký nộp hồ sơ '!B:D, 'Nhật ký nộp hồ sơ '!A:A, FALSE), 3, FALSE),"")</f>
        <v>Hoàn thành</v>
      </c>
      <c r="L194" s="16" t="str">
        <f t="shared" si="1"/>
        <v>Hoàn thành</v>
      </c>
      <c r="M194" s="13" t="s">
        <v>56</v>
      </c>
      <c r="N194" s="17">
        <f>IFERROR(__xludf.DUMMYFUNCTION("""COMPUTED_VALUE"""),45925.0)</f>
        <v>45925</v>
      </c>
      <c r="O194" s="17">
        <v>45928.0</v>
      </c>
      <c r="P194" s="17">
        <f>IFERROR(__xludf.DUMMYFUNCTION("IFERROR(QUERY('Nhật ký nộp hồ sơ '!A:I, ""SELECT I WHERE B = '""&amp;B194&amp;""' ORDER BY A DESC LIMIT 1"", 0))"),45967.0)</f>
        <v>45967</v>
      </c>
      <c r="Q194" s="17">
        <f t="shared" si="2"/>
        <v>45967</v>
      </c>
      <c r="R194" s="16">
        <v>4.0</v>
      </c>
      <c r="S194" s="16"/>
      <c r="T194" s="16"/>
      <c r="U194" s="14"/>
      <c r="V194" s="18" t="s">
        <v>34</v>
      </c>
      <c r="W194" s="16"/>
      <c r="X194" s="16"/>
    </row>
    <row r="195" ht="22.5" hidden="1" customHeight="1">
      <c r="A195" s="11">
        <v>45925.500203668984</v>
      </c>
      <c r="B195" s="12" t="s">
        <v>558</v>
      </c>
      <c r="C195" s="13" t="s">
        <v>557</v>
      </c>
      <c r="D195" s="14"/>
      <c r="E195" s="13" t="s">
        <v>53</v>
      </c>
      <c r="F195" s="13" t="s">
        <v>554</v>
      </c>
      <c r="G195" s="16"/>
      <c r="H195" s="13" t="s">
        <v>28</v>
      </c>
      <c r="I195" s="13" t="s">
        <v>81</v>
      </c>
      <c r="J195" s="14"/>
      <c r="K195" s="16" t="str">
        <f t="array" ref="K195">IFERROR(VLOOKUP(B195, SORT('Nhật ký nộp hồ sơ '!B:D, 'Nhật ký nộp hồ sơ '!A:A, FALSE), 3, FALSE),"")</f>
        <v>Hoàn thành</v>
      </c>
      <c r="L195" s="16" t="str">
        <f t="shared" si="1"/>
        <v>Hoàn thành</v>
      </c>
      <c r="M195" s="13" t="s">
        <v>146</v>
      </c>
      <c r="N195" s="17">
        <f>IFERROR(__xludf.DUMMYFUNCTION("""COMPUTED_VALUE"""),45925.0)</f>
        <v>45925</v>
      </c>
      <c r="O195" s="17">
        <v>45928.0</v>
      </c>
      <c r="P195" s="17">
        <f>IFERROR(__xludf.DUMMYFUNCTION("IFERROR(QUERY('Nhật ký nộp hồ sơ '!A:I, ""SELECT I WHERE B = '""&amp;B195&amp;""' ORDER BY A DESC LIMIT 1"", 0))"),45924.0)</f>
        <v>45924</v>
      </c>
      <c r="Q195" s="17">
        <f t="shared" si="2"/>
        <v>45924</v>
      </c>
      <c r="R195" s="16">
        <v>4.0</v>
      </c>
      <c r="S195" s="16"/>
      <c r="T195" s="16"/>
      <c r="U195" s="14"/>
      <c r="V195" s="18" t="s">
        <v>34</v>
      </c>
      <c r="W195" s="16"/>
      <c r="X195" s="16"/>
    </row>
    <row r="196" ht="22.5" hidden="1" customHeight="1">
      <c r="A196" s="11">
        <v>45925.500905023146</v>
      </c>
      <c r="B196" s="12" t="s">
        <v>559</v>
      </c>
      <c r="C196" s="13" t="s">
        <v>557</v>
      </c>
      <c r="D196" s="14"/>
      <c r="E196" s="13" t="s">
        <v>53</v>
      </c>
      <c r="F196" s="13" t="s">
        <v>554</v>
      </c>
      <c r="G196" s="16"/>
      <c r="H196" s="13" t="s">
        <v>28</v>
      </c>
      <c r="I196" s="13" t="s">
        <v>81</v>
      </c>
      <c r="J196" s="14"/>
      <c r="K196" s="16" t="str">
        <f t="array" ref="K196">IFERROR(VLOOKUP(B196, SORT('Nhật ký nộp hồ sơ '!B:D, 'Nhật ký nộp hồ sơ '!A:A, FALSE), 3, FALSE),"")</f>
        <v>Hoàn thành</v>
      </c>
      <c r="L196" s="16" t="str">
        <f t="shared" si="1"/>
        <v>Hoàn thành</v>
      </c>
      <c r="M196" s="13" t="s">
        <v>56</v>
      </c>
      <c r="N196" s="17">
        <f>IFERROR(__xludf.DUMMYFUNCTION("""COMPUTED_VALUE"""),45925.0)</f>
        <v>45925</v>
      </c>
      <c r="O196" s="17">
        <v>45928.0</v>
      </c>
      <c r="P196" s="17">
        <f>IFERROR(__xludf.DUMMYFUNCTION("IFERROR(QUERY('Nhật ký nộp hồ sơ '!A:I, ""SELECT I WHERE B = '""&amp;B196&amp;""' ORDER BY A DESC LIMIT 1"", 0))"),45966.0)</f>
        <v>45966</v>
      </c>
      <c r="Q196" s="17">
        <f t="shared" si="2"/>
        <v>45966</v>
      </c>
      <c r="R196" s="16">
        <v>1.0</v>
      </c>
      <c r="S196" s="16"/>
      <c r="T196" s="16"/>
      <c r="U196" s="14"/>
      <c r="V196" s="18" t="s">
        <v>34</v>
      </c>
      <c r="W196" s="16"/>
      <c r="X196" s="16"/>
    </row>
    <row r="197" ht="22.5" hidden="1" customHeight="1">
      <c r="A197" s="11">
        <v>45925.501347893514</v>
      </c>
      <c r="B197" s="12" t="s">
        <v>560</v>
      </c>
      <c r="C197" s="13" t="s">
        <v>557</v>
      </c>
      <c r="D197" s="14"/>
      <c r="E197" s="13" t="s">
        <v>53</v>
      </c>
      <c r="F197" s="13" t="s">
        <v>554</v>
      </c>
      <c r="G197" s="16"/>
      <c r="H197" s="13" t="s">
        <v>28</v>
      </c>
      <c r="I197" s="13" t="s">
        <v>81</v>
      </c>
      <c r="J197" s="14"/>
      <c r="K197" s="16" t="str">
        <f t="array" ref="K197">IFERROR(VLOOKUP(B197, SORT('Nhật ký nộp hồ sơ '!B:D, 'Nhật ký nộp hồ sơ '!A:A, FALSE), 3, FALSE),"")</f>
        <v>Hoàn thành</v>
      </c>
      <c r="L197" s="16" t="str">
        <f t="shared" si="1"/>
        <v>Hoàn thành</v>
      </c>
      <c r="M197" s="13" t="s">
        <v>146</v>
      </c>
      <c r="N197" s="17">
        <f>IFERROR(__xludf.DUMMYFUNCTION("""COMPUTED_VALUE"""),45925.0)</f>
        <v>45925</v>
      </c>
      <c r="O197" s="17">
        <v>45928.0</v>
      </c>
      <c r="P197" s="17">
        <f>IFERROR(__xludf.DUMMYFUNCTION("IFERROR(QUERY('Nhật ký nộp hồ sơ '!A:I, ""SELECT I WHERE B = '""&amp;B197&amp;""' ORDER BY A DESC LIMIT 1"", 0))"),45924.0)</f>
        <v>45924</v>
      </c>
      <c r="Q197" s="17">
        <f t="shared" si="2"/>
        <v>45924</v>
      </c>
      <c r="R197" s="16">
        <v>2.0</v>
      </c>
      <c r="S197" s="16"/>
      <c r="T197" s="16"/>
      <c r="U197" s="14"/>
      <c r="V197" s="18" t="s">
        <v>34</v>
      </c>
      <c r="W197" s="16"/>
      <c r="X197" s="16"/>
    </row>
    <row r="198" ht="22.5" hidden="1" customHeight="1">
      <c r="A198" s="11">
        <v>45925.56376225695</v>
      </c>
      <c r="B198" s="12" t="s">
        <v>561</v>
      </c>
      <c r="C198" s="13" t="s">
        <v>557</v>
      </c>
      <c r="D198" s="14"/>
      <c r="E198" s="13" t="s">
        <v>53</v>
      </c>
      <c r="F198" s="13" t="s">
        <v>554</v>
      </c>
      <c r="G198" s="16"/>
      <c r="H198" s="13" t="s">
        <v>28</v>
      </c>
      <c r="I198" s="13" t="s">
        <v>81</v>
      </c>
      <c r="J198" s="14"/>
      <c r="K198" s="16" t="str">
        <f t="array" ref="K198">IFERROR(VLOOKUP(B198, SORT('Nhật ký nộp hồ sơ '!B:D, 'Nhật ký nộp hồ sơ '!A:A, FALSE), 3, FALSE),"")</f>
        <v>Hoàn thành</v>
      </c>
      <c r="L198" s="16" t="str">
        <f t="shared" si="1"/>
        <v>Hoàn thành</v>
      </c>
      <c r="M198" s="13" t="s">
        <v>56</v>
      </c>
      <c r="N198" s="17">
        <f>IFERROR(__xludf.DUMMYFUNCTION("""COMPUTED_VALUE"""),45925.0)</f>
        <v>45925</v>
      </c>
      <c r="O198" s="17">
        <v>45928.0</v>
      </c>
      <c r="P198" s="17">
        <f>IFERROR(__xludf.DUMMYFUNCTION("IFERROR(QUERY('Nhật ký nộp hồ sơ '!A:I, ""SELECT I WHERE B = '""&amp;B198&amp;""' ORDER BY A DESC LIMIT 1"", 0))"),45968.0)</f>
        <v>45968</v>
      </c>
      <c r="Q198" s="17">
        <f t="shared" si="2"/>
        <v>45968</v>
      </c>
      <c r="R198" s="16">
        <v>1.0</v>
      </c>
      <c r="S198" s="16"/>
      <c r="T198" s="16"/>
      <c r="U198" s="14"/>
      <c r="V198" s="18" t="s">
        <v>34</v>
      </c>
      <c r="W198" s="16"/>
      <c r="X198" s="16"/>
    </row>
    <row r="199" ht="22.5" hidden="1" customHeight="1">
      <c r="A199" s="11">
        <v>45925.5656356713</v>
      </c>
      <c r="B199" s="12" t="s">
        <v>562</v>
      </c>
      <c r="C199" s="13" t="s">
        <v>557</v>
      </c>
      <c r="D199" s="14"/>
      <c r="E199" s="13" t="s">
        <v>53</v>
      </c>
      <c r="F199" s="13" t="s">
        <v>554</v>
      </c>
      <c r="G199" s="16"/>
      <c r="H199" s="13" t="s">
        <v>28</v>
      </c>
      <c r="I199" s="13" t="s">
        <v>81</v>
      </c>
      <c r="J199" s="14"/>
      <c r="K199" s="16" t="str">
        <f t="array" ref="K199">IFERROR(VLOOKUP(B199, SORT('Nhật ký nộp hồ sơ '!B:D, 'Nhật ký nộp hồ sơ '!A:A, FALSE), 3, FALSE),"")</f>
        <v>Hoàn thành</v>
      </c>
      <c r="L199" s="16" t="str">
        <f t="shared" si="1"/>
        <v>Hoàn thành</v>
      </c>
      <c r="M199" s="13" t="s">
        <v>146</v>
      </c>
      <c r="N199" s="17">
        <f>IFERROR(__xludf.DUMMYFUNCTION("""COMPUTED_VALUE"""),45925.0)</f>
        <v>45925</v>
      </c>
      <c r="O199" s="17">
        <v>45928.0</v>
      </c>
      <c r="P199" s="17">
        <f>IFERROR(__xludf.DUMMYFUNCTION("IFERROR(QUERY('Nhật ký nộp hồ sơ '!A:I, ""SELECT I WHERE B = '""&amp;B199&amp;""' ORDER BY A DESC LIMIT 1"", 0))"),45924.0)</f>
        <v>45924</v>
      </c>
      <c r="Q199" s="17">
        <f t="shared" si="2"/>
        <v>45924</v>
      </c>
      <c r="R199" s="16">
        <v>1.0</v>
      </c>
      <c r="S199" s="16"/>
      <c r="T199" s="16"/>
      <c r="U199" s="14"/>
      <c r="V199" s="18" t="s">
        <v>34</v>
      </c>
      <c r="W199" s="16"/>
      <c r="X199" s="16"/>
    </row>
    <row r="200" ht="22.5" hidden="1" customHeight="1">
      <c r="A200" s="11">
        <v>45925.56640447916</v>
      </c>
      <c r="B200" s="12" t="s">
        <v>563</v>
      </c>
      <c r="C200" s="13" t="s">
        <v>553</v>
      </c>
      <c r="D200" s="14"/>
      <c r="E200" s="13" t="s">
        <v>53</v>
      </c>
      <c r="F200" s="13" t="s">
        <v>554</v>
      </c>
      <c r="G200" s="16"/>
      <c r="H200" s="13" t="s">
        <v>28</v>
      </c>
      <c r="I200" s="13" t="s">
        <v>81</v>
      </c>
      <c r="J200" s="14"/>
      <c r="K200" s="16" t="str">
        <f t="array" ref="K200">IFERROR(VLOOKUP(B200, SORT('Nhật ký nộp hồ sơ '!B:D, 'Nhật ký nộp hồ sơ '!A:A, FALSE), 3, FALSE),"")</f>
        <v>Nộp thành công - Chờ kết quả</v>
      </c>
      <c r="L200" s="16" t="str">
        <f t="shared" si="1"/>
        <v>Đã nộp</v>
      </c>
      <c r="M200" s="13" t="s">
        <v>56</v>
      </c>
      <c r="N200" s="17">
        <f>IFERROR(__xludf.DUMMYFUNCTION("""COMPUTED_VALUE"""),45925.0)</f>
        <v>45925</v>
      </c>
      <c r="O200" s="17">
        <v>45928.0</v>
      </c>
      <c r="P200" s="17">
        <f>IFERROR(__xludf.DUMMYFUNCTION("IFERROR(QUERY('Nhật ký nộp hồ sơ '!A:I, ""SELECT I WHERE B = '""&amp;B200&amp;""' ORDER BY A DESC LIMIT 1"", 0))"),45989.0)</f>
        <v>45989</v>
      </c>
      <c r="Q200" s="17" t="str">
        <f t="shared" si="2"/>
        <v/>
      </c>
      <c r="R200" s="16">
        <v>1.0</v>
      </c>
      <c r="S200" s="16"/>
      <c r="T200" s="16"/>
      <c r="U200" s="14"/>
      <c r="V200" s="18" t="s">
        <v>34</v>
      </c>
      <c r="W200" s="16"/>
      <c r="X200" s="16"/>
    </row>
    <row r="201" ht="22.5" hidden="1" customHeight="1">
      <c r="A201" s="11">
        <v>45925.566769826386</v>
      </c>
      <c r="B201" s="12" t="s">
        <v>564</v>
      </c>
      <c r="C201" s="13" t="s">
        <v>557</v>
      </c>
      <c r="D201" s="14"/>
      <c r="E201" s="13" t="s">
        <v>53</v>
      </c>
      <c r="F201" s="13" t="s">
        <v>554</v>
      </c>
      <c r="G201" s="16"/>
      <c r="H201" s="13" t="s">
        <v>28</v>
      </c>
      <c r="I201" s="13" t="s">
        <v>81</v>
      </c>
      <c r="J201" s="14"/>
      <c r="K201" s="16" t="str">
        <f t="array" ref="K201">IFERROR(VLOOKUP(B201, SORT('Nhật ký nộp hồ sơ '!B:D, 'Nhật ký nộp hồ sơ '!A:A, FALSE), 3, FALSE),"")</f>
        <v>Hoàn thành</v>
      </c>
      <c r="L201" s="16" t="str">
        <f t="shared" si="1"/>
        <v>Hoàn thành</v>
      </c>
      <c r="M201" s="13" t="s">
        <v>146</v>
      </c>
      <c r="N201" s="17">
        <f>IFERROR(__xludf.DUMMYFUNCTION("""COMPUTED_VALUE"""),45925.0)</f>
        <v>45925</v>
      </c>
      <c r="O201" s="17">
        <v>45928.0</v>
      </c>
      <c r="P201" s="17">
        <f>IFERROR(__xludf.DUMMYFUNCTION("IFERROR(QUERY('Nhật ký nộp hồ sơ '!A:I, ""SELECT I WHERE B = '""&amp;B201&amp;""' ORDER BY A DESC LIMIT 1"", 0))"),45924.0)</f>
        <v>45924</v>
      </c>
      <c r="Q201" s="17">
        <f t="shared" si="2"/>
        <v>45924</v>
      </c>
      <c r="R201" s="16">
        <v>2.0</v>
      </c>
      <c r="S201" s="16"/>
      <c r="T201" s="16"/>
      <c r="U201" s="14"/>
      <c r="V201" s="18" t="s">
        <v>34</v>
      </c>
      <c r="W201" s="16"/>
      <c r="X201" s="16"/>
    </row>
    <row r="202" ht="22.5" hidden="1" customHeight="1">
      <c r="A202" s="11">
        <v>45925.567438032405</v>
      </c>
      <c r="B202" s="12" t="s">
        <v>565</v>
      </c>
      <c r="C202" s="13" t="s">
        <v>566</v>
      </c>
      <c r="D202" s="14"/>
      <c r="E202" s="13" t="s">
        <v>53</v>
      </c>
      <c r="F202" s="13" t="s">
        <v>554</v>
      </c>
      <c r="G202" s="16"/>
      <c r="H202" s="13" t="s">
        <v>28</v>
      </c>
      <c r="I202" s="13" t="s">
        <v>81</v>
      </c>
      <c r="J202" s="14"/>
      <c r="K202" s="16" t="str">
        <f t="array" ref="K202">IFERROR(VLOOKUP(B202, SORT('Nhật ký nộp hồ sơ '!B:D, 'Nhật ký nộp hồ sơ '!A:A, FALSE), 3, FALSE),"")</f>
        <v>Hoàn thành</v>
      </c>
      <c r="L202" s="16" t="str">
        <f t="shared" si="1"/>
        <v>Hoàn thành</v>
      </c>
      <c r="M202" s="13" t="s">
        <v>56</v>
      </c>
      <c r="N202" s="17">
        <f>IFERROR(__xludf.DUMMYFUNCTION("""COMPUTED_VALUE"""),45925.0)</f>
        <v>45925</v>
      </c>
      <c r="O202" s="17">
        <v>45928.0</v>
      </c>
      <c r="P202" s="17">
        <f>IFERROR(__xludf.DUMMYFUNCTION("IFERROR(QUERY('Nhật ký nộp hồ sơ '!A:I, ""SELECT I WHERE B = '""&amp;B202&amp;""' ORDER BY A DESC LIMIT 1"", 0))"),45967.0)</f>
        <v>45967</v>
      </c>
      <c r="Q202" s="17">
        <f t="shared" si="2"/>
        <v>45967</v>
      </c>
      <c r="R202" s="16">
        <v>1.0</v>
      </c>
      <c r="S202" s="16"/>
      <c r="T202" s="16"/>
      <c r="U202" s="14"/>
      <c r="V202" s="18" t="s">
        <v>34</v>
      </c>
      <c r="W202" s="16"/>
      <c r="X202" s="16"/>
    </row>
    <row r="203" ht="22.5" hidden="1" customHeight="1">
      <c r="A203" s="11">
        <v>45925.56805418982</v>
      </c>
      <c r="B203" s="12" t="s">
        <v>567</v>
      </c>
      <c r="C203" s="13" t="s">
        <v>566</v>
      </c>
      <c r="D203" s="14"/>
      <c r="E203" s="13" t="s">
        <v>53</v>
      </c>
      <c r="F203" s="13" t="s">
        <v>554</v>
      </c>
      <c r="G203" s="16"/>
      <c r="H203" s="13" t="s">
        <v>28</v>
      </c>
      <c r="I203" s="13" t="s">
        <v>81</v>
      </c>
      <c r="J203" s="14"/>
      <c r="K203" s="16" t="str">
        <f t="array" ref="K203">IFERROR(VLOOKUP(B203, SORT('Nhật ký nộp hồ sơ '!B:D, 'Nhật ký nộp hồ sơ '!A:A, FALSE), 3, FALSE),"")</f>
        <v>Hoàn thành</v>
      </c>
      <c r="L203" s="16" t="str">
        <f t="shared" si="1"/>
        <v>Hoàn thành</v>
      </c>
      <c r="M203" s="13" t="s">
        <v>146</v>
      </c>
      <c r="N203" s="17">
        <f>IFERROR(__xludf.DUMMYFUNCTION("""COMPUTED_VALUE"""),45925.0)</f>
        <v>45925</v>
      </c>
      <c r="O203" s="17">
        <v>45928.0</v>
      </c>
      <c r="P203" s="17">
        <f>IFERROR(__xludf.DUMMYFUNCTION("IFERROR(QUERY('Nhật ký nộp hồ sơ '!A:I, ""SELECT I WHERE B = '""&amp;B203&amp;""' ORDER BY A DESC LIMIT 1"", 0))"),45924.0)</f>
        <v>45924</v>
      </c>
      <c r="Q203" s="17">
        <f t="shared" si="2"/>
        <v>45924</v>
      </c>
      <c r="R203" s="16">
        <v>1.0</v>
      </c>
      <c r="S203" s="16"/>
      <c r="T203" s="16"/>
      <c r="U203" s="14"/>
      <c r="V203" s="18" t="s">
        <v>34</v>
      </c>
      <c r="W203" s="16"/>
      <c r="X203" s="16"/>
    </row>
    <row r="204" ht="22.5" hidden="1" customHeight="1">
      <c r="A204" s="11">
        <v>45925.56854929398</v>
      </c>
      <c r="B204" s="12" t="s">
        <v>568</v>
      </c>
      <c r="C204" s="13" t="s">
        <v>569</v>
      </c>
      <c r="D204" s="14"/>
      <c r="E204" s="13" t="s">
        <v>53</v>
      </c>
      <c r="F204" s="13" t="s">
        <v>554</v>
      </c>
      <c r="G204" s="16"/>
      <c r="H204" s="13" t="s">
        <v>28</v>
      </c>
      <c r="I204" s="13" t="s">
        <v>81</v>
      </c>
      <c r="J204" s="14"/>
      <c r="K204" s="16" t="str">
        <f t="array" ref="K204">IFERROR(VLOOKUP(B204, SORT('Nhật ký nộp hồ sơ '!B:D, 'Nhật ký nộp hồ sơ '!A:A, FALSE), 3, FALSE),"")</f>
        <v>Hoàn thành</v>
      </c>
      <c r="L204" s="16" t="str">
        <f t="shared" si="1"/>
        <v>Hoàn thành</v>
      </c>
      <c r="M204" s="13" t="s">
        <v>56</v>
      </c>
      <c r="N204" s="17">
        <f>IFERROR(__xludf.DUMMYFUNCTION("""COMPUTED_VALUE"""),45925.0)</f>
        <v>45925</v>
      </c>
      <c r="O204" s="17">
        <v>45928.0</v>
      </c>
      <c r="P204" s="17">
        <f>IFERROR(__xludf.DUMMYFUNCTION("IFERROR(QUERY('Nhật ký nộp hồ sơ '!A:I, ""SELECT I WHERE B = '""&amp;B204&amp;""' ORDER BY A DESC LIMIT 1"", 0))"),45967.0)</f>
        <v>45967</v>
      </c>
      <c r="Q204" s="17">
        <f t="shared" si="2"/>
        <v>45967</v>
      </c>
      <c r="R204" s="16">
        <v>1.0</v>
      </c>
      <c r="S204" s="16"/>
      <c r="T204" s="16"/>
      <c r="U204" s="14"/>
      <c r="V204" s="18" t="s">
        <v>34</v>
      </c>
      <c r="W204" s="16"/>
      <c r="X204" s="16"/>
    </row>
    <row r="205" ht="22.5" hidden="1" customHeight="1">
      <c r="A205" s="11">
        <v>45925.5690458912</v>
      </c>
      <c r="B205" s="12" t="s">
        <v>570</v>
      </c>
      <c r="C205" s="13" t="s">
        <v>557</v>
      </c>
      <c r="D205" s="14"/>
      <c r="E205" s="13" t="s">
        <v>53</v>
      </c>
      <c r="F205" s="13" t="s">
        <v>554</v>
      </c>
      <c r="G205" s="16"/>
      <c r="H205" s="13" t="s">
        <v>28</v>
      </c>
      <c r="I205" s="13" t="s">
        <v>81</v>
      </c>
      <c r="J205" s="14"/>
      <c r="K205" s="16" t="str">
        <f t="array" ref="K205">IFERROR(VLOOKUP(B205, SORT('Nhật ký nộp hồ sơ '!B:D, 'Nhật ký nộp hồ sơ '!A:A, FALSE), 3, FALSE),"")</f>
        <v>Hoàn thành</v>
      </c>
      <c r="L205" s="16" t="str">
        <f t="shared" si="1"/>
        <v>Hoàn thành</v>
      </c>
      <c r="M205" s="13" t="s">
        <v>146</v>
      </c>
      <c r="N205" s="17">
        <f>IFERROR(__xludf.DUMMYFUNCTION("""COMPUTED_VALUE"""),45925.0)</f>
        <v>45925</v>
      </c>
      <c r="O205" s="17">
        <v>45928.0</v>
      </c>
      <c r="P205" s="17">
        <f>IFERROR(__xludf.DUMMYFUNCTION("IFERROR(QUERY('Nhật ký nộp hồ sơ '!A:I, ""SELECT I WHERE B = '""&amp;B205&amp;""' ORDER BY A DESC LIMIT 1"", 0))"),45924.0)</f>
        <v>45924</v>
      </c>
      <c r="Q205" s="17">
        <f t="shared" si="2"/>
        <v>45924</v>
      </c>
      <c r="R205" s="16">
        <v>1.0</v>
      </c>
      <c r="S205" s="16"/>
      <c r="T205" s="16"/>
      <c r="U205" s="14"/>
      <c r="V205" s="18" t="s">
        <v>34</v>
      </c>
      <c r="W205" s="16"/>
      <c r="X205" s="16"/>
    </row>
    <row r="206" ht="22.5" hidden="1" customHeight="1">
      <c r="A206" s="11">
        <v>45925.56948684028</v>
      </c>
      <c r="B206" s="12" t="s">
        <v>571</v>
      </c>
      <c r="C206" s="13" t="s">
        <v>557</v>
      </c>
      <c r="D206" s="14"/>
      <c r="E206" s="13" t="s">
        <v>53</v>
      </c>
      <c r="F206" s="13" t="s">
        <v>554</v>
      </c>
      <c r="G206" s="16"/>
      <c r="H206" s="13" t="s">
        <v>28</v>
      </c>
      <c r="I206" s="13" t="s">
        <v>81</v>
      </c>
      <c r="J206" s="14"/>
      <c r="K206" s="16" t="str">
        <f t="array" ref="K206">IFERROR(VLOOKUP(B206, SORT('Nhật ký nộp hồ sơ '!B:D, 'Nhật ký nộp hồ sơ '!A:A, FALSE), 3, FALSE),"")</f>
        <v>Hoàn thành</v>
      </c>
      <c r="L206" s="16" t="str">
        <f t="shared" si="1"/>
        <v>Hoàn thành</v>
      </c>
      <c r="M206" s="13" t="s">
        <v>56</v>
      </c>
      <c r="N206" s="17">
        <f>IFERROR(__xludf.DUMMYFUNCTION("""COMPUTED_VALUE"""),45925.0)</f>
        <v>45925</v>
      </c>
      <c r="O206" s="17">
        <v>45928.0</v>
      </c>
      <c r="P206" s="17">
        <f>IFERROR(__xludf.DUMMYFUNCTION("IFERROR(QUERY('Nhật ký nộp hồ sơ '!A:I, ""SELECT I WHERE B = '""&amp;B206&amp;""' ORDER BY A DESC LIMIT 1"", 0))"),45967.0)</f>
        <v>45967</v>
      </c>
      <c r="Q206" s="17">
        <f t="shared" si="2"/>
        <v>45967</v>
      </c>
      <c r="R206" s="16">
        <v>1.0</v>
      </c>
      <c r="S206" s="16"/>
      <c r="T206" s="16"/>
      <c r="U206" s="14"/>
      <c r="V206" s="18" t="s">
        <v>34</v>
      </c>
      <c r="W206" s="16"/>
      <c r="X206" s="16"/>
    </row>
    <row r="207" ht="22.5" hidden="1" customHeight="1">
      <c r="A207" s="11">
        <v>45925.56991313657</v>
      </c>
      <c r="B207" s="12" t="s">
        <v>572</v>
      </c>
      <c r="C207" s="13" t="s">
        <v>557</v>
      </c>
      <c r="D207" s="14"/>
      <c r="E207" s="13" t="s">
        <v>53</v>
      </c>
      <c r="F207" s="13" t="s">
        <v>554</v>
      </c>
      <c r="G207" s="16"/>
      <c r="H207" s="13" t="s">
        <v>28</v>
      </c>
      <c r="I207" s="13" t="s">
        <v>81</v>
      </c>
      <c r="J207" s="14"/>
      <c r="K207" s="16" t="str">
        <f t="array" ref="K207">IFERROR(VLOOKUP(B207, SORT('Nhật ký nộp hồ sơ '!B:D, 'Nhật ký nộp hồ sơ '!A:A, FALSE), 3, FALSE),"")</f>
        <v>Hoàn thành</v>
      </c>
      <c r="L207" s="16" t="str">
        <f t="shared" si="1"/>
        <v>Hoàn thành</v>
      </c>
      <c r="M207" s="13" t="s">
        <v>146</v>
      </c>
      <c r="N207" s="17">
        <f>IFERROR(__xludf.DUMMYFUNCTION("""COMPUTED_VALUE"""),45925.0)</f>
        <v>45925</v>
      </c>
      <c r="O207" s="17">
        <v>45928.0</v>
      </c>
      <c r="P207" s="17">
        <f>IFERROR(__xludf.DUMMYFUNCTION("IFERROR(QUERY('Nhật ký nộp hồ sơ '!A:I, ""SELECT I WHERE B = '""&amp;B207&amp;""' ORDER BY A DESC LIMIT 1"", 0))"),45924.0)</f>
        <v>45924</v>
      </c>
      <c r="Q207" s="17">
        <f t="shared" si="2"/>
        <v>45924</v>
      </c>
      <c r="R207" s="16">
        <v>3.0</v>
      </c>
      <c r="S207" s="16"/>
      <c r="T207" s="16"/>
      <c r="U207" s="14"/>
      <c r="V207" s="18" t="s">
        <v>34</v>
      </c>
      <c r="W207" s="16"/>
      <c r="X207" s="16"/>
    </row>
    <row r="208" ht="22.5" hidden="1" customHeight="1">
      <c r="A208" s="11">
        <v>45925.61520680555</v>
      </c>
      <c r="B208" s="12" t="s">
        <v>573</v>
      </c>
      <c r="C208" s="13" t="s">
        <v>574</v>
      </c>
      <c r="D208" s="14"/>
      <c r="E208" s="13" t="s">
        <v>62</v>
      </c>
      <c r="F208" s="13" t="s">
        <v>133</v>
      </c>
      <c r="G208" s="20" t="s">
        <v>575</v>
      </c>
      <c r="H208" s="13" t="s">
        <v>29</v>
      </c>
      <c r="I208" s="13" t="s">
        <v>40</v>
      </c>
      <c r="J208" s="14"/>
      <c r="K208" s="16" t="str">
        <f t="array" ref="K208">IFERROR(VLOOKUP(B208, SORT('Nhật ký nộp hồ sơ '!B:D, 'Nhật ký nộp hồ sơ '!A:A, FALSE), 3, FALSE),"")</f>
        <v>Hoàn thành</v>
      </c>
      <c r="L208" s="16" t="str">
        <f t="shared" si="1"/>
        <v>Hoàn thành</v>
      </c>
      <c r="M208" s="13" t="s">
        <v>56</v>
      </c>
      <c r="N208" s="17">
        <f>IFERROR(__xludf.DUMMYFUNCTION("""COMPUTED_VALUE"""),45925.0)</f>
        <v>45925</v>
      </c>
      <c r="O208" s="17">
        <v>45928.0</v>
      </c>
      <c r="P208" s="17">
        <f>IFERROR(__xludf.DUMMYFUNCTION("IFERROR(QUERY('Nhật ký nộp hồ sơ '!A:I, ""SELECT I WHERE B = '""&amp;B208&amp;""' ORDER BY A DESC LIMIT 1"", 0))"),45960.0)</f>
        <v>45960</v>
      </c>
      <c r="Q208" s="17">
        <f t="shared" si="2"/>
        <v>45960</v>
      </c>
      <c r="R208" s="16">
        <v>3.0</v>
      </c>
      <c r="S208" s="16"/>
      <c r="T208" s="16"/>
      <c r="U208" s="14"/>
      <c r="V208" s="18" t="s">
        <v>34</v>
      </c>
      <c r="W208" s="16"/>
      <c r="X208" s="16"/>
    </row>
    <row r="209" ht="22.5" hidden="1" customHeight="1">
      <c r="A209" s="11">
        <v>45925.616125451386</v>
      </c>
      <c r="B209" s="12" t="s">
        <v>576</v>
      </c>
      <c r="C209" s="13" t="s">
        <v>577</v>
      </c>
      <c r="D209" s="18" t="s">
        <v>44</v>
      </c>
      <c r="E209" s="13" t="s">
        <v>132</v>
      </c>
      <c r="F209" s="13" t="s">
        <v>338</v>
      </c>
      <c r="G209" s="16"/>
      <c r="H209" s="13" t="s">
        <v>29</v>
      </c>
      <c r="I209" s="13" t="s">
        <v>40</v>
      </c>
      <c r="J209" s="14"/>
      <c r="K209" s="16" t="str">
        <f t="array" ref="K209">IFERROR(VLOOKUP(B209, SORT('Nhật ký nộp hồ sơ '!B:D, 'Nhật ký nộp hồ sơ '!A:A, FALSE), 3, FALSE),"")</f>
        <v>Hoàn thành</v>
      </c>
      <c r="L209" s="16" t="str">
        <f t="shared" si="1"/>
        <v>Hoàn thành</v>
      </c>
      <c r="M209" s="13" t="s">
        <v>48</v>
      </c>
      <c r="N209" s="17">
        <f>IFERROR(__xludf.DUMMYFUNCTION("""COMPUTED_VALUE"""),45925.0)</f>
        <v>45925</v>
      </c>
      <c r="O209" s="17">
        <v>45928.0</v>
      </c>
      <c r="P209" s="17">
        <f>IFERROR(__xludf.DUMMYFUNCTION("IFERROR(QUERY('Nhật ký nộp hồ sơ '!A:I, ""SELECT I WHERE B = '""&amp;B209&amp;""' ORDER BY A DESC LIMIT 1"", 0))"),45975.0)</f>
        <v>45975</v>
      </c>
      <c r="Q209" s="17">
        <f t="shared" si="2"/>
        <v>45975</v>
      </c>
      <c r="R209" s="16">
        <v>5.0</v>
      </c>
      <c r="S209" s="16"/>
      <c r="T209" s="13" t="s">
        <v>578</v>
      </c>
      <c r="U209" s="14"/>
      <c r="V209" s="18" t="s">
        <v>34</v>
      </c>
      <c r="W209" s="16"/>
      <c r="X209" s="16"/>
    </row>
    <row r="210" ht="22.5" hidden="1" customHeight="1">
      <c r="A210" s="11">
        <v>45925.62429921296</v>
      </c>
      <c r="B210" s="12" t="s">
        <v>579</v>
      </c>
      <c r="C210" s="13" t="s">
        <v>580</v>
      </c>
      <c r="D210" s="18" t="s">
        <v>44</v>
      </c>
      <c r="E210" s="13" t="s">
        <v>53</v>
      </c>
      <c r="F210" s="13" t="s">
        <v>481</v>
      </c>
      <c r="G210" s="16"/>
      <c r="H210" s="13" t="s">
        <v>28</v>
      </c>
      <c r="I210" s="13" t="s">
        <v>81</v>
      </c>
      <c r="J210" s="14"/>
      <c r="K210" s="16" t="str">
        <f t="array" ref="K210">IFERROR(VLOOKUP(B210, SORT('Nhật ký nộp hồ sơ '!B:D, 'Nhật ký nộp hồ sơ '!A:A, FALSE), 3, FALSE),"")</f>
        <v>Hủy</v>
      </c>
      <c r="L210" s="16" t="str">
        <f t="shared" si="1"/>
        <v>ĐÃ HỦY</v>
      </c>
      <c r="M210" s="13" t="s">
        <v>56</v>
      </c>
      <c r="N210" s="17">
        <f>IFERROR(__xludf.DUMMYFUNCTION("""COMPUTED_VALUE"""),45925.0)</f>
        <v>45925</v>
      </c>
      <c r="O210" s="17">
        <v>45928.0</v>
      </c>
      <c r="P210" s="17">
        <f>IFERROR(__xludf.DUMMYFUNCTION("IFERROR(QUERY('Nhật ký nộp hồ sơ '!A:I, ""SELECT I WHERE B = '""&amp;B210&amp;""' ORDER BY A DESC LIMIT 1"", 0))"),46039.0)</f>
        <v>46039</v>
      </c>
      <c r="Q210" s="17" t="str">
        <f t="shared" si="2"/>
        <v/>
      </c>
      <c r="R210" s="16">
        <v>1.0</v>
      </c>
      <c r="S210" s="16"/>
      <c r="T210" s="16"/>
      <c r="U210" s="14"/>
      <c r="V210" s="18" t="s">
        <v>34</v>
      </c>
      <c r="W210" s="16"/>
      <c r="X210" s="16"/>
    </row>
    <row r="211" ht="22.5" hidden="1" customHeight="1">
      <c r="A211" s="11">
        <v>45925.66819222222</v>
      </c>
      <c r="B211" s="12" t="s">
        <v>581</v>
      </c>
      <c r="C211" s="13" t="s">
        <v>354</v>
      </c>
      <c r="D211" s="14"/>
      <c r="E211" s="13" t="s">
        <v>122</v>
      </c>
      <c r="F211" s="13" t="s">
        <v>176</v>
      </c>
      <c r="G211" s="16"/>
      <c r="H211" s="13" t="s">
        <v>28</v>
      </c>
      <c r="I211" s="13" t="s">
        <v>81</v>
      </c>
      <c r="J211" s="14"/>
      <c r="K211" s="16" t="str">
        <f t="array" ref="K211">IFERROR(VLOOKUP(B211, SORT('Nhật ký nộp hồ sơ '!B:D, 'Nhật ký nộp hồ sơ '!A:A, FALSE), 3, FALSE),"")</f>
        <v>Hoàn thành</v>
      </c>
      <c r="L211" s="16" t="str">
        <f t="shared" si="1"/>
        <v>Hoàn thành</v>
      </c>
      <c r="M211" s="13" t="s">
        <v>82</v>
      </c>
      <c r="N211" s="17">
        <f>IFERROR(__xludf.DUMMYFUNCTION("""COMPUTED_VALUE"""),45925.0)</f>
        <v>45925</v>
      </c>
      <c r="O211" s="17">
        <v>45928.0</v>
      </c>
      <c r="P211" s="17">
        <f>IFERROR(__xludf.DUMMYFUNCTION("IFERROR(QUERY('Nhật ký nộp hồ sơ '!A:I, ""SELECT I WHERE B = '""&amp;B211&amp;""' ORDER BY A DESC LIMIT 1"", 0))"),45933.0)</f>
        <v>45933</v>
      </c>
      <c r="Q211" s="17">
        <f t="shared" si="2"/>
        <v>45933</v>
      </c>
      <c r="R211" s="16">
        <v>1.0</v>
      </c>
      <c r="S211" s="16"/>
      <c r="T211" s="16"/>
      <c r="U211" s="14"/>
      <c r="V211" s="18" t="s">
        <v>34</v>
      </c>
      <c r="W211" s="16"/>
      <c r="X211" s="16"/>
    </row>
    <row r="212" ht="22.5" hidden="1" customHeight="1">
      <c r="A212" s="11">
        <v>45926.38265009259</v>
      </c>
      <c r="B212" s="12" t="s">
        <v>582</v>
      </c>
      <c r="C212" s="13" t="s">
        <v>190</v>
      </c>
      <c r="D212" s="14"/>
      <c r="E212" s="13" t="s">
        <v>26</v>
      </c>
      <c r="F212" s="13" t="s">
        <v>191</v>
      </c>
      <c r="G212" s="16"/>
      <c r="H212" s="13" t="s">
        <v>28</v>
      </c>
      <c r="I212" s="13" t="s">
        <v>81</v>
      </c>
      <c r="J212" s="14"/>
      <c r="K212" s="16" t="str">
        <f t="array" ref="K212">IFERROR(VLOOKUP(B212, SORT('Nhật ký nộp hồ sơ '!B:D, 'Nhật ký nộp hồ sơ '!A:A, FALSE), 3, FALSE),"")</f>
        <v>Nộp thành công - Chờ kết quả</v>
      </c>
      <c r="L212" s="16" t="str">
        <f t="shared" si="1"/>
        <v>Đã nộp</v>
      </c>
      <c r="M212" s="13" t="s">
        <v>82</v>
      </c>
      <c r="N212" s="17">
        <f>IFERROR(__xludf.DUMMYFUNCTION("""COMPUTED_VALUE"""),45926.0)</f>
        <v>45926</v>
      </c>
      <c r="O212" s="17">
        <v>45929.0</v>
      </c>
      <c r="P212" s="17">
        <f>IFERROR(__xludf.DUMMYFUNCTION("IFERROR(QUERY('Nhật ký nộp hồ sơ '!A:I, ""SELECT I WHERE B = '""&amp;B212&amp;""' ORDER BY A DESC LIMIT 1"", 0))"),45926.0)</f>
        <v>45926</v>
      </c>
      <c r="Q212" s="17" t="str">
        <f t="shared" si="2"/>
        <v/>
      </c>
      <c r="R212" s="16">
        <v>1.0</v>
      </c>
      <c r="S212" s="16"/>
      <c r="T212" s="16"/>
      <c r="U212" s="14"/>
      <c r="V212" s="18" t="s">
        <v>34</v>
      </c>
      <c r="W212" s="16"/>
      <c r="X212" s="16"/>
    </row>
    <row r="213" ht="22.5" hidden="1" customHeight="1">
      <c r="A213" s="11">
        <v>45926.700503263884</v>
      </c>
      <c r="B213" s="12" t="s">
        <v>583</v>
      </c>
      <c r="C213" s="13" t="s">
        <v>518</v>
      </c>
      <c r="D213" s="14"/>
      <c r="E213" s="13" t="s">
        <v>45</v>
      </c>
      <c r="F213" s="13" t="s">
        <v>89</v>
      </c>
      <c r="G213" s="16"/>
      <c r="H213" s="13" t="s">
        <v>28</v>
      </c>
      <c r="I213" s="13" t="s">
        <v>81</v>
      </c>
      <c r="J213" s="14"/>
      <c r="K213" s="16" t="str">
        <f t="array" ref="K213">IFERROR(VLOOKUP(B213, SORT('Nhật ký nộp hồ sơ '!B:D, 'Nhật ký nộp hồ sơ '!A:A, FALSE), 3, FALSE),"")</f>
        <v>Hoàn thành</v>
      </c>
      <c r="L213" s="16" t="str">
        <f t="shared" si="1"/>
        <v>Hoàn thành</v>
      </c>
      <c r="M213" s="13" t="s">
        <v>216</v>
      </c>
      <c r="N213" s="17">
        <f>IFERROR(__xludf.DUMMYFUNCTION("""COMPUTED_VALUE"""),45926.0)</f>
        <v>45926</v>
      </c>
      <c r="O213" s="17">
        <v>45929.0</v>
      </c>
      <c r="P213" s="17">
        <f>IFERROR(__xludf.DUMMYFUNCTION("IFERROR(QUERY('Nhật ký nộp hồ sơ '!A:I, ""SELECT I WHERE B = '""&amp;B213&amp;""' ORDER BY A DESC LIMIT 1"", 0))"),45926.0)</f>
        <v>45926</v>
      </c>
      <c r="Q213" s="17">
        <f t="shared" si="2"/>
        <v>45926</v>
      </c>
      <c r="R213" s="16">
        <v>4.0</v>
      </c>
      <c r="S213" s="16"/>
      <c r="T213" s="16"/>
      <c r="U213" s="14"/>
      <c r="V213" s="18" t="s">
        <v>34</v>
      </c>
      <c r="W213" s="16"/>
      <c r="X213" s="16"/>
    </row>
    <row r="214" ht="22.5" hidden="1" customHeight="1">
      <c r="A214" s="11">
        <v>45927.395609733794</v>
      </c>
      <c r="B214" s="12" t="s">
        <v>584</v>
      </c>
      <c r="C214" s="13" t="s">
        <v>585</v>
      </c>
      <c r="D214" s="14"/>
      <c r="E214" s="13" t="s">
        <v>74</v>
      </c>
      <c r="F214" s="13" t="s">
        <v>133</v>
      </c>
      <c r="G214" s="13">
        <v>9.09001624E8</v>
      </c>
      <c r="H214" s="13" t="s">
        <v>29</v>
      </c>
      <c r="I214" s="13" t="s">
        <v>47</v>
      </c>
      <c r="J214" s="14"/>
      <c r="K214" s="16" t="str">
        <f t="array" ref="K214">IFERROR(VLOOKUP(B214, SORT('Nhật ký nộp hồ sơ '!B:D, 'Nhật ký nộp hồ sơ '!A:A, FALSE), 3, FALSE),"")</f>
        <v>Hoàn thành</v>
      </c>
      <c r="L214" s="16" t="str">
        <f t="shared" si="1"/>
        <v>Hoàn thành</v>
      </c>
      <c r="M214" s="13" t="s">
        <v>41</v>
      </c>
      <c r="N214" s="17">
        <f>IFERROR(__xludf.DUMMYFUNCTION("""COMPUTED_VALUE"""),45927.0)</f>
        <v>45927</v>
      </c>
      <c r="O214" s="17">
        <v>45930.0</v>
      </c>
      <c r="P214" s="17">
        <f>IFERROR(__xludf.DUMMYFUNCTION("IFERROR(QUERY('Nhật ký nộp hồ sơ '!A:I, ""SELECT I WHERE B = '""&amp;B214&amp;""' ORDER BY A DESC LIMIT 1"", 0))"),45929.0)</f>
        <v>45929</v>
      </c>
      <c r="Q214" s="17">
        <f t="shared" si="2"/>
        <v>45929</v>
      </c>
      <c r="R214" s="16">
        <v>1.0</v>
      </c>
      <c r="S214" s="16"/>
      <c r="T214" s="16"/>
      <c r="U214" s="14"/>
      <c r="V214" s="18" t="s">
        <v>34</v>
      </c>
      <c r="W214" s="16"/>
      <c r="X214" s="16"/>
    </row>
    <row r="215" ht="22.5" hidden="1" customHeight="1">
      <c r="A215" s="11">
        <v>45930.421231608794</v>
      </c>
      <c r="B215" s="12" t="s">
        <v>586</v>
      </c>
      <c r="C215" s="13" t="s">
        <v>587</v>
      </c>
      <c r="D215" s="14"/>
      <c r="E215" s="13" t="s">
        <v>88</v>
      </c>
      <c r="F215" s="13" t="s">
        <v>133</v>
      </c>
      <c r="G215" s="16"/>
      <c r="H215" s="13" t="s">
        <v>100</v>
      </c>
      <c r="I215" s="13" t="s">
        <v>81</v>
      </c>
      <c r="J215" s="14"/>
      <c r="K215" s="16" t="str">
        <f t="array" ref="K215">IFERROR(VLOOKUP(B215, SORT('Nhật ký nộp hồ sơ '!B:D, 'Nhật ký nộp hồ sơ '!A:A, FALSE), 3, FALSE),"")</f>
        <v>Hoàn thành</v>
      </c>
      <c r="L215" s="16" t="str">
        <f t="shared" si="1"/>
        <v>Hoàn thành</v>
      </c>
      <c r="M215" s="13" t="s">
        <v>588</v>
      </c>
      <c r="N215" s="17">
        <f>IFERROR(__xludf.DUMMYFUNCTION("""COMPUTED_VALUE"""),45930.0)</f>
        <v>45930</v>
      </c>
      <c r="O215" s="17">
        <v>45933.0</v>
      </c>
      <c r="P215" s="17">
        <f>IFERROR(__xludf.DUMMYFUNCTION("IFERROR(QUERY('Nhật ký nộp hồ sơ '!A:I, ""SELECT I WHERE B = '""&amp;B215&amp;""' ORDER BY A DESC LIMIT 1"", 0))"),45993.0)</f>
        <v>45993</v>
      </c>
      <c r="Q215" s="17">
        <f t="shared" si="2"/>
        <v>45993</v>
      </c>
      <c r="R215" s="16">
        <v>5.0</v>
      </c>
      <c r="S215" s="16"/>
      <c r="T215" s="13"/>
      <c r="U215" s="14"/>
      <c r="V215" s="18" t="s">
        <v>34</v>
      </c>
      <c r="W215" s="16"/>
      <c r="X215" s="16"/>
    </row>
    <row r="216" ht="22.5" hidden="1" customHeight="1">
      <c r="A216" s="11">
        <v>45930.42995777778</v>
      </c>
      <c r="B216" s="12" t="s">
        <v>589</v>
      </c>
      <c r="C216" s="13" t="s">
        <v>590</v>
      </c>
      <c r="D216" s="14"/>
      <c r="E216" s="13" t="s">
        <v>122</v>
      </c>
      <c r="F216" s="13" t="s">
        <v>89</v>
      </c>
      <c r="G216" s="16"/>
      <c r="H216" s="13" t="s">
        <v>100</v>
      </c>
      <c r="I216" s="13" t="s">
        <v>81</v>
      </c>
      <c r="J216" s="14"/>
      <c r="K216" s="16" t="str">
        <f t="array" ref="K216">IFERROR(VLOOKUP(B216, SORT('Nhật ký nộp hồ sơ '!B:D, 'Nhật ký nộp hồ sơ '!A:A, FALSE), 3, FALSE),"")</f>
        <v>Hoàn thành</v>
      </c>
      <c r="L216" s="16" t="str">
        <f t="shared" si="1"/>
        <v>Hoàn thành</v>
      </c>
      <c r="M216" s="13" t="s">
        <v>82</v>
      </c>
      <c r="N216" s="17">
        <f>IFERROR(__xludf.DUMMYFUNCTION("""COMPUTED_VALUE"""),45930.0)</f>
        <v>45930</v>
      </c>
      <c r="O216" s="17">
        <v>45933.0</v>
      </c>
      <c r="P216" s="17">
        <f>IFERROR(__xludf.DUMMYFUNCTION("IFERROR(QUERY('Nhật ký nộp hồ sơ '!A:I, ""SELECT I WHERE B = '""&amp;B216&amp;""' ORDER BY A DESC LIMIT 1"", 0))"),45903.0)</f>
        <v>45903</v>
      </c>
      <c r="Q216" s="17">
        <f t="shared" si="2"/>
        <v>45903</v>
      </c>
      <c r="R216" s="16">
        <v>1.0</v>
      </c>
      <c r="S216" s="16"/>
      <c r="T216" s="16"/>
      <c r="U216" s="14"/>
      <c r="V216" s="18" t="s">
        <v>34</v>
      </c>
      <c r="W216" s="16"/>
      <c r="X216" s="16"/>
    </row>
    <row r="217" ht="22.5" hidden="1" customHeight="1">
      <c r="A217" s="11">
        <v>45930.43146034722</v>
      </c>
      <c r="B217" s="12" t="s">
        <v>591</v>
      </c>
      <c r="C217" s="13" t="s">
        <v>592</v>
      </c>
      <c r="D217" s="14"/>
      <c r="E217" s="13" t="s">
        <v>53</v>
      </c>
      <c r="F217" s="13" t="s">
        <v>133</v>
      </c>
      <c r="G217" s="16"/>
      <c r="H217" s="13" t="s">
        <v>100</v>
      </c>
      <c r="I217" s="13" t="s">
        <v>81</v>
      </c>
      <c r="J217" s="14"/>
      <c r="K217" s="16" t="str">
        <f t="array" ref="K217">IFERROR(VLOOKUP(B217, SORT('Nhật ký nộp hồ sơ '!B:D, 'Nhật ký nộp hồ sơ '!A:A, FALSE), 3, FALSE),"")</f>
        <v>Hủy</v>
      </c>
      <c r="L217" s="16" t="str">
        <f t="shared" si="1"/>
        <v>ĐÃ HỦY</v>
      </c>
      <c r="M217" s="13" t="s">
        <v>588</v>
      </c>
      <c r="N217" s="17">
        <f>IFERROR(__xludf.DUMMYFUNCTION("""COMPUTED_VALUE"""),45930.0)</f>
        <v>45930</v>
      </c>
      <c r="O217" s="17">
        <v>45933.0</v>
      </c>
      <c r="P217" s="17">
        <f>IFERROR(__xludf.DUMMYFUNCTION("IFERROR(QUERY('Nhật ký nộp hồ sơ '!A:I, ""SELECT I WHERE B = '""&amp;B217&amp;""' ORDER BY A DESC LIMIT 1"", 0))"),46039.0)</f>
        <v>46039</v>
      </c>
      <c r="Q217" s="17" t="str">
        <f t="shared" si="2"/>
        <v/>
      </c>
      <c r="R217" s="16">
        <v>1.0</v>
      </c>
      <c r="S217" s="13" t="s">
        <v>593</v>
      </c>
      <c r="T217" s="16"/>
      <c r="U217" s="14"/>
      <c r="V217" s="18" t="s">
        <v>34</v>
      </c>
      <c r="W217" s="16"/>
      <c r="X217" s="16"/>
    </row>
    <row r="218" ht="22.5" hidden="1" customHeight="1">
      <c r="A218" s="11">
        <v>45930.43400497685</v>
      </c>
      <c r="B218" s="12" t="s">
        <v>594</v>
      </c>
      <c r="C218" s="13" t="s">
        <v>595</v>
      </c>
      <c r="D218" s="14"/>
      <c r="E218" s="13" t="s">
        <v>53</v>
      </c>
      <c r="F218" s="13" t="s">
        <v>133</v>
      </c>
      <c r="G218" s="13" t="s">
        <v>596</v>
      </c>
      <c r="H218" s="13" t="s">
        <v>100</v>
      </c>
      <c r="I218" s="13" t="s">
        <v>81</v>
      </c>
      <c r="J218" s="14"/>
      <c r="K218" s="16" t="str">
        <f t="array" ref="K218">IFERROR(VLOOKUP(B218, SORT('Nhật ký nộp hồ sơ '!B:D, 'Nhật ký nộp hồ sơ '!A:A, FALSE), 3, FALSE),"")</f>
        <v>Hoàn thành</v>
      </c>
      <c r="L218" s="16" t="str">
        <f t="shared" si="1"/>
        <v>Hoàn thành</v>
      </c>
      <c r="M218" s="13" t="s">
        <v>588</v>
      </c>
      <c r="N218" s="17">
        <f>IFERROR(__xludf.DUMMYFUNCTION("""COMPUTED_VALUE"""),45930.0)</f>
        <v>45930</v>
      </c>
      <c r="O218" s="17">
        <v>45933.0</v>
      </c>
      <c r="P218" s="17">
        <f>IFERROR(__xludf.DUMMYFUNCTION("IFERROR(QUERY('Nhật ký nộp hồ sơ '!A:I, ""SELECT I WHERE B = '""&amp;B218&amp;""' ORDER BY A DESC LIMIT 1"", 0))"),45903.0)</f>
        <v>45903</v>
      </c>
      <c r="Q218" s="17">
        <f t="shared" si="2"/>
        <v>45903</v>
      </c>
      <c r="R218" s="16">
        <v>1.0</v>
      </c>
      <c r="S218" s="16"/>
      <c r="T218" s="16"/>
      <c r="U218" s="14"/>
      <c r="V218" s="18" t="s">
        <v>34</v>
      </c>
      <c r="W218" s="16"/>
      <c r="X218" s="16"/>
    </row>
    <row r="219" ht="22.5" hidden="1" customHeight="1">
      <c r="A219" s="11">
        <v>45930.43763748843</v>
      </c>
      <c r="B219" s="12" t="s">
        <v>597</v>
      </c>
      <c r="C219" s="13" t="s">
        <v>598</v>
      </c>
      <c r="D219" s="14"/>
      <c r="E219" s="13" t="s">
        <v>88</v>
      </c>
      <c r="F219" s="13" t="s">
        <v>599</v>
      </c>
      <c r="G219" s="16"/>
      <c r="H219" s="13" t="s">
        <v>100</v>
      </c>
      <c r="I219" s="13" t="s">
        <v>81</v>
      </c>
      <c r="J219" s="14"/>
      <c r="K219" s="16" t="str">
        <f t="array" ref="K219">IFERROR(VLOOKUP(B219, SORT('Nhật ký nộp hồ sơ '!B:D, 'Nhật ký nộp hồ sơ '!A:A, FALSE), 3, FALSE),"")</f>
        <v>Hủy</v>
      </c>
      <c r="L219" s="16" t="str">
        <f t="shared" si="1"/>
        <v>ĐÃ HỦY</v>
      </c>
      <c r="M219" s="13" t="s">
        <v>588</v>
      </c>
      <c r="N219" s="17">
        <f>IFERROR(__xludf.DUMMYFUNCTION("""COMPUTED_VALUE"""),45930.0)</f>
        <v>45930</v>
      </c>
      <c r="O219" s="17">
        <v>45933.0</v>
      </c>
      <c r="P219" s="17">
        <f>IFERROR(__xludf.DUMMYFUNCTION("IFERROR(QUERY('Nhật ký nộp hồ sơ '!A:I, ""SELECT I WHERE B = '""&amp;B219&amp;""' ORDER BY A DESC LIMIT 1"", 0))"),46039.0)</f>
        <v>46039</v>
      </c>
      <c r="Q219" s="17" t="str">
        <f t="shared" si="2"/>
        <v/>
      </c>
      <c r="R219" s="16">
        <v>3.0</v>
      </c>
      <c r="S219" s="16"/>
      <c r="T219" s="16"/>
      <c r="U219" s="14"/>
      <c r="V219" s="18" t="s">
        <v>34</v>
      </c>
      <c r="W219" s="16"/>
      <c r="X219" s="16"/>
    </row>
    <row r="220" ht="22.5" hidden="1" customHeight="1">
      <c r="A220" s="11">
        <v>45930.46768903935</v>
      </c>
      <c r="B220" s="12" t="s">
        <v>600</v>
      </c>
      <c r="C220" s="13" t="s">
        <v>595</v>
      </c>
      <c r="D220" s="14"/>
      <c r="E220" s="13" t="s">
        <v>53</v>
      </c>
      <c r="F220" s="13" t="s">
        <v>133</v>
      </c>
      <c r="G220" s="16"/>
      <c r="H220" s="13" t="s">
        <v>29</v>
      </c>
      <c r="I220" s="13" t="s">
        <v>47</v>
      </c>
      <c r="J220" s="14"/>
      <c r="K220" s="16" t="str">
        <f t="array" ref="K220">IFERROR(VLOOKUP(B220, SORT('Nhật ký nộp hồ sơ '!B:D, 'Nhật ký nộp hồ sơ '!A:A, FALSE), 3, FALSE),"")</f>
        <v>Hoàn thành</v>
      </c>
      <c r="L220" s="16" t="str">
        <f t="shared" si="1"/>
        <v>Hoàn thành</v>
      </c>
      <c r="M220" s="13" t="s">
        <v>216</v>
      </c>
      <c r="N220" s="17">
        <f>IFERROR(__xludf.DUMMYFUNCTION("""COMPUTED_VALUE"""),45930.0)</f>
        <v>45930</v>
      </c>
      <c r="O220" s="17">
        <v>45933.0</v>
      </c>
      <c r="P220" s="17">
        <f>IFERROR(__xludf.DUMMYFUNCTION("IFERROR(QUERY('Nhật ký nộp hồ sơ '!A:I, ""SELECT I WHERE B = '""&amp;B220&amp;""' ORDER BY A DESC LIMIT 1"", 0))"),45930.0)</f>
        <v>45930</v>
      </c>
      <c r="Q220" s="17">
        <f t="shared" si="2"/>
        <v>45930</v>
      </c>
      <c r="R220" s="16">
        <v>3.0</v>
      </c>
      <c r="S220" s="16"/>
      <c r="T220" s="16"/>
      <c r="U220" s="14"/>
      <c r="V220" s="18" t="s">
        <v>34</v>
      </c>
      <c r="W220" s="16"/>
      <c r="X220" s="16"/>
    </row>
    <row r="221" ht="22.5" hidden="1" customHeight="1">
      <c r="A221" s="11">
        <v>45930.47311525463</v>
      </c>
      <c r="B221" s="12" t="s">
        <v>601</v>
      </c>
      <c r="C221" s="13" t="s">
        <v>602</v>
      </c>
      <c r="D221" s="14"/>
      <c r="E221" s="13" t="s">
        <v>74</v>
      </c>
      <c r="F221" s="13" t="s">
        <v>133</v>
      </c>
      <c r="G221" s="20" t="s">
        <v>603</v>
      </c>
      <c r="H221" s="13" t="s">
        <v>29</v>
      </c>
      <c r="I221" s="13" t="s">
        <v>40</v>
      </c>
      <c r="J221" s="14"/>
      <c r="K221" s="16" t="str">
        <f t="array" ref="K221">IFERROR(VLOOKUP(B221, SORT('Nhật ký nộp hồ sơ '!B:D, 'Nhật ký nộp hồ sơ '!A:A, FALSE), 3, FALSE),"")</f>
        <v>Hoàn thành</v>
      </c>
      <c r="L221" s="16" t="str">
        <f t="shared" si="1"/>
        <v>Hoàn thành</v>
      </c>
      <c r="M221" s="13" t="s">
        <v>30</v>
      </c>
      <c r="N221" s="17">
        <f>IFERROR(__xludf.DUMMYFUNCTION("""COMPUTED_VALUE"""),45930.0)</f>
        <v>45930</v>
      </c>
      <c r="O221" s="17">
        <v>45933.0</v>
      </c>
      <c r="P221" s="17">
        <f>IFERROR(__xludf.DUMMYFUNCTION("IFERROR(QUERY('Nhật ký nộp hồ sơ '!A:I, ""SELECT I WHERE B = '""&amp;B221&amp;""' ORDER BY A DESC LIMIT 1"", 0))"),45995.0)</f>
        <v>45995</v>
      </c>
      <c r="Q221" s="17">
        <f t="shared" si="2"/>
        <v>45995</v>
      </c>
      <c r="R221" s="16">
        <v>2.0</v>
      </c>
      <c r="S221" s="16"/>
      <c r="T221" s="13" t="s">
        <v>604</v>
      </c>
      <c r="U221" s="14"/>
      <c r="V221" s="18" t="s">
        <v>34</v>
      </c>
      <c r="W221" s="16"/>
      <c r="X221" s="16"/>
    </row>
    <row r="222" ht="22.5" hidden="1" customHeight="1">
      <c r="A222" s="11">
        <v>45930.47645858796</v>
      </c>
      <c r="B222" s="12" t="s">
        <v>605</v>
      </c>
      <c r="C222" s="13" t="s">
        <v>606</v>
      </c>
      <c r="D222" s="14"/>
      <c r="E222" s="13" t="s">
        <v>26</v>
      </c>
      <c r="F222" s="13" t="s">
        <v>338</v>
      </c>
      <c r="G222" s="16"/>
      <c r="H222" s="13" t="s">
        <v>55</v>
      </c>
      <c r="I222" s="13" t="s">
        <v>29</v>
      </c>
      <c r="J222" s="14"/>
      <c r="K222" s="16" t="str">
        <f t="array" ref="K222">IFERROR(VLOOKUP(B222, SORT('Nhật ký nộp hồ sơ '!B:D, 'Nhật ký nộp hồ sơ '!A:A, FALSE), 3, FALSE),"")</f>
        <v>Hoàn thành</v>
      </c>
      <c r="L222" s="16" t="str">
        <f t="shared" si="1"/>
        <v>Hoàn thành</v>
      </c>
      <c r="M222" s="13" t="s">
        <v>56</v>
      </c>
      <c r="N222" s="17">
        <f>IFERROR(__xludf.DUMMYFUNCTION("""COMPUTED_VALUE"""),45930.0)</f>
        <v>45930</v>
      </c>
      <c r="O222" s="17">
        <v>45933.0</v>
      </c>
      <c r="P222" s="17">
        <f>IFERROR(__xludf.DUMMYFUNCTION("IFERROR(QUERY('Nhật ký nộp hồ sơ '!A:I, ""SELECT I WHERE B = '""&amp;B222&amp;""' ORDER BY A DESC LIMIT 1"", 0))"),45953.0)</f>
        <v>45953</v>
      </c>
      <c r="Q222" s="17">
        <f t="shared" si="2"/>
        <v>45953</v>
      </c>
      <c r="R222" s="16">
        <v>3.0</v>
      </c>
      <c r="S222" s="13" t="s">
        <v>607</v>
      </c>
      <c r="T222" s="16"/>
      <c r="U222" s="14"/>
      <c r="V222" s="18" t="s">
        <v>34</v>
      </c>
      <c r="W222" s="16"/>
      <c r="X222" s="16"/>
    </row>
    <row r="223" ht="22.5" hidden="1" customHeight="1">
      <c r="A223" s="11">
        <v>45930.58796697917</v>
      </c>
      <c r="B223" s="12" t="s">
        <v>608</v>
      </c>
      <c r="C223" s="13" t="s">
        <v>609</v>
      </c>
      <c r="D223" s="14"/>
      <c r="E223" s="13" t="s">
        <v>53</v>
      </c>
      <c r="F223" s="13" t="s">
        <v>133</v>
      </c>
      <c r="G223" s="13">
        <v>9.8705766E8</v>
      </c>
      <c r="H223" s="13" t="s">
        <v>69</v>
      </c>
      <c r="I223" s="13" t="s">
        <v>81</v>
      </c>
      <c r="J223" s="14"/>
      <c r="K223" s="16" t="str">
        <f t="array" ref="K223">IFERROR(VLOOKUP(B223, SORT('Nhật ký nộp hồ sơ '!B:D, 'Nhật ký nộp hồ sơ '!A:A, FALSE), 3, FALSE),"")</f>
        <v>Hoàn thành</v>
      </c>
      <c r="L223" s="16" t="str">
        <f t="shared" si="1"/>
        <v>Hoàn thành</v>
      </c>
      <c r="M223" s="13" t="s">
        <v>82</v>
      </c>
      <c r="N223" s="17">
        <f>IFERROR(__xludf.DUMMYFUNCTION("""COMPUTED_VALUE"""),45930.0)</f>
        <v>45930</v>
      </c>
      <c r="O223" s="17">
        <v>45933.0</v>
      </c>
      <c r="P223" s="17">
        <f>IFERROR(__xludf.DUMMYFUNCTION("IFERROR(QUERY('Nhật ký nộp hồ sơ '!A:I, ""SELECT I WHERE B = '""&amp;B223&amp;""' ORDER BY A DESC LIMIT 1"", 0))"),45987.0)</f>
        <v>45987</v>
      </c>
      <c r="Q223" s="17">
        <f t="shared" si="2"/>
        <v>45987</v>
      </c>
      <c r="R223" s="16">
        <v>1.0</v>
      </c>
      <c r="S223" s="16"/>
      <c r="T223" s="16"/>
      <c r="U223" s="14"/>
      <c r="V223" s="18" t="s">
        <v>34</v>
      </c>
      <c r="W223" s="16"/>
      <c r="X223" s="16"/>
    </row>
    <row r="224" ht="22.5" hidden="1" customHeight="1">
      <c r="A224" s="11">
        <v>45930.63216738426</v>
      </c>
      <c r="B224" s="12" t="s">
        <v>610</v>
      </c>
      <c r="C224" s="13" t="s">
        <v>337</v>
      </c>
      <c r="D224" s="14"/>
      <c r="E224" s="13" t="s">
        <v>122</v>
      </c>
      <c r="F224" s="13" t="s">
        <v>338</v>
      </c>
      <c r="G224" s="16"/>
      <c r="H224" s="13" t="s">
        <v>69</v>
      </c>
      <c r="I224" s="13" t="s">
        <v>40</v>
      </c>
      <c r="J224" s="14"/>
      <c r="K224" s="16" t="str">
        <f t="array" ref="K224">IFERROR(VLOOKUP(B224, SORT('Nhật ký nộp hồ sơ '!B:D, 'Nhật ký nộp hồ sơ '!A:A, FALSE), 3, FALSE),"")</f>
        <v>Hoàn thành</v>
      </c>
      <c r="L224" s="16" t="str">
        <f t="shared" si="1"/>
        <v>Hoàn thành</v>
      </c>
      <c r="M224" s="13" t="s">
        <v>216</v>
      </c>
      <c r="N224" s="17">
        <f>IFERROR(__xludf.DUMMYFUNCTION("""COMPUTED_VALUE"""),45930.0)</f>
        <v>45930</v>
      </c>
      <c r="O224" s="17">
        <v>45933.0</v>
      </c>
      <c r="P224" s="17">
        <f>IFERROR(__xludf.DUMMYFUNCTION("IFERROR(QUERY('Nhật ký nộp hồ sơ '!A:I, ""SELECT I WHERE B = '""&amp;B224&amp;""' ORDER BY A DESC LIMIT 1"", 0))"),45921.0)</f>
        <v>45921</v>
      </c>
      <c r="Q224" s="17">
        <f t="shared" si="2"/>
        <v>45921</v>
      </c>
      <c r="R224" s="16">
        <v>1.0</v>
      </c>
      <c r="S224" s="16"/>
      <c r="T224" s="16"/>
      <c r="U224" s="14"/>
      <c r="V224" s="18" t="s">
        <v>34</v>
      </c>
      <c r="W224" s="16"/>
      <c r="X224" s="16"/>
    </row>
    <row r="225" ht="22.5" hidden="1" customHeight="1">
      <c r="A225" s="11">
        <v>45930.63729460648</v>
      </c>
      <c r="B225" s="12" t="s">
        <v>611</v>
      </c>
      <c r="C225" s="13" t="s">
        <v>612</v>
      </c>
      <c r="D225" s="14"/>
      <c r="E225" s="13" t="s">
        <v>187</v>
      </c>
      <c r="F225" s="13" t="s">
        <v>133</v>
      </c>
      <c r="G225" s="16"/>
      <c r="H225" s="13" t="s">
        <v>69</v>
      </c>
      <c r="I225" s="13" t="s">
        <v>29</v>
      </c>
      <c r="J225" s="14"/>
      <c r="K225" s="16" t="str">
        <f t="array" ref="K225">IFERROR(VLOOKUP(B225, SORT('Nhật ký nộp hồ sơ '!B:D, 'Nhật ký nộp hồ sơ '!A:A, FALSE), 3, FALSE),"")</f>
        <v>Hoàn thành</v>
      </c>
      <c r="L225" s="16" t="str">
        <f t="shared" si="1"/>
        <v>Hoàn thành</v>
      </c>
      <c r="M225" s="13" t="s">
        <v>216</v>
      </c>
      <c r="N225" s="17">
        <f>IFERROR(__xludf.DUMMYFUNCTION("""COMPUTED_VALUE"""),45930.0)</f>
        <v>45930</v>
      </c>
      <c r="O225" s="17">
        <v>45933.0</v>
      </c>
      <c r="P225" s="17">
        <f>IFERROR(__xludf.DUMMYFUNCTION("IFERROR(QUERY('Nhật ký nộp hồ sơ '!A:I, ""SELECT I WHERE B = '""&amp;B225&amp;""' ORDER BY A DESC LIMIT 1"", 0))"),45921.0)</f>
        <v>45921</v>
      </c>
      <c r="Q225" s="17">
        <f t="shared" si="2"/>
        <v>45921</v>
      </c>
      <c r="R225" s="16">
        <v>1.0</v>
      </c>
      <c r="S225" s="16"/>
      <c r="T225" s="16"/>
      <c r="U225" s="14"/>
      <c r="V225" s="18" t="s">
        <v>34</v>
      </c>
      <c r="W225" s="16"/>
      <c r="X225" s="16"/>
    </row>
    <row r="226" ht="22.5" hidden="1" customHeight="1">
      <c r="A226" s="11">
        <v>45930.64481346065</v>
      </c>
      <c r="B226" s="12" t="s">
        <v>613</v>
      </c>
      <c r="C226" s="13" t="s">
        <v>337</v>
      </c>
      <c r="D226" s="14"/>
      <c r="E226" s="13" t="s">
        <v>122</v>
      </c>
      <c r="F226" s="13" t="s">
        <v>614</v>
      </c>
      <c r="G226" s="16"/>
      <c r="H226" s="13" t="s">
        <v>69</v>
      </c>
      <c r="I226" s="13" t="s">
        <v>40</v>
      </c>
      <c r="J226" s="14"/>
      <c r="K226" s="16" t="str">
        <f t="array" ref="K226">IFERROR(VLOOKUP(B226, SORT('Nhật ký nộp hồ sơ '!B:D, 'Nhật ký nộp hồ sơ '!A:A, FALSE), 3, FALSE),"")</f>
        <v>Hoàn thành</v>
      </c>
      <c r="L226" s="16" t="str">
        <f t="shared" si="1"/>
        <v>Hoàn thành</v>
      </c>
      <c r="M226" s="13" t="s">
        <v>216</v>
      </c>
      <c r="N226" s="17">
        <f>IFERROR(__xludf.DUMMYFUNCTION("""COMPUTED_VALUE"""),45930.0)</f>
        <v>45930</v>
      </c>
      <c r="O226" s="17">
        <v>45933.0</v>
      </c>
      <c r="P226" s="17">
        <f>IFERROR(__xludf.DUMMYFUNCTION("IFERROR(QUERY('Nhật ký nộp hồ sơ '!A:I, ""SELECT I WHERE B = '""&amp;B226&amp;""' ORDER BY A DESC LIMIT 1"", 0))"),45921.0)</f>
        <v>45921</v>
      </c>
      <c r="Q226" s="17">
        <f t="shared" si="2"/>
        <v>45921</v>
      </c>
      <c r="R226" s="16">
        <v>2.0</v>
      </c>
      <c r="S226" s="16"/>
      <c r="T226" s="16"/>
      <c r="U226" s="14"/>
      <c r="V226" s="18" t="s">
        <v>34</v>
      </c>
      <c r="W226" s="16"/>
      <c r="X226" s="16"/>
    </row>
    <row r="227" ht="22.5" hidden="1" customHeight="1">
      <c r="A227" s="11">
        <v>45930.7206034375</v>
      </c>
      <c r="B227" s="12" t="s">
        <v>615</v>
      </c>
      <c r="C227" s="13" t="s">
        <v>616</v>
      </c>
      <c r="D227" s="14"/>
      <c r="E227" s="13" t="s">
        <v>53</v>
      </c>
      <c r="F227" s="13" t="s">
        <v>133</v>
      </c>
      <c r="G227" s="20" t="s">
        <v>617</v>
      </c>
      <c r="H227" s="13" t="s">
        <v>69</v>
      </c>
      <c r="I227" s="13" t="s">
        <v>81</v>
      </c>
      <c r="J227" s="14"/>
      <c r="K227" s="16" t="str">
        <f t="array" ref="K227">IFERROR(VLOOKUP(B227, SORT('Nhật ký nộp hồ sơ '!B:D, 'Nhật ký nộp hồ sơ '!A:A, FALSE), 3, FALSE),"")</f>
        <v>Hoàn thành</v>
      </c>
      <c r="L227" s="16" t="str">
        <f t="shared" si="1"/>
        <v>Hoàn thành</v>
      </c>
      <c r="M227" s="13" t="s">
        <v>56</v>
      </c>
      <c r="N227" s="17">
        <f>IFERROR(__xludf.DUMMYFUNCTION("""COMPUTED_VALUE"""),45930.0)</f>
        <v>45930</v>
      </c>
      <c r="O227" s="17">
        <v>45933.0</v>
      </c>
      <c r="P227" s="17">
        <f>IFERROR(__xludf.DUMMYFUNCTION("IFERROR(QUERY('Nhật ký nộp hồ sơ '!A:I, ""SELECT I WHERE B = '""&amp;B227&amp;""' ORDER BY A DESC LIMIT 1"", 0))"),45975.0)</f>
        <v>45975</v>
      </c>
      <c r="Q227" s="17">
        <f t="shared" si="2"/>
        <v>45975</v>
      </c>
      <c r="R227" s="16">
        <v>4.0</v>
      </c>
      <c r="S227" s="16"/>
      <c r="T227" s="16"/>
      <c r="U227" s="14"/>
      <c r="V227" s="18" t="s">
        <v>34</v>
      </c>
      <c r="W227" s="16"/>
      <c r="X227" s="16"/>
    </row>
    <row r="228" ht="22.5" hidden="1" customHeight="1">
      <c r="A228" s="11">
        <v>45931.48312366898</v>
      </c>
      <c r="B228" s="12" t="s">
        <v>618</v>
      </c>
      <c r="C228" s="13" t="s">
        <v>619</v>
      </c>
      <c r="D228" s="14"/>
      <c r="E228" s="13" t="s">
        <v>151</v>
      </c>
      <c r="F228" s="13" t="s">
        <v>620</v>
      </c>
      <c r="G228" s="16"/>
      <c r="H228" s="13" t="s">
        <v>69</v>
      </c>
      <c r="I228" s="13" t="s">
        <v>29</v>
      </c>
      <c r="J228" s="14"/>
      <c r="K228" s="16" t="str">
        <f t="array" ref="K228">IFERROR(VLOOKUP(B228, SORT('Nhật ký nộp hồ sơ '!B:D, 'Nhật ký nộp hồ sơ '!A:A, FALSE), 3, FALSE),"")</f>
        <v>Hoàn thành</v>
      </c>
      <c r="L228" s="16" t="str">
        <f t="shared" si="1"/>
        <v>Hoàn thành</v>
      </c>
      <c r="M228" s="13" t="s">
        <v>216</v>
      </c>
      <c r="N228" s="17">
        <f>IFERROR(__xludf.DUMMYFUNCTION("""COMPUTED_VALUE"""),45931.0)</f>
        <v>45931</v>
      </c>
      <c r="O228" s="17">
        <v>45934.0</v>
      </c>
      <c r="P228" s="17">
        <f>IFERROR(__xludf.DUMMYFUNCTION("IFERROR(QUERY('Nhật ký nộp hồ sơ '!A:I, ""SELECT I WHERE B = '""&amp;B228&amp;""' ORDER BY A DESC LIMIT 1"", 0))"),45932.0)</f>
        <v>45932</v>
      </c>
      <c r="Q228" s="17">
        <f t="shared" si="2"/>
        <v>45932</v>
      </c>
      <c r="R228" s="16">
        <v>1.0</v>
      </c>
      <c r="S228" s="16"/>
      <c r="T228" s="16"/>
      <c r="U228" s="14"/>
      <c r="V228" s="18" t="s">
        <v>34</v>
      </c>
      <c r="W228" s="16"/>
      <c r="X228" s="16"/>
    </row>
    <row r="229" ht="22.5" hidden="1" customHeight="1">
      <c r="A229" s="11">
        <v>45931.48514675926</v>
      </c>
      <c r="B229" s="12" t="s">
        <v>621</v>
      </c>
      <c r="C229" s="13" t="s">
        <v>553</v>
      </c>
      <c r="D229" s="14"/>
      <c r="E229" s="13" t="s">
        <v>53</v>
      </c>
      <c r="F229" s="13" t="s">
        <v>554</v>
      </c>
      <c r="G229" s="16"/>
      <c r="H229" s="13" t="s">
        <v>47</v>
      </c>
      <c r="I229" s="13" t="s">
        <v>81</v>
      </c>
      <c r="J229" s="18" t="s">
        <v>202</v>
      </c>
      <c r="K229" s="16" t="str">
        <f t="array" ref="K229">IFERROR(VLOOKUP(B229, SORT('Nhật ký nộp hồ sơ '!B:D, 'Nhật ký nộp hồ sơ '!A:A, FALSE), 3, FALSE),"")</f>
        <v>Hoàn thành</v>
      </c>
      <c r="L229" s="16" t="str">
        <f t="shared" si="1"/>
        <v>Hoàn thành</v>
      </c>
      <c r="M229" s="13" t="s">
        <v>56</v>
      </c>
      <c r="N229" s="17">
        <f>IFERROR(__xludf.DUMMYFUNCTION("""COMPUTED_VALUE"""),45931.0)</f>
        <v>45931</v>
      </c>
      <c r="O229" s="17">
        <v>45932.0</v>
      </c>
      <c r="P229" s="17">
        <f>IFERROR(__xludf.DUMMYFUNCTION("IFERROR(QUERY('Nhật ký nộp hồ sơ '!A:I, ""SELECT I WHERE B = '""&amp;B229&amp;""' ORDER BY A DESC LIMIT 1"", 0))"),45985.0)</f>
        <v>45985</v>
      </c>
      <c r="Q229" s="17">
        <f t="shared" si="2"/>
        <v>45985</v>
      </c>
      <c r="R229" s="16">
        <v>1.0</v>
      </c>
      <c r="S229" s="16"/>
      <c r="T229" s="13" t="s">
        <v>622</v>
      </c>
      <c r="U229" s="14"/>
      <c r="V229" s="18" t="s">
        <v>34</v>
      </c>
      <c r="W229" s="16"/>
      <c r="X229" s="16"/>
    </row>
    <row r="230" ht="22.5" hidden="1" customHeight="1">
      <c r="A230" s="11">
        <v>45931.671927766205</v>
      </c>
      <c r="B230" s="12" t="s">
        <v>623</v>
      </c>
      <c r="C230" s="13" t="s">
        <v>624</v>
      </c>
      <c r="D230" s="14"/>
      <c r="E230" s="13" t="s">
        <v>53</v>
      </c>
      <c r="F230" s="13" t="s">
        <v>554</v>
      </c>
      <c r="G230" s="16"/>
      <c r="H230" s="13" t="s">
        <v>28</v>
      </c>
      <c r="I230" s="13" t="s">
        <v>81</v>
      </c>
      <c r="J230" s="14"/>
      <c r="K230" s="16" t="str">
        <f t="array" ref="K230">IFERROR(VLOOKUP(B230, SORT('Nhật ký nộp hồ sơ '!B:D, 'Nhật ký nộp hồ sơ '!A:A, FALSE), 3, FALSE),"")</f>
        <v>Hủy</v>
      </c>
      <c r="L230" s="16" t="str">
        <f t="shared" si="1"/>
        <v>ĐÃ HỦY</v>
      </c>
      <c r="M230" s="13" t="s">
        <v>56</v>
      </c>
      <c r="N230" s="17">
        <f>IFERROR(__xludf.DUMMYFUNCTION("""COMPUTED_VALUE"""),45931.0)</f>
        <v>45931</v>
      </c>
      <c r="O230" s="17">
        <v>45934.0</v>
      </c>
      <c r="P230" s="17">
        <f>IFERROR(__xludf.DUMMYFUNCTION("IFERROR(QUERY('Nhật ký nộp hồ sơ '!A:I, ""SELECT I WHERE B = '""&amp;B230&amp;""' ORDER BY A DESC LIMIT 1"", 0))"),46038.0)</f>
        <v>46038</v>
      </c>
      <c r="Q230" s="17" t="str">
        <f t="shared" si="2"/>
        <v/>
      </c>
      <c r="R230" s="16">
        <v>2.0</v>
      </c>
      <c r="S230" s="13" t="s">
        <v>625</v>
      </c>
      <c r="T230" s="16"/>
      <c r="U230" s="14"/>
      <c r="V230" s="18" t="s">
        <v>34</v>
      </c>
      <c r="W230" s="16"/>
      <c r="X230" s="16"/>
    </row>
    <row r="231" ht="22.5" hidden="1" customHeight="1">
      <c r="A231" s="11">
        <v>45931.67280939815</v>
      </c>
      <c r="B231" s="12" t="s">
        <v>626</v>
      </c>
      <c r="C231" s="13" t="s">
        <v>627</v>
      </c>
      <c r="D231" s="14"/>
      <c r="E231" s="13" t="s">
        <v>53</v>
      </c>
      <c r="F231" s="13" t="s">
        <v>554</v>
      </c>
      <c r="G231" s="16"/>
      <c r="H231" s="13" t="s">
        <v>28</v>
      </c>
      <c r="I231" s="13" t="s">
        <v>81</v>
      </c>
      <c r="J231" s="14"/>
      <c r="K231" s="16" t="str">
        <f t="array" ref="K231">IFERROR(VLOOKUP(B231, SORT('Nhật ký nộp hồ sơ '!B:D, 'Nhật ký nộp hồ sơ '!A:A, FALSE), 3, FALSE),"")</f>
        <v>Hủy</v>
      </c>
      <c r="L231" s="16" t="str">
        <f t="shared" si="1"/>
        <v>ĐÃ HỦY</v>
      </c>
      <c r="M231" s="13" t="s">
        <v>56</v>
      </c>
      <c r="N231" s="17">
        <f>IFERROR(__xludf.DUMMYFUNCTION("""COMPUTED_VALUE"""),45931.0)</f>
        <v>45931</v>
      </c>
      <c r="O231" s="17">
        <v>45934.0</v>
      </c>
      <c r="P231" s="17">
        <f>IFERROR(__xludf.DUMMYFUNCTION("IFERROR(QUERY('Nhật ký nộp hồ sơ '!A:I, ""SELECT I WHERE B = '""&amp;B231&amp;""' ORDER BY A DESC LIMIT 1"", 0))"),46038.0)</f>
        <v>46038</v>
      </c>
      <c r="Q231" s="17" t="str">
        <f t="shared" si="2"/>
        <v/>
      </c>
      <c r="R231" s="16">
        <v>1.0</v>
      </c>
      <c r="S231" s="13" t="s">
        <v>628</v>
      </c>
      <c r="T231" s="16"/>
      <c r="U231" s="14"/>
      <c r="V231" s="18" t="s">
        <v>34</v>
      </c>
      <c r="W231" s="16"/>
      <c r="X231" s="16"/>
    </row>
    <row r="232" ht="22.5" hidden="1" customHeight="1">
      <c r="A232" s="11">
        <v>45931.67368883102</v>
      </c>
      <c r="B232" s="12" t="s">
        <v>629</v>
      </c>
      <c r="C232" s="13" t="s">
        <v>557</v>
      </c>
      <c r="D232" s="14"/>
      <c r="E232" s="13" t="s">
        <v>53</v>
      </c>
      <c r="F232" s="13" t="s">
        <v>554</v>
      </c>
      <c r="G232" s="16"/>
      <c r="H232" s="13" t="s">
        <v>28</v>
      </c>
      <c r="I232" s="13" t="s">
        <v>81</v>
      </c>
      <c r="J232" s="14"/>
      <c r="K232" s="16" t="str">
        <f t="array" ref="K232">IFERROR(VLOOKUP(B232, SORT('Nhật ký nộp hồ sơ '!B:D, 'Nhật ký nộp hồ sơ '!A:A, FALSE), 3, FALSE),"")</f>
        <v>Hủy</v>
      </c>
      <c r="L232" s="16" t="str">
        <f t="shared" si="1"/>
        <v>ĐÃ HỦY</v>
      </c>
      <c r="M232" s="13" t="s">
        <v>56</v>
      </c>
      <c r="N232" s="17">
        <f>IFERROR(__xludf.DUMMYFUNCTION("""COMPUTED_VALUE"""),45931.0)</f>
        <v>45931</v>
      </c>
      <c r="O232" s="17">
        <v>45934.0</v>
      </c>
      <c r="P232" s="17">
        <f>IFERROR(__xludf.DUMMYFUNCTION("IFERROR(QUERY('Nhật ký nộp hồ sơ '!A:I, ""SELECT I WHERE B = '""&amp;B232&amp;""' ORDER BY A DESC LIMIT 1"", 0))"),46038.0)</f>
        <v>46038</v>
      </c>
      <c r="Q232" s="17" t="str">
        <f t="shared" si="2"/>
        <v/>
      </c>
      <c r="R232" s="16">
        <v>3.0</v>
      </c>
      <c r="S232" s="13" t="s">
        <v>630</v>
      </c>
      <c r="T232" s="16"/>
      <c r="U232" s="14"/>
      <c r="V232" s="18" t="s">
        <v>34</v>
      </c>
      <c r="W232" s="16"/>
      <c r="X232" s="16"/>
    </row>
    <row r="233" ht="22.5" hidden="1" customHeight="1">
      <c r="A233" s="11">
        <v>45931.67440809028</v>
      </c>
      <c r="B233" s="12" t="s">
        <v>631</v>
      </c>
      <c r="C233" s="13" t="s">
        <v>557</v>
      </c>
      <c r="D233" s="14"/>
      <c r="E233" s="13" t="s">
        <v>53</v>
      </c>
      <c r="F233" s="13" t="s">
        <v>554</v>
      </c>
      <c r="G233" s="16"/>
      <c r="H233" s="13" t="s">
        <v>28</v>
      </c>
      <c r="I233" s="13" t="s">
        <v>81</v>
      </c>
      <c r="J233" s="14"/>
      <c r="K233" s="16" t="str">
        <f t="array" ref="K233">IFERROR(VLOOKUP(B233, SORT('Nhật ký nộp hồ sơ '!B:D, 'Nhật ký nộp hồ sơ '!A:A, FALSE), 3, FALSE),"")</f>
        <v>Hoàn thành</v>
      </c>
      <c r="L233" s="16" t="str">
        <f t="shared" si="1"/>
        <v>Hoàn thành</v>
      </c>
      <c r="M233" s="13" t="s">
        <v>56</v>
      </c>
      <c r="N233" s="17">
        <f>IFERROR(__xludf.DUMMYFUNCTION("""COMPUTED_VALUE"""),45931.0)</f>
        <v>45931</v>
      </c>
      <c r="O233" s="17">
        <v>45934.0</v>
      </c>
      <c r="P233" s="17">
        <f>IFERROR(__xludf.DUMMYFUNCTION("IFERROR(QUERY('Nhật ký nộp hồ sơ '!A:I, ""SELECT I WHERE B = '""&amp;B233&amp;""' ORDER BY A DESC LIMIT 1"", 0))"),45967.0)</f>
        <v>45967</v>
      </c>
      <c r="Q233" s="17">
        <f t="shared" si="2"/>
        <v>45967</v>
      </c>
      <c r="R233" s="16">
        <v>2.0</v>
      </c>
      <c r="S233" s="13" t="s">
        <v>632</v>
      </c>
      <c r="T233" s="16"/>
      <c r="U233" s="14"/>
      <c r="V233" s="18" t="s">
        <v>34</v>
      </c>
      <c r="W233" s="16"/>
      <c r="X233" s="16"/>
    </row>
    <row r="234" ht="22.5" hidden="1" customHeight="1">
      <c r="A234" s="11">
        <v>45931.67506466435</v>
      </c>
      <c r="B234" s="12" t="s">
        <v>633</v>
      </c>
      <c r="C234" s="13" t="s">
        <v>557</v>
      </c>
      <c r="D234" s="14"/>
      <c r="E234" s="13" t="s">
        <v>53</v>
      </c>
      <c r="F234" s="13" t="s">
        <v>554</v>
      </c>
      <c r="G234" s="16"/>
      <c r="H234" s="13" t="s">
        <v>28</v>
      </c>
      <c r="I234" s="13" t="s">
        <v>81</v>
      </c>
      <c r="J234" s="14"/>
      <c r="K234" s="16" t="str">
        <f t="array" ref="K234">IFERROR(VLOOKUP(B234, SORT('Nhật ký nộp hồ sơ '!B:D, 'Nhật ký nộp hồ sơ '!A:A, FALSE), 3, FALSE),"")</f>
        <v>Hoàn thành</v>
      </c>
      <c r="L234" s="16" t="str">
        <f t="shared" si="1"/>
        <v>Hoàn thành</v>
      </c>
      <c r="M234" s="13" t="s">
        <v>56</v>
      </c>
      <c r="N234" s="17">
        <f>IFERROR(__xludf.DUMMYFUNCTION("""COMPUTED_VALUE"""),45931.0)</f>
        <v>45931</v>
      </c>
      <c r="O234" s="17">
        <v>45934.0</v>
      </c>
      <c r="P234" s="17">
        <f>IFERROR(__xludf.DUMMYFUNCTION("IFERROR(QUERY('Nhật ký nộp hồ sơ '!A:I, ""SELECT I WHERE B = '""&amp;B234&amp;""' ORDER BY A DESC LIMIT 1"", 0))"),45966.0)</f>
        <v>45966</v>
      </c>
      <c r="Q234" s="17">
        <f t="shared" si="2"/>
        <v>45966</v>
      </c>
      <c r="R234" s="16">
        <v>4.0</v>
      </c>
      <c r="S234" s="13" t="s">
        <v>634</v>
      </c>
      <c r="T234" s="16"/>
      <c r="U234" s="14"/>
      <c r="V234" s="18" t="s">
        <v>34</v>
      </c>
      <c r="W234" s="16"/>
      <c r="X234" s="16"/>
    </row>
    <row r="235" ht="22.5" hidden="1" customHeight="1">
      <c r="A235" s="11">
        <v>45931.67567643519</v>
      </c>
      <c r="B235" s="12" t="s">
        <v>635</v>
      </c>
      <c r="C235" s="13" t="s">
        <v>627</v>
      </c>
      <c r="D235" s="14"/>
      <c r="E235" s="13" t="s">
        <v>53</v>
      </c>
      <c r="F235" s="13" t="s">
        <v>554</v>
      </c>
      <c r="G235" s="16"/>
      <c r="H235" s="13" t="s">
        <v>28</v>
      </c>
      <c r="I235" s="13" t="s">
        <v>81</v>
      </c>
      <c r="J235" s="14"/>
      <c r="K235" s="16" t="str">
        <f t="array" ref="K235">IFERROR(VLOOKUP(B235, SORT('Nhật ký nộp hồ sơ '!B:D, 'Nhật ký nộp hồ sơ '!A:A, FALSE), 3, FALSE),"")</f>
        <v>Nộp thành công - Chờ kết quả</v>
      </c>
      <c r="L235" s="16" t="str">
        <f t="shared" si="1"/>
        <v>Đã nộp</v>
      </c>
      <c r="M235" s="13" t="s">
        <v>56</v>
      </c>
      <c r="N235" s="17">
        <f>IFERROR(__xludf.DUMMYFUNCTION("""COMPUTED_VALUE"""),45931.0)</f>
        <v>45931</v>
      </c>
      <c r="O235" s="17">
        <v>45934.0</v>
      </c>
      <c r="P235" s="17">
        <f>IFERROR(__xludf.DUMMYFUNCTION("IFERROR(QUERY('Nhật ký nộp hồ sơ '!A:I, ""SELECT I WHERE B = '""&amp;B235&amp;""' ORDER BY A DESC LIMIT 1"", 0))"),45960.0)</f>
        <v>45960</v>
      </c>
      <c r="Q235" s="17" t="str">
        <f t="shared" si="2"/>
        <v/>
      </c>
      <c r="R235" s="16">
        <v>1.0</v>
      </c>
      <c r="S235" s="13" t="s">
        <v>636</v>
      </c>
      <c r="T235" s="16"/>
      <c r="U235" s="14"/>
      <c r="V235" s="18" t="s">
        <v>34</v>
      </c>
      <c r="W235" s="16"/>
      <c r="X235" s="16"/>
    </row>
    <row r="236" ht="22.5" hidden="1" customHeight="1">
      <c r="A236" s="11">
        <v>45931.67656918982</v>
      </c>
      <c r="B236" s="12" t="s">
        <v>637</v>
      </c>
      <c r="C236" s="13" t="s">
        <v>627</v>
      </c>
      <c r="D236" s="14"/>
      <c r="E236" s="13" t="s">
        <v>53</v>
      </c>
      <c r="F236" s="13" t="s">
        <v>554</v>
      </c>
      <c r="G236" s="16"/>
      <c r="H236" s="13" t="s">
        <v>28</v>
      </c>
      <c r="I236" s="13" t="s">
        <v>81</v>
      </c>
      <c r="J236" s="14"/>
      <c r="K236" s="16" t="str">
        <f t="array" ref="K236">IFERROR(VLOOKUP(B236, SORT('Nhật ký nộp hồ sơ '!B:D, 'Nhật ký nộp hồ sơ '!A:A, FALSE), 3, FALSE),"")</f>
        <v>Hoàn thành</v>
      </c>
      <c r="L236" s="16" t="str">
        <f t="shared" si="1"/>
        <v>Hoàn thành</v>
      </c>
      <c r="M236" s="13" t="s">
        <v>56</v>
      </c>
      <c r="N236" s="17">
        <f>IFERROR(__xludf.DUMMYFUNCTION("""COMPUTED_VALUE"""),45931.0)</f>
        <v>45931</v>
      </c>
      <c r="O236" s="17">
        <v>45934.0</v>
      </c>
      <c r="P236" s="17">
        <f>IFERROR(__xludf.DUMMYFUNCTION("IFERROR(QUERY('Nhật ký nộp hồ sơ '!A:I, ""SELECT I WHERE B = '""&amp;B236&amp;""' ORDER BY A DESC LIMIT 1"", 0))"),45967.0)</f>
        <v>45967</v>
      </c>
      <c r="Q236" s="17">
        <f t="shared" si="2"/>
        <v>45967</v>
      </c>
      <c r="R236" s="16">
        <v>1.0</v>
      </c>
      <c r="S236" s="13" t="s">
        <v>638</v>
      </c>
      <c r="T236" s="16"/>
      <c r="U236" s="14"/>
      <c r="V236" s="18" t="s">
        <v>34</v>
      </c>
      <c r="W236" s="16"/>
      <c r="X236" s="16"/>
    </row>
    <row r="237" ht="22.5" hidden="1" customHeight="1">
      <c r="A237" s="11">
        <v>45931.67740594907</v>
      </c>
      <c r="B237" s="12" t="s">
        <v>639</v>
      </c>
      <c r="C237" s="13" t="s">
        <v>553</v>
      </c>
      <c r="D237" s="14"/>
      <c r="E237" s="13" t="s">
        <v>53</v>
      </c>
      <c r="F237" s="13" t="s">
        <v>554</v>
      </c>
      <c r="G237" s="16"/>
      <c r="H237" s="13" t="s">
        <v>28</v>
      </c>
      <c r="I237" s="13" t="s">
        <v>81</v>
      </c>
      <c r="J237" s="14"/>
      <c r="K237" s="16" t="str">
        <f t="array" ref="K237">IFERROR(VLOOKUP(B237, SORT('Nhật ký nộp hồ sơ '!B:D, 'Nhật ký nộp hồ sơ '!A:A, FALSE), 3, FALSE),"")</f>
        <v>Hủy</v>
      </c>
      <c r="L237" s="16" t="str">
        <f t="shared" si="1"/>
        <v>ĐÃ HỦY</v>
      </c>
      <c r="M237" s="13" t="s">
        <v>56</v>
      </c>
      <c r="N237" s="17">
        <f>IFERROR(__xludf.DUMMYFUNCTION("""COMPUTED_VALUE"""),45931.0)</f>
        <v>45931</v>
      </c>
      <c r="O237" s="17">
        <v>45934.0</v>
      </c>
      <c r="P237" s="17">
        <f>IFERROR(__xludf.DUMMYFUNCTION("IFERROR(QUERY('Nhật ký nộp hồ sơ '!A:I, ""SELECT I WHERE B = '""&amp;B237&amp;""' ORDER BY A DESC LIMIT 1"", 0))"),46038.0)</f>
        <v>46038</v>
      </c>
      <c r="Q237" s="17" t="str">
        <f t="shared" si="2"/>
        <v/>
      </c>
      <c r="R237" s="16">
        <v>1.0</v>
      </c>
      <c r="S237" s="13" t="s">
        <v>640</v>
      </c>
      <c r="T237" s="16"/>
      <c r="U237" s="14"/>
      <c r="V237" s="18" t="s">
        <v>34</v>
      </c>
      <c r="W237" s="16"/>
      <c r="X237" s="16"/>
    </row>
    <row r="238" ht="22.5" hidden="1" customHeight="1">
      <c r="A238" s="11">
        <v>45931.67831732639</v>
      </c>
      <c r="B238" s="12" t="s">
        <v>641</v>
      </c>
      <c r="C238" s="13" t="s">
        <v>553</v>
      </c>
      <c r="D238" s="14"/>
      <c r="E238" s="13" t="s">
        <v>53</v>
      </c>
      <c r="F238" s="13" t="s">
        <v>554</v>
      </c>
      <c r="G238" s="16"/>
      <c r="H238" s="13" t="s">
        <v>28</v>
      </c>
      <c r="I238" s="13" t="s">
        <v>81</v>
      </c>
      <c r="J238" s="14"/>
      <c r="K238" s="16" t="str">
        <f t="array" ref="K238">IFERROR(VLOOKUP(B238, SORT('Nhật ký nộp hồ sơ '!B:D, 'Nhật ký nộp hồ sơ '!A:A, FALSE), 3, FALSE),"")</f>
        <v>Hủy</v>
      </c>
      <c r="L238" s="16" t="str">
        <f t="shared" si="1"/>
        <v>ĐÃ HỦY</v>
      </c>
      <c r="M238" s="13" t="s">
        <v>56</v>
      </c>
      <c r="N238" s="17">
        <f>IFERROR(__xludf.DUMMYFUNCTION("""COMPUTED_VALUE"""),45931.0)</f>
        <v>45931</v>
      </c>
      <c r="O238" s="17">
        <v>45934.0</v>
      </c>
      <c r="P238" s="17">
        <f>IFERROR(__xludf.DUMMYFUNCTION("IFERROR(QUERY('Nhật ký nộp hồ sơ '!A:I, ""SELECT I WHERE B = '""&amp;B238&amp;""' ORDER BY A DESC LIMIT 1"", 0))"),46038.0)</f>
        <v>46038</v>
      </c>
      <c r="Q238" s="17" t="str">
        <f t="shared" si="2"/>
        <v/>
      </c>
      <c r="R238" s="16">
        <v>4.0</v>
      </c>
      <c r="S238" s="13" t="s">
        <v>642</v>
      </c>
      <c r="T238" s="16"/>
      <c r="U238" s="14"/>
      <c r="V238" s="18" t="s">
        <v>34</v>
      </c>
      <c r="W238" s="16"/>
      <c r="X238" s="16"/>
    </row>
    <row r="239" ht="22.5" hidden="1" customHeight="1">
      <c r="A239" s="11">
        <v>45932.39934538194</v>
      </c>
      <c r="B239" s="12" t="s">
        <v>643</v>
      </c>
      <c r="C239" s="13" t="s">
        <v>616</v>
      </c>
      <c r="D239" s="14"/>
      <c r="E239" s="13" t="s">
        <v>53</v>
      </c>
      <c r="F239" s="13" t="s">
        <v>133</v>
      </c>
      <c r="G239" s="20" t="s">
        <v>617</v>
      </c>
      <c r="H239" s="13" t="s">
        <v>28</v>
      </c>
      <c r="I239" s="13" t="s">
        <v>81</v>
      </c>
      <c r="J239" s="14"/>
      <c r="K239" s="16" t="str">
        <f t="array" ref="K239">IFERROR(VLOOKUP(B239, SORT('Nhật ký nộp hồ sơ '!B:D, 'Nhật ký nộp hồ sơ '!A:A, FALSE), 3, FALSE),"")</f>
        <v>Hoàn thành</v>
      </c>
      <c r="L239" s="16" t="str">
        <f t="shared" si="1"/>
        <v>Hoàn thành</v>
      </c>
      <c r="M239" s="13" t="s">
        <v>146</v>
      </c>
      <c r="N239" s="17">
        <f>IFERROR(__xludf.DUMMYFUNCTION("""COMPUTED_VALUE"""),45932.0)</f>
        <v>45932</v>
      </c>
      <c r="O239" s="17">
        <v>45935.0</v>
      </c>
      <c r="P239" s="17">
        <f>IFERROR(__xludf.DUMMYFUNCTION("IFERROR(QUERY('Nhật ký nộp hồ sơ '!A:I, ""SELECT I WHERE B = '""&amp;B239&amp;""' ORDER BY A DESC LIMIT 1"", 0))"),45932.0)</f>
        <v>45932</v>
      </c>
      <c r="Q239" s="17">
        <f t="shared" si="2"/>
        <v>45932</v>
      </c>
      <c r="R239" s="16">
        <v>1.0</v>
      </c>
      <c r="S239" s="16"/>
      <c r="T239" s="16"/>
      <c r="U239" s="14"/>
      <c r="V239" s="18" t="s">
        <v>34</v>
      </c>
      <c r="W239" s="16"/>
      <c r="X239" s="16"/>
    </row>
    <row r="240" ht="22.5" hidden="1" customHeight="1">
      <c r="A240" s="11">
        <v>45932.587478437505</v>
      </c>
      <c r="B240" s="12" t="s">
        <v>644</v>
      </c>
      <c r="C240" s="13" t="s">
        <v>645</v>
      </c>
      <c r="D240" s="14"/>
      <c r="E240" s="13" t="s">
        <v>26</v>
      </c>
      <c r="F240" s="13" t="s">
        <v>133</v>
      </c>
      <c r="G240" s="20" t="s">
        <v>646</v>
      </c>
      <c r="H240" s="13" t="s">
        <v>47</v>
      </c>
      <c r="I240" s="13" t="s">
        <v>29</v>
      </c>
      <c r="J240" s="14"/>
      <c r="K240" s="16" t="str">
        <f t="array" ref="K240">IFERROR(VLOOKUP(B240, SORT('Nhật ký nộp hồ sơ '!B:D, 'Nhật ký nộp hồ sơ '!A:A, FALSE), 3, FALSE),"")</f>
        <v>Hoàn thành</v>
      </c>
      <c r="L240" s="16" t="str">
        <f t="shared" si="1"/>
        <v>Hoàn thành</v>
      </c>
      <c r="M240" s="13" t="s">
        <v>56</v>
      </c>
      <c r="N240" s="17">
        <f>IFERROR(__xludf.DUMMYFUNCTION("""COMPUTED_VALUE"""),45932.0)</f>
        <v>45932</v>
      </c>
      <c r="O240" s="17">
        <v>45935.0</v>
      </c>
      <c r="P240" s="17">
        <f>IFERROR(__xludf.DUMMYFUNCTION("IFERROR(QUERY('Nhật ký nộp hồ sơ '!A:I, ""SELECT I WHERE B = '""&amp;B240&amp;""' ORDER BY A DESC LIMIT 1"", 0))"),45944.0)</f>
        <v>45944</v>
      </c>
      <c r="Q240" s="17">
        <f t="shared" si="2"/>
        <v>45944</v>
      </c>
      <c r="R240" s="16">
        <v>3.0</v>
      </c>
      <c r="S240" s="16"/>
      <c r="T240" s="13" t="s">
        <v>647</v>
      </c>
      <c r="U240" s="14"/>
      <c r="V240" s="18" t="s">
        <v>34</v>
      </c>
      <c r="W240" s="16"/>
      <c r="X240" s="16"/>
    </row>
    <row r="241" ht="22.5" hidden="1" customHeight="1">
      <c r="A241" s="11">
        <v>45932.59045130787</v>
      </c>
      <c r="B241" s="12" t="s">
        <v>648</v>
      </c>
      <c r="C241" s="13" t="s">
        <v>649</v>
      </c>
      <c r="D241" s="14"/>
      <c r="E241" s="13" t="s">
        <v>88</v>
      </c>
      <c r="F241" s="13" t="s">
        <v>133</v>
      </c>
      <c r="G241" s="20" t="s">
        <v>650</v>
      </c>
      <c r="H241" s="13" t="s">
        <v>55</v>
      </c>
      <c r="I241" s="13" t="s">
        <v>69</v>
      </c>
      <c r="J241" s="14"/>
      <c r="K241" s="16" t="str">
        <f t="array" ref="K241">IFERROR(VLOOKUP(B241, SORT('Nhật ký nộp hồ sơ '!B:D, 'Nhật ký nộp hồ sơ '!A:A, FALSE), 3, FALSE),"")</f>
        <v>Hoàn thành</v>
      </c>
      <c r="L241" s="16" t="str">
        <f t="shared" si="1"/>
        <v>Hoàn thành</v>
      </c>
      <c r="M241" s="13" t="s">
        <v>56</v>
      </c>
      <c r="N241" s="17">
        <f>IFERROR(__xludf.DUMMYFUNCTION("""COMPUTED_VALUE"""),45932.0)</f>
        <v>45932</v>
      </c>
      <c r="O241" s="17">
        <v>45935.0</v>
      </c>
      <c r="P241" s="17">
        <f>IFERROR(__xludf.DUMMYFUNCTION("IFERROR(QUERY('Nhật ký nộp hồ sơ '!A:I, ""SELECT I WHERE B = '""&amp;B241&amp;""' ORDER BY A DESC LIMIT 1"", 0))"),45975.0)</f>
        <v>45975</v>
      </c>
      <c r="Q241" s="17">
        <f t="shared" si="2"/>
        <v>45975</v>
      </c>
      <c r="R241" s="16">
        <v>1.0</v>
      </c>
      <c r="S241" s="16"/>
      <c r="T241" s="16"/>
      <c r="U241" s="14"/>
      <c r="V241" s="18" t="s">
        <v>34</v>
      </c>
      <c r="W241" s="16"/>
      <c r="X241" s="16"/>
    </row>
    <row r="242" ht="22.5" hidden="1" customHeight="1">
      <c r="A242" s="11">
        <v>45932.64230782408</v>
      </c>
      <c r="B242" s="12" t="s">
        <v>651</v>
      </c>
      <c r="C242" s="13" t="s">
        <v>416</v>
      </c>
      <c r="D242" s="14"/>
      <c r="E242" s="13" t="s">
        <v>62</v>
      </c>
      <c r="F242" s="13" t="s">
        <v>133</v>
      </c>
      <c r="G242" s="13" t="s">
        <v>516</v>
      </c>
      <c r="H242" s="13" t="s">
        <v>28</v>
      </c>
      <c r="I242" s="13" t="s">
        <v>100</v>
      </c>
      <c r="J242" s="14"/>
      <c r="K242" s="16" t="str">
        <f t="array" ref="K242">IFERROR(VLOOKUP(B242, SORT('Nhật ký nộp hồ sơ '!B:D, 'Nhật ký nộp hồ sơ '!A:A, FALSE), 3, FALSE),"")</f>
        <v>Hoàn thành</v>
      </c>
      <c r="L242" s="16" t="str">
        <f t="shared" si="1"/>
        <v>Hoàn thành</v>
      </c>
      <c r="M242" s="13" t="s">
        <v>216</v>
      </c>
      <c r="N242" s="17">
        <f>IFERROR(__xludf.DUMMYFUNCTION("""COMPUTED_VALUE"""),45932.0)</f>
        <v>45932</v>
      </c>
      <c r="O242" s="17">
        <v>45935.0</v>
      </c>
      <c r="P242" s="17">
        <f>IFERROR(__xludf.DUMMYFUNCTION("IFERROR(QUERY('Nhật ký nộp hồ sơ '!A:I, ""SELECT I WHERE B = '""&amp;B242&amp;""' ORDER BY A DESC LIMIT 1"", 0))"),45932.0)</f>
        <v>45932</v>
      </c>
      <c r="Q242" s="17">
        <f t="shared" si="2"/>
        <v>45932</v>
      </c>
      <c r="R242" s="16">
        <v>1.0</v>
      </c>
      <c r="S242" s="16"/>
      <c r="T242" s="16"/>
      <c r="U242" s="14"/>
      <c r="V242" s="18" t="s">
        <v>34</v>
      </c>
      <c r="W242" s="16"/>
      <c r="X242" s="16"/>
    </row>
    <row r="243" ht="22.5" hidden="1" customHeight="1">
      <c r="A243" s="11">
        <v>45934.406380416665</v>
      </c>
      <c r="B243" s="12" t="s">
        <v>652</v>
      </c>
      <c r="C243" s="13" t="s">
        <v>428</v>
      </c>
      <c r="D243" s="14"/>
      <c r="E243" s="13" t="s">
        <v>151</v>
      </c>
      <c r="F243" s="13" t="s">
        <v>133</v>
      </c>
      <c r="G243" s="20" t="s">
        <v>429</v>
      </c>
      <c r="H243" s="13" t="s">
        <v>29</v>
      </c>
      <c r="I243" s="13" t="s">
        <v>47</v>
      </c>
      <c r="J243" s="14"/>
      <c r="K243" s="16" t="str">
        <f t="array" ref="K243">IFERROR(VLOOKUP(B243, SORT('Nhật ký nộp hồ sơ '!B:D, 'Nhật ký nộp hồ sơ '!A:A, FALSE), 3, FALSE),"")</f>
        <v>Hoàn thành</v>
      </c>
      <c r="L243" s="16" t="str">
        <f t="shared" si="1"/>
        <v>Hoàn thành</v>
      </c>
      <c r="M243" s="13" t="s">
        <v>216</v>
      </c>
      <c r="N243" s="17">
        <f>IFERROR(__xludf.DUMMYFUNCTION("""COMPUTED_VALUE"""),45934.0)</f>
        <v>45934</v>
      </c>
      <c r="O243" s="17">
        <v>45937.0</v>
      </c>
      <c r="P243" s="17">
        <f>IFERROR(__xludf.DUMMYFUNCTION("IFERROR(QUERY('Nhật ký nộp hồ sơ '!A:I, ""SELECT I WHERE B = '""&amp;B243&amp;""' ORDER BY A DESC LIMIT 1"", 0))"),45934.0)</f>
        <v>45934</v>
      </c>
      <c r="Q243" s="17">
        <f t="shared" si="2"/>
        <v>45934</v>
      </c>
      <c r="R243" s="16">
        <v>1.0</v>
      </c>
      <c r="S243" s="16"/>
      <c r="T243" s="16"/>
      <c r="U243" s="14"/>
      <c r="V243" s="18" t="s">
        <v>34</v>
      </c>
      <c r="W243" s="16"/>
      <c r="X243" s="16"/>
    </row>
    <row r="244" ht="22.5" hidden="1" customHeight="1">
      <c r="A244" s="11">
        <v>45934.45610319445</v>
      </c>
      <c r="B244" s="12" t="s">
        <v>653</v>
      </c>
      <c r="C244" s="13" t="s">
        <v>654</v>
      </c>
      <c r="D244" s="14"/>
      <c r="E244" s="13" t="s">
        <v>53</v>
      </c>
      <c r="F244" s="13" t="s">
        <v>133</v>
      </c>
      <c r="G244" s="20" t="s">
        <v>655</v>
      </c>
      <c r="H244" s="13" t="s">
        <v>55</v>
      </c>
      <c r="I244" s="13" t="s">
        <v>81</v>
      </c>
      <c r="J244" s="18" t="s">
        <v>202</v>
      </c>
      <c r="K244" s="16" t="str">
        <f t="array" ref="K244">IFERROR(VLOOKUP(B244, SORT('Nhật ký nộp hồ sơ '!B:D, 'Nhật ký nộp hồ sơ '!A:A, FALSE), 3, FALSE),"")</f>
        <v>Hoàn thành</v>
      </c>
      <c r="L244" s="16" t="str">
        <f t="shared" si="1"/>
        <v>Hoàn thành</v>
      </c>
      <c r="M244" s="13" t="s">
        <v>56</v>
      </c>
      <c r="N244" s="17">
        <f>IFERROR(__xludf.DUMMYFUNCTION("""COMPUTED_VALUE"""),45934.0)</f>
        <v>45934</v>
      </c>
      <c r="O244" s="17">
        <v>45935.0</v>
      </c>
      <c r="P244" s="17">
        <f>IFERROR(__xludf.DUMMYFUNCTION("IFERROR(QUERY('Nhật ký nộp hồ sơ '!A:I, ""SELECT I WHERE B = '""&amp;B244&amp;""' ORDER BY A DESC LIMIT 1"", 0))"),45978.0)</f>
        <v>45978</v>
      </c>
      <c r="Q244" s="17">
        <f t="shared" si="2"/>
        <v>45978</v>
      </c>
      <c r="R244" s="16">
        <v>4.0</v>
      </c>
      <c r="S244" s="16"/>
      <c r="T244" s="16"/>
      <c r="U244" s="14"/>
      <c r="V244" s="18" t="s">
        <v>34</v>
      </c>
      <c r="W244" s="16"/>
      <c r="X244" s="16"/>
    </row>
    <row r="245" ht="22.5" hidden="1" customHeight="1">
      <c r="A245" s="11">
        <v>45934.6574605787</v>
      </c>
      <c r="B245" s="12" t="s">
        <v>656</v>
      </c>
      <c r="C245" s="13" t="s">
        <v>590</v>
      </c>
      <c r="D245" s="14"/>
      <c r="E245" s="13" t="s">
        <v>122</v>
      </c>
      <c r="F245" s="13" t="s">
        <v>89</v>
      </c>
      <c r="G245" s="16"/>
      <c r="H245" s="13" t="s">
        <v>100</v>
      </c>
      <c r="I245" s="13" t="s">
        <v>81</v>
      </c>
      <c r="J245" s="14"/>
      <c r="K245" s="16" t="str">
        <f t="array" ref="K245">IFERROR(VLOOKUP(B245, SORT('Nhật ký nộp hồ sơ '!B:D, 'Nhật ký nộp hồ sơ '!A:A, FALSE), 3, FALSE),"")</f>
        <v>Hoàn thành</v>
      </c>
      <c r="L245" s="16" t="str">
        <f t="shared" si="1"/>
        <v>Hoàn thành</v>
      </c>
      <c r="M245" s="13" t="s">
        <v>588</v>
      </c>
      <c r="N245" s="17">
        <f>IFERROR(__xludf.DUMMYFUNCTION("""COMPUTED_VALUE"""),45934.0)</f>
        <v>45934</v>
      </c>
      <c r="O245" s="17">
        <v>45937.0</v>
      </c>
      <c r="P245" s="17">
        <f>IFERROR(__xludf.DUMMYFUNCTION("IFERROR(QUERY('Nhật ký nộp hồ sơ '!A:I, ""SELECT I WHERE B = '""&amp;B245&amp;""' ORDER BY A DESC LIMIT 1"", 0))"),45934.0)</f>
        <v>45934</v>
      </c>
      <c r="Q245" s="17">
        <f t="shared" si="2"/>
        <v>45934</v>
      </c>
      <c r="R245" s="16">
        <v>1.0</v>
      </c>
      <c r="S245" s="16"/>
      <c r="T245" s="16"/>
      <c r="U245" s="14"/>
      <c r="V245" s="18" t="s">
        <v>34</v>
      </c>
      <c r="W245" s="16"/>
      <c r="X245" s="16"/>
    </row>
    <row r="246" ht="22.5" hidden="1" customHeight="1">
      <c r="A246" s="11">
        <v>45936.427765995366</v>
      </c>
      <c r="B246" s="12" t="s">
        <v>657</v>
      </c>
      <c r="C246" s="13" t="s">
        <v>658</v>
      </c>
      <c r="D246" s="14"/>
      <c r="E246" s="13" t="s">
        <v>132</v>
      </c>
      <c r="F246" s="13" t="s">
        <v>191</v>
      </c>
      <c r="G246" s="16"/>
      <c r="H246" s="13" t="s">
        <v>69</v>
      </c>
      <c r="I246" s="13" t="s">
        <v>659</v>
      </c>
      <c r="J246" s="14"/>
      <c r="K246" s="16" t="str">
        <f t="array" ref="K246">IFERROR(VLOOKUP(B246, SORT('Nhật ký nộp hồ sơ '!B:D, 'Nhật ký nộp hồ sơ '!A:A, FALSE), 3, FALSE),"")</f>
        <v>Hoàn thành</v>
      </c>
      <c r="L246" s="16" t="str">
        <f t="shared" si="1"/>
        <v>Hoàn thành</v>
      </c>
      <c r="M246" s="13" t="s">
        <v>56</v>
      </c>
      <c r="N246" s="17">
        <f>IFERROR(__xludf.DUMMYFUNCTION("""COMPUTED_VALUE"""),45936.0)</f>
        <v>45936</v>
      </c>
      <c r="O246" s="17">
        <v>45939.0</v>
      </c>
      <c r="P246" s="17">
        <f>IFERROR(__xludf.DUMMYFUNCTION("IFERROR(QUERY('Nhật ký nộp hồ sơ '!A:I, ""SELECT I WHERE B = '""&amp;B246&amp;""' ORDER BY A DESC LIMIT 1"", 0))"),45965.0)</f>
        <v>45965</v>
      </c>
      <c r="Q246" s="17">
        <f t="shared" si="2"/>
        <v>45965</v>
      </c>
      <c r="R246" s="16">
        <v>1.0</v>
      </c>
      <c r="S246" s="16"/>
      <c r="T246" s="16"/>
      <c r="U246" s="14"/>
      <c r="V246" s="18" t="s">
        <v>34</v>
      </c>
      <c r="W246" s="16"/>
      <c r="X246" s="16"/>
    </row>
    <row r="247" ht="22.5" hidden="1" customHeight="1">
      <c r="A247" s="11">
        <v>45936.50920775463</v>
      </c>
      <c r="B247" s="12" t="s">
        <v>660</v>
      </c>
      <c r="C247" s="13" t="s">
        <v>542</v>
      </c>
      <c r="D247" s="14"/>
      <c r="E247" s="13" t="s">
        <v>45</v>
      </c>
      <c r="F247" s="13" t="s">
        <v>46</v>
      </c>
      <c r="G247" s="16"/>
      <c r="H247" s="13" t="s">
        <v>69</v>
      </c>
      <c r="I247" s="13" t="s">
        <v>81</v>
      </c>
      <c r="J247" s="14"/>
      <c r="K247" s="16" t="str">
        <f t="array" ref="K247">IFERROR(VLOOKUP(B247, SORT('Nhật ký nộp hồ sơ '!B:D, 'Nhật ký nộp hồ sơ '!A:A, FALSE), 3, FALSE),"")</f>
        <v>Hoàn thành</v>
      </c>
      <c r="L247" s="16" t="str">
        <f t="shared" si="1"/>
        <v>Hoàn thành</v>
      </c>
      <c r="M247" s="13" t="s">
        <v>56</v>
      </c>
      <c r="N247" s="17">
        <f>IFERROR(__xludf.DUMMYFUNCTION("""COMPUTED_VALUE"""),45936.0)</f>
        <v>45936</v>
      </c>
      <c r="O247" s="17">
        <v>45939.0</v>
      </c>
      <c r="P247" s="17">
        <f>IFERROR(__xludf.DUMMYFUNCTION("IFERROR(QUERY('Nhật ký nộp hồ sơ '!A:I, ""SELECT I WHERE B = '""&amp;B247&amp;""' ORDER BY A DESC LIMIT 1"", 0))"),45946.0)</f>
        <v>45946</v>
      </c>
      <c r="Q247" s="17">
        <f t="shared" si="2"/>
        <v>45946</v>
      </c>
      <c r="R247" s="16">
        <v>1.0</v>
      </c>
      <c r="S247" s="16"/>
      <c r="T247" s="16"/>
      <c r="U247" s="14"/>
      <c r="V247" s="18" t="s">
        <v>34</v>
      </c>
      <c r="W247" s="16"/>
      <c r="X247" s="16"/>
    </row>
    <row r="248" ht="22.5" hidden="1" customHeight="1">
      <c r="A248" s="11">
        <v>45936.63665015047</v>
      </c>
      <c r="B248" s="12" t="s">
        <v>661</v>
      </c>
      <c r="C248" s="13" t="s">
        <v>662</v>
      </c>
      <c r="D248" s="14"/>
      <c r="E248" s="13" t="s">
        <v>26</v>
      </c>
      <c r="F248" s="13" t="s">
        <v>46</v>
      </c>
      <c r="G248" s="16"/>
      <c r="H248" s="13" t="s">
        <v>55</v>
      </c>
      <c r="I248" s="13" t="s">
        <v>47</v>
      </c>
      <c r="J248" s="14"/>
      <c r="K248" s="16" t="str">
        <f t="array" ref="K248">IFERROR(VLOOKUP(B248, SORT('Nhật ký nộp hồ sơ '!B:D, 'Nhật ký nộp hồ sơ '!A:A, FALSE), 3, FALSE),"")</f>
        <v>Hoàn thành</v>
      </c>
      <c r="L248" s="16" t="str">
        <f t="shared" si="1"/>
        <v>Hoàn thành</v>
      </c>
      <c r="M248" s="13" t="s">
        <v>48</v>
      </c>
      <c r="N248" s="17">
        <f>IFERROR(__xludf.DUMMYFUNCTION("""COMPUTED_VALUE"""),45936.0)</f>
        <v>45936</v>
      </c>
      <c r="O248" s="17">
        <v>45939.0</v>
      </c>
      <c r="P248" s="17">
        <f>IFERROR(__xludf.DUMMYFUNCTION("IFERROR(QUERY('Nhật ký nộp hồ sơ '!A:I, ""SELECT I WHERE B = '""&amp;B248&amp;""' ORDER BY A DESC LIMIT 1"", 0))"),45968.0)</f>
        <v>45968</v>
      </c>
      <c r="Q248" s="17">
        <f t="shared" si="2"/>
        <v>45968</v>
      </c>
      <c r="R248" s="16">
        <v>1.0</v>
      </c>
      <c r="S248" s="16"/>
      <c r="T248" s="16"/>
      <c r="U248" s="14"/>
      <c r="V248" s="18" t="s">
        <v>34</v>
      </c>
      <c r="W248" s="16"/>
      <c r="X248" s="16"/>
    </row>
    <row r="249" ht="22.5" hidden="1" customHeight="1">
      <c r="A249" s="11">
        <v>45936.681097685185</v>
      </c>
      <c r="B249" s="12" t="s">
        <v>663</v>
      </c>
      <c r="C249" s="13" t="s">
        <v>472</v>
      </c>
      <c r="D249" s="14"/>
      <c r="E249" s="13" t="s">
        <v>151</v>
      </c>
      <c r="F249" s="13" t="s">
        <v>473</v>
      </c>
      <c r="G249" s="16"/>
      <c r="H249" s="13" t="s">
        <v>29</v>
      </c>
      <c r="I249" s="13" t="s">
        <v>81</v>
      </c>
      <c r="J249" s="14"/>
      <c r="K249" s="16" t="str">
        <f t="array" ref="K249">IFERROR(VLOOKUP(B249, SORT('Nhật ký nộp hồ sơ '!B:D, 'Nhật ký nộp hồ sơ '!A:A, FALSE), 3, FALSE),"")</f>
        <v>Hoàn thành</v>
      </c>
      <c r="L249" s="16" t="str">
        <f t="shared" si="1"/>
        <v>Hoàn thành</v>
      </c>
      <c r="M249" s="13" t="s">
        <v>216</v>
      </c>
      <c r="N249" s="17">
        <f>IFERROR(__xludf.DUMMYFUNCTION("""COMPUTED_VALUE"""),45936.0)</f>
        <v>45936</v>
      </c>
      <c r="O249" s="17">
        <v>45939.0</v>
      </c>
      <c r="P249" s="17">
        <f>IFERROR(__xludf.DUMMYFUNCTION("IFERROR(QUERY('Nhật ký nộp hồ sơ '!A:I, ""SELECT I WHERE B = '""&amp;B249&amp;""' ORDER BY A DESC LIMIT 1"", 0))"),45936.0)</f>
        <v>45936</v>
      </c>
      <c r="Q249" s="17">
        <f t="shared" si="2"/>
        <v>45936</v>
      </c>
      <c r="R249" s="16">
        <v>1.0</v>
      </c>
      <c r="S249" s="16"/>
      <c r="T249" s="16"/>
      <c r="U249" s="14"/>
      <c r="V249" s="18" t="s">
        <v>34</v>
      </c>
      <c r="W249" s="16"/>
      <c r="X249" s="16"/>
    </row>
    <row r="250" ht="22.5" hidden="1" customHeight="1">
      <c r="A250" s="11">
        <v>45936.682628379625</v>
      </c>
      <c r="B250" s="12" t="s">
        <v>664</v>
      </c>
      <c r="C250" s="13" t="s">
        <v>399</v>
      </c>
      <c r="D250" s="14"/>
      <c r="E250" s="13" t="s">
        <v>151</v>
      </c>
      <c r="F250" s="13" t="s">
        <v>232</v>
      </c>
      <c r="G250" s="13" t="s">
        <v>665</v>
      </c>
      <c r="H250" s="13" t="s">
        <v>29</v>
      </c>
      <c r="I250" s="13" t="s">
        <v>659</v>
      </c>
      <c r="J250" s="14"/>
      <c r="K250" s="16" t="str">
        <f t="array" ref="K250">IFERROR(VLOOKUP(B250, SORT('Nhật ký nộp hồ sơ '!B:D, 'Nhật ký nộp hồ sơ '!A:A, FALSE), 3, FALSE),"")</f>
        <v>Hoàn thành</v>
      </c>
      <c r="L250" s="16" t="str">
        <f t="shared" si="1"/>
        <v>Hoàn thành</v>
      </c>
      <c r="M250" s="13" t="s">
        <v>216</v>
      </c>
      <c r="N250" s="17">
        <f>IFERROR(__xludf.DUMMYFUNCTION("""COMPUTED_VALUE"""),45936.0)</f>
        <v>45936</v>
      </c>
      <c r="O250" s="17">
        <v>45939.0</v>
      </c>
      <c r="P250" s="17">
        <f>IFERROR(__xludf.DUMMYFUNCTION("IFERROR(QUERY('Nhật ký nộp hồ sơ '!A:I, ""SELECT I WHERE B = '""&amp;B250&amp;""' ORDER BY A DESC LIMIT 1"", 0))"),45936.0)</f>
        <v>45936</v>
      </c>
      <c r="Q250" s="17">
        <f t="shared" si="2"/>
        <v>45936</v>
      </c>
      <c r="R250" s="16">
        <v>1.0</v>
      </c>
      <c r="S250" s="13" t="s">
        <v>666</v>
      </c>
      <c r="T250" s="16"/>
      <c r="U250" s="14"/>
      <c r="V250" s="18" t="s">
        <v>34</v>
      </c>
      <c r="W250" s="16"/>
      <c r="X250" s="16"/>
    </row>
    <row r="251" ht="22.5" hidden="1" customHeight="1">
      <c r="A251" s="11">
        <v>45936.68360046296</v>
      </c>
      <c r="B251" s="12" t="s">
        <v>667</v>
      </c>
      <c r="C251" s="13" t="s">
        <v>399</v>
      </c>
      <c r="D251" s="14"/>
      <c r="E251" s="13" t="s">
        <v>151</v>
      </c>
      <c r="F251" s="13" t="s">
        <v>232</v>
      </c>
      <c r="G251" s="13" t="s">
        <v>665</v>
      </c>
      <c r="H251" s="13" t="s">
        <v>29</v>
      </c>
      <c r="I251" s="13" t="s">
        <v>659</v>
      </c>
      <c r="J251" s="14"/>
      <c r="K251" s="16" t="str">
        <f t="array" ref="K251">IFERROR(VLOOKUP(B251, SORT('Nhật ký nộp hồ sơ '!B:D, 'Nhật ký nộp hồ sơ '!A:A, FALSE), 3, FALSE),"")</f>
        <v>Hoàn thành</v>
      </c>
      <c r="L251" s="16" t="str">
        <f t="shared" si="1"/>
        <v>Hoàn thành</v>
      </c>
      <c r="M251" s="13" t="s">
        <v>216</v>
      </c>
      <c r="N251" s="17">
        <f>IFERROR(__xludf.DUMMYFUNCTION("""COMPUTED_VALUE"""),45936.0)</f>
        <v>45936</v>
      </c>
      <c r="O251" s="17">
        <v>45939.0</v>
      </c>
      <c r="P251" s="17">
        <f>IFERROR(__xludf.DUMMYFUNCTION("IFERROR(QUERY('Nhật ký nộp hồ sơ '!A:I, ""SELECT I WHERE B = '""&amp;B251&amp;""' ORDER BY A DESC LIMIT 1"", 0))"),45936.0)</f>
        <v>45936</v>
      </c>
      <c r="Q251" s="17">
        <f t="shared" si="2"/>
        <v>45936</v>
      </c>
      <c r="R251" s="16">
        <v>1.0</v>
      </c>
      <c r="S251" s="13" t="s">
        <v>668</v>
      </c>
      <c r="T251" s="16"/>
      <c r="U251" s="14"/>
      <c r="V251" s="18" t="s">
        <v>34</v>
      </c>
      <c r="W251" s="16"/>
      <c r="X251" s="16"/>
    </row>
    <row r="252" ht="22.5" hidden="1" customHeight="1">
      <c r="A252" s="11">
        <v>45936.68532160879</v>
      </c>
      <c r="B252" s="12" t="s">
        <v>669</v>
      </c>
      <c r="C252" s="13" t="s">
        <v>670</v>
      </c>
      <c r="D252" s="14"/>
      <c r="E252" s="13" t="s">
        <v>26</v>
      </c>
      <c r="F252" s="13" t="s">
        <v>440</v>
      </c>
      <c r="G252" s="16"/>
      <c r="H252" s="13" t="s">
        <v>29</v>
      </c>
      <c r="I252" s="13" t="s">
        <v>659</v>
      </c>
      <c r="J252" s="14"/>
      <c r="K252" s="16" t="str">
        <f t="array" ref="K252">IFERROR(VLOOKUP(B252, SORT('Nhật ký nộp hồ sơ '!B:D, 'Nhật ký nộp hồ sơ '!A:A, FALSE), 3, FALSE),"")</f>
        <v>Hoàn thành</v>
      </c>
      <c r="L252" s="16" t="str">
        <f t="shared" si="1"/>
        <v>Hoàn thành</v>
      </c>
      <c r="M252" s="13" t="s">
        <v>30</v>
      </c>
      <c r="N252" s="17">
        <f>IFERROR(__xludf.DUMMYFUNCTION("""COMPUTED_VALUE"""),45936.0)</f>
        <v>45936</v>
      </c>
      <c r="O252" s="17">
        <v>45939.0</v>
      </c>
      <c r="P252" s="17">
        <f>IFERROR(__xludf.DUMMYFUNCTION("IFERROR(QUERY('Nhật ký nộp hồ sơ '!A:I, ""SELECT I WHERE B = '""&amp;B252&amp;""' ORDER BY A DESC LIMIT 1"", 0))"),45979.0)</f>
        <v>45979</v>
      </c>
      <c r="Q252" s="17">
        <f t="shared" si="2"/>
        <v>45979</v>
      </c>
      <c r="R252" s="16">
        <v>1.0</v>
      </c>
      <c r="S252" s="16"/>
      <c r="T252" s="16"/>
      <c r="U252" s="14"/>
      <c r="V252" s="18" t="s">
        <v>34</v>
      </c>
      <c r="W252" s="16"/>
      <c r="X252" s="16"/>
    </row>
    <row r="253" ht="22.5" hidden="1" customHeight="1">
      <c r="A253" s="11">
        <v>45937.72271930556</v>
      </c>
      <c r="B253" s="12" t="s">
        <v>671</v>
      </c>
      <c r="C253" s="13" t="s">
        <v>672</v>
      </c>
      <c r="D253" s="14"/>
      <c r="E253" s="13" t="s">
        <v>151</v>
      </c>
      <c r="F253" s="13" t="s">
        <v>46</v>
      </c>
      <c r="G253" s="16"/>
      <c r="H253" s="13" t="s">
        <v>69</v>
      </c>
      <c r="I253" s="13" t="s">
        <v>81</v>
      </c>
      <c r="J253" s="14"/>
      <c r="K253" s="16" t="str">
        <f t="array" ref="K253">IFERROR(VLOOKUP(B253, SORT('Nhật ký nộp hồ sơ '!B:D, 'Nhật ký nộp hồ sơ '!A:A, FALSE), 3, FALSE),"")</f>
        <v>Hủy</v>
      </c>
      <c r="L253" s="16" t="str">
        <f t="shared" si="1"/>
        <v>ĐÃ HỦY</v>
      </c>
      <c r="M253" s="13" t="s">
        <v>48</v>
      </c>
      <c r="N253" s="17">
        <f>IFERROR(__xludf.DUMMYFUNCTION("""COMPUTED_VALUE"""),45937.0)</f>
        <v>45937</v>
      </c>
      <c r="O253" s="17">
        <v>45940.0</v>
      </c>
      <c r="P253" s="17">
        <f>IFERROR(__xludf.DUMMYFUNCTION("IFERROR(QUERY('Nhật ký nộp hồ sơ '!A:I, ""SELECT I WHERE B = '""&amp;B253&amp;""' ORDER BY A DESC LIMIT 1"", 0))"),46038.0)</f>
        <v>46038</v>
      </c>
      <c r="Q253" s="17" t="str">
        <f t="shared" si="2"/>
        <v/>
      </c>
      <c r="R253" s="16">
        <v>1.0</v>
      </c>
      <c r="S253" s="16"/>
      <c r="T253" s="16"/>
      <c r="U253" s="14"/>
      <c r="V253" s="18" t="s">
        <v>34</v>
      </c>
      <c r="W253" s="16"/>
      <c r="X253" s="16"/>
    </row>
    <row r="254" ht="22.5" hidden="1" customHeight="1">
      <c r="A254" s="11">
        <v>45938.45190061342</v>
      </c>
      <c r="B254" s="12" t="s">
        <v>673</v>
      </c>
      <c r="C254" s="13" t="s">
        <v>475</v>
      </c>
      <c r="D254" s="14"/>
      <c r="E254" s="13" t="s">
        <v>132</v>
      </c>
      <c r="F254" s="13" t="s">
        <v>46</v>
      </c>
      <c r="G254" s="16"/>
      <c r="H254" s="13" t="s">
        <v>47</v>
      </c>
      <c r="I254" s="13" t="s">
        <v>81</v>
      </c>
      <c r="J254" s="14"/>
      <c r="K254" s="16" t="str">
        <f t="array" ref="K254">IFERROR(VLOOKUP(B254, SORT('Nhật ký nộp hồ sơ '!B:D, 'Nhật ký nộp hồ sơ '!A:A, FALSE), 3, FALSE),"")</f>
        <v>Hoàn thành</v>
      </c>
      <c r="L254" s="16" t="str">
        <f t="shared" si="1"/>
        <v>Hoàn thành</v>
      </c>
      <c r="M254" s="13" t="s">
        <v>56</v>
      </c>
      <c r="N254" s="17">
        <f>IFERROR(__xludf.DUMMYFUNCTION("""COMPUTED_VALUE"""),45938.0)</f>
        <v>45938</v>
      </c>
      <c r="O254" s="17">
        <v>45941.0</v>
      </c>
      <c r="P254" s="17">
        <f>IFERROR(__xludf.DUMMYFUNCTION("IFERROR(QUERY('Nhật ký nộp hồ sơ '!A:I, ""SELECT I WHERE B = '""&amp;B254&amp;""' ORDER BY A DESC LIMIT 1"", 0))"),45964.0)</f>
        <v>45964</v>
      </c>
      <c r="Q254" s="17">
        <f t="shared" si="2"/>
        <v>45964</v>
      </c>
      <c r="R254" s="16">
        <v>4.0</v>
      </c>
      <c r="S254" s="16"/>
      <c r="T254" s="16"/>
      <c r="U254" s="14"/>
      <c r="V254" s="18" t="s">
        <v>34</v>
      </c>
      <c r="W254" s="16"/>
      <c r="X254" s="16"/>
    </row>
    <row r="255" ht="22.5" hidden="1" customHeight="1">
      <c r="A255" s="11">
        <v>45938.699619872685</v>
      </c>
      <c r="B255" s="12" t="s">
        <v>674</v>
      </c>
      <c r="C255" s="13" t="s">
        <v>553</v>
      </c>
      <c r="D255" s="14"/>
      <c r="E255" s="13" t="s">
        <v>53</v>
      </c>
      <c r="F255" s="13" t="s">
        <v>554</v>
      </c>
      <c r="G255" s="16"/>
      <c r="H255" s="13" t="s">
        <v>29</v>
      </c>
      <c r="I255" s="13" t="s">
        <v>81</v>
      </c>
      <c r="J255" s="14"/>
      <c r="K255" s="16" t="str">
        <f t="array" ref="K255">IFERROR(VLOOKUP(B255, SORT('Nhật ký nộp hồ sơ '!B:D, 'Nhật ký nộp hồ sơ '!A:A, FALSE), 3, FALSE),"")</f>
        <v>Hoàn thành</v>
      </c>
      <c r="L255" s="16" t="str">
        <f t="shared" si="1"/>
        <v>Hoàn thành</v>
      </c>
      <c r="M255" s="27" t="s">
        <v>675</v>
      </c>
      <c r="N255" s="17">
        <f>IFERROR(__xludf.DUMMYFUNCTION("""COMPUTED_VALUE"""),45938.0)</f>
        <v>45938</v>
      </c>
      <c r="O255" s="17">
        <v>45941.0</v>
      </c>
      <c r="P255" s="17">
        <f>IFERROR(__xludf.DUMMYFUNCTION("IFERROR(QUERY('Nhật ký nộp hồ sơ '!A:I, ""SELECT I WHERE B = '""&amp;B255&amp;""' ORDER BY A DESC LIMIT 1"", 0))"),45939.0)</f>
        <v>45939</v>
      </c>
      <c r="Q255" s="17">
        <f t="shared" si="2"/>
        <v>45939</v>
      </c>
      <c r="R255" s="16">
        <v>3.0</v>
      </c>
      <c r="S255" s="13" t="s">
        <v>676</v>
      </c>
      <c r="T255" s="16"/>
      <c r="U255" s="14"/>
      <c r="V255" s="18" t="s">
        <v>34</v>
      </c>
      <c r="W255" s="16"/>
      <c r="X255" s="16"/>
    </row>
    <row r="256" ht="22.5" hidden="1" customHeight="1">
      <c r="A256" s="11">
        <v>45938.701221724536</v>
      </c>
      <c r="B256" s="12" t="s">
        <v>677</v>
      </c>
      <c r="C256" s="13" t="s">
        <v>678</v>
      </c>
      <c r="D256" s="14"/>
      <c r="E256" s="13" t="s">
        <v>53</v>
      </c>
      <c r="F256" s="13" t="s">
        <v>554</v>
      </c>
      <c r="G256" s="16"/>
      <c r="H256" s="13" t="s">
        <v>29</v>
      </c>
      <c r="I256" s="13" t="s">
        <v>81</v>
      </c>
      <c r="J256" s="14"/>
      <c r="K256" s="16" t="str">
        <f t="array" ref="K256">IFERROR(VLOOKUP(B256, SORT('Nhật ký nộp hồ sơ '!B:D, 'Nhật ký nộp hồ sơ '!A:A, FALSE), 3, FALSE),"")</f>
        <v>Hoàn thành</v>
      </c>
      <c r="L256" s="16" t="str">
        <f t="shared" si="1"/>
        <v>Hoàn thành</v>
      </c>
      <c r="M256" s="27" t="s">
        <v>675</v>
      </c>
      <c r="N256" s="17">
        <f>IFERROR(__xludf.DUMMYFUNCTION("""COMPUTED_VALUE"""),45938.0)</f>
        <v>45938</v>
      </c>
      <c r="O256" s="17">
        <v>45941.0</v>
      </c>
      <c r="P256" s="17">
        <f>IFERROR(__xludf.DUMMYFUNCTION("IFERROR(QUERY('Nhật ký nộp hồ sơ '!A:I, ""SELECT I WHERE B = '""&amp;B256&amp;""' ORDER BY A DESC LIMIT 1"", 0))"),45939.0)</f>
        <v>45939</v>
      </c>
      <c r="Q256" s="17">
        <f t="shared" si="2"/>
        <v>45939</v>
      </c>
      <c r="R256" s="16">
        <v>1.0</v>
      </c>
      <c r="S256" s="13" t="s">
        <v>679</v>
      </c>
      <c r="T256" s="16"/>
      <c r="U256" s="14"/>
      <c r="V256" s="18" t="s">
        <v>34</v>
      </c>
      <c r="W256" s="16"/>
      <c r="X256" s="16"/>
    </row>
    <row r="257" ht="22.5" hidden="1" customHeight="1">
      <c r="A257" s="11">
        <v>45938.70205893519</v>
      </c>
      <c r="B257" s="12" t="s">
        <v>680</v>
      </c>
      <c r="C257" s="13" t="s">
        <v>566</v>
      </c>
      <c r="D257" s="14"/>
      <c r="E257" s="13" t="s">
        <v>53</v>
      </c>
      <c r="F257" s="13" t="s">
        <v>554</v>
      </c>
      <c r="G257" s="16"/>
      <c r="H257" s="13" t="s">
        <v>29</v>
      </c>
      <c r="I257" s="13" t="s">
        <v>81</v>
      </c>
      <c r="J257" s="14"/>
      <c r="K257" s="16" t="str">
        <f t="array" ref="K257">IFERROR(VLOOKUP(B257, SORT('Nhật ký nộp hồ sơ '!B:D, 'Nhật ký nộp hồ sơ '!A:A, FALSE), 3, FALSE),"")</f>
        <v>Hoàn thành</v>
      </c>
      <c r="L257" s="16" t="str">
        <f t="shared" si="1"/>
        <v>Hoàn thành</v>
      </c>
      <c r="M257" s="27" t="s">
        <v>675</v>
      </c>
      <c r="N257" s="17">
        <f>IFERROR(__xludf.DUMMYFUNCTION("""COMPUTED_VALUE"""),45938.0)</f>
        <v>45938</v>
      </c>
      <c r="O257" s="17">
        <v>45941.0</v>
      </c>
      <c r="P257" s="17">
        <f>IFERROR(__xludf.DUMMYFUNCTION("IFERROR(QUERY('Nhật ký nộp hồ sơ '!A:I, ""SELECT I WHERE B = '""&amp;B257&amp;""' ORDER BY A DESC LIMIT 1"", 0))"),45939.0)</f>
        <v>45939</v>
      </c>
      <c r="Q257" s="17">
        <f t="shared" si="2"/>
        <v>45939</v>
      </c>
      <c r="R257" s="16">
        <v>4.0</v>
      </c>
      <c r="S257" s="13" t="s">
        <v>676</v>
      </c>
      <c r="T257" s="16"/>
      <c r="U257" s="14"/>
      <c r="V257" s="18" t="s">
        <v>34</v>
      </c>
      <c r="W257" s="16"/>
      <c r="X257" s="16"/>
    </row>
    <row r="258" ht="22.5" hidden="1" customHeight="1">
      <c r="A258" s="11">
        <v>45938.70453785879</v>
      </c>
      <c r="B258" s="12" t="s">
        <v>681</v>
      </c>
      <c r="C258" s="13" t="s">
        <v>682</v>
      </c>
      <c r="D258" s="14"/>
      <c r="E258" s="13" t="s">
        <v>53</v>
      </c>
      <c r="F258" s="13" t="s">
        <v>133</v>
      </c>
      <c r="G258" s="13" t="s">
        <v>683</v>
      </c>
      <c r="H258" s="13" t="s">
        <v>29</v>
      </c>
      <c r="I258" s="13" t="s">
        <v>81</v>
      </c>
      <c r="J258" s="14"/>
      <c r="K258" s="16" t="str">
        <f t="array" ref="K258">IFERROR(VLOOKUP(B258, SORT('Nhật ký nộp hồ sơ '!B:D, 'Nhật ký nộp hồ sơ '!A:A, FALSE), 3, FALSE),"")</f>
        <v>Hoàn thành</v>
      </c>
      <c r="L258" s="16" t="str">
        <f t="shared" si="1"/>
        <v>Hoàn thành</v>
      </c>
      <c r="M258" s="13" t="s">
        <v>56</v>
      </c>
      <c r="N258" s="17">
        <f>IFERROR(__xludf.DUMMYFUNCTION("""COMPUTED_VALUE"""),45938.0)</f>
        <v>45938</v>
      </c>
      <c r="O258" s="17">
        <v>45941.0</v>
      </c>
      <c r="P258" s="17">
        <f>IFERROR(__xludf.DUMMYFUNCTION("IFERROR(QUERY('Nhật ký nộp hồ sơ '!A:I, ""SELECT I WHERE B = '""&amp;B258&amp;""' ORDER BY A DESC LIMIT 1"", 0))"),45987.0)</f>
        <v>45987</v>
      </c>
      <c r="Q258" s="17">
        <f t="shared" si="2"/>
        <v>45987</v>
      </c>
      <c r="R258" s="16">
        <v>2.0</v>
      </c>
      <c r="S258" s="16"/>
      <c r="T258" s="16"/>
      <c r="U258" s="14"/>
      <c r="V258" s="18" t="s">
        <v>34</v>
      </c>
      <c r="W258" s="16"/>
      <c r="X258" s="16"/>
    </row>
    <row r="259" ht="22.5" hidden="1" customHeight="1">
      <c r="A259" s="11">
        <v>45939.497986689814</v>
      </c>
      <c r="B259" s="12" t="s">
        <v>684</v>
      </c>
      <c r="C259" s="13" t="s">
        <v>685</v>
      </c>
      <c r="D259" s="14"/>
      <c r="E259" s="13" t="s">
        <v>26</v>
      </c>
      <c r="F259" s="13" t="s">
        <v>133</v>
      </c>
      <c r="G259" s="13" t="s">
        <v>516</v>
      </c>
      <c r="H259" s="13" t="s">
        <v>55</v>
      </c>
      <c r="I259" s="13" t="s">
        <v>81</v>
      </c>
      <c r="J259" s="14"/>
      <c r="K259" s="16" t="str">
        <f t="array" ref="K259">IFERROR(VLOOKUP(B259, SORT('Nhật ký nộp hồ sơ '!B:D, 'Nhật ký nộp hồ sơ '!A:A, FALSE), 3, FALSE),"")</f>
        <v>Hoàn thành</v>
      </c>
      <c r="L259" s="16" t="str">
        <f t="shared" si="1"/>
        <v>Hoàn thành</v>
      </c>
      <c r="M259" s="13" t="s">
        <v>41</v>
      </c>
      <c r="N259" s="17">
        <f>IFERROR(__xludf.DUMMYFUNCTION("""COMPUTED_VALUE"""),45939.0)</f>
        <v>45939</v>
      </c>
      <c r="O259" s="17">
        <v>45942.0</v>
      </c>
      <c r="P259" s="17">
        <f>IFERROR(__xludf.DUMMYFUNCTION("IFERROR(QUERY('Nhật ký nộp hồ sơ '!A:I, ""SELECT I WHERE B = '""&amp;B259&amp;""' ORDER BY A DESC LIMIT 1"", 0))"),46038.0)</f>
        <v>46038</v>
      </c>
      <c r="Q259" s="17">
        <f t="shared" si="2"/>
        <v>46038</v>
      </c>
      <c r="R259" s="16">
        <v>3.0</v>
      </c>
      <c r="S259" s="16"/>
      <c r="T259" s="16"/>
      <c r="U259" s="14"/>
      <c r="V259" s="18" t="s">
        <v>34</v>
      </c>
      <c r="W259" s="16"/>
      <c r="X259" s="16"/>
    </row>
    <row r="260" ht="22.5" hidden="1" customHeight="1">
      <c r="A260" s="11">
        <v>45939.50128195602</v>
      </c>
      <c r="B260" s="12" t="s">
        <v>686</v>
      </c>
      <c r="C260" s="13" t="s">
        <v>606</v>
      </c>
      <c r="D260" s="14"/>
      <c r="E260" s="13" t="s">
        <v>26</v>
      </c>
      <c r="F260" s="13" t="s">
        <v>338</v>
      </c>
      <c r="G260" s="16"/>
      <c r="H260" s="13" t="s">
        <v>55</v>
      </c>
      <c r="I260" s="13" t="s">
        <v>659</v>
      </c>
      <c r="J260" s="14"/>
      <c r="K260" s="16" t="str">
        <f t="array" ref="K260">IFERROR(VLOOKUP(B260, SORT('Nhật ký nộp hồ sơ '!B:D, 'Nhật ký nộp hồ sơ '!A:A, FALSE), 3, FALSE),"")</f>
        <v>Hoàn thành</v>
      </c>
      <c r="L260" s="16" t="str">
        <f t="shared" si="1"/>
        <v>Hoàn thành</v>
      </c>
      <c r="M260" s="13" t="s">
        <v>216</v>
      </c>
      <c r="N260" s="17">
        <f>IFERROR(__xludf.DUMMYFUNCTION("""COMPUTED_VALUE"""),45939.0)</f>
        <v>45939</v>
      </c>
      <c r="O260" s="17">
        <v>45942.0</v>
      </c>
      <c r="P260" s="17">
        <f>IFERROR(__xludf.DUMMYFUNCTION("IFERROR(QUERY('Nhật ký nộp hồ sơ '!A:I, ""SELECT I WHERE B = '""&amp;B260&amp;""' ORDER BY A DESC LIMIT 1"", 0))"),45939.0)</f>
        <v>45939</v>
      </c>
      <c r="Q260" s="17">
        <f t="shared" si="2"/>
        <v>45939</v>
      </c>
      <c r="R260" s="16">
        <v>1.0</v>
      </c>
      <c r="S260" s="16"/>
      <c r="T260" s="16"/>
      <c r="U260" s="14"/>
      <c r="V260" s="18" t="s">
        <v>34</v>
      </c>
      <c r="W260" s="13">
        <v>4.0</v>
      </c>
      <c r="X260" s="13" t="s">
        <v>687</v>
      </c>
    </row>
    <row r="261" ht="22.5" hidden="1" customHeight="1">
      <c r="A261" s="11">
        <v>45939.50199712963</v>
      </c>
      <c r="B261" s="12" t="s">
        <v>688</v>
      </c>
      <c r="C261" s="13" t="s">
        <v>654</v>
      </c>
      <c r="D261" s="14"/>
      <c r="E261" s="13" t="s">
        <v>53</v>
      </c>
      <c r="F261" s="13" t="s">
        <v>133</v>
      </c>
      <c r="G261" s="16"/>
      <c r="H261" s="13" t="s">
        <v>55</v>
      </c>
      <c r="I261" s="13" t="s">
        <v>659</v>
      </c>
      <c r="J261" s="14"/>
      <c r="K261" s="16" t="str">
        <f t="array" ref="K261">IFERROR(VLOOKUP(B261, SORT('Nhật ký nộp hồ sơ '!B:D, 'Nhật ký nộp hồ sơ '!A:A, FALSE), 3, FALSE),"")</f>
        <v>Hoàn thành</v>
      </c>
      <c r="L261" s="16" t="str">
        <f t="shared" si="1"/>
        <v>Hoàn thành</v>
      </c>
      <c r="M261" s="13" t="s">
        <v>216</v>
      </c>
      <c r="N261" s="17">
        <f>IFERROR(__xludf.DUMMYFUNCTION("""COMPUTED_VALUE"""),45939.0)</f>
        <v>45939</v>
      </c>
      <c r="O261" s="17">
        <v>45942.0</v>
      </c>
      <c r="P261" s="17">
        <f>IFERROR(__xludf.DUMMYFUNCTION("IFERROR(QUERY('Nhật ký nộp hồ sơ '!A:I, ""SELECT I WHERE B = '""&amp;B261&amp;""' ORDER BY A DESC LIMIT 1"", 0))"),45939.0)</f>
        <v>45939</v>
      </c>
      <c r="Q261" s="17">
        <f t="shared" si="2"/>
        <v>45939</v>
      </c>
      <c r="R261" s="16">
        <v>1.0</v>
      </c>
      <c r="S261" s="16"/>
      <c r="T261" s="16"/>
      <c r="U261" s="14"/>
      <c r="V261" s="18" t="s">
        <v>34</v>
      </c>
      <c r="W261" s="13">
        <v>11.0</v>
      </c>
      <c r="X261" s="13" t="s">
        <v>687</v>
      </c>
    </row>
    <row r="262" ht="22.5" hidden="1" customHeight="1">
      <c r="A262" s="11">
        <v>45939.628547685184</v>
      </c>
      <c r="B262" s="12" t="s">
        <v>689</v>
      </c>
      <c r="C262" s="13" t="s">
        <v>682</v>
      </c>
      <c r="D262" s="14"/>
      <c r="E262" s="13" t="s">
        <v>53</v>
      </c>
      <c r="F262" s="13" t="s">
        <v>133</v>
      </c>
      <c r="G262" s="13" t="s">
        <v>683</v>
      </c>
      <c r="H262" s="13" t="s">
        <v>29</v>
      </c>
      <c r="I262" s="13" t="s">
        <v>659</v>
      </c>
      <c r="J262" s="14"/>
      <c r="K262" s="16" t="str">
        <f t="array" ref="K262">IFERROR(VLOOKUP(B262, SORT('Nhật ký nộp hồ sơ '!B:D, 'Nhật ký nộp hồ sơ '!A:A, FALSE), 3, FALSE),"")</f>
        <v>Hoàn thành</v>
      </c>
      <c r="L262" s="16" t="str">
        <f t="shared" si="1"/>
        <v>Hoàn thành</v>
      </c>
      <c r="M262" s="13" t="s">
        <v>216</v>
      </c>
      <c r="N262" s="17">
        <f>IFERROR(__xludf.DUMMYFUNCTION("""COMPUTED_VALUE"""),45939.0)</f>
        <v>45939</v>
      </c>
      <c r="O262" s="17">
        <v>45942.0</v>
      </c>
      <c r="P262" s="17">
        <f>IFERROR(__xludf.DUMMYFUNCTION("IFERROR(QUERY('Nhật ký nộp hồ sơ '!A:I, ""SELECT I WHERE B = '""&amp;B262&amp;""' ORDER BY A DESC LIMIT 1"", 0))"),45939.0)</f>
        <v>45939</v>
      </c>
      <c r="Q262" s="17">
        <f t="shared" si="2"/>
        <v>45939</v>
      </c>
      <c r="R262" s="16">
        <v>6.0</v>
      </c>
      <c r="S262" s="16"/>
      <c r="T262" s="16"/>
      <c r="U262" s="14"/>
      <c r="V262" s="18" t="s">
        <v>34</v>
      </c>
      <c r="W262" s="13">
        <v>15.0</v>
      </c>
      <c r="X262" s="13" t="s">
        <v>687</v>
      </c>
    </row>
    <row r="263" ht="22.5" hidden="1" customHeight="1">
      <c r="A263" s="11">
        <v>45939.62975789352</v>
      </c>
      <c r="B263" s="12" t="s">
        <v>690</v>
      </c>
      <c r="C263" s="13" t="s">
        <v>370</v>
      </c>
      <c r="D263" s="14"/>
      <c r="E263" s="13" t="s">
        <v>53</v>
      </c>
      <c r="F263" s="13" t="s">
        <v>133</v>
      </c>
      <c r="G263" s="20" t="s">
        <v>371</v>
      </c>
      <c r="H263" s="13" t="s">
        <v>29</v>
      </c>
      <c r="I263" s="13" t="s">
        <v>659</v>
      </c>
      <c r="J263" s="14"/>
      <c r="K263" s="16" t="str">
        <f t="array" ref="K263">IFERROR(VLOOKUP(B263, SORT('Nhật ký nộp hồ sơ '!B:D, 'Nhật ký nộp hồ sơ '!A:A, FALSE), 3, FALSE),"")</f>
        <v>Hoàn thành</v>
      </c>
      <c r="L263" s="16" t="str">
        <f t="shared" si="1"/>
        <v>Hoàn thành</v>
      </c>
      <c r="M263" s="13" t="s">
        <v>216</v>
      </c>
      <c r="N263" s="17">
        <f>IFERROR(__xludf.DUMMYFUNCTION("""COMPUTED_VALUE"""),45939.0)</f>
        <v>45939</v>
      </c>
      <c r="O263" s="17">
        <v>45942.0</v>
      </c>
      <c r="P263" s="17">
        <f>IFERROR(__xludf.DUMMYFUNCTION("IFERROR(QUERY('Nhật ký nộp hồ sơ '!A:I, ""SELECT I WHERE B = '""&amp;B263&amp;""' ORDER BY A DESC LIMIT 1"", 0))"),45939.0)</f>
        <v>45939</v>
      </c>
      <c r="Q263" s="17">
        <f t="shared" si="2"/>
        <v>45939</v>
      </c>
      <c r="R263" s="16">
        <v>4.0</v>
      </c>
      <c r="S263" s="16"/>
      <c r="T263" s="16"/>
      <c r="U263" s="14"/>
      <c r="V263" s="18" t="s">
        <v>34</v>
      </c>
      <c r="W263" s="13">
        <v>10.0</v>
      </c>
      <c r="X263" s="13" t="s">
        <v>687</v>
      </c>
    </row>
    <row r="264" ht="22.5" hidden="1" customHeight="1">
      <c r="A264" s="11">
        <v>45939.63073391204</v>
      </c>
      <c r="B264" s="12" t="s">
        <v>691</v>
      </c>
      <c r="C264" s="13" t="s">
        <v>574</v>
      </c>
      <c r="D264" s="14"/>
      <c r="E264" s="13" t="s">
        <v>62</v>
      </c>
      <c r="F264" s="13" t="s">
        <v>133</v>
      </c>
      <c r="G264" s="20" t="s">
        <v>575</v>
      </c>
      <c r="H264" s="13" t="s">
        <v>29</v>
      </c>
      <c r="I264" s="13" t="s">
        <v>659</v>
      </c>
      <c r="J264" s="14"/>
      <c r="K264" s="16" t="str">
        <f t="array" ref="K264">IFERROR(VLOOKUP(B264, SORT('Nhật ký nộp hồ sơ '!B:D, 'Nhật ký nộp hồ sơ '!A:A, FALSE), 3, FALSE),"")</f>
        <v>Hoàn thành</v>
      </c>
      <c r="L264" s="16" t="str">
        <f t="shared" si="1"/>
        <v>Hoàn thành</v>
      </c>
      <c r="M264" s="13" t="s">
        <v>216</v>
      </c>
      <c r="N264" s="17">
        <f>IFERROR(__xludf.DUMMYFUNCTION("""COMPUTED_VALUE"""),45939.0)</f>
        <v>45939</v>
      </c>
      <c r="O264" s="17">
        <v>45942.0</v>
      </c>
      <c r="P264" s="17">
        <f>IFERROR(__xludf.DUMMYFUNCTION("IFERROR(QUERY('Nhật ký nộp hồ sơ '!A:I, ""SELECT I WHERE B = '""&amp;B264&amp;""' ORDER BY A DESC LIMIT 1"", 0))"),45939.0)</f>
        <v>45939</v>
      </c>
      <c r="Q264" s="17">
        <f t="shared" si="2"/>
        <v>45939</v>
      </c>
      <c r="R264" s="16">
        <v>3.0</v>
      </c>
      <c r="S264" s="16"/>
      <c r="T264" s="16"/>
      <c r="U264" s="14"/>
      <c r="V264" s="18" t="s">
        <v>34</v>
      </c>
      <c r="W264" s="13">
        <v>8.0</v>
      </c>
      <c r="X264" s="13" t="s">
        <v>687</v>
      </c>
    </row>
    <row r="265" ht="22.5" hidden="1" customHeight="1">
      <c r="A265" s="11">
        <v>45940.44778375</v>
      </c>
      <c r="B265" s="12" t="s">
        <v>692</v>
      </c>
      <c r="C265" s="13" t="s">
        <v>553</v>
      </c>
      <c r="D265" s="14"/>
      <c r="E265" s="13" t="s">
        <v>53</v>
      </c>
      <c r="F265" s="13" t="s">
        <v>554</v>
      </c>
      <c r="G265" s="16"/>
      <c r="H265" s="13" t="s">
        <v>28</v>
      </c>
      <c r="I265" s="13" t="s">
        <v>81</v>
      </c>
      <c r="J265" s="14"/>
      <c r="K265" s="16" t="str">
        <f t="array" ref="K265">IFERROR(VLOOKUP(B265, SORT('Nhật ký nộp hồ sơ '!B:D, 'Nhật ký nộp hồ sơ '!A:A, FALSE), 3, FALSE),"")</f>
        <v>Hoàn thành</v>
      </c>
      <c r="L265" s="16" t="str">
        <f t="shared" si="1"/>
        <v>Hoàn thành</v>
      </c>
      <c r="M265" s="13" t="s">
        <v>146</v>
      </c>
      <c r="N265" s="17">
        <f>IFERROR(__xludf.DUMMYFUNCTION("""COMPUTED_VALUE"""),45940.0)</f>
        <v>45940</v>
      </c>
      <c r="O265" s="17">
        <v>45943.0</v>
      </c>
      <c r="P265" s="17">
        <f>IFERROR(__xludf.DUMMYFUNCTION("IFERROR(QUERY('Nhật ký nộp hồ sơ '!A:I, ""SELECT I WHERE B = '""&amp;B265&amp;""' ORDER BY A DESC LIMIT 1"", 0))"),45940.0)</f>
        <v>45940</v>
      </c>
      <c r="Q265" s="17">
        <f t="shared" si="2"/>
        <v>45940</v>
      </c>
      <c r="R265" s="16">
        <v>3.0</v>
      </c>
      <c r="S265" s="16"/>
      <c r="T265" s="16"/>
      <c r="U265" s="14"/>
      <c r="V265" s="18" t="s">
        <v>34</v>
      </c>
      <c r="W265" s="16"/>
      <c r="X265" s="16"/>
    </row>
    <row r="266" ht="22.5" hidden="1" customHeight="1">
      <c r="A266" s="11">
        <v>45940.452273726856</v>
      </c>
      <c r="B266" s="12" t="s">
        <v>693</v>
      </c>
      <c r="C266" s="13" t="s">
        <v>694</v>
      </c>
      <c r="D266" s="14"/>
      <c r="E266" s="13" t="s">
        <v>53</v>
      </c>
      <c r="F266" s="13" t="s">
        <v>133</v>
      </c>
      <c r="G266" s="20" t="s">
        <v>655</v>
      </c>
      <c r="H266" s="13" t="s">
        <v>28</v>
      </c>
      <c r="I266" s="13" t="s">
        <v>81</v>
      </c>
      <c r="J266" s="14"/>
      <c r="K266" s="16" t="str">
        <f t="array" ref="K266">IFERROR(VLOOKUP(B266, SORT('Nhật ký nộp hồ sơ '!B:D, 'Nhật ký nộp hồ sơ '!A:A, FALSE), 3, FALSE),"")</f>
        <v>Hoàn thành</v>
      </c>
      <c r="L266" s="16" t="str">
        <f t="shared" si="1"/>
        <v>Hoàn thành</v>
      </c>
      <c r="M266" s="13" t="s">
        <v>146</v>
      </c>
      <c r="N266" s="17">
        <f>IFERROR(__xludf.DUMMYFUNCTION("""COMPUTED_VALUE"""),45940.0)</f>
        <v>45940</v>
      </c>
      <c r="O266" s="17">
        <v>45943.0</v>
      </c>
      <c r="P266" s="17">
        <f>IFERROR(__xludf.DUMMYFUNCTION("IFERROR(QUERY('Nhật ký nộp hồ sơ '!A:I, ""SELECT I WHERE B = '""&amp;B266&amp;""' ORDER BY A DESC LIMIT 1"", 0))"),45940.0)</f>
        <v>45940</v>
      </c>
      <c r="Q266" s="17">
        <f t="shared" si="2"/>
        <v>45940</v>
      </c>
      <c r="R266" s="16">
        <v>1.0</v>
      </c>
      <c r="S266" s="16"/>
      <c r="T266" s="16"/>
      <c r="U266" s="14"/>
      <c r="V266" s="18" t="s">
        <v>34</v>
      </c>
      <c r="W266" s="16"/>
      <c r="X266" s="16"/>
    </row>
    <row r="267" ht="22.5" hidden="1" customHeight="1">
      <c r="A267" s="11">
        <v>45940.45408607639</v>
      </c>
      <c r="B267" s="12" t="s">
        <v>695</v>
      </c>
      <c r="C267" s="13" t="s">
        <v>509</v>
      </c>
      <c r="D267" s="14"/>
      <c r="E267" s="13" t="s">
        <v>62</v>
      </c>
      <c r="F267" s="13" t="s">
        <v>80</v>
      </c>
      <c r="G267" s="16"/>
      <c r="H267" s="13" t="s">
        <v>28</v>
      </c>
      <c r="I267" s="13" t="s">
        <v>81</v>
      </c>
      <c r="J267" s="14"/>
      <c r="K267" s="16" t="str">
        <f t="array" ref="K267">IFERROR(VLOOKUP(B267, SORT('Nhật ký nộp hồ sơ '!B:D, 'Nhật ký nộp hồ sơ '!A:A, FALSE), 3, FALSE),"")</f>
        <v>Hoàn thành</v>
      </c>
      <c r="L267" s="16" t="str">
        <f t="shared" si="1"/>
        <v>Hoàn thành</v>
      </c>
      <c r="M267" s="13" t="s">
        <v>146</v>
      </c>
      <c r="N267" s="17">
        <f>IFERROR(__xludf.DUMMYFUNCTION("""COMPUTED_VALUE"""),45940.0)</f>
        <v>45940</v>
      </c>
      <c r="O267" s="17">
        <v>45943.0</v>
      </c>
      <c r="P267" s="17">
        <f>IFERROR(__xludf.DUMMYFUNCTION("IFERROR(QUERY('Nhật ký nộp hồ sơ '!A:I, ""SELECT I WHERE B = '""&amp;B267&amp;""' ORDER BY A DESC LIMIT 1"", 0))"),45940.0)</f>
        <v>45940</v>
      </c>
      <c r="Q267" s="17">
        <f t="shared" si="2"/>
        <v>45940</v>
      </c>
      <c r="R267" s="16">
        <v>8.0</v>
      </c>
      <c r="S267" s="16"/>
      <c r="T267" s="16"/>
      <c r="U267" s="14"/>
      <c r="V267" s="18" t="s">
        <v>34</v>
      </c>
      <c r="W267" s="16"/>
      <c r="X267" s="16"/>
    </row>
    <row r="268" ht="22.5" hidden="1" customHeight="1">
      <c r="A268" s="11">
        <v>45940.546775324074</v>
      </c>
      <c r="B268" s="12" t="s">
        <v>696</v>
      </c>
      <c r="C268" s="13" t="s">
        <v>697</v>
      </c>
      <c r="D268" s="14"/>
      <c r="E268" s="13" t="s">
        <v>74</v>
      </c>
      <c r="F268" s="13" t="s">
        <v>176</v>
      </c>
      <c r="G268" s="16"/>
      <c r="H268" s="13" t="s">
        <v>47</v>
      </c>
      <c r="I268" s="13" t="s">
        <v>659</v>
      </c>
      <c r="J268" s="14"/>
      <c r="K268" s="16" t="str">
        <f t="array" ref="K268">IFERROR(VLOOKUP(B268, SORT('Nhật ký nộp hồ sơ '!B:D, 'Nhật ký nộp hồ sơ '!A:A, FALSE), 3, FALSE),"")</f>
        <v>Hoàn thành</v>
      </c>
      <c r="L268" s="16" t="str">
        <f t="shared" si="1"/>
        <v>Hoàn thành</v>
      </c>
      <c r="M268" s="13" t="s">
        <v>93</v>
      </c>
      <c r="N268" s="17">
        <f>IFERROR(__xludf.DUMMYFUNCTION("""COMPUTED_VALUE"""),45940.0)</f>
        <v>45940</v>
      </c>
      <c r="O268" s="17">
        <v>45943.0</v>
      </c>
      <c r="P268" s="17">
        <f>IFERROR(__xludf.DUMMYFUNCTION("IFERROR(QUERY('Nhật ký nộp hồ sơ '!A:I, ""SELECT I WHERE B = '""&amp;B268&amp;""' ORDER BY A DESC LIMIT 1"", 0))"),45974.0)</f>
        <v>45974</v>
      </c>
      <c r="Q268" s="17">
        <f t="shared" si="2"/>
        <v>45974</v>
      </c>
      <c r="R268" s="16">
        <v>2.0</v>
      </c>
      <c r="S268" s="16"/>
      <c r="T268" s="13" t="s">
        <v>698</v>
      </c>
      <c r="U268" s="14"/>
      <c r="V268" s="18" t="s">
        <v>34</v>
      </c>
      <c r="W268" s="16"/>
      <c r="X268" s="16"/>
    </row>
    <row r="269" ht="22.5" hidden="1" customHeight="1">
      <c r="A269" s="11">
        <v>45943.3700762963</v>
      </c>
      <c r="B269" s="12" t="s">
        <v>699</v>
      </c>
      <c r="C269" s="13" t="s">
        <v>700</v>
      </c>
      <c r="D269" s="14"/>
      <c r="E269" s="13" t="s">
        <v>79</v>
      </c>
      <c r="F269" s="13" t="s">
        <v>133</v>
      </c>
      <c r="G269" s="20" t="s">
        <v>701</v>
      </c>
      <c r="H269" s="13" t="s">
        <v>28</v>
      </c>
      <c r="I269" s="13" t="s">
        <v>29</v>
      </c>
      <c r="J269" s="14"/>
      <c r="K269" s="16" t="str">
        <f t="array" ref="K269">IFERROR(VLOOKUP(B269, SORT('Nhật ký nộp hồ sơ '!B:D, 'Nhật ký nộp hồ sơ '!A:A, FALSE), 3, FALSE),"")</f>
        <v>Nộp thành công - Chờ kết quả</v>
      </c>
      <c r="L269" s="16" t="str">
        <f t="shared" si="1"/>
        <v>Đã nộp</v>
      </c>
      <c r="M269" s="13" t="s">
        <v>56</v>
      </c>
      <c r="N269" s="17">
        <f>IFERROR(__xludf.DUMMYFUNCTION("""COMPUTED_VALUE"""),45943.0)</f>
        <v>45943</v>
      </c>
      <c r="O269" s="17">
        <v>45946.0</v>
      </c>
      <c r="P269" s="17">
        <f>IFERROR(__xludf.DUMMYFUNCTION("IFERROR(QUERY('Nhật ký nộp hồ sơ '!A:I, ""SELECT I WHERE B = '""&amp;B269&amp;""' ORDER BY A DESC LIMIT 1"", 0))"),45973.0)</f>
        <v>45973</v>
      </c>
      <c r="Q269" s="17" t="str">
        <f t="shared" si="2"/>
        <v/>
      </c>
      <c r="R269" s="16">
        <v>1.0</v>
      </c>
      <c r="S269" s="16"/>
      <c r="T269" s="16"/>
      <c r="U269" s="14"/>
      <c r="V269" s="18" t="s">
        <v>34</v>
      </c>
      <c r="W269" s="16"/>
      <c r="X269" s="16"/>
    </row>
    <row r="270" ht="22.5" hidden="1" customHeight="1">
      <c r="A270" s="11">
        <v>45943.66320943287</v>
      </c>
      <c r="B270" s="12" t="s">
        <v>702</v>
      </c>
      <c r="C270" s="13" t="s">
        <v>703</v>
      </c>
      <c r="D270" s="14"/>
      <c r="E270" s="13" t="s">
        <v>74</v>
      </c>
      <c r="F270" s="13" t="s">
        <v>123</v>
      </c>
      <c r="G270" s="16"/>
      <c r="H270" s="13" t="s">
        <v>28</v>
      </c>
      <c r="I270" s="13" t="s">
        <v>29</v>
      </c>
      <c r="J270" s="14"/>
      <c r="K270" s="16" t="str">
        <f t="array" ref="K270">IFERROR(VLOOKUP(B270, SORT('Nhật ký nộp hồ sơ '!B:D, 'Nhật ký nộp hồ sơ '!A:A, FALSE), 3, FALSE),"")</f>
        <v>Hoàn thành</v>
      </c>
      <c r="L270" s="16" t="str">
        <f t="shared" si="1"/>
        <v>Hoàn thành</v>
      </c>
      <c r="M270" s="13" t="s">
        <v>216</v>
      </c>
      <c r="N270" s="17">
        <f>IFERROR(__xludf.DUMMYFUNCTION("""COMPUTED_VALUE"""),45943.0)</f>
        <v>45943</v>
      </c>
      <c r="O270" s="17">
        <v>45946.0</v>
      </c>
      <c r="P270" s="17">
        <f>IFERROR(__xludf.DUMMYFUNCTION("IFERROR(QUERY('Nhật ký nộp hồ sơ '!A:I, ""SELECT I WHERE B = '""&amp;B270&amp;""' ORDER BY A DESC LIMIT 1"", 0))"),45943.0)</f>
        <v>45943</v>
      </c>
      <c r="Q270" s="17">
        <f t="shared" si="2"/>
        <v>45943</v>
      </c>
      <c r="R270" s="16">
        <v>1.0</v>
      </c>
      <c r="S270" s="16"/>
      <c r="T270" s="16"/>
      <c r="U270" s="14"/>
      <c r="V270" s="18" t="s">
        <v>34</v>
      </c>
      <c r="W270" s="13">
        <v>4.0</v>
      </c>
      <c r="X270" s="13" t="s">
        <v>687</v>
      </c>
    </row>
    <row r="271" ht="22.5" hidden="1" customHeight="1">
      <c r="A271" s="11">
        <v>45944.40811201389</v>
      </c>
      <c r="B271" s="12" t="s">
        <v>704</v>
      </c>
      <c r="C271" s="13" t="s">
        <v>705</v>
      </c>
      <c r="D271" s="14"/>
      <c r="E271" s="13" t="s">
        <v>74</v>
      </c>
      <c r="F271" s="13" t="s">
        <v>133</v>
      </c>
      <c r="G271" s="20" t="s">
        <v>706</v>
      </c>
      <c r="H271" s="13" t="s">
        <v>55</v>
      </c>
      <c r="I271" s="13" t="s">
        <v>659</v>
      </c>
      <c r="J271" s="14"/>
      <c r="K271" s="16" t="str">
        <f t="array" ref="K271">IFERROR(VLOOKUP(B271, SORT('Nhật ký nộp hồ sơ '!B:D, 'Nhật ký nộp hồ sơ '!A:A, FALSE), 3, FALSE),"")</f>
        <v>Hoàn thành</v>
      </c>
      <c r="L271" s="16" t="str">
        <f t="shared" si="1"/>
        <v>Hoàn thành</v>
      </c>
      <c r="M271" s="13" t="s">
        <v>48</v>
      </c>
      <c r="N271" s="17">
        <f>IFERROR(__xludf.DUMMYFUNCTION("""COMPUTED_VALUE"""),45944.0)</f>
        <v>45944</v>
      </c>
      <c r="O271" s="17">
        <v>45947.0</v>
      </c>
      <c r="P271" s="17">
        <f>IFERROR(__xludf.DUMMYFUNCTION("IFERROR(QUERY('Nhật ký nộp hồ sơ '!A:I, ""SELECT I WHERE B = '""&amp;B271&amp;""' ORDER BY A DESC LIMIT 1"", 0))"),45982.0)</f>
        <v>45982</v>
      </c>
      <c r="Q271" s="17">
        <f t="shared" si="2"/>
        <v>45982</v>
      </c>
      <c r="R271" s="16">
        <v>1.0</v>
      </c>
      <c r="S271" s="16"/>
      <c r="T271" s="16"/>
      <c r="U271" s="14"/>
      <c r="V271" s="18" t="s">
        <v>34</v>
      </c>
      <c r="W271" s="16"/>
      <c r="X271" s="16"/>
    </row>
    <row r="272" ht="22.5" hidden="1" customHeight="1">
      <c r="A272" s="11">
        <v>45944.472111423616</v>
      </c>
      <c r="B272" s="12" t="s">
        <v>707</v>
      </c>
      <c r="C272" s="13" t="s">
        <v>708</v>
      </c>
      <c r="D272" s="14"/>
      <c r="E272" s="13" t="s">
        <v>231</v>
      </c>
      <c r="F272" s="13" t="s">
        <v>133</v>
      </c>
      <c r="G272" s="20" t="s">
        <v>709</v>
      </c>
      <c r="H272" s="13" t="s">
        <v>47</v>
      </c>
      <c r="I272" s="13" t="s">
        <v>659</v>
      </c>
      <c r="J272" s="14"/>
      <c r="K272" s="16" t="str">
        <f t="array" ref="K272">IFERROR(VLOOKUP(B272, SORT('Nhật ký nộp hồ sơ '!B:D, 'Nhật ký nộp hồ sơ '!A:A, FALSE), 3, FALSE),"")</f>
        <v>Hoàn thành</v>
      </c>
      <c r="L272" s="16" t="str">
        <f t="shared" si="1"/>
        <v>Hoàn thành</v>
      </c>
      <c r="M272" s="13" t="s">
        <v>56</v>
      </c>
      <c r="N272" s="17">
        <f>IFERROR(__xludf.DUMMYFUNCTION("""COMPUTED_VALUE"""),45944.0)</f>
        <v>45944</v>
      </c>
      <c r="O272" s="17">
        <v>45947.0</v>
      </c>
      <c r="P272" s="17">
        <f>IFERROR(__xludf.DUMMYFUNCTION("IFERROR(QUERY('Nhật ký nộp hồ sơ '!A:I, ""SELECT I WHERE B = '""&amp;B272&amp;""' ORDER BY A DESC LIMIT 1"", 0))"),45964.0)</f>
        <v>45964</v>
      </c>
      <c r="Q272" s="17">
        <f t="shared" si="2"/>
        <v>45964</v>
      </c>
      <c r="R272" s="16">
        <v>1.0</v>
      </c>
      <c r="S272" s="16"/>
      <c r="T272" s="16"/>
      <c r="U272" s="14"/>
      <c r="V272" s="18" t="s">
        <v>34</v>
      </c>
      <c r="W272" s="16"/>
      <c r="X272" s="16"/>
    </row>
    <row r="273" ht="22.5" hidden="1" customHeight="1">
      <c r="A273" s="11">
        <v>45944.6702146412</v>
      </c>
      <c r="B273" s="12" t="s">
        <v>710</v>
      </c>
      <c r="C273" s="13" t="s">
        <v>711</v>
      </c>
      <c r="D273" s="14"/>
      <c r="E273" s="13" t="s">
        <v>74</v>
      </c>
      <c r="F273" s="13" t="s">
        <v>246</v>
      </c>
      <c r="G273" s="16"/>
      <c r="H273" s="13" t="s">
        <v>28</v>
      </c>
      <c r="I273" s="13" t="s">
        <v>659</v>
      </c>
      <c r="J273" s="14"/>
      <c r="K273" s="16" t="str">
        <f t="array" ref="K273">IFERROR(VLOOKUP(B273, SORT('Nhật ký nộp hồ sơ '!B:D, 'Nhật ký nộp hồ sơ '!A:A, FALSE), 3, FALSE),"")</f>
        <v>Hoàn thành</v>
      </c>
      <c r="L273" s="16" t="str">
        <f t="shared" si="1"/>
        <v>Hoàn thành</v>
      </c>
      <c r="M273" s="13" t="s">
        <v>48</v>
      </c>
      <c r="N273" s="17">
        <f>IFERROR(__xludf.DUMMYFUNCTION("""COMPUTED_VALUE"""),45944.0)</f>
        <v>45944</v>
      </c>
      <c r="O273" s="17">
        <v>45947.0</v>
      </c>
      <c r="P273" s="17">
        <f>IFERROR(__xludf.DUMMYFUNCTION("IFERROR(QUERY('Nhật ký nộp hồ sơ '!A:I, ""SELECT I WHERE B = '""&amp;B273&amp;""' ORDER BY A DESC LIMIT 1"", 0))"),46002.0)</f>
        <v>46002</v>
      </c>
      <c r="Q273" s="17">
        <f t="shared" si="2"/>
        <v>46002</v>
      </c>
      <c r="R273" s="16">
        <v>1.0</v>
      </c>
      <c r="S273" s="16"/>
      <c r="T273" s="16"/>
      <c r="U273" s="14"/>
      <c r="V273" s="18" t="s">
        <v>34</v>
      </c>
      <c r="W273" s="16"/>
      <c r="X273" s="16"/>
    </row>
    <row r="274" ht="22.5" hidden="1" customHeight="1">
      <c r="A274" s="11">
        <v>45944.67231181713</v>
      </c>
      <c r="B274" s="12" t="s">
        <v>712</v>
      </c>
      <c r="C274" s="13" t="s">
        <v>713</v>
      </c>
      <c r="D274" s="14"/>
      <c r="E274" s="13" t="s">
        <v>74</v>
      </c>
      <c r="F274" s="13" t="s">
        <v>338</v>
      </c>
      <c r="G274" s="16"/>
      <c r="H274" s="13" t="s">
        <v>28</v>
      </c>
      <c r="I274" s="13" t="s">
        <v>659</v>
      </c>
      <c r="J274" s="14"/>
      <c r="K274" s="16" t="str">
        <f t="array" ref="K274">IFERROR(VLOOKUP(B274, SORT('Nhật ký nộp hồ sơ '!B:D, 'Nhật ký nộp hồ sơ '!A:A, FALSE), 3, FALSE),"")</f>
        <v>Hoàn thành</v>
      </c>
      <c r="L274" s="16" t="str">
        <f t="shared" si="1"/>
        <v>Hoàn thành</v>
      </c>
      <c r="M274" s="13" t="s">
        <v>41</v>
      </c>
      <c r="N274" s="17">
        <f>IFERROR(__xludf.DUMMYFUNCTION("""COMPUTED_VALUE"""),45944.0)</f>
        <v>45944</v>
      </c>
      <c r="O274" s="17">
        <v>45947.0</v>
      </c>
      <c r="P274" s="17">
        <f>IFERROR(__xludf.DUMMYFUNCTION("IFERROR(QUERY('Nhật ký nộp hồ sơ '!A:I, ""SELECT I WHERE B = '""&amp;B274&amp;""' ORDER BY A DESC LIMIT 1"", 0))"),45945.0)</f>
        <v>45945</v>
      </c>
      <c r="Q274" s="17">
        <f t="shared" si="2"/>
        <v>45945</v>
      </c>
      <c r="R274" s="16">
        <v>1.0</v>
      </c>
      <c r="S274" s="16"/>
      <c r="T274" s="16"/>
      <c r="U274" s="14"/>
      <c r="V274" s="18" t="s">
        <v>34</v>
      </c>
      <c r="W274" s="16"/>
      <c r="X274" s="16"/>
    </row>
    <row r="275" ht="22.5" hidden="1" customHeight="1">
      <c r="A275" s="11">
        <v>45945.451976655095</v>
      </c>
      <c r="B275" s="12" t="s">
        <v>714</v>
      </c>
      <c r="C275" s="13" t="s">
        <v>506</v>
      </c>
      <c r="D275" s="14"/>
      <c r="E275" s="13" t="s">
        <v>132</v>
      </c>
      <c r="F275" s="13" t="s">
        <v>440</v>
      </c>
      <c r="G275" s="16"/>
      <c r="H275" s="13" t="s">
        <v>29</v>
      </c>
      <c r="I275" s="13" t="s">
        <v>659</v>
      </c>
      <c r="J275" s="14"/>
      <c r="K275" s="16" t="str">
        <f t="array" ref="K275">IFERROR(VLOOKUP(B275, SORT('Nhật ký nộp hồ sơ '!B:D, 'Nhật ký nộp hồ sơ '!A:A, FALSE), 3, FALSE),"")</f>
        <v>Hoàn thành</v>
      </c>
      <c r="L275" s="16" t="str">
        <f t="shared" si="1"/>
        <v>Hoàn thành</v>
      </c>
      <c r="M275" s="13" t="s">
        <v>216</v>
      </c>
      <c r="N275" s="17">
        <f>IFERROR(__xludf.DUMMYFUNCTION("""COMPUTED_VALUE"""),45945.0)</f>
        <v>45945</v>
      </c>
      <c r="O275" s="17">
        <v>45948.0</v>
      </c>
      <c r="P275" s="17">
        <f>IFERROR(__xludf.DUMMYFUNCTION("IFERROR(QUERY('Nhật ký nộp hồ sơ '!A:I, ""SELECT I WHERE B = '""&amp;B275&amp;""' ORDER BY A DESC LIMIT 1"", 0))"),45945.0)</f>
        <v>45945</v>
      </c>
      <c r="Q275" s="17">
        <f t="shared" si="2"/>
        <v>45945</v>
      </c>
      <c r="R275" s="16">
        <v>1.0</v>
      </c>
      <c r="S275" s="16"/>
      <c r="T275" s="16"/>
      <c r="U275" s="14"/>
      <c r="V275" s="18" t="s">
        <v>34</v>
      </c>
      <c r="W275" s="13">
        <v>8.0</v>
      </c>
      <c r="X275" s="13" t="s">
        <v>687</v>
      </c>
    </row>
    <row r="276" ht="22.5" hidden="1" customHeight="1">
      <c r="A276" s="11">
        <v>45945.50600393518</v>
      </c>
      <c r="B276" s="12" t="s">
        <v>715</v>
      </c>
      <c r="C276" s="13" t="s">
        <v>716</v>
      </c>
      <c r="D276" s="14"/>
      <c r="E276" s="13" t="s">
        <v>45</v>
      </c>
      <c r="F276" s="13" t="s">
        <v>133</v>
      </c>
      <c r="G276" s="16"/>
      <c r="H276" s="13" t="s">
        <v>55</v>
      </c>
      <c r="I276" s="13" t="s">
        <v>29</v>
      </c>
      <c r="J276" s="14"/>
      <c r="K276" s="16" t="str">
        <f t="array" ref="K276">IFERROR(VLOOKUP(B276, SORT('Nhật ký nộp hồ sơ '!B:D, 'Nhật ký nộp hồ sơ '!A:A, FALSE), 3, FALSE),"")</f>
        <v>Hoàn thành</v>
      </c>
      <c r="L276" s="16" t="str">
        <f t="shared" si="1"/>
        <v>Hoàn thành</v>
      </c>
      <c r="M276" s="13" t="s">
        <v>56</v>
      </c>
      <c r="N276" s="17">
        <f>IFERROR(__xludf.DUMMYFUNCTION("""COMPUTED_VALUE"""),45945.0)</f>
        <v>45945</v>
      </c>
      <c r="O276" s="17">
        <v>45948.0</v>
      </c>
      <c r="P276" s="17">
        <f>IFERROR(__xludf.DUMMYFUNCTION("IFERROR(QUERY('Nhật ký nộp hồ sơ '!A:I, ""SELECT I WHERE B = '""&amp;B276&amp;""' ORDER BY A DESC LIMIT 1"", 0))"),46090.0)</f>
        <v>46090</v>
      </c>
      <c r="Q276" s="17">
        <f t="shared" si="2"/>
        <v>46090</v>
      </c>
      <c r="R276" s="16">
        <v>1.0</v>
      </c>
      <c r="S276" s="13" t="s">
        <v>717</v>
      </c>
      <c r="T276" s="16"/>
      <c r="U276" s="14"/>
      <c r="V276" s="18" t="s">
        <v>34</v>
      </c>
      <c r="W276" s="16"/>
      <c r="X276" s="16"/>
    </row>
    <row r="277" ht="22.5" hidden="1" customHeight="1">
      <c r="A277" s="11">
        <v>45946.4691225</v>
      </c>
      <c r="B277" s="12" t="s">
        <v>718</v>
      </c>
      <c r="C277" s="13" t="s">
        <v>719</v>
      </c>
      <c r="D277" s="14"/>
      <c r="E277" s="13" t="s">
        <v>45</v>
      </c>
      <c r="F277" s="13" t="s">
        <v>133</v>
      </c>
      <c r="G277" s="20" t="s">
        <v>720</v>
      </c>
      <c r="H277" s="13" t="s">
        <v>55</v>
      </c>
      <c r="I277" s="13" t="s">
        <v>659</v>
      </c>
      <c r="J277" s="14"/>
      <c r="K277" s="16" t="str">
        <f t="array" ref="K277">IFERROR(VLOOKUP(B277, SORT('Nhật ký nộp hồ sơ '!B:D, 'Nhật ký nộp hồ sơ '!A:A, FALSE), 3, FALSE),"")</f>
        <v>Hoàn thành</v>
      </c>
      <c r="L277" s="16" t="str">
        <f t="shared" si="1"/>
        <v>Hoàn thành</v>
      </c>
      <c r="M277" s="13" t="s">
        <v>56</v>
      </c>
      <c r="N277" s="17">
        <f>IFERROR(__xludf.DUMMYFUNCTION("""COMPUTED_VALUE"""),45946.0)</f>
        <v>45946</v>
      </c>
      <c r="O277" s="17">
        <v>45949.0</v>
      </c>
      <c r="P277" s="17">
        <f>IFERROR(__xludf.DUMMYFUNCTION("IFERROR(QUERY('Nhật ký nộp hồ sơ '!A:I, ""SELECT I WHERE B = '""&amp;B277&amp;""' ORDER BY A DESC LIMIT 1"", 0))"),45987.0)</f>
        <v>45987</v>
      </c>
      <c r="Q277" s="17">
        <f t="shared" si="2"/>
        <v>45987</v>
      </c>
      <c r="R277" s="16">
        <v>3.0</v>
      </c>
      <c r="S277" s="13" t="s">
        <v>721</v>
      </c>
      <c r="T277" s="16"/>
      <c r="U277" s="14"/>
      <c r="V277" s="18" t="s">
        <v>34</v>
      </c>
      <c r="W277" s="16"/>
      <c r="X277" s="16"/>
    </row>
    <row r="278" ht="22.5" hidden="1" customHeight="1">
      <c r="A278" s="11">
        <v>45946.4915708912</v>
      </c>
      <c r="B278" s="12" t="s">
        <v>722</v>
      </c>
      <c r="C278" s="13" t="s">
        <v>723</v>
      </c>
      <c r="D278" s="14"/>
      <c r="E278" s="13" t="s">
        <v>122</v>
      </c>
      <c r="F278" s="13" t="s">
        <v>338</v>
      </c>
      <c r="G278" s="16"/>
      <c r="H278" s="13" t="s">
        <v>47</v>
      </c>
      <c r="I278" s="13" t="s">
        <v>659</v>
      </c>
      <c r="J278" s="14"/>
      <c r="K278" s="16" t="str">
        <f t="array" ref="K278">IFERROR(VLOOKUP(B278, SORT('Nhật ký nộp hồ sơ '!B:D, 'Nhật ký nộp hồ sơ '!A:A, FALSE), 3, FALSE),"")</f>
        <v>Hoàn thành</v>
      </c>
      <c r="L278" s="16" t="str">
        <f t="shared" si="1"/>
        <v>Hoàn thành</v>
      </c>
      <c r="M278" s="13" t="s">
        <v>56</v>
      </c>
      <c r="N278" s="17">
        <f>IFERROR(__xludf.DUMMYFUNCTION("""COMPUTED_VALUE"""),45946.0)</f>
        <v>45946</v>
      </c>
      <c r="O278" s="17">
        <v>45949.0</v>
      </c>
      <c r="P278" s="17">
        <f>IFERROR(__xludf.DUMMYFUNCTION("IFERROR(QUERY('Nhật ký nộp hồ sơ '!A:I, ""SELECT I WHERE B = '""&amp;B278&amp;""' ORDER BY A DESC LIMIT 1"", 0))"),45978.0)</f>
        <v>45978</v>
      </c>
      <c r="Q278" s="17">
        <f t="shared" si="2"/>
        <v>45978</v>
      </c>
      <c r="R278" s="16">
        <v>2.0</v>
      </c>
      <c r="S278" s="16"/>
      <c r="T278" s="16"/>
      <c r="U278" s="14"/>
      <c r="V278" s="18" t="s">
        <v>34</v>
      </c>
      <c r="W278" s="16"/>
      <c r="X278" s="16"/>
    </row>
    <row r="279" ht="22.5" hidden="1" customHeight="1">
      <c r="A279" s="11">
        <v>45946.68948180556</v>
      </c>
      <c r="B279" s="12" t="s">
        <v>724</v>
      </c>
      <c r="C279" s="13" t="s">
        <v>542</v>
      </c>
      <c r="D279" s="14"/>
      <c r="E279" s="13" t="s">
        <v>45</v>
      </c>
      <c r="F279" s="13" t="s">
        <v>46</v>
      </c>
      <c r="G279" s="16"/>
      <c r="H279" s="13" t="s">
        <v>47</v>
      </c>
      <c r="I279" s="13" t="s">
        <v>81</v>
      </c>
      <c r="J279" s="14"/>
      <c r="K279" s="16" t="str">
        <f t="array" ref="K279">IFERROR(VLOOKUP(B279, SORT('Nhật ký nộp hồ sơ '!B:D, 'Nhật ký nộp hồ sơ '!A:A, FALSE), 3, FALSE),"")</f>
        <v>Hoàn thành</v>
      </c>
      <c r="L279" s="16" t="str">
        <f t="shared" si="1"/>
        <v>Hoàn thành</v>
      </c>
      <c r="M279" s="13" t="s">
        <v>135</v>
      </c>
      <c r="N279" s="17">
        <f>IFERROR(__xludf.DUMMYFUNCTION("""COMPUTED_VALUE"""),45946.0)</f>
        <v>45946</v>
      </c>
      <c r="O279" s="17">
        <v>45949.0</v>
      </c>
      <c r="P279" s="17">
        <f>IFERROR(__xludf.DUMMYFUNCTION("IFERROR(QUERY('Nhật ký nộp hồ sơ '!A:I, ""SELECT I WHERE B = '""&amp;B279&amp;""' ORDER BY A DESC LIMIT 1"", 0))"),45988.0)</f>
        <v>45988</v>
      </c>
      <c r="Q279" s="17">
        <f t="shared" si="2"/>
        <v>45988</v>
      </c>
      <c r="R279" s="16">
        <v>1.0</v>
      </c>
      <c r="S279" s="16"/>
      <c r="T279" s="16"/>
      <c r="U279" s="14"/>
      <c r="V279" s="18" t="s">
        <v>34</v>
      </c>
      <c r="W279" s="16"/>
      <c r="X279" s="16"/>
    </row>
    <row r="280" ht="22.5" hidden="1" customHeight="1">
      <c r="A280" s="11">
        <v>45946.71452440972</v>
      </c>
      <c r="B280" s="12" t="s">
        <v>725</v>
      </c>
      <c r="C280" s="13" t="s">
        <v>682</v>
      </c>
      <c r="D280" s="14"/>
      <c r="E280" s="13" t="s">
        <v>53</v>
      </c>
      <c r="F280" s="13" t="s">
        <v>133</v>
      </c>
      <c r="G280" s="13" t="s">
        <v>683</v>
      </c>
      <c r="H280" s="13" t="s">
        <v>28</v>
      </c>
      <c r="I280" s="13" t="s">
        <v>81</v>
      </c>
      <c r="J280" s="14"/>
      <c r="K280" s="16" t="str">
        <f t="array" ref="K280">IFERROR(VLOOKUP(B280, SORT('Nhật ký nộp hồ sơ '!B:D, 'Nhật ký nộp hồ sơ '!A:A, FALSE), 3, FALSE),"")</f>
        <v>Hoàn thành</v>
      </c>
      <c r="L280" s="16" t="str">
        <f t="shared" si="1"/>
        <v>Hoàn thành</v>
      </c>
      <c r="M280" s="13" t="s">
        <v>146</v>
      </c>
      <c r="N280" s="17">
        <f>IFERROR(__xludf.DUMMYFUNCTION("""COMPUTED_VALUE"""),45946.0)</f>
        <v>45946</v>
      </c>
      <c r="O280" s="17">
        <v>45949.0</v>
      </c>
      <c r="P280" s="17">
        <f>IFERROR(__xludf.DUMMYFUNCTION("IFERROR(QUERY('Nhật ký nộp hồ sơ '!A:I, ""SELECT I WHERE B = '""&amp;B280&amp;""' ORDER BY A DESC LIMIT 1"", 0))"),45947.0)</f>
        <v>45947</v>
      </c>
      <c r="Q280" s="17">
        <f t="shared" si="2"/>
        <v>45947</v>
      </c>
      <c r="R280" s="16">
        <v>1.0</v>
      </c>
      <c r="S280" s="16"/>
      <c r="T280" s="16"/>
      <c r="U280" s="14"/>
      <c r="V280" s="18" t="s">
        <v>34</v>
      </c>
      <c r="W280" s="16"/>
      <c r="X280" s="16"/>
    </row>
    <row r="281" ht="22.5" hidden="1" customHeight="1">
      <c r="A281" s="11">
        <v>45946.7183096875</v>
      </c>
      <c r="B281" s="12" t="s">
        <v>726</v>
      </c>
      <c r="C281" s="13" t="s">
        <v>727</v>
      </c>
      <c r="D281" s="14"/>
      <c r="E281" s="13" t="s">
        <v>79</v>
      </c>
      <c r="F281" s="13" t="s">
        <v>89</v>
      </c>
      <c r="G281" s="16"/>
      <c r="H281" s="13" t="s">
        <v>29</v>
      </c>
      <c r="I281" s="13" t="s">
        <v>659</v>
      </c>
      <c r="J281" s="14"/>
      <c r="K281" s="16" t="str">
        <f t="array" ref="K281">IFERROR(VLOOKUP(B281, SORT('Nhật ký nộp hồ sơ '!B:D, 'Nhật ký nộp hồ sơ '!A:A, FALSE), 3, FALSE),"")</f>
        <v>Hoàn thành</v>
      </c>
      <c r="L281" s="16" t="str">
        <f t="shared" si="1"/>
        <v>Hoàn thành</v>
      </c>
      <c r="M281" s="13" t="s">
        <v>48</v>
      </c>
      <c r="N281" s="17">
        <f>IFERROR(__xludf.DUMMYFUNCTION("""COMPUTED_VALUE"""),45946.0)</f>
        <v>45946</v>
      </c>
      <c r="O281" s="17">
        <v>45949.0</v>
      </c>
      <c r="P281" s="17">
        <f>IFERROR(__xludf.DUMMYFUNCTION("IFERROR(QUERY('Nhật ký nộp hồ sơ '!A:I, ""SELECT I WHERE B = '""&amp;B281&amp;""' ORDER BY A DESC LIMIT 1"", 0))"),46079.0)</f>
        <v>46079</v>
      </c>
      <c r="Q281" s="17">
        <f t="shared" si="2"/>
        <v>46079</v>
      </c>
      <c r="R281" s="16">
        <v>1.0</v>
      </c>
      <c r="S281" s="16"/>
      <c r="T281" s="16"/>
      <c r="U281" s="14"/>
      <c r="V281" s="18" t="s">
        <v>34</v>
      </c>
      <c r="W281" s="16"/>
      <c r="X281" s="16"/>
    </row>
    <row r="282" ht="22.5" hidden="1" customHeight="1">
      <c r="A282" s="11">
        <v>45946.719443090275</v>
      </c>
      <c r="B282" s="12" t="s">
        <v>728</v>
      </c>
      <c r="C282" s="13" t="s">
        <v>729</v>
      </c>
      <c r="D282" s="14"/>
      <c r="E282" s="13" t="s">
        <v>151</v>
      </c>
      <c r="F282" s="13" t="s">
        <v>395</v>
      </c>
      <c r="G282" s="16"/>
      <c r="H282" s="13" t="s">
        <v>29</v>
      </c>
      <c r="I282" s="13" t="s">
        <v>659</v>
      </c>
      <c r="J282" s="14"/>
      <c r="K282" s="16" t="str">
        <f t="array" ref="K282">IFERROR(VLOOKUP(B282, SORT('Nhật ký nộp hồ sơ '!B:D, 'Nhật ký nộp hồ sơ '!A:A, FALSE), 3, FALSE),"")</f>
        <v>Hoàn thành</v>
      </c>
      <c r="L282" s="16" t="str">
        <f t="shared" si="1"/>
        <v>Hoàn thành</v>
      </c>
      <c r="M282" s="13" t="s">
        <v>56</v>
      </c>
      <c r="N282" s="17">
        <f>IFERROR(__xludf.DUMMYFUNCTION("""COMPUTED_VALUE"""),45946.0)</f>
        <v>45946</v>
      </c>
      <c r="O282" s="17">
        <v>45949.0</v>
      </c>
      <c r="P282" s="17">
        <f>IFERROR(__xludf.DUMMYFUNCTION("IFERROR(QUERY('Nhật ký nộp hồ sơ '!A:I, ""SELECT I WHERE B = '""&amp;B282&amp;""' ORDER BY A DESC LIMIT 1"", 0))"),45953.0)</f>
        <v>45953</v>
      </c>
      <c r="Q282" s="17">
        <f t="shared" si="2"/>
        <v>45953</v>
      </c>
      <c r="R282" s="16">
        <v>1.0</v>
      </c>
      <c r="S282" s="16"/>
      <c r="T282" s="16"/>
      <c r="U282" s="14"/>
      <c r="V282" s="18" t="s">
        <v>34</v>
      </c>
      <c r="W282" s="16"/>
      <c r="X282" s="16"/>
    </row>
    <row r="283" ht="22.5" hidden="1" customHeight="1">
      <c r="A283" s="11">
        <v>45947.67648334491</v>
      </c>
      <c r="B283" s="12" t="s">
        <v>730</v>
      </c>
      <c r="C283" s="13" t="s">
        <v>569</v>
      </c>
      <c r="D283" s="14"/>
      <c r="E283" s="13" t="s">
        <v>53</v>
      </c>
      <c r="F283" s="13" t="s">
        <v>554</v>
      </c>
      <c r="G283" s="16"/>
      <c r="H283" s="13" t="s">
        <v>28</v>
      </c>
      <c r="I283" s="13" t="s">
        <v>81</v>
      </c>
      <c r="J283" s="14"/>
      <c r="K283" s="16" t="str">
        <f t="array" ref="K283">IFERROR(VLOOKUP(B283, SORT('Nhật ký nộp hồ sơ '!B:D, 'Nhật ký nộp hồ sơ '!A:A, FALSE), 3, FALSE),"")</f>
        <v>Hoàn thành</v>
      </c>
      <c r="L283" s="16" t="str">
        <f t="shared" si="1"/>
        <v>Hoàn thành</v>
      </c>
      <c r="M283" s="13" t="s">
        <v>216</v>
      </c>
      <c r="N283" s="17">
        <f>IFERROR(__xludf.DUMMYFUNCTION("""COMPUTED_VALUE"""),45947.0)</f>
        <v>45947</v>
      </c>
      <c r="O283" s="17">
        <v>45950.0</v>
      </c>
      <c r="P283" s="17">
        <f>IFERROR(__xludf.DUMMYFUNCTION("IFERROR(QUERY('Nhật ký nộp hồ sơ '!A:I, ""SELECT I WHERE B = '""&amp;B283&amp;""' ORDER BY A DESC LIMIT 1"", 0))"),45948.0)</f>
        <v>45948</v>
      </c>
      <c r="Q283" s="17">
        <f t="shared" si="2"/>
        <v>45948</v>
      </c>
      <c r="R283" s="16">
        <v>1.0</v>
      </c>
      <c r="S283" s="16"/>
      <c r="T283" s="16"/>
      <c r="U283" s="14"/>
      <c r="V283" s="18" t="s">
        <v>34</v>
      </c>
      <c r="W283" s="13">
        <v>15.0</v>
      </c>
      <c r="X283" s="13" t="s">
        <v>687</v>
      </c>
    </row>
    <row r="284" ht="22.5" hidden="1" customHeight="1">
      <c r="A284" s="11">
        <v>45947.67734579861</v>
      </c>
      <c r="B284" s="12" t="s">
        <v>731</v>
      </c>
      <c r="C284" s="13" t="s">
        <v>557</v>
      </c>
      <c r="D284" s="14"/>
      <c r="E284" s="13" t="s">
        <v>53</v>
      </c>
      <c r="F284" s="13" t="s">
        <v>554</v>
      </c>
      <c r="G284" s="16"/>
      <c r="H284" s="13" t="s">
        <v>28</v>
      </c>
      <c r="I284" s="13" t="s">
        <v>81</v>
      </c>
      <c r="J284" s="14"/>
      <c r="K284" s="16" t="str">
        <f t="array" ref="K284">IFERROR(VLOOKUP(B284, SORT('Nhật ký nộp hồ sơ '!B:D, 'Nhật ký nộp hồ sơ '!A:A, FALSE), 3, FALSE),"")</f>
        <v>Hoàn thành</v>
      </c>
      <c r="L284" s="16" t="str">
        <f t="shared" si="1"/>
        <v>Hoàn thành</v>
      </c>
      <c r="M284" s="13" t="s">
        <v>216</v>
      </c>
      <c r="N284" s="17">
        <f>IFERROR(__xludf.DUMMYFUNCTION("""COMPUTED_VALUE"""),45947.0)</f>
        <v>45947</v>
      </c>
      <c r="O284" s="17">
        <v>45950.0</v>
      </c>
      <c r="P284" s="17">
        <f>IFERROR(__xludf.DUMMYFUNCTION("IFERROR(QUERY('Nhật ký nộp hồ sơ '!A:I, ""SELECT I WHERE B = '""&amp;B284&amp;""' ORDER BY A DESC LIMIT 1"", 0))"),45948.0)</f>
        <v>45948</v>
      </c>
      <c r="Q284" s="17">
        <f t="shared" si="2"/>
        <v>45948</v>
      </c>
      <c r="R284" s="16">
        <v>3.0</v>
      </c>
      <c r="S284" s="16"/>
      <c r="T284" s="16"/>
      <c r="U284" s="14"/>
      <c r="V284" s="18" t="s">
        <v>34</v>
      </c>
      <c r="W284" s="13">
        <v>11.0</v>
      </c>
      <c r="X284" s="13" t="s">
        <v>687</v>
      </c>
    </row>
    <row r="285" ht="22.5" hidden="1" customHeight="1">
      <c r="A285" s="11">
        <v>45947.67880079861</v>
      </c>
      <c r="B285" s="12" t="s">
        <v>732</v>
      </c>
      <c r="C285" s="13" t="s">
        <v>557</v>
      </c>
      <c r="D285" s="14"/>
      <c r="E285" s="13" t="s">
        <v>53</v>
      </c>
      <c r="F285" s="13" t="s">
        <v>554</v>
      </c>
      <c r="G285" s="16"/>
      <c r="H285" s="13" t="s">
        <v>28</v>
      </c>
      <c r="I285" s="13" t="s">
        <v>81</v>
      </c>
      <c r="J285" s="14"/>
      <c r="K285" s="16" t="str">
        <f t="array" ref="K285">IFERROR(VLOOKUP(B285, SORT('Nhật ký nộp hồ sơ '!B:D, 'Nhật ký nộp hồ sơ '!A:A, FALSE), 3, FALSE),"")</f>
        <v>Hoàn thành</v>
      </c>
      <c r="L285" s="16" t="str">
        <f t="shared" si="1"/>
        <v>Hoàn thành</v>
      </c>
      <c r="M285" s="13" t="s">
        <v>216</v>
      </c>
      <c r="N285" s="17">
        <f>IFERROR(__xludf.DUMMYFUNCTION("""COMPUTED_VALUE"""),45947.0)</f>
        <v>45947</v>
      </c>
      <c r="O285" s="17">
        <v>45950.0</v>
      </c>
      <c r="P285" s="17">
        <f>IFERROR(__xludf.DUMMYFUNCTION("IFERROR(QUERY('Nhật ký nộp hồ sơ '!A:I, ""SELECT I WHERE B = '""&amp;B285&amp;""' ORDER BY A DESC LIMIT 1"", 0))"),45948.0)</f>
        <v>45948</v>
      </c>
      <c r="Q285" s="17">
        <f t="shared" si="2"/>
        <v>45948</v>
      </c>
      <c r="R285" s="16">
        <v>2.0</v>
      </c>
      <c r="S285" s="16"/>
      <c r="T285" s="16"/>
      <c r="U285" s="14"/>
      <c r="V285" s="18" t="s">
        <v>34</v>
      </c>
      <c r="W285" s="13">
        <v>10.0</v>
      </c>
      <c r="X285" s="13" t="s">
        <v>687</v>
      </c>
    </row>
    <row r="286" ht="22.5" hidden="1" customHeight="1">
      <c r="A286" s="11">
        <v>45947.679596608796</v>
      </c>
      <c r="B286" s="12" t="s">
        <v>733</v>
      </c>
      <c r="C286" s="13" t="s">
        <v>557</v>
      </c>
      <c r="D286" s="14"/>
      <c r="E286" s="13" t="s">
        <v>53</v>
      </c>
      <c r="F286" s="13" t="s">
        <v>554</v>
      </c>
      <c r="G286" s="16"/>
      <c r="H286" s="13" t="s">
        <v>28</v>
      </c>
      <c r="I286" s="13" t="s">
        <v>81</v>
      </c>
      <c r="J286" s="14"/>
      <c r="K286" s="16" t="str">
        <f t="array" ref="K286">IFERROR(VLOOKUP(B286, SORT('Nhật ký nộp hồ sơ '!B:D, 'Nhật ký nộp hồ sơ '!A:A, FALSE), 3, FALSE),"")</f>
        <v>Hoàn thành</v>
      </c>
      <c r="L286" s="16" t="str">
        <f t="shared" si="1"/>
        <v>Hoàn thành</v>
      </c>
      <c r="M286" s="13" t="s">
        <v>216</v>
      </c>
      <c r="N286" s="17">
        <f>IFERROR(__xludf.DUMMYFUNCTION("""COMPUTED_VALUE"""),45947.0)</f>
        <v>45947</v>
      </c>
      <c r="O286" s="17">
        <v>45950.0</v>
      </c>
      <c r="P286" s="17">
        <f>IFERROR(__xludf.DUMMYFUNCTION("IFERROR(QUERY('Nhật ký nộp hồ sơ '!A:I, ""SELECT I WHERE B = '""&amp;B286&amp;""' ORDER BY A DESC LIMIT 1"", 0))"),45948.0)</f>
        <v>45948</v>
      </c>
      <c r="Q286" s="17">
        <f t="shared" si="2"/>
        <v>45948</v>
      </c>
      <c r="R286" s="16">
        <v>1.0</v>
      </c>
      <c r="S286" s="16"/>
      <c r="T286" s="16"/>
      <c r="U286" s="14"/>
      <c r="V286" s="18" t="s">
        <v>34</v>
      </c>
      <c r="W286" s="13">
        <v>16.0</v>
      </c>
      <c r="X286" s="13" t="s">
        <v>687</v>
      </c>
    </row>
    <row r="287" ht="22.5" hidden="1" customHeight="1">
      <c r="A287" s="11">
        <v>45947.68057280093</v>
      </c>
      <c r="B287" s="12" t="s">
        <v>734</v>
      </c>
      <c r="C287" s="13" t="s">
        <v>557</v>
      </c>
      <c r="D287" s="14"/>
      <c r="E287" s="13" t="s">
        <v>53</v>
      </c>
      <c r="F287" s="13" t="s">
        <v>554</v>
      </c>
      <c r="G287" s="16"/>
      <c r="H287" s="13" t="s">
        <v>28</v>
      </c>
      <c r="I287" s="13" t="s">
        <v>81</v>
      </c>
      <c r="J287" s="14"/>
      <c r="K287" s="16" t="str">
        <f t="array" ref="K287">IFERROR(VLOOKUP(B287, SORT('Nhật ký nộp hồ sơ '!B:D, 'Nhật ký nộp hồ sơ '!A:A, FALSE), 3, FALSE),"")</f>
        <v>Hoàn thành</v>
      </c>
      <c r="L287" s="16" t="str">
        <f t="shared" si="1"/>
        <v>Hoàn thành</v>
      </c>
      <c r="M287" s="13" t="s">
        <v>216</v>
      </c>
      <c r="N287" s="17">
        <f>IFERROR(__xludf.DUMMYFUNCTION("""COMPUTED_VALUE"""),45947.0)</f>
        <v>45947</v>
      </c>
      <c r="O287" s="17">
        <v>45950.0</v>
      </c>
      <c r="P287" s="17">
        <f>IFERROR(__xludf.DUMMYFUNCTION("IFERROR(QUERY('Nhật ký nộp hồ sơ '!A:I, ""SELECT I WHERE B = '""&amp;B287&amp;""' ORDER BY A DESC LIMIT 1"", 0))"),45948.0)</f>
        <v>45948</v>
      </c>
      <c r="Q287" s="17">
        <f t="shared" si="2"/>
        <v>45948</v>
      </c>
      <c r="R287" s="16">
        <v>1.0</v>
      </c>
      <c r="S287" s="16"/>
      <c r="T287" s="16"/>
      <c r="U287" s="14"/>
      <c r="V287" s="18" t="s">
        <v>34</v>
      </c>
      <c r="W287" s="13">
        <v>14.0</v>
      </c>
      <c r="X287" s="13" t="s">
        <v>687</v>
      </c>
    </row>
    <row r="288" ht="22.5" hidden="1" customHeight="1">
      <c r="A288" s="11">
        <v>45947.68162387732</v>
      </c>
      <c r="B288" s="12" t="s">
        <v>735</v>
      </c>
      <c r="C288" s="13" t="s">
        <v>566</v>
      </c>
      <c r="D288" s="14"/>
      <c r="E288" s="13" t="s">
        <v>53</v>
      </c>
      <c r="F288" s="13" t="s">
        <v>554</v>
      </c>
      <c r="G288" s="16"/>
      <c r="H288" s="13" t="s">
        <v>28</v>
      </c>
      <c r="I288" s="13" t="s">
        <v>81</v>
      </c>
      <c r="J288" s="14"/>
      <c r="K288" s="16" t="str">
        <f t="array" ref="K288">IFERROR(VLOOKUP(B288, SORT('Nhật ký nộp hồ sơ '!B:D, 'Nhật ký nộp hồ sơ '!A:A, FALSE), 3, FALSE),"")</f>
        <v>Hoàn thành</v>
      </c>
      <c r="L288" s="16" t="str">
        <f t="shared" si="1"/>
        <v>Hoàn thành</v>
      </c>
      <c r="M288" s="13" t="s">
        <v>216</v>
      </c>
      <c r="N288" s="17">
        <f>IFERROR(__xludf.DUMMYFUNCTION("""COMPUTED_VALUE"""),45947.0)</f>
        <v>45947</v>
      </c>
      <c r="O288" s="17">
        <v>45950.0</v>
      </c>
      <c r="P288" s="17">
        <f>IFERROR(__xludf.DUMMYFUNCTION("IFERROR(QUERY('Nhật ký nộp hồ sơ '!A:I, ""SELECT I WHERE B = '""&amp;B288&amp;""' ORDER BY A DESC LIMIT 1"", 0))"),45948.0)</f>
        <v>45948</v>
      </c>
      <c r="Q288" s="17">
        <f t="shared" si="2"/>
        <v>45948</v>
      </c>
      <c r="R288" s="16">
        <v>1.0</v>
      </c>
      <c r="S288" s="16"/>
      <c r="T288" s="16"/>
      <c r="U288" s="14"/>
      <c r="V288" s="18" t="s">
        <v>34</v>
      </c>
      <c r="W288" s="13">
        <v>6.0</v>
      </c>
      <c r="X288" s="13" t="s">
        <v>687</v>
      </c>
    </row>
    <row r="289" ht="22.5" hidden="1" customHeight="1">
      <c r="A289" s="11">
        <v>45947.682541875</v>
      </c>
      <c r="B289" s="12" t="s">
        <v>736</v>
      </c>
      <c r="C289" s="13" t="s">
        <v>557</v>
      </c>
      <c r="D289" s="14"/>
      <c r="E289" s="13" t="s">
        <v>53</v>
      </c>
      <c r="F289" s="13" t="s">
        <v>554</v>
      </c>
      <c r="G289" s="16"/>
      <c r="H289" s="13" t="s">
        <v>28</v>
      </c>
      <c r="I289" s="13" t="s">
        <v>81</v>
      </c>
      <c r="J289" s="14"/>
      <c r="K289" s="16" t="str">
        <f t="array" ref="K289">IFERROR(VLOOKUP(B289, SORT('Nhật ký nộp hồ sơ '!B:D, 'Nhật ký nộp hồ sơ '!A:A, FALSE), 3, FALSE),"")</f>
        <v>Hoàn thành</v>
      </c>
      <c r="L289" s="16" t="str">
        <f t="shared" si="1"/>
        <v>Hoàn thành</v>
      </c>
      <c r="M289" s="13" t="s">
        <v>216</v>
      </c>
      <c r="N289" s="17">
        <f>IFERROR(__xludf.DUMMYFUNCTION("""COMPUTED_VALUE"""),45947.0)</f>
        <v>45947</v>
      </c>
      <c r="O289" s="17">
        <v>45950.0</v>
      </c>
      <c r="P289" s="17">
        <f>IFERROR(__xludf.DUMMYFUNCTION("IFERROR(QUERY('Nhật ký nộp hồ sơ '!A:I, ""SELECT I WHERE B = '""&amp;B289&amp;""' ORDER BY A DESC LIMIT 1"", 0))"),45948.0)</f>
        <v>45948</v>
      </c>
      <c r="Q289" s="17">
        <f t="shared" si="2"/>
        <v>45948</v>
      </c>
      <c r="R289" s="16">
        <v>1.0</v>
      </c>
      <c r="S289" s="16"/>
      <c r="T289" s="16"/>
      <c r="U289" s="14"/>
      <c r="V289" s="18" t="s">
        <v>34</v>
      </c>
      <c r="W289" s="13">
        <v>6.0</v>
      </c>
      <c r="X289" s="13" t="s">
        <v>687</v>
      </c>
    </row>
    <row r="290" ht="22.5" hidden="1" customHeight="1">
      <c r="A290" s="11">
        <v>45948.45614811343</v>
      </c>
      <c r="B290" s="12" t="s">
        <v>737</v>
      </c>
      <c r="C290" s="13" t="s">
        <v>697</v>
      </c>
      <c r="D290" s="14"/>
      <c r="E290" s="13" t="s">
        <v>74</v>
      </c>
      <c r="F290" s="13" t="s">
        <v>176</v>
      </c>
      <c r="G290" s="16"/>
      <c r="H290" s="13" t="s">
        <v>55</v>
      </c>
      <c r="I290" s="13" t="s">
        <v>659</v>
      </c>
      <c r="J290" s="14"/>
      <c r="K290" s="16" t="str">
        <f t="array" ref="K290">IFERROR(VLOOKUP(B290, SORT('Nhật ký nộp hồ sơ '!B:D, 'Nhật ký nộp hồ sơ '!A:A, FALSE), 3, FALSE),"")</f>
        <v>Hoàn thành</v>
      </c>
      <c r="L290" s="16" t="str">
        <f t="shared" si="1"/>
        <v>Hoàn thành</v>
      </c>
      <c r="M290" s="13" t="s">
        <v>216</v>
      </c>
      <c r="N290" s="17">
        <f>IFERROR(__xludf.DUMMYFUNCTION("""COMPUTED_VALUE"""),45948.0)</f>
        <v>45948</v>
      </c>
      <c r="O290" s="17">
        <v>45951.0</v>
      </c>
      <c r="P290" s="17">
        <f>IFERROR(__xludf.DUMMYFUNCTION("IFERROR(QUERY('Nhật ký nộp hồ sơ '!A:I, ""SELECT I WHERE B = '""&amp;B290&amp;""' ORDER BY A DESC LIMIT 1"", 0))"),45947.0)</f>
        <v>45947</v>
      </c>
      <c r="Q290" s="17">
        <f t="shared" si="2"/>
        <v>45947</v>
      </c>
      <c r="R290" s="16">
        <v>1.0</v>
      </c>
      <c r="S290" s="16"/>
      <c r="T290" s="16"/>
      <c r="U290" s="14"/>
      <c r="V290" s="18" t="s">
        <v>34</v>
      </c>
      <c r="W290" s="13">
        <v>12.0</v>
      </c>
      <c r="X290" s="13" t="s">
        <v>687</v>
      </c>
    </row>
    <row r="291" ht="22.5" hidden="1" customHeight="1">
      <c r="A291" s="11">
        <v>45950.45503309028</v>
      </c>
      <c r="B291" s="12" t="s">
        <v>738</v>
      </c>
      <c r="C291" s="13" t="s">
        <v>739</v>
      </c>
      <c r="D291" s="18" t="s">
        <v>44</v>
      </c>
      <c r="E291" s="13" t="s">
        <v>122</v>
      </c>
      <c r="F291" s="13" t="s">
        <v>338</v>
      </c>
      <c r="G291" s="16"/>
      <c r="H291" s="13" t="s">
        <v>47</v>
      </c>
      <c r="I291" s="13" t="s">
        <v>659</v>
      </c>
      <c r="J291" s="14"/>
      <c r="K291" s="16" t="str">
        <f t="array" ref="K291">IFERROR(VLOOKUP(B291, SORT('Nhật ký nộp hồ sơ '!B:D, 'Nhật ký nộp hồ sơ '!A:A, FALSE), 3, FALSE),"")</f>
        <v>Hoàn thành</v>
      </c>
      <c r="L291" s="16" t="str">
        <f t="shared" si="1"/>
        <v>Hoàn thành</v>
      </c>
      <c r="M291" s="13" t="s">
        <v>56</v>
      </c>
      <c r="N291" s="17">
        <f>IFERROR(__xludf.DUMMYFUNCTION("""COMPUTED_VALUE"""),45950.0)</f>
        <v>45950</v>
      </c>
      <c r="O291" s="17">
        <v>45953.0</v>
      </c>
      <c r="P291" s="17">
        <f>IFERROR(__xludf.DUMMYFUNCTION("IFERROR(QUERY('Nhật ký nộp hồ sơ '!A:I, ""SELECT I WHERE B = '""&amp;B291&amp;""' ORDER BY A DESC LIMIT 1"", 0))"),45967.0)</f>
        <v>45967</v>
      </c>
      <c r="Q291" s="17">
        <f t="shared" si="2"/>
        <v>45967</v>
      </c>
      <c r="R291" s="16">
        <v>3.0</v>
      </c>
      <c r="S291" s="16"/>
      <c r="T291" s="16"/>
      <c r="U291" s="14"/>
      <c r="V291" s="18" t="s">
        <v>34</v>
      </c>
      <c r="W291" s="16"/>
      <c r="X291" s="16"/>
    </row>
    <row r="292" ht="22.5" hidden="1" customHeight="1">
      <c r="A292" s="11">
        <v>45950.45737564815</v>
      </c>
      <c r="B292" s="12" t="s">
        <v>740</v>
      </c>
      <c r="C292" s="13" t="s">
        <v>741</v>
      </c>
      <c r="D292" s="18" t="s">
        <v>44</v>
      </c>
      <c r="E292" s="13" t="s">
        <v>45</v>
      </c>
      <c r="F292" s="13" t="s">
        <v>89</v>
      </c>
      <c r="G292" s="16"/>
      <c r="H292" s="13" t="s">
        <v>47</v>
      </c>
      <c r="I292" s="13" t="s">
        <v>659</v>
      </c>
      <c r="J292" s="14"/>
      <c r="K292" s="16" t="str">
        <f t="array" ref="K292">IFERROR(VLOOKUP(B292, SORT('Nhật ký nộp hồ sơ '!B:D, 'Nhật ký nộp hồ sơ '!A:A, FALSE), 3, FALSE),"")</f>
        <v>Hoàn thành</v>
      </c>
      <c r="L292" s="16" t="str">
        <f t="shared" si="1"/>
        <v>Hoàn thành</v>
      </c>
      <c r="M292" s="13" t="s">
        <v>48</v>
      </c>
      <c r="N292" s="17">
        <f>IFERROR(__xludf.DUMMYFUNCTION("""COMPUTED_VALUE"""),45950.0)</f>
        <v>45950</v>
      </c>
      <c r="O292" s="17">
        <v>45953.0</v>
      </c>
      <c r="P292" s="17">
        <f>IFERROR(__xludf.DUMMYFUNCTION("IFERROR(QUERY('Nhật ký nộp hồ sơ '!A:I, ""SELECT I WHERE B = '""&amp;B292&amp;""' ORDER BY A DESC LIMIT 1"", 0))"),45965.0)</f>
        <v>45965</v>
      </c>
      <c r="Q292" s="17">
        <f t="shared" si="2"/>
        <v>45965</v>
      </c>
      <c r="R292" s="16">
        <v>1.0</v>
      </c>
      <c r="S292" s="16"/>
      <c r="T292" s="16"/>
      <c r="U292" s="14"/>
      <c r="V292" s="18" t="s">
        <v>34</v>
      </c>
      <c r="W292" s="16"/>
      <c r="X292" s="16"/>
    </row>
    <row r="293" ht="22.5" hidden="1" customHeight="1">
      <c r="A293" s="11">
        <v>45951.36623372685</v>
      </c>
      <c r="B293" s="12" t="s">
        <v>742</v>
      </c>
      <c r="C293" s="13" t="s">
        <v>700</v>
      </c>
      <c r="D293" s="14"/>
      <c r="E293" s="13" t="s">
        <v>79</v>
      </c>
      <c r="F293" s="13" t="s">
        <v>133</v>
      </c>
      <c r="G293" s="20" t="s">
        <v>701</v>
      </c>
      <c r="H293" s="13" t="s">
        <v>28</v>
      </c>
      <c r="I293" s="13" t="s">
        <v>81</v>
      </c>
      <c r="J293" s="14"/>
      <c r="K293" s="16" t="str">
        <f t="array" ref="K293">IFERROR(VLOOKUP(B293, SORT('Nhật ký nộp hồ sơ '!B:D, 'Nhật ký nộp hồ sơ '!A:A, FALSE), 3, FALSE),"")</f>
        <v>Hoàn thành</v>
      </c>
      <c r="L293" s="16" t="str">
        <f t="shared" si="1"/>
        <v>Hoàn thành</v>
      </c>
      <c r="M293" s="13" t="s">
        <v>146</v>
      </c>
      <c r="N293" s="17">
        <f>IFERROR(__xludf.DUMMYFUNCTION("""COMPUTED_VALUE"""),45951.0)</f>
        <v>45951</v>
      </c>
      <c r="O293" s="17">
        <v>45954.0</v>
      </c>
      <c r="P293" s="17">
        <f>IFERROR(__xludf.DUMMYFUNCTION("IFERROR(QUERY('Nhật ký nộp hồ sơ '!A:I, ""SELECT I WHERE B = '""&amp;B293&amp;""' ORDER BY A DESC LIMIT 1"", 0))"),45951.0)</f>
        <v>45951</v>
      </c>
      <c r="Q293" s="17">
        <f t="shared" si="2"/>
        <v>45951</v>
      </c>
      <c r="R293" s="16">
        <v>2.0</v>
      </c>
      <c r="S293" s="16"/>
      <c r="T293" s="16"/>
      <c r="U293" s="14"/>
      <c r="V293" s="18" t="s">
        <v>34</v>
      </c>
      <c r="W293" s="16"/>
      <c r="X293" s="16"/>
    </row>
    <row r="294" ht="22.5" hidden="1" customHeight="1">
      <c r="A294" s="11">
        <v>45951.370296608795</v>
      </c>
      <c r="B294" s="12" t="s">
        <v>743</v>
      </c>
      <c r="C294" s="13" t="s">
        <v>557</v>
      </c>
      <c r="D294" s="14"/>
      <c r="E294" s="13" t="s">
        <v>53</v>
      </c>
      <c r="F294" s="13" t="s">
        <v>554</v>
      </c>
      <c r="G294" s="16"/>
      <c r="H294" s="13" t="s">
        <v>28</v>
      </c>
      <c r="I294" s="13" t="s">
        <v>81</v>
      </c>
      <c r="J294" s="14"/>
      <c r="K294" s="16" t="str">
        <f t="array" ref="K294">IFERROR(VLOOKUP(B294, SORT('Nhật ký nộp hồ sơ '!B:D, 'Nhật ký nộp hồ sơ '!A:A, FALSE), 3, FALSE),"")</f>
        <v>Hoàn thành</v>
      </c>
      <c r="L294" s="16" t="str">
        <f t="shared" si="1"/>
        <v>Hoàn thành</v>
      </c>
      <c r="M294" s="13" t="s">
        <v>216</v>
      </c>
      <c r="N294" s="17">
        <f>IFERROR(__xludf.DUMMYFUNCTION("""COMPUTED_VALUE"""),45951.0)</f>
        <v>45951</v>
      </c>
      <c r="O294" s="17">
        <v>45954.0</v>
      </c>
      <c r="P294" s="17">
        <f>IFERROR(__xludf.DUMMYFUNCTION("IFERROR(QUERY('Nhật ký nộp hồ sơ '!A:I, ""SELECT I WHERE B = '""&amp;B294&amp;""' ORDER BY A DESC LIMIT 1"", 0))"),45951.0)</f>
        <v>45951</v>
      </c>
      <c r="Q294" s="17">
        <f t="shared" si="2"/>
        <v>45951</v>
      </c>
      <c r="R294" s="16">
        <v>3.0</v>
      </c>
      <c r="S294" s="16"/>
      <c r="T294" s="16"/>
      <c r="U294" s="14"/>
      <c r="V294" s="18" t="s">
        <v>34</v>
      </c>
      <c r="W294" s="13">
        <v>13.0</v>
      </c>
      <c r="X294" s="13" t="s">
        <v>687</v>
      </c>
    </row>
    <row r="295" ht="22.5" hidden="1" customHeight="1">
      <c r="A295" s="11">
        <v>45951.37147469907</v>
      </c>
      <c r="B295" s="12" t="s">
        <v>744</v>
      </c>
      <c r="C295" s="13" t="s">
        <v>557</v>
      </c>
      <c r="D295" s="14"/>
      <c r="E295" s="13" t="s">
        <v>53</v>
      </c>
      <c r="F295" s="13" t="s">
        <v>554</v>
      </c>
      <c r="G295" s="16"/>
      <c r="H295" s="13" t="s">
        <v>28</v>
      </c>
      <c r="I295" s="13" t="s">
        <v>81</v>
      </c>
      <c r="J295" s="14"/>
      <c r="K295" s="16" t="str">
        <f t="array" ref="K295">IFERROR(VLOOKUP(B295, SORT('Nhật ký nộp hồ sơ '!B:D, 'Nhật ký nộp hồ sơ '!A:A, FALSE), 3, FALSE),"")</f>
        <v>Hoàn thành</v>
      </c>
      <c r="L295" s="16" t="str">
        <f t="shared" si="1"/>
        <v>Hoàn thành</v>
      </c>
      <c r="M295" s="13" t="s">
        <v>146</v>
      </c>
      <c r="N295" s="17">
        <f>IFERROR(__xludf.DUMMYFUNCTION("""COMPUTED_VALUE"""),45951.0)</f>
        <v>45951</v>
      </c>
      <c r="O295" s="17">
        <v>45954.0</v>
      </c>
      <c r="P295" s="17">
        <f>IFERROR(__xludf.DUMMYFUNCTION("IFERROR(QUERY('Nhật ký nộp hồ sơ '!A:I, ""SELECT I WHERE B = '""&amp;B295&amp;""' ORDER BY A DESC LIMIT 1"", 0))"),45951.0)</f>
        <v>45951</v>
      </c>
      <c r="Q295" s="17">
        <f t="shared" si="2"/>
        <v>45951</v>
      </c>
      <c r="R295" s="16">
        <v>3.0</v>
      </c>
      <c r="S295" s="16"/>
      <c r="T295" s="16"/>
      <c r="U295" s="14"/>
      <c r="V295" s="18" t="s">
        <v>34</v>
      </c>
      <c r="W295" s="16"/>
      <c r="X295" s="16"/>
    </row>
    <row r="296" ht="22.5" hidden="1" customHeight="1">
      <c r="A296" s="11">
        <v>45951.37262391204</v>
      </c>
      <c r="B296" s="12" t="s">
        <v>745</v>
      </c>
      <c r="C296" s="13" t="s">
        <v>627</v>
      </c>
      <c r="D296" s="14"/>
      <c r="E296" s="13" t="s">
        <v>53</v>
      </c>
      <c r="F296" s="13" t="s">
        <v>554</v>
      </c>
      <c r="G296" s="16"/>
      <c r="H296" s="13" t="s">
        <v>28</v>
      </c>
      <c r="I296" s="13" t="s">
        <v>81</v>
      </c>
      <c r="J296" s="14"/>
      <c r="K296" s="16" t="str">
        <f t="array" ref="K296">IFERROR(VLOOKUP(B296, SORT('Nhật ký nộp hồ sơ '!B:D, 'Nhật ký nộp hồ sơ '!A:A, FALSE), 3, FALSE),"")</f>
        <v>Hoàn thành</v>
      </c>
      <c r="L296" s="16" t="str">
        <f t="shared" si="1"/>
        <v>Hoàn thành</v>
      </c>
      <c r="M296" s="13" t="s">
        <v>216</v>
      </c>
      <c r="N296" s="17">
        <f>IFERROR(__xludf.DUMMYFUNCTION("""COMPUTED_VALUE"""),45951.0)</f>
        <v>45951</v>
      </c>
      <c r="O296" s="17">
        <v>45954.0</v>
      </c>
      <c r="P296" s="17">
        <f>IFERROR(__xludf.DUMMYFUNCTION("IFERROR(QUERY('Nhật ký nộp hồ sơ '!A:I, ""SELECT I WHERE B = '""&amp;B296&amp;""' ORDER BY A DESC LIMIT 1"", 0))"),45951.0)</f>
        <v>45951</v>
      </c>
      <c r="Q296" s="17">
        <f t="shared" si="2"/>
        <v>45951</v>
      </c>
      <c r="R296" s="16">
        <v>3.0</v>
      </c>
      <c r="S296" s="16"/>
      <c r="T296" s="16"/>
      <c r="U296" s="14"/>
      <c r="V296" s="18" t="s">
        <v>34</v>
      </c>
      <c r="W296" s="13">
        <v>7.0</v>
      </c>
      <c r="X296" s="13" t="s">
        <v>687</v>
      </c>
    </row>
    <row r="297" ht="22.5" hidden="1" customHeight="1">
      <c r="A297" s="11">
        <v>45951.37334892361</v>
      </c>
      <c r="B297" s="12" t="s">
        <v>746</v>
      </c>
      <c r="C297" s="13" t="s">
        <v>627</v>
      </c>
      <c r="D297" s="14"/>
      <c r="E297" s="13" t="s">
        <v>53</v>
      </c>
      <c r="F297" s="13" t="s">
        <v>554</v>
      </c>
      <c r="G297" s="16"/>
      <c r="H297" s="13" t="s">
        <v>28</v>
      </c>
      <c r="I297" s="13" t="s">
        <v>81</v>
      </c>
      <c r="J297" s="14"/>
      <c r="K297" s="16" t="str">
        <f t="array" ref="K297">IFERROR(VLOOKUP(B297, SORT('Nhật ký nộp hồ sơ '!B:D, 'Nhật ký nộp hồ sơ '!A:A, FALSE), 3, FALSE),"")</f>
        <v>Hoàn thành</v>
      </c>
      <c r="L297" s="16" t="str">
        <f t="shared" si="1"/>
        <v>Hoàn thành</v>
      </c>
      <c r="M297" s="13" t="s">
        <v>146</v>
      </c>
      <c r="N297" s="17">
        <f>IFERROR(__xludf.DUMMYFUNCTION("""COMPUTED_VALUE"""),45951.0)</f>
        <v>45951</v>
      </c>
      <c r="O297" s="17">
        <v>45954.0</v>
      </c>
      <c r="P297" s="17">
        <f>IFERROR(__xludf.DUMMYFUNCTION("IFERROR(QUERY('Nhật ký nộp hồ sơ '!A:I, ""SELECT I WHERE B = '""&amp;B297&amp;""' ORDER BY A DESC LIMIT 1"", 0))"),45951.0)</f>
        <v>45951</v>
      </c>
      <c r="Q297" s="17">
        <f t="shared" si="2"/>
        <v>45951</v>
      </c>
      <c r="R297" s="16">
        <v>1.0</v>
      </c>
      <c r="S297" s="16"/>
      <c r="T297" s="16"/>
      <c r="U297" s="14"/>
      <c r="V297" s="18" t="s">
        <v>34</v>
      </c>
      <c r="W297" s="16"/>
      <c r="X297" s="16"/>
    </row>
    <row r="298" ht="22.5" hidden="1" customHeight="1">
      <c r="A298" s="11">
        <v>45951.37613184028</v>
      </c>
      <c r="B298" s="12" t="s">
        <v>747</v>
      </c>
      <c r="C298" s="13" t="s">
        <v>748</v>
      </c>
      <c r="D298" s="18" t="s">
        <v>44</v>
      </c>
      <c r="E298" s="13" t="s">
        <v>26</v>
      </c>
      <c r="F298" s="13" t="s">
        <v>133</v>
      </c>
      <c r="G298" s="20" t="s">
        <v>749</v>
      </c>
      <c r="H298" s="13" t="s">
        <v>29</v>
      </c>
      <c r="I298" s="13" t="s">
        <v>659</v>
      </c>
      <c r="J298" s="14"/>
      <c r="K298" s="16" t="str">
        <f t="array" ref="K298">IFERROR(VLOOKUP(B298, SORT('Nhật ký nộp hồ sơ '!B:D, 'Nhật ký nộp hồ sơ '!A:A, FALSE), 3, FALSE),"")</f>
        <v>Hoàn thành</v>
      </c>
      <c r="L298" s="16" t="str">
        <f t="shared" si="1"/>
        <v>Hoàn thành</v>
      </c>
      <c r="M298" s="13" t="s">
        <v>48</v>
      </c>
      <c r="N298" s="17">
        <f>IFERROR(__xludf.DUMMYFUNCTION("""COMPUTED_VALUE"""),45951.0)</f>
        <v>45951</v>
      </c>
      <c r="O298" s="17">
        <v>45954.0</v>
      </c>
      <c r="P298" s="17">
        <f>IFERROR(__xludf.DUMMYFUNCTION("IFERROR(QUERY('Nhật ký nộp hồ sơ '!A:I, ""SELECT I WHERE B = '""&amp;B298&amp;""' ORDER BY A DESC LIMIT 1"", 0))"),45980.0)</f>
        <v>45980</v>
      </c>
      <c r="Q298" s="17">
        <f t="shared" si="2"/>
        <v>45980</v>
      </c>
      <c r="R298" s="16">
        <v>1.0</v>
      </c>
      <c r="S298" s="16"/>
      <c r="T298" s="16"/>
      <c r="U298" s="14"/>
      <c r="V298" s="18" t="s">
        <v>34</v>
      </c>
      <c r="W298" s="16"/>
      <c r="X298" s="16"/>
    </row>
    <row r="299" ht="22.5" hidden="1" customHeight="1">
      <c r="A299" s="11">
        <v>45951.37962168982</v>
      </c>
      <c r="B299" s="12" t="s">
        <v>750</v>
      </c>
      <c r="C299" s="13" t="s">
        <v>469</v>
      </c>
      <c r="D299" s="14"/>
      <c r="E299" s="13" t="s">
        <v>151</v>
      </c>
      <c r="F299" s="13" t="s">
        <v>133</v>
      </c>
      <c r="G299" s="20" t="s">
        <v>751</v>
      </c>
      <c r="H299" s="13" t="s">
        <v>28</v>
      </c>
      <c r="I299" s="13" t="s">
        <v>81</v>
      </c>
      <c r="J299" s="14"/>
      <c r="K299" s="16" t="str">
        <f t="array" ref="K299">IFERROR(VLOOKUP(B299, SORT('Nhật ký nộp hồ sơ '!B:D, 'Nhật ký nộp hồ sơ '!A:A, FALSE), 3, FALSE),"")</f>
        <v>Hoàn thành</v>
      </c>
      <c r="L299" s="16" t="str">
        <f t="shared" si="1"/>
        <v>Hoàn thành</v>
      </c>
      <c r="M299" s="13" t="s">
        <v>56</v>
      </c>
      <c r="N299" s="17">
        <f>IFERROR(__xludf.DUMMYFUNCTION("""COMPUTED_VALUE"""),45951.0)</f>
        <v>45951</v>
      </c>
      <c r="O299" s="17">
        <v>45954.0</v>
      </c>
      <c r="P299" s="17">
        <f>IFERROR(__xludf.DUMMYFUNCTION("IFERROR(QUERY('Nhật ký nộp hồ sơ '!A:I, ""SELECT I WHERE B = '""&amp;B299&amp;""' ORDER BY A DESC LIMIT 1"", 0))"),45965.0)</f>
        <v>45965</v>
      </c>
      <c r="Q299" s="17">
        <f t="shared" si="2"/>
        <v>45965</v>
      </c>
      <c r="R299" s="16">
        <v>1.0</v>
      </c>
      <c r="S299" s="16"/>
      <c r="T299" s="16"/>
      <c r="U299" s="14"/>
      <c r="V299" s="18" t="s">
        <v>34</v>
      </c>
      <c r="W299" s="16"/>
      <c r="X299" s="16"/>
    </row>
    <row r="300" ht="22.5" hidden="1" customHeight="1">
      <c r="A300" s="11">
        <v>45951.38095202546</v>
      </c>
      <c r="B300" s="12" t="s">
        <v>752</v>
      </c>
      <c r="C300" s="13" t="s">
        <v>469</v>
      </c>
      <c r="D300" s="14"/>
      <c r="E300" s="13" t="s">
        <v>151</v>
      </c>
      <c r="F300" s="13" t="s">
        <v>133</v>
      </c>
      <c r="G300" s="20" t="s">
        <v>751</v>
      </c>
      <c r="H300" s="13" t="s">
        <v>28</v>
      </c>
      <c r="I300" s="13" t="s">
        <v>81</v>
      </c>
      <c r="J300" s="14"/>
      <c r="K300" s="16" t="str">
        <f t="array" ref="K300">IFERROR(VLOOKUP(B300, SORT('Nhật ký nộp hồ sơ '!B:D, 'Nhật ký nộp hồ sơ '!A:A, FALSE), 3, FALSE),"")</f>
        <v>Hoàn thành</v>
      </c>
      <c r="L300" s="16" t="str">
        <f t="shared" si="1"/>
        <v>Hoàn thành</v>
      </c>
      <c r="M300" s="13" t="s">
        <v>146</v>
      </c>
      <c r="N300" s="17">
        <f>IFERROR(__xludf.DUMMYFUNCTION("""COMPUTED_VALUE"""),45951.0)</f>
        <v>45951</v>
      </c>
      <c r="O300" s="17">
        <v>45954.0</v>
      </c>
      <c r="P300" s="17">
        <f>IFERROR(__xludf.DUMMYFUNCTION("IFERROR(QUERY('Nhật ký nộp hồ sơ '!A:I, ""SELECT I WHERE B = '""&amp;B300&amp;""' ORDER BY A DESC LIMIT 1"", 0))"),45951.0)</f>
        <v>45951</v>
      </c>
      <c r="Q300" s="17">
        <f t="shared" si="2"/>
        <v>45951</v>
      </c>
      <c r="R300" s="16">
        <v>3.0</v>
      </c>
      <c r="S300" s="16"/>
      <c r="T300" s="16"/>
      <c r="U300" s="14"/>
      <c r="V300" s="18" t="s">
        <v>34</v>
      </c>
      <c r="W300" s="16"/>
      <c r="X300" s="16"/>
    </row>
    <row r="301" ht="22.5" hidden="1" customHeight="1">
      <c r="A301" s="11">
        <v>45951.476171331014</v>
      </c>
      <c r="B301" s="12" t="s">
        <v>753</v>
      </c>
      <c r="C301" s="13" t="s">
        <v>627</v>
      </c>
      <c r="D301" s="14"/>
      <c r="E301" s="13" t="s">
        <v>53</v>
      </c>
      <c r="F301" s="13" t="s">
        <v>554</v>
      </c>
      <c r="G301" s="16"/>
      <c r="H301" s="13" t="s">
        <v>28</v>
      </c>
      <c r="I301" s="13" t="s">
        <v>81</v>
      </c>
      <c r="J301" s="14"/>
      <c r="K301" s="16" t="str">
        <f t="array" ref="K301">IFERROR(VLOOKUP(B301, SORT('Nhật ký nộp hồ sơ '!B:D, 'Nhật ký nộp hồ sơ '!A:A, FALSE), 3, FALSE),"")</f>
        <v>Hoàn thành</v>
      </c>
      <c r="L301" s="16" t="str">
        <f t="shared" si="1"/>
        <v>Hoàn thành</v>
      </c>
      <c r="M301" s="13" t="s">
        <v>216</v>
      </c>
      <c r="N301" s="17">
        <f>IFERROR(__xludf.DUMMYFUNCTION("""COMPUTED_VALUE"""),45951.0)</f>
        <v>45951</v>
      </c>
      <c r="O301" s="17">
        <v>45954.0</v>
      </c>
      <c r="P301" s="17">
        <f>IFERROR(__xludf.DUMMYFUNCTION("IFERROR(QUERY('Nhật ký nộp hồ sơ '!A:I, ""SELECT I WHERE B = '""&amp;B301&amp;""' ORDER BY A DESC LIMIT 1"", 0))"),45951.0)</f>
        <v>45951</v>
      </c>
      <c r="Q301" s="17">
        <f t="shared" si="2"/>
        <v>45951</v>
      </c>
      <c r="R301" s="16">
        <v>1.0</v>
      </c>
      <c r="S301" s="16"/>
      <c r="T301" s="16"/>
      <c r="U301" s="14"/>
      <c r="V301" s="18" t="s">
        <v>34</v>
      </c>
      <c r="W301" s="13">
        <v>6.0</v>
      </c>
      <c r="X301" s="13" t="s">
        <v>687</v>
      </c>
    </row>
    <row r="302" ht="22.5" hidden="1" customHeight="1">
      <c r="A302" s="11">
        <v>45951.476627083335</v>
      </c>
      <c r="B302" s="12" t="s">
        <v>754</v>
      </c>
      <c r="C302" s="13" t="s">
        <v>627</v>
      </c>
      <c r="D302" s="14"/>
      <c r="E302" s="13" t="s">
        <v>53</v>
      </c>
      <c r="F302" s="13" t="s">
        <v>554</v>
      </c>
      <c r="G302" s="16"/>
      <c r="H302" s="13" t="s">
        <v>28</v>
      </c>
      <c r="I302" s="13" t="s">
        <v>81</v>
      </c>
      <c r="J302" s="14"/>
      <c r="K302" s="16" t="str">
        <f t="array" ref="K302">IFERROR(VLOOKUP(B302, SORT('Nhật ký nộp hồ sơ '!B:D, 'Nhật ký nộp hồ sơ '!A:A, FALSE), 3, FALSE),"")</f>
        <v>Hoàn thành</v>
      </c>
      <c r="L302" s="16" t="str">
        <f t="shared" si="1"/>
        <v>Hoàn thành</v>
      </c>
      <c r="M302" s="13" t="s">
        <v>146</v>
      </c>
      <c r="N302" s="17">
        <f>IFERROR(__xludf.DUMMYFUNCTION("""COMPUTED_VALUE"""),45951.0)</f>
        <v>45951</v>
      </c>
      <c r="O302" s="17">
        <v>45954.0</v>
      </c>
      <c r="P302" s="17">
        <f>IFERROR(__xludf.DUMMYFUNCTION("IFERROR(QUERY('Nhật ký nộp hồ sơ '!A:I, ""SELECT I WHERE B = '""&amp;B302&amp;""' ORDER BY A DESC LIMIT 1"", 0))"),45951.0)</f>
        <v>45951</v>
      </c>
      <c r="Q302" s="17">
        <f t="shared" si="2"/>
        <v>45951</v>
      </c>
      <c r="R302" s="16">
        <v>1.0</v>
      </c>
      <c r="S302" s="16"/>
      <c r="T302" s="16"/>
      <c r="U302" s="14"/>
      <c r="V302" s="18" t="s">
        <v>34</v>
      </c>
      <c r="W302" s="16"/>
      <c r="X302" s="16"/>
    </row>
    <row r="303" ht="22.5" hidden="1" customHeight="1">
      <c r="A303" s="11">
        <v>45951.47895721065</v>
      </c>
      <c r="B303" s="12" t="s">
        <v>755</v>
      </c>
      <c r="C303" s="13" t="s">
        <v>627</v>
      </c>
      <c r="D303" s="14"/>
      <c r="E303" s="13" t="s">
        <v>53</v>
      </c>
      <c r="F303" s="13" t="s">
        <v>554</v>
      </c>
      <c r="G303" s="16"/>
      <c r="H303" s="13" t="s">
        <v>28</v>
      </c>
      <c r="I303" s="13" t="s">
        <v>81</v>
      </c>
      <c r="J303" s="14"/>
      <c r="K303" s="16" t="str">
        <f t="array" ref="K303">IFERROR(VLOOKUP(B303, SORT('Nhật ký nộp hồ sơ '!B:D, 'Nhật ký nộp hồ sơ '!A:A, FALSE), 3, FALSE),"")</f>
        <v>Hoàn thành</v>
      </c>
      <c r="L303" s="16" t="str">
        <f t="shared" si="1"/>
        <v>Hoàn thành</v>
      </c>
      <c r="M303" s="13" t="s">
        <v>216</v>
      </c>
      <c r="N303" s="17">
        <f>IFERROR(__xludf.DUMMYFUNCTION("""COMPUTED_VALUE"""),45951.0)</f>
        <v>45951</v>
      </c>
      <c r="O303" s="17">
        <v>45954.0</v>
      </c>
      <c r="P303" s="17">
        <f>IFERROR(__xludf.DUMMYFUNCTION("IFERROR(QUERY('Nhật ký nộp hồ sơ '!A:I, ""SELECT I WHERE B = '""&amp;B303&amp;""' ORDER BY A DESC LIMIT 1"", 0))"),45951.0)</f>
        <v>45951</v>
      </c>
      <c r="Q303" s="17">
        <f t="shared" si="2"/>
        <v>45951</v>
      </c>
      <c r="R303" s="16">
        <v>1.0</v>
      </c>
      <c r="S303" s="16"/>
      <c r="T303" s="16"/>
      <c r="U303" s="14"/>
      <c r="V303" s="18" t="s">
        <v>34</v>
      </c>
      <c r="W303" s="13">
        <v>6.0</v>
      </c>
      <c r="X303" s="13" t="s">
        <v>687</v>
      </c>
    </row>
    <row r="304" ht="22.5" hidden="1" customHeight="1">
      <c r="A304" s="11">
        <v>45951.47949337963</v>
      </c>
      <c r="B304" s="12" t="s">
        <v>756</v>
      </c>
      <c r="C304" s="13" t="s">
        <v>627</v>
      </c>
      <c r="D304" s="14"/>
      <c r="E304" s="13" t="s">
        <v>53</v>
      </c>
      <c r="F304" s="13" t="s">
        <v>554</v>
      </c>
      <c r="G304" s="16"/>
      <c r="H304" s="13" t="s">
        <v>28</v>
      </c>
      <c r="I304" s="13" t="s">
        <v>81</v>
      </c>
      <c r="J304" s="14"/>
      <c r="K304" s="16" t="str">
        <f t="array" ref="K304">IFERROR(VLOOKUP(B304, SORT('Nhật ký nộp hồ sơ '!B:D, 'Nhật ký nộp hồ sơ '!A:A, FALSE), 3, FALSE),"")</f>
        <v>Hoàn thành</v>
      </c>
      <c r="L304" s="16" t="str">
        <f t="shared" si="1"/>
        <v>Hoàn thành</v>
      </c>
      <c r="M304" s="13" t="s">
        <v>146</v>
      </c>
      <c r="N304" s="17">
        <f>IFERROR(__xludf.DUMMYFUNCTION("""COMPUTED_VALUE"""),45951.0)</f>
        <v>45951</v>
      </c>
      <c r="O304" s="17">
        <v>45954.0</v>
      </c>
      <c r="P304" s="17">
        <f>IFERROR(__xludf.DUMMYFUNCTION("IFERROR(QUERY('Nhật ký nộp hồ sơ '!A:I, ""SELECT I WHERE B = '""&amp;B304&amp;""' ORDER BY A DESC LIMIT 1"", 0))"),45951.0)</f>
        <v>45951</v>
      </c>
      <c r="Q304" s="17">
        <f t="shared" si="2"/>
        <v>45951</v>
      </c>
      <c r="R304" s="16">
        <v>1.0</v>
      </c>
      <c r="S304" s="16"/>
      <c r="T304" s="16"/>
      <c r="U304" s="14"/>
      <c r="V304" s="18" t="s">
        <v>34</v>
      </c>
      <c r="W304" s="16"/>
      <c r="X304" s="16"/>
    </row>
    <row r="305" ht="22.5" hidden="1" customHeight="1">
      <c r="A305" s="11">
        <v>45951.60245402778</v>
      </c>
      <c r="B305" s="12" t="s">
        <v>757</v>
      </c>
      <c r="C305" s="13" t="s">
        <v>758</v>
      </c>
      <c r="D305" s="14"/>
      <c r="E305" s="13" t="s">
        <v>88</v>
      </c>
      <c r="F305" s="13" t="s">
        <v>133</v>
      </c>
      <c r="G305" s="20" t="s">
        <v>759</v>
      </c>
      <c r="H305" s="13" t="s">
        <v>28</v>
      </c>
      <c r="I305" s="13" t="s">
        <v>659</v>
      </c>
      <c r="J305" s="14"/>
      <c r="K305" s="16" t="str">
        <f t="array" ref="K305">IFERROR(VLOOKUP(B305, SORT('Nhật ký nộp hồ sơ '!B:D, 'Nhật ký nộp hồ sơ '!A:A, FALSE), 3, FALSE),"")</f>
        <v>Hoàn thành</v>
      </c>
      <c r="L305" s="16" t="str">
        <f t="shared" si="1"/>
        <v>Hoàn thành</v>
      </c>
      <c r="M305" s="13" t="s">
        <v>56</v>
      </c>
      <c r="N305" s="17">
        <f>IFERROR(__xludf.DUMMYFUNCTION("""COMPUTED_VALUE"""),45951.0)</f>
        <v>45951</v>
      </c>
      <c r="O305" s="17">
        <v>45954.0</v>
      </c>
      <c r="P305" s="17">
        <f>IFERROR(__xludf.DUMMYFUNCTION("IFERROR(QUERY('Nhật ký nộp hồ sơ '!A:I, ""SELECT I WHERE B = '""&amp;B305&amp;""' ORDER BY A DESC LIMIT 1"", 0))"),45971.0)</f>
        <v>45971</v>
      </c>
      <c r="Q305" s="17">
        <f t="shared" si="2"/>
        <v>45971</v>
      </c>
      <c r="R305" s="16">
        <v>1.0</v>
      </c>
      <c r="S305" s="16"/>
      <c r="T305" s="16"/>
      <c r="U305" s="14"/>
      <c r="V305" s="18" t="s">
        <v>34</v>
      </c>
      <c r="W305" s="16"/>
      <c r="X305" s="16"/>
    </row>
    <row r="306" ht="22.5" hidden="1" customHeight="1">
      <c r="A306" s="11">
        <v>45951.69290971065</v>
      </c>
      <c r="B306" s="12" t="s">
        <v>760</v>
      </c>
      <c r="C306" s="13" t="s">
        <v>761</v>
      </c>
      <c r="D306" s="14"/>
      <c r="E306" s="13" t="s">
        <v>45</v>
      </c>
      <c r="F306" s="13" t="s">
        <v>246</v>
      </c>
      <c r="G306" s="16"/>
      <c r="H306" s="13" t="s">
        <v>55</v>
      </c>
      <c r="I306" s="13" t="s">
        <v>659</v>
      </c>
      <c r="J306" s="14"/>
      <c r="K306" s="16" t="str">
        <f t="array" ref="K306">IFERROR(VLOOKUP(B306, SORT('Nhật ký nộp hồ sơ '!B:D, 'Nhật ký nộp hồ sơ '!A:A, FALSE), 3, FALSE),"")</f>
        <v>Hoàn thành</v>
      </c>
      <c r="L306" s="16" t="str">
        <f t="shared" si="1"/>
        <v>Hoàn thành</v>
      </c>
      <c r="M306" s="13" t="s">
        <v>216</v>
      </c>
      <c r="N306" s="17">
        <f>IFERROR(__xludf.DUMMYFUNCTION("""COMPUTED_VALUE"""),45951.0)</f>
        <v>45951</v>
      </c>
      <c r="O306" s="17">
        <v>45954.0</v>
      </c>
      <c r="P306" s="17">
        <f>IFERROR(__xludf.DUMMYFUNCTION("IFERROR(QUERY('Nhật ký nộp hồ sơ '!A:I, ""SELECT I WHERE B = '""&amp;B306&amp;""' ORDER BY A DESC LIMIT 1"", 0))"),45951.0)</f>
        <v>45951</v>
      </c>
      <c r="Q306" s="17">
        <f t="shared" si="2"/>
        <v>45951</v>
      </c>
      <c r="R306" s="16">
        <v>3.0</v>
      </c>
      <c r="S306" s="16"/>
      <c r="T306" s="16"/>
      <c r="U306" s="14"/>
      <c r="V306" s="18" t="s">
        <v>34</v>
      </c>
      <c r="W306" s="13">
        <v>11.0</v>
      </c>
      <c r="X306" s="13" t="s">
        <v>687</v>
      </c>
    </row>
    <row r="307" ht="22.5" hidden="1" customHeight="1">
      <c r="A307" s="11">
        <v>45953.63905736111</v>
      </c>
      <c r="B307" s="12" t="s">
        <v>762</v>
      </c>
      <c r="C307" s="13" t="s">
        <v>763</v>
      </c>
      <c r="D307" s="14"/>
      <c r="E307" s="13" t="s">
        <v>122</v>
      </c>
      <c r="F307" s="13" t="s">
        <v>133</v>
      </c>
      <c r="G307" s="20" t="s">
        <v>764</v>
      </c>
      <c r="H307" s="13" t="s">
        <v>55</v>
      </c>
      <c r="I307" s="13" t="s">
        <v>659</v>
      </c>
      <c r="J307" s="14"/>
      <c r="K307" s="16" t="str">
        <f t="array" ref="K307">IFERROR(VLOOKUP(B307, SORT('Nhật ký nộp hồ sơ '!B:D, 'Nhật ký nộp hồ sơ '!A:A, FALSE), 3, FALSE),"")</f>
        <v>Hoàn thành</v>
      </c>
      <c r="L307" s="16" t="str">
        <f t="shared" si="1"/>
        <v>Hoàn thành</v>
      </c>
      <c r="M307" s="13" t="s">
        <v>48</v>
      </c>
      <c r="N307" s="17">
        <f>IFERROR(__xludf.DUMMYFUNCTION("""COMPUTED_VALUE"""),45953.0)</f>
        <v>45953</v>
      </c>
      <c r="O307" s="17">
        <v>45956.0</v>
      </c>
      <c r="P307" s="17">
        <f>IFERROR(__xludf.DUMMYFUNCTION("IFERROR(QUERY('Nhật ký nộp hồ sơ '!A:I, ""SELECT I WHERE B = '""&amp;B307&amp;""' ORDER BY A DESC LIMIT 1"", 0))"),45965.0)</f>
        <v>45965</v>
      </c>
      <c r="Q307" s="17">
        <f t="shared" si="2"/>
        <v>45965</v>
      </c>
      <c r="R307" s="16">
        <v>1.0</v>
      </c>
      <c r="S307" s="16"/>
      <c r="T307" s="16"/>
      <c r="U307" s="14"/>
      <c r="V307" s="18" t="s">
        <v>34</v>
      </c>
      <c r="W307" s="16"/>
      <c r="X307" s="16"/>
    </row>
    <row r="308" ht="22.5" hidden="1" customHeight="1">
      <c r="A308" s="11">
        <v>45953.71084555556</v>
      </c>
      <c r="B308" s="12" t="s">
        <v>765</v>
      </c>
      <c r="C308" s="13" t="s">
        <v>354</v>
      </c>
      <c r="D308" s="14"/>
      <c r="E308" s="13" t="s">
        <v>122</v>
      </c>
      <c r="F308" s="13" t="s">
        <v>176</v>
      </c>
      <c r="G308" s="16"/>
      <c r="H308" s="13" t="s">
        <v>47</v>
      </c>
      <c r="I308" s="13" t="s">
        <v>81</v>
      </c>
      <c r="J308" s="14"/>
      <c r="K308" s="16" t="str">
        <f t="array" ref="K308">IFERROR(VLOOKUP(B308, SORT('Nhật ký nộp hồ sơ '!B:D, 'Nhật ký nộp hồ sơ '!A:A, FALSE), 3, FALSE),"")</f>
        <v>Hoàn thành</v>
      </c>
      <c r="L308" s="16" t="str">
        <f t="shared" si="1"/>
        <v>Hoàn thành</v>
      </c>
      <c r="M308" s="13" t="s">
        <v>135</v>
      </c>
      <c r="N308" s="17">
        <f>IFERROR(__xludf.DUMMYFUNCTION("""COMPUTED_VALUE"""),45953.0)</f>
        <v>45953</v>
      </c>
      <c r="O308" s="17">
        <v>45956.0</v>
      </c>
      <c r="P308" s="17">
        <f>IFERROR(__xludf.DUMMYFUNCTION("IFERROR(QUERY('Nhật ký nộp hồ sơ '!A:I, ""SELECT I WHERE B = '""&amp;B308&amp;""' ORDER BY A DESC LIMIT 1"", 0))"),45968.0)</f>
        <v>45968</v>
      </c>
      <c r="Q308" s="17">
        <f t="shared" si="2"/>
        <v>45968</v>
      </c>
      <c r="R308" s="16">
        <v>1.0</v>
      </c>
      <c r="S308" s="16"/>
      <c r="T308" s="16"/>
      <c r="U308" s="14"/>
      <c r="V308" s="18" t="s">
        <v>34</v>
      </c>
      <c r="W308" s="16"/>
      <c r="X308" s="16"/>
    </row>
    <row r="309" ht="22.5" hidden="1" customHeight="1">
      <c r="A309" s="11">
        <v>45953.71136813657</v>
      </c>
      <c r="B309" s="12" t="s">
        <v>766</v>
      </c>
      <c r="C309" s="13" t="s">
        <v>354</v>
      </c>
      <c r="D309" s="14"/>
      <c r="E309" s="13" t="s">
        <v>122</v>
      </c>
      <c r="F309" s="13" t="s">
        <v>176</v>
      </c>
      <c r="G309" s="16"/>
      <c r="H309" s="13" t="s">
        <v>47</v>
      </c>
      <c r="I309" s="13" t="s">
        <v>81</v>
      </c>
      <c r="J309" s="14"/>
      <c r="K309" s="16" t="str">
        <f t="array" ref="K309">IFERROR(VLOOKUP(B309, SORT('Nhật ký nộp hồ sơ '!B:D, 'Nhật ký nộp hồ sơ '!A:A, FALSE), 3, FALSE),"")</f>
        <v>Hoàn thành</v>
      </c>
      <c r="L309" s="16" t="str">
        <f t="shared" si="1"/>
        <v>Hoàn thành</v>
      </c>
      <c r="M309" s="13" t="s">
        <v>135</v>
      </c>
      <c r="N309" s="17">
        <f>IFERROR(__xludf.DUMMYFUNCTION("""COMPUTED_VALUE"""),45953.0)</f>
        <v>45953</v>
      </c>
      <c r="O309" s="17">
        <v>45956.0</v>
      </c>
      <c r="P309" s="17">
        <f>IFERROR(__xludf.DUMMYFUNCTION("IFERROR(QUERY('Nhật ký nộp hồ sơ '!A:I, ""SELECT I WHERE B = '""&amp;B309&amp;""' ORDER BY A DESC LIMIT 1"", 0))"),45968.0)</f>
        <v>45968</v>
      </c>
      <c r="Q309" s="17">
        <f t="shared" si="2"/>
        <v>45968</v>
      </c>
      <c r="R309" s="16">
        <v>1.0</v>
      </c>
      <c r="S309" s="16"/>
      <c r="T309" s="16"/>
      <c r="U309" s="14"/>
      <c r="V309" s="18" t="s">
        <v>34</v>
      </c>
      <c r="W309" s="16"/>
      <c r="X309" s="16"/>
    </row>
    <row r="310" ht="22.5" hidden="1" customHeight="1">
      <c r="A310" s="11">
        <v>45954.46551864583</v>
      </c>
      <c r="B310" s="12" t="s">
        <v>767</v>
      </c>
      <c r="C310" s="13" t="s">
        <v>768</v>
      </c>
      <c r="D310" s="14"/>
      <c r="E310" s="13" t="s">
        <v>151</v>
      </c>
      <c r="F310" s="27" t="s">
        <v>219</v>
      </c>
      <c r="G310" s="16"/>
      <c r="H310" s="13" t="s">
        <v>47</v>
      </c>
      <c r="I310" s="13" t="s">
        <v>659</v>
      </c>
      <c r="J310" s="14"/>
      <c r="K310" s="16" t="str">
        <f t="array" ref="K310">IFERROR(VLOOKUP(B310, SORT('Nhật ký nộp hồ sơ '!B:D, 'Nhật ký nộp hồ sơ '!A:A, FALSE), 3, FALSE),"")</f>
        <v>Hoàn thành</v>
      </c>
      <c r="L310" s="16" t="str">
        <f t="shared" si="1"/>
        <v>Hoàn thành</v>
      </c>
      <c r="M310" s="13" t="s">
        <v>56</v>
      </c>
      <c r="N310" s="17">
        <f>IFERROR(__xludf.DUMMYFUNCTION("""COMPUTED_VALUE"""),45954.0)</f>
        <v>45954</v>
      </c>
      <c r="O310" s="17">
        <v>45957.0</v>
      </c>
      <c r="P310" s="17">
        <f>IFERROR(__xludf.DUMMYFUNCTION("IFERROR(QUERY('Nhật ký nộp hồ sơ '!A:I, ""SELECT I WHERE B = '""&amp;B310&amp;""' ORDER BY A DESC LIMIT 1"", 0))"),45978.0)</f>
        <v>45978</v>
      </c>
      <c r="Q310" s="17">
        <f t="shared" si="2"/>
        <v>45978</v>
      </c>
      <c r="R310" s="16">
        <v>1.0</v>
      </c>
      <c r="S310" s="16"/>
      <c r="T310" s="16"/>
      <c r="U310" s="14"/>
      <c r="V310" s="18" t="s">
        <v>34</v>
      </c>
      <c r="W310" s="16"/>
      <c r="X310" s="16"/>
    </row>
    <row r="311" ht="22.5" hidden="1" customHeight="1">
      <c r="A311" s="11">
        <v>45954.55085018519</v>
      </c>
      <c r="B311" s="12" t="s">
        <v>769</v>
      </c>
      <c r="C311" s="13" t="s">
        <v>557</v>
      </c>
      <c r="D311" s="14"/>
      <c r="E311" s="13" t="s">
        <v>53</v>
      </c>
      <c r="F311" s="13" t="s">
        <v>554</v>
      </c>
      <c r="G311" s="16"/>
      <c r="H311" s="13" t="s">
        <v>28</v>
      </c>
      <c r="I311" s="13" t="s">
        <v>81</v>
      </c>
      <c r="J311" s="14"/>
      <c r="K311" s="16" t="str">
        <f t="array" ref="K311">IFERROR(VLOOKUP(B311, SORT('Nhật ký nộp hồ sơ '!B:D, 'Nhật ký nộp hồ sơ '!A:A, FALSE), 3, FALSE),"")</f>
        <v>Nộp thành công - Chờ kết quả</v>
      </c>
      <c r="L311" s="16" t="str">
        <f t="shared" si="1"/>
        <v>Đã nộp</v>
      </c>
      <c r="M311" s="13" t="s">
        <v>56</v>
      </c>
      <c r="N311" s="17">
        <f>IFERROR(__xludf.DUMMYFUNCTION("""COMPUTED_VALUE"""),45954.0)</f>
        <v>45954</v>
      </c>
      <c r="O311" s="17">
        <v>45957.0</v>
      </c>
      <c r="P311" s="17">
        <f>IFERROR(__xludf.DUMMYFUNCTION("IFERROR(QUERY('Nhật ký nộp hồ sơ '!A:I, ""SELECT I WHERE B = '""&amp;B311&amp;""' ORDER BY A DESC LIMIT 1"", 0))"),45957.0)</f>
        <v>45957</v>
      </c>
      <c r="Q311" s="17" t="str">
        <f t="shared" si="2"/>
        <v/>
      </c>
      <c r="R311" s="16">
        <v>1.0</v>
      </c>
      <c r="S311" s="16"/>
      <c r="T311" s="16"/>
      <c r="U311" s="14"/>
      <c r="V311" s="18" t="s">
        <v>34</v>
      </c>
      <c r="W311" s="16"/>
      <c r="X311" s="16"/>
    </row>
    <row r="312" ht="22.5" hidden="1" customHeight="1">
      <c r="A312" s="11">
        <v>45954.55342590278</v>
      </c>
      <c r="B312" s="12" t="s">
        <v>770</v>
      </c>
      <c r="C312" s="13" t="s">
        <v>557</v>
      </c>
      <c r="D312" s="14"/>
      <c r="E312" s="13" t="s">
        <v>53</v>
      </c>
      <c r="F312" s="13" t="s">
        <v>554</v>
      </c>
      <c r="G312" s="16"/>
      <c r="H312" s="13" t="s">
        <v>28</v>
      </c>
      <c r="I312" s="13" t="s">
        <v>81</v>
      </c>
      <c r="J312" s="14"/>
      <c r="K312" s="16" t="str">
        <f t="array" ref="K312">IFERROR(VLOOKUP(B312, SORT('Nhật ký nộp hồ sơ '!B:D, 'Nhật ký nộp hồ sơ '!A:A, FALSE), 3, FALSE),"")</f>
        <v>Hoàn thành</v>
      </c>
      <c r="L312" s="16" t="str">
        <f t="shared" si="1"/>
        <v>Hoàn thành</v>
      </c>
      <c r="M312" s="13" t="s">
        <v>216</v>
      </c>
      <c r="N312" s="17">
        <f>IFERROR(__xludf.DUMMYFUNCTION("""COMPUTED_VALUE"""),45954.0)</f>
        <v>45954</v>
      </c>
      <c r="O312" s="17">
        <v>45957.0</v>
      </c>
      <c r="P312" s="17">
        <f>IFERROR(__xludf.DUMMYFUNCTION("IFERROR(QUERY('Nhật ký nộp hồ sơ '!A:I, ""SELECT I WHERE B = '""&amp;B312&amp;""' ORDER BY A DESC LIMIT 1"", 0))"),45955.0)</f>
        <v>45955</v>
      </c>
      <c r="Q312" s="17">
        <f t="shared" si="2"/>
        <v>45955</v>
      </c>
      <c r="R312" s="16">
        <v>1.0</v>
      </c>
      <c r="S312" s="16"/>
      <c r="T312" s="16"/>
      <c r="U312" s="14"/>
      <c r="V312" s="18" t="s">
        <v>34</v>
      </c>
      <c r="W312" s="13">
        <v>12.0</v>
      </c>
      <c r="X312" s="13" t="s">
        <v>687</v>
      </c>
    </row>
    <row r="313" ht="22.5" hidden="1" customHeight="1">
      <c r="A313" s="11">
        <v>45954.554006122686</v>
      </c>
      <c r="B313" s="12" t="s">
        <v>771</v>
      </c>
      <c r="C313" s="13" t="s">
        <v>557</v>
      </c>
      <c r="D313" s="14"/>
      <c r="E313" s="13" t="s">
        <v>53</v>
      </c>
      <c r="F313" s="13" t="s">
        <v>554</v>
      </c>
      <c r="G313" s="16"/>
      <c r="H313" s="13" t="s">
        <v>28</v>
      </c>
      <c r="I313" s="13" t="s">
        <v>81</v>
      </c>
      <c r="J313" s="14"/>
      <c r="K313" s="16" t="str">
        <f t="array" ref="K313">IFERROR(VLOOKUP(B313, SORT('Nhật ký nộp hồ sơ '!B:D, 'Nhật ký nộp hồ sơ '!A:A, FALSE), 3, FALSE),"")</f>
        <v>Hoàn thành</v>
      </c>
      <c r="L313" s="16" t="str">
        <f t="shared" si="1"/>
        <v>Hoàn thành</v>
      </c>
      <c r="M313" s="13" t="s">
        <v>146</v>
      </c>
      <c r="N313" s="17">
        <f>IFERROR(__xludf.DUMMYFUNCTION("""COMPUTED_VALUE"""),45954.0)</f>
        <v>45954</v>
      </c>
      <c r="O313" s="17">
        <v>45957.0</v>
      </c>
      <c r="P313" s="17">
        <f>IFERROR(__xludf.DUMMYFUNCTION("IFERROR(QUERY('Nhật ký nộp hồ sơ '!A:I, ""SELECT I WHERE B = '""&amp;B313&amp;""' ORDER BY A DESC LIMIT 1"", 0))"),45955.0)</f>
        <v>45955</v>
      </c>
      <c r="Q313" s="17">
        <f t="shared" si="2"/>
        <v>45955</v>
      </c>
      <c r="R313" s="16">
        <v>1.0</v>
      </c>
      <c r="S313" s="16"/>
      <c r="T313" s="16"/>
      <c r="U313" s="14"/>
      <c r="V313" s="18" t="s">
        <v>34</v>
      </c>
      <c r="W313" s="16"/>
      <c r="X313" s="16"/>
    </row>
    <row r="314" ht="22.5" hidden="1" customHeight="1">
      <c r="A314" s="11">
        <v>45954.554875208334</v>
      </c>
      <c r="B314" s="12" t="s">
        <v>772</v>
      </c>
      <c r="C314" s="13" t="s">
        <v>557</v>
      </c>
      <c r="D314" s="14"/>
      <c r="E314" s="13" t="s">
        <v>53</v>
      </c>
      <c r="F314" s="13" t="s">
        <v>554</v>
      </c>
      <c r="G314" s="16"/>
      <c r="H314" s="13" t="s">
        <v>28</v>
      </c>
      <c r="I314" s="13" t="s">
        <v>81</v>
      </c>
      <c r="J314" s="14"/>
      <c r="K314" s="16" t="str">
        <f t="array" ref="K314">IFERROR(VLOOKUP(B314, SORT('Nhật ký nộp hồ sơ '!B:D, 'Nhật ký nộp hồ sơ '!A:A, FALSE), 3, FALSE),"")</f>
        <v>Hoàn thành</v>
      </c>
      <c r="L314" s="16" t="str">
        <f t="shared" si="1"/>
        <v>Hoàn thành</v>
      </c>
      <c r="M314" s="13" t="s">
        <v>56</v>
      </c>
      <c r="N314" s="17">
        <f>IFERROR(__xludf.DUMMYFUNCTION("""COMPUTED_VALUE"""),45954.0)</f>
        <v>45954</v>
      </c>
      <c r="O314" s="17">
        <v>45957.0</v>
      </c>
      <c r="P314" s="17">
        <f>IFERROR(__xludf.DUMMYFUNCTION("IFERROR(QUERY('Nhật ký nộp hồ sơ '!A:I, ""SELECT I WHERE B = '""&amp;B314&amp;""' ORDER BY A DESC LIMIT 1"", 0))"),45975.0)</f>
        <v>45975</v>
      </c>
      <c r="Q314" s="17">
        <f t="shared" si="2"/>
        <v>45975</v>
      </c>
      <c r="R314" s="16">
        <v>2.0</v>
      </c>
      <c r="S314" s="16"/>
      <c r="T314" s="16"/>
      <c r="U314" s="14"/>
      <c r="V314" s="18" t="s">
        <v>34</v>
      </c>
      <c r="W314" s="16"/>
      <c r="X314" s="16"/>
    </row>
    <row r="315" ht="22.5" hidden="1" customHeight="1">
      <c r="A315" s="11">
        <v>45954.55617790509</v>
      </c>
      <c r="B315" s="12" t="s">
        <v>773</v>
      </c>
      <c r="C315" s="13" t="s">
        <v>557</v>
      </c>
      <c r="D315" s="14"/>
      <c r="E315" s="13" t="s">
        <v>53</v>
      </c>
      <c r="F315" s="13" t="s">
        <v>554</v>
      </c>
      <c r="G315" s="16"/>
      <c r="H315" s="13" t="s">
        <v>28</v>
      </c>
      <c r="I315" s="13" t="s">
        <v>81</v>
      </c>
      <c r="J315" s="14"/>
      <c r="K315" s="16" t="str">
        <f t="array" ref="K315">IFERROR(VLOOKUP(B315, SORT('Nhật ký nộp hồ sơ '!B:D, 'Nhật ký nộp hồ sơ '!A:A, FALSE), 3, FALSE),"")</f>
        <v>Hoàn thành</v>
      </c>
      <c r="L315" s="16" t="str">
        <f t="shared" si="1"/>
        <v>Hoàn thành</v>
      </c>
      <c r="M315" s="13" t="s">
        <v>216</v>
      </c>
      <c r="N315" s="17">
        <f>IFERROR(__xludf.DUMMYFUNCTION("""COMPUTED_VALUE"""),45954.0)</f>
        <v>45954</v>
      </c>
      <c r="O315" s="17">
        <v>45957.0</v>
      </c>
      <c r="P315" s="17">
        <f>IFERROR(__xludf.DUMMYFUNCTION("IFERROR(QUERY('Nhật ký nộp hồ sơ '!A:I, ""SELECT I WHERE B = '""&amp;B315&amp;""' ORDER BY A DESC LIMIT 1"", 0))"),45955.0)</f>
        <v>45955</v>
      </c>
      <c r="Q315" s="17">
        <f t="shared" si="2"/>
        <v>45955</v>
      </c>
      <c r="R315" s="16">
        <v>1.0</v>
      </c>
      <c r="S315" s="16"/>
      <c r="T315" s="16"/>
      <c r="U315" s="14"/>
      <c r="V315" s="18" t="s">
        <v>34</v>
      </c>
      <c r="W315" s="13">
        <v>13.0</v>
      </c>
      <c r="X315" s="13" t="s">
        <v>687</v>
      </c>
    </row>
    <row r="316" ht="22.5" hidden="1" customHeight="1">
      <c r="A316" s="11">
        <v>45954.55712753472</v>
      </c>
      <c r="B316" s="12" t="s">
        <v>774</v>
      </c>
      <c r="C316" s="13" t="s">
        <v>557</v>
      </c>
      <c r="D316" s="14"/>
      <c r="E316" s="13" t="s">
        <v>53</v>
      </c>
      <c r="F316" s="13" t="s">
        <v>554</v>
      </c>
      <c r="G316" s="16"/>
      <c r="H316" s="13" t="s">
        <v>28</v>
      </c>
      <c r="I316" s="13" t="s">
        <v>81</v>
      </c>
      <c r="J316" s="14"/>
      <c r="K316" s="16" t="str">
        <f t="array" ref="K316">IFERROR(VLOOKUP(B316, SORT('Nhật ký nộp hồ sơ '!B:D, 'Nhật ký nộp hồ sơ '!A:A, FALSE), 3, FALSE),"")</f>
        <v>Hoàn thành</v>
      </c>
      <c r="L316" s="16" t="str">
        <f t="shared" si="1"/>
        <v>Hoàn thành</v>
      </c>
      <c r="M316" s="13" t="s">
        <v>146</v>
      </c>
      <c r="N316" s="17">
        <f>IFERROR(__xludf.DUMMYFUNCTION("""COMPUTED_VALUE"""),45954.0)</f>
        <v>45954</v>
      </c>
      <c r="O316" s="17">
        <v>45957.0</v>
      </c>
      <c r="P316" s="17">
        <f>IFERROR(__xludf.DUMMYFUNCTION("IFERROR(QUERY('Nhật ký nộp hồ sơ '!A:I, ""SELECT I WHERE B = '""&amp;B316&amp;""' ORDER BY A DESC LIMIT 1"", 0))"),45955.0)</f>
        <v>45955</v>
      </c>
      <c r="Q316" s="17">
        <f t="shared" si="2"/>
        <v>45955</v>
      </c>
      <c r="R316" s="16">
        <v>2.0</v>
      </c>
      <c r="S316" s="16"/>
      <c r="T316" s="16"/>
      <c r="U316" s="14"/>
      <c r="V316" s="18" t="s">
        <v>34</v>
      </c>
      <c r="W316" s="16"/>
      <c r="X316" s="16"/>
    </row>
    <row r="317" ht="22.5" hidden="1" customHeight="1">
      <c r="A317" s="11">
        <v>45954.55796972223</v>
      </c>
      <c r="B317" s="12" t="s">
        <v>775</v>
      </c>
      <c r="C317" s="13" t="s">
        <v>553</v>
      </c>
      <c r="D317" s="14"/>
      <c r="E317" s="13" t="s">
        <v>53</v>
      </c>
      <c r="F317" s="13" t="s">
        <v>554</v>
      </c>
      <c r="G317" s="16"/>
      <c r="H317" s="13" t="s">
        <v>28</v>
      </c>
      <c r="I317" s="13" t="s">
        <v>81</v>
      </c>
      <c r="J317" s="14"/>
      <c r="K317" s="16" t="str">
        <f t="array" ref="K317">IFERROR(VLOOKUP(B317, SORT('Nhật ký nộp hồ sơ '!B:D, 'Nhật ký nộp hồ sơ '!A:A, FALSE), 3, FALSE),"")</f>
        <v>Hoàn thành</v>
      </c>
      <c r="L317" s="16" t="str">
        <f t="shared" si="1"/>
        <v>Hoàn thành</v>
      </c>
      <c r="M317" s="13" t="s">
        <v>216</v>
      </c>
      <c r="N317" s="17">
        <f>IFERROR(__xludf.DUMMYFUNCTION("""COMPUTED_VALUE"""),45954.0)</f>
        <v>45954</v>
      </c>
      <c r="O317" s="17">
        <v>45957.0</v>
      </c>
      <c r="P317" s="17">
        <f>IFERROR(__xludf.DUMMYFUNCTION("IFERROR(QUERY('Nhật ký nộp hồ sơ '!A:I, ""SELECT I WHERE B = '""&amp;B317&amp;""' ORDER BY A DESC LIMIT 1"", 0))"),45955.0)</f>
        <v>45955</v>
      </c>
      <c r="Q317" s="17">
        <f t="shared" si="2"/>
        <v>45955</v>
      </c>
      <c r="R317" s="16">
        <v>1.0</v>
      </c>
      <c r="S317" s="16"/>
      <c r="T317" s="16"/>
      <c r="U317" s="14"/>
      <c r="V317" s="18" t="s">
        <v>34</v>
      </c>
      <c r="W317" s="13">
        <v>4.0</v>
      </c>
      <c r="X317" s="13" t="s">
        <v>687</v>
      </c>
    </row>
    <row r="318" ht="22.5" hidden="1" customHeight="1">
      <c r="A318" s="11">
        <v>45954.55854215278</v>
      </c>
      <c r="B318" s="12" t="s">
        <v>776</v>
      </c>
      <c r="C318" s="13" t="s">
        <v>553</v>
      </c>
      <c r="D318" s="14"/>
      <c r="E318" s="13" t="s">
        <v>53</v>
      </c>
      <c r="F318" s="13" t="s">
        <v>554</v>
      </c>
      <c r="G318" s="16"/>
      <c r="H318" s="13" t="s">
        <v>28</v>
      </c>
      <c r="I318" s="13" t="s">
        <v>81</v>
      </c>
      <c r="J318" s="14"/>
      <c r="K318" s="16" t="str">
        <f t="array" ref="K318">IFERROR(VLOOKUP(B318, SORT('Nhật ký nộp hồ sơ '!B:D, 'Nhật ký nộp hồ sơ '!A:A, FALSE), 3, FALSE),"")</f>
        <v>Hoàn thành</v>
      </c>
      <c r="L318" s="16" t="str">
        <f t="shared" si="1"/>
        <v>Hoàn thành</v>
      </c>
      <c r="M318" s="13" t="s">
        <v>216</v>
      </c>
      <c r="N318" s="17">
        <f>IFERROR(__xludf.DUMMYFUNCTION("""COMPUTED_VALUE"""),45954.0)</f>
        <v>45954</v>
      </c>
      <c r="O318" s="17">
        <v>45957.0</v>
      </c>
      <c r="P318" s="17">
        <f>IFERROR(__xludf.DUMMYFUNCTION("IFERROR(QUERY('Nhật ký nộp hồ sơ '!A:I, ""SELECT I WHERE B = '""&amp;B318&amp;""' ORDER BY A DESC LIMIT 1"", 0))"),45955.0)</f>
        <v>45955</v>
      </c>
      <c r="Q318" s="17">
        <f t="shared" si="2"/>
        <v>45955</v>
      </c>
      <c r="R318" s="16">
        <v>2.0</v>
      </c>
      <c r="S318" s="16"/>
      <c r="T318" s="16"/>
      <c r="U318" s="14"/>
      <c r="V318" s="18" t="s">
        <v>34</v>
      </c>
      <c r="W318" s="13">
        <v>4.0</v>
      </c>
      <c r="X318" s="13" t="s">
        <v>687</v>
      </c>
    </row>
    <row r="319" ht="22.5" hidden="1" customHeight="1">
      <c r="A319" s="11">
        <v>45954.55947886574</v>
      </c>
      <c r="B319" s="12" t="s">
        <v>777</v>
      </c>
      <c r="C319" s="13" t="s">
        <v>553</v>
      </c>
      <c r="D319" s="14"/>
      <c r="E319" s="13" t="s">
        <v>53</v>
      </c>
      <c r="F319" s="13" t="s">
        <v>554</v>
      </c>
      <c r="G319" s="16"/>
      <c r="H319" s="13" t="s">
        <v>28</v>
      </c>
      <c r="I319" s="13" t="s">
        <v>81</v>
      </c>
      <c r="J319" s="14"/>
      <c r="K319" s="16" t="str">
        <f t="array" ref="K319">IFERROR(VLOOKUP(B319, SORT('Nhật ký nộp hồ sơ '!B:D, 'Nhật ký nộp hồ sơ '!A:A, FALSE), 3, FALSE),"")</f>
        <v>Hoàn thành</v>
      </c>
      <c r="L319" s="16" t="str">
        <f t="shared" si="1"/>
        <v>Hoàn thành</v>
      </c>
      <c r="M319" s="13" t="s">
        <v>216</v>
      </c>
      <c r="N319" s="17">
        <f>IFERROR(__xludf.DUMMYFUNCTION("""COMPUTED_VALUE"""),45954.0)</f>
        <v>45954</v>
      </c>
      <c r="O319" s="17">
        <v>45957.0</v>
      </c>
      <c r="P319" s="17">
        <f>IFERROR(__xludf.DUMMYFUNCTION("IFERROR(QUERY('Nhật ký nộp hồ sơ '!A:I, ""SELECT I WHERE B = '""&amp;B319&amp;""' ORDER BY A DESC LIMIT 1"", 0))"),45955.0)</f>
        <v>45955</v>
      </c>
      <c r="Q319" s="17">
        <f t="shared" si="2"/>
        <v>45955</v>
      </c>
      <c r="R319" s="16">
        <v>4.0</v>
      </c>
      <c r="S319" s="16"/>
      <c r="T319" s="16"/>
      <c r="U319" s="14"/>
      <c r="V319" s="18" t="s">
        <v>34</v>
      </c>
      <c r="W319" s="13">
        <v>4.0</v>
      </c>
      <c r="X319" s="13" t="s">
        <v>687</v>
      </c>
    </row>
    <row r="320" ht="22.5" hidden="1" customHeight="1">
      <c r="A320" s="11">
        <v>45955.475226469905</v>
      </c>
      <c r="B320" s="12" t="s">
        <v>778</v>
      </c>
      <c r="C320" s="13" t="s">
        <v>779</v>
      </c>
      <c r="D320" s="14"/>
      <c r="E320" s="13" t="s">
        <v>53</v>
      </c>
      <c r="F320" s="13" t="s">
        <v>338</v>
      </c>
      <c r="G320" s="16"/>
      <c r="H320" s="13" t="s">
        <v>55</v>
      </c>
      <c r="I320" s="13" t="s">
        <v>81</v>
      </c>
      <c r="J320" s="14"/>
      <c r="K320" s="16" t="str">
        <f t="array" ref="K320">IFERROR(VLOOKUP(B320, SORT('Nhật ký nộp hồ sơ '!B:D, 'Nhật ký nộp hồ sơ '!A:A, FALSE), 3, FALSE),"")</f>
        <v>Hoàn thành</v>
      </c>
      <c r="L320" s="16" t="str">
        <f t="shared" si="1"/>
        <v>Hoàn thành</v>
      </c>
      <c r="M320" s="13" t="s">
        <v>56</v>
      </c>
      <c r="N320" s="17">
        <f>IFERROR(__xludf.DUMMYFUNCTION("""COMPUTED_VALUE"""),45955.0)</f>
        <v>45955</v>
      </c>
      <c r="O320" s="17">
        <v>45958.0</v>
      </c>
      <c r="P320" s="17">
        <f>IFERROR(__xludf.DUMMYFUNCTION("IFERROR(QUERY('Nhật ký nộp hồ sơ '!A:I, ""SELECT I WHERE B = '""&amp;B320&amp;""' ORDER BY A DESC LIMIT 1"", 0))"),45968.0)</f>
        <v>45968</v>
      </c>
      <c r="Q320" s="17">
        <f t="shared" si="2"/>
        <v>45968</v>
      </c>
      <c r="R320" s="16">
        <v>1.0</v>
      </c>
      <c r="S320" s="13" t="s">
        <v>780</v>
      </c>
      <c r="T320" s="16"/>
      <c r="U320" s="14"/>
      <c r="V320" s="18" t="s">
        <v>34</v>
      </c>
      <c r="W320" s="16"/>
      <c r="X320" s="16"/>
    </row>
    <row r="321" ht="22.5" hidden="1" customHeight="1">
      <c r="A321" s="11">
        <v>45957.48786923611</v>
      </c>
      <c r="B321" s="32" t="s">
        <v>781</v>
      </c>
      <c r="C321" s="13" t="s">
        <v>779</v>
      </c>
      <c r="D321" s="14"/>
      <c r="E321" s="13" t="s">
        <v>53</v>
      </c>
      <c r="F321" s="13" t="s">
        <v>338</v>
      </c>
      <c r="G321" s="16"/>
      <c r="H321" s="13" t="s">
        <v>28</v>
      </c>
      <c r="I321" s="13" t="s">
        <v>29</v>
      </c>
      <c r="J321" s="14"/>
      <c r="K321" s="16" t="str">
        <f t="array" ref="K321">IFERROR(VLOOKUP(B321, SORT('Nhật ký nộp hồ sơ '!B:D, 'Nhật ký nộp hồ sơ '!A:A, FALSE), 3, FALSE),"")</f>
        <v>Hoàn thành</v>
      </c>
      <c r="L321" s="16" t="str">
        <f t="shared" si="1"/>
        <v>Hoàn thành</v>
      </c>
      <c r="M321" s="13" t="s">
        <v>216</v>
      </c>
      <c r="N321" s="17">
        <f>IFERROR(__xludf.DUMMYFUNCTION("""COMPUTED_VALUE"""),45957.0)</f>
        <v>45957</v>
      </c>
      <c r="O321" s="17">
        <v>45960.0</v>
      </c>
      <c r="P321" s="17">
        <f>IFERROR(__xludf.DUMMYFUNCTION("IFERROR(QUERY('Nhật ký nộp hồ sơ '!A:I, ""SELECT I WHERE B = '""&amp;B321&amp;""' ORDER BY A DESC LIMIT 1"", 0))"),45957.0)</f>
        <v>45957</v>
      </c>
      <c r="Q321" s="17">
        <f t="shared" si="2"/>
        <v>45957</v>
      </c>
      <c r="R321" s="16">
        <v>1.0</v>
      </c>
      <c r="S321" s="16"/>
      <c r="T321" s="16"/>
      <c r="U321" s="14"/>
      <c r="V321" s="18" t="s">
        <v>34</v>
      </c>
      <c r="W321" s="13">
        <v>2.0</v>
      </c>
      <c r="X321" s="13" t="s">
        <v>687</v>
      </c>
    </row>
    <row r="322" ht="22.5" hidden="1" customHeight="1">
      <c r="A322" s="11">
        <v>45957.49102990741</v>
      </c>
      <c r="B322" s="12" t="s">
        <v>782</v>
      </c>
      <c r="C322" s="13" t="s">
        <v>469</v>
      </c>
      <c r="D322" s="14"/>
      <c r="E322" s="13" t="s">
        <v>151</v>
      </c>
      <c r="F322" s="13" t="s">
        <v>133</v>
      </c>
      <c r="G322" s="20" t="s">
        <v>751</v>
      </c>
      <c r="H322" s="13" t="s">
        <v>28</v>
      </c>
      <c r="I322" s="13" t="s">
        <v>29</v>
      </c>
      <c r="J322" s="14"/>
      <c r="K322" s="16" t="str">
        <f t="array" ref="K322">IFERROR(VLOOKUP(B322, SORT('Nhật ký nộp hồ sơ '!B:D, 'Nhật ký nộp hồ sơ '!A:A, FALSE), 3, FALSE),"")</f>
        <v>Hoàn thành</v>
      </c>
      <c r="L322" s="16" t="str">
        <f t="shared" si="1"/>
        <v>Hoàn thành</v>
      </c>
      <c r="M322" s="13" t="s">
        <v>216</v>
      </c>
      <c r="N322" s="17">
        <f>IFERROR(__xludf.DUMMYFUNCTION("""COMPUTED_VALUE"""),45957.0)</f>
        <v>45957</v>
      </c>
      <c r="O322" s="17">
        <v>45960.0</v>
      </c>
      <c r="P322" s="17">
        <f>IFERROR(__xludf.DUMMYFUNCTION("IFERROR(QUERY('Nhật ký nộp hồ sơ '!A:I, ""SELECT I WHERE B = '""&amp;B322&amp;""' ORDER BY A DESC LIMIT 1"", 0))"),45957.0)</f>
        <v>45957</v>
      </c>
      <c r="Q322" s="17">
        <f t="shared" si="2"/>
        <v>45957</v>
      </c>
      <c r="R322" s="16">
        <v>1.0</v>
      </c>
      <c r="S322" s="16"/>
      <c r="T322" s="16"/>
      <c r="U322" s="14"/>
      <c r="V322" s="18" t="s">
        <v>34</v>
      </c>
      <c r="W322" s="13">
        <v>2.0</v>
      </c>
      <c r="X322" s="13" t="s">
        <v>687</v>
      </c>
    </row>
    <row r="323" ht="22.5" hidden="1" customHeight="1">
      <c r="A323" s="11">
        <v>45957.63038756944</v>
      </c>
      <c r="B323" s="12" t="s">
        <v>783</v>
      </c>
      <c r="C323" s="13" t="s">
        <v>784</v>
      </c>
      <c r="D323" s="14"/>
      <c r="E323" s="13" t="s">
        <v>132</v>
      </c>
      <c r="F323" s="13" t="s">
        <v>116</v>
      </c>
      <c r="G323" s="16"/>
      <c r="H323" s="13" t="s">
        <v>47</v>
      </c>
      <c r="I323" s="13" t="s">
        <v>659</v>
      </c>
      <c r="J323" s="14"/>
      <c r="K323" s="16" t="str">
        <f t="array" ref="K323">IFERROR(VLOOKUP(B323, SORT('Nhật ký nộp hồ sơ '!B:D, 'Nhật ký nộp hồ sơ '!A:A, FALSE), 3, FALSE),"")</f>
        <v>Hủy</v>
      </c>
      <c r="L323" s="16" t="str">
        <f t="shared" si="1"/>
        <v>ĐÃ HỦY</v>
      </c>
      <c r="M323" s="13" t="s">
        <v>48</v>
      </c>
      <c r="N323" s="17">
        <f>IFERROR(__xludf.DUMMYFUNCTION("""COMPUTED_VALUE"""),45957.0)</f>
        <v>45957</v>
      </c>
      <c r="O323" s="17">
        <v>45960.0</v>
      </c>
      <c r="P323" s="17">
        <f>IFERROR(__xludf.DUMMYFUNCTION("IFERROR(QUERY('Nhật ký nộp hồ sơ '!A:I, ""SELECT I WHERE B = '""&amp;B323&amp;""' ORDER BY A DESC LIMIT 1"", 0))"),46038.0)</f>
        <v>46038</v>
      </c>
      <c r="Q323" s="17" t="str">
        <f t="shared" si="2"/>
        <v/>
      </c>
      <c r="R323" s="16">
        <v>1.0</v>
      </c>
      <c r="S323" s="13" t="s">
        <v>785</v>
      </c>
      <c r="T323" s="13" t="s">
        <v>786</v>
      </c>
      <c r="U323" s="14"/>
      <c r="V323" s="18" t="s">
        <v>34</v>
      </c>
      <c r="W323" s="16"/>
      <c r="X323" s="16"/>
    </row>
    <row r="324" ht="22.5" hidden="1" customHeight="1">
      <c r="A324" s="11">
        <v>45957.731890243056</v>
      </c>
      <c r="B324" s="12" t="s">
        <v>787</v>
      </c>
      <c r="C324" s="13" t="s">
        <v>768</v>
      </c>
      <c r="D324" s="14"/>
      <c r="E324" s="13" t="s">
        <v>151</v>
      </c>
      <c r="F324" s="27" t="s">
        <v>219</v>
      </c>
      <c r="G324" s="16"/>
      <c r="H324" s="13" t="s">
        <v>29</v>
      </c>
      <c r="I324" s="13" t="s">
        <v>659</v>
      </c>
      <c r="J324" s="14"/>
      <c r="K324" s="16" t="str">
        <f t="array" ref="K324">IFERROR(VLOOKUP(B324, SORT('Nhật ký nộp hồ sơ '!B:D, 'Nhật ký nộp hồ sơ '!A:A, FALSE), 3, FALSE),"")</f>
        <v>Hoàn thành</v>
      </c>
      <c r="L324" s="16" t="str">
        <f t="shared" si="1"/>
        <v>Hoàn thành</v>
      </c>
      <c r="M324" s="13" t="s">
        <v>216</v>
      </c>
      <c r="N324" s="17">
        <f>IFERROR(__xludf.DUMMYFUNCTION("""COMPUTED_VALUE"""),45957.0)</f>
        <v>45957</v>
      </c>
      <c r="O324" s="17">
        <v>45960.0</v>
      </c>
      <c r="P324" s="17">
        <f>IFERROR(__xludf.DUMMYFUNCTION("IFERROR(QUERY('Nhật ký nộp hồ sơ '!A:I, ""SELECT I WHERE B = '""&amp;B324&amp;""' ORDER BY A DESC LIMIT 1"", 0))"),45957.0)</f>
        <v>45957</v>
      </c>
      <c r="Q324" s="17">
        <f t="shared" si="2"/>
        <v>45957</v>
      </c>
      <c r="R324" s="16">
        <v>8.0</v>
      </c>
      <c r="S324" s="16"/>
      <c r="T324" s="16"/>
      <c r="U324" s="14"/>
      <c r="V324" s="18" t="s">
        <v>34</v>
      </c>
      <c r="W324" s="13">
        <v>3.0</v>
      </c>
      <c r="X324" s="13" t="s">
        <v>687</v>
      </c>
    </row>
    <row r="325" ht="22.5" hidden="1" customHeight="1">
      <c r="A325" s="11">
        <v>45957.735810266204</v>
      </c>
      <c r="B325" s="12" t="s">
        <v>788</v>
      </c>
      <c r="C325" s="13" t="s">
        <v>768</v>
      </c>
      <c r="D325" s="14"/>
      <c r="E325" s="13" t="s">
        <v>151</v>
      </c>
      <c r="F325" s="27" t="s">
        <v>219</v>
      </c>
      <c r="G325" s="16"/>
      <c r="H325" s="13" t="s">
        <v>29</v>
      </c>
      <c r="I325" s="13" t="s">
        <v>659</v>
      </c>
      <c r="J325" s="14"/>
      <c r="K325" s="16" t="str">
        <f t="array" ref="K325">IFERROR(VLOOKUP(B325, SORT('Nhật ký nộp hồ sơ '!B:D, 'Nhật ký nộp hồ sơ '!A:A, FALSE), 3, FALSE),"")</f>
        <v>Hoàn thành</v>
      </c>
      <c r="L325" s="16" t="str">
        <f t="shared" si="1"/>
        <v>Hoàn thành</v>
      </c>
      <c r="M325" s="13" t="s">
        <v>41</v>
      </c>
      <c r="N325" s="17">
        <f>IFERROR(__xludf.DUMMYFUNCTION("""COMPUTED_VALUE"""),45957.0)</f>
        <v>45957</v>
      </c>
      <c r="O325" s="17">
        <v>45960.0</v>
      </c>
      <c r="P325" s="17">
        <f>IFERROR(__xludf.DUMMYFUNCTION("IFERROR(QUERY('Nhật ký nộp hồ sơ '!A:I, ""SELECT I WHERE B = '""&amp;B325&amp;""' ORDER BY A DESC LIMIT 1"", 0))"),45957.0)</f>
        <v>45957</v>
      </c>
      <c r="Q325" s="17">
        <f t="shared" si="2"/>
        <v>45957</v>
      </c>
      <c r="R325" s="16">
        <v>8.0</v>
      </c>
      <c r="S325" s="13" t="s">
        <v>789</v>
      </c>
      <c r="T325" s="16"/>
      <c r="U325" s="14"/>
      <c r="V325" s="18" t="s">
        <v>34</v>
      </c>
      <c r="W325" s="16"/>
      <c r="X325" s="16"/>
    </row>
    <row r="326" ht="22.5" hidden="1" customHeight="1">
      <c r="A326" s="11">
        <v>45958.494479270834</v>
      </c>
      <c r="B326" s="12" t="s">
        <v>790</v>
      </c>
      <c r="C326" s="13" t="s">
        <v>340</v>
      </c>
      <c r="D326" s="14"/>
      <c r="E326" s="13" t="s">
        <v>187</v>
      </c>
      <c r="F326" s="13" t="s">
        <v>126</v>
      </c>
      <c r="G326" s="16"/>
      <c r="H326" s="13" t="s">
        <v>29</v>
      </c>
      <c r="I326" s="13" t="s">
        <v>659</v>
      </c>
      <c r="J326" s="14"/>
      <c r="K326" s="16" t="str">
        <f t="array" ref="K326">IFERROR(VLOOKUP(B326, SORT('Nhật ký nộp hồ sơ '!B:D, 'Nhật ký nộp hồ sơ '!A:A, FALSE), 3, FALSE),"")</f>
        <v>Hoàn thành</v>
      </c>
      <c r="L326" s="16" t="str">
        <f t="shared" si="1"/>
        <v>Hoàn thành</v>
      </c>
      <c r="M326" s="13" t="s">
        <v>216</v>
      </c>
      <c r="N326" s="17">
        <f>IFERROR(__xludf.DUMMYFUNCTION("""COMPUTED_VALUE"""),45958.0)</f>
        <v>45958</v>
      </c>
      <c r="O326" s="17">
        <v>45961.0</v>
      </c>
      <c r="P326" s="17">
        <f>IFERROR(__xludf.DUMMYFUNCTION("IFERROR(QUERY('Nhật ký nộp hồ sơ '!A:I, ""SELECT I WHERE B = '""&amp;B326&amp;""' ORDER BY A DESC LIMIT 1"", 0))"),45958.0)</f>
        <v>45958</v>
      </c>
      <c r="Q326" s="17">
        <f t="shared" si="2"/>
        <v>45958</v>
      </c>
      <c r="R326" s="16">
        <v>1.0</v>
      </c>
      <c r="S326" s="13" t="s">
        <v>791</v>
      </c>
      <c r="T326" s="16"/>
      <c r="U326" s="14"/>
      <c r="V326" s="18" t="s">
        <v>34</v>
      </c>
      <c r="W326" s="13">
        <v>8.0</v>
      </c>
      <c r="X326" s="13" t="s">
        <v>687</v>
      </c>
    </row>
    <row r="327" ht="22.5" hidden="1" customHeight="1">
      <c r="A327" s="11">
        <v>45960.39120680555</v>
      </c>
      <c r="B327" s="12" t="s">
        <v>792</v>
      </c>
      <c r="C327" s="13" t="s">
        <v>793</v>
      </c>
      <c r="D327" s="14"/>
      <c r="E327" s="13" t="s">
        <v>26</v>
      </c>
      <c r="F327" s="13" t="s">
        <v>462</v>
      </c>
      <c r="G327" s="16"/>
      <c r="H327" s="13" t="s">
        <v>55</v>
      </c>
      <c r="I327" s="13" t="s">
        <v>659</v>
      </c>
      <c r="J327" s="14"/>
      <c r="K327" s="16" t="str">
        <f t="array" ref="K327">IFERROR(VLOOKUP(B327, SORT('Nhật ký nộp hồ sơ '!B:D, 'Nhật ký nộp hồ sơ '!A:A, FALSE), 3, FALSE),"")</f>
        <v>Hoàn thành</v>
      </c>
      <c r="L327" s="16" t="str">
        <f t="shared" si="1"/>
        <v>Hoàn thành</v>
      </c>
      <c r="M327" s="13" t="s">
        <v>216</v>
      </c>
      <c r="N327" s="17">
        <f>IFERROR(__xludf.DUMMYFUNCTION("""COMPUTED_VALUE"""),45960.0)</f>
        <v>45960</v>
      </c>
      <c r="O327" s="17">
        <v>45963.0</v>
      </c>
      <c r="P327" s="17">
        <f>IFERROR(__xludf.DUMMYFUNCTION("IFERROR(QUERY('Nhật ký nộp hồ sơ '!A:I, ""SELECT I WHERE B = '""&amp;B327&amp;""' ORDER BY A DESC LIMIT 1"", 0))"),45958.0)</f>
        <v>45958</v>
      </c>
      <c r="Q327" s="17">
        <f t="shared" si="2"/>
        <v>45958</v>
      </c>
      <c r="R327" s="16">
        <v>1.0</v>
      </c>
      <c r="S327" s="16"/>
      <c r="T327" s="16"/>
      <c r="U327" s="14"/>
      <c r="V327" s="18" t="s">
        <v>34</v>
      </c>
      <c r="W327" s="13">
        <v>4.0</v>
      </c>
      <c r="X327" s="13" t="s">
        <v>687</v>
      </c>
    </row>
    <row r="328" ht="22.5" hidden="1" customHeight="1">
      <c r="A328" s="11">
        <v>45960.39320611111</v>
      </c>
      <c r="B328" s="12" t="s">
        <v>794</v>
      </c>
      <c r="C328" s="13" t="s">
        <v>795</v>
      </c>
      <c r="D328" s="14"/>
      <c r="E328" s="13" t="s">
        <v>151</v>
      </c>
      <c r="F328" s="13" t="s">
        <v>133</v>
      </c>
      <c r="G328" s="20" t="s">
        <v>796</v>
      </c>
      <c r="H328" s="13" t="s">
        <v>55</v>
      </c>
      <c r="I328" s="13" t="s">
        <v>659</v>
      </c>
      <c r="J328" s="14"/>
      <c r="K328" s="16" t="str">
        <f t="array" ref="K328">IFERROR(VLOOKUP(B328, SORT('Nhật ký nộp hồ sơ '!B:D, 'Nhật ký nộp hồ sơ '!A:A, FALSE), 3, FALSE),"")</f>
        <v>Hoàn thành</v>
      </c>
      <c r="L328" s="16" t="str">
        <f t="shared" si="1"/>
        <v>Hoàn thành</v>
      </c>
      <c r="M328" s="13" t="s">
        <v>56</v>
      </c>
      <c r="N328" s="17">
        <f>IFERROR(__xludf.DUMMYFUNCTION("""COMPUTED_VALUE"""),45960.0)</f>
        <v>45960</v>
      </c>
      <c r="O328" s="17">
        <v>45963.0</v>
      </c>
      <c r="P328" s="17">
        <f>IFERROR(__xludf.DUMMYFUNCTION("IFERROR(QUERY('Nhật ký nộp hồ sơ '!A:I, ""SELECT I WHERE B = '""&amp;B328&amp;""' ORDER BY A DESC LIMIT 1"", 0))"),45971.0)</f>
        <v>45971</v>
      </c>
      <c r="Q328" s="17">
        <f t="shared" si="2"/>
        <v>45971</v>
      </c>
      <c r="R328" s="16">
        <v>1.0</v>
      </c>
      <c r="S328" s="16"/>
      <c r="T328" s="16"/>
      <c r="U328" s="14"/>
      <c r="V328" s="18" t="s">
        <v>34</v>
      </c>
      <c r="W328" s="16"/>
      <c r="X328" s="16"/>
    </row>
    <row r="329" ht="22.5" hidden="1" customHeight="1">
      <c r="A329" s="11">
        <v>45960.39453871528</v>
      </c>
      <c r="B329" s="12" t="s">
        <v>797</v>
      </c>
      <c r="C329" s="13" t="s">
        <v>795</v>
      </c>
      <c r="D329" s="14"/>
      <c r="E329" s="13" t="s">
        <v>151</v>
      </c>
      <c r="F329" s="13" t="s">
        <v>133</v>
      </c>
      <c r="G329" s="20" t="s">
        <v>796</v>
      </c>
      <c r="H329" s="13" t="s">
        <v>55</v>
      </c>
      <c r="I329" s="13" t="s">
        <v>659</v>
      </c>
      <c r="J329" s="14"/>
      <c r="K329" s="16" t="str">
        <f t="array" ref="K329">IFERROR(VLOOKUP(B329, SORT('Nhật ký nộp hồ sơ '!B:D, 'Nhật ký nộp hồ sơ '!A:A, FALSE), 3, FALSE),"")</f>
        <v>Hoàn thành</v>
      </c>
      <c r="L329" s="16" t="str">
        <f t="shared" si="1"/>
        <v>Hoàn thành</v>
      </c>
      <c r="M329" s="13" t="s">
        <v>216</v>
      </c>
      <c r="N329" s="17">
        <f>IFERROR(__xludf.DUMMYFUNCTION("""COMPUTED_VALUE"""),45960.0)</f>
        <v>45960</v>
      </c>
      <c r="O329" s="17">
        <v>45963.0</v>
      </c>
      <c r="P329" s="17">
        <f>IFERROR(__xludf.DUMMYFUNCTION("IFERROR(QUERY('Nhật ký nộp hồ sơ '!A:I, ""SELECT I WHERE B = '""&amp;B329&amp;""' ORDER BY A DESC LIMIT 1"", 0))"),45959.0)</f>
        <v>45959</v>
      </c>
      <c r="Q329" s="17">
        <f t="shared" si="2"/>
        <v>45959</v>
      </c>
      <c r="R329" s="16">
        <v>2.0</v>
      </c>
      <c r="S329" s="13" t="s">
        <v>798</v>
      </c>
      <c r="T329" s="16"/>
      <c r="U329" s="14"/>
      <c r="V329" s="18" t="s">
        <v>34</v>
      </c>
      <c r="W329" s="13">
        <v>4.0</v>
      </c>
      <c r="X329" s="13" t="s">
        <v>687</v>
      </c>
    </row>
    <row r="330" ht="22.5" hidden="1" customHeight="1">
      <c r="A330" s="11">
        <v>45961.452550462964</v>
      </c>
      <c r="B330" s="12" t="s">
        <v>799</v>
      </c>
      <c r="C330" s="13" t="s">
        <v>800</v>
      </c>
      <c r="D330" s="14"/>
      <c r="E330" s="13" t="s">
        <v>231</v>
      </c>
      <c r="F330" s="13" t="s">
        <v>133</v>
      </c>
      <c r="G330" s="13">
        <v>3.53423471E8</v>
      </c>
      <c r="H330" s="13" t="s">
        <v>29</v>
      </c>
      <c r="I330" s="13" t="s">
        <v>659</v>
      </c>
      <c r="J330" s="14"/>
      <c r="K330" s="16" t="str">
        <f t="array" ref="K330">IFERROR(VLOOKUP(B330, SORT('Nhật ký nộp hồ sơ '!B:D, 'Nhật ký nộp hồ sơ '!A:A, FALSE), 3, FALSE),"")</f>
        <v>Nộp thành công - Chờ kết quả</v>
      </c>
      <c r="L330" s="16" t="str">
        <f t="shared" si="1"/>
        <v>Đã nộp</v>
      </c>
      <c r="M330" s="13" t="s">
        <v>48</v>
      </c>
      <c r="N330" s="17">
        <f>IFERROR(__xludf.DUMMYFUNCTION("""COMPUTED_VALUE"""),45961.0)</f>
        <v>45961</v>
      </c>
      <c r="O330" s="17">
        <v>45964.0</v>
      </c>
      <c r="P330" s="17">
        <f>IFERROR(__xludf.DUMMYFUNCTION("IFERROR(QUERY('Nhật ký nộp hồ sơ '!A:I, ""SELECT I WHERE B = '""&amp;B330&amp;""' ORDER BY A DESC LIMIT 1"", 0))"),46029.0)</f>
        <v>46029</v>
      </c>
      <c r="Q330" s="17" t="str">
        <f t="shared" si="2"/>
        <v/>
      </c>
      <c r="R330" s="16">
        <v>1.0</v>
      </c>
      <c r="S330" s="13" t="s">
        <v>801</v>
      </c>
      <c r="T330" s="16"/>
      <c r="U330" s="14"/>
      <c r="V330" s="18" t="s">
        <v>34</v>
      </c>
      <c r="W330" s="16"/>
      <c r="X330" s="16"/>
    </row>
    <row r="331" ht="22.5" hidden="1" customHeight="1">
      <c r="A331" s="11">
        <v>45961.45502703704</v>
      </c>
      <c r="B331" s="12" t="s">
        <v>802</v>
      </c>
      <c r="C331" s="13" t="s">
        <v>803</v>
      </c>
      <c r="D331" s="14"/>
      <c r="E331" s="13" t="s">
        <v>53</v>
      </c>
      <c r="F331" s="13" t="s">
        <v>554</v>
      </c>
      <c r="G331" s="16"/>
      <c r="H331" s="13" t="s">
        <v>28</v>
      </c>
      <c r="I331" s="13" t="s">
        <v>81</v>
      </c>
      <c r="J331" s="18" t="s">
        <v>202</v>
      </c>
      <c r="K331" s="16" t="str">
        <f t="array" ref="K331">IFERROR(VLOOKUP(B331, SORT('Nhật ký nộp hồ sơ '!B:D, 'Nhật ký nộp hồ sơ '!A:A, FALSE), 3, FALSE),"")</f>
        <v>Hoàn thành</v>
      </c>
      <c r="L331" s="16" t="str">
        <f t="shared" si="1"/>
        <v>Hoàn thành</v>
      </c>
      <c r="M331" s="13" t="s">
        <v>216</v>
      </c>
      <c r="N331" s="17">
        <f>IFERROR(__xludf.DUMMYFUNCTION("""COMPUTED_VALUE"""),45961.0)</f>
        <v>45961</v>
      </c>
      <c r="O331" s="17">
        <v>45962.0</v>
      </c>
      <c r="P331" s="17">
        <f>IFERROR(__xludf.DUMMYFUNCTION("IFERROR(QUERY('Nhật ký nộp hồ sơ '!A:I, ""SELECT I WHERE B = '""&amp;B331&amp;""' ORDER BY A DESC LIMIT 1"", 0))"),45961.0)</f>
        <v>45961</v>
      </c>
      <c r="Q331" s="17">
        <f t="shared" si="2"/>
        <v>45961</v>
      </c>
      <c r="R331" s="16">
        <v>1.0</v>
      </c>
      <c r="S331" s="16"/>
      <c r="T331" s="16"/>
      <c r="U331" s="14"/>
      <c r="V331" s="18" t="s">
        <v>34</v>
      </c>
      <c r="W331" s="13">
        <v>12.0</v>
      </c>
      <c r="X331" s="13" t="s">
        <v>687</v>
      </c>
    </row>
    <row r="332" ht="22.5" hidden="1" customHeight="1">
      <c r="A332" s="11">
        <v>45964.36118280093</v>
      </c>
      <c r="B332" s="12" t="s">
        <v>804</v>
      </c>
      <c r="C332" s="13" t="s">
        <v>805</v>
      </c>
      <c r="D332" s="14"/>
      <c r="E332" s="13" t="s">
        <v>45</v>
      </c>
      <c r="F332" s="13" t="s">
        <v>46</v>
      </c>
      <c r="G332" s="16"/>
      <c r="H332" s="13" t="s">
        <v>29</v>
      </c>
      <c r="I332" s="13" t="s">
        <v>659</v>
      </c>
      <c r="J332" s="14"/>
      <c r="K332" s="16" t="str">
        <f t="array" ref="K332">IFERROR(VLOOKUP(B332, SORT('Nhật ký nộp hồ sơ '!B:D, 'Nhật ký nộp hồ sơ '!A:A, FALSE), 3, FALSE),"")</f>
        <v>Hoàn thành</v>
      </c>
      <c r="L332" s="16" t="str">
        <f t="shared" si="1"/>
        <v>Hoàn thành</v>
      </c>
      <c r="M332" s="13" t="s">
        <v>56</v>
      </c>
      <c r="N332" s="17">
        <f>IFERROR(__xludf.DUMMYFUNCTION("""COMPUTED_VALUE"""),45964.0)</f>
        <v>45964</v>
      </c>
      <c r="O332" s="17">
        <v>45967.0</v>
      </c>
      <c r="P332" s="17">
        <f>IFERROR(__xludf.DUMMYFUNCTION("IFERROR(QUERY('Nhật ký nộp hồ sơ '!A:I, ""SELECT I WHERE B = '""&amp;B332&amp;""' ORDER BY A DESC LIMIT 1"", 0))"),45988.0)</f>
        <v>45988</v>
      </c>
      <c r="Q332" s="17">
        <f t="shared" si="2"/>
        <v>45988</v>
      </c>
      <c r="R332" s="16">
        <v>1.0</v>
      </c>
      <c r="S332" s="16"/>
      <c r="T332" s="16"/>
      <c r="U332" s="14"/>
      <c r="V332" s="18" t="s">
        <v>34</v>
      </c>
      <c r="W332" s="16"/>
      <c r="X332" s="16"/>
    </row>
    <row r="333" ht="22.5" hidden="1" customHeight="1">
      <c r="A333" s="11">
        <v>45964.43060935185</v>
      </c>
      <c r="B333" s="12" t="s">
        <v>806</v>
      </c>
      <c r="C333" s="13" t="s">
        <v>807</v>
      </c>
      <c r="D333" s="14"/>
      <c r="E333" s="13" t="s">
        <v>151</v>
      </c>
      <c r="F333" s="13" t="s">
        <v>133</v>
      </c>
      <c r="G333" s="20" t="s">
        <v>808</v>
      </c>
      <c r="H333" s="13" t="s">
        <v>55</v>
      </c>
      <c r="I333" s="13" t="s">
        <v>659</v>
      </c>
      <c r="J333" s="14"/>
      <c r="K333" s="16" t="str">
        <f t="array" ref="K333">IFERROR(VLOOKUP(B333, SORT('Nhật ký nộp hồ sơ '!B:D, 'Nhật ký nộp hồ sơ '!A:A, FALSE), 3, FALSE),"")</f>
        <v>Hoàn thành</v>
      </c>
      <c r="L333" s="16" t="str">
        <f t="shared" si="1"/>
        <v>Hoàn thành</v>
      </c>
      <c r="M333" s="13" t="s">
        <v>56</v>
      </c>
      <c r="N333" s="17">
        <f>IFERROR(__xludf.DUMMYFUNCTION("""COMPUTED_VALUE"""),45964.0)</f>
        <v>45964</v>
      </c>
      <c r="O333" s="17">
        <v>45967.0</v>
      </c>
      <c r="P333" s="17">
        <f>IFERROR(__xludf.DUMMYFUNCTION("IFERROR(QUERY('Nhật ký nộp hồ sơ '!A:I, ""SELECT I WHERE B = '""&amp;B333&amp;""' ORDER BY A DESC LIMIT 1"", 0))"),46014.0)</f>
        <v>46014</v>
      </c>
      <c r="Q333" s="17">
        <f t="shared" si="2"/>
        <v>46014</v>
      </c>
      <c r="R333" s="16">
        <v>2.0</v>
      </c>
      <c r="S333" s="16"/>
      <c r="T333" s="16"/>
      <c r="U333" s="14"/>
      <c r="V333" s="18" t="s">
        <v>34</v>
      </c>
      <c r="W333" s="16"/>
      <c r="X333" s="16"/>
    </row>
    <row r="334" ht="22.5" hidden="1" customHeight="1">
      <c r="A334" s="11">
        <v>45964.64634337963</v>
      </c>
      <c r="B334" s="12" t="s">
        <v>809</v>
      </c>
      <c r="C334" s="13" t="s">
        <v>810</v>
      </c>
      <c r="D334" s="14"/>
      <c r="E334" s="13" t="s">
        <v>26</v>
      </c>
      <c r="F334" s="13" t="s">
        <v>133</v>
      </c>
      <c r="G334" s="16"/>
      <c r="H334" s="13" t="s">
        <v>29</v>
      </c>
      <c r="I334" s="13" t="s">
        <v>81</v>
      </c>
      <c r="J334" s="14"/>
      <c r="K334" s="16" t="str">
        <f t="array" ref="K334">IFERROR(VLOOKUP(B334, SORT('Nhật ký nộp hồ sơ '!B:D, 'Nhật ký nộp hồ sơ '!A:A, FALSE), 3, FALSE),"")</f>
        <v>Hoàn thành</v>
      </c>
      <c r="L334" s="16" t="str">
        <f t="shared" si="1"/>
        <v>Hoàn thành</v>
      </c>
      <c r="M334" s="13" t="s">
        <v>82</v>
      </c>
      <c r="N334" s="17">
        <f>IFERROR(__xludf.DUMMYFUNCTION("""COMPUTED_VALUE"""),45964.0)</f>
        <v>45964</v>
      </c>
      <c r="O334" s="17">
        <v>45967.0</v>
      </c>
      <c r="P334" s="17">
        <f>IFERROR(__xludf.DUMMYFUNCTION("IFERROR(QUERY('Nhật ký nộp hồ sơ '!A:I, ""SELECT I WHERE B = '""&amp;B334&amp;""' ORDER BY A DESC LIMIT 1"", 0))"),45965.0)</f>
        <v>45965</v>
      </c>
      <c r="Q334" s="17">
        <f t="shared" si="2"/>
        <v>45965</v>
      </c>
      <c r="R334" s="16">
        <v>1.0</v>
      </c>
      <c r="S334" s="16"/>
      <c r="T334" s="16"/>
      <c r="U334" s="14"/>
      <c r="V334" s="18" t="s">
        <v>34</v>
      </c>
      <c r="W334" s="16"/>
      <c r="X334" s="16"/>
    </row>
    <row r="335" ht="22.5" hidden="1" customHeight="1">
      <c r="A335" s="11">
        <v>45964.66101009259</v>
      </c>
      <c r="B335" s="12" t="s">
        <v>811</v>
      </c>
      <c r="C335" s="13" t="s">
        <v>812</v>
      </c>
      <c r="D335" s="14"/>
      <c r="E335" s="13" t="s">
        <v>26</v>
      </c>
      <c r="F335" s="13" t="s">
        <v>133</v>
      </c>
      <c r="G335" s="16"/>
      <c r="H335" s="13" t="s">
        <v>55</v>
      </c>
      <c r="I335" s="13" t="s">
        <v>81</v>
      </c>
      <c r="J335" s="14"/>
      <c r="K335" s="16" t="str">
        <f t="array" ref="K335">IFERROR(VLOOKUP(B335, SORT('Nhật ký nộp hồ sơ '!B:D, 'Nhật ký nộp hồ sơ '!A:A, FALSE), 3, FALSE),"")</f>
        <v>Hoàn thành</v>
      </c>
      <c r="L335" s="16" t="str">
        <f t="shared" si="1"/>
        <v>Hoàn thành</v>
      </c>
      <c r="M335" s="13" t="s">
        <v>41</v>
      </c>
      <c r="N335" s="17">
        <f>IFERROR(__xludf.DUMMYFUNCTION("""COMPUTED_VALUE"""),45964.0)</f>
        <v>45964</v>
      </c>
      <c r="O335" s="17">
        <v>45967.0</v>
      </c>
      <c r="P335" s="17">
        <f>IFERROR(__xludf.DUMMYFUNCTION("IFERROR(QUERY('Nhật ký nộp hồ sơ '!A:I, ""SELECT I WHERE B = '""&amp;B335&amp;""' ORDER BY A DESC LIMIT 1"", 0))"),46038.0)</f>
        <v>46038</v>
      </c>
      <c r="Q335" s="17">
        <f t="shared" si="2"/>
        <v>46038</v>
      </c>
      <c r="R335" s="16">
        <v>1.0</v>
      </c>
      <c r="S335" s="16"/>
      <c r="T335" s="16"/>
      <c r="U335" s="14"/>
      <c r="V335" s="18" t="s">
        <v>34</v>
      </c>
      <c r="W335" s="16"/>
      <c r="X335" s="16"/>
    </row>
    <row r="336" ht="22.5" hidden="1" customHeight="1">
      <c r="A336" s="11">
        <v>45964.67190833333</v>
      </c>
      <c r="B336" s="12" t="s">
        <v>813</v>
      </c>
      <c r="C336" s="13" t="s">
        <v>814</v>
      </c>
      <c r="D336" s="14"/>
      <c r="E336" s="27" t="s">
        <v>222</v>
      </c>
      <c r="F336" s="13" t="s">
        <v>133</v>
      </c>
      <c r="G336" s="20" t="s">
        <v>815</v>
      </c>
      <c r="H336" s="13" t="s">
        <v>28</v>
      </c>
      <c r="I336" s="13" t="s">
        <v>659</v>
      </c>
      <c r="J336" s="14"/>
      <c r="K336" s="16" t="str">
        <f t="array" ref="K336">IFERROR(VLOOKUP(B336, SORT('Nhật ký nộp hồ sơ '!B:D, 'Nhật ký nộp hồ sơ '!A:A, FALSE), 3, FALSE),"")</f>
        <v>Hoàn thành</v>
      </c>
      <c r="L336" s="16" t="str">
        <f t="shared" si="1"/>
        <v>Hoàn thành</v>
      </c>
      <c r="M336" s="13" t="s">
        <v>216</v>
      </c>
      <c r="N336" s="17">
        <f>IFERROR(__xludf.DUMMYFUNCTION("""COMPUTED_VALUE"""),45964.0)</f>
        <v>45964</v>
      </c>
      <c r="O336" s="17">
        <v>45967.0</v>
      </c>
      <c r="P336" s="17">
        <f>IFERROR(__xludf.DUMMYFUNCTION("IFERROR(QUERY('Nhật ký nộp hồ sơ '!A:I, ""SELECT I WHERE B = '""&amp;B336&amp;""' ORDER BY A DESC LIMIT 1"", 0))"),45965.0)</f>
        <v>45965</v>
      </c>
      <c r="Q336" s="17">
        <f t="shared" si="2"/>
        <v>45965</v>
      </c>
      <c r="R336" s="16">
        <v>1.0</v>
      </c>
      <c r="S336" s="13" t="s">
        <v>816</v>
      </c>
      <c r="T336" s="16"/>
      <c r="U336" s="14"/>
      <c r="V336" s="18" t="s">
        <v>34</v>
      </c>
      <c r="W336" s="13">
        <v>6.0</v>
      </c>
      <c r="X336" s="13" t="s">
        <v>687</v>
      </c>
    </row>
    <row r="337" ht="22.5" hidden="1" customHeight="1">
      <c r="A337" s="11">
        <v>45967.40378908565</v>
      </c>
      <c r="B337" s="12" t="s">
        <v>817</v>
      </c>
      <c r="C337" s="13" t="s">
        <v>818</v>
      </c>
      <c r="D337" s="14"/>
      <c r="E337" s="27" t="s">
        <v>222</v>
      </c>
      <c r="F337" s="13" t="s">
        <v>133</v>
      </c>
      <c r="G337" s="20" t="s">
        <v>819</v>
      </c>
      <c r="H337" s="13" t="s">
        <v>29</v>
      </c>
      <c r="I337" s="13" t="s">
        <v>47</v>
      </c>
      <c r="J337" s="18" t="s">
        <v>202</v>
      </c>
      <c r="K337" s="16" t="str">
        <f t="array" ref="K337">IFERROR(VLOOKUP(B337, SORT('Nhật ký nộp hồ sơ '!B:D, 'Nhật ký nộp hồ sơ '!A:A, FALSE), 3, FALSE),"")</f>
        <v>Hoàn thành</v>
      </c>
      <c r="L337" s="16" t="str">
        <f t="shared" si="1"/>
        <v>Hoàn thành</v>
      </c>
      <c r="M337" s="13" t="s">
        <v>41</v>
      </c>
      <c r="N337" s="17">
        <f>IFERROR(__xludf.DUMMYFUNCTION("""COMPUTED_VALUE"""),45967.0)</f>
        <v>45967</v>
      </c>
      <c r="O337" s="17">
        <v>45968.0</v>
      </c>
      <c r="P337" s="17">
        <f>IFERROR(__xludf.DUMMYFUNCTION("IFERROR(QUERY('Nhật ký nộp hồ sơ '!A:I, ""SELECT I WHERE B = '""&amp;B337&amp;""' ORDER BY A DESC LIMIT 1"", 0))"),45968.0)</f>
        <v>45968</v>
      </c>
      <c r="Q337" s="17">
        <f t="shared" si="2"/>
        <v>45968</v>
      </c>
      <c r="R337" s="16">
        <v>1.0</v>
      </c>
      <c r="S337" s="13" t="s">
        <v>820</v>
      </c>
      <c r="T337" s="16"/>
      <c r="U337" s="14"/>
      <c r="V337" s="18" t="s">
        <v>34</v>
      </c>
      <c r="W337" s="16"/>
      <c r="X337" s="16"/>
    </row>
    <row r="338" ht="22.5" hidden="1" customHeight="1">
      <c r="A338" s="11">
        <v>45967.405410798616</v>
      </c>
      <c r="B338" s="12" t="s">
        <v>821</v>
      </c>
      <c r="C338" s="13" t="s">
        <v>822</v>
      </c>
      <c r="D338" s="14"/>
      <c r="E338" s="13" t="s">
        <v>132</v>
      </c>
      <c r="F338" s="13" t="s">
        <v>80</v>
      </c>
      <c r="G338" s="16"/>
      <c r="H338" s="13" t="s">
        <v>29</v>
      </c>
      <c r="I338" s="13" t="s">
        <v>659</v>
      </c>
      <c r="J338" s="14"/>
      <c r="K338" s="16" t="str">
        <f t="array" ref="K338">IFERROR(VLOOKUP(B338, SORT('Nhật ký nộp hồ sơ '!B:D, 'Nhật ký nộp hồ sơ '!A:A, FALSE), 3, FALSE),"")</f>
        <v>Hoàn thành</v>
      </c>
      <c r="L338" s="16" t="str">
        <f t="shared" si="1"/>
        <v>Hoàn thành</v>
      </c>
      <c r="M338" s="13" t="s">
        <v>135</v>
      </c>
      <c r="N338" s="17">
        <f>IFERROR(__xludf.DUMMYFUNCTION("""COMPUTED_VALUE"""),45967.0)</f>
        <v>45967</v>
      </c>
      <c r="O338" s="17">
        <v>45970.0</v>
      </c>
      <c r="P338" s="17">
        <f>IFERROR(__xludf.DUMMYFUNCTION("IFERROR(QUERY('Nhật ký nộp hồ sơ '!A:I, ""SELECT I WHERE B = '""&amp;B338&amp;""' ORDER BY A DESC LIMIT 1"", 0))"),46043.0)</f>
        <v>46043</v>
      </c>
      <c r="Q338" s="17">
        <f t="shared" si="2"/>
        <v>46043</v>
      </c>
      <c r="R338" s="16">
        <v>1.0</v>
      </c>
      <c r="S338" s="16"/>
      <c r="T338" s="16"/>
      <c r="U338" s="14"/>
      <c r="V338" s="18" t="s">
        <v>34</v>
      </c>
      <c r="W338" s="16"/>
      <c r="X338" s="16"/>
    </row>
    <row r="339" ht="22.5" hidden="1" customHeight="1">
      <c r="A339" s="11">
        <v>45967.40591872685</v>
      </c>
      <c r="B339" s="12" t="s">
        <v>823</v>
      </c>
      <c r="C339" s="13" t="s">
        <v>822</v>
      </c>
      <c r="D339" s="14"/>
      <c r="E339" s="13" t="s">
        <v>132</v>
      </c>
      <c r="F339" s="13" t="s">
        <v>80</v>
      </c>
      <c r="G339" s="16"/>
      <c r="H339" s="13" t="s">
        <v>29</v>
      </c>
      <c r="I339" s="13" t="s">
        <v>81</v>
      </c>
      <c r="J339" s="14"/>
      <c r="K339" s="16" t="str">
        <f t="array" ref="K339">IFERROR(VLOOKUP(B339, SORT('Nhật ký nộp hồ sơ '!B:D, 'Nhật ký nộp hồ sơ '!A:A, FALSE), 3, FALSE),"")</f>
        <v>Hoàn thành</v>
      </c>
      <c r="L339" s="16" t="str">
        <f t="shared" si="1"/>
        <v>Hoàn thành</v>
      </c>
      <c r="M339" s="13" t="s">
        <v>135</v>
      </c>
      <c r="N339" s="17">
        <f>IFERROR(__xludf.DUMMYFUNCTION("""COMPUTED_VALUE"""),45967.0)</f>
        <v>45967</v>
      </c>
      <c r="O339" s="17">
        <v>45970.0</v>
      </c>
      <c r="P339" s="17">
        <f>IFERROR(__xludf.DUMMYFUNCTION("IFERROR(QUERY('Nhật ký nộp hồ sơ '!A:I, ""SELECT I WHERE B = '""&amp;B339&amp;""' ORDER BY A DESC LIMIT 1"", 0))"),46043.0)</f>
        <v>46043</v>
      </c>
      <c r="Q339" s="17">
        <f t="shared" si="2"/>
        <v>46043</v>
      </c>
      <c r="R339" s="16">
        <v>4.0</v>
      </c>
      <c r="S339" s="16"/>
      <c r="T339" s="16"/>
      <c r="U339" s="14"/>
      <c r="V339" s="18" t="s">
        <v>34</v>
      </c>
      <c r="W339" s="16"/>
      <c r="X339" s="16"/>
    </row>
    <row r="340" ht="22.5" hidden="1" customHeight="1">
      <c r="A340" s="11">
        <v>45967.448878310184</v>
      </c>
      <c r="B340" s="12" t="s">
        <v>824</v>
      </c>
      <c r="C340" s="13" t="s">
        <v>807</v>
      </c>
      <c r="D340" s="14"/>
      <c r="E340" s="13" t="s">
        <v>151</v>
      </c>
      <c r="F340" s="13" t="s">
        <v>133</v>
      </c>
      <c r="G340" s="20" t="s">
        <v>808</v>
      </c>
      <c r="H340" s="13" t="s">
        <v>55</v>
      </c>
      <c r="I340" s="13" t="s">
        <v>659</v>
      </c>
      <c r="J340" s="14"/>
      <c r="K340" s="16" t="str">
        <f t="array" ref="K340">IFERROR(VLOOKUP(B340, SORT('Nhật ký nộp hồ sơ '!B:D, 'Nhật ký nộp hồ sơ '!A:A, FALSE), 3, FALSE),"")</f>
        <v>Hoàn thành</v>
      </c>
      <c r="L340" s="16" t="str">
        <f t="shared" si="1"/>
        <v>Hoàn thành</v>
      </c>
      <c r="M340" s="13" t="s">
        <v>216</v>
      </c>
      <c r="N340" s="17">
        <f>IFERROR(__xludf.DUMMYFUNCTION("""COMPUTED_VALUE"""),45967.0)</f>
        <v>45967</v>
      </c>
      <c r="O340" s="17">
        <v>45970.0</v>
      </c>
      <c r="P340" s="17">
        <f>IFERROR(__xludf.DUMMYFUNCTION("IFERROR(QUERY('Nhật ký nộp hồ sơ '!A:I, ""SELECT I WHERE B = '""&amp;B340&amp;""' ORDER BY A DESC LIMIT 1"", 0))"),45966.0)</f>
        <v>45966</v>
      </c>
      <c r="Q340" s="17">
        <f t="shared" si="2"/>
        <v>45966</v>
      </c>
      <c r="R340" s="16">
        <v>2.0</v>
      </c>
      <c r="S340" s="16"/>
      <c r="T340" s="16"/>
      <c r="U340" s="14"/>
      <c r="V340" s="18" t="s">
        <v>34</v>
      </c>
      <c r="W340" s="13">
        <v>4.0</v>
      </c>
      <c r="X340" s="13" t="s">
        <v>687</v>
      </c>
    </row>
    <row r="341" ht="22.5" hidden="1" customHeight="1">
      <c r="A341" s="11">
        <v>45967.6890972338</v>
      </c>
      <c r="B341" s="12" t="s">
        <v>825</v>
      </c>
      <c r="C341" s="13" t="s">
        <v>826</v>
      </c>
      <c r="D341" s="14"/>
      <c r="E341" s="13" t="s">
        <v>26</v>
      </c>
      <c r="F341" s="13" t="s">
        <v>191</v>
      </c>
      <c r="G341" s="16"/>
      <c r="H341" s="13" t="s">
        <v>55</v>
      </c>
      <c r="I341" s="13" t="s">
        <v>659</v>
      </c>
      <c r="J341" s="14"/>
      <c r="K341" s="16" t="str">
        <f t="array" ref="K341">IFERROR(VLOOKUP(B341, SORT('Nhật ký nộp hồ sơ '!B:D, 'Nhật ký nộp hồ sơ '!A:A, FALSE), 3, FALSE),"")</f>
        <v>Nộp thành công - Chờ kết quả</v>
      </c>
      <c r="L341" s="16" t="str">
        <f t="shared" si="1"/>
        <v>Đã nộp</v>
      </c>
      <c r="M341" s="13" t="s">
        <v>48</v>
      </c>
      <c r="N341" s="17">
        <f>IFERROR(__xludf.DUMMYFUNCTION("""COMPUTED_VALUE"""),45967.0)</f>
        <v>45967</v>
      </c>
      <c r="O341" s="17">
        <v>45970.0</v>
      </c>
      <c r="P341" s="17">
        <f>IFERROR(__xludf.DUMMYFUNCTION("IFERROR(QUERY('Nhật ký nộp hồ sơ '!A:I, ""SELECT I WHERE B = '""&amp;B341&amp;""' ORDER BY A DESC LIMIT 1"", 0))"),45968.0)</f>
        <v>45968</v>
      </c>
      <c r="Q341" s="17" t="str">
        <f t="shared" si="2"/>
        <v/>
      </c>
      <c r="R341" s="16">
        <v>2.0</v>
      </c>
      <c r="S341" s="16"/>
      <c r="T341" s="16"/>
      <c r="U341" s="14"/>
      <c r="V341" s="18" t="s">
        <v>34</v>
      </c>
      <c r="W341" s="16"/>
      <c r="X341" s="16"/>
    </row>
    <row r="342" ht="22.5" hidden="1" customHeight="1">
      <c r="A342" s="11">
        <v>45967.69269826389</v>
      </c>
      <c r="B342" s="12" t="s">
        <v>827</v>
      </c>
      <c r="C342" s="13" t="s">
        <v>270</v>
      </c>
      <c r="D342" s="14"/>
      <c r="E342" s="13" t="s">
        <v>53</v>
      </c>
      <c r="F342" s="13" t="s">
        <v>133</v>
      </c>
      <c r="G342" s="20" t="s">
        <v>271</v>
      </c>
      <c r="H342" s="13" t="s">
        <v>29</v>
      </c>
      <c r="I342" s="13" t="s">
        <v>659</v>
      </c>
      <c r="J342" s="14"/>
      <c r="K342" s="16" t="str">
        <f t="array" ref="K342">IFERROR(VLOOKUP(B342, SORT('Nhật ký nộp hồ sơ '!B:D, 'Nhật ký nộp hồ sơ '!A:A, FALSE), 3, FALSE),"")</f>
        <v>Hoàn thành</v>
      </c>
      <c r="L342" s="16" t="str">
        <f t="shared" si="1"/>
        <v>Hoàn thành</v>
      </c>
      <c r="M342" s="13" t="s">
        <v>216</v>
      </c>
      <c r="N342" s="17">
        <f>IFERROR(__xludf.DUMMYFUNCTION("""COMPUTED_VALUE"""),45967.0)</f>
        <v>45967</v>
      </c>
      <c r="O342" s="17">
        <v>45970.0</v>
      </c>
      <c r="P342" s="17">
        <f>IFERROR(__xludf.DUMMYFUNCTION("IFERROR(QUERY('Nhật ký nộp hồ sơ '!A:I, ""SELECT I WHERE B = '""&amp;B342&amp;""' ORDER BY A DESC LIMIT 1"", 0))"),45967.0)</f>
        <v>45967</v>
      </c>
      <c r="Q342" s="17">
        <f t="shared" si="2"/>
        <v>45967</v>
      </c>
      <c r="R342" s="16">
        <v>1.0</v>
      </c>
      <c r="S342" s="16"/>
      <c r="T342" s="16"/>
      <c r="U342" s="14"/>
      <c r="V342" s="18" t="s">
        <v>34</v>
      </c>
      <c r="W342" s="13">
        <v>4.0</v>
      </c>
      <c r="X342" s="13" t="s">
        <v>687</v>
      </c>
    </row>
    <row r="343" ht="22.5" hidden="1" customHeight="1">
      <c r="A343" s="11">
        <v>45967.716743576384</v>
      </c>
      <c r="B343" s="12" t="s">
        <v>828</v>
      </c>
      <c r="C343" s="13" t="s">
        <v>829</v>
      </c>
      <c r="D343" s="14"/>
      <c r="E343" s="13" t="s">
        <v>53</v>
      </c>
      <c r="F343" s="13" t="s">
        <v>191</v>
      </c>
      <c r="G343" s="16"/>
      <c r="H343" s="13" t="s">
        <v>55</v>
      </c>
      <c r="I343" s="13" t="s">
        <v>81</v>
      </c>
      <c r="J343" s="14"/>
      <c r="K343" s="16" t="str">
        <f t="array" ref="K343">IFERROR(VLOOKUP(B343, SORT('Nhật ký nộp hồ sơ '!B:D, 'Nhật ký nộp hồ sơ '!A:A, FALSE), 3, FALSE),"")</f>
        <v>Hoàn thành</v>
      </c>
      <c r="L343" s="16" t="str">
        <f t="shared" si="1"/>
        <v>Hoàn thành</v>
      </c>
      <c r="M343" s="13" t="s">
        <v>181</v>
      </c>
      <c r="N343" s="17">
        <f>IFERROR(__xludf.DUMMYFUNCTION("""COMPUTED_VALUE"""),45967.0)</f>
        <v>45967</v>
      </c>
      <c r="O343" s="17">
        <v>45970.0</v>
      </c>
      <c r="P343" s="17">
        <f>IFERROR(__xludf.DUMMYFUNCTION("IFERROR(QUERY('Nhật ký nộp hồ sơ '!A:I, ""SELECT I WHERE B = '""&amp;B343&amp;""' ORDER BY A DESC LIMIT 1"", 0))"),45979.0)</f>
        <v>45979</v>
      </c>
      <c r="Q343" s="17">
        <f t="shared" si="2"/>
        <v>45979</v>
      </c>
      <c r="R343" s="16">
        <v>2.0</v>
      </c>
      <c r="S343" s="16"/>
      <c r="T343" s="16"/>
      <c r="U343" s="14"/>
      <c r="V343" s="18" t="s">
        <v>34</v>
      </c>
      <c r="W343" s="16"/>
      <c r="X343" s="16"/>
    </row>
    <row r="344" ht="22.5" hidden="1" customHeight="1">
      <c r="A344" s="11">
        <v>45968.69159927084</v>
      </c>
      <c r="B344" s="12" t="s">
        <v>830</v>
      </c>
      <c r="C344" s="13" t="s">
        <v>831</v>
      </c>
      <c r="D344" s="14"/>
      <c r="E344" s="27" t="s">
        <v>222</v>
      </c>
      <c r="F344" s="13" t="s">
        <v>133</v>
      </c>
      <c r="G344" s="20" t="s">
        <v>832</v>
      </c>
      <c r="H344" s="13" t="s">
        <v>29</v>
      </c>
      <c r="I344" s="13" t="s">
        <v>659</v>
      </c>
      <c r="J344" s="18" t="s">
        <v>202</v>
      </c>
      <c r="K344" s="16" t="str">
        <f t="array" ref="K344">IFERROR(VLOOKUP(B344, SORT('Nhật ký nộp hồ sơ '!B:D, 'Nhật ký nộp hồ sơ '!A:A, FALSE), 3, FALSE),"")</f>
        <v>Hoàn thành</v>
      </c>
      <c r="L344" s="16" t="str">
        <f t="shared" si="1"/>
        <v>Hoàn thành</v>
      </c>
      <c r="M344" s="13" t="s">
        <v>216</v>
      </c>
      <c r="N344" s="17">
        <f>IFERROR(__xludf.DUMMYFUNCTION("""COMPUTED_VALUE"""),45968.0)</f>
        <v>45968</v>
      </c>
      <c r="O344" s="17">
        <v>45969.0</v>
      </c>
      <c r="P344" s="17">
        <f>IFERROR(__xludf.DUMMYFUNCTION("IFERROR(QUERY('Nhật ký nộp hồ sơ '!A:I, ""SELECT I WHERE B = '""&amp;B344&amp;""' ORDER BY A DESC LIMIT 1"", 0))"),45968.0)</f>
        <v>45968</v>
      </c>
      <c r="Q344" s="17">
        <f t="shared" si="2"/>
        <v>45968</v>
      </c>
      <c r="R344" s="16">
        <v>2.0</v>
      </c>
      <c r="S344" s="13" t="s">
        <v>833</v>
      </c>
      <c r="T344" s="16"/>
      <c r="U344" s="14"/>
      <c r="V344" s="18" t="s">
        <v>34</v>
      </c>
      <c r="W344" s="13">
        <v>6.0</v>
      </c>
      <c r="X344" s="13" t="s">
        <v>687</v>
      </c>
    </row>
    <row r="345" ht="22.5" hidden="1" customHeight="1">
      <c r="A345" s="11">
        <v>45969.4945137037</v>
      </c>
      <c r="B345" s="12" t="s">
        <v>834</v>
      </c>
      <c r="C345" s="13" t="s">
        <v>111</v>
      </c>
      <c r="D345" s="14"/>
      <c r="E345" s="13" t="s">
        <v>26</v>
      </c>
      <c r="F345" s="13" t="s">
        <v>112</v>
      </c>
      <c r="G345" s="16"/>
      <c r="H345" s="13" t="s">
        <v>28</v>
      </c>
      <c r="I345" s="13" t="s">
        <v>81</v>
      </c>
      <c r="J345" s="14"/>
      <c r="K345" s="16" t="str">
        <f t="array" ref="K345">IFERROR(VLOOKUP(B345, SORT('Nhật ký nộp hồ sơ '!B:D, 'Nhật ký nộp hồ sơ '!A:A, FALSE), 3, FALSE),"")</f>
        <v>Hoàn thành</v>
      </c>
      <c r="L345" s="16" t="str">
        <f t="shared" si="1"/>
        <v>Hoàn thành</v>
      </c>
      <c r="M345" s="13" t="s">
        <v>146</v>
      </c>
      <c r="N345" s="17">
        <f>IFERROR(__xludf.DUMMYFUNCTION("""COMPUTED_VALUE"""),45969.0)</f>
        <v>45969</v>
      </c>
      <c r="O345" s="17">
        <v>45972.0</v>
      </c>
      <c r="P345" s="17">
        <f>IFERROR(__xludf.DUMMYFUNCTION("IFERROR(QUERY('Nhật ký nộp hồ sơ '!A:I, ""SELECT I WHERE B = '""&amp;B345&amp;""' ORDER BY A DESC LIMIT 1"", 0))"),45969.0)</f>
        <v>45969</v>
      </c>
      <c r="Q345" s="17">
        <f t="shared" si="2"/>
        <v>45969</v>
      </c>
      <c r="R345" s="16">
        <v>1.0</v>
      </c>
      <c r="S345" s="16"/>
      <c r="T345" s="16"/>
      <c r="U345" s="14"/>
      <c r="V345" s="18" t="s">
        <v>34</v>
      </c>
      <c r="W345" s="16"/>
      <c r="X345" s="16"/>
    </row>
    <row r="346" ht="22.5" hidden="1" customHeight="1">
      <c r="A346" s="11">
        <v>45969.49603597222</v>
      </c>
      <c r="B346" s="12" t="s">
        <v>835</v>
      </c>
      <c r="C346" s="13" t="s">
        <v>111</v>
      </c>
      <c r="D346" s="14"/>
      <c r="E346" s="13" t="s">
        <v>26</v>
      </c>
      <c r="F346" s="13" t="s">
        <v>112</v>
      </c>
      <c r="G346" s="16"/>
      <c r="H346" s="13" t="s">
        <v>28</v>
      </c>
      <c r="I346" s="13" t="s">
        <v>659</v>
      </c>
      <c r="J346" s="14"/>
      <c r="K346" s="16" t="str">
        <f t="array" ref="K346">IFERROR(VLOOKUP(B346, SORT('Nhật ký nộp hồ sơ '!B:D, 'Nhật ký nộp hồ sơ '!A:A, FALSE), 3, FALSE),"")</f>
        <v>Hoàn thành</v>
      </c>
      <c r="L346" s="16" t="str">
        <f t="shared" si="1"/>
        <v>Hoàn thành</v>
      </c>
      <c r="M346" s="13" t="s">
        <v>216</v>
      </c>
      <c r="N346" s="17">
        <f>IFERROR(__xludf.DUMMYFUNCTION("""COMPUTED_VALUE"""),45969.0)</f>
        <v>45969</v>
      </c>
      <c r="O346" s="17">
        <v>45972.0</v>
      </c>
      <c r="P346" s="17">
        <f>IFERROR(__xludf.DUMMYFUNCTION("IFERROR(QUERY('Nhật ký nộp hồ sơ '!A:I, ""SELECT I WHERE B = '""&amp;B346&amp;""' ORDER BY A DESC LIMIT 1"", 0))"),45969.0)</f>
        <v>45969</v>
      </c>
      <c r="Q346" s="17">
        <f t="shared" si="2"/>
        <v>45969</v>
      </c>
      <c r="R346" s="16">
        <v>1.0</v>
      </c>
      <c r="S346" s="16"/>
      <c r="T346" s="16"/>
      <c r="U346" s="14"/>
      <c r="V346" s="18" t="s">
        <v>34</v>
      </c>
      <c r="W346" s="13">
        <v>8.0</v>
      </c>
      <c r="X346" s="13" t="s">
        <v>687</v>
      </c>
    </row>
    <row r="347" ht="22.5" hidden="1" customHeight="1">
      <c r="A347" s="11">
        <v>45971.56985023148</v>
      </c>
      <c r="B347" s="12" t="s">
        <v>836</v>
      </c>
      <c r="C347" s="13" t="s">
        <v>837</v>
      </c>
      <c r="D347" s="14"/>
      <c r="E347" s="13" t="s">
        <v>122</v>
      </c>
      <c r="F347" s="13" t="s">
        <v>89</v>
      </c>
      <c r="G347" s="16"/>
      <c r="H347" s="13" t="s">
        <v>47</v>
      </c>
      <c r="I347" s="13" t="s">
        <v>659</v>
      </c>
      <c r="J347" s="14"/>
      <c r="K347" s="16" t="str">
        <f t="array" ref="K347">IFERROR(VLOOKUP(B347, SORT('Nhật ký nộp hồ sơ '!B:D, 'Nhật ký nộp hồ sơ '!A:A, FALSE), 3, FALSE),"")</f>
        <v>Hoàn thành</v>
      </c>
      <c r="L347" s="16" t="str">
        <f t="shared" si="1"/>
        <v>Hoàn thành</v>
      </c>
      <c r="M347" s="13" t="s">
        <v>30</v>
      </c>
      <c r="N347" s="17">
        <f>IFERROR(__xludf.DUMMYFUNCTION("""COMPUTED_VALUE"""),45971.0)</f>
        <v>45971</v>
      </c>
      <c r="O347" s="17">
        <v>45974.0</v>
      </c>
      <c r="P347" s="17">
        <f>IFERROR(__xludf.DUMMYFUNCTION("IFERROR(QUERY('Nhật ký nộp hồ sơ '!A:I, ""SELECT I WHERE B = '""&amp;B347&amp;""' ORDER BY A DESC LIMIT 1"", 0))"),45985.0)</f>
        <v>45985</v>
      </c>
      <c r="Q347" s="17">
        <f t="shared" si="2"/>
        <v>45985</v>
      </c>
      <c r="R347" s="16">
        <v>1.0</v>
      </c>
      <c r="S347" s="16"/>
      <c r="T347" s="16"/>
      <c r="U347" s="14"/>
      <c r="V347" s="18" t="s">
        <v>34</v>
      </c>
      <c r="W347" s="16"/>
      <c r="X347" s="16"/>
    </row>
    <row r="348" ht="22.5" hidden="1" customHeight="1">
      <c r="A348" s="11">
        <v>45971.57352178241</v>
      </c>
      <c r="B348" s="12" t="s">
        <v>838</v>
      </c>
      <c r="C348" s="13" t="s">
        <v>839</v>
      </c>
      <c r="D348" s="14"/>
      <c r="E348" s="13" t="s">
        <v>26</v>
      </c>
      <c r="F348" s="13" t="s">
        <v>133</v>
      </c>
      <c r="G348" s="20" t="s">
        <v>840</v>
      </c>
      <c r="H348" s="13" t="s">
        <v>55</v>
      </c>
      <c r="I348" s="13" t="s">
        <v>81</v>
      </c>
      <c r="J348" s="14"/>
      <c r="K348" s="16" t="str">
        <f t="array" ref="K348">IFERROR(VLOOKUP(B348, SORT('Nhật ký nộp hồ sơ '!B:D, 'Nhật ký nộp hồ sơ '!A:A, FALSE), 3, FALSE),"")</f>
        <v>Nộp thành công - Chờ kết quả</v>
      </c>
      <c r="L348" s="16" t="str">
        <f t="shared" si="1"/>
        <v>Đã nộp</v>
      </c>
      <c r="M348" s="13" t="s">
        <v>181</v>
      </c>
      <c r="N348" s="17">
        <f>IFERROR(__xludf.DUMMYFUNCTION("""COMPUTED_VALUE"""),45971.0)</f>
        <v>45971</v>
      </c>
      <c r="O348" s="17">
        <v>45974.0</v>
      </c>
      <c r="P348" s="17">
        <f>IFERROR(__xludf.DUMMYFUNCTION("IFERROR(QUERY('Nhật ký nộp hồ sơ '!A:I, ""SELECT I WHERE B = '""&amp;B348&amp;""' ORDER BY A DESC LIMIT 1"", 0))"),45971.0)</f>
        <v>45971</v>
      </c>
      <c r="Q348" s="17" t="str">
        <f t="shared" si="2"/>
        <v/>
      </c>
      <c r="R348" s="16">
        <v>1.0</v>
      </c>
      <c r="S348" s="16"/>
      <c r="T348" s="16"/>
      <c r="U348" s="14"/>
      <c r="V348" s="18" t="s">
        <v>34</v>
      </c>
      <c r="W348" s="16"/>
      <c r="X348" s="16"/>
    </row>
    <row r="349" ht="22.5" hidden="1" customHeight="1">
      <c r="A349" s="11">
        <v>45971.69402819444</v>
      </c>
      <c r="B349" s="12" t="s">
        <v>841</v>
      </c>
      <c r="C349" s="13" t="s">
        <v>842</v>
      </c>
      <c r="D349" s="14"/>
      <c r="E349" s="13" t="s">
        <v>53</v>
      </c>
      <c r="F349" s="13" t="s">
        <v>133</v>
      </c>
      <c r="G349" s="20" t="s">
        <v>843</v>
      </c>
      <c r="H349" s="13" t="s">
        <v>28</v>
      </c>
      <c r="I349" s="13" t="s">
        <v>659</v>
      </c>
      <c r="J349" s="14"/>
      <c r="K349" s="16" t="str">
        <f t="array" ref="K349">IFERROR(VLOOKUP(B349, SORT('Nhật ký nộp hồ sơ '!B:D, 'Nhật ký nộp hồ sơ '!A:A, FALSE), 3, FALSE),"")</f>
        <v>Hoàn thành</v>
      </c>
      <c r="L349" s="16" t="str">
        <f t="shared" si="1"/>
        <v>Hoàn thành</v>
      </c>
      <c r="M349" s="13" t="s">
        <v>216</v>
      </c>
      <c r="N349" s="17">
        <f>IFERROR(__xludf.DUMMYFUNCTION("""COMPUTED_VALUE"""),45971.0)</f>
        <v>45971</v>
      </c>
      <c r="O349" s="17">
        <v>45974.0</v>
      </c>
      <c r="P349" s="17">
        <f>IFERROR(__xludf.DUMMYFUNCTION("IFERROR(QUERY('Nhật ký nộp hồ sơ '!A:I, ""SELECT I WHERE B = '""&amp;B349&amp;""' ORDER BY A DESC LIMIT 1"", 0))"),45971.0)</f>
        <v>45971</v>
      </c>
      <c r="Q349" s="17">
        <f t="shared" si="2"/>
        <v>45971</v>
      </c>
      <c r="R349" s="16">
        <v>2.0</v>
      </c>
      <c r="S349" s="16"/>
      <c r="T349" s="16"/>
      <c r="U349" s="14"/>
      <c r="V349" s="18" t="s">
        <v>34</v>
      </c>
      <c r="W349" s="13">
        <v>4.0</v>
      </c>
      <c r="X349" s="13" t="s">
        <v>687</v>
      </c>
    </row>
    <row r="350" ht="22.5" hidden="1" customHeight="1">
      <c r="A350" s="11">
        <v>45971.71495872685</v>
      </c>
      <c r="B350" s="12" t="s">
        <v>844</v>
      </c>
      <c r="C350" s="13" t="s">
        <v>557</v>
      </c>
      <c r="D350" s="14"/>
      <c r="E350" s="13" t="s">
        <v>53</v>
      </c>
      <c r="F350" s="13" t="s">
        <v>554</v>
      </c>
      <c r="G350" s="16"/>
      <c r="H350" s="13" t="s">
        <v>28</v>
      </c>
      <c r="I350" s="13" t="s">
        <v>81</v>
      </c>
      <c r="J350" s="14"/>
      <c r="K350" s="16" t="str">
        <f t="array" ref="K350">IFERROR(VLOOKUP(B350, SORT('Nhật ký nộp hồ sơ '!B:D, 'Nhật ký nộp hồ sơ '!A:A, FALSE), 3, FALSE),"")</f>
        <v>Hoàn thành</v>
      </c>
      <c r="L350" s="16" t="str">
        <f t="shared" si="1"/>
        <v>Hoàn thành</v>
      </c>
      <c r="M350" s="13" t="s">
        <v>41</v>
      </c>
      <c r="N350" s="17">
        <f>IFERROR(__xludf.DUMMYFUNCTION("""COMPUTED_VALUE"""),45971.0)</f>
        <v>45971</v>
      </c>
      <c r="O350" s="17">
        <v>45974.0</v>
      </c>
      <c r="P350" s="17">
        <f>IFERROR(__xludf.DUMMYFUNCTION("IFERROR(QUERY('Nhật ký nộp hồ sơ '!A:I, ""SELECT I WHERE B = '""&amp;B350&amp;""' ORDER BY A DESC LIMIT 1"", 0))"),45971.0)</f>
        <v>45971</v>
      </c>
      <c r="Q350" s="17">
        <f t="shared" si="2"/>
        <v>45971</v>
      </c>
      <c r="R350" s="16">
        <v>1.0</v>
      </c>
      <c r="S350" s="16"/>
      <c r="T350" s="16"/>
      <c r="U350" s="14"/>
      <c r="V350" s="18" t="s">
        <v>34</v>
      </c>
      <c r="W350" s="16"/>
      <c r="X350" s="16"/>
    </row>
    <row r="351" ht="22.5" hidden="1" customHeight="1">
      <c r="A351" s="11">
        <v>45971.71656450232</v>
      </c>
      <c r="B351" s="12" t="s">
        <v>845</v>
      </c>
      <c r="C351" s="13" t="s">
        <v>553</v>
      </c>
      <c r="D351" s="14"/>
      <c r="E351" s="13" t="s">
        <v>53</v>
      </c>
      <c r="F351" s="13" t="s">
        <v>554</v>
      </c>
      <c r="G351" s="16"/>
      <c r="H351" s="13" t="s">
        <v>28</v>
      </c>
      <c r="I351" s="13" t="s">
        <v>81</v>
      </c>
      <c r="J351" s="14"/>
      <c r="K351" s="16" t="str">
        <f t="array" ref="K351">IFERROR(VLOOKUP(B351, SORT('Nhật ký nộp hồ sơ '!B:D, 'Nhật ký nộp hồ sơ '!A:A, FALSE), 3, FALSE),"")</f>
        <v>Hoàn thành</v>
      </c>
      <c r="L351" s="16" t="str">
        <f t="shared" si="1"/>
        <v>Hoàn thành</v>
      </c>
      <c r="M351" s="13" t="s">
        <v>41</v>
      </c>
      <c r="N351" s="17">
        <f>IFERROR(__xludf.DUMMYFUNCTION("""COMPUTED_VALUE"""),45971.0)</f>
        <v>45971</v>
      </c>
      <c r="O351" s="17">
        <v>45974.0</v>
      </c>
      <c r="P351" s="17">
        <f>IFERROR(__xludf.DUMMYFUNCTION("IFERROR(QUERY('Nhật ký nộp hồ sơ '!A:I, ""SELECT I WHERE B = '""&amp;B351&amp;""' ORDER BY A DESC LIMIT 1"", 0))"),45971.0)</f>
        <v>45971</v>
      </c>
      <c r="Q351" s="17">
        <f t="shared" si="2"/>
        <v>45971</v>
      </c>
      <c r="R351" s="16">
        <v>2.0</v>
      </c>
      <c r="S351" s="13" t="s">
        <v>846</v>
      </c>
      <c r="T351" s="16"/>
      <c r="U351" s="14"/>
      <c r="V351" s="18" t="s">
        <v>34</v>
      </c>
      <c r="W351" s="16"/>
      <c r="X351" s="16"/>
    </row>
    <row r="352" ht="22.5" hidden="1" customHeight="1">
      <c r="A352" s="11">
        <v>45971.71712197916</v>
      </c>
      <c r="B352" s="12" t="s">
        <v>847</v>
      </c>
      <c r="C352" s="13" t="s">
        <v>557</v>
      </c>
      <c r="D352" s="14"/>
      <c r="E352" s="13" t="s">
        <v>53</v>
      </c>
      <c r="F352" s="13" t="s">
        <v>554</v>
      </c>
      <c r="G352" s="16"/>
      <c r="H352" s="13" t="s">
        <v>28</v>
      </c>
      <c r="I352" s="13" t="s">
        <v>81</v>
      </c>
      <c r="J352" s="14"/>
      <c r="K352" s="16" t="str">
        <f t="array" ref="K352">IFERROR(VLOOKUP(B352, SORT('Nhật ký nộp hồ sơ '!B:D, 'Nhật ký nộp hồ sơ '!A:A, FALSE), 3, FALSE),"")</f>
        <v>Hoàn thành</v>
      </c>
      <c r="L352" s="16" t="str">
        <f t="shared" si="1"/>
        <v>Hoàn thành</v>
      </c>
      <c r="M352" s="13" t="s">
        <v>41</v>
      </c>
      <c r="N352" s="17">
        <f>IFERROR(__xludf.DUMMYFUNCTION("""COMPUTED_VALUE"""),45971.0)</f>
        <v>45971</v>
      </c>
      <c r="O352" s="17">
        <v>45974.0</v>
      </c>
      <c r="P352" s="17">
        <f>IFERROR(__xludf.DUMMYFUNCTION("IFERROR(QUERY('Nhật ký nộp hồ sơ '!A:I, ""SELECT I WHERE B = '""&amp;B352&amp;""' ORDER BY A DESC LIMIT 1"", 0))"),45971.0)</f>
        <v>45971</v>
      </c>
      <c r="Q352" s="17">
        <f t="shared" si="2"/>
        <v>45971</v>
      </c>
      <c r="R352" s="16">
        <v>2.0</v>
      </c>
      <c r="S352" s="13" t="s">
        <v>848</v>
      </c>
      <c r="T352" s="16"/>
      <c r="U352" s="14"/>
      <c r="V352" s="18" t="s">
        <v>34</v>
      </c>
      <c r="W352" s="16"/>
      <c r="X352" s="16"/>
    </row>
    <row r="353" ht="22.5" hidden="1" customHeight="1">
      <c r="A353" s="11">
        <v>45972.556465057874</v>
      </c>
      <c r="B353" s="12" t="s">
        <v>849</v>
      </c>
      <c r="C353" s="13" t="s">
        <v>850</v>
      </c>
      <c r="D353" s="14"/>
      <c r="E353" s="13" t="s">
        <v>62</v>
      </c>
      <c r="F353" s="13" t="s">
        <v>133</v>
      </c>
      <c r="G353" s="20" t="s">
        <v>851</v>
      </c>
      <c r="H353" s="13" t="s">
        <v>29</v>
      </c>
      <c r="I353" s="13" t="s">
        <v>659</v>
      </c>
      <c r="J353" s="14"/>
      <c r="K353" s="16" t="str">
        <f t="array" ref="K353">IFERROR(VLOOKUP(B353, SORT('Nhật ký nộp hồ sơ '!B:D, 'Nhật ký nộp hồ sơ '!A:A, FALSE), 3, FALSE),"")</f>
        <v>Hoàn thành</v>
      </c>
      <c r="L353" s="16" t="str">
        <f t="shared" si="1"/>
        <v>Hoàn thành</v>
      </c>
      <c r="M353" s="13" t="s">
        <v>56</v>
      </c>
      <c r="N353" s="17">
        <f>IFERROR(__xludf.DUMMYFUNCTION("""COMPUTED_VALUE"""),45972.0)</f>
        <v>45972</v>
      </c>
      <c r="O353" s="17">
        <v>45975.0</v>
      </c>
      <c r="P353" s="17">
        <f>IFERROR(__xludf.DUMMYFUNCTION("IFERROR(QUERY('Nhật ký nộp hồ sơ '!A:I, ""SELECT I WHERE B = '""&amp;B353&amp;""' ORDER BY A DESC LIMIT 1"", 0))"),46013.0)</f>
        <v>46013</v>
      </c>
      <c r="Q353" s="17">
        <f t="shared" si="2"/>
        <v>46013</v>
      </c>
      <c r="R353" s="16">
        <v>3.0</v>
      </c>
      <c r="S353" s="16"/>
      <c r="T353" s="16"/>
      <c r="U353" s="14"/>
      <c r="V353" s="18" t="s">
        <v>34</v>
      </c>
      <c r="W353" s="16"/>
      <c r="X353" s="16"/>
    </row>
    <row r="354" ht="22.5" hidden="1" customHeight="1">
      <c r="A354" s="11">
        <v>45972.588275312504</v>
      </c>
      <c r="B354" s="12" t="s">
        <v>852</v>
      </c>
      <c r="C354" s="13" t="s">
        <v>853</v>
      </c>
      <c r="D354" s="18" t="s">
        <v>44</v>
      </c>
      <c r="E354" s="13" t="s">
        <v>74</v>
      </c>
      <c r="F354" s="15" t="s">
        <v>27</v>
      </c>
      <c r="G354" s="16"/>
      <c r="H354" s="13" t="s">
        <v>47</v>
      </c>
      <c r="I354" s="13" t="s">
        <v>29</v>
      </c>
      <c r="J354" s="14"/>
      <c r="K354" s="16" t="str">
        <f t="array" ref="K354">IFERROR(VLOOKUP(B354, SORT('Nhật ký nộp hồ sơ '!B:D, 'Nhật ký nộp hồ sơ '!A:A, FALSE), 3, FALSE),"")</f>
        <v>Nộp thành công - Chờ kết quả</v>
      </c>
      <c r="L354" s="16" t="str">
        <f t="shared" si="1"/>
        <v>Đã nộp</v>
      </c>
      <c r="M354" s="13" t="s">
        <v>48</v>
      </c>
      <c r="N354" s="17">
        <f>IFERROR(__xludf.DUMMYFUNCTION("""COMPUTED_VALUE"""),45972.0)</f>
        <v>45972</v>
      </c>
      <c r="O354" s="17">
        <v>45975.0</v>
      </c>
      <c r="P354" s="17">
        <f>IFERROR(__xludf.DUMMYFUNCTION("IFERROR(QUERY('Nhật ký nộp hồ sơ '!A:I, ""SELECT I WHERE B = '""&amp;B354&amp;""' ORDER BY A DESC LIMIT 1"", 0))"),46037.0)</f>
        <v>46037</v>
      </c>
      <c r="Q354" s="17" t="str">
        <f t="shared" si="2"/>
        <v/>
      </c>
      <c r="R354" s="16">
        <v>2.0</v>
      </c>
      <c r="S354" s="16"/>
      <c r="T354" s="13" t="s">
        <v>854</v>
      </c>
      <c r="U354" s="14"/>
      <c r="V354" s="18" t="s">
        <v>34</v>
      </c>
      <c r="W354" s="16"/>
      <c r="X354" s="16"/>
    </row>
    <row r="355" ht="22.5" hidden="1" customHeight="1">
      <c r="A355" s="11">
        <v>45973.43077414352</v>
      </c>
      <c r="B355" s="12" t="s">
        <v>855</v>
      </c>
      <c r="C355" s="13" t="s">
        <v>856</v>
      </c>
      <c r="D355" s="14"/>
      <c r="E355" s="13" t="s">
        <v>53</v>
      </c>
      <c r="F355" s="13" t="s">
        <v>133</v>
      </c>
      <c r="G355" s="20" t="s">
        <v>857</v>
      </c>
      <c r="H355" s="13" t="s">
        <v>28</v>
      </c>
      <c r="I355" s="13" t="s">
        <v>81</v>
      </c>
      <c r="J355" s="14"/>
      <c r="K355" s="16" t="str">
        <f t="array" ref="K355">IFERROR(VLOOKUP(B355, SORT('Nhật ký nộp hồ sơ '!B:D, 'Nhật ký nộp hồ sơ '!A:A, FALSE), 3, FALSE),"")</f>
        <v>Hoàn thành</v>
      </c>
      <c r="L355" s="16" t="str">
        <f t="shared" si="1"/>
        <v>Hoàn thành</v>
      </c>
      <c r="M355" s="13" t="s">
        <v>56</v>
      </c>
      <c r="N355" s="17">
        <f>IFERROR(__xludf.DUMMYFUNCTION("""COMPUTED_VALUE"""),45973.0)</f>
        <v>45973</v>
      </c>
      <c r="O355" s="17">
        <v>45976.0</v>
      </c>
      <c r="P355" s="17">
        <f>IFERROR(__xludf.DUMMYFUNCTION("IFERROR(QUERY('Nhật ký nộp hồ sơ '!A:I, ""SELECT I WHERE B = '""&amp;B355&amp;""' ORDER BY A DESC LIMIT 1"", 0))"),45986.0)</f>
        <v>45986</v>
      </c>
      <c r="Q355" s="17">
        <f t="shared" si="2"/>
        <v>45986</v>
      </c>
      <c r="R355" s="16">
        <v>2.0</v>
      </c>
      <c r="S355" s="16"/>
      <c r="T355" s="16"/>
      <c r="U355" s="14"/>
      <c r="V355" s="18" t="s">
        <v>34</v>
      </c>
      <c r="W355" s="16"/>
      <c r="X355" s="16"/>
    </row>
    <row r="356" ht="22.5" hidden="1" customHeight="1">
      <c r="A356" s="11">
        <v>45974.47726274305</v>
      </c>
      <c r="B356" s="12" t="s">
        <v>858</v>
      </c>
      <c r="C356" s="13" t="s">
        <v>859</v>
      </c>
      <c r="D356" s="18" t="s">
        <v>44</v>
      </c>
      <c r="E356" s="13" t="s">
        <v>26</v>
      </c>
      <c r="F356" s="15" t="s">
        <v>27</v>
      </c>
      <c r="G356" s="16"/>
      <c r="H356" s="13" t="s">
        <v>47</v>
      </c>
      <c r="I356" s="13" t="s">
        <v>29</v>
      </c>
      <c r="J356" s="14"/>
      <c r="K356" s="16" t="str">
        <f t="array" ref="K356">IFERROR(VLOOKUP(B356, SORT('Nhật ký nộp hồ sơ '!B:D, 'Nhật ký nộp hồ sơ '!A:A, FALSE), 3, FALSE),"")</f>
        <v>Nộp thành công - Chờ kết quả</v>
      </c>
      <c r="L356" s="16" t="str">
        <f t="shared" si="1"/>
        <v>Đã nộp</v>
      </c>
      <c r="M356" s="13" t="s">
        <v>48</v>
      </c>
      <c r="N356" s="17">
        <f>IFERROR(__xludf.DUMMYFUNCTION("""COMPUTED_VALUE"""),45974.0)</f>
        <v>45974</v>
      </c>
      <c r="O356" s="17">
        <v>45977.0</v>
      </c>
      <c r="P356" s="17">
        <f>IFERROR(__xludf.DUMMYFUNCTION("IFERROR(QUERY('Nhật ký nộp hồ sơ '!A:I, ""SELECT I WHERE B = '""&amp;B356&amp;""' ORDER BY A DESC LIMIT 1"", 0))"),46000.0)</f>
        <v>46000</v>
      </c>
      <c r="Q356" s="17" t="str">
        <f t="shared" si="2"/>
        <v/>
      </c>
      <c r="R356" s="16">
        <v>2.0</v>
      </c>
      <c r="S356" s="16"/>
      <c r="T356" s="13" t="s">
        <v>860</v>
      </c>
      <c r="U356" s="14"/>
      <c r="V356" s="18" t="s">
        <v>34</v>
      </c>
      <c r="W356" s="16"/>
      <c r="X356" s="16"/>
    </row>
    <row r="357" ht="22.5" hidden="1" customHeight="1">
      <c r="A357" s="11">
        <v>45974.603092881945</v>
      </c>
      <c r="B357" s="12" t="s">
        <v>861</v>
      </c>
      <c r="C357" s="13" t="s">
        <v>862</v>
      </c>
      <c r="D357" s="14"/>
      <c r="E357" s="13" t="s">
        <v>132</v>
      </c>
      <c r="F357" s="13" t="s">
        <v>133</v>
      </c>
      <c r="G357" s="20" t="s">
        <v>863</v>
      </c>
      <c r="H357" s="13" t="s">
        <v>29</v>
      </c>
      <c r="I357" s="13" t="s">
        <v>659</v>
      </c>
      <c r="J357" s="18" t="s">
        <v>202</v>
      </c>
      <c r="K357" s="16" t="str">
        <f t="array" ref="K357">IFERROR(VLOOKUP(B357, SORT('Nhật ký nộp hồ sơ '!B:D, 'Nhật ký nộp hồ sơ '!A:A, FALSE), 3, FALSE),"")</f>
        <v>Hoàn thành</v>
      </c>
      <c r="L357" s="16" t="str">
        <f t="shared" si="1"/>
        <v>Hoàn thành</v>
      </c>
      <c r="M357" s="13" t="s">
        <v>56</v>
      </c>
      <c r="N357" s="17">
        <f>IFERROR(__xludf.DUMMYFUNCTION("""COMPUTED_VALUE"""),45974.0)</f>
        <v>45974</v>
      </c>
      <c r="O357" s="17">
        <v>45975.0</v>
      </c>
      <c r="P357" s="17">
        <f>IFERROR(__xludf.DUMMYFUNCTION("IFERROR(QUERY('Nhật ký nộp hồ sơ '!A:I, ""SELECT I WHERE B = '""&amp;B357&amp;""' ORDER BY A DESC LIMIT 1"", 0))"),45988.0)</f>
        <v>45988</v>
      </c>
      <c r="Q357" s="17">
        <f t="shared" si="2"/>
        <v>45988</v>
      </c>
      <c r="R357" s="16">
        <v>3.0</v>
      </c>
      <c r="S357" s="16"/>
      <c r="T357" s="16"/>
      <c r="U357" s="14"/>
      <c r="V357" s="18" t="s">
        <v>34</v>
      </c>
      <c r="W357" s="16"/>
      <c r="X357" s="16"/>
    </row>
    <row r="358" ht="22.5" hidden="1" customHeight="1">
      <c r="A358" s="11">
        <v>45975.425484444444</v>
      </c>
      <c r="B358" s="12" t="s">
        <v>864</v>
      </c>
      <c r="C358" s="13" t="s">
        <v>399</v>
      </c>
      <c r="D358" s="14"/>
      <c r="E358" s="13" t="s">
        <v>151</v>
      </c>
      <c r="F358" s="13" t="s">
        <v>232</v>
      </c>
      <c r="G358" s="20" t="s">
        <v>400</v>
      </c>
      <c r="H358" s="13" t="s">
        <v>47</v>
      </c>
      <c r="I358" s="13" t="s">
        <v>81</v>
      </c>
      <c r="J358" s="14"/>
      <c r="K358" s="16" t="str">
        <f t="array" ref="K358">IFERROR(VLOOKUP(B358, SORT('Nhật ký nộp hồ sơ '!B:D, 'Nhật ký nộp hồ sơ '!A:A, FALSE), 3, FALSE),"")</f>
        <v>Hoàn thành</v>
      </c>
      <c r="L358" s="16" t="str">
        <f t="shared" si="1"/>
        <v>Hoàn thành</v>
      </c>
      <c r="M358" s="13" t="s">
        <v>56</v>
      </c>
      <c r="N358" s="17">
        <f>IFERROR(__xludf.DUMMYFUNCTION("""COMPUTED_VALUE"""),45975.0)</f>
        <v>45975</v>
      </c>
      <c r="O358" s="17">
        <v>45978.0</v>
      </c>
      <c r="P358" s="17">
        <f>IFERROR(__xludf.DUMMYFUNCTION("IFERROR(QUERY('Nhật ký nộp hồ sơ '!A:I, ""SELECT I WHERE B = '""&amp;B358&amp;""' ORDER BY A DESC LIMIT 1"", 0))"),45992.0)</f>
        <v>45992</v>
      </c>
      <c r="Q358" s="17">
        <f t="shared" si="2"/>
        <v>45992</v>
      </c>
      <c r="R358" s="16">
        <v>1.0</v>
      </c>
      <c r="S358" s="16"/>
      <c r="T358" s="16"/>
      <c r="U358" s="14"/>
      <c r="V358" s="18" t="s">
        <v>34</v>
      </c>
      <c r="W358" s="16"/>
      <c r="X358" s="16"/>
    </row>
    <row r="359" ht="22.5" hidden="1" customHeight="1">
      <c r="A359" s="11">
        <v>45975.65416549769</v>
      </c>
      <c r="B359" s="12" t="s">
        <v>865</v>
      </c>
      <c r="C359" s="13" t="s">
        <v>866</v>
      </c>
      <c r="D359" s="14"/>
      <c r="E359" s="13" t="s">
        <v>231</v>
      </c>
      <c r="F359" s="13" t="s">
        <v>46</v>
      </c>
      <c r="G359" s="16"/>
      <c r="H359" s="13" t="s">
        <v>69</v>
      </c>
      <c r="I359" s="13" t="s">
        <v>659</v>
      </c>
      <c r="J359" s="14"/>
      <c r="K359" s="16" t="str">
        <f t="array" ref="K359">IFERROR(VLOOKUP(B359, SORT('Nhật ký nộp hồ sơ '!B:D, 'Nhật ký nộp hồ sơ '!A:A, FALSE), 3, FALSE),"")</f>
        <v>Hủy</v>
      </c>
      <c r="L359" s="16" t="str">
        <f t="shared" si="1"/>
        <v>ĐÃ HỦY</v>
      </c>
      <c r="M359" s="13" t="s">
        <v>56</v>
      </c>
      <c r="N359" s="17">
        <f>IFERROR(__xludf.DUMMYFUNCTION("""COMPUTED_VALUE"""),45975.0)</f>
        <v>45975</v>
      </c>
      <c r="O359" s="17">
        <v>45978.0</v>
      </c>
      <c r="P359" s="17">
        <f>IFERROR(__xludf.DUMMYFUNCTION("IFERROR(QUERY('Nhật ký nộp hồ sơ '!A:I, ""SELECT I WHERE B = '""&amp;B359&amp;""' ORDER BY A DESC LIMIT 1"", 0))"),46039.0)</f>
        <v>46039</v>
      </c>
      <c r="Q359" s="17" t="str">
        <f t="shared" si="2"/>
        <v/>
      </c>
      <c r="R359" s="16">
        <v>1.0</v>
      </c>
      <c r="S359" s="16"/>
      <c r="T359" s="16"/>
      <c r="U359" s="14"/>
      <c r="V359" s="18" t="s">
        <v>34</v>
      </c>
      <c r="W359" s="16"/>
      <c r="X359" s="16"/>
    </row>
    <row r="360" ht="22.5" hidden="1" customHeight="1">
      <c r="A360" s="11">
        <v>45975.6547169213</v>
      </c>
      <c r="B360" s="12" t="s">
        <v>867</v>
      </c>
      <c r="C360" s="13" t="s">
        <v>868</v>
      </c>
      <c r="D360" s="14"/>
      <c r="E360" s="13" t="s">
        <v>231</v>
      </c>
      <c r="F360" s="13" t="s">
        <v>46</v>
      </c>
      <c r="G360" s="16"/>
      <c r="H360" s="13" t="s">
        <v>69</v>
      </c>
      <c r="I360" s="13" t="s">
        <v>659</v>
      </c>
      <c r="J360" s="14"/>
      <c r="K360" s="16" t="str">
        <f t="array" ref="K360">IFERROR(VLOOKUP(B360, SORT('Nhật ký nộp hồ sơ '!B:D, 'Nhật ký nộp hồ sơ '!A:A, FALSE), 3, FALSE),"")</f>
        <v>Hủy</v>
      </c>
      <c r="L360" s="16" t="str">
        <f t="shared" si="1"/>
        <v>ĐÃ HỦY</v>
      </c>
      <c r="M360" s="13" t="s">
        <v>56</v>
      </c>
      <c r="N360" s="17">
        <f>IFERROR(__xludf.DUMMYFUNCTION("""COMPUTED_VALUE"""),45975.0)</f>
        <v>45975</v>
      </c>
      <c r="O360" s="17">
        <v>45978.0</v>
      </c>
      <c r="P360" s="17">
        <f>IFERROR(__xludf.DUMMYFUNCTION("IFERROR(QUERY('Nhật ký nộp hồ sơ '!A:I, ""SELECT I WHERE B = '""&amp;B360&amp;""' ORDER BY A DESC LIMIT 1"", 0))"),46039.0)</f>
        <v>46039</v>
      </c>
      <c r="Q360" s="17" t="str">
        <f t="shared" si="2"/>
        <v/>
      </c>
      <c r="R360" s="16">
        <v>2.0</v>
      </c>
      <c r="S360" s="16"/>
      <c r="T360" s="16"/>
      <c r="U360" s="14"/>
      <c r="V360" s="18" t="s">
        <v>34</v>
      </c>
      <c r="W360" s="16"/>
      <c r="X360" s="16"/>
    </row>
    <row r="361" ht="22.5" hidden="1" customHeight="1">
      <c r="A361" s="11">
        <v>45979.4374075463</v>
      </c>
      <c r="B361" s="12" t="s">
        <v>869</v>
      </c>
      <c r="C361" s="13" t="s">
        <v>399</v>
      </c>
      <c r="D361" s="14"/>
      <c r="E361" s="13" t="s">
        <v>151</v>
      </c>
      <c r="F361" s="13" t="s">
        <v>232</v>
      </c>
      <c r="G361" s="16"/>
      <c r="H361" s="13" t="s">
        <v>29</v>
      </c>
      <c r="I361" s="13" t="s">
        <v>659</v>
      </c>
      <c r="J361" s="14"/>
      <c r="K361" s="16" t="str">
        <f t="array" ref="K361">IFERROR(VLOOKUP(B361, SORT('Nhật ký nộp hồ sơ '!B:D, 'Nhật ký nộp hồ sơ '!A:A, FALSE), 3, FALSE),"")</f>
        <v>Hoàn thành</v>
      </c>
      <c r="L361" s="16" t="str">
        <f t="shared" si="1"/>
        <v>Hoàn thành</v>
      </c>
      <c r="M361" s="13" t="s">
        <v>216</v>
      </c>
      <c r="N361" s="17">
        <f>IFERROR(__xludf.DUMMYFUNCTION("""COMPUTED_VALUE"""),45979.0)</f>
        <v>45979</v>
      </c>
      <c r="O361" s="17">
        <v>45982.0</v>
      </c>
      <c r="P361" s="17">
        <f>IFERROR(__xludf.DUMMYFUNCTION("IFERROR(QUERY('Nhật ký nộp hồ sơ '!A:I, ""SELECT I WHERE B = '""&amp;B361&amp;""' ORDER BY A DESC LIMIT 1"", 0))"),45979.0)</f>
        <v>45979</v>
      </c>
      <c r="Q361" s="17">
        <f t="shared" si="2"/>
        <v>45979</v>
      </c>
      <c r="R361" s="16">
        <v>2.0</v>
      </c>
      <c r="S361" s="16"/>
      <c r="T361" s="16"/>
      <c r="U361" s="14"/>
      <c r="V361" s="18" t="s">
        <v>34</v>
      </c>
      <c r="W361" s="13">
        <v>4.0</v>
      </c>
      <c r="X361" s="13" t="s">
        <v>687</v>
      </c>
    </row>
    <row r="362" ht="22.5" hidden="1" customHeight="1">
      <c r="A362" s="11">
        <v>45979.43811350694</v>
      </c>
      <c r="B362" s="12" t="s">
        <v>870</v>
      </c>
      <c r="C362" s="13" t="s">
        <v>399</v>
      </c>
      <c r="D362" s="14"/>
      <c r="E362" s="13" t="s">
        <v>151</v>
      </c>
      <c r="F362" s="13" t="s">
        <v>232</v>
      </c>
      <c r="G362" s="16"/>
      <c r="H362" s="13" t="s">
        <v>29</v>
      </c>
      <c r="I362" s="13" t="s">
        <v>659</v>
      </c>
      <c r="J362" s="14"/>
      <c r="K362" s="16" t="str">
        <f t="array" ref="K362">IFERROR(VLOOKUP(B362, SORT('Nhật ký nộp hồ sơ '!B:D, 'Nhật ký nộp hồ sơ '!A:A, FALSE), 3, FALSE),"")</f>
        <v>Hoàn thành</v>
      </c>
      <c r="L362" s="16" t="str">
        <f t="shared" si="1"/>
        <v>Hoàn thành</v>
      </c>
      <c r="M362" s="13" t="s">
        <v>216</v>
      </c>
      <c r="N362" s="17">
        <f>IFERROR(__xludf.DUMMYFUNCTION("""COMPUTED_VALUE"""),45979.0)</f>
        <v>45979</v>
      </c>
      <c r="O362" s="17">
        <v>45982.0</v>
      </c>
      <c r="P362" s="17">
        <f>IFERROR(__xludf.DUMMYFUNCTION("IFERROR(QUERY('Nhật ký nộp hồ sơ '!A:I, ""SELECT I WHERE B = '""&amp;B362&amp;""' ORDER BY A DESC LIMIT 1"", 0))"),45979.0)</f>
        <v>45979</v>
      </c>
      <c r="Q362" s="17">
        <f t="shared" si="2"/>
        <v>45979</v>
      </c>
      <c r="R362" s="16">
        <v>3.0</v>
      </c>
      <c r="S362" s="16"/>
      <c r="T362" s="16"/>
      <c r="U362" s="14"/>
      <c r="V362" s="18" t="s">
        <v>34</v>
      </c>
      <c r="W362" s="13">
        <v>3.0</v>
      </c>
      <c r="X362" s="13" t="s">
        <v>687</v>
      </c>
    </row>
    <row r="363" ht="22.5" hidden="1" customHeight="1">
      <c r="A363" s="11">
        <v>45979.4399653125</v>
      </c>
      <c r="B363" s="12" t="s">
        <v>871</v>
      </c>
      <c r="C363" s="13" t="s">
        <v>872</v>
      </c>
      <c r="D363" s="14"/>
      <c r="E363" s="13" t="s">
        <v>122</v>
      </c>
      <c r="F363" s="13" t="s">
        <v>133</v>
      </c>
      <c r="G363" s="20" t="s">
        <v>873</v>
      </c>
      <c r="H363" s="13" t="s">
        <v>29</v>
      </c>
      <c r="I363" s="13" t="s">
        <v>659</v>
      </c>
      <c r="J363" s="14"/>
      <c r="K363" s="16" t="str">
        <f t="array" ref="K363">IFERROR(VLOOKUP(B363, SORT('Nhật ký nộp hồ sơ '!B:D, 'Nhật ký nộp hồ sơ '!A:A, FALSE), 3, FALSE),"")</f>
        <v>Hoàn thành</v>
      </c>
      <c r="L363" s="16" t="str">
        <f t="shared" si="1"/>
        <v>Hoàn thành</v>
      </c>
      <c r="M363" s="13" t="s">
        <v>30</v>
      </c>
      <c r="N363" s="17">
        <f>IFERROR(__xludf.DUMMYFUNCTION("""COMPUTED_VALUE"""),45979.0)</f>
        <v>45979</v>
      </c>
      <c r="O363" s="17">
        <v>45982.0</v>
      </c>
      <c r="P363" s="17">
        <f>IFERROR(__xludf.DUMMYFUNCTION("IFERROR(QUERY('Nhật ký nộp hồ sơ '!A:I, ""SELECT I WHERE B = '""&amp;B363&amp;""' ORDER BY A DESC LIMIT 1"", 0))"),45994.0)</f>
        <v>45994</v>
      </c>
      <c r="Q363" s="17">
        <f t="shared" si="2"/>
        <v>45994</v>
      </c>
      <c r="R363" s="16">
        <v>2.0</v>
      </c>
      <c r="S363" s="16"/>
      <c r="T363" s="16"/>
      <c r="U363" s="14"/>
      <c r="V363" s="18" t="s">
        <v>34</v>
      </c>
      <c r="W363" s="16"/>
      <c r="X363" s="16"/>
    </row>
    <row r="364" ht="22.5" hidden="1" customHeight="1">
      <c r="A364" s="11">
        <v>45979.44090695602</v>
      </c>
      <c r="B364" s="12" t="s">
        <v>874</v>
      </c>
      <c r="C364" s="13" t="s">
        <v>875</v>
      </c>
      <c r="D364" s="14"/>
      <c r="E364" s="13" t="s">
        <v>151</v>
      </c>
      <c r="F364" s="13" t="s">
        <v>133</v>
      </c>
      <c r="G364" s="20" t="s">
        <v>876</v>
      </c>
      <c r="H364" s="13" t="s">
        <v>29</v>
      </c>
      <c r="I364" s="13" t="s">
        <v>659</v>
      </c>
      <c r="J364" s="14"/>
      <c r="K364" s="16" t="str">
        <f t="array" ref="K364">IFERROR(VLOOKUP(B364, SORT('Nhật ký nộp hồ sơ '!B:D, 'Nhật ký nộp hồ sơ '!A:A, FALSE), 3, FALSE),"")</f>
        <v>Hủy</v>
      </c>
      <c r="L364" s="16" t="str">
        <f t="shared" si="1"/>
        <v>ĐÃ HỦY</v>
      </c>
      <c r="M364" s="13" t="s">
        <v>48</v>
      </c>
      <c r="N364" s="17">
        <f>IFERROR(__xludf.DUMMYFUNCTION("""COMPUTED_VALUE"""),45979.0)</f>
        <v>45979</v>
      </c>
      <c r="O364" s="17">
        <v>45982.0</v>
      </c>
      <c r="P364" s="17">
        <f>IFERROR(__xludf.DUMMYFUNCTION("IFERROR(QUERY('Nhật ký nộp hồ sơ '!A:I, ""SELECT I WHERE B = '""&amp;B364&amp;""' ORDER BY A DESC LIMIT 1"", 0))"),46039.0)</f>
        <v>46039</v>
      </c>
      <c r="Q364" s="17" t="str">
        <f t="shared" si="2"/>
        <v/>
      </c>
      <c r="R364" s="16">
        <v>2.0</v>
      </c>
      <c r="S364" s="16"/>
      <c r="T364" s="13" t="s">
        <v>877</v>
      </c>
      <c r="U364" s="14"/>
      <c r="V364" s="18" t="s">
        <v>34</v>
      </c>
      <c r="W364" s="16"/>
      <c r="X364" s="16"/>
    </row>
    <row r="365" ht="22.5" hidden="1" customHeight="1">
      <c r="A365" s="11">
        <v>45980.55774282408</v>
      </c>
      <c r="B365" s="12" t="s">
        <v>878</v>
      </c>
      <c r="C365" s="13" t="s">
        <v>829</v>
      </c>
      <c r="D365" s="14"/>
      <c r="E365" s="13" t="s">
        <v>53</v>
      </c>
      <c r="F365" s="13" t="s">
        <v>191</v>
      </c>
      <c r="G365" s="16"/>
      <c r="H365" s="13" t="s">
        <v>47</v>
      </c>
      <c r="I365" s="13" t="s">
        <v>81</v>
      </c>
      <c r="J365" s="14"/>
      <c r="K365" s="16" t="str">
        <f t="array" ref="K365">IFERROR(VLOOKUP(B365, SORT('Nhật ký nộp hồ sơ '!B:D, 'Nhật ký nộp hồ sơ '!A:A, FALSE), 3, FALSE),"")</f>
        <v>Hoàn thành</v>
      </c>
      <c r="L365" s="16" t="str">
        <f t="shared" si="1"/>
        <v>Hoàn thành</v>
      </c>
      <c r="M365" s="13" t="s">
        <v>82</v>
      </c>
      <c r="N365" s="17">
        <f>IFERROR(__xludf.DUMMYFUNCTION("""COMPUTED_VALUE"""),45980.0)</f>
        <v>45980</v>
      </c>
      <c r="O365" s="17">
        <v>45983.0</v>
      </c>
      <c r="P365" s="17">
        <f>IFERROR(__xludf.DUMMYFUNCTION("IFERROR(QUERY('Nhật ký nộp hồ sơ '!A:I, ""SELECT I WHERE B = '""&amp;B365&amp;""' ORDER BY A DESC LIMIT 1"", 0))"),45992.0)</f>
        <v>45992</v>
      </c>
      <c r="Q365" s="17">
        <f t="shared" si="2"/>
        <v>45992</v>
      </c>
      <c r="R365" s="16">
        <v>3.0</v>
      </c>
      <c r="S365" s="16"/>
      <c r="T365" s="16"/>
      <c r="U365" s="14"/>
      <c r="V365" s="18" t="s">
        <v>34</v>
      </c>
      <c r="W365" s="16"/>
      <c r="X365" s="16"/>
    </row>
    <row r="366" ht="22.5" hidden="1" customHeight="1">
      <c r="A366" s="11">
        <v>45980.569115</v>
      </c>
      <c r="B366" s="12" t="s">
        <v>879</v>
      </c>
      <c r="C366" s="13" t="s">
        <v>880</v>
      </c>
      <c r="D366" s="18" t="s">
        <v>44</v>
      </c>
      <c r="E366" s="13" t="s">
        <v>151</v>
      </c>
      <c r="F366" s="13" t="s">
        <v>133</v>
      </c>
      <c r="G366" s="20" t="s">
        <v>881</v>
      </c>
      <c r="H366" s="13" t="s">
        <v>69</v>
      </c>
      <c r="I366" s="13" t="s">
        <v>659</v>
      </c>
      <c r="J366" s="14"/>
      <c r="K366" s="16" t="str">
        <f t="array" ref="K366">IFERROR(VLOOKUP(B366, SORT('Nhật ký nộp hồ sơ '!B:D, 'Nhật ký nộp hồ sơ '!A:A, FALSE), 3, FALSE),"")</f>
        <v>Hoàn thành</v>
      </c>
      <c r="L366" s="16" t="str">
        <f t="shared" si="1"/>
        <v>Hoàn thành</v>
      </c>
      <c r="M366" s="13" t="s">
        <v>56</v>
      </c>
      <c r="N366" s="17">
        <f>IFERROR(__xludf.DUMMYFUNCTION("""COMPUTED_VALUE"""),45980.0)</f>
        <v>45980</v>
      </c>
      <c r="O366" s="17">
        <v>45983.0</v>
      </c>
      <c r="P366" s="17">
        <f>IFERROR(__xludf.DUMMYFUNCTION("IFERROR(QUERY('Nhật ký nộp hồ sơ '!A:I, ""SELECT I WHERE B = '""&amp;B366&amp;""' ORDER BY A DESC LIMIT 1"", 0))"),45996.0)</f>
        <v>45996</v>
      </c>
      <c r="Q366" s="17">
        <f t="shared" si="2"/>
        <v>45996</v>
      </c>
      <c r="R366" s="16">
        <v>1.0</v>
      </c>
      <c r="S366" s="16"/>
      <c r="T366" s="16"/>
      <c r="U366" s="14"/>
      <c r="V366" s="18" t="s">
        <v>34</v>
      </c>
      <c r="W366" s="16"/>
      <c r="X366" s="16"/>
    </row>
    <row r="367" ht="22.5" hidden="1" customHeight="1">
      <c r="A367" s="11">
        <v>45980.571649537036</v>
      </c>
      <c r="B367" s="12" t="s">
        <v>882</v>
      </c>
      <c r="C367" s="13" t="s">
        <v>883</v>
      </c>
      <c r="D367" s="14"/>
      <c r="E367" s="13" t="s">
        <v>26</v>
      </c>
      <c r="F367" s="13" t="s">
        <v>68</v>
      </c>
      <c r="G367" s="16"/>
      <c r="H367" s="13" t="s">
        <v>69</v>
      </c>
      <c r="I367" s="13" t="s">
        <v>659</v>
      </c>
      <c r="J367" s="14"/>
      <c r="K367" s="16" t="str">
        <f t="array" ref="K367">IFERROR(VLOOKUP(B367, SORT('Nhật ký nộp hồ sơ '!B:D, 'Nhật ký nộp hồ sơ '!A:A, FALSE), 3, FALSE),"")</f>
        <v>Hoàn thành</v>
      </c>
      <c r="L367" s="16" t="str">
        <f t="shared" si="1"/>
        <v>Hoàn thành</v>
      </c>
      <c r="M367" s="13" t="s">
        <v>48</v>
      </c>
      <c r="N367" s="17">
        <f>IFERROR(__xludf.DUMMYFUNCTION("""COMPUTED_VALUE"""),45980.0)</f>
        <v>45980</v>
      </c>
      <c r="O367" s="17">
        <v>45983.0</v>
      </c>
      <c r="P367" s="17">
        <f>IFERROR(__xludf.DUMMYFUNCTION("IFERROR(QUERY('Nhật ký nộp hồ sơ '!A:I, ""SELECT I WHERE B = '""&amp;B367&amp;""' ORDER BY A DESC LIMIT 1"", 0))"),46007.0)</f>
        <v>46007</v>
      </c>
      <c r="Q367" s="17">
        <f t="shared" si="2"/>
        <v>46007</v>
      </c>
      <c r="R367" s="16">
        <v>1.0</v>
      </c>
      <c r="S367" s="16"/>
      <c r="T367" s="16"/>
      <c r="U367" s="14"/>
      <c r="V367" s="18" t="s">
        <v>34</v>
      </c>
      <c r="W367" s="16"/>
      <c r="X367" s="16"/>
    </row>
    <row r="368" ht="22.5" hidden="1" customHeight="1">
      <c r="A368" s="11">
        <v>45981.4827984838</v>
      </c>
      <c r="B368" s="12" t="s">
        <v>884</v>
      </c>
      <c r="C368" s="13" t="s">
        <v>885</v>
      </c>
      <c r="D368" s="14"/>
      <c r="E368" s="13" t="s">
        <v>74</v>
      </c>
      <c r="F368" s="13" t="s">
        <v>176</v>
      </c>
      <c r="G368" s="16"/>
      <c r="H368" s="13" t="s">
        <v>47</v>
      </c>
      <c r="I368" s="13" t="s">
        <v>81</v>
      </c>
      <c r="J368" s="14"/>
      <c r="K368" s="16" t="str">
        <f t="array" ref="K368">IFERROR(VLOOKUP(B368, SORT('Nhật ký nộp hồ sơ '!B:D, 'Nhật ký nộp hồ sơ '!A:A, FALSE), 3, FALSE),"")</f>
        <v>Hoàn thành</v>
      </c>
      <c r="L368" s="16" t="str">
        <f t="shared" si="1"/>
        <v>Hoàn thành</v>
      </c>
      <c r="M368" s="13" t="s">
        <v>135</v>
      </c>
      <c r="N368" s="17">
        <f>IFERROR(__xludf.DUMMYFUNCTION("""COMPUTED_VALUE"""),45981.0)</f>
        <v>45981</v>
      </c>
      <c r="O368" s="17">
        <v>45984.0</v>
      </c>
      <c r="P368" s="17">
        <f>IFERROR(__xludf.DUMMYFUNCTION("IFERROR(QUERY('Nhật ký nộp hồ sơ '!A:I, ""SELECT I WHERE B = '""&amp;B368&amp;""' ORDER BY A DESC LIMIT 1"", 0))"),45986.0)</f>
        <v>45986</v>
      </c>
      <c r="Q368" s="17">
        <f t="shared" si="2"/>
        <v>45986</v>
      </c>
      <c r="R368" s="16">
        <v>1.0</v>
      </c>
      <c r="S368" s="16"/>
      <c r="T368" s="16"/>
      <c r="U368" s="14"/>
      <c r="V368" s="18" t="s">
        <v>34</v>
      </c>
      <c r="W368" s="16"/>
      <c r="X368" s="16"/>
    </row>
    <row r="369" ht="22.5" hidden="1" customHeight="1">
      <c r="A369" s="11">
        <v>45981.48326171296</v>
      </c>
      <c r="B369" s="12" t="s">
        <v>886</v>
      </c>
      <c r="C369" s="13" t="s">
        <v>885</v>
      </c>
      <c r="D369" s="14"/>
      <c r="E369" s="13" t="s">
        <v>74</v>
      </c>
      <c r="F369" s="13" t="s">
        <v>176</v>
      </c>
      <c r="G369" s="16"/>
      <c r="H369" s="13" t="s">
        <v>47</v>
      </c>
      <c r="I369" s="13" t="s">
        <v>81</v>
      </c>
      <c r="J369" s="14"/>
      <c r="K369" s="16" t="str">
        <f t="array" ref="K369">IFERROR(VLOOKUP(B369, SORT('Nhật ký nộp hồ sơ '!B:D, 'Nhật ký nộp hồ sơ '!A:A, FALSE), 3, FALSE),"")</f>
        <v>Hoàn thành</v>
      </c>
      <c r="L369" s="16" t="str">
        <f t="shared" si="1"/>
        <v>Hoàn thành</v>
      </c>
      <c r="M369" s="13" t="s">
        <v>135</v>
      </c>
      <c r="N369" s="17">
        <f>IFERROR(__xludf.DUMMYFUNCTION("""COMPUTED_VALUE"""),45981.0)</f>
        <v>45981</v>
      </c>
      <c r="O369" s="17">
        <v>45984.0</v>
      </c>
      <c r="P369" s="17">
        <f>IFERROR(__xludf.DUMMYFUNCTION("IFERROR(QUERY('Nhật ký nộp hồ sơ '!A:I, ""SELECT I WHERE B = '""&amp;B369&amp;""' ORDER BY A DESC LIMIT 1"", 0))"),45986.0)</f>
        <v>45986</v>
      </c>
      <c r="Q369" s="17">
        <f t="shared" si="2"/>
        <v>45986</v>
      </c>
      <c r="R369" s="16">
        <v>2.0</v>
      </c>
      <c r="S369" s="16"/>
      <c r="T369" s="16"/>
      <c r="U369" s="14"/>
      <c r="V369" s="18" t="s">
        <v>34</v>
      </c>
      <c r="W369" s="16"/>
      <c r="X369" s="16"/>
    </row>
    <row r="370" ht="22.5" hidden="1" customHeight="1">
      <c r="A370" s="11">
        <v>45981.48378430556</v>
      </c>
      <c r="B370" s="12" t="s">
        <v>887</v>
      </c>
      <c r="C370" s="13" t="s">
        <v>885</v>
      </c>
      <c r="D370" s="14"/>
      <c r="E370" s="13" t="s">
        <v>74</v>
      </c>
      <c r="F370" s="13" t="s">
        <v>176</v>
      </c>
      <c r="G370" s="16"/>
      <c r="H370" s="13" t="s">
        <v>47</v>
      </c>
      <c r="I370" s="13" t="s">
        <v>81</v>
      </c>
      <c r="J370" s="14"/>
      <c r="K370" s="16" t="str">
        <f t="array" ref="K370">IFERROR(VLOOKUP(B370, SORT('Nhật ký nộp hồ sơ '!B:D, 'Nhật ký nộp hồ sơ '!A:A, FALSE), 3, FALSE),"")</f>
        <v>Hoàn thành</v>
      </c>
      <c r="L370" s="16" t="str">
        <f t="shared" si="1"/>
        <v>Hoàn thành</v>
      </c>
      <c r="M370" s="13" t="s">
        <v>135</v>
      </c>
      <c r="N370" s="17">
        <f>IFERROR(__xludf.DUMMYFUNCTION("""COMPUTED_VALUE"""),45981.0)</f>
        <v>45981</v>
      </c>
      <c r="O370" s="17">
        <v>45984.0</v>
      </c>
      <c r="P370" s="17">
        <f>IFERROR(__xludf.DUMMYFUNCTION("IFERROR(QUERY('Nhật ký nộp hồ sơ '!A:I, ""SELECT I WHERE B = '""&amp;B370&amp;""' ORDER BY A DESC LIMIT 1"", 0))"),45986.0)</f>
        <v>45986</v>
      </c>
      <c r="Q370" s="17">
        <f t="shared" si="2"/>
        <v>45986</v>
      </c>
      <c r="R370" s="16">
        <v>1.0</v>
      </c>
      <c r="S370" s="16"/>
      <c r="T370" s="16"/>
      <c r="U370" s="14"/>
      <c r="V370" s="18" t="s">
        <v>34</v>
      </c>
      <c r="W370" s="16"/>
      <c r="X370" s="16"/>
    </row>
    <row r="371" ht="22.5" hidden="1" customHeight="1">
      <c r="A371" s="11">
        <v>45981.48626413195</v>
      </c>
      <c r="B371" s="12" t="s">
        <v>888</v>
      </c>
      <c r="C371" s="13" t="s">
        <v>889</v>
      </c>
      <c r="D371" s="14"/>
      <c r="E371" s="13" t="s">
        <v>26</v>
      </c>
      <c r="F371" s="13" t="s">
        <v>191</v>
      </c>
      <c r="G371" s="16"/>
      <c r="H371" s="13" t="s">
        <v>69</v>
      </c>
      <c r="I371" s="13" t="s">
        <v>659</v>
      </c>
      <c r="J371" s="14"/>
      <c r="K371" s="16" t="str">
        <f t="array" ref="K371">IFERROR(VLOOKUP(B371, SORT('Nhật ký nộp hồ sơ '!B:D, 'Nhật ký nộp hồ sơ '!A:A, FALSE), 3, FALSE),"")</f>
        <v>Hoàn thành</v>
      </c>
      <c r="L371" s="16" t="str">
        <f t="shared" si="1"/>
        <v>Hoàn thành</v>
      </c>
      <c r="M371" s="13" t="s">
        <v>48</v>
      </c>
      <c r="N371" s="17">
        <f>IFERROR(__xludf.DUMMYFUNCTION("""COMPUTED_VALUE"""),45981.0)</f>
        <v>45981</v>
      </c>
      <c r="O371" s="17">
        <v>45984.0</v>
      </c>
      <c r="P371" s="17">
        <f>IFERROR(__xludf.DUMMYFUNCTION("IFERROR(QUERY('Nhật ký nộp hồ sơ '!A:I, ""SELECT I WHERE B = '""&amp;B371&amp;""' ORDER BY A DESC LIMIT 1"", 0))"),46007.0)</f>
        <v>46007</v>
      </c>
      <c r="Q371" s="17">
        <f t="shared" si="2"/>
        <v>46007</v>
      </c>
      <c r="R371" s="16">
        <v>3.0</v>
      </c>
      <c r="S371" s="16"/>
      <c r="T371" s="16"/>
      <c r="U371" s="14"/>
      <c r="V371" s="18" t="s">
        <v>34</v>
      </c>
      <c r="W371" s="16"/>
      <c r="X371" s="16"/>
    </row>
    <row r="372" ht="22.5" hidden="1" customHeight="1">
      <c r="A372" s="11">
        <v>45983.36471275463</v>
      </c>
      <c r="B372" s="12" t="s">
        <v>890</v>
      </c>
      <c r="C372" s="13" t="s">
        <v>891</v>
      </c>
      <c r="D372" s="14"/>
      <c r="E372" s="13" t="s">
        <v>45</v>
      </c>
      <c r="F372" s="13" t="s">
        <v>246</v>
      </c>
      <c r="G372" s="16"/>
      <c r="H372" s="13" t="s">
        <v>29</v>
      </c>
      <c r="I372" s="13" t="s">
        <v>659</v>
      </c>
      <c r="J372" s="14"/>
      <c r="K372" s="16" t="str">
        <f t="array" ref="K372">IFERROR(VLOOKUP(B372, SORT('Nhật ký nộp hồ sơ '!B:D, 'Nhật ký nộp hồ sơ '!A:A, FALSE), 3, FALSE),"")</f>
        <v>Hoàn thành</v>
      </c>
      <c r="L372" s="16" t="str">
        <f t="shared" si="1"/>
        <v>Hoàn thành</v>
      </c>
      <c r="M372" s="13" t="s">
        <v>216</v>
      </c>
      <c r="N372" s="17">
        <f>IFERROR(__xludf.DUMMYFUNCTION("""COMPUTED_VALUE"""),45983.0)</f>
        <v>45983</v>
      </c>
      <c r="O372" s="17">
        <v>45986.0</v>
      </c>
      <c r="P372" s="17">
        <f>IFERROR(__xludf.DUMMYFUNCTION("IFERROR(QUERY('Nhật ký nộp hồ sơ '!A:I, ""SELECT I WHERE B = '""&amp;B372&amp;""' ORDER BY A DESC LIMIT 1"", 0))"),45982.0)</f>
        <v>45982</v>
      </c>
      <c r="Q372" s="17">
        <f t="shared" si="2"/>
        <v>45982</v>
      </c>
      <c r="R372" s="16">
        <v>2.0</v>
      </c>
      <c r="S372" s="16"/>
      <c r="T372" s="16"/>
      <c r="U372" s="14"/>
      <c r="V372" s="18" t="s">
        <v>34</v>
      </c>
      <c r="W372" s="13">
        <v>4.0</v>
      </c>
      <c r="X372" s="13" t="s">
        <v>687</v>
      </c>
    </row>
    <row r="373" ht="22.5" hidden="1" customHeight="1">
      <c r="A373" s="11">
        <v>45983.366136516204</v>
      </c>
      <c r="B373" s="12" t="s">
        <v>892</v>
      </c>
      <c r="C373" s="13" t="s">
        <v>893</v>
      </c>
      <c r="D373" s="14"/>
      <c r="E373" s="13" t="s">
        <v>231</v>
      </c>
      <c r="F373" s="13" t="s">
        <v>481</v>
      </c>
      <c r="G373" s="16"/>
      <c r="H373" s="13" t="s">
        <v>29</v>
      </c>
      <c r="I373" s="13" t="s">
        <v>659</v>
      </c>
      <c r="J373" s="14"/>
      <c r="K373" s="16" t="str">
        <f t="array" ref="K373">IFERROR(VLOOKUP(B373, SORT('Nhật ký nộp hồ sơ '!B:D, 'Nhật ký nộp hồ sơ '!A:A, FALSE), 3, FALSE),"")</f>
        <v>Hoàn thành</v>
      </c>
      <c r="L373" s="16" t="str">
        <f t="shared" si="1"/>
        <v>Hoàn thành</v>
      </c>
      <c r="M373" s="13" t="s">
        <v>56</v>
      </c>
      <c r="N373" s="17">
        <f>IFERROR(__xludf.DUMMYFUNCTION("""COMPUTED_VALUE"""),45983.0)</f>
        <v>45983</v>
      </c>
      <c r="O373" s="17">
        <v>45986.0</v>
      </c>
      <c r="P373" s="17">
        <f>IFERROR(__xludf.DUMMYFUNCTION("IFERROR(QUERY('Nhật ký nộp hồ sơ '!A:I, ""SELECT I WHERE B = '""&amp;B373&amp;""' ORDER BY A DESC LIMIT 1"", 0))"),46189.0)</f>
        <v>46189</v>
      </c>
      <c r="Q373" s="17">
        <f t="shared" si="2"/>
        <v>46189</v>
      </c>
      <c r="R373" s="16">
        <v>3.0</v>
      </c>
      <c r="S373" s="16"/>
      <c r="T373" s="13" t="s">
        <v>894</v>
      </c>
      <c r="U373" s="14"/>
      <c r="V373" s="18" t="s">
        <v>34</v>
      </c>
      <c r="W373" s="16"/>
      <c r="X373" s="16"/>
    </row>
    <row r="374" ht="22.5" hidden="1" customHeight="1">
      <c r="A374" s="11">
        <v>45986.429041400464</v>
      </c>
      <c r="B374" s="12" t="s">
        <v>895</v>
      </c>
      <c r="C374" s="13" t="s">
        <v>896</v>
      </c>
      <c r="D374" s="14"/>
      <c r="E374" s="13" t="s">
        <v>122</v>
      </c>
      <c r="F374" s="13" t="s">
        <v>191</v>
      </c>
      <c r="G374" s="16"/>
      <c r="H374" s="13" t="s">
        <v>47</v>
      </c>
      <c r="I374" s="13" t="s">
        <v>659</v>
      </c>
      <c r="J374" s="14"/>
      <c r="K374" s="16" t="str">
        <f t="array" ref="K374">IFERROR(VLOOKUP(B374, SORT('Nhật ký nộp hồ sơ '!B:D, 'Nhật ký nộp hồ sơ '!A:A, FALSE), 3, FALSE),"")</f>
        <v>Hoàn thành</v>
      </c>
      <c r="L374" s="16" t="str">
        <f t="shared" si="1"/>
        <v>Hoàn thành</v>
      </c>
      <c r="M374" s="13" t="s">
        <v>30</v>
      </c>
      <c r="N374" s="17">
        <f>IFERROR(__xludf.DUMMYFUNCTION("""COMPUTED_VALUE"""),45986.0)</f>
        <v>45986</v>
      </c>
      <c r="O374" s="17">
        <v>45989.0</v>
      </c>
      <c r="P374" s="17">
        <f>IFERROR(__xludf.DUMMYFUNCTION("IFERROR(QUERY('Nhật ký nộp hồ sơ '!A:I, ""SELECT I WHERE B = '""&amp;B374&amp;""' ORDER BY A DESC LIMIT 1"", 0))"),46000.0)</f>
        <v>46000</v>
      </c>
      <c r="Q374" s="17">
        <f t="shared" si="2"/>
        <v>46000</v>
      </c>
      <c r="R374" s="16">
        <v>1.0</v>
      </c>
      <c r="S374" s="16"/>
      <c r="T374" s="16"/>
      <c r="U374" s="14"/>
      <c r="V374" s="18" t="s">
        <v>34</v>
      </c>
      <c r="W374" s="16"/>
      <c r="X374" s="16"/>
    </row>
    <row r="375" ht="22.5" hidden="1" customHeight="1">
      <c r="A375" s="11">
        <v>45986.430130266206</v>
      </c>
      <c r="B375" s="12" t="s">
        <v>897</v>
      </c>
      <c r="C375" s="13" t="s">
        <v>898</v>
      </c>
      <c r="D375" s="14"/>
      <c r="E375" s="13" t="s">
        <v>122</v>
      </c>
      <c r="F375" s="13" t="s">
        <v>191</v>
      </c>
      <c r="G375" s="16"/>
      <c r="H375" s="13" t="s">
        <v>47</v>
      </c>
      <c r="I375" s="13" t="s">
        <v>659</v>
      </c>
      <c r="J375" s="14"/>
      <c r="K375" s="16" t="str">
        <f t="array" ref="K375">IFERROR(VLOOKUP(B375, SORT('Nhật ký nộp hồ sơ '!B:D, 'Nhật ký nộp hồ sơ '!A:A, FALSE), 3, FALSE),"")</f>
        <v>Hoàn thành</v>
      </c>
      <c r="L375" s="16" t="str">
        <f t="shared" si="1"/>
        <v>Hoàn thành</v>
      </c>
      <c r="M375" s="13" t="s">
        <v>30</v>
      </c>
      <c r="N375" s="17">
        <f>IFERROR(__xludf.DUMMYFUNCTION("""COMPUTED_VALUE"""),45986.0)</f>
        <v>45986</v>
      </c>
      <c r="O375" s="17">
        <v>45989.0</v>
      </c>
      <c r="P375" s="17">
        <f>IFERROR(__xludf.DUMMYFUNCTION("IFERROR(QUERY('Nhật ký nộp hồ sơ '!A:I, ""SELECT I WHERE B = '""&amp;B375&amp;""' ORDER BY A DESC LIMIT 1"", 0))"),46000.0)</f>
        <v>46000</v>
      </c>
      <c r="Q375" s="17">
        <f t="shared" si="2"/>
        <v>46000</v>
      </c>
      <c r="R375" s="16">
        <v>3.0</v>
      </c>
      <c r="S375" s="16"/>
      <c r="T375" s="16"/>
      <c r="U375" s="14"/>
      <c r="V375" s="18" t="s">
        <v>34</v>
      </c>
      <c r="W375" s="16"/>
      <c r="X375" s="16"/>
    </row>
    <row r="376" ht="22.5" hidden="1" customHeight="1">
      <c r="A376" s="11">
        <v>45986.430807349534</v>
      </c>
      <c r="B376" s="12" t="s">
        <v>899</v>
      </c>
      <c r="C376" s="13" t="s">
        <v>900</v>
      </c>
      <c r="D376" s="14"/>
      <c r="E376" s="13" t="s">
        <v>26</v>
      </c>
      <c r="F376" s="13" t="s">
        <v>338</v>
      </c>
      <c r="G376" s="16"/>
      <c r="H376" s="13" t="s">
        <v>47</v>
      </c>
      <c r="I376" s="13" t="s">
        <v>81</v>
      </c>
      <c r="J376" s="14"/>
      <c r="K376" s="16" t="str">
        <f t="array" ref="K376">IFERROR(VLOOKUP(B376, SORT('Nhật ký nộp hồ sơ '!B:D, 'Nhật ký nộp hồ sơ '!A:A, FALSE), 3, FALSE),"")</f>
        <v>Hoàn thành</v>
      </c>
      <c r="L376" s="16" t="str">
        <f t="shared" si="1"/>
        <v>Hoàn thành</v>
      </c>
      <c r="M376" s="13" t="s">
        <v>56</v>
      </c>
      <c r="N376" s="17">
        <f>IFERROR(__xludf.DUMMYFUNCTION("""COMPUTED_VALUE"""),45986.0)</f>
        <v>45986</v>
      </c>
      <c r="O376" s="17">
        <v>45989.0</v>
      </c>
      <c r="P376" s="17">
        <f>IFERROR(__xludf.DUMMYFUNCTION("IFERROR(QUERY('Nhật ký nộp hồ sơ '!A:I, ""SELECT I WHERE B = '""&amp;B376&amp;""' ORDER BY A DESC LIMIT 1"", 0))"),46016.0)</f>
        <v>46016</v>
      </c>
      <c r="Q376" s="17">
        <f t="shared" si="2"/>
        <v>46016</v>
      </c>
      <c r="R376" s="16">
        <v>1.0</v>
      </c>
      <c r="S376" s="16"/>
      <c r="T376" s="13" t="s">
        <v>901</v>
      </c>
      <c r="U376" s="14"/>
      <c r="V376" s="18" t="s">
        <v>34</v>
      </c>
      <c r="W376" s="16"/>
      <c r="X376" s="16"/>
    </row>
    <row r="377" ht="22.5" hidden="1" customHeight="1">
      <c r="A377" s="11">
        <v>45987.51791917824</v>
      </c>
      <c r="B377" s="12" t="s">
        <v>902</v>
      </c>
      <c r="C377" s="13" t="s">
        <v>903</v>
      </c>
      <c r="D377" s="14"/>
      <c r="E377" s="13" t="s">
        <v>79</v>
      </c>
      <c r="F377" s="13" t="s">
        <v>338</v>
      </c>
      <c r="G377" s="16"/>
      <c r="H377" s="13" t="s">
        <v>47</v>
      </c>
      <c r="I377" s="13" t="s">
        <v>659</v>
      </c>
      <c r="J377" s="14"/>
      <c r="K377" s="16" t="str">
        <f t="array" ref="K377">IFERROR(VLOOKUP(B377, SORT('Nhật ký nộp hồ sơ '!B:D, 'Nhật ký nộp hồ sơ '!A:A, FALSE), 3, FALSE),"")</f>
        <v>Hoàn thành</v>
      </c>
      <c r="L377" s="16" t="str">
        <f t="shared" si="1"/>
        <v>Hoàn thành</v>
      </c>
      <c r="M377" s="13" t="s">
        <v>56</v>
      </c>
      <c r="N377" s="17">
        <f>IFERROR(__xludf.DUMMYFUNCTION("""COMPUTED_VALUE"""),45987.0)</f>
        <v>45987</v>
      </c>
      <c r="O377" s="17">
        <v>45990.0</v>
      </c>
      <c r="P377" s="17">
        <f>IFERROR(__xludf.DUMMYFUNCTION("IFERROR(QUERY('Nhật ký nộp hồ sơ '!A:I, ""SELECT I WHERE B = '""&amp;B377&amp;""' ORDER BY A DESC LIMIT 1"", 0))"),46003.0)</f>
        <v>46003</v>
      </c>
      <c r="Q377" s="17">
        <f t="shared" si="2"/>
        <v>46003</v>
      </c>
      <c r="R377" s="16">
        <v>1.0</v>
      </c>
      <c r="S377" s="16"/>
      <c r="T377" s="16"/>
      <c r="U377" s="14"/>
      <c r="V377" s="18" t="s">
        <v>34</v>
      </c>
      <c r="W377" s="16"/>
      <c r="X377" s="16"/>
    </row>
    <row r="378" ht="22.5" hidden="1" customHeight="1">
      <c r="A378" s="11">
        <v>45987.51966996527</v>
      </c>
      <c r="B378" s="12" t="s">
        <v>904</v>
      </c>
      <c r="C378" s="13" t="s">
        <v>903</v>
      </c>
      <c r="D378" s="14"/>
      <c r="E378" s="13" t="s">
        <v>79</v>
      </c>
      <c r="F378" s="13" t="s">
        <v>338</v>
      </c>
      <c r="G378" s="16"/>
      <c r="H378" s="13" t="s">
        <v>47</v>
      </c>
      <c r="I378" s="13" t="s">
        <v>659</v>
      </c>
      <c r="J378" s="14"/>
      <c r="K378" s="16" t="str">
        <f t="array" ref="K378">IFERROR(VLOOKUP(B378, SORT('Nhật ký nộp hồ sơ '!B:D, 'Nhật ký nộp hồ sơ '!A:A, FALSE), 3, FALSE),"")</f>
        <v>Hoàn thành</v>
      </c>
      <c r="L378" s="16" t="str">
        <f t="shared" si="1"/>
        <v>Hoàn thành</v>
      </c>
      <c r="M378" s="13" t="s">
        <v>56</v>
      </c>
      <c r="N378" s="17">
        <f>IFERROR(__xludf.DUMMYFUNCTION("""COMPUTED_VALUE"""),45987.0)</f>
        <v>45987</v>
      </c>
      <c r="O378" s="17">
        <v>45990.0</v>
      </c>
      <c r="P378" s="17">
        <f>IFERROR(__xludf.DUMMYFUNCTION("IFERROR(QUERY('Nhật ký nộp hồ sơ '!A:I, ""SELECT I WHERE B = '""&amp;B378&amp;""' ORDER BY A DESC LIMIT 1"", 0))"),46003.0)</f>
        <v>46003</v>
      </c>
      <c r="Q378" s="17">
        <f t="shared" si="2"/>
        <v>46003</v>
      </c>
      <c r="R378" s="16">
        <v>2.0</v>
      </c>
      <c r="S378" s="16"/>
      <c r="T378" s="16"/>
      <c r="U378" s="14"/>
      <c r="V378" s="18" t="s">
        <v>34</v>
      </c>
      <c r="W378" s="16"/>
      <c r="X378" s="16"/>
    </row>
    <row r="379" ht="22.5" hidden="1" customHeight="1">
      <c r="A379" s="11">
        <v>45987.70487234954</v>
      </c>
      <c r="B379" s="12" t="s">
        <v>905</v>
      </c>
      <c r="C379" s="13" t="s">
        <v>906</v>
      </c>
      <c r="D379" s="14"/>
      <c r="E379" s="13" t="s">
        <v>74</v>
      </c>
      <c r="F379" s="13" t="s">
        <v>133</v>
      </c>
      <c r="G379" s="20" t="s">
        <v>907</v>
      </c>
      <c r="H379" s="13" t="s">
        <v>29</v>
      </c>
      <c r="I379" s="13" t="s">
        <v>659</v>
      </c>
      <c r="J379" s="14"/>
      <c r="K379" s="16" t="str">
        <f t="array" ref="K379">IFERROR(VLOOKUP(B379, SORT('Nhật ký nộp hồ sơ '!B:D, 'Nhật ký nộp hồ sơ '!A:A, FALSE), 3, FALSE),"")</f>
        <v>Hoàn thành</v>
      </c>
      <c r="L379" s="16" t="str">
        <f t="shared" si="1"/>
        <v>Hoàn thành</v>
      </c>
      <c r="M379" s="13" t="s">
        <v>56</v>
      </c>
      <c r="N379" s="17">
        <f>IFERROR(__xludf.DUMMYFUNCTION("""COMPUTED_VALUE"""),45987.0)</f>
        <v>45987</v>
      </c>
      <c r="O379" s="17">
        <v>45990.0</v>
      </c>
      <c r="P379" s="17">
        <f>IFERROR(__xludf.DUMMYFUNCTION("IFERROR(QUERY('Nhật ký nộp hồ sơ '!A:I, ""SELECT I WHERE B = '""&amp;B379&amp;""' ORDER BY A DESC LIMIT 1"", 0))"),46017.0)</f>
        <v>46017</v>
      </c>
      <c r="Q379" s="17">
        <f t="shared" si="2"/>
        <v>46017</v>
      </c>
      <c r="R379" s="16">
        <v>1.0</v>
      </c>
      <c r="S379" s="16"/>
      <c r="T379" s="13" t="s">
        <v>908</v>
      </c>
      <c r="U379" s="14"/>
      <c r="V379" s="18" t="s">
        <v>34</v>
      </c>
      <c r="W379" s="16"/>
      <c r="X379" s="16"/>
    </row>
    <row r="380" ht="22.5" hidden="1" customHeight="1">
      <c r="A380" s="11">
        <v>45988.46688400463</v>
      </c>
      <c r="B380" s="12" t="s">
        <v>909</v>
      </c>
      <c r="C380" s="13" t="s">
        <v>910</v>
      </c>
      <c r="D380" s="14"/>
      <c r="E380" s="13" t="s">
        <v>62</v>
      </c>
      <c r="F380" s="13" t="s">
        <v>68</v>
      </c>
      <c r="G380" s="16"/>
      <c r="H380" s="13" t="s">
        <v>69</v>
      </c>
      <c r="I380" s="13" t="s">
        <v>659</v>
      </c>
      <c r="J380" s="14"/>
      <c r="K380" s="16" t="str">
        <f t="array" ref="K380">IFERROR(VLOOKUP(B380, SORT('Nhật ký nộp hồ sơ '!B:D, 'Nhật ký nộp hồ sơ '!A:A, FALSE), 3, FALSE),"")</f>
        <v>Hoàn thành</v>
      </c>
      <c r="L380" s="16" t="str">
        <f t="shared" si="1"/>
        <v>Hoàn thành</v>
      </c>
      <c r="M380" s="13" t="s">
        <v>216</v>
      </c>
      <c r="N380" s="17">
        <f>IFERROR(__xludf.DUMMYFUNCTION("""COMPUTED_VALUE"""),45988.0)</f>
        <v>45988</v>
      </c>
      <c r="O380" s="17">
        <v>45991.0</v>
      </c>
      <c r="P380" s="17">
        <f>IFERROR(__xludf.DUMMYFUNCTION("IFERROR(QUERY('Nhật ký nộp hồ sơ '!A:I, ""SELECT I WHERE B = '""&amp;B380&amp;""' ORDER BY A DESC LIMIT 1"", 0))"),45987.0)</f>
        <v>45987</v>
      </c>
      <c r="Q380" s="17">
        <f t="shared" si="2"/>
        <v>45987</v>
      </c>
      <c r="R380" s="16">
        <v>1.0</v>
      </c>
      <c r="S380" s="16"/>
      <c r="T380" s="16"/>
      <c r="U380" s="14"/>
      <c r="V380" s="18" t="s">
        <v>34</v>
      </c>
      <c r="W380" s="13">
        <v>4.0</v>
      </c>
      <c r="X380" s="13" t="s">
        <v>687</v>
      </c>
    </row>
    <row r="381" ht="22.5" hidden="1" customHeight="1">
      <c r="A381" s="11">
        <v>45988.47131143518</v>
      </c>
      <c r="B381" s="12" t="s">
        <v>911</v>
      </c>
      <c r="C381" s="13" t="s">
        <v>537</v>
      </c>
      <c r="D381" s="14"/>
      <c r="E381" s="13" t="s">
        <v>26</v>
      </c>
      <c r="F381" s="13" t="s">
        <v>191</v>
      </c>
      <c r="G381" s="16"/>
      <c r="H381" s="13" t="s">
        <v>28</v>
      </c>
      <c r="I381" s="13" t="s">
        <v>81</v>
      </c>
      <c r="J381" s="14"/>
      <c r="K381" s="16" t="str">
        <f t="array" ref="K381">IFERROR(VLOOKUP(B381, SORT('Nhật ký nộp hồ sơ '!B:D, 'Nhật ký nộp hồ sơ '!A:A, FALSE), 3, FALSE),"")</f>
        <v>Nộp thành công - Chờ kết quả</v>
      </c>
      <c r="L381" s="16" t="str">
        <f t="shared" si="1"/>
        <v>Đã nộp</v>
      </c>
      <c r="M381" s="13" t="s">
        <v>41</v>
      </c>
      <c r="N381" s="17">
        <f>IFERROR(__xludf.DUMMYFUNCTION("""COMPUTED_VALUE"""),45988.0)</f>
        <v>45988</v>
      </c>
      <c r="O381" s="17">
        <v>45991.0</v>
      </c>
      <c r="P381" s="17">
        <f>IFERROR(__xludf.DUMMYFUNCTION("IFERROR(QUERY('Nhật ký nộp hồ sơ '!A:I, ""SELECT I WHERE B = '""&amp;B381&amp;""' ORDER BY A DESC LIMIT 1"", 0))"),45989.0)</f>
        <v>45989</v>
      </c>
      <c r="Q381" s="17" t="str">
        <f t="shared" si="2"/>
        <v/>
      </c>
      <c r="R381" s="16">
        <v>1.0</v>
      </c>
      <c r="S381" s="16"/>
      <c r="T381" s="16"/>
      <c r="U381" s="14"/>
      <c r="V381" s="18" t="s">
        <v>34</v>
      </c>
      <c r="W381" s="16"/>
      <c r="X381" s="16"/>
    </row>
    <row r="382" ht="22.5" hidden="1" customHeight="1">
      <c r="A382" s="11">
        <v>45988.47415815972</v>
      </c>
      <c r="B382" s="12" t="s">
        <v>912</v>
      </c>
      <c r="C382" s="13" t="s">
        <v>305</v>
      </c>
      <c r="D382" s="14"/>
      <c r="E382" s="13" t="s">
        <v>26</v>
      </c>
      <c r="F382" s="13" t="s">
        <v>191</v>
      </c>
      <c r="G382" s="16"/>
      <c r="H382" s="13" t="s">
        <v>28</v>
      </c>
      <c r="I382" s="13" t="s">
        <v>81</v>
      </c>
      <c r="J382" s="14"/>
      <c r="K382" s="16" t="str">
        <f t="array" ref="K382">IFERROR(VLOOKUP(B382, SORT('Nhật ký nộp hồ sơ '!B:D, 'Nhật ký nộp hồ sơ '!A:A, FALSE), 3, FALSE),"")</f>
        <v>Nộp thành công - Chờ kết quả</v>
      </c>
      <c r="L382" s="16" t="str">
        <f t="shared" si="1"/>
        <v>Đã nộp</v>
      </c>
      <c r="M382" s="13" t="s">
        <v>41</v>
      </c>
      <c r="N382" s="17">
        <f>IFERROR(__xludf.DUMMYFUNCTION("""COMPUTED_VALUE"""),45988.0)</f>
        <v>45988</v>
      </c>
      <c r="O382" s="17">
        <v>45991.0</v>
      </c>
      <c r="P382" s="17">
        <f>IFERROR(__xludf.DUMMYFUNCTION("IFERROR(QUERY('Nhật ký nộp hồ sơ '!A:I, ""SELECT I WHERE B = '""&amp;B382&amp;""' ORDER BY A DESC LIMIT 1"", 0))"),45989.0)</f>
        <v>45989</v>
      </c>
      <c r="Q382" s="17" t="str">
        <f t="shared" si="2"/>
        <v/>
      </c>
      <c r="R382" s="16">
        <v>1.0</v>
      </c>
      <c r="S382" s="16"/>
      <c r="T382" s="16"/>
      <c r="U382" s="14"/>
      <c r="V382" s="18" t="s">
        <v>34</v>
      </c>
      <c r="W382" s="16"/>
      <c r="X382" s="16"/>
    </row>
    <row r="383" ht="22.5" hidden="1" customHeight="1">
      <c r="A383" s="11">
        <v>45988.60743377315</v>
      </c>
      <c r="B383" s="12" t="s">
        <v>913</v>
      </c>
      <c r="C383" s="13" t="s">
        <v>382</v>
      </c>
      <c r="D383" s="14"/>
      <c r="E383" s="13" t="s">
        <v>45</v>
      </c>
      <c r="F383" s="13" t="s">
        <v>133</v>
      </c>
      <c r="G383" s="20" t="s">
        <v>383</v>
      </c>
      <c r="H383" s="13" t="s">
        <v>47</v>
      </c>
      <c r="I383" s="13" t="s">
        <v>81</v>
      </c>
      <c r="J383" s="14"/>
      <c r="K383" s="16" t="str">
        <f t="array" ref="K383">IFERROR(VLOOKUP(B383, SORT('Nhật ký nộp hồ sơ '!B:D, 'Nhật ký nộp hồ sơ '!A:A, FALSE), 3, FALSE),"")</f>
        <v>Hoàn thành</v>
      </c>
      <c r="L383" s="16" t="str">
        <f t="shared" si="1"/>
        <v>Hoàn thành</v>
      </c>
      <c r="M383" s="13" t="s">
        <v>82</v>
      </c>
      <c r="N383" s="17">
        <f>IFERROR(__xludf.DUMMYFUNCTION("""COMPUTED_VALUE"""),45988.0)</f>
        <v>45988</v>
      </c>
      <c r="O383" s="17">
        <v>45991.0</v>
      </c>
      <c r="P383" s="17">
        <f>IFERROR(__xludf.DUMMYFUNCTION("IFERROR(QUERY('Nhật ký nộp hồ sơ '!A:I, ""SELECT I WHERE B = '""&amp;B383&amp;""' ORDER BY A DESC LIMIT 1"", 0))"),46000.0)</f>
        <v>46000</v>
      </c>
      <c r="Q383" s="17">
        <f t="shared" si="2"/>
        <v>46000</v>
      </c>
      <c r="R383" s="16">
        <v>3.0</v>
      </c>
      <c r="S383" s="16"/>
      <c r="T383" s="16"/>
      <c r="U383" s="14"/>
      <c r="V383" s="18" t="s">
        <v>34</v>
      </c>
      <c r="W383" s="16"/>
      <c r="X383" s="16"/>
    </row>
    <row r="384" ht="22.5" hidden="1" customHeight="1">
      <c r="A384" s="11">
        <v>45988.728064270836</v>
      </c>
      <c r="B384" s="12" t="s">
        <v>914</v>
      </c>
      <c r="C384" s="13" t="s">
        <v>903</v>
      </c>
      <c r="D384" s="14"/>
      <c r="E384" s="13" t="s">
        <v>79</v>
      </c>
      <c r="F384" s="13" t="s">
        <v>338</v>
      </c>
      <c r="G384" s="16"/>
      <c r="H384" s="13" t="s">
        <v>29</v>
      </c>
      <c r="I384" s="13" t="s">
        <v>659</v>
      </c>
      <c r="J384" s="14"/>
      <c r="K384" s="16" t="str">
        <f t="array" ref="K384">IFERROR(VLOOKUP(B384, SORT('Nhật ký nộp hồ sơ '!B:D, 'Nhật ký nộp hồ sơ '!A:A, FALSE), 3, FALSE),"")</f>
        <v>Hoàn thành</v>
      </c>
      <c r="L384" s="16" t="str">
        <f t="shared" si="1"/>
        <v>Hoàn thành</v>
      </c>
      <c r="M384" s="13" t="s">
        <v>216</v>
      </c>
      <c r="N384" s="17">
        <f>IFERROR(__xludf.DUMMYFUNCTION("""COMPUTED_VALUE"""),45988.0)</f>
        <v>45988</v>
      </c>
      <c r="O384" s="17">
        <v>45991.0</v>
      </c>
      <c r="P384" s="17">
        <f>IFERROR(__xludf.DUMMYFUNCTION("IFERROR(QUERY('Nhật ký nộp hồ sơ '!A:I, ""SELECT I WHERE B = '""&amp;B384&amp;""' ORDER BY A DESC LIMIT 1"", 0))"),45988.0)</f>
        <v>45988</v>
      </c>
      <c r="Q384" s="17">
        <f t="shared" si="2"/>
        <v>45988</v>
      </c>
      <c r="R384" s="16">
        <v>1.0</v>
      </c>
      <c r="S384" s="16"/>
      <c r="T384" s="16"/>
      <c r="U384" s="14"/>
      <c r="V384" s="18" t="s">
        <v>34</v>
      </c>
      <c r="W384" s="13">
        <v>7.0</v>
      </c>
      <c r="X384" s="13" t="s">
        <v>687</v>
      </c>
    </row>
    <row r="385" ht="22.5" hidden="1" customHeight="1">
      <c r="A385" s="11">
        <v>45988.73445708334</v>
      </c>
      <c r="B385" s="12" t="s">
        <v>915</v>
      </c>
      <c r="C385" s="13" t="s">
        <v>916</v>
      </c>
      <c r="D385" s="14"/>
      <c r="E385" s="13" t="s">
        <v>132</v>
      </c>
      <c r="F385" s="13" t="s">
        <v>133</v>
      </c>
      <c r="G385" s="13" t="s">
        <v>917</v>
      </c>
      <c r="H385" s="13" t="s">
        <v>69</v>
      </c>
      <c r="I385" s="13" t="s">
        <v>659</v>
      </c>
      <c r="J385" s="14"/>
      <c r="K385" s="16" t="str">
        <f t="array" ref="K385">IFERROR(VLOOKUP(B385, SORT('Nhật ký nộp hồ sơ '!B:D, 'Nhật ký nộp hồ sơ '!A:A, FALSE), 3, FALSE),"")</f>
        <v>Hoàn thành</v>
      </c>
      <c r="L385" s="16" t="str">
        <f t="shared" si="1"/>
        <v>Hoàn thành</v>
      </c>
      <c r="M385" s="13" t="s">
        <v>56</v>
      </c>
      <c r="N385" s="17">
        <f>IFERROR(__xludf.DUMMYFUNCTION("""COMPUTED_VALUE"""),45988.0)</f>
        <v>45988</v>
      </c>
      <c r="O385" s="17">
        <v>45991.0</v>
      </c>
      <c r="P385" s="17">
        <f>IFERROR(__xludf.DUMMYFUNCTION("IFERROR(QUERY('Nhật ký nộp hồ sơ '!A:I, ""SELECT I WHERE B = '""&amp;B385&amp;""' ORDER BY A DESC LIMIT 1"", 0))"),46014.0)</f>
        <v>46014</v>
      </c>
      <c r="Q385" s="17">
        <f t="shared" si="2"/>
        <v>46014</v>
      </c>
      <c r="R385" s="16">
        <v>1.0</v>
      </c>
      <c r="S385" s="16"/>
      <c r="T385" s="16"/>
      <c r="U385" s="14"/>
      <c r="V385" s="18" t="s">
        <v>34</v>
      </c>
      <c r="W385" s="16"/>
      <c r="X385" s="16"/>
    </row>
    <row r="386" ht="22.5" hidden="1" customHeight="1">
      <c r="A386" s="11">
        <v>45988.73579518519</v>
      </c>
      <c r="B386" s="12" t="s">
        <v>918</v>
      </c>
      <c r="C386" s="13" t="s">
        <v>919</v>
      </c>
      <c r="D386" s="14"/>
      <c r="E386" s="13" t="s">
        <v>132</v>
      </c>
      <c r="F386" s="13" t="s">
        <v>133</v>
      </c>
      <c r="G386" s="20" t="s">
        <v>920</v>
      </c>
      <c r="H386" s="13" t="s">
        <v>69</v>
      </c>
      <c r="I386" s="13" t="s">
        <v>659</v>
      </c>
      <c r="J386" s="14"/>
      <c r="K386" s="16" t="str">
        <f t="array" ref="K386">IFERROR(VLOOKUP(B386, SORT('Nhật ký nộp hồ sơ '!B:D, 'Nhật ký nộp hồ sơ '!A:A, FALSE), 3, FALSE),"")</f>
        <v>Hoàn thành</v>
      </c>
      <c r="L386" s="16" t="str">
        <f t="shared" si="1"/>
        <v>Hoàn thành</v>
      </c>
      <c r="M386" s="13" t="s">
        <v>56</v>
      </c>
      <c r="N386" s="17">
        <f>IFERROR(__xludf.DUMMYFUNCTION("""COMPUTED_VALUE"""),45988.0)</f>
        <v>45988</v>
      </c>
      <c r="O386" s="17">
        <v>45991.0</v>
      </c>
      <c r="P386" s="17">
        <f>IFERROR(__xludf.DUMMYFUNCTION("IFERROR(QUERY('Nhật ký nộp hồ sơ '!A:I, ""SELECT I WHERE B = '""&amp;B386&amp;""' ORDER BY A DESC LIMIT 1"", 0))"),46003.0)</f>
        <v>46003</v>
      </c>
      <c r="Q386" s="17">
        <f t="shared" si="2"/>
        <v>46003</v>
      </c>
      <c r="R386" s="16">
        <v>1.0</v>
      </c>
      <c r="S386" s="16"/>
      <c r="T386" s="16"/>
      <c r="U386" s="14"/>
      <c r="V386" s="18" t="s">
        <v>34</v>
      </c>
      <c r="W386" s="16"/>
      <c r="X386" s="16"/>
    </row>
    <row r="387" ht="22.5" hidden="1" customHeight="1">
      <c r="A387" s="11">
        <v>45989.4779996875</v>
      </c>
      <c r="B387" s="12" t="s">
        <v>921</v>
      </c>
      <c r="C387" s="13" t="s">
        <v>922</v>
      </c>
      <c r="D387" s="14"/>
      <c r="E387" s="13" t="s">
        <v>26</v>
      </c>
      <c r="F387" s="13" t="s">
        <v>133</v>
      </c>
      <c r="G387" s="20" t="s">
        <v>923</v>
      </c>
      <c r="H387" s="13" t="s">
        <v>47</v>
      </c>
      <c r="I387" s="13" t="s">
        <v>81</v>
      </c>
      <c r="J387" s="14"/>
      <c r="K387" s="16" t="str">
        <f t="array" ref="K387">IFERROR(VLOOKUP(B387, SORT('Nhật ký nộp hồ sơ '!B:D, 'Nhật ký nộp hồ sơ '!A:A, FALSE), 3, FALSE),"")</f>
        <v>Hoàn thành</v>
      </c>
      <c r="L387" s="16" t="str">
        <f t="shared" si="1"/>
        <v>Hoàn thành</v>
      </c>
      <c r="M387" s="13" t="s">
        <v>82</v>
      </c>
      <c r="N387" s="17">
        <f>IFERROR(__xludf.DUMMYFUNCTION("""COMPUTED_VALUE"""),45989.0)</f>
        <v>45989</v>
      </c>
      <c r="O387" s="17">
        <v>45992.0</v>
      </c>
      <c r="P387" s="17">
        <f>IFERROR(__xludf.DUMMYFUNCTION("IFERROR(QUERY('Nhật ký nộp hồ sơ '!A:I, ""SELECT I WHERE B = '""&amp;B387&amp;""' ORDER BY A DESC LIMIT 1"", 0))"),46031.0)</f>
        <v>46031</v>
      </c>
      <c r="Q387" s="17">
        <f t="shared" si="2"/>
        <v>46031</v>
      </c>
      <c r="R387" s="16">
        <v>1.0</v>
      </c>
      <c r="S387" s="16"/>
      <c r="T387" s="13" t="s">
        <v>924</v>
      </c>
      <c r="U387" s="14"/>
      <c r="V387" s="18" t="s">
        <v>34</v>
      </c>
      <c r="W387" s="16"/>
      <c r="X387" s="16"/>
    </row>
    <row r="388" ht="22.5" hidden="1" customHeight="1">
      <c r="A388" s="11">
        <v>45989.610161226854</v>
      </c>
      <c r="B388" s="12" t="s">
        <v>925</v>
      </c>
      <c r="C388" s="13" t="s">
        <v>553</v>
      </c>
      <c r="D388" s="14"/>
      <c r="E388" s="13" t="s">
        <v>53</v>
      </c>
      <c r="F388" s="13" t="s">
        <v>554</v>
      </c>
      <c r="G388" s="16"/>
      <c r="H388" s="13" t="s">
        <v>28</v>
      </c>
      <c r="I388" s="13" t="s">
        <v>81</v>
      </c>
      <c r="J388" s="14"/>
      <c r="K388" s="16" t="str">
        <f t="array" ref="K388">IFERROR(VLOOKUP(B388, SORT('Nhật ký nộp hồ sơ '!B:D, 'Nhật ký nộp hồ sơ '!A:A, FALSE), 3, FALSE),"")</f>
        <v>Hoàn thành</v>
      </c>
      <c r="L388" s="16" t="str">
        <f t="shared" si="1"/>
        <v>Hoàn thành</v>
      </c>
      <c r="M388" s="13" t="s">
        <v>216</v>
      </c>
      <c r="N388" s="17">
        <f>IFERROR(__xludf.DUMMYFUNCTION("""COMPUTED_VALUE"""),45989.0)</f>
        <v>45989</v>
      </c>
      <c r="O388" s="17">
        <v>45992.0</v>
      </c>
      <c r="P388" s="17">
        <f>IFERROR(__xludf.DUMMYFUNCTION("IFERROR(QUERY('Nhật ký nộp hồ sơ '!A:I, ""SELECT I WHERE B = '""&amp;B388&amp;""' ORDER BY A DESC LIMIT 1"", 0))"),45990.0)</f>
        <v>45990</v>
      </c>
      <c r="Q388" s="17">
        <f t="shared" si="2"/>
        <v>45990</v>
      </c>
      <c r="R388" s="16">
        <v>1.0</v>
      </c>
      <c r="S388" s="16"/>
      <c r="T388" s="16"/>
      <c r="U388" s="14"/>
      <c r="V388" s="18" t="s">
        <v>34</v>
      </c>
      <c r="W388" s="13">
        <v>10.0</v>
      </c>
      <c r="X388" s="13" t="s">
        <v>687</v>
      </c>
    </row>
    <row r="389" ht="22.5" hidden="1" customHeight="1">
      <c r="A389" s="11">
        <v>45989.6118403588</v>
      </c>
      <c r="B389" s="12" t="s">
        <v>926</v>
      </c>
      <c r="C389" s="13" t="s">
        <v>557</v>
      </c>
      <c r="D389" s="14"/>
      <c r="E389" s="13" t="s">
        <v>53</v>
      </c>
      <c r="F389" s="13" t="s">
        <v>554</v>
      </c>
      <c r="G389" s="16"/>
      <c r="H389" s="13" t="s">
        <v>28</v>
      </c>
      <c r="I389" s="13" t="s">
        <v>81</v>
      </c>
      <c r="J389" s="14"/>
      <c r="K389" s="16" t="str">
        <f t="array" ref="K389">IFERROR(VLOOKUP(B389, SORT('Nhật ký nộp hồ sơ '!B:D, 'Nhật ký nộp hồ sơ '!A:A, FALSE), 3, FALSE),"")</f>
        <v>Hoàn thành</v>
      </c>
      <c r="L389" s="16" t="str">
        <f t="shared" si="1"/>
        <v>Hoàn thành</v>
      </c>
      <c r="M389" s="13" t="s">
        <v>56</v>
      </c>
      <c r="N389" s="17">
        <f>IFERROR(__xludf.DUMMYFUNCTION("""COMPUTED_VALUE"""),45989.0)</f>
        <v>45989</v>
      </c>
      <c r="O389" s="17">
        <v>45992.0</v>
      </c>
      <c r="P389" s="17">
        <f>IFERROR(__xludf.DUMMYFUNCTION("IFERROR(QUERY('Nhật ký nộp hồ sơ '!A:I, ""SELECT I WHERE B = '""&amp;B389&amp;""' ORDER BY A DESC LIMIT 1"", 0))"),46016.0)</f>
        <v>46016</v>
      </c>
      <c r="Q389" s="17">
        <f t="shared" si="2"/>
        <v>46016</v>
      </c>
      <c r="R389" s="16">
        <v>2.0</v>
      </c>
      <c r="S389" s="16"/>
      <c r="T389" s="16"/>
      <c r="U389" s="14"/>
      <c r="V389" s="18" t="s">
        <v>34</v>
      </c>
      <c r="W389" s="16"/>
      <c r="X389" s="16"/>
    </row>
    <row r="390" ht="22.5" hidden="1" customHeight="1">
      <c r="A390" s="11">
        <v>45989.61356520833</v>
      </c>
      <c r="B390" s="12" t="s">
        <v>927</v>
      </c>
      <c r="C390" s="13" t="s">
        <v>557</v>
      </c>
      <c r="D390" s="14"/>
      <c r="E390" s="13" t="s">
        <v>53</v>
      </c>
      <c r="F390" s="13" t="s">
        <v>554</v>
      </c>
      <c r="G390" s="16"/>
      <c r="H390" s="13" t="s">
        <v>28</v>
      </c>
      <c r="I390" s="13" t="s">
        <v>81</v>
      </c>
      <c r="J390" s="14"/>
      <c r="K390" s="16" t="str">
        <f t="array" ref="K390">IFERROR(VLOOKUP(B390, SORT('Nhật ký nộp hồ sơ '!B:D, 'Nhật ký nộp hồ sơ '!A:A, FALSE), 3, FALSE),"")</f>
        <v>Hoàn thành</v>
      </c>
      <c r="L390" s="16" t="str">
        <f t="shared" si="1"/>
        <v>Hoàn thành</v>
      </c>
      <c r="M390" s="13" t="s">
        <v>216</v>
      </c>
      <c r="N390" s="17">
        <f>IFERROR(__xludf.DUMMYFUNCTION("""COMPUTED_VALUE"""),45989.0)</f>
        <v>45989</v>
      </c>
      <c r="O390" s="17">
        <v>45992.0</v>
      </c>
      <c r="P390" s="17">
        <f>IFERROR(__xludf.DUMMYFUNCTION("IFERROR(QUERY('Nhật ký nộp hồ sơ '!A:I, ""SELECT I WHERE B = '""&amp;B390&amp;""' ORDER BY A DESC LIMIT 1"", 0))"),45990.0)</f>
        <v>45990</v>
      </c>
      <c r="Q390" s="17">
        <f t="shared" si="2"/>
        <v>45990</v>
      </c>
      <c r="R390" s="16">
        <v>1.0</v>
      </c>
      <c r="S390" s="16"/>
      <c r="T390" s="16"/>
      <c r="U390" s="14"/>
      <c r="V390" s="18" t="s">
        <v>34</v>
      </c>
      <c r="W390" s="13">
        <v>8.0</v>
      </c>
      <c r="X390" s="13" t="s">
        <v>687</v>
      </c>
    </row>
    <row r="391" ht="22.5" hidden="1" customHeight="1">
      <c r="A391" s="11">
        <v>45989.614319120374</v>
      </c>
      <c r="B391" s="12" t="s">
        <v>928</v>
      </c>
      <c r="C391" s="13" t="s">
        <v>557</v>
      </c>
      <c r="D391" s="14"/>
      <c r="E391" s="13" t="s">
        <v>53</v>
      </c>
      <c r="F391" s="13" t="s">
        <v>554</v>
      </c>
      <c r="G391" s="16"/>
      <c r="H391" s="13" t="s">
        <v>28</v>
      </c>
      <c r="I391" s="13" t="s">
        <v>81</v>
      </c>
      <c r="J391" s="14"/>
      <c r="K391" s="16" t="str">
        <f t="array" ref="K391">IFERROR(VLOOKUP(B391, SORT('Nhật ký nộp hồ sơ '!B:D, 'Nhật ký nộp hồ sơ '!A:A, FALSE), 3, FALSE),"")</f>
        <v>Hoàn thành</v>
      </c>
      <c r="L391" s="16" t="str">
        <f t="shared" si="1"/>
        <v>Hoàn thành</v>
      </c>
      <c r="M391" s="13" t="s">
        <v>146</v>
      </c>
      <c r="N391" s="17">
        <f>IFERROR(__xludf.DUMMYFUNCTION("""COMPUTED_VALUE"""),45989.0)</f>
        <v>45989</v>
      </c>
      <c r="O391" s="17">
        <v>45992.0</v>
      </c>
      <c r="P391" s="17">
        <f>IFERROR(__xludf.DUMMYFUNCTION("IFERROR(QUERY('Nhật ký nộp hồ sơ '!A:I, ""SELECT I WHERE B = '""&amp;B391&amp;""' ORDER BY A DESC LIMIT 1"", 0))"),45990.0)</f>
        <v>45990</v>
      </c>
      <c r="Q391" s="17">
        <f t="shared" si="2"/>
        <v>45990</v>
      </c>
      <c r="R391" s="16">
        <v>1.0</v>
      </c>
      <c r="S391" s="16"/>
      <c r="T391" s="16"/>
      <c r="U391" s="14"/>
      <c r="V391" s="18" t="s">
        <v>34</v>
      </c>
      <c r="W391" s="16"/>
      <c r="X391" s="16"/>
    </row>
    <row r="392" ht="22.5" hidden="1" customHeight="1">
      <c r="A392" s="11">
        <v>45989.61662361111</v>
      </c>
      <c r="B392" s="12" t="s">
        <v>929</v>
      </c>
      <c r="C392" s="13" t="s">
        <v>475</v>
      </c>
      <c r="D392" s="14"/>
      <c r="E392" s="13" t="s">
        <v>132</v>
      </c>
      <c r="F392" s="13" t="s">
        <v>46</v>
      </c>
      <c r="G392" s="16"/>
      <c r="H392" s="13" t="s">
        <v>47</v>
      </c>
      <c r="I392" s="13" t="s">
        <v>81</v>
      </c>
      <c r="J392" s="14"/>
      <c r="K392" s="16" t="str">
        <f t="array" ref="K392">IFERROR(VLOOKUP(B392, SORT('Nhật ký nộp hồ sơ '!B:D, 'Nhật ký nộp hồ sơ '!A:A, FALSE), 3, FALSE),"")</f>
        <v>Hoàn thành</v>
      </c>
      <c r="L392" s="16" t="str">
        <f t="shared" si="1"/>
        <v>Hoàn thành</v>
      </c>
      <c r="M392" s="13" t="s">
        <v>82</v>
      </c>
      <c r="N392" s="17">
        <f>IFERROR(__xludf.DUMMYFUNCTION("""COMPUTED_VALUE"""),45989.0)</f>
        <v>45989</v>
      </c>
      <c r="O392" s="17">
        <v>45992.0</v>
      </c>
      <c r="P392" s="17">
        <f>IFERROR(__xludf.DUMMYFUNCTION("IFERROR(QUERY('Nhật ký nộp hồ sơ '!A:I, ""SELECT I WHERE B = '""&amp;B392&amp;""' ORDER BY A DESC LIMIT 1"", 0))"),46008.0)</f>
        <v>46008</v>
      </c>
      <c r="Q392" s="17">
        <f t="shared" si="2"/>
        <v>46008</v>
      </c>
      <c r="R392" s="16">
        <v>1.0</v>
      </c>
      <c r="S392" s="16"/>
      <c r="T392" s="16"/>
      <c r="U392" s="14"/>
      <c r="V392" s="18" t="s">
        <v>34</v>
      </c>
      <c r="W392" s="16"/>
      <c r="X392" s="16"/>
    </row>
    <row r="393" ht="22.5" hidden="1" customHeight="1">
      <c r="A393" s="11">
        <v>45989.66555689815</v>
      </c>
      <c r="B393" s="12" t="s">
        <v>930</v>
      </c>
      <c r="C393" s="13" t="s">
        <v>931</v>
      </c>
      <c r="D393" s="14"/>
      <c r="E393" s="13" t="s">
        <v>26</v>
      </c>
      <c r="F393" s="13" t="s">
        <v>89</v>
      </c>
      <c r="G393" s="16"/>
      <c r="H393" s="13" t="s">
        <v>29</v>
      </c>
      <c r="I393" s="13" t="s">
        <v>659</v>
      </c>
      <c r="J393" s="14"/>
      <c r="K393" s="16" t="str">
        <f t="array" ref="K393">IFERROR(VLOOKUP(B393, SORT('Nhật ký nộp hồ sơ '!B:D, 'Nhật ký nộp hồ sơ '!A:A, FALSE), 3, FALSE),"")</f>
        <v>Hoàn thành</v>
      </c>
      <c r="L393" s="16" t="str">
        <f t="shared" si="1"/>
        <v>Hoàn thành</v>
      </c>
      <c r="M393" s="13" t="s">
        <v>524</v>
      </c>
      <c r="N393" s="17">
        <f>IFERROR(__xludf.DUMMYFUNCTION("""COMPUTED_VALUE"""),45989.0)</f>
        <v>45989</v>
      </c>
      <c r="O393" s="17">
        <v>45992.0</v>
      </c>
      <c r="P393" s="17">
        <f>IFERROR(__xludf.DUMMYFUNCTION("IFERROR(QUERY('Nhật ký nộp hồ sơ '!A:I, ""SELECT I WHERE B = '""&amp;B393&amp;""' ORDER BY A DESC LIMIT 1"", 0))"),45990.0)</f>
        <v>45990</v>
      </c>
      <c r="Q393" s="17">
        <f t="shared" si="2"/>
        <v>45990</v>
      </c>
      <c r="R393" s="16">
        <v>1.0</v>
      </c>
      <c r="S393" s="13" t="s">
        <v>932</v>
      </c>
      <c r="T393" s="16"/>
      <c r="U393" s="14"/>
      <c r="V393" s="18" t="s">
        <v>34</v>
      </c>
      <c r="W393" s="13">
        <v>4.0</v>
      </c>
      <c r="X393" s="33"/>
    </row>
    <row r="394" ht="22.5" hidden="1" customHeight="1">
      <c r="A394" s="11">
        <v>45989.68072259259</v>
      </c>
      <c r="B394" s="12" t="s">
        <v>933</v>
      </c>
      <c r="C394" s="13" t="s">
        <v>506</v>
      </c>
      <c r="D394" s="14"/>
      <c r="E394" s="13" t="s">
        <v>132</v>
      </c>
      <c r="F394" s="13" t="s">
        <v>440</v>
      </c>
      <c r="G394" s="16"/>
      <c r="H394" s="13" t="s">
        <v>28</v>
      </c>
      <c r="I394" s="13" t="s">
        <v>659</v>
      </c>
      <c r="J394" s="14"/>
      <c r="K394" s="16" t="str">
        <f t="array" ref="K394">IFERROR(VLOOKUP(B394, SORT('Nhật ký nộp hồ sơ '!B:D, 'Nhật ký nộp hồ sơ '!A:A, FALSE), 3, FALSE),"")</f>
        <v>Hoàn thành</v>
      </c>
      <c r="L394" s="16" t="str">
        <f t="shared" si="1"/>
        <v>Hoàn thành</v>
      </c>
      <c r="M394" s="13" t="s">
        <v>216</v>
      </c>
      <c r="N394" s="17">
        <f>IFERROR(__xludf.DUMMYFUNCTION("""COMPUTED_VALUE"""),45989.0)</f>
        <v>45989</v>
      </c>
      <c r="O394" s="17">
        <v>45992.0</v>
      </c>
      <c r="P394" s="17">
        <f>IFERROR(__xludf.DUMMYFUNCTION("IFERROR(QUERY('Nhật ký nộp hồ sơ '!A:I, ""SELECT I WHERE B = '""&amp;B394&amp;""' ORDER BY A DESC LIMIT 1"", 0))"),45990.0)</f>
        <v>45990</v>
      </c>
      <c r="Q394" s="17">
        <f t="shared" si="2"/>
        <v>45990</v>
      </c>
      <c r="R394" s="16">
        <v>5.0</v>
      </c>
      <c r="S394" s="16"/>
      <c r="T394" s="16"/>
      <c r="U394" s="14"/>
      <c r="V394" s="18" t="s">
        <v>34</v>
      </c>
      <c r="W394" s="13">
        <v>4.0</v>
      </c>
      <c r="X394" s="13" t="s">
        <v>687</v>
      </c>
    </row>
    <row r="395" ht="22.5" hidden="1" customHeight="1">
      <c r="A395" s="11">
        <v>45989.69276092593</v>
      </c>
      <c r="B395" s="12" t="s">
        <v>934</v>
      </c>
      <c r="C395" s="13" t="s">
        <v>935</v>
      </c>
      <c r="D395" s="14"/>
      <c r="E395" s="13" t="s">
        <v>79</v>
      </c>
      <c r="F395" s="13" t="s">
        <v>133</v>
      </c>
      <c r="G395" s="13" t="s">
        <v>936</v>
      </c>
      <c r="H395" s="13" t="s">
        <v>29</v>
      </c>
      <c r="I395" s="13" t="s">
        <v>659</v>
      </c>
      <c r="J395" s="14"/>
      <c r="K395" s="16" t="str">
        <f t="array" ref="K395">IFERROR(VLOOKUP(B395, SORT('Nhật ký nộp hồ sơ '!B:D, 'Nhật ký nộp hồ sơ '!A:A, FALSE), 3, FALSE),"")</f>
        <v>Hủy</v>
      </c>
      <c r="L395" s="16" t="str">
        <f t="shared" si="1"/>
        <v>ĐÃ HỦY</v>
      </c>
      <c r="M395" s="13" t="s">
        <v>48</v>
      </c>
      <c r="N395" s="17">
        <f>IFERROR(__xludf.DUMMYFUNCTION("""COMPUTED_VALUE"""),45989.0)</f>
        <v>45989</v>
      </c>
      <c r="O395" s="17">
        <v>45992.0</v>
      </c>
      <c r="P395" s="17">
        <f>IFERROR(__xludf.DUMMYFUNCTION("IFERROR(QUERY('Nhật ký nộp hồ sơ '!A:I, ""SELECT I WHERE B = '""&amp;B395&amp;""' ORDER BY A DESC LIMIT 1"", 0))"),46039.0)</f>
        <v>46039</v>
      </c>
      <c r="Q395" s="17" t="str">
        <f t="shared" si="2"/>
        <v/>
      </c>
      <c r="R395" s="16">
        <v>4.0</v>
      </c>
      <c r="S395" s="16"/>
      <c r="T395" s="13" t="s">
        <v>937</v>
      </c>
      <c r="U395" s="14"/>
      <c r="V395" s="18" t="s">
        <v>34</v>
      </c>
      <c r="W395" s="16"/>
      <c r="X395" s="16"/>
    </row>
    <row r="396" ht="22.5" hidden="1" customHeight="1">
      <c r="A396" s="11">
        <v>45990.60053660879</v>
      </c>
      <c r="B396" s="12" t="s">
        <v>938</v>
      </c>
      <c r="C396" s="13" t="s">
        <v>939</v>
      </c>
      <c r="D396" s="14"/>
      <c r="E396" s="13" t="s">
        <v>45</v>
      </c>
      <c r="F396" s="13" t="s">
        <v>89</v>
      </c>
      <c r="G396" s="16"/>
      <c r="H396" s="13" t="s">
        <v>47</v>
      </c>
      <c r="I396" s="13" t="s">
        <v>659</v>
      </c>
      <c r="J396" s="14"/>
      <c r="K396" s="16" t="str">
        <f t="array" ref="K396">IFERROR(VLOOKUP(B396, SORT('Nhật ký nộp hồ sơ '!B:D, 'Nhật ký nộp hồ sơ '!A:A, FALSE), 3, FALSE),"")</f>
        <v>Hủy</v>
      </c>
      <c r="L396" s="16" t="str">
        <f t="shared" si="1"/>
        <v>ĐÃ HỦY</v>
      </c>
      <c r="M396" s="13" t="s">
        <v>48</v>
      </c>
      <c r="N396" s="17">
        <f>IFERROR(__xludf.DUMMYFUNCTION("""COMPUTED_VALUE"""),45990.0)</f>
        <v>45990</v>
      </c>
      <c r="O396" s="17">
        <v>45993.0</v>
      </c>
      <c r="P396" s="17">
        <f>IFERROR(__xludf.DUMMYFUNCTION("IFERROR(QUERY('Nhật ký nộp hồ sơ '!A:I, ""SELECT I WHERE B = '""&amp;B396&amp;""' ORDER BY A DESC LIMIT 1"", 0))"),46039.0)</f>
        <v>46039</v>
      </c>
      <c r="Q396" s="17" t="str">
        <f t="shared" si="2"/>
        <v/>
      </c>
      <c r="R396" s="16">
        <v>1.0</v>
      </c>
      <c r="S396" s="16"/>
      <c r="T396" s="13" t="s">
        <v>940</v>
      </c>
      <c r="U396" s="14"/>
      <c r="V396" s="18" t="s">
        <v>34</v>
      </c>
      <c r="W396" s="16"/>
      <c r="X396" s="16"/>
    </row>
    <row r="397" ht="22.5" hidden="1" customHeight="1">
      <c r="A397" s="11">
        <v>45990.63019304398</v>
      </c>
      <c r="B397" s="12" t="s">
        <v>941</v>
      </c>
      <c r="C397" s="13" t="s">
        <v>553</v>
      </c>
      <c r="D397" s="14"/>
      <c r="E397" s="13" t="s">
        <v>53</v>
      </c>
      <c r="F397" s="13" t="s">
        <v>554</v>
      </c>
      <c r="G397" s="16"/>
      <c r="H397" s="13" t="s">
        <v>28</v>
      </c>
      <c r="I397" s="13" t="s">
        <v>81</v>
      </c>
      <c r="J397" s="14"/>
      <c r="K397" s="16" t="str">
        <f t="array" ref="K397">IFERROR(VLOOKUP(B397, SORT('Nhật ký nộp hồ sơ '!B:D, 'Nhật ký nộp hồ sơ '!A:A, FALSE), 3, FALSE),"")</f>
        <v>Hoàn thành</v>
      </c>
      <c r="L397" s="16" t="str">
        <f t="shared" si="1"/>
        <v>Hoàn thành</v>
      </c>
      <c r="M397" s="13" t="s">
        <v>56</v>
      </c>
      <c r="N397" s="17">
        <f>IFERROR(__xludf.DUMMYFUNCTION("""COMPUTED_VALUE"""),45990.0)</f>
        <v>45990</v>
      </c>
      <c r="O397" s="17">
        <v>45993.0</v>
      </c>
      <c r="P397" s="17">
        <f>IFERROR(__xludf.DUMMYFUNCTION("IFERROR(QUERY('Nhật ký nộp hồ sơ '!A:I, ""SELECT I WHERE B = '""&amp;B397&amp;""' ORDER BY A DESC LIMIT 1"", 0))"),46013.0)</f>
        <v>46013</v>
      </c>
      <c r="Q397" s="17">
        <f t="shared" si="2"/>
        <v>46013</v>
      </c>
      <c r="R397" s="16">
        <v>1.0</v>
      </c>
      <c r="S397" s="16"/>
      <c r="T397" s="16"/>
      <c r="U397" s="14"/>
      <c r="V397" s="18" t="s">
        <v>34</v>
      </c>
      <c r="W397" s="16"/>
      <c r="X397" s="16"/>
    </row>
    <row r="398" ht="22.5" hidden="1" customHeight="1">
      <c r="A398" s="11">
        <v>45990.634954953704</v>
      </c>
      <c r="B398" s="12" t="s">
        <v>942</v>
      </c>
      <c r="C398" s="13" t="s">
        <v>553</v>
      </c>
      <c r="D398" s="14"/>
      <c r="E398" s="13" t="s">
        <v>53</v>
      </c>
      <c r="F398" s="13" t="s">
        <v>554</v>
      </c>
      <c r="G398" s="16"/>
      <c r="H398" s="13" t="s">
        <v>28</v>
      </c>
      <c r="I398" s="13" t="s">
        <v>81</v>
      </c>
      <c r="J398" s="14"/>
      <c r="K398" s="16" t="str">
        <f t="array" ref="K398">IFERROR(VLOOKUP(B398, SORT('Nhật ký nộp hồ sơ '!B:D, 'Nhật ký nộp hồ sơ '!A:A, FALSE), 3, FALSE),"")</f>
        <v>Hoàn thành</v>
      </c>
      <c r="L398" s="16" t="str">
        <f t="shared" si="1"/>
        <v>Hoàn thành</v>
      </c>
      <c r="M398" s="13" t="s">
        <v>216</v>
      </c>
      <c r="N398" s="17">
        <f>IFERROR(__xludf.DUMMYFUNCTION("""COMPUTED_VALUE"""),45990.0)</f>
        <v>45990</v>
      </c>
      <c r="O398" s="17">
        <v>45993.0</v>
      </c>
      <c r="P398" s="17">
        <f>IFERROR(__xludf.DUMMYFUNCTION("IFERROR(QUERY('Nhật ký nộp hồ sơ '!A:I, ""SELECT I WHERE B = '""&amp;B398&amp;""' ORDER BY A DESC LIMIT 1"", 0))"),45992.0)</f>
        <v>45992</v>
      </c>
      <c r="Q398" s="17">
        <f t="shared" si="2"/>
        <v>45992</v>
      </c>
      <c r="R398" s="16">
        <v>2.0</v>
      </c>
      <c r="S398" s="16"/>
      <c r="T398" s="16"/>
      <c r="U398" s="14"/>
      <c r="V398" s="18" t="s">
        <v>34</v>
      </c>
      <c r="W398" s="13">
        <v>15.0</v>
      </c>
      <c r="X398" s="13" t="s">
        <v>687</v>
      </c>
    </row>
    <row r="399" ht="22.5" hidden="1" customHeight="1">
      <c r="A399" s="11">
        <v>45990.635363587964</v>
      </c>
      <c r="B399" s="12" t="s">
        <v>943</v>
      </c>
      <c r="C399" s="13" t="s">
        <v>553</v>
      </c>
      <c r="D399" s="14"/>
      <c r="E399" s="13" t="s">
        <v>53</v>
      </c>
      <c r="F399" s="13" t="s">
        <v>554</v>
      </c>
      <c r="G399" s="16"/>
      <c r="H399" s="13" t="s">
        <v>28</v>
      </c>
      <c r="I399" s="13" t="s">
        <v>81</v>
      </c>
      <c r="J399" s="14"/>
      <c r="K399" s="16" t="str">
        <f t="array" ref="K399">IFERROR(VLOOKUP(B399, SORT('Nhật ký nộp hồ sơ '!B:D, 'Nhật ký nộp hồ sơ '!A:A, FALSE), 3, FALSE),"")</f>
        <v>Hoàn thành</v>
      </c>
      <c r="L399" s="16" t="str">
        <f t="shared" si="1"/>
        <v>Hoàn thành</v>
      </c>
      <c r="M399" s="13" t="s">
        <v>146</v>
      </c>
      <c r="N399" s="17">
        <f>IFERROR(__xludf.DUMMYFUNCTION("""COMPUTED_VALUE"""),45990.0)</f>
        <v>45990</v>
      </c>
      <c r="O399" s="17">
        <v>45993.0</v>
      </c>
      <c r="P399" s="17">
        <f>IFERROR(__xludf.DUMMYFUNCTION("IFERROR(QUERY('Nhật ký nộp hồ sơ '!A:I, ""SELECT I WHERE B = '""&amp;B399&amp;""' ORDER BY A DESC LIMIT 1"", 0))"),45992.0)</f>
        <v>45992</v>
      </c>
      <c r="Q399" s="17">
        <f t="shared" si="2"/>
        <v>45992</v>
      </c>
      <c r="R399" s="16">
        <v>1.0</v>
      </c>
      <c r="S399" s="16"/>
      <c r="T399" s="16"/>
      <c r="U399" s="14"/>
      <c r="V399" s="18" t="s">
        <v>34</v>
      </c>
      <c r="W399" s="16"/>
      <c r="X399" s="16"/>
    </row>
    <row r="400" ht="22.5" hidden="1" customHeight="1">
      <c r="A400" s="11">
        <v>45990.63577837963</v>
      </c>
      <c r="B400" s="12" t="s">
        <v>944</v>
      </c>
      <c r="C400" s="13" t="s">
        <v>553</v>
      </c>
      <c r="D400" s="14"/>
      <c r="E400" s="13" t="s">
        <v>53</v>
      </c>
      <c r="F400" s="13" t="s">
        <v>554</v>
      </c>
      <c r="G400" s="16"/>
      <c r="H400" s="13" t="s">
        <v>28</v>
      </c>
      <c r="I400" s="13" t="s">
        <v>81</v>
      </c>
      <c r="J400" s="14"/>
      <c r="K400" s="16" t="str">
        <f t="array" ref="K400">IFERROR(VLOOKUP(B400, SORT('Nhật ký nộp hồ sơ '!B:D, 'Nhật ký nộp hồ sơ '!A:A, FALSE), 3, FALSE),"")</f>
        <v>Nộp thành công - Chờ kết quả</v>
      </c>
      <c r="L400" s="16" t="str">
        <f t="shared" si="1"/>
        <v>Đã nộp</v>
      </c>
      <c r="M400" s="13" t="s">
        <v>56</v>
      </c>
      <c r="N400" s="17">
        <f>IFERROR(__xludf.DUMMYFUNCTION("""COMPUTED_VALUE"""),45990.0)</f>
        <v>45990</v>
      </c>
      <c r="O400" s="17">
        <v>45993.0</v>
      </c>
      <c r="P400" s="17">
        <f>IFERROR(__xludf.DUMMYFUNCTION("IFERROR(QUERY('Nhật ký nộp hồ sơ '!A:I, ""SELECT I WHERE B = '""&amp;B400&amp;""' ORDER BY A DESC LIMIT 1"", 0))"),45993.0)</f>
        <v>45993</v>
      </c>
      <c r="Q400" s="17" t="str">
        <f t="shared" si="2"/>
        <v/>
      </c>
      <c r="R400" s="16">
        <v>1.0</v>
      </c>
      <c r="S400" s="16"/>
      <c r="T400" s="16"/>
      <c r="U400" s="14"/>
      <c r="V400" s="18" t="s">
        <v>34</v>
      </c>
      <c r="W400" s="16"/>
      <c r="X400" s="16"/>
    </row>
    <row r="401" ht="22.5" hidden="1" customHeight="1">
      <c r="A401" s="11">
        <v>45990.63692697916</v>
      </c>
      <c r="B401" s="12" t="s">
        <v>945</v>
      </c>
      <c r="C401" s="13" t="s">
        <v>553</v>
      </c>
      <c r="D401" s="14"/>
      <c r="E401" s="13" t="s">
        <v>53</v>
      </c>
      <c r="F401" s="13" t="s">
        <v>554</v>
      </c>
      <c r="G401" s="16"/>
      <c r="H401" s="13" t="s">
        <v>28</v>
      </c>
      <c r="I401" s="13" t="s">
        <v>81</v>
      </c>
      <c r="J401" s="14"/>
      <c r="K401" s="16" t="str">
        <f t="array" ref="K401">IFERROR(VLOOKUP(B401, SORT('Nhật ký nộp hồ sơ '!B:D, 'Nhật ký nộp hồ sơ '!A:A, FALSE), 3, FALSE),"")</f>
        <v>Hoàn thành</v>
      </c>
      <c r="L401" s="16" t="str">
        <f t="shared" si="1"/>
        <v>Hoàn thành</v>
      </c>
      <c r="M401" s="13" t="s">
        <v>216</v>
      </c>
      <c r="N401" s="17">
        <f>IFERROR(__xludf.DUMMYFUNCTION("""COMPUTED_VALUE"""),45990.0)</f>
        <v>45990</v>
      </c>
      <c r="O401" s="17">
        <v>45993.0</v>
      </c>
      <c r="P401" s="17">
        <f>IFERROR(__xludf.DUMMYFUNCTION("IFERROR(QUERY('Nhật ký nộp hồ sơ '!A:I, ""SELECT I WHERE B = '""&amp;B401&amp;""' ORDER BY A DESC LIMIT 1"", 0))"),45992.0)</f>
        <v>45992</v>
      </c>
      <c r="Q401" s="17">
        <f t="shared" si="2"/>
        <v>45992</v>
      </c>
      <c r="R401" s="16">
        <v>3.0</v>
      </c>
      <c r="S401" s="16"/>
      <c r="T401" s="16"/>
      <c r="U401" s="14"/>
      <c r="V401" s="18" t="s">
        <v>34</v>
      </c>
      <c r="W401" s="13">
        <v>4.0</v>
      </c>
      <c r="X401" s="13" t="s">
        <v>687</v>
      </c>
    </row>
    <row r="402" ht="22.5" hidden="1" customHeight="1">
      <c r="A402" s="11">
        <v>45990.63734042824</v>
      </c>
      <c r="B402" s="12" t="s">
        <v>946</v>
      </c>
      <c r="C402" s="13" t="s">
        <v>553</v>
      </c>
      <c r="D402" s="14"/>
      <c r="E402" s="13" t="s">
        <v>53</v>
      </c>
      <c r="F402" s="13" t="s">
        <v>554</v>
      </c>
      <c r="G402" s="16"/>
      <c r="H402" s="13" t="s">
        <v>28</v>
      </c>
      <c r="I402" s="13" t="s">
        <v>81</v>
      </c>
      <c r="J402" s="14"/>
      <c r="K402" s="16" t="str">
        <f t="array" ref="K402">IFERROR(VLOOKUP(B402, SORT('Nhật ký nộp hồ sơ '!B:D, 'Nhật ký nộp hồ sơ '!A:A, FALSE), 3, FALSE),"")</f>
        <v>Hoàn thành</v>
      </c>
      <c r="L402" s="16" t="str">
        <f t="shared" si="1"/>
        <v>Hoàn thành</v>
      </c>
      <c r="M402" s="13" t="s">
        <v>146</v>
      </c>
      <c r="N402" s="17">
        <f>IFERROR(__xludf.DUMMYFUNCTION("""COMPUTED_VALUE"""),45990.0)</f>
        <v>45990</v>
      </c>
      <c r="O402" s="17">
        <v>45993.0</v>
      </c>
      <c r="P402" s="17">
        <f>IFERROR(__xludf.DUMMYFUNCTION("IFERROR(QUERY('Nhật ký nộp hồ sơ '!A:I, ""SELECT I WHERE B = '""&amp;B402&amp;""' ORDER BY A DESC LIMIT 1"", 0))"),45992.0)</f>
        <v>45992</v>
      </c>
      <c r="Q402" s="17">
        <f t="shared" si="2"/>
        <v>45992</v>
      </c>
      <c r="R402" s="16">
        <v>2.0</v>
      </c>
      <c r="S402" s="16"/>
      <c r="T402" s="16"/>
      <c r="U402" s="14"/>
      <c r="V402" s="18" t="s">
        <v>34</v>
      </c>
      <c r="W402" s="16"/>
      <c r="X402" s="16"/>
    </row>
    <row r="403" ht="22.5" hidden="1" customHeight="1">
      <c r="A403" s="11">
        <v>45990.63783201389</v>
      </c>
      <c r="B403" s="12" t="s">
        <v>947</v>
      </c>
      <c r="C403" s="13" t="s">
        <v>557</v>
      </c>
      <c r="D403" s="14"/>
      <c r="E403" s="13" t="s">
        <v>53</v>
      </c>
      <c r="F403" s="13" t="s">
        <v>554</v>
      </c>
      <c r="G403" s="16"/>
      <c r="H403" s="13" t="s">
        <v>28</v>
      </c>
      <c r="I403" s="13" t="s">
        <v>81</v>
      </c>
      <c r="J403" s="14"/>
      <c r="K403" s="16" t="str">
        <f t="array" ref="K403">IFERROR(VLOOKUP(B403, SORT('Nhật ký nộp hồ sơ '!B:D, 'Nhật ký nộp hồ sơ '!A:A, FALSE), 3, FALSE),"")</f>
        <v>Hoàn thành</v>
      </c>
      <c r="L403" s="16" t="str">
        <f t="shared" si="1"/>
        <v>Hoàn thành</v>
      </c>
      <c r="M403" s="13" t="s">
        <v>56</v>
      </c>
      <c r="N403" s="17">
        <f>IFERROR(__xludf.DUMMYFUNCTION("""COMPUTED_VALUE"""),45990.0)</f>
        <v>45990</v>
      </c>
      <c r="O403" s="17">
        <v>45993.0</v>
      </c>
      <c r="P403" s="17">
        <f>IFERROR(__xludf.DUMMYFUNCTION("IFERROR(QUERY('Nhật ký nộp hồ sơ '!A:I, ""SELECT I WHERE B = '""&amp;B403&amp;""' ORDER BY A DESC LIMIT 1"", 0))"),46002.0)</f>
        <v>46002</v>
      </c>
      <c r="Q403" s="17">
        <f t="shared" si="2"/>
        <v>46002</v>
      </c>
      <c r="R403" s="16">
        <v>4.0</v>
      </c>
      <c r="S403" s="16"/>
      <c r="T403" s="16"/>
      <c r="U403" s="14"/>
      <c r="V403" s="18" t="s">
        <v>34</v>
      </c>
      <c r="W403" s="16"/>
      <c r="X403" s="16"/>
    </row>
    <row r="404" ht="22.5" hidden="1" customHeight="1">
      <c r="A404" s="11">
        <v>45990.63903239583</v>
      </c>
      <c r="B404" s="12" t="s">
        <v>948</v>
      </c>
      <c r="C404" s="13" t="s">
        <v>557</v>
      </c>
      <c r="D404" s="14"/>
      <c r="E404" s="13" t="s">
        <v>53</v>
      </c>
      <c r="F404" s="13" t="s">
        <v>554</v>
      </c>
      <c r="G404" s="16"/>
      <c r="H404" s="13" t="s">
        <v>28</v>
      </c>
      <c r="I404" s="13" t="s">
        <v>81</v>
      </c>
      <c r="J404" s="14"/>
      <c r="K404" s="16" t="str">
        <f t="array" ref="K404">IFERROR(VLOOKUP(B404, SORT('Nhật ký nộp hồ sơ '!B:D, 'Nhật ký nộp hồ sơ '!A:A, FALSE), 3, FALSE),"")</f>
        <v>Hoàn thành</v>
      </c>
      <c r="L404" s="16" t="str">
        <f t="shared" si="1"/>
        <v>Hoàn thành</v>
      </c>
      <c r="M404" s="13" t="s">
        <v>216</v>
      </c>
      <c r="N404" s="17">
        <f>IFERROR(__xludf.DUMMYFUNCTION("""COMPUTED_VALUE"""),45990.0)</f>
        <v>45990</v>
      </c>
      <c r="O404" s="17">
        <v>45993.0</v>
      </c>
      <c r="P404" s="17">
        <f>IFERROR(__xludf.DUMMYFUNCTION("IFERROR(QUERY('Nhật ký nộp hồ sơ '!A:I, ""SELECT I WHERE B = '""&amp;B404&amp;""' ORDER BY A DESC LIMIT 1"", 0))"),45992.0)</f>
        <v>45992</v>
      </c>
      <c r="Q404" s="17">
        <f t="shared" si="2"/>
        <v>45992</v>
      </c>
      <c r="R404" s="16">
        <v>3.0</v>
      </c>
      <c r="S404" s="16"/>
      <c r="T404" s="16"/>
      <c r="U404" s="14"/>
      <c r="V404" s="18" t="s">
        <v>34</v>
      </c>
      <c r="W404" s="13">
        <v>40.0</v>
      </c>
      <c r="X404" s="13" t="s">
        <v>687</v>
      </c>
    </row>
    <row r="405" ht="22.5" hidden="1" customHeight="1">
      <c r="A405" s="11">
        <v>45990.639405925926</v>
      </c>
      <c r="B405" s="12" t="s">
        <v>949</v>
      </c>
      <c r="C405" s="13" t="s">
        <v>557</v>
      </c>
      <c r="D405" s="14"/>
      <c r="E405" s="13" t="s">
        <v>53</v>
      </c>
      <c r="F405" s="13" t="s">
        <v>554</v>
      </c>
      <c r="G405" s="16"/>
      <c r="H405" s="13" t="s">
        <v>28</v>
      </c>
      <c r="I405" s="13" t="s">
        <v>81</v>
      </c>
      <c r="J405" s="14"/>
      <c r="K405" s="16" t="str">
        <f t="array" ref="K405">IFERROR(VLOOKUP(B405, SORT('Nhật ký nộp hồ sơ '!B:D, 'Nhật ký nộp hồ sơ '!A:A, FALSE), 3, FALSE),"")</f>
        <v>Hoàn thành</v>
      </c>
      <c r="L405" s="16" t="str">
        <f t="shared" si="1"/>
        <v>Hoàn thành</v>
      </c>
      <c r="M405" s="13" t="s">
        <v>146</v>
      </c>
      <c r="N405" s="17">
        <f>IFERROR(__xludf.DUMMYFUNCTION("""COMPUTED_VALUE"""),45990.0)</f>
        <v>45990</v>
      </c>
      <c r="O405" s="17">
        <v>45993.0</v>
      </c>
      <c r="P405" s="17">
        <f>IFERROR(__xludf.DUMMYFUNCTION("IFERROR(QUERY('Nhật ký nộp hồ sơ '!A:I, ""SELECT I WHERE B = '""&amp;B405&amp;""' ORDER BY A DESC LIMIT 1"", 0))"),45992.0)</f>
        <v>45992</v>
      </c>
      <c r="Q405" s="17">
        <f t="shared" si="2"/>
        <v>45992</v>
      </c>
      <c r="R405" s="16">
        <v>1.0</v>
      </c>
      <c r="S405" s="16"/>
      <c r="T405" s="16"/>
      <c r="U405" s="14"/>
      <c r="V405" s="18" t="s">
        <v>34</v>
      </c>
      <c r="W405" s="16"/>
      <c r="X405" s="16"/>
    </row>
    <row r="406" ht="22.5" hidden="1" customHeight="1">
      <c r="A406" s="11">
        <v>45992.391278055555</v>
      </c>
      <c r="B406" s="12" t="s">
        <v>950</v>
      </c>
      <c r="C406" s="13" t="s">
        <v>557</v>
      </c>
      <c r="D406" s="14"/>
      <c r="E406" s="13" t="s">
        <v>53</v>
      </c>
      <c r="F406" s="13" t="s">
        <v>554</v>
      </c>
      <c r="G406" s="16"/>
      <c r="H406" s="13" t="s">
        <v>28</v>
      </c>
      <c r="I406" s="13" t="s">
        <v>81</v>
      </c>
      <c r="J406" s="14"/>
      <c r="K406" s="16" t="str">
        <f t="array" ref="K406">IFERROR(VLOOKUP(B406, SORT('Nhật ký nộp hồ sơ '!B:D, 'Nhật ký nộp hồ sơ '!A:A, FALSE), 3, FALSE),"")</f>
        <v>Hoàn thành</v>
      </c>
      <c r="L406" s="16" t="str">
        <f t="shared" si="1"/>
        <v>Hoàn thành</v>
      </c>
      <c r="M406" s="13" t="s">
        <v>216</v>
      </c>
      <c r="N406" s="17">
        <f>IFERROR(__xludf.DUMMYFUNCTION("""COMPUTED_VALUE"""),45992.0)</f>
        <v>45992</v>
      </c>
      <c r="O406" s="17">
        <v>45995.0</v>
      </c>
      <c r="P406" s="17">
        <f>IFERROR(__xludf.DUMMYFUNCTION("IFERROR(QUERY('Nhật ký nộp hồ sơ '!A:I, ""SELECT I WHERE B = '""&amp;B406&amp;""' ORDER BY A DESC LIMIT 1"", 0))"),45992.0)</f>
        <v>45992</v>
      </c>
      <c r="Q406" s="17">
        <f t="shared" si="2"/>
        <v>45992</v>
      </c>
      <c r="R406" s="16">
        <v>1.0</v>
      </c>
      <c r="S406" s="13" t="s">
        <v>951</v>
      </c>
      <c r="T406" s="16"/>
      <c r="U406" s="14"/>
      <c r="V406" s="18" t="s">
        <v>34</v>
      </c>
      <c r="W406" s="13">
        <v>9.0</v>
      </c>
      <c r="X406" s="13" t="s">
        <v>687</v>
      </c>
    </row>
    <row r="407" ht="22.5" hidden="1" customHeight="1">
      <c r="A407" s="11">
        <v>45992.39268185185</v>
      </c>
      <c r="B407" s="12" t="s">
        <v>952</v>
      </c>
      <c r="C407" s="13" t="s">
        <v>818</v>
      </c>
      <c r="D407" s="14"/>
      <c r="E407" s="27" t="s">
        <v>222</v>
      </c>
      <c r="F407" s="13" t="s">
        <v>133</v>
      </c>
      <c r="G407" s="16"/>
      <c r="H407" s="13" t="s">
        <v>28</v>
      </c>
      <c r="I407" s="13" t="s">
        <v>81</v>
      </c>
      <c r="J407" s="14"/>
      <c r="K407" s="16" t="str">
        <f t="array" ref="K407">IFERROR(VLOOKUP(B407, SORT('Nhật ký nộp hồ sơ '!B:D, 'Nhật ký nộp hồ sơ '!A:A, FALSE), 3, FALSE),"")</f>
        <v>Hoàn thành</v>
      </c>
      <c r="L407" s="16" t="str">
        <f t="shared" si="1"/>
        <v>Hoàn thành</v>
      </c>
      <c r="M407" s="13" t="s">
        <v>146</v>
      </c>
      <c r="N407" s="17">
        <f>IFERROR(__xludf.DUMMYFUNCTION("""COMPUTED_VALUE"""),45992.0)</f>
        <v>45992</v>
      </c>
      <c r="O407" s="17">
        <v>45995.0</v>
      </c>
      <c r="P407" s="17">
        <f>IFERROR(__xludf.DUMMYFUNCTION("IFERROR(QUERY('Nhật ký nộp hồ sơ '!A:I, ""SELECT I WHERE B = '""&amp;B407&amp;""' ORDER BY A DESC LIMIT 1"", 0))"),45992.0)</f>
        <v>45992</v>
      </c>
      <c r="Q407" s="17">
        <f t="shared" si="2"/>
        <v>45992</v>
      </c>
      <c r="R407" s="16">
        <v>8.0</v>
      </c>
      <c r="S407" s="16"/>
      <c r="T407" s="16"/>
      <c r="U407" s="14"/>
      <c r="V407" s="18" t="s">
        <v>34</v>
      </c>
      <c r="W407" s="16"/>
      <c r="X407" s="16"/>
    </row>
    <row r="408" ht="22.5" hidden="1" customHeight="1">
      <c r="A408" s="11">
        <v>45993.34452333333</v>
      </c>
      <c r="B408" s="12" t="s">
        <v>953</v>
      </c>
      <c r="C408" s="13" t="s">
        <v>954</v>
      </c>
      <c r="D408" s="14"/>
      <c r="E408" s="13" t="s">
        <v>132</v>
      </c>
      <c r="F408" s="13" t="s">
        <v>89</v>
      </c>
      <c r="G408" s="20" t="s">
        <v>955</v>
      </c>
      <c r="H408" s="13" t="s">
        <v>29</v>
      </c>
      <c r="I408" s="13" t="s">
        <v>659</v>
      </c>
      <c r="J408" s="14"/>
      <c r="K408" s="16" t="str">
        <f t="array" ref="K408">IFERROR(VLOOKUP(B408, SORT('Nhật ký nộp hồ sơ '!B:D, 'Nhật ký nộp hồ sơ '!A:A, FALSE), 3, FALSE),"")</f>
        <v>Hoàn thành</v>
      </c>
      <c r="L408" s="16" t="str">
        <f t="shared" si="1"/>
        <v>Hoàn thành</v>
      </c>
      <c r="M408" s="13" t="s">
        <v>48</v>
      </c>
      <c r="N408" s="17">
        <f>IFERROR(__xludf.DUMMYFUNCTION("""COMPUTED_VALUE"""),45993.0)</f>
        <v>45993</v>
      </c>
      <c r="O408" s="17">
        <v>45996.0</v>
      </c>
      <c r="P408" s="17">
        <f>IFERROR(__xludf.DUMMYFUNCTION("IFERROR(QUERY('Nhật ký nộp hồ sơ '!A:I, ""SELECT I WHERE B = '""&amp;B408&amp;""' ORDER BY A DESC LIMIT 1"", 0))"),46042.0)</f>
        <v>46042</v>
      </c>
      <c r="Q408" s="17">
        <f t="shared" si="2"/>
        <v>46042</v>
      </c>
      <c r="R408" s="16">
        <v>1.0</v>
      </c>
      <c r="S408" s="16"/>
      <c r="T408" s="16"/>
      <c r="U408" s="14"/>
      <c r="V408" s="18" t="s">
        <v>34</v>
      </c>
      <c r="W408" s="16"/>
      <c r="X408" s="16"/>
    </row>
    <row r="409" ht="22.5" hidden="1" customHeight="1">
      <c r="A409" s="11">
        <v>45993.46041575231</v>
      </c>
      <c r="B409" s="12" t="s">
        <v>956</v>
      </c>
      <c r="C409" s="13" t="s">
        <v>957</v>
      </c>
      <c r="D409" s="14"/>
      <c r="E409" s="13" t="s">
        <v>26</v>
      </c>
      <c r="F409" s="13" t="s">
        <v>133</v>
      </c>
      <c r="G409" s="20" t="s">
        <v>958</v>
      </c>
      <c r="H409" s="13" t="s">
        <v>47</v>
      </c>
      <c r="I409" s="13" t="s">
        <v>81</v>
      </c>
      <c r="J409" s="14"/>
      <c r="K409" s="16" t="str">
        <f t="array" ref="K409">IFERROR(VLOOKUP(B409, SORT('Nhật ký nộp hồ sơ '!B:D, 'Nhật ký nộp hồ sơ '!A:A, FALSE), 3, FALSE),"")</f>
        <v>Hoàn thành</v>
      </c>
      <c r="L409" s="16" t="str">
        <f t="shared" si="1"/>
        <v>Hoàn thành</v>
      </c>
      <c r="M409" s="13" t="s">
        <v>48</v>
      </c>
      <c r="N409" s="17">
        <f>IFERROR(__xludf.DUMMYFUNCTION("""COMPUTED_VALUE"""),45993.0)</f>
        <v>45993</v>
      </c>
      <c r="O409" s="17">
        <v>45996.0</v>
      </c>
      <c r="P409" s="17">
        <f>IFERROR(__xludf.DUMMYFUNCTION("IFERROR(QUERY('Nhật ký nộp hồ sơ '!A:I, ""SELECT I WHERE B = '""&amp;B409&amp;""' ORDER BY A DESC LIMIT 1"", 0))"),46036.0)</f>
        <v>46036</v>
      </c>
      <c r="Q409" s="17">
        <f t="shared" si="2"/>
        <v>46036</v>
      </c>
      <c r="R409" s="16">
        <v>2.0</v>
      </c>
      <c r="S409" s="16"/>
      <c r="T409" s="16"/>
      <c r="U409" s="14"/>
      <c r="V409" s="18" t="s">
        <v>34</v>
      </c>
      <c r="W409" s="16"/>
      <c r="X409" s="16"/>
    </row>
    <row r="410" ht="22.5" hidden="1" customHeight="1">
      <c r="A410" s="11">
        <v>45993.47671806713</v>
      </c>
      <c r="B410" s="12" t="s">
        <v>959</v>
      </c>
      <c r="C410" s="13" t="s">
        <v>960</v>
      </c>
      <c r="D410" s="14"/>
      <c r="E410" s="13" t="s">
        <v>45</v>
      </c>
      <c r="F410" s="13" t="s">
        <v>961</v>
      </c>
      <c r="G410" s="16"/>
      <c r="H410" s="13" t="s">
        <v>69</v>
      </c>
      <c r="I410" s="13" t="s">
        <v>81</v>
      </c>
      <c r="J410" s="14"/>
      <c r="K410" s="16" t="str">
        <f t="array" ref="K410">IFERROR(VLOOKUP(B410, SORT('Nhật ký nộp hồ sơ '!B:D, 'Nhật ký nộp hồ sơ '!A:A, FALSE), 3, FALSE),"")</f>
        <v>Hoàn thành</v>
      </c>
      <c r="L410" s="16" t="str">
        <f t="shared" si="1"/>
        <v>Hoàn thành</v>
      </c>
      <c r="M410" s="13" t="s">
        <v>41</v>
      </c>
      <c r="N410" s="17">
        <f>IFERROR(__xludf.DUMMYFUNCTION("""COMPUTED_VALUE"""),45993.0)</f>
        <v>45993</v>
      </c>
      <c r="O410" s="17">
        <v>45996.0</v>
      </c>
      <c r="P410" s="17">
        <f>IFERROR(__xludf.DUMMYFUNCTION("IFERROR(QUERY('Nhật ký nộp hồ sơ '!A:I, ""SELECT I WHERE B = '""&amp;B410&amp;""' ORDER BY A DESC LIMIT 1"", 0))"),46039.0)</f>
        <v>46039</v>
      </c>
      <c r="Q410" s="17">
        <f t="shared" si="2"/>
        <v>46039</v>
      </c>
      <c r="R410" s="16">
        <v>2.0</v>
      </c>
      <c r="S410" s="16"/>
      <c r="T410" s="16"/>
      <c r="U410" s="14"/>
      <c r="V410" s="18" t="s">
        <v>34</v>
      </c>
      <c r="W410" s="16"/>
      <c r="X410" s="16"/>
    </row>
    <row r="411" ht="22.5" hidden="1" customHeight="1">
      <c r="A411" s="11">
        <v>45993.47755664352</v>
      </c>
      <c r="B411" s="12" t="s">
        <v>962</v>
      </c>
      <c r="C411" s="13" t="s">
        <v>963</v>
      </c>
      <c r="D411" s="14"/>
      <c r="E411" s="13" t="s">
        <v>45</v>
      </c>
      <c r="F411" s="13" t="s">
        <v>961</v>
      </c>
      <c r="G411" s="16"/>
      <c r="H411" s="13" t="s">
        <v>69</v>
      </c>
      <c r="I411" s="13" t="s">
        <v>81</v>
      </c>
      <c r="J411" s="14"/>
      <c r="K411" s="16" t="str">
        <f t="array" ref="K411">IFERROR(VLOOKUP(B411, SORT('Nhật ký nộp hồ sơ '!B:D, 'Nhật ký nộp hồ sơ '!A:A, FALSE), 3, FALSE),"")</f>
        <v>Hoàn thành</v>
      </c>
      <c r="L411" s="16" t="str">
        <f t="shared" si="1"/>
        <v>Hoàn thành</v>
      </c>
      <c r="M411" s="13" t="s">
        <v>41</v>
      </c>
      <c r="N411" s="17">
        <f>IFERROR(__xludf.DUMMYFUNCTION("""COMPUTED_VALUE"""),45993.0)</f>
        <v>45993</v>
      </c>
      <c r="O411" s="17">
        <v>45996.0</v>
      </c>
      <c r="P411" s="17">
        <f>IFERROR(__xludf.DUMMYFUNCTION("IFERROR(QUERY('Nhật ký nộp hồ sơ '!A:I, ""SELECT I WHERE B = '""&amp;B411&amp;""' ORDER BY A DESC LIMIT 1"", 0))"),46039.0)</f>
        <v>46039</v>
      </c>
      <c r="Q411" s="17">
        <f t="shared" si="2"/>
        <v>46039</v>
      </c>
      <c r="R411" s="16">
        <v>2.0</v>
      </c>
      <c r="S411" s="16"/>
      <c r="T411" s="16"/>
      <c r="U411" s="14"/>
      <c r="V411" s="18" t="s">
        <v>34</v>
      </c>
      <c r="W411" s="16"/>
      <c r="X411" s="16"/>
    </row>
    <row r="412" ht="22.5" hidden="1" customHeight="1">
      <c r="A412" s="11">
        <v>45993.763928113425</v>
      </c>
      <c r="B412" s="12" t="s">
        <v>964</v>
      </c>
      <c r="C412" s="13" t="s">
        <v>965</v>
      </c>
      <c r="D412" s="14"/>
      <c r="E412" s="13" t="s">
        <v>132</v>
      </c>
      <c r="F412" s="13" t="s">
        <v>89</v>
      </c>
      <c r="G412" s="16"/>
      <c r="H412" s="13" t="s">
        <v>100</v>
      </c>
      <c r="I412" s="13" t="s">
        <v>81</v>
      </c>
      <c r="J412" s="14"/>
      <c r="K412" s="16" t="str">
        <f t="array" ref="K412">IFERROR(VLOOKUP(B412, SORT('Nhật ký nộp hồ sơ '!B:D, 'Nhật ký nộp hồ sơ '!A:A, FALSE), 3, FALSE),"")</f>
        <v>Hoàn thành</v>
      </c>
      <c r="L412" s="16" t="str">
        <f t="shared" si="1"/>
        <v>Hoàn thành</v>
      </c>
      <c r="M412" s="13" t="s">
        <v>588</v>
      </c>
      <c r="N412" s="17">
        <f>IFERROR(__xludf.DUMMYFUNCTION("""COMPUTED_VALUE"""),45993.0)</f>
        <v>45993</v>
      </c>
      <c r="O412" s="17">
        <v>45996.0</v>
      </c>
      <c r="P412" s="17">
        <f>IFERROR(__xludf.DUMMYFUNCTION("IFERROR(QUERY('Nhật ký nộp hồ sơ '!A:I, ""SELECT I WHERE B = '""&amp;B412&amp;""' ORDER BY A DESC LIMIT 1"", 0))"),46039.0)</f>
        <v>46039</v>
      </c>
      <c r="Q412" s="17">
        <f t="shared" si="2"/>
        <v>46039</v>
      </c>
      <c r="R412" s="16">
        <v>1.0</v>
      </c>
      <c r="S412" s="16"/>
      <c r="T412" s="16"/>
      <c r="U412" s="14"/>
      <c r="V412" s="18" t="s">
        <v>34</v>
      </c>
      <c r="W412" s="16"/>
      <c r="X412" s="16"/>
    </row>
    <row r="413" ht="22.5" hidden="1" customHeight="1">
      <c r="A413" s="11">
        <v>45993.764755254626</v>
      </c>
      <c r="B413" s="12" t="s">
        <v>966</v>
      </c>
      <c r="C413" s="13" t="s">
        <v>967</v>
      </c>
      <c r="D413" s="14"/>
      <c r="E413" s="13" t="s">
        <v>88</v>
      </c>
      <c r="F413" s="13" t="s">
        <v>133</v>
      </c>
      <c r="G413" s="16"/>
      <c r="H413" s="13" t="s">
        <v>100</v>
      </c>
      <c r="I413" s="13" t="s">
        <v>81</v>
      </c>
      <c r="J413" s="14"/>
      <c r="K413" s="16" t="str">
        <f t="array" ref="K413">IFERROR(VLOOKUP(B413, SORT('Nhật ký nộp hồ sơ '!B:D, 'Nhật ký nộp hồ sơ '!A:A, FALSE), 3, FALSE),"")</f>
        <v>Hoàn thành</v>
      </c>
      <c r="L413" s="16" t="str">
        <f t="shared" si="1"/>
        <v>Hoàn thành</v>
      </c>
      <c r="M413" s="13" t="s">
        <v>588</v>
      </c>
      <c r="N413" s="17">
        <f>IFERROR(__xludf.DUMMYFUNCTION("""COMPUTED_VALUE"""),45993.0)</f>
        <v>45993</v>
      </c>
      <c r="O413" s="17">
        <v>45996.0</v>
      </c>
      <c r="P413" s="17">
        <f>IFERROR(__xludf.DUMMYFUNCTION("IFERROR(QUERY('Nhật ký nộp hồ sơ '!A:I, ""SELECT I WHERE B = '""&amp;B413&amp;""' ORDER BY A DESC LIMIT 1"", 0))"),45991.0)</f>
        <v>45991</v>
      </c>
      <c r="Q413" s="17">
        <f t="shared" si="2"/>
        <v>45991</v>
      </c>
      <c r="R413" s="16">
        <v>3.0</v>
      </c>
      <c r="S413" s="16"/>
      <c r="T413" s="16"/>
      <c r="U413" s="14"/>
      <c r="V413" s="18" t="s">
        <v>34</v>
      </c>
      <c r="W413" s="16"/>
      <c r="X413" s="16"/>
    </row>
    <row r="414" ht="22.5" hidden="1" customHeight="1">
      <c r="A414" s="11">
        <v>45993.765363321756</v>
      </c>
      <c r="B414" s="12" t="s">
        <v>968</v>
      </c>
      <c r="C414" s="13" t="s">
        <v>969</v>
      </c>
      <c r="D414" s="14"/>
      <c r="E414" s="13" t="s">
        <v>62</v>
      </c>
      <c r="F414" s="13" t="s">
        <v>133</v>
      </c>
      <c r="G414" s="16"/>
      <c r="H414" s="13" t="s">
        <v>100</v>
      </c>
      <c r="I414" s="13" t="s">
        <v>81</v>
      </c>
      <c r="J414" s="14"/>
      <c r="K414" s="16" t="str">
        <f t="array" ref="K414">IFERROR(VLOOKUP(B414, SORT('Nhật ký nộp hồ sơ '!B:D, 'Nhật ký nộp hồ sơ '!A:A, FALSE), 3, FALSE),"")</f>
        <v>Hoàn thành</v>
      </c>
      <c r="L414" s="16" t="str">
        <f t="shared" si="1"/>
        <v>Hoàn thành</v>
      </c>
      <c r="M414" s="13" t="s">
        <v>588</v>
      </c>
      <c r="N414" s="17">
        <f>IFERROR(__xludf.DUMMYFUNCTION("""COMPUTED_VALUE"""),45993.0)</f>
        <v>45993</v>
      </c>
      <c r="O414" s="17">
        <v>45996.0</v>
      </c>
      <c r="P414" s="17">
        <f>IFERROR(__xludf.DUMMYFUNCTION("IFERROR(QUERY('Nhật ký nộp hồ sơ '!A:I, ""SELECT I WHERE B = '""&amp;B414&amp;""' ORDER BY A DESC LIMIT 1"", 0))"),45991.0)</f>
        <v>45991</v>
      </c>
      <c r="Q414" s="17">
        <f t="shared" si="2"/>
        <v>45991</v>
      </c>
      <c r="R414" s="16">
        <v>2.0</v>
      </c>
      <c r="S414" s="16"/>
      <c r="T414" s="16"/>
      <c r="U414" s="14"/>
      <c r="V414" s="18" t="s">
        <v>34</v>
      </c>
      <c r="W414" s="16"/>
      <c r="X414" s="16"/>
    </row>
    <row r="415" ht="22.5" hidden="1" customHeight="1">
      <c r="A415" s="11">
        <v>45994.44970629629</v>
      </c>
      <c r="B415" s="12" t="s">
        <v>970</v>
      </c>
      <c r="C415" s="13" t="s">
        <v>818</v>
      </c>
      <c r="D415" s="14"/>
      <c r="E415" s="13" t="s">
        <v>74</v>
      </c>
      <c r="F415" s="13" t="s">
        <v>89</v>
      </c>
      <c r="G415" s="16"/>
      <c r="H415" s="13" t="s">
        <v>69</v>
      </c>
      <c r="I415" s="13" t="s">
        <v>659</v>
      </c>
      <c r="J415" s="14"/>
      <c r="K415" s="16" t="str">
        <f t="array" ref="K415">IFERROR(VLOOKUP(B415, SORT('Nhật ký nộp hồ sơ '!B:D, 'Nhật ký nộp hồ sơ '!A:A, FALSE), 3, FALSE),"")</f>
        <v>Hoàn thành</v>
      </c>
      <c r="L415" s="16" t="str">
        <f t="shared" si="1"/>
        <v>Hoàn thành</v>
      </c>
      <c r="M415" s="13" t="s">
        <v>56</v>
      </c>
      <c r="N415" s="17">
        <f>IFERROR(__xludf.DUMMYFUNCTION("""COMPUTED_VALUE"""),45994.0)</f>
        <v>45994</v>
      </c>
      <c r="O415" s="17">
        <v>45997.0</v>
      </c>
      <c r="P415" s="17">
        <f>IFERROR(__xludf.DUMMYFUNCTION("IFERROR(QUERY('Nhật ký nộp hồ sơ '!A:I, ""SELECT I WHERE B = '""&amp;B415&amp;""' ORDER BY A DESC LIMIT 1"", 0))"),46014.0)</f>
        <v>46014</v>
      </c>
      <c r="Q415" s="17">
        <f t="shared" si="2"/>
        <v>46014</v>
      </c>
      <c r="R415" s="16">
        <v>2.0</v>
      </c>
      <c r="S415" s="16"/>
      <c r="T415" s="16"/>
      <c r="U415" s="14"/>
      <c r="V415" s="18" t="s">
        <v>34</v>
      </c>
      <c r="W415" s="16"/>
      <c r="X415" s="16"/>
    </row>
    <row r="416" ht="22.5" hidden="1" customHeight="1">
      <c r="A416" s="11">
        <v>45994.72741608796</v>
      </c>
      <c r="B416" s="12" t="s">
        <v>971</v>
      </c>
      <c r="C416" s="13" t="s">
        <v>972</v>
      </c>
      <c r="D416" s="14"/>
      <c r="E416" s="13" t="s">
        <v>26</v>
      </c>
      <c r="F416" s="13" t="s">
        <v>133</v>
      </c>
      <c r="G416" s="13" t="s">
        <v>516</v>
      </c>
      <c r="H416" s="13" t="s">
        <v>28</v>
      </c>
      <c r="I416" s="13" t="s">
        <v>81</v>
      </c>
      <c r="J416" s="14"/>
      <c r="K416" s="16" t="str">
        <f t="array" ref="K416">IFERROR(VLOOKUP(B416, SORT('Nhật ký nộp hồ sơ '!B:D, 'Nhật ký nộp hồ sơ '!A:A, FALSE), 3, FALSE),"")</f>
        <v>Hoàn thành</v>
      </c>
      <c r="L416" s="16" t="str">
        <f t="shared" si="1"/>
        <v>Hoàn thành</v>
      </c>
      <c r="M416" s="13" t="s">
        <v>82</v>
      </c>
      <c r="N416" s="17">
        <f>IFERROR(__xludf.DUMMYFUNCTION("""COMPUTED_VALUE"""),45994.0)</f>
        <v>45994</v>
      </c>
      <c r="O416" s="17">
        <v>45997.0</v>
      </c>
      <c r="P416" s="17">
        <f>IFERROR(__xludf.DUMMYFUNCTION("IFERROR(QUERY('Nhật ký nộp hồ sơ '!A:I, ""SELECT I WHERE B = '""&amp;B416&amp;""' ORDER BY A DESC LIMIT 1"", 0))"),46002.0)</f>
        <v>46002</v>
      </c>
      <c r="Q416" s="17">
        <f t="shared" si="2"/>
        <v>46002</v>
      </c>
      <c r="R416" s="16">
        <v>1.0</v>
      </c>
      <c r="S416" s="16"/>
      <c r="T416" s="16"/>
      <c r="U416" s="14"/>
      <c r="V416" s="18" t="s">
        <v>34</v>
      </c>
      <c r="W416" s="16"/>
      <c r="X416" s="16"/>
    </row>
    <row r="417" ht="22.5" hidden="1" customHeight="1">
      <c r="A417" s="11">
        <v>45995.3493480787</v>
      </c>
      <c r="B417" s="12" t="s">
        <v>973</v>
      </c>
      <c r="C417" s="13" t="s">
        <v>974</v>
      </c>
      <c r="D417" s="14"/>
      <c r="E417" s="13" t="s">
        <v>26</v>
      </c>
      <c r="F417" s="13" t="s">
        <v>46</v>
      </c>
      <c r="G417" s="16"/>
      <c r="H417" s="13" t="s">
        <v>28</v>
      </c>
      <c r="I417" s="13" t="s">
        <v>659</v>
      </c>
      <c r="J417" s="14"/>
      <c r="K417" s="16" t="str">
        <f t="array" ref="K417">IFERROR(VLOOKUP(B417, SORT('Nhật ký nộp hồ sơ '!B:D, 'Nhật ký nộp hồ sơ '!A:A, FALSE), 3, FALSE),"")</f>
        <v>Hoàn thành</v>
      </c>
      <c r="L417" s="16" t="str">
        <f t="shared" si="1"/>
        <v>Hoàn thành</v>
      </c>
      <c r="M417" s="13" t="s">
        <v>48</v>
      </c>
      <c r="N417" s="17">
        <f>IFERROR(__xludf.DUMMYFUNCTION("""COMPUTED_VALUE"""),45995.0)</f>
        <v>45995</v>
      </c>
      <c r="O417" s="17">
        <v>45998.0</v>
      </c>
      <c r="P417" s="17">
        <f>IFERROR(__xludf.DUMMYFUNCTION("IFERROR(QUERY('Nhật ký nộp hồ sơ '!A:I, ""SELECT I WHERE B = '""&amp;B417&amp;""' ORDER BY A DESC LIMIT 1"", 0))"),46038.0)</f>
        <v>46038</v>
      </c>
      <c r="Q417" s="17">
        <f t="shared" si="2"/>
        <v>46038</v>
      </c>
      <c r="R417" s="16">
        <v>1.0</v>
      </c>
      <c r="S417" s="16"/>
      <c r="T417" s="16"/>
      <c r="U417" s="14"/>
      <c r="V417" s="18" t="s">
        <v>34</v>
      </c>
      <c r="W417" s="16"/>
      <c r="X417" s="16"/>
    </row>
    <row r="418" ht="22.5" hidden="1" customHeight="1">
      <c r="A418" s="11">
        <v>45995.34977541667</v>
      </c>
      <c r="B418" s="12" t="s">
        <v>975</v>
      </c>
      <c r="C418" s="13" t="s">
        <v>976</v>
      </c>
      <c r="D418" s="14"/>
      <c r="E418" s="13" t="s">
        <v>26</v>
      </c>
      <c r="F418" s="13" t="s">
        <v>46</v>
      </c>
      <c r="G418" s="16"/>
      <c r="H418" s="13" t="s">
        <v>28</v>
      </c>
      <c r="I418" s="13" t="s">
        <v>659</v>
      </c>
      <c r="J418" s="14"/>
      <c r="K418" s="16" t="str">
        <f t="array" ref="K418">IFERROR(VLOOKUP(B418, SORT('Nhật ký nộp hồ sơ '!B:D, 'Nhật ký nộp hồ sơ '!A:A, FALSE), 3, FALSE),"")</f>
        <v>Hoàn thành</v>
      </c>
      <c r="L418" s="16" t="str">
        <f t="shared" si="1"/>
        <v>Hoàn thành</v>
      </c>
      <c r="M418" s="13" t="s">
        <v>48</v>
      </c>
      <c r="N418" s="17">
        <f>IFERROR(__xludf.DUMMYFUNCTION("""COMPUTED_VALUE"""),45995.0)</f>
        <v>45995</v>
      </c>
      <c r="O418" s="17">
        <v>45998.0</v>
      </c>
      <c r="P418" s="17">
        <f>IFERROR(__xludf.DUMMYFUNCTION("IFERROR(QUERY('Nhật ký nộp hồ sơ '!A:I, ""SELECT I WHERE B = '""&amp;B418&amp;""' ORDER BY A DESC LIMIT 1"", 0))"),46036.0)</f>
        <v>46036</v>
      </c>
      <c r="Q418" s="17">
        <f t="shared" si="2"/>
        <v>46036</v>
      </c>
      <c r="R418" s="16">
        <v>1.0</v>
      </c>
      <c r="S418" s="16"/>
      <c r="T418" s="16"/>
      <c r="U418" s="14"/>
      <c r="V418" s="18" t="s">
        <v>34</v>
      </c>
      <c r="W418" s="16"/>
      <c r="X418" s="16"/>
    </row>
    <row r="419" ht="22.5" hidden="1" customHeight="1">
      <c r="A419" s="11">
        <v>45995.66613324074</v>
      </c>
      <c r="B419" s="12" t="s">
        <v>977</v>
      </c>
      <c r="C419" s="13" t="s">
        <v>978</v>
      </c>
      <c r="D419" s="14"/>
      <c r="E419" s="13" t="s">
        <v>88</v>
      </c>
      <c r="F419" s="13" t="s">
        <v>133</v>
      </c>
      <c r="G419" s="20" t="s">
        <v>979</v>
      </c>
      <c r="H419" s="13" t="s">
        <v>47</v>
      </c>
      <c r="I419" s="13" t="s">
        <v>29</v>
      </c>
      <c r="J419" s="18" t="s">
        <v>202</v>
      </c>
      <c r="K419" s="16" t="str">
        <f t="array" ref="K419">IFERROR(VLOOKUP(B419, SORT('Nhật ký nộp hồ sơ '!B:D, 'Nhật ký nộp hồ sơ '!A:A, FALSE), 3, FALSE),"")</f>
        <v>Hoàn thành</v>
      </c>
      <c r="L419" s="16" t="str">
        <f t="shared" si="1"/>
        <v>Hoàn thành</v>
      </c>
      <c r="M419" s="13" t="s">
        <v>41</v>
      </c>
      <c r="N419" s="17">
        <f>IFERROR(__xludf.DUMMYFUNCTION("""COMPUTED_VALUE"""),45995.0)</f>
        <v>45995</v>
      </c>
      <c r="O419" s="17">
        <v>45996.0</v>
      </c>
      <c r="P419" s="17">
        <f>IFERROR(__xludf.DUMMYFUNCTION("IFERROR(QUERY('Nhật ký nộp hồ sơ '!A:I, ""SELECT I WHERE B = '""&amp;B419&amp;""' ORDER BY A DESC LIMIT 1"", 0))"),45995.0)</f>
        <v>45995</v>
      </c>
      <c r="Q419" s="17">
        <f t="shared" si="2"/>
        <v>45995</v>
      </c>
      <c r="R419" s="16">
        <v>1.0</v>
      </c>
      <c r="S419" s="16"/>
      <c r="T419" s="16"/>
      <c r="U419" s="14"/>
      <c r="V419" s="18" t="s">
        <v>34</v>
      </c>
      <c r="W419" s="16"/>
      <c r="X419" s="16"/>
    </row>
    <row r="420" ht="22.5" hidden="1" customHeight="1">
      <c r="A420" s="11">
        <v>45995.66664837963</v>
      </c>
      <c r="B420" s="12" t="s">
        <v>980</v>
      </c>
      <c r="C420" s="13" t="s">
        <v>978</v>
      </c>
      <c r="D420" s="14"/>
      <c r="E420" s="13" t="s">
        <v>88</v>
      </c>
      <c r="F420" s="13" t="s">
        <v>133</v>
      </c>
      <c r="G420" s="20" t="s">
        <v>979</v>
      </c>
      <c r="H420" s="13" t="s">
        <v>47</v>
      </c>
      <c r="I420" s="13" t="s">
        <v>29</v>
      </c>
      <c r="J420" s="18" t="s">
        <v>202</v>
      </c>
      <c r="K420" s="16" t="str">
        <f t="array" ref="K420">IFERROR(VLOOKUP(B420, SORT('Nhật ký nộp hồ sơ '!B:D, 'Nhật ký nộp hồ sơ '!A:A, FALSE), 3, FALSE),"")</f>
        <v>Hoàn thành</v>
      </c>
      <c r="L420" s="16" t="str">
        <f t="shared" si="1"/>
        <v>Hoàn thành</v>
      </c>
      <c r="M420" s="13" t="s">
        <v>41</v>
      </c>
      <c r="N420" s="17">
        <f>IFERROR(__xludf.DUMMYFUNCTION("""COMPUTED_VALUE"""),45995.0)</f>
        <v>45995</v>
      </c>
      <c r="O420" s="17">
        <v>45996.0</v>
      </c>
      <c r="P420" s="17">
        <f>IFERROR(__xludf.DUMMYFUNCTION("IFERROR(QUERY('Nhật ký nộp hồ sơ '!A:I, ""SELECT I WHERE B = '""&amp;B420&amp;""' ORDER BY A DESC LIMIT 1"", 0))"),45995.0)</f>
        <v>45995</v>
      </c>
      <c r="Q420" s="17">
        <f t="shared" si="2"/>
        <v>45995</v>
      </c>
      <c r="R420" s="16">
        <v>4.0</v>
      </c>
      <c r="S420" s="16"/>
      <c r="T420" s="16"/>
      <c r="U420" s="14"/>
      <c r="V420" s="18" t="s">
        <v>34</v>
      </c>
      <c r="W420" s="16"/>
      <c r="X420" s="16"/>
    </row>
    <row r="421" ht="22.5" hidden="1" customHeight="1">
      <c r="A421" s="11">
        <v>45996.37823306713</v>
      </c>
      <c r="B421" s="12" t="s">
        <v>981</v>
      </c>
      <c r="C421" s="13" t="s">
        <v>499</v>
      </c>
      <c r="D421" s="14"/>
      <c r="E421" s="13" t="s">
        <v>74</v>
      </c>
      <c r="F421" s="13" t="s">
        <v>89</v>
      </c>
      <c r="G421" s="16"/>
      <c r="H421" s="13" t="s">
        <v>28</v>
      </c>
      <c r="I421" s="13" t="s">
        <v>81</v>
      </c>
      <c r="J421" s="14"/>
      <c r="K421" s="16" t="str">
        <f t="array" ref="K421">IFERROR(VLOOKUP(B421, SORT('Nhật ký nộp hồ sơ '!B:D, 'Nhật ký nộp hồ sơ '!A:A, FALSE), 3, FALSE),"")</f>
        <v>Hoàn thành</v>
      </c>
      <c r="L421" s="16" t="str">
        <f t="shared" si="1"/>
        <v>Hoàn thành</v>
      </c>
      <c r="M421" s="13" t="s">
        <v>56</v>
      </c>
      <c r="N421" s="17">
        <f>IFERROR(__xludf.DUMMYFUNCTION("""COMPUTED_VALUE"""),45996.0)</f>
        <v>45996</v>
      </c>
      <c r="O421" s="17">
        <v>45999.0</v>
      </c>
      <c r="P421" s="17">
        <f>IFERROR(__xludf.DUMMYFUNCTION("IFERROR(QUERY('Nhật ký nộp hồ sơ '!A:I, ""SELECT I WHERE B = '""&amp;B421&amp;""' ORDER BY A DESC LIMIT 1"", 0))"),46155.0)</f>
        <v>46155</v>
      </c>
      <c r="Q421" s="17">
        <f t="shared" si="2"/>
        <v>46155</v>
      </c>
      <c r="R421" s="16">
        <v>1.0</v>
      </c>
      <c r="S421" s="16"/>
      <c r="T421" s="16"/>
      <c r="U421" s="14"/>
      <c r="V421" s="18" t="s">
        <v>34</v>
      </c>
      <c r="W421" s="16"/>
      <c r="X421" s="16"/>
    </row>
    <row r="422" ht="22.5" hidden="1" customHeight="1">
      <c r="A422" s="11">
        <v>45996.379873784725</v>
      </c>
      <c r="B422" s="12" t="s">
        <v>982</v>
      </c>
      <c r="C422" s="13" t="s">
        <v>983</v>
      </c>
      <c r="D422" s="14"/>
      <c r="E422" s="13" t="s">
        <v>151</v>
      </c>
      <c r="F422" s="13" t="s">
        <v>133</v>
      </c>
      <c r="G422" s="20" t="s">
        <v>984</v>
      </c>
      <c r="H422" s="13" t="s">
        <v>29</v>
      </c>
      <c r="I422" s="13" t="s">
        <v>659</v>
      </c>
      <c r="J422" s="14"/>
      <c r="K422" s="16" t="str">
        <f t="array" ref="K422">IFERROR(VLOOKUP(B422, SORT('Nhật ký nộp hồ sơ '!B:D, 'Nhật ký nộp hồ sơ '!A:A, FALSE), 3, FALSE),"")</f>
        <v>Hoàn thành</v>
      </c>
      <c r="L422" s="16" t="str">
        <f t="shared" si="1"/>
        <v>Hoàn thành</v>
      </c>
      <c r="M422" s="13" t="s">
        <v>41</v>
      </c>
      <c r="N422" s="17">
        <f>IFERROR(__xludf.DUMMYFUNCTION("""COMPUTED_VALUE"""),45996.0)</f>
        <v>45996</v>
      </c>
      <c r="O422" s="17">
        <v>45999.0</v>
      </c>
      <c r="P422" s="17">
        <f>IFERROR(__xludf.DUMMYFUNCTION("IFERROR(QUERY('Nhật ký nộp hồ sơ '!A:I, ""SELECT I WHERE B = '""&amp;B422&amp;""' ORDER BY A DESC LIMIT 1"", 0))"),45996.0)</f>
        <v>45996</v>
      </c>
      <c r="Q422" s="17">
        <f t="shared" si="2"/>
        <v>45996</v>
      </c>
      <c r="R422" s="16">
        <v>1.0</v>
      </c>
      <c r="S422" s="16"/>
      <c r="T422" s="16"/>
      <c r="U422" s="14"/>
      <c r="V422" s="18" t="s">
        <v>34</v>
      </c>
      <c r="W422" s="16"/>
      <c r="X422" s="16"/>
    </row>
    <row r="423" ht="22.5" hidden="1" customHeight="1">
      <c r="A423" s="11">
        <v>45996.38351018519</v>
      </c>
      <c r="B423" s="12" t="s">
        <v>985</v>
      </c>
      <c r="C423" s="13" t="s">
        <v>986</v>
      </c>
      <c r="D423" s="14"/>
      <c r="E423" s="13" t="s">
        <v>151</v>
      </c>
      <c r="F423" s="27" t="s">
        <v>219</v>
      </c>
      <c r="G423" s="16"/>
      <c r="H423" s="13" t="s">
        <v>29</v>
      </c>
      <c r="I423" s="13" t="s">
        <v>659</v>
      </c>
      <c r="J423" s="14"/>
      <c r="K423" s="16" t="str">
        <f t="array" ref="K423">IFERROR(VLOOKUP(B423, SORT('Nhật ký nộp hồ sơ '!B:D, 'Nhật ký nộp hồ sơ '!A:A, FALSE), 3, FALSE),"")</f>
        <v>Hoàn thành</v>
      </c>
      <c r="L423" s="16" t="str">
        <f t="shared" si="1"/>
        <v>Hoàn thành</v>
      </c>
      <c r="M423" s="13" t="s">
        <v>56</v>
      </c>
      <c r="N423" s="17">
        <f>IFERROR(__xludf.DUMMYFUNCTION("""COMPUTED_VALUE"""),45996.0)</f>
        <v>45996</v>
      </c>
      <c r="O423" s="17">
        <v>45999.0</v>
      </c>
      <c r="P423" s="17">
        <f>IFERROR(__xludf.DUMMYFUNCTION("IFERROR(QUERY('Nhật ký nộp hồ sơ '!A:I, ""SELECT I WHERE B = '""&amp;B423&amp;""' ORDER BY A DESC LIMIT 1"", 0))"),46009.0)</f>
        <v>46009</v>
      </c>
      <c r="Q423" s="17">
        <f t="shared" si="2"/>
        <v>46009</v>
      </c>
      <c r="R423" s="16">
        <v>1.0</v>
      </c>
      <c r="S423" s="16"/>
      <c r="T423" s="16"/>
      <c r="U423" s="14"/>
      <c r="V423" s="18" t="s">
        <v>34</v>
      </c>
      <c r="W423" s="16"/>
      <c r="X423" s="16"/>
    </row>
    <row r="424" ht="22.5" hidden="1" customHeight="1">
      <c r="A424" s="11">
        <v>45996.427798425924</v>
      </c>
      <c r="B424" s="12" t="s">
        <v>987</v>
      </c>
      <c r="C424" s="13" t="s">
        <v>978</v>
      </c>
      <c r="D424" s="14"/>
      <c r="E424" s="13" t="s">
        <v>88</v>
      </c>
      <c r="F424" s="13" t="s">
        <v>133</v>
      </c>
      <c r="G424" s="20" t="s">
        <v>979</v>
      </c>
      <c r="H424" s="13" t="s">
        <v>28</v>
      </c>
      <c r="I424" s="13" t="s">
        <v>81</v>
      </c>
      <c r="J424" s="14"/>
      <c r="K424" s="16" t="str">
        <f t="array" ref="K424">IFERROR(VLOOKUP(B424, SORT('Nhật ký nộp hồ sơ '!B:D, 'Nhật ký nộp hồ sơ '!A:A, FALSE), 3, FALSE),"")</f>
        <v>Hoàn thành</v>
      </c>
      <c r="L424" s="16" t="str">
        <f t="shared" si="1"/>
        <v>Hoàn thành</v>
      </c>
      <c r="M424" s="13" t="s">
        <v>181</v>
      </c>
      <c r="N424" s="17">
        <f>IFERROR(__xludf.DUMMYFUNCTION("""COMPUTED_VALUE"""),45996.0)</f>
        <v>45996</v>
      </c>
      <c r="O424" s="17">
        <v>45999.0</v>
      </c>
      <c r="P424" s="17">
        <f>IFERROR(__xludf.DUMMYFUNCTION("IFERROR(QUERY('Nhật ký nộp hồ sơ '!A:I, ""SELECT I WHERE B = '""&amp;B424&amp;""' ORDER BY A DESC LIMIT 1"", 0))"),46000.0)</f>
        <v>46000</v>
      </c>
      <c r="Q424" s="17">
        <f t="shared" si="2"/>
        <v>46000</v>
      </c>
      <c r="R424" s="16">
        <v>1.0</v>
      </c>
      <c r="S424" s="16"/>
      <c r="T424" s="16"/>
      <c r="U424" s="14"/>
      <c r="V424" s="18" t="s">
        <v>34</v>
      </c>
      <c r="W424" s="16"/>
      <c r="X424" s="16"/>
    </row>
    <row r="425" ht="22.5" hidden="1" customHeight="1">
      <c r="A425" s="11">
        <v>45996.428687314816</v>
      </c>
      <c r="B425" s="12" t="s">
        <v>988</v>
      </c>
      <c r="C425" s="13" t="s">
        <v>978</v>
      </c>
      <c r="D425" s="14"/>
      <c r="E425" s="13" t="s">
        <v>88</v>
      </c>
      <c r="F425" s="13" t="s">
        <v>133</v>
      </c>
      <c r="G425" s="20" t="s">
        <v>979</v>
      </c>
      <c r="H425" s="13" t="s">
        <v>28</v>
      </c>
      <c r="I425" s="13" t="s">
        <v>81</v>
      </c>
      <c r="J425" s="14"/>
      <c r="K425" s="16" t="str">
        <f t="array" ref="K425">IFERROR(VLOOKUP(B425, SORT('Nhật ký nộp hồ sơ '!B:D, 'Nhật ký nộp hồ sơ '!A:A, FALSE), 3, FALSE),"")</f>
        <v>Hoàn thành</v>
      </c>
      <c r="L425" s="16" t="str">
        <f t="shared" si="1"/>
        <v>Hoàn thành</v>
      </c>
      <c r="M425" s="13" t="s">
        <v>181</v>
      </c>
      <c r="N425" s="17">
        <f>IFERROR(__xludf.DUMMYFUNCTION("""COMPUTED_VALUE"""),45996.0)</f>
        <v>45996</v>
      </c>
      <c r="O425" s="17">
        <v>45999.0</v>
      </c>
      <c r="P425" s="17">
        <f>IFERROR(__xludf.DUMMYFUNCTION("IFERROR(QUERY('Nhật ký nộp hồ sơ '!A:I, ""SELECT I WHERE B = '""&amp;B425&amp;""' ORDER BY A DESC LIMIT 1"", 0))"),46000.0)</f>
        <v>46000</v>
      </c>
      <c r="Q425" s="17">
        <f t="shared" si="2"/>
        <v>46000</v>
      </c>
      <c r="R425" s="16">
        <v>1.0</v>
      </c>
      <c r="S425" s="16"/>
      <c r="T425" s="16"/>
      <c r="U425" s="14"/>
      <c r="V425" s="18" t="s">
        <v>34</v>
      </c>
      <c r="W425" s="16"/>
      <c r="X425" s="16"/>
    </row>
    <row r="426" ht="22.5" hidden="1" customHeight="1">
      <c r="A426" s="11">
        <v>45996.70182957176</v>
      </c>
      <c r="B426" s="12" t="s">
        <v>989</v>
      </c>
      <c r="C426" s="13" t="s">
        <v>990</v>
      </c>
      <c r="D426" s="14"/>
      <c r="E426" s="13" t="s">
        <v>26</v>
      </c>
      <c r="F426" s="13" t="s">
        <v>338</v>
      </c>
      <c r="G426" s="16"/>
      <c r="H426" s="13" t="s">
        <v>69</v>
      </c>
      <c r="I426" s="13" t="s">
        <v>81</v>
      </c>
      <c r="J426" s="14"/>
      <c r="K426" s="16" t="str">
        <f t="array" ref="K426">IFERROR(VLOOKUP(B426, SORT('Nhật ký nộp hồ sơ '!B:D, 'Nhật ký nộp hồ sơ '!A:A, FALSE), 3, FALSE),"")</f>
        <v>Nộp thành công - Chờ kết quả</v>
      </c>
      <c r="L426" s="16" t="str">
        <f t="shared" si="1"/>
        <v>Đã nộp</v>
      </c>
      <c r="M426" s="13" t="s">
        <v>181</v>
      </c>
      <c r="N426" s="17">
        <f>IFERROR(__xludf.DUMMYFUNCTION("""COMPUTED_VALUE"""),45996.0)</f>
        <v>45996</v>
      </c>
      <c r="O426" s="17">
        <v>45999.0</v>
      </c>
      <c r="P426" s="17">
        <f>IFERROR(__xludf.DUMMYFUNCTION("IFERROR(QUERY('Nhật ký nộp hồ sơ '!A:I, ""SELECT I WHERE B = '""&amp;B426&amp;""' ORDER BY A DESC LIMIT 1"", 0))"),45999.0)</f>
        <v>45999</v>
      </c>
      <c r="Q426" s="17" t="str">
        <f t="shared" si="2"/>
        <v/>
      </c>
      <c r="R426" s="16">
        <v>1.0</v>
      </c>
      <c r="S426" s="16"/>
      <c r="T426" s="16"/>
      <c r="U426" s="14"/>
      <c r="V426" s="18" t="s">
        <v>34</v>
      </c>
      <c r="W426" s="16"/>
      <c r="X426" s="16"/>
    </row>
    <row r="427" ht="22.5" hidden="1" customHeight="1">
      <c r="A427" s="11">
        <v>45997.58489518518</v>
      </c>
      <c r="B427" s="12" t="s">
        <v>991</v>
      </c>
      <c r="C427" s="13" t="s">
        <v>992</v>
      </c>
      <c r="D427" s="14"/>
      <c r="E427" s="13" t="s">
        <v>132</v>
      </c>
      <c r="F427" s="13" t="s">
        <v>176</v>
      </c>
      <c r="G427" s="16"/>
      <c r="H427" s="13" t="s">
        <v>29</v>
      </c>
      <c r="I427" s="13" t="s">
        <v>659</v>
      </c>
      <c r="J427" s="14"/>
      <c r="K427" s="16" t="str">
        <f t="array" ref="K427">IFERROR(VLOOKUP(B427, SORT('Nhật ký nộp hồ sơ '!B:D, 'Nhật ký nộp hồ sơ '!A:A, FALSE), 3, FALSE),"")</f>
        <v>Hoàn thành</v>
      </c>
      <c r="L427" s="16" t="str">
        <f t="shared" si="1"/>
        <v>Hoàn thành</v>
      </c>
      <c r="M427" s="13" t="s">
        <v>56</v>
      </c>
      <c r="N427" s="17">
        <f>IFERROR(__xludf.DUMMYFUNCTION("""COMPUTED_VALUE"""),45997.0)</f>
        <v>45997</v>
      </c>
      <c r="O427" s="17">
        <v>46000.0</v>
      </c>
      <c r="P427" s="17">
        <f>IFERROR(__xludf.DUMMYFUNCTION("IFERROR(QUERY('Nhật ký nộp hồ sơ '!A:I, ""SELECT I WHERE B = '""&amp;B427&amp;""' ORDER BY A DESC LIMIT 1"", 0))"),46044.0)</f>
        <v>46044</v>
      </c>
      <c r="Q427" s="17">
        <f t="shared" si="2"/>
        <v>46044</v>
      </c>
      <c r="R427" s="16">
        <v>1.0</v>
      </c>
      <c r="S427" s="16"/>
      <c r="T427" s="13" t="s">
        <v>993</v>
      </c>
      <c r="U427" s="14"/>
      <c r="V427" s="18" t="s">
        <v>34</v>
      </c>
      <c r="W427" s="16"/>
      <c r="X427" s="16"/>
    </row>
    <row r="428" ht="22.5" hidden="1" customHeight="1">
      <c r="A428" s="11">
        <v>46000.40072283565</v>
      </c>
      <c r="B428" s="12" t="s">
        <v>994</v>
      </c>
      <c r="C428" s="13" t="s">
        <v>793</v>
      </c>
      <c r="D428" s="14"/>
      <c r="E428" s="13" t="s">
        <v>26</v>
      </c>
      <c r="F428" s="13" t="s">
        <v>462</v>
      </c>
      <c r="G428" s="16"/>
      <c r="H428" s="13" t="s">
        <v>29</v>
      </c>
      <c r="I428" s="13" t="s">
        <v>81</v>
      </c>
      <c r="J428" s="14"/>
      <c r="K428" s="16" t="str">
        <f t="array" ref="K428">IFERROR(VLOOKUP(B428, SORT('Nhật ký nộp hồ sơ '!B:D, 'Nhật ký nộp hồ sơ '!A:A, FALSE), 3, FALSE),"")</f>
        <v>Hoàn thành</v>
      </c>
      <c r="L428" s="16" t="str">
        <f t="shared" si="1"/>
        <v>Hoàn thành</v>
      </c>
      <c r="M428" s="13" t="s">
        <v>181</v>
      </c>
      <c r="N428" s="17">
        <f>IFERROR(__xludf.DUMMYFUNCTION("""COMPUTED_VALUE"""),46000.0)</f>
        <v>46000</v>
      </c>
      <c r="O428" s="17">
        <v>46003.0</v>
      </c>
      <c r="P428" s="17">
        <f>IFERROR(__xludf.DUMMYFUNCTION("IFERROR(QUERY('Nhật ký nộp hồ sơ '!A:I, ""SELECT I WHERE B = '""&amp;B428&amp;""' ORDER BY A DESC LIMIT 1"", 0))"),46009.0)</f>
        <v>46009</v>
      </c>
      <c r="Q428" s="17">
        <f t="shared" si="2"/>
        <v>46009</v>
      </c>
      <c r="R428" s="16">
        <v>4.0</v>
      </c>
      <c r="S428" s="16"/>
      <c r="T428" s="16"/>
      <c r="U428" s="14"/>
      <c r="V428" s="18" t="s">
        <v>34</v>
      </c>
      <c r="W428" s="16"/>
      <c r="X428" s="16"/>
    </row>
    <row r="429" ht="22.5" hidden="1" customHeight="1">
      <c r="A429" s="11">
        <v>46000.402825474535</v>
      </c>
      <c r="B429" s="12" t="s">
        <v>995</v>
      </c>
      <c r="C429" s="13" t="s">
        <v>553</v>
      </c>
      <c r="D429" s="14"/>
      <c r="E429" s="13" t="s">
        <v>53</v>
      </c>
      <c r="F429" s="13" t="s">
        <v>554</v>
      </c>
      <c r="G429" s="16"/>
      <c r="H429" s="13" t="s">
        <v>28</v>
      </c>
      <c r="I429" s="13" t="s">
        <v>81</v>
      </c>
      <c r="J429" s="14"/>
      <c r="K429" s="16" t="str">
        <f t="array" ref="K429">IFERROR(VLOOKUP(B429, SORT('Nhật ký nộp hồ sơ '!B:D, 'Nhật ký nộp hồ sơ '!A:A, FALSE), 3, FALSE),"")</f>
        <v>Hoàn thành</v>
      </c>
      <c r="L429" s="16" t="str">
        <f t="shared" si="1"/>
        <v>Hoàn thành</v>
      </c>
      <c r="M429" s="13" t="s">
        <v>56</v>
      </c>
      <c r="N429" s="17">
        <f>IFERROR(__xludf.DUMMYFUNCTION("""COMPUTED_VALUE"""),46000.0)</f>
        <v>46000</v>
      </c>
      <c r="O429" s="17">
        <v>46003.0</v>
      </c>
      <c r="P429" s="17">
        <f>IFERROR(__xludf.DUMMYFUNCTION("IFERROR(QUERY('Nhật ký nộp hồ sơ '!A:I, ""SELECT I WHERE B = '""&amp;B429&amp;""' ORDER BY A DESC LIMIT 1"", 0))"),46010.0)</f>
        <v>46010</v>
      </c>
      <c r="Q429" s="17">
        <f t="shared" si="2"/>
        <v>46010</v>
      </c>
      <c r="R429" s="16">
        <v>1.0</v>
      </c>
      <c r="S429" s="16"/>
      <c r="T429" s="16"/>
      <c r="U429" s="14"/>
      <c r="V429" s="18" t="s">
        <v>34</v>
      </c>
      <c r="W429" s="16"/>
      <c r="X429" s="16"/>
    </row>
    <row r="430" ht="22.5" hidden="1" customHeight="1">
      <c r="A430" s="11">
        <v>46000.40480819445</v>
      </c>
      <c r="B430" s="12" t="s">
        <v>996</v>
      </c>
      <c r="C430" s="13" t="s">
        <v>553</v>
      </c>
      <c r="D430" s="14"/>
      <c r="E430" s="13" t="s">
        <v>53</v>
      </c>
      <c r="F430" s="13" t="s">
        <v>554</v>
      </c>
      <c r="G430" s="16"/>
      <c r="H430" s="13" t="s">
        <v>28</v>
      </c>
      <c r="I430" s="13" t="s">
        <v>81</v>
      </c>
      <c r="J430" s="14"/>
      <c r="K430" s="16" t="str">
        <f t="array" ref="K430">IFERROR(VLOOKUP(B430, SORT('Nhật ký nộp hồ sơ '!B:D, 'Nhật ký nộp hồ sơ '!A:A, FALSE), 3, FALSE),"")</f>
        <v>Hoàn thành</v>
      </c>
      <c r="L430" s="16" t="str">
        <f t="shared" si="1"/>
        <v>Hoàn thành</v>
      </c>
      <c r="M430" s="13" t="s">
        <v>216</v>
      </c>
      <c r="N430" s="17">
        <f>IFERROR(__xludf.DUMMYFUNCTION("""COMPUTED_VALUE"""),46000.0)</f>
        <v>46000</v>
      </c>
      <c r="O430" s="17">
        <v>46003.0</v>
      </c>
      <c r="P430" s="17">
        <f>IFERROR(__xludf.DUMMYFUNCTION("IFERROR(QUERY('Nhật ký nộp hồ sơ '!A:I, ""SELECT I WHERE B = '""&amp;B430&amp;""' ORDER BY A DESC LIMIT 1"", 0))"),46000.0)</f>
        <v>46000</v>
      </c>
      <c r="Q430" s="17">
        <f t="shared" si="2"/>
        <v>46000</v>
      </c>
      <c r="R430" s="16">
        <v>3.0</v>
      </c>
      <c r="S430" s="16"/>
      <c r="T430" s="16"/>
      <c r="U430" s="14"/>
      <c r="V430" s="18" t="s">
        <v>34</v>
      </c>
      <c r="W430" s="13">
        <v>10.0</v>
      </c>
      <c r="X430" s="13" t="s">
        <v>687</v>
      </c>
    </row>
    <row r="431" ht="22.5" hidden="1" customHeight="1">
      <c r="A431" s="11">
        <v>46000.405367175925</v>
      </c>
      <c r="B431" s="12" t="s">
        <v>997</v>
      </c>
      <c r="C431" s="13" t="s">
        <v>553</v>
      </c>
      <c r="D431" s="14"/>
      <c r="E431" s="13" t="s">
        <v>53</v>
      </c>
      <c r="F431" s="13" t="s">
        <v>554</v>
      </c>
      <c r="G431" s="16"/>
      <c r="H431" s="13" t="s">
        <v>28</v>
      </c>
      <c r="I431" s="13" t="s">
        <v>81</v>
      </c>
      <c r="J431" s="14"/>
      <c r="K431" s="16" t="str">
        <f t="array" ref="K431">IFERROR(VLOOKUP(B431, SORT('Nhật ký nộp hồ sơ '!B:D, 'Nhật ký nộp hồ sơ '!A:A, FALSE), 3, FALSE),"")</f>
        <v>Hoàn thành</v>
      </c>
      <c r="L431" s="16" t="str">
        <f t="shared" si="1"/>
        <v>Hoàn thành</v>
      </c>
      <c r="M431" s="13" t="s">
        <v>146</v>
      </c>
      <c r="N431" s="17">
        <f>IFERROR(__xludf.DUMMYFUNCTION("""COMPUTED_VALUE"""),46000.0)</f>
        <v>46000</v>
      </c>
      <c r="O431" s="17">
        <v>46003.0</v>
      </c>
      <c r="P431" s="17">
        <f>IFERROR(__xludf.DUMMYFUNCTION("IFERROR(QUERY('Nhật ký nộp hồ sơ '!A:I, ""SELECT I WHERE B = '""&amp;B431&amp;""' ORDER BY A DESC LIMIT 1"", 0))"),46000.0)</f>
        <v>46000</v>
      </c>
      <c r="Q431" s="17">
        <f t="shared" si="2"/>
        <v>46000</v>
      </c>
      <c r="R431" s="16">
        <v>1.0</v>
      </c>
      <c r="S431" s="16"/>
      <c r="T431" s="16"/>
      <c r="U431" s="14"/>
      <c r="V431" s="18" t="s">
        <v>34</v>
      </c>
      <c r="W431" s="16"/>
      <c r="X431" s="16"/>
    </row>
    <row r="432" ht="22.5" hidden="1" customHeight="1">
      <c r="A432" s="11">
        <v>46000.44680605324</v>
      </c>
      <c r="B432" s="12" t="s">
        <v>998</v>
      </c>
      <c r="C432" s="13" t="s">
        <v>856</v>
      </c>
      <c r="D432" s="14"/>
      <c r="E432" s="13" t="s">
        <v>53</v>
      </c>
      <c r="F432" s="13" t="s">
        <v>133</v>
      </c>
      <c r="G432" s="20" t="s">
        <v>857</v>
      </c>
      <c r="H432" s="13" t="s">
        <v>28</v>
      </c>
      <c r="I432" s="13" t="s">
        <v>81</v>
      </c>
      <c r="J432" s="14"/>
      <c r="K432" s="16" t="str">
        <f t="array" ref="K432">IFERROR(VLOOKUP(B432, SORT('Nhật ký nộp hồ sơ '!B:D, 'Nhật ký nộp hồ sơ '!A:A, FALSE), 3, FALSE),"")</f>
        <v>Hoàn thành</v>
      </c>
      <c r="L432" s="16" t="str">
        <f t="shared" si="1"/>
        <v>Hoàn thành</v>
      </c>
      <c r="M432" s="13" t="s">
        <v>216</v>
      </c>
      <c r="N432" s="17">
        <f>IFERROR(__xludf.DUMMYFUNCTION("""COMPUTED_VALUE"""),46000.0)</f>
        <v>46000</v>
      </c>
      <c r="O432" s="17">
        <v>46003.0</v>
      </c>
      <c r="P432" s="17">
        <f>IFERROR(__xludf.DUMMYFUNCTION("IFERROR(QUERY('Nhật ký nộp hồ sơ '!A:I, ""SELECT I WHERE B = '""&amp;B432&amp;""' ORDER BY A DESC LIMIT 1"", 0))"),46000.0)</f>
        <v>46000</v>
      </c>
      <c r="Q432" s="17">
        <f t="shared" si="2"/>
        <v>46000</v>
      </c>
      <c r="R432" s="16">
        <v>1.0</v>
      </c>
      <c r="S432" s="16"/>
      <c r="T432" s="16"/>
      <c r="U432" s="14"/>
      <c r="V432" s="18" t="s">
        <v>34</v>
      </c>
      <c r="W432" s="13">
        <v>10.0</v>
      </c>
      <c r="X432" s="13" t="s">
        <v>687</v>
      </c>
    </row>
    <row r="433" ht="22.5" hidden="1" customHeight="1">
      <c r="A433" s="11">
        <v>46000.46897996528</v>
      </c>
      <c r="B433" s="12" t="s">
        <v>999</v>
      </c>
      <c r="C433" s="13" t="s">
        <v>1000</v>
      </c>
      <c r="D433" s="14"/>
      <c r="E433" s="13" t="s">
        <v>45</v>
      </c>
      <c r="F433" s="13" t="s">
        <v>133</v>
      </c>
      <c r="G433" s="20" t="s">
        <v>1001</v>
      </c>
      <c r="H433" s="13" t="s">
        <v>29</v>
      </c>
      <c r="I433" s="13" t="s">
        <v>659</v>
      </c>
      <c r="J433" s="14"/>
      <c r="K433" s="16" t="str">
        <f t="array" ref="K433">IFERROR(VLOOKUP(B433, SORT('Nhật ký nộp hồ sơ '!B:D, 'Nhật ký nộp hồ sơ '!A:A, FALSE), 3, FALSE),"")</f>
        <v>Hủy</v>
      </c>
      <c r="L433" s="16" t="str">
        <f t="shared" si="1"/>
        <v>ĐÃ HỦY</v>
      </c>
      <c r="M433" s="13" t="s">
        <v>56</v>
      </c>
      <c r="N433" s="17">
        <f>IFERROR(__xludf.DUMMYFUNCTION("""COMPUTED_VALUE"""),46000.0)</f>
        <v>46000</v>
      </c>
      <c r="O433" s="17">
        <v>46003.0</v>
      </c>
      <c r="P433" s="17">
        <f>IFERROR(__xludf.DUMMYFUNCTION("IFERROR(QUERY('Nhật ký nộp hồ sơ '!A:I, ""SELECT I WHERE B = '""&amp;B433&amp;""' ORDER BY A DESC LIMIT 1"", 0))"),46039.0)</f>
        <v>46039</v>
      </c>
      <c r="Q433" s="17" t="str">
        <f t="shared" si="2"/>
        <v/>
      </c>
      <c r="R433" s="16">
        <v>3.0</v>
      </c>
      <c r="S433" s="16"/>
      <c r="T433" s="13" t="s">
        <v>1002</v>
      </c>
      <c r="U433" s="14"/>
      <c r="V433" s="18" t="s">
        <v>34</v>
      </c>
      <c r="W433" s="16"/>
      <c r="X433" s="16"/>
    </row>
    <row r="434" ht="22.5" hidden="1" customHeight="1">
      <c r="A434" s="11">
        <v>46000.47000410879</v>
      </c>
      <c r="B434" s="12" t="s">
        <v>1003</v>
      </c>
      <c r="C434" s="13" t="s">
        <v>1004</v>
      </c>
      <c r="D434" s="14"/>
      <c r="E434" s="13" t="s">
        <v>26</v>
      </c>
      <c r="F434" s="13" t="s">
        <v>191</v>
      </c>
      <c r="G434" s="16"/>
      <c r="H434" s="13" t="s">
        <v>29</v>
      </c>
      <c r="I434" s="13" t="s">
        <v>659</v>
      </c>
      <c r="J434" s="14"/>
      <c r="K434" s="16" t="str">
        <f t="array" ref="K434">IFERROR(VLOOKUP(B434, SORT('Nhật ký nộp hồ sơ '!B:D, 'Nhật ký nộp hồ sơ '!A:A, FALSE), 3, FALSE),"")</f>
        <v>Hoàn thành</v>
      </c>
      <c r="L434" s="16" t="str">
        <f t="shared" si="1"/>
        <v>Hoàn thành</v>
      </c>
      <c r="M434" s="13" t="s">
        <v>30</v>
      </c>
      <c r="N434" s="17">
        <f>IFERROR(__xludf.DUMMYFUNCTION("""COMPUTED_VALUE"""),46000.0)</f>
        <v>46000</v>
      </c>
      <c r="O434" s="17">
        <v>46003.0</v>
      </c>
      <c r="P434" s="17">
        <f>IFERROR(__xludf.DUMMYFUNCTION("IFERROR(QUERY('Nhật ký nộp hồ sơ '!A:I, ""SELECT I WHERE B = '""&amp;B434&amp;""' ORDER BY A DESC LIMIT 1"", 0))"),46183.0)</f>
        <v>46183</v>
      </c>
      <c r="Q434" s="17">
        <f t="shared" si="2"/>
        <v>46183</v>
      </c>
      <c r="R434" s="16">
        <v>1.0</v>
      </c>
      <c r="S434" s="16"/>
      <c r="T434" s="13" t="s">
        <v>1005</v>
      </c>
      <c r="U434" s="14"/>
      <c r="V434" s="18" t="s">
        <v>34</v>
      </c>
      <c r="W434" s="16"/>
      <c r="X434" s="16"/>
    </row>
    <row r="435" ht="22.5" hidden="1" customHeight="1">
      <c r="A435" s="11">
        <v>46000.47772152778</v>
      </c>
      <c r="B435" s="12" t="s">
        <v>1006</v>
      </c>
      <c r="C435" s="13" t="s">
        <v>1007</v>
      </c>
      <c r="D435" s="14"/>
      <c r="E435" s="13" t="s">
        <v>26</v>
      </c>
      <c r="F435" s="13" t="s">
        <v>133</v>
      </c>
      <c r="G435" s="20" t="s">
        <v>1008</v>
      </c>
      <c r="H435" s="13" t="s">
        <v>29</v>
      </c>
      <c r="I435" s="13" t="s">
        <v>659</v>
      </c>
      <c r="J435" s="14"/>
      <c r="K435" s="16" t="str">
        <f t="array" ref="K435">IFERROR(VLOOKUP(B435, SORT('Nhật ký nộp hồ sơ '!B:D, 'Nhật ký nộp hồ sơ '!A:A, FALSE), 3, FALSE),"")</f>
        <v>Hủy</v>
      </c>
      <c r="L435" s="16" t="str">
        <f t="shared" si="1"/>
        <v>ĐÃ HỦY</v>
      </c>
      <c r="M435" s="13" t="s">
        <v>56</v>
      </c>
      <c r="N435" s="17">
        <f>IFERROR(__xludf.DUMMYFUNCTION("""COMPUTED_VALUE"""),46000.0)</f>
        <v>46000</v>
      </c>
      <c r="O435" s="17">
        <v>46003.0</v>
      </c>
      <c r="P435" s="17">
        <f>IFERROR(__xludf.DUMMYFUNCTION("IFERROR(QUERY('Nhật ký nộp hồ sơ '!A:I, ""SELECT I WHERE B = '""&amp;B435&amp;""' ORDER BY A DESC LIMIT 1"", 0))"),46039.0)</f>
        <v>46039</v>
      </c>
      <c r="Q435" s="17" t="str">
        <f t="shared" si="2"/>
        <v/>
      </c>
      <c r="R435" s="16">
        <v>3.0</v>
      </c>
      <c r="S435" s="16"/>
      <c r="T435" s="13" t="s">
        <v>1009</v>
      </c>
      <c r="U435" s="14"/>
      <c r="V435" s="18" t="s">
        <v>34</v>
      </c>
      <c r="W435" s="16"/>
      <c r="X435" s="16"/>
    </row>
    <row r="436" ht="22.5" hidden="1" customHeight="1">
      <c r="A436" s="11">
        <v>46000.51049738426</v>
      </c>
      <c r="B436" s="12" t="s">
        <v>1010</v>
      </c>
      <c r="C436" s="13" t="s">
        <v>967</v>
      </c>
      <c r="D436" s="14"/>
      <c r="E436" s="13" t="s">
        <v>88</v>
      </c>
      <c r="F436" s="13" t="s">
        <v>133</v>
      </c>
      <c r="G436" s="20" t="s">
        <v>1011</v>
      </c>
      <c r="H436" s="13" t="s">
        <v>69</v>
      </c>
      <c r="I436" s="13" t="s">
        <v>659</v>
      </c>
      <c r="J436" s="14"/>
      <c r="K436" s="16" t="str">
        <f t="array" ref="K436">IFERROR(VLOOKUP(B436, SORT('Nhật ký nộp hồ sơ '!B:D, 'Nhật ký nộp hồ sơ '!A:A, FALSE), 3, FALSE),"")</f>
        <v>Hoàn thành</v>
      </c>
      <c r="L436" s="16" t="str">
        <f t="shared" si="1"/>
        <v>Hoàn thành</v>
      </c>
      <c r="M436" s="13" t="s">
        <v>216</v>
      </c>
      <c r="N436" s="17">
        <f>IFERROR(__xludf.DUMMYFUNCTION("""COMPUTED_VALUE"""),46000.0)</f>
        <v>46000</v>
      </c>
      <c r="O436" s="17">
        <v>46003.0</v>
      </c>
      <c r="P436" s="17">
        <f>IFERROR(__xludf.DUMMYFUNCTION("IFERROR(QUERY('Nhật ký nộp hồ sơ '!A:I, ""SELECT I WHERE B = '""&amp;B436&amp;""' ORDER BY A DESC LIMIT 1"", 0))"),46000.0)</f>
        <v>46000</v>
      </c>
      <c r="Q436" s="17">
        <f t="shared" si="2"/>
        <v>46000</v>
      </c>
      <c r="R436" s="16">
        <v>1.0</v>
      </c>
      <c r="S436" s="16"/>
      <c r="T436" s="16"/>
      <c r="U436" s="14"/>
      <c r="V436" s="18" t="s">
        <v>34</v>
      </c>
      <c r="W436" s="13">
        <v>4.0</v>
      </c>
      <c r="X436" s="13" t="s">
        <v>687</v>
      </c>
    </row>
    <row r="437" ht="22.5" hidden="1" customHeight="1">
      <c r="A437" s="11">
        <v>46000.61535354167</v>
      </c>
      <c r="B437" s="12" t="s">
        <v>1012</v>
      </c>
      <c r="C437" s="13" t="s">
        <v>1013</v>
      </c>
      <c r="D437" s="14"/>
      <c r="E437" s="13" t="s">
        <v>79</v>
      </c>
      <c r="F437" s="13" t="s">
        <v>92</v>
      </c>
      <c r="G437" s="16"/>
      <c r="H437" s="13" t="s">
        <v>29</v>
      </c>
      <c r="I437" s="13" t="s">
        <v>81</v>
      </c>
      <c r="J437" s="14"/>
      <c r="K437" s="16" t="str">
        <f t="array" ref="K437">IFERROR(VLOOKUP(B437, SORT('Nhật ký nộp hồ sơ '!B:D, 'Nhật ký nộp hồ sơ '!A:A, FALSE), 3, FALSE),"")</f>
        <v>Hoàn thành</v>
      </c>
      <c r="L437" s="16" t="str">
        <f t="shared" si="1"/>
        <v>Hoàn thành</v>
      </c>
      <c r="M437" s="13" t="s">
        <v>524</v>
      </c>
      <c r="N437" s="17">
        <f>IFERROR(__xludf.DUMMYFUNCTION("""COMPUTED_VALUE"""),46000.0)</f>
        <v>46000</v>
      </c>
      <c r="O437" s="17">
        <v>46003.0</v>
      </c>
      <c r="P437" s="17">
        <f>IFERROR(__xludf.DUMMYFUNCTION("IFERROR(QUERY('Nhật ký nộp hồ sơ '!A:I, ""SELECT I WHERE B = '""&amp;B437&amp;""' ORDER BY A DESC LIMIT 1"", 0))"),46039.0)</f>
        <v>46039</v>
      </c>
      <c r="Q437" s="17">
        <f t="shared" si="2"/>
        <v>46039</v>
      </c>
      <c r="R437" s="16">
        <v>1.0</v>
      </c>
      <c r="S437" s="16"/>
      <c r="T437" s="16"/>
      <c r="U437" s="14"/>
      <c r="V437" s="18" t="s">
        <v>34</v>
      </c>
      <c r="W437" s="16"/>
      <c r="X437" s="16"/>
    </row>
    <row r="438" ht="22.5" hidden="1" customHeight="1">
      <c r="A438" s="11">
        <v>46001.3425574537</v>
      </c>
      <c r="B438" s="12" t="s">
        <v>1014</v>
      </c>
      <c r="C438" s="13" t="s">
        <v>1015</v>
      </c>
      <c r="D438" s="14"/>
      <c r="E438" s="13" t="s">
        <v>79</v>
      </c>
      <c r="F438" s="13" t="s">
        <v>133</v>
      </c>
      <c r="G438" s="13" t="s">
        <v>1016</v>
      </c>
      <c r="H438" s="13" t="s">
        <v>47</v>
      </c>
      <c r="I438" s="13" t="s">
        <v>81</v>
      </c>
      <c r="J438" s="14"/>
      <c r="K438" s="16" t="str">
        <f t="array" ref="K438">IFERROR(VLOOKUP(B438, SORT('Nhật ký nộp hồ sơ '!B:D, 'Nhật ký nộp hồ sơ '!A:A, FALSE), 3, FALSE),"")</f>
        <v>Hoàn thành</v>
      </c>
      <c r="L438" s="16" t="str">
        <f t="shared" si="1"/>
        <v>Hoàn thành</v>
      </c>
      <c r="M438" s="13" t="s">
        <v>41</v>
      </c>
      <c r="N438" s="17">
        <f>IFERROR(__xludf.DUMMYFUNCTION("""COMPUTED_VALUE"""),46001.0)</f>
        <v>46001</v>
      </c>
      <c r="O438" s="17">
        <v>46004.0</v>
      </c>
      <c r="P438" s="17">
        <f>IFERROR(__xludf.DUMMYFUNCTION("IFERROR(QUERY('Nhật ký nộp hồ sơ '!A:I, ""SELECT I WHERE B = '""&amp;B438&amp;""' ORDER BY A DESC LIMIT 1"", 0))"),46000.0)</f>
        <v>46000</v>
      </c>
      <c r="Q438" s="17">
        <f t="shared" si="2"/>
        <v>46000</v>
      </c>
      <c r="R438" s="16">
        <v>3.0</v>
      </c>
      <c r="S438" s="16"/>
      <c r="T438" s="16"/>
      <c r="U438" s="14"/>
      <c r="V438" s="18" t="s">
        <v>34</v>
      </c>
      <c r="W438" s="16"/>
      <c r="X438" s="16"/>
    </row>
    <row r="439" ht="22.5" hidden="1" customHeight="1">
      <c r="A439" s="11">
        <v>46001.34356795139</v>
      </c>
      <c r="B439" s="12" t="s">
        <v>1017</v>
      </c>
      <c r="C439" s="13" t="s">
        <v>1018</v>
      </c>
      <c r="D439" s="14"/>
      <c r="E439" s="13" t="s">
        <v>26</v>
      </c>
      <c r="F439" s="13" t="s">
        <v>133</v>
      </c>
      <c r="G439" s="13" t="s">
        <v>1016</v>
      </c>
      <c r="H439" s="13" t="s">
        <v>47</v>
      </c>
      <c r="I439" s="13" t="s">
        <v>81</v>
      </c>
      <c r="J439" s="14"/>
      <c r="K439" s="16" t="str">
        <f t="array" ref="K439">IFERROR(VLOOKUP(B439, SORT('Nhật ký nộp hồ sơ '!B:D, 'Nhật ký nộp hồ sơ '!A:A, FALSE), 3, FALSE),"")</f>
        <v>Hoàn thành</v>
      </c>
      <c r="L439" s="16" t="str">
        <f t="shared" si="1"/>
        <v>Hoàn thành</v>
      </c>
      <c r="M439" s="13" t="s">
        <v>41</v>
      </c>
      <c r="N439" s="17">
        <f>IFERROR(__xludf.DUMMYFUNCTION("""COMPUTED_VALUE"""),46001.0)</f>
        <v>46001</v>
      </c>
      <c r="O439" s="17">
        <v>46004.0</v>
      </c>
      <c r="P439" s="17">
        <f>IFERROR(__xludf.DUMMYFUNCTION("IFERROR(QUERY('Nhật ký nộp hồ sơ '!A:I, ""SELECT I WHERE B = '""&amp;B439&amp;""' ORDER BY A DESC LIMIT 1"", 0))"),46000.0)</f>
        <v>46000</v>
      </c>
      <c r="Q439" s="17">
        <f t="shared" si="2"/>
        <v>46000</v>
      </c>
      <c r="R439" s="16">
        <v>2.0</v>
      </c>
      <c r="S439" s="16"/>
      <c r="T439" s="16"/>
      <c r="U439" s="14"/>
      <c r="V439" s="18" t="s">
        <v>34</v>
      </c>
      <c r="W439" s="16"/>
      <c r="X439" s="16"/>
    </row>
    <row r="440" ht="22.5" hidden="1" customHeight="1">
      <c r="A440" s="11">
        <v>46001.348771805555</v>
      </c>
      <c r="B440" s="12" t="s">
        <v>1019</v>
      </c>
      <c r="C440" s="13" t="s">
        <v>1020</v>
      </c>
      <c r="D440" s="14"/>
      <c r="E440" s="13" t="s">
        <v>26</v>
      </c>
      <c r="F440" s="13" t="s">
        <v>133</v>
      </c>
      <c r="G440" s="13" t="s">
        <v>1016</v>
      </c>
      <c r="H440" s="13" t="s">
        <v>47</v>
      </c>
      <c r="I440" s="13" t="s">
        <v>81</v>
      </c>
      <c r="J440" s="14"/>
      <c r="K440" s="16" t="str">
        <f t="array" ref="K440">IFERROR(VLOOKUP(B440, SORT('Nhật ký nộp hồ sơ '!B:D, 'Nhật ký nộp hồ sơ '!A:A, FALSE), 3, FALSE),"")</f>
        <v>Hoàn thành</v>
      </c>
      <c r="L440" s="16" t="str">
        <f t="shared" si="1"/>
        <v>Hoàn thành</v>
      </c>
      <c r="M440" s="13" t="s">
        <v>41</v>
      </c>
      <c r="N440" s="17">
        <f>IFERROR(__xludf.DUMMYFUNCTION("""COMPUTED_VALUE"""),46001.0)</f>
        <v>46001</v>
      </c>
      <c r="O440" s="17">
        <v>46004.0</v>
      </c>
      <c r="P440" s="17">
        <f>IFERROR(__xludf.DUMMYFUNCTION("IFERROR(QUERY('Nhật ký nộp hồ sơ '!A:I, ""SELECT I WHERE B = '""&amp;B440&amp;""' ORDER BY A DESC LIMIT 1"", 0))"),46000.0)</f>
        <v>46000</v>
      </c>
      <c r="Q440" s="17">
        <f t="shared" si="2"/>
        <v>46000</v>
      </c>
      <c r="R440" s="16">
        <v>2.0</v>
      </c>
      <c r="S440" s="16"/>
      <c r="T440" s="16"/>
      <c r="U440" s="14"/>
      <c r="V440" s="18" t="s">
        <v>34</v>
      </c>
      <c r="W440" s="16"/>
      <c r="X440" s="16"/>
    </row>
    <row r="441" ht="22.5" hidden="1" customHeight="1">
      <c r="A441" s="11">
        <v>46001.35067619213</v>
      </c>
      <c r="B441" s="12" t="s">
        <v>1021</v>
      </c>
      <c r="C441" s="13" t="s">
        <v>1022</v>
      </c>
      <c r="D441" s="14"/>
      <c r="E441" s="13" t="s">
        <v>26</v>
      </c>
      <c r="F441" s="13" t="s">
        <v>133</v>
      </c>
      <c r="G441" s="13" t="s">
        <v>1016</v>
      </c>
      <c r="H441" s="13" t="s">
        <v>47</v>
      </c>
      <c r="I441" s="13" t="s">
        <v>81</v>
      </c>
      <c r="J441" s="14"/>
      <c r="K441" s="16" t="str">
        <f t="array" ref="K441">IFERROR(VLOOKUP(B441, SORT('Nhật ký nộp hồ sơ '!B:D, 'Nhật ký nộp hồ sơ '!A:A, FALSE), 3, FALSE),"")</f>
        <v>Hoàn thành</v>
      </c>
      <c r="L441" s="16" t="str">
        <f t="shared" si="1"/>
        <v>Hoàn thành</v>
      </c>
      <c r="M441" s="13" t="s">
        <v>41</v>
      </c>
      <c r="N441" s="17">
        <f>IFERROR(__xludf.DUMMYFUNCTION("""COMPUTED_VALUE"""),46001.0)</f>
        <v>46001</v>
      </c>
      <c r="O441" s="17">
        <v>46004.0</v>
      </c>
      <c r="P441" s="17">
        <f>IFERROR(__xludf.DUMMYFUNCTION("IFERROR(QUERY('Nhật ký nộp hồ sơ '!A:I, ""SELECT I WHERE B = '""&amp;B441&amp;""' ORDER BY A DESC LIMIT 1"", 0))"),46000.0)</f>
        <v>46000</v>
      </c>
      <c r="Q441" s="17">
        <f t="shared" si="2"/>
        <v>46000</v>
      </c>
      <c r="R441" s="16">
        <v>2.0</v>
      </c>
      <c r="S441" s="16"/>
      <c r="T441" s="16"/>
      <c r="U441" s="14"/>
      <c r="V441" s="18" t="s">
        <v>34</v>
      </c>
      <c r="W441" s="16"/>
      <c r="X441" s="16"/>
    </row>
    <row r="442" ht="22.5" hidden="1" customHeight="1">
      <c r="A442" s="11">
        <v>46001.66977126157</v>
      </c>
      <c r="B442" s="12" t="s">
        <v>1023</v>
      </c>
      <c r="C442" s="13" t="s">
        <v>1024</v>
      </c>
      <c r="D442" s="14"/>
      <c r="E442" s="13" t="s">
        <v>132</v>
      </c>
      <c r="F442" s="13" t="s">
        <v>176</v>
      </c>
      <c r="G442" s="16"/>
      <c r="H442" s="13" t="s">
        <v>69</v>
      </c>
      <c r="I442" s="13" t="s">
        <v>659</v>
      </c>
      <c r="J442" s="14"/>
      <c r="K442" s="16" t="str">
        <f t="array" ref="K442">IFERROR(VLOOKUP(B442, SORT('Nhật ký nộp hồ sơ '!B:D, 'Nhật ký nộp hồ sơ '!A:A, FALSE), 3, FALSE),"")</f>
        <v>Hoàn thành</v>
      </c>
      <c r="L442" s="16" t="str">
        <f t="shared" si="1"/>
        <v>Hoàn thành</v>
      </c>
      <c r="M442" s="13" t="s">
        <v>56</v>
      </c>
      <c r="N442" s="17">
        <f>IFERROR(__xludf.DUMMYFUNCTION("""COMPUTED_VALUE"""),46001.0)</f>
        <v>46001</v>
      </c>
      <c r="O442" s="17">
        <v>46004.0</v>
      </c>
      <c r="P442" s="17">
        <f>IFERROR(__xludf.DUMMYFUNCTION("IFERROR(QUERY('Nhật ký nộp hồ sơ '!A:I, ""SELECT I WHERE B = '""&amp;B442&amp;""' ORDER BY A DESC LIMIT 1"", 0))"),46044.0)</f>
        <v>46044</v>
      </c>
      <c r="Q442" s="17">
        <f t="shared" si="2"/>
        <v>46044</v>
      </c>
      <c r="R442" s="16">
        <v>2.0</v>
      </c>
      <c r="S442" s="16"/>
      <c r="T442" s="16"/>
      <c r="U442" s="14"/>
      <c r="V442" s="18" t="s">
        <v>34</v>
      </c>
      <c r="W442" s="16"/>
      <c r="X442" s="16"/>
    </row>
    <row r="443" ht="22.5" hidden="1" customHeight="1">
      <c r="A443" s="11">
        <v>46002.4379687037</v>
      </c>
      <c r="B443" s="12" t="s">
        <v>1025</v>
      </c>
      <c r="C443" s="13" t="s">
        <v>1026</v>
      </c>
      <c r="D443" s="14"/>
      <c r="E443" s="13" t="s">
        <v>151</v>
      </c>
      <c r="F443" s="13" t="s">
        <v>133</v>
      </c>
      <c r="G443" s="13" t="s">
        <v>1027</v>
      </c>
      <c r="H443" s="13" t="s">
        <v>69</v>
      </c>
      <c r="I443" s="13" t="s">
        <v>659</v>
      </c>
      <c r="J443" s="14"/>
      <c r="K443" s="16" t="str">
        <f t="array" ref="K443">IFERROR(VLOOKUP(B443, SORT('Nhật ký nộp hồ sơ '!B:D, 'Nhật ký nộp hồ sơ '!A:A, FALSE), 3, FALSE),"")</f>
        <v>Nộp thành công - Chờ kết quả</v>
      </c>
      <c r="L443" s="16" t="str">
        <f t="shared" si="1"/>
        <v>Đã nộp</v>
      </c>
      <c r="M443" s="13" t="s">
        <v>48</v>
      </c>
      <c r="N443" s="17">
        <f>IFERROR(__xludf.DUMMYFUNCTION("""COMPUTED_VALUE"""),46002.0)</f>
        <v>46002</v>
      </c>
      <c r="O443" s="17">
        <v>46005.0</v>
      </c>
      <c r="P443" s="17">
        <f>IFERROR(__xludf.DUMMYFUNCTION("IFERROR(QUERY('Nhật ký nộp hồ sơ '!A:I, ""SELECT I WHERE B = '""&amp;B443&amp;""' ORDER BY A DESC LIMIT 1"", 0))"),46006.0)</f>
        <v>46006</v>
      </c>
      <c r="Q443" s="17" t="str">
        <f t="shared" si="2"/>
        <v/>
      </c>
      <c r="R443" s="16">
        <v>2.0</v>
      </c>
      <c r="S443" s="16"/>
      <c r="T443" s="16"/>
      <c r="U443" s="14"/>
      <c r="V443" s="18" t="s">
        <v>34</v>
      </c>
      <c r="W443" s="16"/>
      <c r="X443" s="16"/>
    </row>
    <row r="444" ht="22.5" hidden="1" customHeight="1">
      <c r="A444" s="11">
        <v>46002.438649143514</v>
      </c>
      <c r="B444" s="12" t="s">
        <v>1028</v>
      </c>
      <c r="C444" s="13" t="s">
        <v>1029</v>
      </c>
      <c r="D444" s="14"/>
      <c r="E444" s="13" t="s">
        <v>45</v>
      </c>
      <c r="F444" s="13" t="s">
        <v>133</v>
      </c>
      <c r="G444" s="20" t="s">
        <v>1030</v>
      </c>
      <c r="H444" s="13" t="s">
        <v>69</v>
      </c>
      <c r="I444" s="13" t="s">
        <v>659</v>
      </c>
      <c r="J444" s="14"/>
      <c r="K444" s="16" t="str">
        <f t="array" ref="K444">IFERROR(VLOOKUP(B444, SORT('Nhật ký nộp hồ sơ '!B:D, 'Nhật ký nộp hồ sơ '!A:A, FALSE), 3, FALSE),"")</f>
        <v>Hoàn thành</v>
      </c>
      <c r="L444" s="16" t="str">
        <f t="shared" si="1"/>
        <v>Hoàn thành</v>
      </c>
      <c r="M444" s="13" t="s">
        <v>48</v>
      </c>
      <c r="N444" s="17">
        <f>IFERROR(__xludf.DUMMYFUNCTION("""COMPUTED_VALUE"""),46002.0)</f>
        <v>46002</v>
      </c>
      <c r="O444" s="17">
        <v>46005.0</v>
      </c>
      <c r="P444" s="17">
        <f>IFERROR(__xludf.DUMMYFUNCTION("IFERROR(QUERY('Nhật ký nộp hồ sơ '!A:I, ""SELECT I WHERE B = '""&amp;B444&amp;""' ORDER BY A DESC LIMIT 1"", 0))"),46027.0)</f>
        <v>46027</v>
      </c>
      <c r="Q444" s="17">
        <f t="shared" si="2"/>
        <v>46027</v>
      </c>
      <c r="R444" s="16">
        <v>1.0</v>
      </c>
      <c r="S444" s="16"/>
      <c r="T444" s="16"/>
      <c r="U444" s="14"/>
      <c r="V444" s="18" t="s">
        <v>34</v>
      </c>
      <c r="W444" s="16"/>
      <c r="X444" s="16"/>
    </row>
    <row r="445" ht="22.5" hidden="1" customHeight="1">
      <c r="A445" s="11">
        <v>46002.43975547454</v>
      </c>
      <c r="B445" s="12" t="s">
        <v>1031</v>
      </c>
      <c r="C445" s="13" t="s">
        <v>1032</v>
      </c>
      <c r="D445" s="14"/>
      <c r="E445" s="13" t="s">
        <v>122</v>
      </c>
      <c r="F445" s="13" t="s">
        <v>123</v>
      </c>
      <c r="G445" s="16"/>
      <c r="H445" s="13" t="s">
        <v>29</v>
      </c>
      <c r="I445" s="13" t="s">
        <v>659</v>
      </c>
      <c r="J445" s="14"/>
      <c r="K445" s="16" t="str">
        <f t="array" ref="K445">IFERROR(VLOOKUP(B445, SORT('Nhật ký nộp hồ sơ '!B:D, 'Nhật ký nộp hồ sơ '!A:A, FALSE), 3, FALSE),"")</f>
        <v>Hủy</v>
      </c>
      <c r="L445" s="16" t="str">
        <f t="shared" si="1"/>
        <v>ĐÃ HỦY</v>
      </c>
      <c r="M445" s="13" t="s">
        <v>56</v>
      </c>
      <c r="N445" s="17">
        <f>IFERROR(__xludf.DUMMYFUNCTION("""COMPUTED_VALUE"""),46002.0)</f>
        <v>46002</v>
      </c>
      <c r="O445" s="17">
        <v>46005.0</v>
      </c>
      <c r="P445" s="17">
        <f>IFERROR(__xludf.DUMMYFUNCTION("IFERROR(QUERY('Nhật ký nộp hồ sơ '!A:I, ""SELECT I WHERE B = '""&amp;B445&amp;""' ORDER BY A DESC LIMIT 1"", 0))"),46135.0)</f>
        <v>46135</v>
      </c>
      <c r="Q445" s="17" t="str">
        <f t="shared" si="2"/>
        <v/>
      </c>
      <c r="R445" s="16">
        <v>4.0</v>
      </c>
      <c r="S445" s="16"/>
      <c r="T445" s="13" t="s">
        <v>1033</v>
      </c>
      <c r="U445" s="18" t="s">
        <v>33</v>
      </c>
      <c r="V445" s="14"/>
      <c r="W445" s="16"/>
      <c r="X445" s="16"/>
    </row>
    <row r="446" ht="22.5" hidden="1" customHeight="1">
      <c r="A446" s="11">
        <v>46002.48523943287</v>
      </c>
      <c r="B446" s="12" t="s">
        <v>1034</v>
      </c>
      <c r="C446" s="13" t="s">
        <v>1035</v>
      </c>
      <c r="D446" s="14"/>
      <c r="E446" s="13" t="s">
        <v>26</v>
      </c>
      <c r="F446" s="13" t="s">
        <v>191</v>
      </c>
      <c r="G446" s="16"/>
      <c r="H446" s="13" t="s">
        <v>29</v>
      </c>
      <c r="I446" s="13" t="s">
        <v>659</v>
      </c>
      <c r="J446" s="14"/>
      <c r="K446" s="16" t="str">
        <f t="array" ref="K446">IFERROR(VLOOKUP(B446, SORT('Nhật ký nộp hồ sơ '!B:D, 'Nhật ký nộp hồ sơ '!A:A, FALSE), 3, FALSE),"")</f>
        <v>Nộp thành công - Chờ kết quả</v>
      </c>
      <c r="L446" s="16" t="str">
        <f t="shared" si="1"/>
        <v>Đã nộp</v>
      </c>
      <c r="M446" s="13" t="s">
        <v>56</v>
      </c>
      <c r="N446" s="17">
        <f>IFERROR(__xludf.DUMMYFUNCTION("""COMPUTED_VALUE"""),46002.0)</f>
        <v>46002</v>
      </c>
      <c r="O446" s="17">
        <v>46005.0</v>
      </c>
      <c r="P446" s="17">
        <f>IFERROR(__xludf.DUMMYFUNCTION("IFERROR(QUERY('Nhật ký nộp hồ sơ '!A:I, ""SELECT I WHERE B = '""&amp;B446&amp;""' ORDER BY A DESC LIMIT 1"", 0))"),46006.0)</f>
        <v>46006</v>
      </c>
      <c r="Q446" s="17" t="str">
        <f t="shared" si="2"/>
        <v/>
      </c>
      <c r="R446" s="16">
        <v>2.0</v>
      </c>
      <c r="S446" s="16"/>
      <c r="T446" s="16"/>
      <c r="U446" s="14"/>
      <c r="V446" s="18" t="s">
        <v>34</v>
      </c>
      <c r="W446" s="16"/>
      <c r="X446" s="16"/>
    </row>
    <row r="447" ht="22.5" hidden="1" customHeight="1">
      <c r="A447" s="11">
        <v>46002.485814872685</v>
      </c>
      <c r="B447" s="12" t="s">
        <v>1036</v>
      </c>
      <c r="C447" s="13" t="s">
        <v>1037</v>
      </c>
      <c r="D447" s="14"/>
      <c r="E447" s="13" t="s">
        <v>132</v>
      </c>
      <c r="F447" s="13" t="s">
        <v>191</v>
      </c>
      <c r="G447" s="16"/>
      <c r="H447" s="13" t="s">
        <v>29</v>
      </c>
      <c r="I447" s="13" t="s">
        <v>659</v>
      </c>
      <c r="J447" s="14"/>
      <c r="K447" s="16" t="str">
        <f t="array" ref="K447">IFERROR(VLOOKUP(B447, SORT('Nhật ký nộp hồ sơ '!B:D, 'Nhật ký nộp hồ sơ '!A:A, FALSE), 3, FALSE),"")</f>
        <v>Hoàn thành</v>
      </c>
      <c r="L447" s="16" t="str">
        <f t="shared" si="1"/>
        <v>Hoàn thành</v>
      </c>
      <c r="M447" s="13" t="s">
        <v>30</v>
      </c>
      <c r="N447" s="17">
        <f>IFERROR(__xludf.DUMMYFUNCTION("""COMPUTED_VALUE"""),46002.0)</f>
        <v>46002</v>
      </c>
      <c r="O447" s="17">
        <v>46005.0</v>
      </c>
      <c r="P447" s="17">
        <f>IFERROR(__xludf.DUMMYFUNCTION("IFERROR(QUERY('Nhật ký nộp hồ sơ '!A:I, ""SELECT I WHERE B = '""&amp;B447&amp;""' ORDER BY A DESC LIMIT 1"", 0))"),46034.0)</f>
        <v>46034</v>
      </c>
      <c r="Q447" s="17">
        <f t="shared" si="2"/>
        <v>46034</v>
      </c>
      <c r="R447" s="16">
        <v>3.0</v>
      </c>
      <c r="S447" s="16"/>
      <c r="T447" s="13" t="s">
        <v>1038</v>
      </c>
      <c r="U447" s="14"/>
      <c r="V447" s="18" t="s">
        <v>34</v>
      </c>
      <c r="W447" s="16"/>
      <c r="X447" s="16"/>
    </row>
    <row r="448" ht="22.5" hidden="1" customHeight="1">
      <c r="A448" s="11">
        <v>46002.54668262732</v>
      </c>
      <c r="B448" s="12" t="s">
        <v>1039</v>
      </c>
      <c r="C448" s="13" t="s">
        <v>1040</v>
      </c>
      <c r="D448" s="14"/>
      <c r="E448" s="13" t="s">
        <v>132</v>
      </c>
      <c r="F448" s="13" t="s">
        <v>89</v>
      </c>
      <c r="G448" s="16"/>
      <c r="H448" s="13" t="s">
        <v>28</v>
      </c>
      <c r="I448" s="13" t="s">
        <v>659</v>
      </c>
      <c r="J448" s="14"/>
      <c r="K448" s="16" t="str">
        <f t="array" ref="K448">IFERROR(VLOOKUP(B448, SORT('Nhật ký nộp hồ sơ '!B:D, 'Nhật ký nộp hồ sơ '!A:A, FALSE), 3, FALSE),"")</f>
        <v>Hoàn thành</v>
      </c>
      <c r="L448" s="16" t="str">
        <f t="shared" si="1"/>
        <v>Hoàn thành</v>
      </c>
      <c r="M448" s="13" t="s">
        <v>216</v>
      </c>
      <c r="N448" s="17">
        <f>IFERROR(__xludf.DUMMYFUNCTION("""COMPUTED_VALUE"""),46002.0)</f>
        <v>46002</v>
      </c>
      <c r="O448" s="17">
        <v>46005.0</v>
      </c>
      <c r="P448" s="17">
        <f>IFERROR(__xludf.DUMMYFUNCTION("IFERROR(QUERY('Nhật ký nộp hồ sơ '!A:I, ""SELECT I WHERE B = '""&amp;B448&amp;""' ORDER BY A DESC LIMIT 1"", 0))"),46002.0)</f>
        <v>46002</v>
      </c>
      <c r="Q448" s="17">
        <f t="shared" si="2"/>
        <v>46002</v>
      </c>
      <c r="R448" s="16">
        <v>10.0</v>
      </c>
      <c r="S448" s="16"/>
      <c r="T448" s="16"/>
      <c r="U448" s="14"/>
      <c r="V448" s="18" t="s">
        <v>34</v>
      </c>
      <c r="W448" s="13">
        <v>4.0</v>
      </c>
      <c r="X448" s="13" t="s">
        <v>687</v>
      </c>
    </row>
    <row r="449" ht="22.5" hidden="1" customHeight="1">
      <c r="A449" s="11">
        <v>46002.54770820602</v>
      </c>
      <c r="B449" s="12" t="s">
        <v>1041</v>
      </c>
      <c r="C449" s="13" t="s">
        <v>1042</v>
      </c>
      <c r="D449" s="14"/>
      <c r="E449" s="13" t="s">
        <v>62</v>
      </c>
      <c r="F449" s="13" t="s">
        <v>133</v>
      </c>
      <c r="G449" s="20" t="s">
        <v>1043</v>
      </c>
      <c r="H449" s="13" t="s">
        <v>28</v>
      </c>
      <c r="I449" s="13" t="s">
        <v>659</v>
      </c>
      <c r="J449" s="14"/>
      <c r="K449" s="16" t="str">
        <f t="array" ref="K449">IFERROR(VLOOKUP(B449, SORT('Nhật ký nộp hồ sơ '!B:D, 'Nhật ký nộp hồ sơ '!A:A, FALSE), 3, FALSE),"")</f>
        <v>Hoàn thành</v>
      </c>
      <c r="L449" s="16" t="str">
        <f t="shared" si="1"/>
        <v>Hoàn thành</v>
      </c>
      <c r="M449" s="13" t="s">
        <v>56</v>
      </c>
      <c r="N449" s="17">
        <f>IFERROR(__xludf.DUMMYFUNCTION("""COMPUTED_VALUE"""),46002.0)</f>
        <v>46002</v>
      </c>
      <c r="O449" s="17">
        <v>46005.0</v>
      </c>
      <c r="P449" s="17">
        <f>IFERROR(__xludf.DUMMYFUNCTION("IFERROR(QUERY('Nhật ký nộp hồ sơ '!A:I, ""SELECT I WHERE B = '""&amp;B449&amp;""' ORDER BY A DESC LIMIT 1"", 0))"),46031.0)</f>
        <v>46031</v>
      </c>
      <c r="Q449" s="17">
        <f t="shared" si="2"/>
        <v>46031</v>
      </c>
      <c r="R449" s="16">
        <v>5.0</v>
      </c>
      <c r="S449" s="16"/>
      <c r="T449" s="16"/>
      <c r="U449" s="14"/>
      <c r="V449" s="18" t="s">
        <v>34</v>
      </c>
      <c r="W449" s="16"/>
      <c r="X449" s="16"/>
    </row>
    <row r="450" ht="22.5" hidden="1" customHeight="1">
      <c r="A450" s="11">
        <v>46003.59405407407</v>
      </c>
      <c r="B450" s="12" t="s">
        <v>1044</v>
      </c>
      <c r="C450" s="13" t="s">
        <v>1045</v>
      </c>
      <c r="D450" s="14"/>
      <c r="E450" s="13" t="s">
        <v>231</v>
      </c>
      <c r="F450" s="13" t="s">
        <v>133</v>
      </c>
      <c r="G450" s="16"/>
      <c r="H450" s="13" t="s">
        <v>28</v>
      </c>
      <c r="I450" s="13" t="s">
        <v>81</v>
      </c>
      <c r="J450" s="14"/>
      <c r="K450" s="16" t="str">
        <f t="array" ref="K450">IFERROR(VLOOKUP(B450, SORT('Nhật ký nộp hồ sơ '!B:D, 'Nhật ký nộp hồ sơ '!A:A, FALSE), 3, FALSE),"")</f>
        <v>Nộp thành công - Chờ kết quả</v>
      </c>
      <c r="L450" s="16" t="str">
        <f t="shared" si="1"/>
        <v>Đã nộp</v>
      </c>
      <c r="M450" s="13" t="s">
        <v>181</v>
      </c>
      <c r="N450" s="17">
        <f>IFERROR(__xludf.DUMMYFUNCTION("""COMPUTED_VALUE"""),46003.0)</f>
        <v>46003</v>
      </c>
      <c r="O450" s="17">
        <v>46006.0</v>
      </c>
      <c r="P450" s="17">
        <f>IFERROR(__xludf.DUMMYFUNCTION("IFERROR(QUERY('Nhật ký nộp hồ sơ '!A:I, ""SELECT I WHERE B = '""&amp;B450&amp;""' ORDER BY A DESC LIMIT 1"", 0))"),46004.0)</f>
        <v>46004</v>
      </c>
      <c r="Q450" s="17" t="str">
        <f t="shared" si="2"/>
        <v/>
      </c>
      <c r="R450" s="16">
        <v>1.0</v>
      </c>
      <c r="S450" s="16"/>
      <c r="T450" s="16"/>
      <c r="U450" s="14"/>
      <c r="V450" s="18" t="s">
        <v>34</v>
      </c>
      <c r="W450" s="16"/>
      <c r="X450" s="16"/>
    </row>
    <row r="451" ht="22.5" hidden="1" customHeight="1">
      <c r="A451" s="11">
        <v>46003.658557511575</v>
      </c>
      <c r="B451" s="12" t="s">
        <v>1046</v>
      </c>
      <c r="C451" s="13" t="s">
        <v>1047</v>
      </c>
      <c r="D451" s="14"/>
      <c r="E451" s="13" t="s">
        <v>132</v>
      </c>
      <c r="F451" s="13" t="s">
        <v>133</v>
      </c>
      <c r="G451" s="20" t="s">
        <v>1048</v>
      </c>
      <c r="H451" s="13" t="s">
        <v>29</v>
      </c>
      <c r="I451" s="13" t="s">
        <v>659</v>
      </c>
      <c r="J451" s="14"/>
      <c r="K451" s="16" t="str">
        <f t="array" ref="K451">IFERROR(VLOOKUP(B451, SORT('Nhật ký nộp hồ sơ '!B:D, 'Nhật ký nộp hồ sơ '!A:A, FALSE), 3, FALSE),"")</f>
        <v>Hoàn thành</v>
      </c>
      <c r="L451" s="16" t="str">
        <f t="shared" si="1"/>
        <v>Hoàn thành</v>
      </c>
      <c r="M451" s="13" t="s">
        <v>524</v>
      </c>
      <c r="N451" s="17">
        <f>IFERROR(__xludf.DUMMYFUNCTION("""COMPUTED_VALUE"""),46003.0)</f>
        <v>46003</v>
      </c>
      <c r="O451" s="17">
        <v>46006.0</v>
      </c>
      <c r="P451" s="17">
        <f>IFERROR(__xludf.DUMMYFUNCTION("IFERROR(QUERY('Nhật ký nộp hồ sơ '!A:I, ""SELECT I WHERE B = '""&amp;B451&amp;""' ORDER BY A DESC LIMIT 1"", 0))"),46087.0)</f>
        <v>46087</v>
      </c>
      <c r="Q451" s="17">
        <f t="shared" si="2"/>
        <v>46087</v>
      </c>
      <c r="R451" s="16">
        <v>1.0</v>
      </c>
      <c r="S451" s="16"/>
      <c r="T451" s="16"/>
      <c r="U451" s="14"/>
      <c r="V451" s="18" t="s">
        <v>34</v>
      </c>
      <c r="W451" s="16"/>
      <c r="X451" s="16"/>
    </row>
    <row r="452" ht="22.5" hidden="1" customHeight="1">
      <c r="A452" s="11">
        <v>46003.66031814815</v>
      </c>
      <c r="B452" s="12" t="s">
        <v>1049</v>
      </c>
      <c r="C452" s="13" t="s">
        <v>1050</v>
      </c>
      <c r="D452" s="14"/>
      <c r="E452" s="13" t="s">
        <v>45</v>
      </c>
      <c r="F452" s="13" t="s">
        <v>133</v>
      </c>
      <c r="G452" s="20" t="s">
        <v>1051</v>
      </c>
      <c r="H452" s="13" t="s">
        <v>28</v>
      </c>
      <c r="I452" s="13" t="s">
        <v>659</v>
      </c>
      <c r="J452" s="14"/>
      <c r="K452" s="16" t="str">
        <f t="array" ref="K452">IFERROR(VLOOKUP(B452, SORT('Nhật ký nộp hồ sơ '!B:D, 'Nhật ký nộp hồ sơ '!A:A, FALSE), 3, FALSE),"")</f>
        <v>Hoàn thành</v>
      </c>
      <c r="L452" s="16" t="str">
        <f t="shared" si="1"/>
        <v>Hoàn thành</v>
      </c>
      <c r="M452" s="13" t="s">
        <v>56</v>
      </c>
      <c r="N452" s="17">
        <f>IFERROR(__xludf.DUMMYFUNCTION("""COMPUTED_VALUE"""),46003.0)</f>
        <v>46003</v>
      </c>
      <c r="O452" s="17">
        <v>46006.0</v>
      </c>
      <c r="P452" s="17">
        <f>IFERROR(__xludf.DUMMYFUNCTION("IFERROR(QUERY('Nhật ký nộp hồ sơ '!A:I, ""SELECT I WHERE B = '""&amp;B452&amp;""' ORDER BY A DESC LIMIT 1"", 0))"),46034.0)</f>
        <v>46034</v>
      </c>
      <c r="Q452" s="17">
        <f t="shared" si="2"/>
        <v>46034</v>
      </c>
      <c r="R452" s="16">
        <v>1.0</v>
      </c>
      <c r="S452" s="16"/>
      <c r="T452" s="16"/>
      <c r="U452" s="14"/>
      <c r="V452" s="18" t="s">
        <v>34</v>
      </c>
      <c r="W452" s="16"/>
      <c r="X452" s="16"/>
    </row>
    <row r="453" ht="22.5" hidden="1" customHeight="1">
      <c r="A453" s="11">
        <v>46003.66158049769</v>
      </c>
      <c r="B453" s="12" t="s">
        <v>1052</v>
      </c>
      <c r="C453" s="13" t="s">
        <v>1053</v>
      </c>
      <c r="D453" s="14"/>
      <c r="E453" s="13" t="s">
        <v>74</v>
      </c>
      <c r="F453" s="13" t="s">
        <v>176</v>
      </c>
      <c r="G453" s="16"/>
      <c r="H453" s="13" t="s">
        <v>47</v>
      </c>
      <c r="I453" s="13" t="s">
        <v>81</v>
      </c>
      <c r="J453" s="14"/>
      <c r="K453" s="16" t="str">
        <f t="array" ref="K453">IFERROR(VLOOKUP(B453, SORT('Nhật ký nộp hồ sơ '!B:D, 'Nhật ký nộp hồ sơ '!A:A, FALSE), 3, FALSE),"")</f>
        <v>Hoàn thành</v>
      </c>
      <c r="L453" s="16" t="str">
        <f t="shared" si="1"/>
        <v>Hoàn thành</v>
      </c>
      <c r="M453" s="13" t="s">
        <v>135</v>
      </c>
      <c r="N453" s="17">
        <f>IFERROR(__xludf.DUMMYFUNCTION("""COMPUTED_VALUE"""),46003.0)</f>
        <v>46003</v>
      </c>
      <c r="O453" s="17">
        <v>46006.0</v>
      </c>
      <c r="P453" s="17">
        <f>IFERROR(__xludf.DUMMYFUNCTION("IFERROR(QUERY('Nhật ký nộp hồ sơ '!A:I, ""SELECT I WHERE B = '""&amp;B453&amp;""' ORDER BY A DESC LIMIT 1"", 0))"),46015.0)</f>
        <v>46015</v>
      </c>
      <c r="Q453" s="17">
        <f t="shared" si="2"/>
        <v>46015</v>
      </c>
      <c r="R453" s="16">
        <v>3.0</v>
      </c>
      <c r="S453" s="16"/>
      <c r="T453" s="16"/>
      <c r="U453" s="14"/>
      <c r="V453" s="18" t="s">
        <v>34</v>
      </c>
      <c r="W453" s="16"/>
      <c r="X453" s="16"/>
    </row>
    <row r="454" ht="22.5" hidden="1" customHeight="1">
      <c r="A454" s="11">
        <v>46003.66203346065</v>
      </c>
      <c r="B454" s="12" t="s">
        <v>1054</v>
      </c>
      <c r="C454" s="13" t="s">
        <v>1053</v>
      </c>
      <c r="D454" s="14"/>
      <c r="E454" s="13" t="s">
        <v>74</v>
      </c>
      <c r="F454" s="13" t="s">
        <v>176</v>
      </c>
      <c r="G454" s="16"/>
      <c r="H454" s="13" t="s">
        <v>47</v>
      </c>
      <c r="I454" s="13" t="s">
        <v>81</v>
      </c>
      <c r="J454" s="14"/>
      <c r="K454" s="16" t="str">
        <f t="array" ref="K454">IFERROR(VLOOKUP(B454, SORT('Nhật ký nộp hồ sơ '!B:D, 'Nhật ký nộp hồ sơ '!A:A, FALSE), 3, FALSE),"")</f>
        <v>Hoàn thành</v>
      </c>
      <c r="L454" s="16" t="str">
        <f t="shared" si="1"/>
        <v>Hoàn thành</v>
      </c>
      <c r="M454" s="13" t="s">
        <v>135</v>
      </c>
      <c r="N454" s="17">
        <f>IFERROR(__xludf.DUMMYFUNCTION("""COMPUTED_VALUE"""),46003.0)</f>
        <v>46003</v>
      </c>
      <c r="O454" s="17">
        <v>46006.0</v>
      </c>
      <c r="P454" s="17">
        <f>IFERROR(__xludf.DUMMYFUNCTION("IFERROR(QUERY('Nhật ký nộp hồ sơ '!A:I, ""SELECT I WHERE B = '""&amp;B454&amp;""' ORDER BY A DESC LIMIT 1"", 0))"),46015.0)</f>
        <v>46015</v>
      </c>
      <c r="Q454" s="17">
        <f t="shared" si="2"/>
        <v>46015</v>
      </c>
      <c r="R454" s="16">
        <v>1.0</v>
      </c>
      <c r="S454" s="16"/>
      <c r="T454" s="16"/>
      <c r="U454" s="14"/>
      <c r="V454" s="18" t="s">
        <v>34</v>
      </c>
      <c r="W454" s="16"/>
      <c r="X454" s="16"/>
    </row>
    <row r="455" ht="22.5" hidden="1" customHeight="1">
      <c r="A455" s="11">
        <v>46003.66245908565</v>
      </c>
      <c r="B455" s="12" t="s">
        <v>1055</v>
      </c>
      <c r="C455" s="13" t="s">
        <v>1053</v>
      </c>
      <c r="D455" s="14"/>
      <c r="E455" s="13" t="s">
        <v>74</v>
      </c>
      <c r="F455" s="13" t="s">
        <v>176</v>
      </c>
      <c r="G455" s="16"/>
      <c r="H455" s="13" t="s">
        <v>47</v>
      </c>
      <c r="I455" s="13" t="s">
        <v>81</v>
      </c>
      <c r="J455" s="14"/>
      <c r="K455" s="16" t="str">
        <f t="array" ref="K455">IFERROR(VLOOKUP(B455, SORT('Nhật ký nộp hồ sơ '!B:D, 'Nhật ký nộp hồ sơ '!A:A, FALSE), 3, FALSE),"")</f>
        <v>Hoàn thành</v>
      </c>
      <c r="L455" s="16" t="str">
        <f t="shared" si="1"/>
        <v>Hoàn thành</v>
      </c>
      <c r="M455" s="13" t="s">
        <v>135</v>
      </c>
      <c r="N455" s="17">
        <f>IFERROR(__xludf.DUMMYFUNCTION("""COMPUTED_VALUE"""),46003.0)</f>
        <v>46003</v>
      </c>
      <c r="O455" s="17">
        <v>46006.0</v>
      </c>
      <c r="P455" s="17">
        <f>IFERROR(__xludf.DUMMYFUNCTION("IFERROR(QUERY('Nhật ký nộp hồ sơ '!A:I, ""SELECT I WHERE B = '""&amp;B455&amp;""' ORDER BY A DESC LIMIT 1"", 0))"),46015.0)</f>
        <v>46015</v>
      </c>
      <c r="Q455" s="17">
        <f t="shared" si="2"/>
        <v>46015</v>
      </c>
      <c r="R455" s="16">
        <v>1.0</v>
      </c>
      <c r="S455" s="16"/>
      <c r="T455" s="16"/>
      <c r="U455" s="14"/>
      <c r="V455" s="18" t="s">
        <v>34</v>
      </c>
      <c r="W455" s="16"/>
      <c r="X455" s="16"/>
    </row>
    <row r="456" ht="22.5" hidden="1" customHeight="1">
      <c r="A456" s="11">
        <v>46003.66289590277</v>
      </c>
      <c r="B456" s="12" t="s">
        <v>1056</v>
      </c>
      <c r="C456" s="13" t="s">
        <v>1053</v>
      </c>
      <c r="D456" s="14"/>
      <c r="E456" s="13" t="s">
        <v>74</v>
      </c>
      <c r="F456" s="13" t="s">
        <v>176</v>
      </c>
      <c r="G456" s="16"/>
      <c r="H456" s="13" t="s">
        <v>47</v>
      </c>
      <c r="I456" s="13" t="s">
        <v>81</v>
      </c>
      <c r="J456" s="14"/>
      <c r="K456" s="16" t="str">
        <f t="array" ref="K456">IFERROR(VLOOKUP(B456, SORT('Nhật ký nộp hồ sơ '!B:D, 'Nhật ký nộp hồ sơ '!A:A, FALSE), 3, FALSE),"")</f>
        <v>Hoàn thành</v>
      </c>
      <c r="L456" s="16" t="str">
        <f t="shared" si="1"/>
        <v>Hoàn thành</v>
      </c>
      <c r="M456" s="13" t="s">
        <v>135</v>
      </c>
      <c r="N456" s="17">
        <f>IFERROR(__xludf.DUMMYFUNCTION("""COMPUTED_VALUE"""),46003.0)</f>
        <v>46003</v>
      </c>
      <c r="O456" s="17">
        <v>46006.0</v>
      </c>
      <c r="P456" s="17">
        <f>IFERROR(__xludf.DUMMYFUNCTION("IFERROR(QUERY('Nhật ký nộp hồ sơ '!A:I, ""SELECT I WHERE B = '""&amp;B456&amp;""' ORDER BY A DESC LIMIT 1"", 0))"),46015.0)</f>
        <v>46015</v>
      </c>
      <c r="Q456" s="17">
        <f t="shared" si="2"/>
        <v>46015</v>
      </c>
      <c r="R456" s="16">
        <v>1.0</v>
      </c>
      <c r="S456" s="16"/>
      <c r="T456" s="16"/>
      <c r="U456" s="14"/>
      <c r="V456" s="18" t="s">
        <v>34</v>
      </c>
      <c r="W456" s="16"/>
      <c r="X456" s="16"/>
    </row>
    <row r="457" ht="22.5" hidden="1" customHeight="1">
      <c r="A457" s="11">
        <v>46006.471558923615</v>
      </c>
      <c r="B457" s="12" t="s">
        <v>1057</v>
      </c>
      <c r="C457" s="13" t="s">
        <v>1058</v>
      </c>
      <c r="D457" s="18" t="s">
        <v>44</v>
      </c>
      <c r="E457" s="13" t="s">
        <v>26</v>
      </c>
      <c r="F457" s="15" t="s">
        <v>27</v>
      </c>
      <c r="G457" s="16"/>
      <c r="H457" s="13" t="s">
        <v>28</v>
      </c>
      <c r="I457" s="13" t="s">
        <v>659</v>
      </c>
      <c r="J457" s="14"/>
      <c r="K457" s="16" t="str">
        <f t="array" ref="K457">IFERROR(VLOOKUP(B457, SORT('Nhật ký nộp hồ sơ '!B:D, 'Nhật ký nộp hồ sơ '!A:A, FALSE), 3, FALSE),"")</f>
        <v>Nộp thành công - Chờ kết quả</v>
      </c>
      <c r="L457" s="16" t="str">
        <f t="shared" si="1"/>
        <v>Đã nộp</v>
      </c>
      <c r="M457" s="13" t="s">
        <v>48</v>
      </c>
      <c r="N457" s="17">
        <f>IFERROR(__xludf.DUMMYFUNCTION("""COMPUTED_VALUE"""),46006.0)</f>
        <v>46006</v>
      </c>
      <c r="O457" s="17">
        <v>46009.0</v>
      </c>
      <c r="P457" s="17">
        <f>IFERROR(__xludf.DUMMYFUNCTION("IFERROR(QUERY('Nhật ký nộp hồ sơ '!A:I, ""SELECT I WHERE B = '""&amp;B457&amp;""' ORDER BY A DESC LIMIT 1"", 0))"),46099.0)</f>
        <v>46099</v>
      </c>
      <c r="Q457" s="17" t="str">
        <f t="shared" si="2"/>
        <v/>
      </c>
      <c r="R457" s="16">
        <v>1.0</v>
      </c>
      <c r="S457" s="16"/>
      <c r="T457" s="16"/>
      <c r="U457" s="14"/>
      <c r="V457" s="18" t="s">
        <v>34</v>
      </c>
      <c r="W457" s="16"/>
      <c r="X457" s="16"/>
    </row>
    <row r="458" ht="22.5" hidden="1" customHeight="1">
      <c r="A458" s="11">
        <v>46006.47336582176</v>
      </c>
      <c r="B458" s="12" t="s">
        <v>1059</v>
      </c>
      <c r="C458" s="13" t="s">
        <v>1060</v>
      </c>
      <c r="D458" s="14"/>
      <c r="E458" s="13" t="s">
        <v>88</v>
      </c>
      <c r="F458" s="13" t="s">
        <v>133</v>
      </c>
      <c r="G458" s="20" t="s">
        <v>1061</v>
      </c>
      <c r="H458" s="13" t="s">
        <v>28</v>
      </c>
      <c r="I458" s="13" t="s">
        <v>659</v>
      </c>
      <c r="J458" s="14"/>
      <c r="K458" s="16" t="str">
        <f t="array" ref="K458">IFERROR(VLOOKUP(B458, SORT('Nhật ký nộp hồ sơ '!B:D, 'Nhật ký nộp hồ sơ '!A:A, FALSE), 3, FALSE),"")</f>
        <v>Nộp thành công - Chờ kết quả</v>
      </c>
      <c r="L458" s="16" t="str">
        <f t="shared" si="1"/>
        <v>Đã nộp</v>
      </c>
      <c r="M458" s="13" t="s">
        <v>48</v>
      </c>
      <c r="N458" s="17">
        <f>IFERROR(__xludf.DUMMYFUNCTION("""COMPUTED_VALUE"""),46006.0)</f>
        <v>46006</v>
      </c>
      <c r="O458" s="17">
        <v>46009.0</v>
      </c>
      <c r="P458" s="17">
        <f>IFERROR(__xludf.DUMMYFUNCTION("IFERROR(QUERY('Nhật ký nộp hồ sơ '!A:I, ""SELECT I WHERE B = '""&amp;B458&amp;""' ORDER BY A DESC LIMIT 1"", 0))"),46011.0)</f>
        <v>46011</v>
      </c>
      <c r="Q458" s="17" t="str">
        <f t="shared" si="2"/>
        <v/>
      </c>
      <c r="R458" s="16">
        <v>2.0</v>
      </c>
      <c r="S458" s="16"/>
      <c r="T458" s="16"/>
      <c r="U458" s="14"/>
      <c r="V458" s="18" t="s">
        <v>34</v>
      </c>
      <c r="W458" s="16"/>
      <c r="X458" s="16"/>
    </row>
    <row r="459" ht="22.5" hidden="1" customHeight="1">
      <c r="A459" s="11">
        <v>46007.715642916664</v>
      </c>
      <c r="B459" s="12" t="s">
        <v>1062</v>
      </c>
      <c r="C459" s="13" t="s">
        <v>131</v>
      </c>
      <c r="D459" s="14"/>
      <c r="E459" s="13" t="s">
        <v>132</v>
      </c>
      <c r="F459" s="13" t="s">
        <v>133</v>
      </c>
      <c r="G459" s="20" t="s">
        <v>134</v>
      </c>
      <c r="H459" s="13" t="s">
        <v>69</v>
      </c>
      <c r="I459" s="13" t="s">
        <v>40</v>
      </c>
      <c r="J459" s="14"/>
      <c r="K459" s="16" t="str">
        <f t="array" ref="K459">IFERROR(VLOOKUP(B459, SORT('Nhật ký nộp hồ sơ '!B:D, 'Nhật ký nộp hồ sơ '!A:A, FALSE), 3, FALSE),"")</f>
        <v>Hoàn thành</v>
      </c>
      <c r="L459" s="16" t="str">
        <f t="shared" si="1"/>
        <v>Hoàn thành</v>
      </c>
      <c r="M459" s="13" t="s">
        <v>135</v>
      </c>
      <c r="N459" s="17">
        <f>IFERROR(__xludf.DUMMYFUNCTION("""COMPUTED_VALUE"""),46007.0)</f>
        <v>46007</v>
      </c>
      <c r="O459" s="17">
        <v>46010.0</v>
      </c>
      <c r="P459" s="17">
        <f>IFERROR(__xludf.DUMMYFUNCTION("IFERROR(QUERY('Nhật ký nộp hồ sơ '!A:I, ""SELECT I WHERE B = '""&amp;B459&amp;""' ORDER BY A DESC LIMIT 1"", 0))"),46037.0)</f>
        <v>46037</v>
      </c>
      <c r="Q459" s="17">
        <f t="shared" si="2"/>
        <v>46037</v>
      </c>
      <c r="R459" s="16">
        <v>1.0</v>
      </c>
      <c r="S459" s="16"/>
      <c r="T459" s="16"/>
      <c r="U459" s="14"/>
      <c r="V459" s="18" t="s">
        <v>34</v>
      </c>
      <c r="W459" s="16"/>
      <c r="X459" s="16"/>
    </row>
    <row r="460" ht="22.5" hidden="1" customHeight="1">
      <c r="A460" s="11">
        <v>46009.5171234838</v>
      </c>
      <c r="B460" s="12" t="s">
        <v>1063</v>
      </c>
      <c r="C460" s="13" t="s">
        <v>1064</v>
      </c>
      <c r="D460" s="14"/>
      <c r="E460" s="13" t="s">
        <v>122</v>
      </c>
      <c r="F460" s="13" t="s">
        <v>133</v>
      </c>
      <c r="G460" s="16"/>
      <c r="H460" s="13" t="s">
        <v>69</v>
      </c>
      <c r="I460" s="13" t="s">
        <v>81</v>
      </c>
      <c r="J460" s="14"/>
      <c r="K460" s="16" t="str">
        <f t="array" ref="K460">IFERROR(VLOOKUP(B460, SORT('Nhật ký nộp hồ sơ '!B:D, 'Nhật ký nộp hồ sơ '!A:A, FALSE), 3, FALSE),"")</f>
        <v>Nộp thành công - Chờ kết quả</v>
      </c>
      <c r="L460" s="16" t="str">
        <f t="shared" si="1"/>
        <v>Đã nộp</v>
      </c>
      <c r="M460" s="13" t="s">
        <v>48</v>
      </c>
      <c r="N460" s="17">
        <f>IFERROR(__xludf.DUMMYFUNCTION("""COMPUTED_VALUE"""),46009.0)</f>
        <v>46009</v>
      </c>
      <c r="O460" s="17">
        <v>46012.0</v>
      </c>
      <c r="P460" s="17">
        <f>IFERROR(__xludf.DUMMYFUNCTION("IFERROR(QUERY('Nhật ký nộp hồ sơ '!A:I, ""SELECT I WHERE B = '""&amp;B460&amp;""' ORDER BY A DESC LIMIT 1"", 0))"),46049.0)</f>
        <v>46049</v>
      </c>
      <c r="Q460" s="17" t="str">
        <f t="shared" si="2"/>
        <v/>
      </c>
      <c r="R460" s="16">
        <v>1.0</v>
      </c>
      <c r="S460" s="16"/>
      <c r="T460" s="16"/>
      <c r="U460" s="14"/>
      <c r="V460" s="18" t="s">
        <v>34</v>
      </c>
      <c r="W460" s="16"/>
      <c r="X460" s="16"/>
    </row>
    <row r="461" ht="22.5" hidden="1" customHeight="1">
      <c r="A461" s="11">
        <v>46009.51868797454</v>
      </c>
      <c r="B461" s="12" t="s">
        <v>1065</v>
      </c>
      <c r="C461" s="13" t="s">
        <v>1066</v>
      </c>
      <c r="D461" s="14"/>
      <c r="E461" s="13" t="s">
        <v>74</v>
      </c>
      <c r="F461" s="13" t="s">
        <v>89</v>
      </c>
      <c r="G461" s="16"/>
      <c r="H461" s="13" t="s">
        <v>47</v>
      </c>
      <c r="I461" s="13" t="s">
        <v>29</v>
      </c>
      <c r="J461" s="14"/>
      <c r="K461" s="16" t="str">
        <f t="array" ref="K461">IFERROR(VLOOKUP(B461, SORT('Nhật ký nộp hồ sơ '!B:D, 'Nhật ký nộp hồ sơ '!A:A, FALSE), 3, FALSE),"")</f>
        <v>Hoàn thành</v>
      </c>
      <c r="L461" s="16" t="str">
        <f t="shared" si="1"/>
        <v>Hoàn thành</v>
      </c>
      <c r="M461" s="13" t="s">
        <v>30</v>
      </c>
      <c r="N461" s="17">
        <f>IFERROR(__xludf.DUMMYFUNCTION("""COMPUTED_VALUE"""),46009.0)</f>
        <v>46009</v>
      </c>
      <c r="O461" s="17">
        <v>46012.0</v>
      </c>
      <c r="P461" s="17">
        <f>IFERROR(__xludf.DUMMYFUNCTION("IFERROR(QUERY('Nhật ký nộp hồ sơ '!A:I, ""SELECT I WHERE B = '""&amp;B461&amp;""' ORDER BY A DESC LIMIT 1"", 0))"),46034.0)</f>
        <v>46034</v>
      </c>
      <c r="Q461" s="17">
        <f t="shared" si="2"/>
        <v>46034</v>
      </c>
      <c r="R461" s="16">
        <v>1.0</v>
      </c>
      <c r="S461" s="16"/>
      <c r="T461" s="13" t="s">
        <v>1067</v>
      </c>
      <c r="U461" s="14"/>
      <c r="V461" s="18" t="s">
        <v>34</v>
      </c>
      <c r="W461" s="16"/>
      <c r="X461" s="16"/>
    </row>
    <row r="462" ht="22.5" hidden="1" customHeight="1">
      <c r="A462" s="11">
        <v>46009.566333379626</v>
      </c>
      <c r="B462" s="12" t="s">
        <v>1068</v>
      </c>
      <c r="C462" s="13" t="s">
        <v>1069</v>
      </c>
      <c r="D462" s="14"/>
      <c r="E462" s="13" t="s">
        <v>74</v>
      </c>
      <c r="F462" s="13" t="s">
        <v>133</v>
      </c>
      <c r="G462" s="20" t="s">
        <v>1070</v>
      </c>
      <c r="H462" s="13" t="s">
        <v>29</v>
      </c>
      <c r="I462" s="13" t="s">
        <v>659</v>
      </c>
      <c r="J462" s="14"/>
      <c r="K462" s="16" t="str">
        <f t="array" ref="K462">IFERROR(VLOOKUP(B462, SORT('Nhật ký nộp hồ sơ '!B:D, 'Nhật ký nộp hồ sơ '!A:A, FALSE), 3, FALSE),"")</f>
        <v>Hoàn thành</v>
      </c>
      <c r="L462" s="16" t="str">
        <f t="shared" si="1"/>
        <v>Hoàn thành</v>
      </c>
      <c r="M462" s="13" t="s">
        <v>56</v>
      </c>
      <c r="N462" s="17">
        <f>IFERROR(__xludf.DUMMYFUNCTION("""COMPUTED_VALUE"""),46009.0)</f>
        <v>46009</v>
      </c>
      <c r="O462" s="17">
        <v>46012.0</v>
      </c>
      <c r="P462" s="17">
        <f>IFERROR(__xludf.DUMMYFUNCTION("IFERROR(QUERY('Nhật ký nộp hồ sơ '!A:I, ""SELECT I WHERE B = '""&amp;B462&amp;""' ORDER BY A DESC LIMIT 1"", 0))"),46174.0)</f>
        <v>46174</v>
      </c>
      <c r="Q462" s="17">
        <f t="shared" si="2"/>
        <v>46174</v>
      </c>
      <c r="R462" s="16">
        <v>1.0</v>
      </c>
      <c r="S462" s="16"/>
      <c r="T462" s="13" t="s">
        <v>1071</v>
      </c>
      <c r="U462" s="14"/>
      <c r="V462" s="18" t="s">
        <v>34</v>
      </c>
      <c r="W462" s="16"/>
      <c r="X462" s="16"/>
    </row>
    <row r="463" ht="22.5" hidden="1" customHeight="1">
      <c r="A463" s="11">
        <v>46009.58908158565</v>
      </c>
      <c r="B463" s="12" t="s">
        <v>1072</v>
      </c>
      <c r="C463" s="13" t="s">
        <v>1073</v>
      </c>
      <c r="D463" s="14"/>
      <c r="E463" s="13" t="s">
        <v>26</v>
      </c>
      <c r="F463" s="13" t="s">
        <v>133</v>
      </c>
      <c r="G463" s="20" t="s">
        <v>1074</v>
      </c>
      <c r="H463" s="13" t="s">
        <v>29</v>
      </c>
      <c r="I463" s="13" t="s">
        <v>659</v>
      </c>
      <c r="J463" s="14"/>
      <c r="K463" s="16" t="str">
        <f t="array" ref="K463">IFERROR(VLOOKUP(B463, SORT('Nhật ký nộp hồ sơ '!B:D, 'Nhật ký nộp hồ sơ '!A:A, FALSE), 3, FALSE),"")</f>
        <v>Hoàn thành</v>
      </c>
      <c r="L463" s="16" t="str">
        <f t="shared" si="1"/>
        <v>Hoàn thành</v>
      </c>
      <c r="M463" s="13" t="s">
        <v>56</v>
      </c>
      <c r="N463" s="17">
        <f>IFERROR(__xludf.DUMMYFUNCTION("""COMPUTED_VALUE"""),46009.0)</f>
        <v>46009</v>
      </c>
      <c r="O463" s="17">
        <v>46012.0</v>
      </c>
      <c r="P463" s="17">
        <f>IFERROR(__xludf.DUMMYFUNCTION("IFERROR(QUERY('Nhật ký nộp hồ sơ '!A:I, ""SELECT I WHERE B = '""&amp;B463&amp;""' ORDER BY A DESC LIMIT 1"", 0))"),46055.0)</f>
        <v>46055</v>
      </c>
      <c r="Q463" s="17">
        <f t="shared" si="2"/>
        <v>46055</v>
      </c>
      <c r="R463" s="16">
        <v>1.0</v>
      </c>
      <c r="S463" s="16"/>
      <c r="T463" s="13" t="s">
        <v>1075</v>
      </c>
      <c r="U463" s="14"/>
      <c r="V463" s="18" t="s">
        <v>34</v>
      </c>
      <c r="W463" s="16"/>
      <c r="X463" s="16"/>
    </row>
    <row r="464" ht="22.5" hidden="1" customHeight="1">
      <c r="A464" s="11">
        <v>46009.590886192134</v>
      </c>
      <c r="B464" s="12" t="s">
        <v>1076</v>
      </c>
      <c r="C464" s="13" t="s">
        <v>906</v>
      </c>
      <c r="D464" s="14"/>
      <c r="E464" s="13" t="s">
        <v>74</v>
      </c>
      <c r="F464" s="13" t="s">
        <v>133</v>
      </c>
      <c r="G464" s="20" t="s">
        <v>907</v>
      </c>
      <c r="H464" s="13" t="s">
        <v>29</v>
      </c>
      <c r="I464" s="13" t="s">
        <v>47</v>
      </c>
      <c r="J464" s="14"/>
      <c r="K464" s="16" t="str">
        <f t="array" ref="K464">IFERROR(VLOOKUP(B464, SORT('Nhật ký nộp hồ sơ '!B:D, 'Nhật ký nộp hồ sơ '!A:A, FALSE), 3, FALSE),"")</f>
        <v>Hoàn thành</v>
      </c>
      <c r="L464" s="16" t="str">
        <f t="shared" si="1"/>
        <v>Hoàn thành</v>
      </c>
      <c r="M464" s="13" t="s">
        <v>216</v>
      </c>
      <c r="N464" s="17">
        <f>IFERROR(__xludf.DUMMYFUNCTION("""COMPUTED_VALUE"""),46009.0)</f>
        <v>46009</v>
      </c>
      <c r="O464" s="17">
        <v>46012.0</v>
      </c>
      <c r="P464" s="17">
        <f>IFERROR(__xludf.DUMMYFUNCTION("IFERROR(QUERY('Nhật ký nộp hồ sơ '!A:I, ""SELECT I WHERE B = '""&amp;B464&amp;""' ORDER BY A DESC LIMIT 1"", 0))"),46008.0)</f>
        <v>46008</v>
      </c>
      <c r="Q464" s="17">
        <f t="shared" si="2"/>
        <v>46008</v>
      </c>
      <c r="R464" s="16">
        <v>1.0</v>
      </c>
      <c r="S464" s="16"/>
      <c r="T464" s="16"/>
      <c r="U464" s="14"/>
      <c r="V464" s="18" t="s">
        <v>34</v>
      </c>
      <c r="W464" s="13">
        <v>4.0</v>
      </c>
      <c r="X464" s="13" t="s">
        <v>687</v>
      </c>
    </row>
    <row r="465" ht="22.5" hidden="1" customHeight="1">
      <c r="A465" s="11">
        <v>46010.62244893519</v>
      </c>
      <c r="B465" s="12" t="s">
        <v>1077</v>
      </c>
      <c r="C465" s="13" t="s">
        <v>1050</v>
      </c>
      <c r="D465" s="14"/>
      <c r="E465" s="13" t="s">
        <v>45</v>
      </c>
      <c r="F465" s="13" t="s">
        <v>133</v>
      </c>
      <c r="G465" s="20" t="s">
        <v>1051</v>
      </c>
      <c r="H465" s="13" t="s">
        <v>28</v>
      </c>
      <c r="I465" s="13" t="s">
        <v>81</v>
      </c>
      <c r="J465" s="14"/>
      <c r="K465" s="16" t="str">
        <f t="array" ref="K465">IFERROR(VLOOKUP(B465, SORT('Nhật ký nộp hồ sơ '!B:D, 'Nhật ký nộp hồ sơ '!A:A, FALSE), 3, FALSE),"")</f>
        <v>Hoàn thành</v>
      </c>
      <c r="L465" s="16" t="str">
        <f t="shared" si="1"/>
        <v>Hoàn thành</v>
      </c>
      <c r="M465" s="13" t="s">
        <v>216</v>
      </c>
      <c r="N465" s="17">
        <f>IFERROR(__xludf.DUMMYFUNCTION("""COMPUTED_VALUE"""),46010.0)</f>
        <v>46010</v>
      </c>
      <c r="O465" s="17">
        <v>46013.0</v>
      </c>
      <c r="P465" s="17">
        <f>IFERROR(__xludf.DUMMYFUNCTION("IFERROR(QUERY('Nhật ký nộp hồ sơ '!A:I, ""SELECT I WHERE B = '""&amp;B465&amp;""' ORDER BY A DESC LIMIT 1"", 0))"),46009.0)</f>
        <v>46009</v>
      </c>
      <c r="Q465" s="17">
        <f t="shared" si="2"/>
        <v>46009</v>
      </c>
      <c r="R465" s="16">
        <v>1.0</v>
      </c>
      <c r="S465" s="16"/>
      <c r="T465" s="16"/>
      <c r="U465" s="14"/>
      <c r="V465" s="18" t="s">
        <v>34</v>
      </c>
      <c r="W465" s="13">
        <v>4.0</v>
      </c>
      <c r="X465" s="13" t="s">
        <v>687</v>
      </c>
    </row>
    <row r="466" ht="22.5" hidden="1" customHeight="1">
      <c r="A466" s="11">
        <v>46011.54932046296</v>
      </c>
      <c r="B466" s="12" t="s">
        <v>1078</v>
      </c>
      <c r="C466" s="13" t="s">
        <v>1079</v>
      </c>
      <c r="D466" s="14"/>
      <c r="E466" s="13" t="s">
        <v>122</v>
      </c>
      <c r="F466" s="13" t="s">
        <v>89</v>
      </c>
      <c r="G466" s="16"/>
      <c r="H466" s="13" t="s">
        <v>29</v>
      </c>
      <c r="I466" s="13" t="s">
        <v>659</v>
      </c>
      <c r="J466" s="14"/>
      <c r="K466" s="16" t="str">
        <f t="array" ref="K466">IFERROR(VLOOKUP(B466, SORT('Nhật ký nộp hồ sơ '!B:D, 'Nhật ký nộp hồ sơ '!A:A, FALSE), 3, FALSE),"")</f>
        <v>Hủy</v>
      </c>
      <c r="L466" s="16" t="str">
        <f t="shared" si="1"/>
        <v>ĐÃ HỦY</v>
      </c>
      <c r="M466" s="13" t="s">
        <v>56</v>
      </c>
      <c r="N466" s="17">
        <f>IFERROR(__xludf.DUMMYFUNCTION("""COMPUTED_VALUE"""),46011.0)</f>
        <v>46011</v>
      </c>
      <c r="O466" s="17">
        <v>46014.0</v>
      </c>
      <c r="P466" s="17">
        <f>IFERROR(__xludf.DUMMYFUNCTION("IFERROR(QUERY('Nhật ký nộp hồ sơ '!A:I, ""SELECT I WHERE B = '""&amp;B466&amp;""' ORDER BY A DESC LIMIT 1"", 0))"),46039.0)</f>
        <v>46039</v>
      </c>
      <c r="Q466" s="17" t="str">
        <f t="shared" si="2"/>
        <v/>
      </c>
      <c r="R466" s="16">
        <v>2.0</v>
      </c>
      <c r="S466" s="16"/>
      <c r="T466" s="13" t="s">
        <v>1080</v>
      </c>
      <c r="U466" s="14"/>
      <c r="V466" s="18" t="s">
        <v>34</v>
      </c>
      <c r="W466" s="16"/>
      <c r="X466" s="16"/>
    </row>
    <row r="467" ht="22.5" hidden="1" customHeight="1">
      <c r="A467" s="11">
        <v>46011.550573217595</v>
      </c>
      <c r="B467" s="12" t="s">
        <v>1081</v>
      </c>
      <c r="C467" s="13" t="s">
        <v>1082</v>
      </c>
      <c r="D467" s="14"/>
      <c r="E467" s="13" t="s">
        <v>151</v>
      </c>
      <c r="F467" s="13" t="s">
        <v>133</v>
      </c>
      <c r="G467" s="13" t="s">
        <v>1083</v>
      </c>
      <c r="H467" s="13" t="s">
        <v>29</v>
      </c>
      <c r="I467" s="13" t="s">
        <v>659</v>
      </c>
      <c r="J467" s="14"/>
      <c r="K467" s="16" t="str">
        <f t="array" ref="K467">IFERROR(VLOOKUP(B467, SORT('Nhật ký nộp hồ sơ '!B:D, 'Nhật ký nộp hồ sơ '!A:A, FALSE), 3, FALSE),"")</f>
        <v>Hoàn thành</v>
      </c>
      <c r="L467" s="16" t="str">
        <f t="shared" si="1"/>
        <v>Hoàn thành</v>
      </c>
      <c r="M467" s="13" t="s">
        <v>56</v>
      </c>
      <c r="N467" s="17">
        <f>IFERROR(__xludf.DUMMYFUNCTION("""COMPUTED_VALUE"""),46011.0)</f>
        <v>46011</v>
      </c>
      <c r="O467" s="17">
        <v>46014.0</v>
      </c>
      <c r="P467" s="17">
        <f>IFERROR(__xludf.DUMMYFUNCTION("IFERROR(QUERY('Nhật ký nộp hồ sơ '!A:I, ""SELECT I WHERE B = '""&amp;B467&amp;""' ORDER BY A DESC LIMIT 1"", 0))"),46032.0)</f>
        <v>46032</v>
      </c>
      <c r="Q467" s="17">
        <f t="shared" si="2"/>
        <v>46032</v>
      </c>
      <c r="R467" s="16">
        <v>2.0</v>
      </c>
      <c r="S467" s="16"/>
      <c r="T467" s="16"/>
      <c r="U467" s="14"/>
      <c r="V467" s="18" t="s">
        <v>34</v>
      </c>
      <c r="W467" s="16"/>
      <c r="X467" s="16"/>
    </row>
    <row r="468" ht="22.5" hidden="1" customHeight="1">
      <c r="A468" s="11">
        <v>46014.50894854167</v>
      </c>
      <c r="B468" s="12" t="s">
        <v>1084</v>
      </c>
      <c r="C468" s="13" t="s">
        <v>682</v>
      </c>
      <c r="D468" s="14"/>
      <c r="E468" s="13" t="s">
        <v>53</v>
      </c>
      <c r="F468" s="13" t="s">
        <v>133</v>
      </c>
      <c r="G468" s="13" t="s">
        <v>683</v>
      </c>
      <c r="H468" s="13" t="s">
        <v>29</v>
      </c>
      <c r="I468" s="13" t="s">
        <v>81</v>
      </c>
      <c r="J468" s="14"/>
      <c r="K468" s="16" t="str">
        <f t="array" ref="K468">IFERROR(VLOOKUP(B468, SORT('Nhật ký nộp hồ sơ '!B:D, 'Nhật ký nộp hồ sơ '!A:A, FALSE), 3, FALSE),"")</f>
        <v>Hoàn thành</v>
      </c>
      <c r="L468" s="16" t="str">
        <f t="shared" si="1"/>
        <v>Hoàn thành</v>
      </c>
      <c r="M468" s="13" t="s">
        <v>216</v>
      </c>
      <c r="N468" s="17">
        <f>IFERROR(__xludf.DUMMYFUNCTION("""COMPUTED_VALUE"""),46014.0)</f>
        <v>46014</v>
      </c>
      <c r="O468" s="17">
        <v>46017.0</v>
      </c>
      <c r="P468" s="17">
        <f>IFERROR(__xludf.DUMMYFUNCTION("IFERROR(QUERY('Nhật ký nộp hồ sơ '!A:I, ""SELECT I WHERE B = '""&amp;B468&amp;""' ORDER BY A DESC LIMIT 1"", 0))"),46014.0)</f>
        <v>46014</v>
      </c>
      <c r="Q468" s="17">
        <f t="shared" si="2"/>
        <v>46014</v>
      </c>
      <c r="R468" s="16">
        <v>2.0</v>
      </c>
      <c r="S468" s="16"/>
      <c r="T468" s="16"/>
      <c r="U468" s="14"/>
      <c r="V468" s="18" t="s">
        <v>34</v>
      </c>
      <c r="W468" s="13">
        <v>7.0</v>
      </c>
      <c r="X468" s="13" t="s">
        <v>687</v>
      </c>
    </row>
    <row r="469" ht="22.5" hidden="1" customHeight="1">
      <c r="A469" s="11">
        <v>46014.5102252662</v>
      </c>
      <c r="B469" s="12" t="s">
        <v>1085</v>
      </c>
      <c r="C469" s="13" t="s">
        <v>697</v>
      </c>
      <c r="D469" s="14"/>
      <c r="E469" s="13" t="s">
        <v>74</v>
      </c>
      <c r="F469" s="13" t="s">
        <v>176</v>
      </c>
      <c r="G469" s="16"/>
      <c r="H469" s="13" t="s">
        <v>29</v>
      </c>
      <c r="I469" s="13" t="s">
        <v>659</v>
      </c>
      <c r="J469" s="14"/>
      <c r="K469" s="16" t="str">
        <f t="array" ref="K469">IFERROR(VLOOKUP(B469, SORT('Nhật ký nộp hồ sơ '!B:D, 'Nhật ký nộp hồ sơ '!A:A, FALSE), 3, FALSE),"")</f>
        <v>Hoàn thành</v>
      </c>
      <c r="L469" s="16" t="str">
        <f t="shared" si="1"/>
        <v>Hoàn thành</v>
      </c>
      <c r="M469" s="13" t="s">
        <v>216</v>
      </c>
      <c r="N469" s="17">
        <f>IFERROR(__xludf.DUMMYFUNCTION("""COMPUTED_VALUE"""),46014.0)</f>
        <v>46014</v>
      </c>
      <c r="O469" s="17">
        <v>46017.0</v>
      </c>
      <c r="P469" s="17">
        <f>IFERROR(__xludf.DUMMYFUNCTION("IFERROR(QUERY('Nhật ký nộp hồ sơ '!A:I, ""SELECT I WHERE B = '""&amp;B469&amp;""' ORDER BY A DESC LIMIT 1"", 0))"),46011.0)</f>
        <v>46011</v>
      </c>
      <c r="Q469" s="17">
        <f t="shared" si="2"/>
        <v>46011</v>
      </c>
      <c r="R469" s="16">
        <v>3.0</v>
      </c>
      <c r="S469" s="13" t="s">
        <v>1086</v>
      </c>
      <c r="T469" s="16"/>
      <c r="U469" s="14"/>
      <c r="V469" s="18" t="s">
        <v>34</v>
      </c>
      <c r="W469" s="13">
        <v>9.0</v>
      </c>
      <c r="X469" s="13" t="s">
        <v>687</v>
      </c>
    </row>
    <row r="470" ht="22.5" hidden="1" customHeight="1">
      <c r="A470" s="11">
        <v>46014.72344994213</v>
      </c>
      <c r="B470" s="12" t="s">
        <v>1087</v>
      </c>
      <c r="C470" s="13" t="s">
        <v>1088</v>
      </c>
      <c r="D470" s="14"/>
      <c r="E470" s="27" t="s">
        <v>222</v>
      </c>
      <c r="F470" s="13" t="s">
        <v>133</v>
      </c>
      <c r="G470" s="20" t="s">
        <v>815</v>
      </c>
      <c r="H470" s="13" t="s">
        <v>28</v>
      </c>
      <c r="I470" s="13" t="s">
        <v>659</v>
      </c>
      <c r="J470" s="18" t="s">
        <v>202</v>
      </c>
      <c r="K470" s="16" t="str">
        <f t="array" ref="K470">IFERROR(VLOOKUP(B470, SORT('Nhật ký nộp hồ sơ '!B:D, 'Nhật ký nộp hồ sơ '!A:A, FALSE), 3, FALSE),"")</f>
        <v>Hoàn thành</v>
      </c>
      <c r="L470" s="16" t="str">
        <f t="shared" si="1"/>
        <v>Hoàn thành</v>
      </c>
      <c r="M470" s="13" t="s">
        <v>216</v>
      </c>
      <c r="N470" s="17">
        <f>IFERROR(__xludf.DUMMYFUNCTION("""COMPUTED_VALUE"""),46014.0)</f>
        <v>46014</v>
      </c>
      <c r="O470" s="17">
        <v>46015.0</v>
      </c>
      <c r="P470" s="17">
        <f>IFERROR(__xludf.DUMMYFUNCTION("IFERROR(QUERY('Nhật ký nộp hồ sơ '!A:I, ""SELECT I WHERE B = '""&amp;B470&amp;""' ORDER BY A DESC LIMIT 1"", 0))"),46014.0)</f>
        <v>46014</v>
      </c>
      <c r="Q470" s="17">
        <f t="shared" si="2"/>
        <v>46014</v>
      </c>
      <c r="R470" s="16">
        <v>1.0</v>
      </c>
      <c r="S470" s="13" t="s">
        <v>1089</v>
      </c>
      <c r="T470" s="16"/>
      <c r="U470" s="14"/>
      <c r="V470" s="18" t="s">
        <v>34</v>
      </c>
      <c r="W470" s="13">
        <v>7.0</v>
      </c>
      <c r="X470" s="13" t="s">
        <v>687</v>
      </c>
    </row>
    <row r="471" ht="22.5" hidden="1" customHeight="1">
      <c r="A471" s="11">
        <v>46014.725618842596</v>
      </c>
      <c r="B471" s="12" t="s">
        <v>1090</v>
      </c>
      <c r="C471" s="13" t="s">
        <v>900</v>
      </c>
      <c r="D471" s="14"/>
      <c r="E471" s="13" t="s">
        <v>26</v>
      </c>
      <c r="F471" s="13" t="s">
        <v>338</v>
      </c>
      <c r="G471" s="16"/>
      <c r="H471" s="13" t="s">
        <v>28</v>
      </c>
      <c r="I471" s="13" t="s">
        <v>659</v>
      </c>
      <c r="J471" s="14"/>
      <c r="K471" s="16" t="str">
        <f t="array" ref="K471">IFERROR(VLOOKUP(B471, SORT('Nhật ký nộp hồ sơ '!B:D, 'Nhật ký nộp hồ sơ '!A:A, FALSE), 3, FALSE),"")</f>
        <v>Hoàn thành</v>
      </c>
      <c r="L471" s="16" t="str">
        <f t="shared" si="1"/>
        <v>Hoàn thành</v>
      </c>
      <c r="M471" s="13" t="s">
        <v>41</v>
      </c>
      <c r="N471" s="17">
        <f>IFERROR(__xludf.DUMMYFUNCTION("""COMPUTED_VALUE"""),46014.0)</f>
        <v>46014</v>
      </c>
      <c r="O471" s="17">
        <v>46017.0</v>
      </c>
      <c r="P471" s="17">
        <f>IFERROR(__xludf.DUMMYFUNCTION("IFERROR(QUERY('Nhật ký nộp hồ sơ '!A:I, ""SELECT I WHERE B = '""&amp;B471&amp;""' ORDER BY A DESC LIMIT 1"", 0))"),46016.0)</f>
        <v>46016</v>
      </c>
      <c r="Q471" s="17">
        <f t="shared" si="2"/>
        <v>46016</v>
      </c>
      <c r="R471" s="16">
        <v>2.0</v>
      </c>
      <c r="S471" s="16"/>
      <c r="T471" s="16"/>
      <c r="U471" s="14"/>
      <c r="V471" s="18" t="s">
        <v>34</v>
      </c>
      <c r="W471" s="16"/>
      <c r="X471" s="16"/>
    </row>
    <row r="472" ht="22.5" hidden="1" customHeight="1">
      <c r="A472" s="11">
        <v>46015.57678545139</v>
      </c>
      <c r="B472" s="12" t="s">
        <v>1091</v>
      </c>
      <c r="C472" s="13" t="s">
        <v>1092</v>
      </c>
      <c r="D472" s="14"/>
      <c r="E472" s="13" t="s">
        <v>62</v>
      </c>
      <c r="F472" s="13" t="s">
        <v>133</v>
      </c>
      <c r="G472" s="20" t="s">
        <v>851</v>
      </c>
      <c r="H472" s="13" t="s">
        <v>29</v>
      </c>
      <c r="I472" s="13" t="s">
        <v>81</v>
      </c>
      <c r="J472" s="14"/>
      <c r="K472" s="16" t="str">
        <f t="array" ref="K472">IFERROR(VLOOKUP(B472, SORT('Nhật ký nộp hồ sơ '!B:D, 'Nhật ký nộp hồ sơ '!A:A, FALSE), 3, FALSE),"")</f>
        <v>Hoàn thành</v>
      </c>
      <c r="L472" s="16" t="str">
        <f t="shared" si="1"/>
        <v>Hoàn thành</v>
      </c>
      <c r="M472" s="13" t="s">
        <v>82</v>
      </c>
      <c r="N472" s="17">
        <f>IFERROR(__xludf.DUMMYFUNCTION("""COMPUTED_VALUE"""),46015.0)</f>
        <v>46015</v>
      </c>
      <c r="O472" s="17">
        <v>46018.0</v>
      </c>
      <c r="P472" s="17">
        <f>IFERROR(__xludf.DUMMYFUNCTION("IFERROR(QUERY('Nhật ký nộp hồ sơ '!A:I, ""SELECT I WHERE B = '""&amp;B472&amp;""' ORDER BY A DESC LIMIT 1"", 0))"),46029.0)</f>
        <v>46029</v>
      </c>
      <c r="Q472" s="17">
        <f t="shared" si="2"/>
        <v>46029</v>
      </c>
      <c r="R472" s="16">
        <v>4.0</v>
      </c>
      <c r="S472" s="16"/>
      <c r="T472" s="16"/>
      <c r="U472" s="14"/>
      <c r="V472" s="18" t="s">
        <v>34</v>
      </c>
      <c r="W472" s="16"/>
      <c r="X472" s="16"/>
    </row>
    <row r="473" ht="22.5" hidden="1" customHeight="1">
      <c r="A473" s="11">
        <v>46015.688650682874</v>
      </c>
      <c r="B473" s="12" t="s">
        <v>1093</v>
      </c>
      <c r="C473" s="13" t="s">
        <v>1069</v>
      </c>
      <c r="D473" s="14"/>
      <c r="E473" s="13" t="s">
        <v>74</v>
      </c>
      <c r="F473" s="13" t="s">
        <v>133</v>
      </c>
      <c r="G473" s="20" t="s">
        <v>1070</v>
      </c>
      <c r="H473" s="13" t="s">
        <v>28</v>
      </c>
      <c r="I473" s="13" t="s">
        <v>81</v>
      </c>
      <c r="J473" s="14"/>
      <c r="K473" s="16" t="str">
        <f t="array" ref="K473">IFERROR(VLOOKUP(B473, SORT('Nhật ký nộp hồ sơ '!B:D, 'Nhật ký nộp hồ sơ '!A:A, FALSE), 3, FALSE),"")</f>
        <v>Hoàn thành</v>
      </c>
      <c r="L473" s="16" t="str">
        <f t="shared" si="1"/>
        <v>Hoàn thành</v>
      </c>
      <c r="M473" s="13" t="s">
        <v>146</v>
      </c>
      <c r="N473" s="17">
        <f>IFERROR(__xludf.DUMMYFUNCTION("""COMPUTED_VALUE"""),46015.0)</f>
        <v>46015</v>
      </c>
      <c r="O473" s="17">
        <v>46018.0</v>
      </c>
      <c r="P473" s="17">
        <f>IFERROR(__xludf.DUMMYFUNCTION("IFERROR(QUERY('Nhật ký nộp hồ sơ '!A:I, ""SELECT I WHERE B = '""&amp;B473&amp;""' ORDER BY A DESC LIMIT 1"", 0))"),46011.0)</f>
        <v>46011</v>
      </c>
      <c r="Q473" s="17">
        <f t="shared" si="2"/>
        <v>46011</v>
      </c>
      <c r="R473" s="16">
        <v>1.0</v>
      </c>
      <c r="S473" s="16"/>
      <c r="T473" s="16"/>
      <c r="U473" s="14"/>
      <c r="V473" s="18" t="s">
        <v>34</v>
      </c>
      <c r="W473" s="16"/>
      <c r="X473" s="16"/>
    </row>
    <row r="474" ht="22.5" hidden="1" customHeight="1">
      <c r="A474" s="11">
        <v>46015.69380208333</v>
      </c>
      <c r="B474" s="12" t="s">
        <v>1094</v>
      </c>
      <c r="C474" s="13" t="s">
        <v>1095</v>
      </c>
      <c r="D474" s="14"/>
      <c r="E474" s="13" t="s">
        <v>231</v>
      </c>
      <c r="F474" s="13" t="s">
        <v>133</v>
      </c>
      <c r="G474" s="20" t="s">
        <v>1096</v>
      </c>
      <c r="H474" s="13" t="s">
        <v>28</v>
      </c>
      <c r="I474" s="13" t="s">
        <v>81</v>
      </c>
      <c r="J474" s="14"/>
      <c r="K474" s="16" t="str">
        <f t="array" ref="K474">IFERROR(VLOOKUP(B474, SORT('Nhật ký nộp hồ sơ '!B:D, 'Nhật ký nộp hồ sơ '!A:A, FALSE), 3, FALSE),"")</f>
        <v>Hủy</v>
      </c>
      <c r="L474" s="16" t="str">
        <f t="shared" si="1"/>
        <v>ĐÃ HỦY</v>
      </c>
      <c r="M474" s="13" t="s">
        <v>56</v>
      </c>
      <c r="N474" s="17">
        <f>IFERROR(__xludf.DUMMYFUNCTION("""COMPUTED_VALUE"""),46015.0)</f>
        <v>46015</v>
      </c>
      <c r="O474" s="17">
        <v>46018.0</v>
      </c>
      <c r="P474" s="17">
        <f>IFERROR(__xludf.DUMMYFUNCTION("IFERROR(QUERY('Nhật ký nộp hồ sơ '!A:I, ""SELECT I WHERE B = '""&amp;B474&amp;""' ORDER BY A DESC LIMIT 1"", 0))"),46039.0)</f>
        <v>46039</v>
      </c>
      <c r="Q474" s="17" t="str">
        <f t="shared" si="2"/>
        <v/>
      </c>
      <c r="R474" s="16">
        <v>1.0</v>
      </c>
      <c r="S474" s="16"/>
      <c r="T474" s="16"/>
      <c r="U474" s="14"/>
      <c r="V474" s="18" t="s">
        <v>34</v>
      </c>
      <c r="W474" s="16"/>
      <c r="X474" s="16"/>
    </row>
    <row r="475" ht="22.5" hidden="1" customHeight="1">
      <c r="A475" s="11">
        <v>46015.69429818287</v>
      </c>
      <c r="B475" s="12" t="s">
        <v>1097</v>
      </c>
      <c r="C475" s="13" t="s">
        <v>1095</v>
      </c>
      <c r="D475" s="14"/>
      <c r="E475" s="13" t="s">
        <v>231</v>
      </c>
      <c r="F475" s="13" t="s">
        <v>133</v>
      </c>
      <c r="G475" s="20" t="s">
        <v>1096</v>
      </c>
      <c r="H475" s="13" t="s">
        <v>28</v>
      </c>
      <c r="I475" s="13" t="s">
        <v>81</v>
      </c>
      <c r="J475" s="14"/>
      <c r="K475" s="16" t="str">
        <f t="array" ref="K475">IFERROR(VLOOKUP(B475, SORT('Nhật ký nộp hồ sơ '!B:D, 'Nhật ký nộp hồ sơ '!A:A, FALSE), 3, FALSE),"")</f>
        <v>Hoàn thành</v>
      </c>
      <c r="L475" s="16" t="str">
        <f t="shared" si="1"/>
        <v>Hoàn thành</v>
      </c>
      <c r="M475" s="13" t="s">
        <v>146</v>
      </c>
      <c r="N475" s="17">
        <f>IFERROR(__xludf.DUMMYFUNCTION("""COMPUTED_VALUE"""),46015.0)</f>
        <v>46015</v>
      </c>
      <c r="O475" s="17">
        <v>46018.0</v>
      </c>
      <c r="P475" s="17">
        <f>IFERROR(__xludf.DUMMYFUNCTION("IFERROR(QUERY('Nhật ký nộp hồ sơ '!A:I, ""SELECT I WHERE B = '""&amp;B475&amp;""' ORDER BY A DESC LIMIT 1"", 0))"),46016.0)</f>
        <v>46016</v>
      </c>
      <c r="Q475" s="17">
        <f t="shared" si="2"/>
        <v>46016</v>
      </c>
      <c r="R475" s="16">
        <v>2.0</v>
      </c>
      <c r="S475" s="16"/>
      <c r="T475" s="16"/>
      <c r="U475" s="14"/>
      <c r="V475" s="18" t="s">
        <v>34</v>
      </c>
      <c r="W475" s="16"/>
      <c r="X475" s="16"/>
    </row>
    <row r="476" ht="22.5" hidden="1" customHeight="1">
      <c r="A476" s="11">
        <v>46015.69497505787</v>
      </c>
      <c r="B476" s="12" t="s">
        <v>1098</v>
      </c>
      <c r="C476" s="13" t="s">
        <v>1095</v>
      </c>
      <c r="D476" s="14"/>
      <c r="E476" s="13" t="s">
        <v>231</v>
      </c>
      <c r="F476" s="13" t="s">
        <v>133</v>
      </c>
      <c r="G476" s="20" t="s">
        <v>1096</v>
      </c>
      <c r="H476" s="13" t="s">
        <v>28</v>
      </c>
      <c r="I476" s="13" t="s">
        <v>659</v>
      </c>
      <c r="J476" s="18" t="s">
        <v>202</v>
      </c>
      <c r="K476" s="16" t="str">
        <f t="array" ref="K476">IFERROR(VLOOKUP(B476, SORT('Nhật ký nộp hồ sơ '!B:D, 'Nhật ký nộp hồ sơ '!A:A, FALSE), 3, FALSE),"")</f>
        <v>Hoàn thành</v>
      </c>
      <c r="L476" s="16" t="str">
        <f t="shared" si="1"/>
        <v>Hoàn thành</v>
      </c>
      <c r="M476" s="13" t="s">
        <v>216</v>
      </c>
      <c r="N476" s="17">
        <f>IFERROR(__xludf.DUMMYFUNCTION("""COMPUTED_VALUE"""),46015.0)</f>
        <v>46015</v>
      </c>
      <c r="O476" s="17">
        <v>46016.0</v>
      </c>
      <c r="P476" s="17">
        <f>IFERROR(__xludf.DUMMYFUNCTION("IFERROR(QUERY('Nhật ký nộp hồ sơ '!A:I, ""SELECT I WHERE B = '""&amp;B476&amp;""' ORDER BY A DESC LIMIT 1"", 0))"),46016.0)</f>
        <v>46016</v>
      </c>
      <c r="Q476" s="17">
        <f t="shared" si="2"/>
        <v>46016</v>
      </c>
      <c r="R476" s="16">
        <v>1.0</v>
      </c>
      <c r="S476" s="16"/>
      <c r="T476" s="16"/>
      <c r="U476" s="14"/>
      <c r="V476" s="18" t="s">
        <v>34</v>
      </c>
      <c r="W476" s="13">
        <v>8.0</v>
      </c>
      <c r="X476" s="13" t="s">
        <v>687</v>
      </c>
    </row>
    <row r="477" ht="22.5" hidden="1" customHeight="1">
      <c r="A477" s="11">
        <v>46016.447992511574</v>
      </c>
      <c r="B477" s="12" t="s">
        <v>1099</v>
      </c>
      <c r="C477" s="13" t="s">
        <v>1100</v>
      </c>
      <c r="D477" s="14"/>
      <c r="E477" s="13" t="s">
        <v>122</v>
      </c>
      <c r="F477" s="13" t="s">
        <v>89</v>
      </c>
      <c r="G477" s="16"/>
      <c r="H477" s="13" t="s">
        <v>29</v>
      </c>
      <c r="I477" s="13" t="s">
        <v>659</v>
      </c>
      <c r="J477" s="14"/>
      <c r="K477" s="16" t="str">
        <f t="array" ref="K477">IFERROR(VLOOKUP(B477, SORT('Nhật ký nộp hồ sơ '!B:D, 'Nhật ký nộp hồ sơ '!A:A, FALSE), 3, FALSE),"")</f>
        <v>Hoàn thành</v>
      </c>
      <c r="L477" s="16" t="str">
        <f t="shared" si="1"/>
        <v>Hoàn thành</v>
      </c>
      <c r="M477" s="13" t="s">
        <v>41</v>
      </c>
      <c r="N477" s="17">
        <f>IFERROR(__xludf.DUMMYFUNCTION("""COMPUTED_VALUE"""),46016.0)</f>
        <v>46016</v>
      </c>
      <c r="O477" s="17">
        <v>46019.0</v>
      </c>
      <c r="P477" s="17">
        <f>IFERROR(__xludf.DUMMYFUNCTION("IFERROR(QUERY('Nhật ký nộp hồ sơ '!A:I, ""SELECT I WHERE B = '""&amp;B477&amp;""' ORDER BY A DESC LIMIT 1"", 0))"),46016.0)</f>
        <v>46016</v>
      </c>
      <c r="Q477" s="17">
        <f t="shared" si="2"/>
        <v>46016</v>
      </c>
      <c r="R477" s="16">
        <v>3.0</v>
      </c>
      <c r="S477" s="16"/>
      <c r="T477" s="16"/>
      <c r="U477" s="14"/>
      <c r="V477" s="18" t="s">
        <v>34</v>
      </c>
      <c r="W477" s="16"/>
      <c r="X477" s="16"/>
    </row>
    <row r="478" ht="22.5" hidden="1" customHeight="1">
      <c r="A478" s="11">
        <v>46017.651459953704</v>
      </c>
      <c r="B478" s="12" t="s">
        <v>1101</v>
      </c>
      <c r="C478" s="13" t="s">
        <v>1053</v>
      </c>
      <c r="D478" s="14"/>
      <c r="E478" s="13" t="s">
        <v>74</v>
      </c>
      <c r="F478" s="13" t="s">
        <v>176</v>
      </c>
      <c r="G478" s="16"/>
      <c r="H478" s="13" t="s">
        <v>29</v>
      </c>
      <c r="I478" s="13" t="s">
        <v>28</v>
      </c>
      <c r="J478" s="14"/>
      <c r="K478" s="16" t="str">
        <f t="array" ref="K478">IFERROR(VLOOKUP(B478, SORT('Nhật ký nộp hồ sơ '!B:D, 'Nhật ký nộp hồ sơ '!A:A, FALSE), 3, FALSE),"")</f>
        <v>Hoàn thành</v>
      </c>
      <c r="L478" s="16" t="str">
        <f t="shared" si="1"/>
        <v>Hoàn thành</v>
      </c>
      <c r="M478" s="13" t="s">
        <v>216</v>
      </c>
      <c r="N478" s="17">
        <f>IFERROR(__xludf.DUMMYFUNCTION("""COMPUTED_VALUE"""),46017.0)</f>
        <v>46017</v>
      </c>
      <c r="O478" s="17">
        <v>46020.0</v>
      </c>
      <c r="P478" s="17">
        <f>IFERROR(__xludf.DUMMYFUNCTION("IFERROR(QUERY('Nhật ký nộp hồ sơ '!A:I, ""SELECT I WHERE B = '""&amp;B478&amp;""' ORDER BY A DESC LIMIT 1"", 0))"),46017.0)</f>
        <v>46017</v>
      </c>
      <c r="Q478" s="17">
        <f t="shared" si="2"/>
        <v>46017</v>
      </c>
      <c r="R478" s="16">
        <v>1.0</v>
      </c>
      <c r="S478" s="16"/>
      <c r="T478" s="16"/>
      <c r="U478" s="14"/>
      <c r="V478" s="18" t="s">
        <v>34</v>
      </c>
      <c r="W478" s="13">
        <v>10.0</v>
      </c>
      <c r="X478" s="13" t="s">
        <v>687</v>
      </c>
    </row>
    <row r="479" ht="22.5" hidden="1" customHeight="1">
      <c r="A479" s="11">
        <v>46017.652945381946</v>
      </c>
      <c r="B479" s="12" t="s">
        <v>1102</v>
      </c>
      <c r="C479" s="13" t="s">
        <v>972</v>
      </c>
      <c r="D479" s="14"/>
      <c r="E479" s="13" t="s">
        <v>26</v>
      </c>
      <c r="F479" s="13" t="s">
        <v>133</v>
      </c>
      <c r="G479" s="13" t="s">
        <v>516</v>
      </c>
      <c r="H479" s="13" t="s">
        <v>47</v>
      </c>
      <c r="I479" s="13" t="s">
        <v>81</v>
      </c>
      <c r="J479" s="14"/>
      <c r="K479" s="16" t="str">
        <f t="array" ref="K479">IFERROR(VLOOKUP(B479, SORT('Nhật ký nộp hồ sơ '!B:D, 'Nhật ký nộp hồ sơ '!A:A, FALSE), 3, FALSE),"")</f>
        <v>Hoàn thành</v>
      </c>
      <c r="L479" s="16" t="str">
        <f t="shared" si="1"/>
        <v>Hoàn thành</v>
      </c>
      <c r="M479" s="13" t="s">
        <v>41</v>
      </c>
      <c r="N479" s="17">
        <f>IFERROR(__xludf.DUMMYFUNCTION("""COMPUTED_VALUE"""),46017.0)</f>
        <v>46017</v>
      </c>
      <c r="O479" s="17">
        <v>46020.0</v>
      </c>
      <c r="P479" s="17">
        <f>IFERROR(__xludf.DUMMYFUNCTION("IFERROR(QUERY('Nhật ký nộp hồ sơ '!A:I, ""SELECT I WHERE B = '""&amp;B479&amp;""' ORDER BY A DESC LIMIT 1"", 0))"),46017.0)</f>
        <v>46017</v>
      </c>
      <c r="Q479" s="17">
        <f t="shared" si="2"/>
        <v>46017</v>
      </c>
      <c r="R479" s="16">
        <v>3.0</v>
      </c>
      <c r="S479" s="16"/>
      <c r="T479" s="16"/>
      <c r="U479" s="14"/>
      <c r="V479" s="18" t="s">
        <v>34</v>
      </c>
      <c r="W479" s="16"/>
      <c r="X479" s="16"/>
    </row>
    <row r="480" ht="22.5" hidden="1" customHeight="1">
      <c r="A480" s="11">
        <v>46017.68213486111</v>
      </c>
      <c r="B480" s="12" t="s">
        <v>1103</v>
      </c>
      <c r="C480" s="13" t="s">
        <v>1104</v>
      </c>
      <c r="D480" s="14"/>
      <c r="E480" s="13" t="s">
        <v>45</v>
      </c>
      <c r="F480" s="13" t="s">
        <v>133</v>
      </c>
      <c r="G480" s="20" t="s">
        <v>1105</v>
      </c>
      <c r="H480" s="13" t="s">
        <v>69</v>
      </c>
      <c r="I480" s="13" t="s">
        <v>659</v>
      </c>
      <c r="J480" s="14"/>
      <c r="K480" s="16" t="str">
        <f t="array" ref="K480">IFERROR(VLOOKUP(B480, SORT('Nhật ký nộp hồ sơ '!B:D, 'Nhật ký nộp hồ sơ '!A:A, FALSE), 3, FALSE),"")</f>
        <v>Hoàn thành</v>
      </c>
      <c r="L480" s="16" t="str">
        <f t="shared" si="1"/>
        <v>Hoàn thành</v>
      </c>
      <c r="M480" s="13" t="s">
        <v>56</v>
      </c>
      <c r="N480" s="17">
        <f>IFERROR(__xludf.DUMMYFUNCTION("""COMPUTED_VALUE"""),46017.0)</f>
        <v>46017</v>
      </c>
      <c r="O480" s="17">
        <v>46020.0</v>
      </c>
      <c r="P480" s="17">
        <f>IFERROR(__xludf.DUMMYFUNCTION("IFERROR(QUERY('Nhật ký nộp hồ sơ '!A:I, ""SELECT I WHERE B = '""&amp;B480&amp;""' ORDER BY A DESC LIMIT 1"", 0))"),46035.0)</f>
        <v>46035</v>
      </c>
      <c r="Q480" s="17">
        <f t="shared" si="2"/>
        <v>46035</v>
      </c>
      <c r="R480" s="16">
        <v>1.0</v>
      </c>
      <c r="S480" s="16"/>
      <c r="T480" s="16"/>
      <c r="U480" s="14"/>
      <c r="V480" s="18" t="s">
        <v>34</v>
      </c>
      <c r="W480" s="16"/>
      <c r="X480" s="16"/>
    </row>
    <row r="481" ht="22.5" hidden="1" customHeight="1">
      <c r="A481" s="11">
        <v>46020.38337866898</v>
      </c>
      <c r="B481" s="12" t="s">
        <v>1106</v>
      </c>
      <c r="C481" s="13" t="s">
        <v>1107</v>
      </c>
      <c r="D481" s="14"/>
      <c r="E481" s="13" t="s">
        <v>45</v>
      </c>
      <c r="F481" s="13" t="s">
        <v>133</v>
      </c>
      <c r="G481" s="20" t="s">
        <v>1108</v>
      </c>
      <c r="H481" s="13" t="s">
        <v>69</v>
      </c>
      <c r="I481" s="13" t="s">
        <v>659</v>
      </c>
      <c r="J481" s="14"/>
      <c r="K481" s="16" t="str">
        <f t="array" ref="K481">IFERROR(VLOOKUP(B481, SORT('Nhật ký nộp hồ sơ '!B:D, 'Nhật ký nộp hồ sơ '!A:A, FALSE), 3, FALSE),"")</f>
        <v>Hoàn thành</v>
      </c>
      <c r="L481" s="16" t="str">
        <f t="shared" si="1"/>
        <v>Hoàn thành</v>
      </c>
      <c r="M481" s="13" t="s">
        <v>56</v>
      </c>
      <c r="N481" s="17">
        <f>IFERROR(__xludf.DUMMYFUNCTION("""COMPUTED_VALUE"""),46020.0)</f>
        <v>46020</v>
      </c>
      <c r="O481" s="17">
        <v>46023.0</v>
      </c>
      <c r="P481" s="17">
        <f>IFERROR(__xludf.DUMMYFUNCTION("IFERROR(QUERY('Nhật ký nộp hồ sơ '!A:I, ""SELECT I WHERE B = '""&amp;B481&amp;""' ORDER BY A DESC LIMIT 1"", 0))"),46034.0)</f>
        <v>46034</v>
      </c>
      <c r="Q481" s="17">
        <f t="shared" si="2"/>
        <v>46034</v>
      </c>
      <c r="R481" s="16">
        <v>2.0</v>
      </c>
      <c r="S481" s="16"/>
      <c r="T481" s="16"/>
      <c r="U481" s="14"/>
      <c r="V481" s="18" t="s">
        <v>34</v>
      </c>
      <c r="W481" s="16"/>
      <c r="X481" s="16"/>
    </row>
    <row r="482" ht="22.5" hidden="1" customHeight="1">
      <c r="A482" s="11">
        <v>46020.38404693287</v>
      </c>
      <c r="B482" s="12" t="s">
        <v>1109</v>
      </c>
      <c r="C482" s="13" t="s">
        <v>1110</v>
      </c>
      <c r="D482" s="14"/>
      <c r="E482" s="13" t="s">
        <v>26</v>
      </c>
      <c r="F482" s="15" t="s">
        <v>27</v>
      </c>
      <c r="G482" s="16"/>
      <c r="H482" s="13" t="s">
        <v>69</v>
      </c>
      <c r="I482" s="13" t="s">
        <v>659</v>
      </c>
      <c r="J482" s="14"/>
      <c r="K482" s="16" t="str">
        <f t="array" ref="K482">IFERROR(VLOOKUP(B482, SORT('Nhật ký nộp hồ sơ '!B:D, 'Nhật ký nộp hồ sơ '!A:A, FALSE), 3, FALSE),"")</f>
        <v>Hoàn thành</v>
      </c>
      <c r="L482" s="16" t="str">
        <f t="shared" si="1"/>
        <v>Hoàn thành</v>
      </c>
      <c r="M482" s="13" t="s">
        <v>48</v>
      </c>
      <c r="N482" s="17">
        <f>IFERROR(__xludf.DUMMYFUNCTION("""COMPUTED_VALUE"""),46020.0)</f>
        <v>46020</v>
      </c>
      <c r="O482" s="17">
        <v>46023.0</v>
      </c>
      <c r="P482" s="17">
        <f>IFERROR(__xludf.DUMMYFUNCTION("IFERROR(QUERY('Nhật ký nộp hồ sơ '!A:I, ""SELECT I WHERE B = '""&amp;B482&amp;""' ORDER BY A DESC LIMIT 1"", 0))"),46032.0)</f>
        <v>46032</v>
      </c>
      <c r="Q482" s="17">
        <f t="shared" si="2"/>
        <v>46032</v>
      </c>
      <c r="R482" s="16">
        <v>1.0</v>
      </c>
      <c r="S482" s="16"/>
      <c r="T482" s="16"/>
      <c r="U482" s="14"/>
      <c r="V482" s="18" t="s">
        <v>34</v>
      </c>
      <c r="W482" s="16"/>
      <c r="X482" s="16"/>
    </row>
    <row r="483" ht="22.5" hidden="1" customHeight="1">
      <c r="A483" s="11">
        <v>46020.384898738426</v>
      </c>
      <c r="B483" s="12" t="s">
        <v>1111</v>
      </c>
      <c r="C483" s="13" t="s">
        <v>1112</v>
      </c>
      <c r="D483" s="14"/>
      <c r="E483" s="13" t="s">
        <v>26</v>
      </c>
      <c r="F483" s="13" t="s">
        <v>414</v>
      </c>
      <c r="G483" s="20" t="s">
        <v>1113</v>
      </c>
      <c r="H483" s="13" t="s">
        <v>69</v>
      </c>
      <c r="I483" s="13" t="s">
        <v>659</v>
      </c>
      <c r="J483" s="14"/>
      <c r="K483" s="16" t="str">
        <f t="array" ref="K483">IFERROR(VLOOKUP(B483, SORT('Nhật ký nộp hồ sơ '!B:D, 'Nhật ký nộp hồ sơ '!A:A, FALSE), 3, FALSE),"")</f>
        <v>Hoàn thành</v>
      </c>
      <c r="L483" s="16" t="str">
        <f t="shared" si="1"/>
        <v>Hoàn thành</v>
      </c>
      <c r="M483" s="13" t="s">
        <v>93</v>
      </c>
      <c r="N483" s="17">
        <f>IFERROR(__xludf.DUMMYFUNCTION("""COMPUTED_VALUE"""),46020.0)</f>
        <v>46020</v>
      </c>
      <c r="O483" s="17">
        <v>46023.0</v>
      </c>
      <c r="P483" s="17">
        <f>IFERROR(__xludf.DUMMYFUNCTION("IFERROR(QUERY('Nhật ký nộp hồ sơ '!A:I, ""SELECT I WHERE B = '""&amp;B483&amp;""' ORDER BY A DESC LIMIT 1"", 0))"),46056.0)</f>
        <v>46056</v>
      </c>
      <c r="Q483" s="17">
        <f t="shared" si="2"/>
        <v>46056</v>
      </c>
      <c r="R483" s="16">
        <v>1.0</v>
      </c>
      <c r="S483" s="16"/>
      <c r="T483" s="16"/>
      <c r="U483" s="14"/>
      <c r="V483" s="18" t="s">
        <v>34</v>
      </c>
      <c r="W483" s="16"/>
      <c r="X483" s="16"/>
    </row>
    <row r="484" ht="22.5" hidden="1" customHeight="1">
      <c r="A484" s="11">
        <v>46020.385649351854</v>
      </c>
      <c r="B484" s="12" t="s">
        <v>1114</v>
      </c>
      <c r="C484" s="13" t="s">
        <v>1115</v>
      </c>
      <c r="D484" s="14"/>
      <c r="E484" s="13" t="s">
        <v>26</v>
      </c>
      <c r="F484" s="13" t="s">
        <v>133</v>
      </c>
      <c r="G484" s="20" t="s">
        <v>1116</v>
      </c>
      <c r="H484" s="13" t="s">
        <v>69</v>
      </c>
      <c r="I484" s="13" t="s">
        <v>659</v>
      </c>
      <c r="J484" s="14"/>
      <c r="K484" s="16" t="str">
        <f t="array" ref="K484">IFERROR(VLOOKUP(B484, SORT('Nhật ký nộp hồ sơ '!B:D, 'Nhật ký nộp hồ sơ '!A:A, FALSE), 3, FALSE),"")</f>
        <v>Nộp thành công - Chờ kết quả</v>
      </c>
      <c r="L484" s="16" t="str">
        <f t="shared" si="1"/>
        <v>Đã nộp</v>
      </c>
      <c r="M484" s="13" t="s">
        <v>93</v>
      </c>
      <c r="N484" s="17">
        <f>IFERROR(__xludf.DUMMYFUNCTION("""COMPUTED_VALUE"""),46020.0)</f>
        <v>46020</v>
      </c>
      <c r="O484" s="17">
        <v>46023.0</v>
      </c>
      <c r="P484" s="17">
        <f>IFERROR(__xludf.DUMMYFUNCTION("IFERROR(QUERY('Nhật ký nộp hồ sơ '!A:I, ""SELECT I WHERE B = '""&amp;B484&amp;""' ORDER BY A DESC LIMIT 1"", 0))"),46028.0)</f>
        <v>46028</v>
      </c>
      <c r="Q484" s="17" t="str">
        <f t="shared" si="2"/>
        <v/>
      </c>
      <c r="R484" s="16">
        <v>2.0</v>
      </c>
      <c r="S484" s="16"/>
      <c r="T484" s="16"/>
      <c r="U484" s="14"/>
      <c r="V484" s="18" t="s">
        <v>34</v>
      </c>
      <c r="W484" s="16"/>
      <c r="X484" s="16"/>
    </row>
    <row r="485" ht="22.5" hidden="1" customHeight="1">
      <c r="A485" s="11">
        <v>46020.38819791666</v>
      </c>
      <c r="B485" s="12" t="s">
        <v>1117</v>
      </c>
      <c r="C485" s="13" t="s">
        <v>1118</v>
      </c>
      <c r="D485" s="14"/>
      <c r="E485" s="13" t="s">
        <v>151</v>
      </c>
      <c r="F485" s="13" t="s">
        <v>133</v>
      </c>
      <c r="G485" s="20" t="s">
        <v>1119</v>
      </c>
      <c r="H485" s="13" t="s">
        <v>47</v>
      </c>
      <c r="I485" s="13" t="s">
        <v>100</v>
      </c>
      <c r="J485" s="14"/>
      <c r="K485" s="16" t="str">
        <f t="array" ref="K485">IFERROR(VLOOKUP(B485, SORT('Nhật ký nộp hồ sơ '!B:D, 'Nhật ký nộp hồ sơ '!A:A, FALSE), 3, FALSE),"")</f>
        <v>Hoàn thành</v>
      </c>
      <c r="L485" s="16" t="str">
        <f t="shared" si="1"/>
        <v>Hoàn thành</v>
      </c>
      <c r="M485" s="13" t="s">
        <v>56</v>
      </c>
      <c r="N485" s="17">
        <f>IFERROR(__xludf.DUMMYFUNCTION("""COMPUTED_VALUE"""),46020.0)</f>
        <v>46020</v>
      </c>
      <c r="O485" s="17">
        <v>46023.0</v>
      </c>
      <c r="P485" s="17">
        <f>IFERROR(__xludf.DUMMYFUNCTION("IFERROR(QUERY('Nhật ký nộp hồ sơ '!A:I, ""SELECT I WHERE B = '""&amp;B485&amp;""' ORDER BY A DESC LIMIT 1"", 0))"),46031.0)</f>
        <v>46031</v>
      </c>
      <c r="Q485" s="17">
        <f t="shared" si="2"/>
        <v>46031</v>
      </c>
      <c r="R485" s="16">
        <v>1.0</v>
      </c>
      <c r="S485" s="16"/>
      <c r="T485" s="16"/>
      <c r="U485" s="14"/>
      <c r="V485" s="18" t="s">
        <v>34</v>
      </c>
      <c r="W485" s="16"/>
      <c r="X485" s="16"/>
    </row>
    <row r="486" ht="22.5" hidden="1" customHeight="1">
      <c r="A486" s="11">
        <v>46020.446369259254</v>
      </c>
      <c r="B486" s="12" t="s">
        <v>1120</v>
      </c>
      <c r="C486" s="13" t="s">
        <v>1121</v>
      </c>
      <c r="D486" s="14"/>
      <c r="E486" s="13" t="s">
        <v>231</v>
      </c>
      <c r="F486" s="13" t="s">
        <v>133</v>
      </c>
      <c r="G486" s="20" t="s">
        <v>1122</v>
      </c>
      <c r="H486" s="13" t="s">
        <v>28</v>
      </c>
      <c r="I486" s="13" t="s">
        <v>81</v>
      </c>
      <c r="J486" s="14"/>
      <c r="K486" s="16" t="str">
        <f t="array" ref="K486">IFERROR(VLOOKUP(B486, SORT('Nhật ký nộp hồ sơ '!B:D, 'Nhật ký nộp hồ sơ '!A:A, FALSE), 3, FALSE),"")</f>
        <v>Hoàn thành</v>
      </c>
      <c r="L486" s="16" t="str">
        <f t="shared" si="1"/>
        <v>Hoàn thành</v>
      </c>
      <c r="M486" s="13" t="s">
        <v>48</v>
      </c>
      <c r="N486" s="17">
        <f>IFERROR(__xludf.DUMMYFUNCTION("""COMPUTED_VALUE"""),46020.0)</f>
        <v>46020</v>
      </c>
      <c r="O486" s="17">
        <v>46023.0</v>
      </c>
      <c r="P486" s="17">
        <f>IFERROR(__xludf.DUMMYFUNCTION("IFERROR(QUERY('Nhật ký nộp hồ sơ '!A:I, ""SELECT I WHERE B = '""&amp;B486&amp;""' ORDER BY A DESC LIMIT 1"", 0))"),46052.0)</f>
        <v>46052</v>
      </c>
      <c r="Q486" s="17">
        <f t="shared" si="2"/>
        <v>46052</v>
      </c>
      <c r="R486" s="16">
        <v>5.0</v>
      </c>
      <c r="S486" s="16"/>
      <c r="T486" s="16"/>
      <c r="U486" s="14"/>
      <c r="V486" s="18" t="s">
        <v>34</v>
      </c>
      <c r="W486" s="16"/>
      <c r="X486" s="16"/>
    </row>
    <row r="487" ht="22.5" hidden="1" customHeight="1">
      <c r="A487" s="11">
        <v>46020.47024898148</v>
      </c>
      <c r="B487" s="12" t="s">
        <v>1123</v>
      </c>
      <c r="C487" s="13" t="s">
        <v>1073</v>
      </c>
      <c r="D487" s="14"/>
      <c r="E487" s="13" t="s">
        <v>26</v>
      </c>
      <c r="F487" s="13" t="s">
        <v>133</v>
      </c>
      <c r="G487" s="20" t="s">
        <v>1074</v>
      </c>
      <c r="H487" s="13" t="s">
        <v>28</v>
      </c>
      <c r="I487" s="13" t="s">
        <v>81</v>
      </c>
      <c r="J487" s="14"/>
      <c r="K487" s="16" t="str">
        <f t="array" ref="K487">IFERROR(VLOOKUP(B487, SORT('Nhật ký nộp hồ sơ '!B:D, 'Nhật ký nộp hồ sơ '!A:A, FALSE), 3, FALSE),"")</f>
        <v>Hoàn thành</v>
      </c>
      <c r="L487" s="16" t="str">
        <f t="shared" si="1"/>
        <v>Hoàn thành</v>
      </c>
      <c r="M487" s="13" t="s">
        <v>146</v>
      </c>
      <c r="N487" s="17">
        <f>IFERROR(__xludf.DUMMYFUNCTION("""COMPUTED_VALUE"""),46020.0)</f>
        <v>46020</v>
      </c>
      <c r="O487" s="17">
        <v>46023.0</v>
      </c>
      <c r="P487" s="17">
        <f>IFERROR(__xludf.DUMMYFUNCTION("IFERROR(QUERY('Nhật ký nộp hồ sơ '!A:I, ""SELECT I WHERE B = '""&amp;B487&amp;""' ORDER BY A DESC LIMIT 1"", 0))"),46020.0)</f>
        <v>46020</v>
      </c>
      <c r="Q487" s="17">
        <f t="shared" si="2"/>
        <v>46020</v>
      </c>
      <c r="R487" s="16">
        <v>5.0</v>
      </c>
      <c r="S487" s="16"/>
      <c r="T487" s="16"/>
      <c r="U487" s="14"/>
      <c r="V487" s="18" t="s">
        <v>34</v>
      </c>
      <c r="W487" s="16"/>
      <c r="X487" s="16"/>
    </row>
    <row r="488" ht="22.5" hidden="1" customHeight="1">
      <c r="A488" s="11">
        <v>46020.68291960648</v>
      </c>
      <c r="B488" s="12" t="s">
        <v>1124</v>
      </c>
      <c r="C488" s="13" t="s">
        <v>793</v>
      </c>
      <c r="D488" s="14"/>
      <c r="E488" s="13" t="s">
        <v>26</v>
      </c>
      <c r="F488" s="13" t="s">
        <v>462</v>
      </c>
      <c r="G488" s="16"/>
      <c r="H488" s="13" t="s">
        <v>29</v>
      </c>
      <c r="I488" s="13" t="s">
        <v>81</v>
      </c>
      <c r="J488" s="14"/>
      <c r="K488" s="16" t="str">
        <f t="array" ref="K488">IFERROR(VLOOKUP(B488, SORT('Nhật ký nộp hồ sơ '!B:D, 'Nhật ký nộp hồ sơ '!A:A, FALSE), 3, FALSE),"")</f>
        <v>Hủy</v>
      </c>
      <c r="L488" s="16" t="str">
        <f t="shared" si="1"/>
        <v>ĐÃ HỦY</v>
      </c>
      <c r="M488" s="13" t="s">
        <v>82</v>
      </c>
      <c r="N488" s="17">
        <f>IFERROR(__xludf.DUMMYFUNCTION("""COMPUTED_VALUE"""),46020.0)</f>
        <v>46020</v>
      </c>
      <c r="O488" s="17">
        <v>46023.0</v>
      </c>
      <c r="P488" s="17">
        <f>IFERROR(__xludf.DUMMYFUNCTION("IFERROR(QUERY('Nhật ký nộp hồ sơ '!A:I, ""SELECT I WHERE B = '""&amp;B488&amp;""' ORDER BY A DESC LIMIT 1"", 0))"),46038.0)</f>
        <v>46038</v>
      </c>
      <c r="Q488" s="17" t="str">
        <f t="shared" si="2"/>
        <v/>
      </c>
      <c r="R488" s="16">
        <v>1.0</v>
      </c>
      <c r="S488" s="16"/>
      <c r="T488" s="13" t="s">
        <v>1125</v>
      </c>
      <c r="U488" s="14"/>
      <c r="V488" s="18" t="s">
        <v>34</v>
      </c>
      <c r="W488" s="16"/>
      <c r="X488" s="16"/>
    </row>
    <row r="489" ht="22.5" hidden="1" customHeight="1">
      <c r="A489" s="11">
        <v>46021.663998206015</v>
      </c>
      <c r="B489" s="12" t="s">
        <v>1126</v>
      </c>
      <c r="C489" s="13" t="s">
        <v>337</v>
      </c>
      <c r="D489" s="14"/>
      <c r="E489" s="13" t="s">
        <v>45</v>
      </c>
      <c r="F489" s="13" t="s">
        <v>46</v>
      </c>
      <c r="G489" s="16"/>
      <c r="H489" s="13" t="s">
        <v>47</v>
      </c>
      <c r="I489" s="13" t="s">
        <v>81</v>
      </c>
      <c r="J489" s="14"/>
      <c r="K489" s="16" t="str">
        <f t="array" ref="K489">IFERROR(VLOOKUP(B489, SORT('Nhật ký nộp hồ sơ '!B:D, 'Nhật ký nộp hồ sơ '!A:A, FALSE), 3, FALSE),"")</f>
        <v>Hoàn thành</v>
      </c>
      <c r="L489" s="16" t="str">
        <f t="shared" si="1"/>
        <v>Hoàn thành</v>
      </c>
      <c r="M489" s="13" t="s">
        <v>82</v>
      </c>
      <c r="N489" s="17">
        <f>IFERROR(__xludf.DUMMYFUNCTION("""COMPUTED_VALUE"""),46021.0)</f>
        <v>46021</v>
      </c>
      <c r="O489" s="17">
        <v>46024.0</v>
      </c>
      <c r="P489" s="17">
        <f>IFERROR(__xludf.DUMMYFUNCTION("IFERROR(QUERY('Nhật ký nộp hồ sơ '!A:I, ""SELECT I WHERE B = '""&amp;B489&amp;""' ORDER BY A DESC LIMIT 1"", 0))"),46035.0)</f>
        <v>46035</v>
      </c>
      <c r="Q489" s="17">
        <f t="shared" si="2"/>
        <v>46035</v>
      </c>
      <c r="R489" s="16">
        <v>2.0</v>
      </c>
      <c r="S489" s="16"/>
      <c r="T489" s="16"/>
      <c r="U489" s="14"/>
      <c r="V489" s="18" t="s">
        <v>34</v>
      </c>
      <c r="W489" s="16"/>
      <c r="X489" s="16"/>
    </row>
    <row r="490" ht="22.5" hidden="1" customHeight="1">
      <c r="A490" s="11">
        <v>46021.66856855324</v>
      </c>
      <c r="B490" s="12" t="s">
        <v>1127</v>
      </c>
      <c r="C490" s="13" t="s">
        <v>1128</v>
      </c>
      <c r="D490" s="14"/>
      <c r="E490" s="13" t="s">
        <v>187</v>
      </c>
      <c r="F490" s="13" t="s">
        <v>133</v>
      </c>
      <c r="G490" s="20" t="s">
        <v>832</v>
      </c>
      <c r="H490" s="13" t="s">
        <v>28</v>
      </c>
      <c r="I490" s="13" t="s">
        <v>659</v>
      </c>
      <c r="J490" s="14"/>
      <c r="K490" s="16" t="str">
        <f t="array" ref="K490">IFERROR(VLOOKUP(B490, SORT('Nhật ký nộp hồ sơ '!B:D, 'Nhật ký nộp hồ sơ '!A:A, FALSE), 3, FALSE),"")</f>
        <v>Hoàn thành</v>
      </c>
      <c r="L490" s="16" t="str">
        <f t="shared" si="1"/>
        <v>Hoàn thành</v>
      </c>
      <c r="M490" s="13" t="s">
        <v>216</v>
      </c>
      <c r="N490" s="17">
        <f>IFERROR(__xludf.DUMMYFUNCTION("""COMPUTED_VALUE"""),46021.0)</f>
        <v>46021</v>
      </c>
      <c r="O490" s="17">
        <v>46024.0</v>
      </c>
      <c r="P490" s="17">
        <f>IFERROR(__xludf.DUMMYFUNCTION("IFERROR(QUERY('Nhật ký nộp hồ sơ '!A:I, ""SELECT I WHERE B = '""&amp;B490&amp;""' ORDER BY A DESC LIMIT 1"", 0))"),46021.0)</f>
        <v>46021</v>
      </c>
      <c r="Q490" s="17">
        <f t="shared" si="2"/>
        <v>46021</v>
      </c>
      <c r="R490" s="16">
        <v>1.0</v>
      </c>
      <c r="S490" s="16"/>
      <c r="T490" s="16"/>
      <c r="U490" s="14"/>
      <c r="V490" s="18" t="s">
        <v>34</v>
      </c>
      <c r="W490" s="13">
        <v>4.0</v>
      </c>
      <c r="X490" s="13" t="s">
        <v>687</v>
      </c>
    </row>
    <row r="491" ht="22.5" hidden="1" customHeight="1">
      <c r="A491" s="11">
        <v>46021.669267731486</v>
      </c>
      <c r="B491" s="12" t="s">
        <v>1129</v>
      </c>
      <c r="C491" s="13" t="s">
        <v>1130</v>
      </c>
      <c r="D491" s="14"/>
      <c r="E491" s="13" t="s">
        <v>62</v>
      </c>
      <c r="F491" s="13" t="s">
        <v>481</v>
      </c>
      <c r="G491" s="16"/>
      <c r="H491" s="13" t="s">
        <v>28</v>
      </c>
      <c r="I491" s="13" t="s">
        <v>659</v>
      </c>
      <c r="J491" s="14"/>
      <c r="K491" s="16" t="str">
        <f t="array" ref="K491">IFERROR(VLOOKUP(B491, SORT('Nhật ký nộp hồ sơ '!B:D, 'Nhật ký nộp hồ sơ '!A:A, FALSE), 3, FALSE),"")</f>
        <v>Hoàn thành</v>
      </c>
      <c r="L491" s="16" t="str">
        <f t="shared" si="1"/>
        <v>Hoàn thành</v>
      </c>
      <c r="M491" s="13" t="s">
        <v>56</v>
      </c>
      <c r="N491" s="17">
        <f>IFERROR(__xludf.DUMMYFUNCTION("""COMPUTED_VALUE"""),46021.0)</f>
        <v>46021</v>
      </c>
      <c r="O491" s="17">
        <v>46024.0</v>
      </c>
      <c r="P491" s="17">
        <f>IFERROR(__xludf.DUMMYFUNCTION("IFERROR(QUERY('Nhật ký nộp hồ sơ '!A:I, ""SELECT I WHERE B = '""&amp;B491&amp;""' ORDER BY A DESC LIMIT 1"", 0))"),46049.0)</f>
        <v>46049</v>
      </c>
      <c r="Q491" s="17">
        <f t="shared" si="2"/>
        <v>46049</v>
      </c>
      <c r="R491" s="16">
        <v>1.0</v>
      </c>
      <c r="S491" s="16"/>
      <c r="T491" s="16"/>
      <c r="U491" s="14"/>
      <c r="V491" s="18" t="s">
        <v>34</v>
      </c>
      <c r="W491" s="16"/>
      <c r="X491" s="16"/>
    </row>
    <row r="492" ht="22.5" hidden="1" customHeight="1">
      <c r="A492" s="11">
        <v>46021.670776597224</v>
      </c>
      <c r="B492" s="12" t="s">
        <v>1131</v>
      </c>
      <c r="C492" s="13" t="s">
        <v>893</v>
      </c>
      <c r="D492" s="14"/>
      <c r="E492" s="13" t="s">
        <v>151</v>
      </c>
      <c r="F492" s="13" t="s">
        <v>133</v>
      </c>
      <c r="G492" s="20" t="s">
        <v>984</v>
      </c>
      <c r="H492" s="13" t="s">
        <v>29</v>
      </c>
      <c r="I492" s="13" t="s">
        <v>81</v>
      </c>
      <c r="J492" s="14"/>
      <c r="K492" s="16" t="str">
        <f t="array" ref="K492">IFERROR(VLOOKUP(B492, SORT('Nhật ký nộp hồ sơ '!B:D, 'Nhật ký nộp hồ sơ '!A:A, FALSE), 3, FALSE),"")</f>
        <v>Hủy</v>
      </c>
      <c r="L492" s="16" t="str">
        <f t="shared" si="1"/>
        <v>ĐÃ HỦY</v>
      </c>
      <c r="M492" s="13" t="s">
        <v>56</v>
      </c>
      <c r="N492" s="17">
        <f>IFERROR(__xludf.DUMMYFUNCTION("""COMPUTED_VALUE"""),46021.0)</f>
        <v>46021</v>
      </c>
      <c r="O492" s="17">
        <v>46024.0</v>
      </c>
      <c r="P492" s="17">
        <f>IFERROR(__xludf.DUMMYFUNCTION("IFERROR(QUERY('Nhật ký nộp hồ sơ '!A:I, ""SELECT I WHERE B = '""&amp;B492&amp;""' ORDER BY A DESC LIMIT 1"", 0))"),46039.0)</f>
        <v>46039</v>
      </c>
      <c r="Q492" s="17" t="str">
        <f t="shared" si="2"/>
        <v/>
      </c>
      <c r="R492" s="16">
        <v>4.0</v>
      </c>
      <c r="S492" s="16"/>
      <c r="T492" s="13" t="s">
        <v>1132</v>
      </c>
      <c r="U492" s="14"/>
      <c r="V492" s="18" t="s">
        <v>34</v>
      </c>
      <c r="W492" s="16"/>
      <c r="X492" s="16"/>
    </row>
    <row r="493" ht="22.5" hidden="1" customHeight="1">
      <c r="A493" s="11">
        <v>46021.676894641205</v>
      </c>
      <c r="B493" s="12" t="s">
        <v>1133</v>
      </c>
      <c r="C493" s="13" t="s">
        <v>370</v>
      </c>
      <c r="D493" s="14"/>
      <c r="E493" s="13" t="s">
        <v>53</v>
      </c>
      <c r="F493" s="13" t="s">
        <v>133</v>
      </c>
      <c r="G493" s="20" t="s">
        <v>371</v>
      </c>
      <c r="H493" s="13" t="s">
        <v>29</v>
      </c>
      <c r="I493" s="13" t="s">
        <v>81</v>
      </c>
      <c r="J493" s="14"/>
      <c r="K493" s="16" t="str">
        <f t="array" ref="K493">IFERROR(VLOOKUP(B493, SORT('Nhật ký nộp hồ sơ '!B:D, 'Nhật ký nộp hồ sơ '!A:A, FALSE), 3, FALSE),"")</f>
        <v>Hoàn thành</v>
      </c>
      <c r="L493" s="16" t="str">
        <f t="shared" si="1"/>
        <v>Hoàn thành</v>
      </c>
      <c r="M493" s="13" t="s">
        <v>82</v>
      </c>
      <c r="N493" s="17">
        <f>IFERROR(__xludf.DUMMYFUNCTION("""COMPUTED_VALUE"""),46021.0)</f>
        <v>46021</v>
      </c>
      <c r="O493" s="17">
        <v>46024.0</v>
      </c>
      <c r="P493" s="17">
        <f>IFERROR(__xludf.DUMMYFUNCTION("IFERROR(QUERY('Nhật ký nộp hồ sơ '!A:I, ""SELECT I WHERE B = '""&amp;B493&amp;""' ORDER BY A DESC LIMIT 1"", 0))"),46042.0)</f>
        <v>46042</v>
      </c>
      <c r="Q493" s="17">
        <f t="shared" si="2"/>
        <v>46042</v>
      </c>
      <c r="R493" s="16">
        <v>2.0</v>
      </c>
      <c r="S493" s="16"/>
      <c r="T493" s="13" t="s">
        <v>1134</v>
      </c>
      <c r="U493" s="14"/>
      <c r="V493" s="18" t="s">
        <v>34</v>
      </c>
      <c r="W493" s="16"/>
      <c r="X493" s="16"/>
    </row>
    <row r="494" ht="22.5" hidden="1" customHeight="1">
      <c r="A494" s="11">
        <v>46021.697773402775</v>
      </c>
      <c r="B494" s="12" t="s">
        <v>1135</v>
      </c>
      <c r="C494" s="13" t="s">
        <v>1136</v>
      </c>
      <c r="D494" s="14"/>
      <c r="E494" s="13" t="s">
        <v>26</v>
      </c>
      <c r="F494" s="13" t="s">
        <v>133</v>
      </c>
      <c r="G494" s="20" t="s">
        <v>1137</v>
      </c>
      <c r="H494" s="13" t="s">
        <v>69</v>
      </c>
      <c r="I494" s="13" t="s">
        <v>81</v>
      </c>
      <c r="J494" s="14"/>
      <c r="K494" s="16" t="str">
        <f t="array" ref="K494">IFERROR(VLOOKUP(B494, SORT('Nhật ký nộp hồ sơ '!B:D, 'Nhật ký nộp hồ sơ '!A:A, FALSE), 3, FALSE),"")</f>
        <v>Hoàn thành</v>
      </c>
      <c r="L494" s="16" t="str">
        <f t="shared" si="1"/>
        <v>Hoàn thành</v>
      </c>
      <c r="M494" s="13" t="s">
        <v>41</v>
      </c>
      <c r="N494" s="17">
        <f>IFERROR(__xludf.DUMMYFUNCTION("""COMPUTED_VALUE"""),46021.0)</f>
        <v>46021</v>
      </c>
      <c r="O494" s="17">
        <v>46024.0</v>
      </c>
      <c r="P494" s="17">
        <f>IFERROR(__xludf.DUMMYFUNCTION("IFERROR(QUERY('Nhật ký nộp hồ sơ '!A:I, ""SELECT I WHERE B = '""&amp;B494&amp;""' ORDER BY A DESC LIMIT 1"", 0))"),46022.0)</f>
        <v>46022</v>
      </c>
      <c r="Q494" s="17">
        <f t="shared" si="2"/>
        <v>46022</v>
      </c>
      <c r="R494" s="16">
        <v>1.0</v>
      </c>
      <c r="S494" s="16"/>
      <c r="T494" s="16"/>
      <c r="U494" s="14"/>
      <c r="V494" s="18" t="s">
        <v>34</v>
      </c>
      <c r="W494" s="16"/>
      <c r="X494" s="16"/>
    </row>
    <row r="495" ht="22.5" customHeight="1">
      <c r="A495" s="11">
        <v>46028.57327877315</v>
      </c>
      <c r="B495" s="12" t="s">
        <v>1138</v>
      </c>
      <c r="C495" s="13" t="s">
        <v>1139</v>
      </c>
      <c r="D495" s="14"/>
      <c r="E495" s="13" t="s">
        <v>53</v>
      </c>
      <c r="F495" s="13" t="s">
        <v>133</v>
      </c>
      <c r="G495" s="20" t="s">
        <v>1140</v>
      </c>
      <c r="H495" s="13" t="s">
        <v>28</v>
      </c>
      <c r="I495" s="13" t="s">
        <v>81</v>
      </c>
      <c r="J495" s="14"/>
      <c r="K495" s="16" t="str">
        <f t="array" ref="K495">IFERROR(VLOOKUP(B495, SORT('Nhật ký nộp hồ sơ '!B:D, 'Nhật ký nộp hồ sơ '!A:A, FALSE), 3, FALSE),"")</f>
        <v>Hoàn thành</v>
      </c>
      <c r="L495" s="16" t="str">
        <f t="shared" si="1"/>
        <v>Hoàn thành</v>
      </c>
      <c r="M495" s="13" t="s">
        <v>56</v>
      </c>
      <c r="N495" s="17">
        <f>IFERROR(__xludf.DUMMYFUNCTION("""COMPUTED_VALUE"""),46028.0)</f>
        <v>46028</v>
      </c>
      <c r="O495" s="17">
        <v>46031.0</v>
      </c>
      <c r="P495" s="17">
        <f>IFERROR(__xludf.DUMMYFUNCTION("IFERROR(QUERY('Nhật ký nộp hồ sơ '!A:I, ""SELECT I WHERE B = '""&amp;B495&amp;""' ORDER BY A DESC LIMIT 1"", 0))"),46038.0)</f>
        <v>46038</v>
      </c>
      <c r="Q495" s="17">
        <f t="shared" si="2"/>
        <v>46038</v>
      </c>
      <c r="R495" s="16">
        <v>1.0</v>
      </c>
      <c r="S495" s="16"/>
      <c r="T495" s="16"/>
      <c r="U495" s="14"/>
      <c r="V495" s="18" t="s">
        <v>34</v>
      </c>
      <c r="W495" s="16"/>
      <c r="X495" s="16"/>
    </row>
    <row r="496" ht="22.5" customHeight="1">
      <c r="A496" s="11">
        <v>46028.57437766204</v>
      </c>
      <c r="B496" s="12" t="s">
        <v>1141</v>
      </c>
      <c r="C496" s="13" t="s">
        <v>1139</v>
      </c>
      <c r="D496" s="14"/>
      <c r="E496" s="13" t="s">
        <v>53</v>
      </c>
      <c r="F496" s="13" t="s">
        <v>133</v>
      </c>
      <c r="G496" s="20" t="s">
        <v>1140</v>
      </c>
      <c r="H496" s="13" t="s">
        <v>28</v>
      </c>
      <c r="I496" s="13" t="s">
        <v>81</v>
      </c>
      <c r="J496" s="14"/>
      <c r="K496" s="16" t="str">
        <f t="array" ref="K496">IFERROR(VLOOKUP(B496, SORT('Nhật ký nộp hồ sơ '!B:D, 'Nhật ký nộp hồ sơ '!A:A, FALSE), 3, FALSE),"")</f>
        <v>Hoàn thành</v>
      </c>
      <c r="L496" s="16" t="str">
        <f t="shared" si="1"/>
        <v>Hoàn thành</v>
      </c>
      <c r="M496" s="13" t="s">
        <v>216</v>
      </c>
      <c r="N496" s="17">
        <f>IFERROR(__xludf.DUMMYFUNCTION("""COMPUTED_VALUE"""),46028.0)</f>
        <v>46028</v>
      </c>
      <c r="O496" s="17">
        <v>46031.0</v>
      </c>
      <c r="P496" s="17">
        <f>IFERROR(__xludf.DUMMYFUNCTION("IFERROR(QUERY('Nhật ký nộp hồ sơ '!A:I, ""SELECT I WHERE B = '""&amp;B496&amp;""' ORDER BY A DESC LIMIT 1"", 0))"),46028.0)</f>
        <v>46028</v>
      </c>
      <c r="Q496" s="17">
        <f t="shared" si="2"/>
        <v>46028</v>
      </c>
      <c r="R496" s="16">
        <v>2.0</v>
      </c>
      <c r="S496" s="16"/>
      <c r="T496" s="16"/>
      <c r="U496" s="14"/>
      <c r="V496" s="18" t="s">
        <v>34</v>
      </c>
      <c r="W496" s="13">
        <v>7.0</v>
      </c>
      <c r="X496" s="13" t="s">
        <v>687</v>
      </c>
    </row>
    <row r="497" ht="22.5" customHeight="1">
      <c r="A497" s="11">
        <v>46028.5748234375</v>
      </c>
      <c r="B497" s="12" t="s">
        <v>1142</v>
      </c>
      <c r="C497" s="13" t="s">
        <v>1139</v>
      </c>
      <c r="D497" s="14"/>
      <c r="E497" s="13" t="s">
        <v>53</v>
      </c>
      <c r="F497" s="13" t="s">
        <v>133</v>
      </c>
      <c r="G497" s="20" t="s">
        <v>1140</v>
      </c>
      <c r="H497" s="13" t="s">
        <v>28</v>
      </c>
      <c r="I497" s="13" t="s">
        <v>81</v>
      </c>
      <c r="J497" s="14"/>
      <c r="K497" s="16" t="str">
        <f t="array" ref="K497">IFERROR(VLOOKUP(B497, SORT('Nhật ký nộp hồ sơ '!B:D, 'Nhật ký nộp hồ sơ '!A:A, FALSE), 3, FALSE),"")</f>
        <v>Hoàn thành</v>
      </c>
      <c r="L497" s="16" t="str">
        <f t="shared" si="1"/>
        <v>Hoàn thành</v>
      </c>
      <c r="M497" s="13" t="s">
        <v>146</v>
      </c>
      <c r="N497" s="17">
        <f>IFERROR(__xludf.DUMMYFUNCTION("""COMPUTED_VALUE"""),46028.0)</f>
        <v>46028</v>
      </c>
      <c r="O497" s="17">
        <v>46031.0</v>
      </c>
      <c r="P497" s="17">
        <f>IFERROR(__xludf.DUMMYFUNCTION("IFERROR(QUERY('Nhật ký nộp hồ sơ '!A:I, ""SELECT I WHERE B = '""&amp;B497&amp;""' ORDER BY A DESC LIMIT 1"", 0))"),46029.0)</f>
        <v>46029</v>
      </c>
      <c r="Q497" s="17">
        <f t="shared" si="2"/>
        <v>46029</v>
      </c>
      <c r="R497" s="16">
        <v>2.0</v>
      </c>
      <c r="S497" s="16"/>
      <c r="T497" s="16"/>
      <c r="U497" s="14"/>
      <c r="V497" s="18" t="s">
        <v>34</v>
      </c>
      <c r="W497" s="16"/>
      <c r="X497" s="16"/>
    </row>
    <row r="498" ht="22.5" customHeight="1">
      <c r="A498" s="11">
        <v>46028.698524837964</v>
      </c>
      <c r="B498" s="12" t="s">
        <v>1143</v>
      </c>
      <c r="C498" s="13" t="s">
        <v>1144</v>
      </c>
      <c r="D498" s="14"/>
      <c r="E498" s="13" t="s">
        <v>122</v>
      </c>
      <c r="F498" s="13" t="s">
        <v>133</v>
      </c>
      <c r="G498" s="13" t="s">
        <v>1145</v>
      </c>
      <c r="H498" s="13" t="s">
        <v>47</v>
      </c>
      <c r="I498" s="13" t="s">
        <v>659</v>
      </c>
      <c r="J498" s="14"/>
      <c r="K498" s="16" t="str">
        <f t="array" ref="K498">IFERROR(VLOOKUP(B498, SORT('Nhật ký nộp hồ sơ '!B:D, 'Nhật ký nộp hồ sơ '!A:A, FALSE), 3, FALSE),"")</f>
        <v>Hoàn thành</v>
      </c>
      <c r="L498" s="16" t="str">
        <f t="shared" si="1"/>
        <v>Hoàn thành</v>
      </c>
      <c r="M498" s="13" t="s">
        <v>56</v>
      </c>
      <c r="N498" s="17">
        <f>IFERROR(__xludf.DUMMYFUNCTION("""COMPUTED_VALUE"""),46028.0)</f>
        <v>46028</v>
      </c>
      <c r="O498" s="17">
        <v>46031.0</v>
      </c>
      <c r="P498" s="17">
        <f>IFERROR(__xludf.DUMMYFUNCTION("IFERROR(QUERY('Nhật ký nộp hồ sơ '!A:I, ""SELECT I WHERE B = '""&amp;B498&amp;""' ORDER BY A DESC LIMIT 1"", 0))"),46041.0)</f>
        <v>46041</v>
      </c>
      <c r="Q498" s="17">
        <f t="shared" si="2"/>
        <v>46041</v>
      </c>
      <c r="R498" s="16">
        <v>1.0</v>
      </c>
      <c r="S498" s="16"/>
      <c r="T498" s="16"/>
      <c r="U498" s="14"/>
      <c r="V498" s="18" t="s">
        <v>34</v>
      </c>
      <c r="W498" s="16"/>
      <c r="X498" s="16"/>
    </row>
    <row r="499" ht="22.5" customHeight="1">
      <c r="A499" s="11">
        <v>46028.701677199075</v>
      </c>
      <c r="B499" s="12" t="s">
        <v>1146</v>
      </c>
      <c r="C499" s="13" t="s">
        <v>1147</v>
      </c>
      <c r="D499" s="14"/>
      <c r="E499" s="13" t="s">
        <v>132</v>
      </c>
      <c r="F499" s="13" t="s">
        <v>133</v>
      </c>
      <c r="G499" s="20" t="s">
        <v>1148</v>
      </c>
      <c r="H499" s="13" t="s">
        <v>47</v>
      </c>
      <c r="I499" s="13" t="s">
        <v>659</v>
      </c>
      <c r="J499" s="14"/>
      <c r="K499" s="16" t="str">
        <f t="array" ref="K499">IFERROR(VLOOKUP(B499, SORT('Nhật ký nộp hồ sơ '!B:D, 'Nhật ký nộp hồ sơ '!A:A, FALSE), 3, FALSE),"")</f>
        <v>Hủy</v>
      </c>
      <c r="L499" s="16" t="str">
        <f t="shared" si="1"/>
        <v>ĐÃ HỦY</v>
      </c>
      <c r="M499" s="13" t="s">
        <v>48</v>
      </c>
      <c r="N499" s="17">
        <f>IFERROR(__xludf.DUMMYFUNCTION("""COMPUTED_VALUE"""),46028.0)</f>
        <v>46028</v>
      </c>
      <c r="O499" s="17">
        <v>46031.0</v>
      </c>
      <c r="P499" s="17">
        <f>IFERROR(__xludf.DUMMYFUNCTION("IFERROR(QUERY('Nhật ký nộp hồ sơ '!A:I, ""SELECT I WHERE B = '""&amp;B499&amp;""' ORDER BY A DESC LIMIT 1"", 0))"),46039.0)</f>
        <v>46039</v>
      </c>
      <c r="Q499" s="17" t="str">
        <f t="shared" si="2"/>
        <v/>
      </c>
      <c r="R499" s="16">
        <v>1.0</v>
      </c>
      <c r="S499" s="16"/>
      <c r="T499" s="13" t="s">
        <v>1149</v>
      </c>
      <c r="U499" s="14"/>
      <c r="V499" s="18" t="s">
        <v>34</v>
      </c>
      <c r="W499" s="16"/>
      <c r="X499" s="16"/>
    </row>
    <row r="500" ht="22.5" customHeight="1">
      <c r="A500" s="11">
        <v>46028.702800196756</v>
      </c>
      <c r="B500" s="12" t="s">
        <v>1150</v>
      </c>
      <c r="C500" s="13" t="s">
        <v>1151</v>
      </c>
      <c r="D500" s="14"/>
      <c r="E500" s="13" t="s">
        <v>26</v>
      </c>
      <c r="F500" s="13" t="s">
        <v>1152</v>
      </c>
      <c r="G500" s="16"/>
      <c r="H500" s="13" t="s">
        <v>69</v>
      </c>
      <c r="I500" s="13" t="s">
        <v>659</v>
      </c>
      <c r="J500" s="14"/>
      <c r="K500" s="16" t="str">
        <f t="array" ref="K500">IFERROR(VLOOKUP(B500, SORT('Nhật ký nộp hồ sơ '!B:D, 'Nhật ký nộp hồ sơ '!A:A, FALSE), 3, FALSE),"")</f>
        <v>Hoàn thành</v>
      </c>
      <c r="L500" s="16" t="str">
        <f t="shared" si="1"/>
        <v>Hoàn thành</v>
      </c>
      <c r="M500" s="13" t="s">
        <v>48</v>
      </c>
      <c r="N500" s="17">
        <f>IFERROR(__xludf.DUMMYFUNCTION("""COMPUTED_VALUE"""),46028.0)</f>
        <v>46028</v>
      </c>
      <c r="O500" s="17">
        <v>46031.0</v>
      </c>
      <c r="P500" s="17">
        <f>IFERROR(__xludf.DUMMYFUNCTION("IFERROR(QUERY('Nhật ký nộp hồ sơ '!A:I, ""SELECT I WHERE B = '""&amp;B500&amp;""' ORDER BY A DESC LIMIT 1"", 0))"),46093.0)</f>
        <v>46093</v>
      </c>
      <c r="Q500" s="17">
        <f t="shared" si="2"/>
        <v>46093</v>
      </c>
      <c r="R500" s="16">
        <v>1.0</v>
      </c>
      <c r="S500" s="16"/>
      <c r="T500" s="16"/>
      <c r="U500" s="14"/>
      <c r="V500" s="18" t="s">
        <v>34</v>
      </c>
      <c r="W500" s="16"/>
      <c r="X500" s="16"/>
    </row>
    <row r="501" ht="22.5" customHeight="1">
      <c r="A501" s="11">
        <v>46028.70374885417</v>
      </c>
      <c r="B501" s="12" t="s">
        <v>1153</v>
      </c>
      <c r="C501" s="13" t="s">
        <v>1151</v>
      </c>
      <c r="D501" s="14"/>
      <c r="E501" s="13" t="s">
        <v>26</v>
      </c>
      <c r="F501" s="13" t="s">
        <v>1152</v>
      </c>
      <c r="G501" s="16"/>
      <c r="H501" s="13" t="s">
        <v>69</v>
      </c>
      <c r="I501" s="13" t="s">
        <v>659</v>
      </c>
      <c r="J501" s="14"/>
      <c r="K501" s="16" t="str">
        <f t="array" ref="K501">IFERROR(VLOOKUP(B501, SORT('Nhật ký nộp hồ sơ '!B:D, 'Nhật ký nộp hồ sơ '!A:A, FALSE), 3, FALSE),"")</f>
        <v>Hoàn thành</v>
      </c>
      <c r="L501" s="16" t="str">
        <f t="shared" si="1"/>
        <v>Hoàn thành</v>
      </c>
      <c r="M501" s="13" t="s">
        <v>48</v>
      </c>
      <c r="N501" s="17">
        <f>IFERROR(__xludf.DUMMYFUNCTION("""COMPUTED_VALUE"""),46028.0)</f>
        <v>46028</v>
      </c>
      <c r="O501" s="17">
        <v>46031.0</v>
      </c>
      <c r="P501" s="17">
        <f>IFERROR(__xludf.DUMMYFUNCTION("IFERROR(QUERY('Nhật ký nộp hồ sơ '!A:I, ""SELECT I WHERE B = '""&amp;B501&amp;""' ORDER BY A DESC LIMIT 1"", 0))"),46093.0)</f>
        <v>46093</v>
      </c>
      <c r="Q501" s="17">
        <f t="shared" si="2"/>
        <v>46093</v>
      </c>
      <c r="R501" s="16">
        <v>2.0</v>
      </c>
      <c r="S501" s="16"/>
      <c r="T501" s="16"/>
      <c r="U501" s="14"/>
      <c r="V501" s="18" t="s">
        <v>34</v>
      </c>
      <c r="W501" s="16"/>
      <c r="X501" s="16"/>
    </row>
    <row r="502" ht="22.5" customHeight="1">
      <c r="A502" s="11">
        <v>46029.50544039352</v>
      </c>
      <c r="B502" s="34" t="s">
        <v>1154</v>
      </c>
      <c r="C502" s="13" t="s">
        <v>1155</v>
      </c>
      <c r="D502" s="14"/>
      <c r="E502" s="13" t="s">
        <v>26</v>
      </c>
      <c r="F502" s="13" t="s">
        <v>133</v>
      </c>
      <c r="G502" s="20" t="s">
        <v>1156</v>
      </c>
      <c r="H502" s="13" t="s">
        <v>28</v>
      </c>
      <c r="I502" s="13" t="s">
        <v>659</v>
      </c>
      <c r="J502" s="14"/>
      <c r="K502" s="16" t="str">
        <f t="array" ref="K502">IFERROR(VLOOKUP(B502, SORT('Nhật ký nộp hồ sơ '!B:D, 'Nhật ký nộp hồ sơ '!A:A, FALSE), 3, FALSE),"")</f>
        <v>Hoàn thành</v>
      </c>
      <c r="L502" s="16" t="str">
        <f t="shared" si="1"/>
        <v>Hoàn thành</v>
      </c>
      <c r="M502" s="13" t="s">
        <v>216</v>
      </c>
      <c r="N502" s="17">
        <f>IFERROR(__xludf.DUMMYFUNCTION("""COMPUTED_VALUE"""),46029.0)</f>
        <v>46029</v>
      </c>
      <c r="O502" s="17">
        <v>46032.0</v>
      </c>
      <c r="P502" s="17">
        <f>IFERROR(__xludf.DUMMYFUNCTION("IFERROR(QUERY('Nhật ký nộp hồ sơ '!A:I, ""SELECT I WHERE B = '""&amp;B502&amp;""' ORDER BY A DESC LIMIT 1"", 0))"),46029.0)</f>
        <v>46029</v>
      </c>
      <c r="Q502" s="17">
        <f t="shared" si="2"/>
        <v>46029</v>
      </c>
      <c r="R502" s="16">
        <v>1.0</v>
      </c>
      <c r="S502" s="16"/>
      <c r="T502" s="16"/>
      <c r="U502" s="14"/>
      <c r="V502" s="18" t="s">
        <v>34</v>
      </c>
      <c r="W502" s="13">
        <v>7.0</v>
      </c>
      <c r="X502" s="13" t="s">
        <v>687</v>
      </c>
    </row>
    <row r="503" ht="22.5" customHeight="1">
      <c r="A503" s="11">
        <v>46029.50544039352</v>
      </c>
      <c r="B503" s="34" t="s">
        <v>1157</v>
      </c>
      <c r="C503" s="27" t="s">
        <v>1158</v>
      </c>
      <c r="D503" s="28"/>
      <c r="E503" s="13" t="s">
        <v>62</v>
      </c>
      <c r="F503" s="13" t="s">
        <v>89</v>
      </c>
      <c r="G503" s="27"/>
      <c r="H503" s="13" t="s">
        <v>69</v>
      </c>
      <c r="I503" s="13" t="s">
        <v>659</v>
      </c>
      <c r="J503" s="28"/>
      <c r="K503" s="16" t="str">
        <f t="array" ref="K503">IFERROR(VLOOKUP(B503, SORT('Nhật ký nộp hồ sơ '!B:D, 'Nhật ký nộp hồ sơ '!A:A, FALSE), 3, FALSE),"")</f>
        <v>Hoàn thành</v>
      </c>
      <c r="L503" s="16" t="str">
        <f t="shared" si="1"/>
        <v>Hoàn thành</v>
      </c>
      <c r="M503" s="13" t="s">
        <v>56</v>
      </c>
      <c r="N503" s="17">
        <f>IFERROR(__xludf.DUMMYFUNCTION("""COMPUTED_VALUE"""),46029.0)</f>
        <v>46029</v>
      </c>
      <c r="O503" s="17">
        <v>46032.0</v>
      </c>
      <c r="P503" s="17">
        <f>IFERROR(__xludf.DUMMYFUNCTION("IFERROR(QUERY('Nhật ký nộp hồ sơ '!A:I, ""SELECT I WHERE B = '""&amp;B503&amp;""' ORDER BY A DESC LIMIT 1"", 0))"),46038.0)</f>
        <v>46038</v>
      </c>
      <c r="Q503" s="17">
        <f t="shared" si="2"/>
        <v>46038</v>
      </c>
      <c r="R503" s="16">
        <v>4.0</v>
      </c>
      <c r="S503" s="21"/>
      <c r="T503" s="21"/>
      <c r="U503" s="28"/>
      <c r="V503" s="18" t="s">
        <v>34</v>
      </c>
      <c r="W503" s="21"/>
      <c r="X503" s="21"/>
    </row>
    <row r="504" ht="22.5" customHeight="1">
      <c r="A504" s="11">
        <v>46031.39558278935</v>
      </c>
      <c r="B504" s="12" t="s">
        <v>1159</v>
      </c>
      <c r="C504" s="13" t="s">
        <v>1160</v>
      </c>
      <c r="D504" s="14"/>
      <c r="E504" s="13" t="s">
        <v>45</v>
      </c>
      <c r="F504" s="13" t="s">
        <v>46</v>
      </c>
      <c r="G504" s="16"/>
      <c r="H504" s="13" t="s">
        <v>29</v>
      </c>
      <c r="I504" s="13" t="s">
        <v>659</v>
      </c>
      <c r="J504" s="14"/>
      <c r="K504" s="16" t="str">
        <f t="array" ref="K504">IFERROR(VLOOKUP(B504, SORT('Nhật ký nộp hồ sơ '!B:D, 'Nhật ký nộp hồ sơ '!A:A, FALSE), 3, FALSE),"")</f>
        <v>Hoàn thành</v>
      </c>
      <c r="L504" s="16" t="str">
        <f t="shared" si="1"/>
        <v>Hoàn thành</v>
      </c>
      <c r="M504" s="13" t="s">
        <v>524</v>
      </c>
      <c r="N504" s="17">
        <f>IFERROR(__xludf.DUMMYFUNCTION("""COMPUTED_VALUE"""),46031.0)</f>
        <v>46031</v>
      </c>
      <c r="O504" s="17">
        <v>46034.0</v>
      </c>
      <c r="P504" s="17">
        <f>IFERROR(__xludf.DUMMYFUNCTION("IFERROR(QUERY('Nhật ký nộp hồ sơ '!A:I, ""SELECT I WHERE B = '""&amp;B504&amp;""' ORDER BY A DESC LIMIT 1"", 0))"),46031.0)</f>
        <v>46031</v>
      </c>
      <c r="Q504" s="17">
        <f t="shared" si="2"/>
        <v>46031</v>
      </c>
      <c r="R504" s="16">
        <v>1.0</v>
      </c>
      <c r="S504" s="16"/>
      <c r="T504" s="16"/>
      <c r="U504" s="14"/>
      <c r="V504" s="18" t="s">
        <v>34</v>
      </c>
      <c r="W504" s="16"/>
      <c r="X504" s="16"/>
    </row>
    <row r="505" ht="22.5" customHeight="1">
      <c r="A505" s="11">
        <v>46031.39645785879</v>
      </c>
      <c r="B505" s="12" t="s">
        <v>1161</v>
      </c>
      <c r="C505" s="13" t="s">
        <v>1160</v>
      </c>
      <c r="D505" s="14"/>
      <c r="E505" s="13" t="s">
        <v>45</v>
      </c>
      <c r="F505" s="13" t="s">
        <v>46</v>
      </c>
      <c r="G505" s="16"/>
      <c r="H505" s="13" t="s">
        <v>29</v>
      </c>
      <c r="I505" s="13" t="s">
        <v>659</v>
      </c>
      <c r="J505" s="14"/>
      <c r="K505" s="16" t="str">
        <f t="array" ref="K505">IFERROR(VLOOKUP(B505, SORT('Nhật ký nộp hồ sơ '!B:D, 'Nhật ký nộp hồ sơ '!A:A, FALSE), 3, FALSE),"")</f>
        <v>Hoàn thành</v>
      </c>
      <c r="L505" s="16" t="str">
        <f t="shared" si="1"/>
        <v>Hoàn thành</v>
      </c>
      <c r="M505" s="13" t="s">
        <v>524</v>
      </c>
      <c r="N505" s="17">
        <f>IFERROR(__xludf.DUMMYFUNCTION("""COMPUTED_VALUE"""),46031.0)</f>
        <v>46031</v>
      </c>
      <c r="O505" s="17">
        <v>46034.0</v>
      </c>
      <c r="P505" s="17">
        <f>IFERROR(__xludf.DUMMYFUNCTION("IFERROR(QUERY('Nhật ký nộp hồ sơ '!A:I, ""SELECT I WHERE B = '""&amp;B505&amp;""' ORDER BY A DESC LIMIT 1"", 0))"),46031.0)</f>
        <v>46031</v>
      </c>
      <c r="Q505" s="17">
        <f t="shared" si="2"/>
        <v>46031</v>
      </c>
      <c r="R505" s="16">
        <v>1.0</v>
      </c>
      <c r="S505" s="16"/>
      <c r="T505" s="16"/>
      <c r="U505" s="14"/>
      <c r="V505" s="18" t="s">
        <v>34</v>
      </c>
      <c r="W505" s="16"/>
      <c r="X505" s="16"/>
    </row>
    <row r="506" ht="22.5" customHeight="1">
      <c r="A506" s="11">
        <v>46030.44297177083</v>
      </c>
      <c r="B506" s="34" t="s">
        <v>1162</v>
      </c>
      <c r="C506" s="13" t="s">
        <v>1121</v>
      </c>
      <c r="D506" s="14"/>
      <c r="E506" s="13" t="s">
        <v>45</v>
      </c>
      <c r="F506" s="13" t="s">
        <v>46</v>
      </c>
      <c r="G506" s="16"/>
      <c r="H506" s="13" t="s">
        <v>29</v>
      </c>
      <c r="I506" s="13" t="s">
        <v>659</v>
      </c>
      <c r="J506" s="14"/>
      <c r="K506" s="16" t="str">
        <f t="array" ref="K506">IFERROR(VLOOKUP(B506, SORT('Nhật ký nộp hồ sơ '!B:D, 'Nhật ký nộp hồ sơ '!A:A, FALSE), 3, FALSE),"")</f>
        <v>Hoàn thành</v>
      </c>
      <c r="L506" s="16" t="str">
        <f t="shared" si="1"/>
        <v>Hoàn thành</v>
      </c>
      <c r="M506" s="13" t="s">
        <v>56</v>
      </c>
      <c r="N506" s="17">
        <f>IFERROR(__xludf.DUMMYFUNCTION("""COMPUTED_VALUE"""),46030.0)</f>
        <v>46030</v>
      </c>
      <c r="O506" s="17">
        <v>46033.0</v>
      </c>
      <c r="P506" s="17">
        <f>IFERROR(__xludf.DUMMYFUNCTION("IFERROR(QUERY('Nhật ký nộp hồ sơ '!A:I, ""SELECT I WHERE B = '""&amp;B506&amp;""' ORDER BY A DESC LIMIT 1"", 0))"),46133.0)</f>
        <v>46133</v>
      </c>
      <c r="Q506" s="17">
        <f t="shared" si="2"/>
        <v>46133</v>
      </c>
      <c r="R506" s="16">
        <v>1.0</v>
      </c>
      <c r="S506" s="16"/>
      <c r="T506" s="16"/>
      <c r="U506" s="14"/>
      <c r="V506" s="18" t="s">
        <v>34</v>
      </c>
      <c r="W506" s="16"/>
      <c r="X506" s="16"/>
    </row>
    <row r="507" ht="22.5" customHeight="1">
      <c r="A507" s="11">
        <v>46030.58019497685</v>
      </c>
      <c r="B507" s="34" t="s">
        <v>1163</v>
      </c>
      <c r="C507" s="13" t="s">
        <v>327</v>
      </c>
      <c r="D507" s="14"/>
      <c r="E507" s="13" t="s">
        <v>53</v>
      </c>
      <c r="F507" s="13" t="s">
        <v>133</v>
      </c>
      <c r="G507" s="20" t="s">
        <v>1164</v>
      </c>
      <c r="H507" s="13" t="s">
        <v>28</v>
      </c>
      <c r="I507" s="13" t="s">
        <v>81</v>
      </c>
      <c r="J507" s="14"/>
      <c r="K507" s="16" t="str">
        <f t="array" ref="K507">IFERROR(VLOOKUP(B507, SORT('Nhật ký nộp hồ sơ '!B:D, 'Nhật ký nộp hồ sơ '!A:A, FALSE), 3, FALSE),"")</f>
        <v>Nộp thành công - Chờ kết quả</v>
      </c>
      <c r="L507" s="16" t="str">
        <f t="shared" si="1"/>
        <v>Đã nộp</v>
      </c>
      <c r="M507" s="13" t="s">
        <v>56</v>
      </c>
      <c r="N507" s="17">
        <f>IFERROR(__xludf.DUMMYFUNCTION("""COMPUTED_VALUE"""),46030.0)</f>
        <v>46030</v>
      </c>
      <c r="O507" s="17">
        <v>46033.0</v>
      </c>
      <c r="P507" s="17">
        <f>IFERROR(__xludf.DUMMYFUNCTION("IFERROR(QUERY('Nhật ký nộp hồ sơ '!A:I, ""SELECT I WHERE B = '""&amp;B507&amp;""' ORDER BY A DESC LIMIT 1"", 0))"),46053.0)</f>
        <v>46053</v>
      </c>
      <c r="Q507" s="17" t="str">
        <f t="shared" si="2"/>
        <v/>
      </c>
      <c r="R507" s="16">
        <v>1.0</v>
      </c>
      <c r="S507" s="16"/>
      <c r="T507" s="16"/>
      <c r="U507" s="14"/>
      <c r="V507" s="18" t="s">
        <v>34</v>
      </c>
      <c r="W507" s="16"/>
      <c r="X507" s="16"/>
    </row>
    <row r="508" ht="22.5" customHeight="1">
      <c r="A508" s="11">
        <v>46030.5803022801</v>
      </c>
      <c r="B508" s="34" t="s">
        <v>1165</v>
      </c>
      <c r="C508" s="13" t="s">
        <v>327</v>
      </c>
      <c r="D508" s="14"/>
      <c r="E508" s="13" t="s">
        <v>53</v>
      </c>
      <c r="F508" s="13" t="s">
        <v>133</v>
      </c>
      <c r="G508" s="20" t="s">
        <v>1164</v>
      </c>
      <c r="H508" s="13" t="s">
        <v>28</v>
      </c>
      <c r="I508" s="13" t="s">
        <v>81</v>
      </c>
      <c r="J508" s="14"/>
      <c r="K508" s="16" t="str">
        <f t="array" ref="K508">IFERROR(VLOOKUP(B508, SORT('Nhật ký nộp hồ sơ '!B:D, 'Nhật ký nộp hồ sơ '!A:A, FALSE), 3, FALSE),"")</f>
        <v>Hoàn thành</v>
      </c>
      <c r="L508" s="16" t="str">
        <f t="shared" si="1"/>
        <v>Hoàn thành</v>
      </c>
      <c r="M508" s="13" t="s">
        <v>146</v>
      </c>
      <c r="N508" s="17">
        <f>IFERROR(__xludf.DUMMYFUNCTION("""COMPUTED_VALUE"""),46030.0)</f>
        <v>46030</v>
      </c>
      <c r="O508" s="17">
        <v>46033.0</v>
      </c>
      <c r="P508" s="17">
        <f>IFERROR(__xludf.DUMMYFUNCTION("IFERROR(QUERY('Nhật ký nộp hồ sơ '!A:I, ""SELECT I WHERE B = '""&amp;B508&amp;""' ORDER BY A DESC LIMIT 1"", 0))"),46030.0)</f>
        <v>46030</v>
      </c>
      <c r="Q508" s="17">
        <f t="shared" si="2"/>
        <v>46030</v>
      </c>
      <c r="R508" s="16">
        <v>3.0</v>
      </c>
      <c r="S508" s="16"/>
      <c r="T508" s="16"/>
      <c r="U508" s="14"/>
      <c r="V508" s="18" t="s">
        <v>34</v>
      </c>
      <c r="W508" s="16"/>
      <c r="X508" s="16"/>
    </row>
    <row r="509" ht="22.5" customHeight="1">
      <c r="A509" s="11">
        <v>46030.593565856485</v>
      </c>
      <c r="B509" s="12" t="s">
        <v>1166</v>
      </c>
      <c r="C509" s="13" t="s">
        <v>1167</v>
      </c>
      <c r="D509" s="14"/>
      <c r="E509" s="13" t="s">
        <v>132</v>
      </c>
      <c r="F509" s="13" t="s">
        <v>133</v>
      </c>
      <c r="G509" s="20" t="s">
        <v>1168</v>
      </c>
      <c r="H509" s="13" t="s">
        <v>28</v>
      </c>
      <c r="I509" s="13" t="s">
        <v>659</v>
      </c>
      <c r="J509" s="14"/>
      <c r="K509" s="16" t="str">
        <f t="array" ref="K509">IFERROR(VLOOKUP(B509, SORT('Nhật ký nộp hồ sơ '!B:D, 'Nhật ký nộp hồ sơ '!A:A, FALSE), 3, FALSE),"")</f>
        <v>Hoàn thành</v>
      </c>
      <c r="L509" s="16" t="str">
        <f t="shared" si="1"/>
        <v>Hoàn thành</v>
      </c>
      <c r="M509" s="13" t="s">
        <v>524</v>
      </c>
      <c r="N509" s="17">
        <f>IFERROR(__xludf.DUMMYFUNCTION("""COMPUTED_VALUE"""),46030.0)</f>
        <v>46030</v>
      </c>
      <c r="O509" s="17">
        <v>46033.0</v>
      </c>
      <c r="P509" s="17">
        <f>IFERROR(__xludf.DUMMYFUNCTION("IFERROR(QUERY('Nhật ký nộp hồ sơ '!A:I, ""SELECT I WHERE B = '""&amp;B509&amp;""' ORDER BY A DESC LIMIT 1"", 0))"),46031.0)</f>
        <v>46031</v>
      </c>
      <c r="Q509" s="17">
        <f t="shared" si="2"/>
        <v>46031</v>
      </c>
      <c r="R509" s="16">
        <v>3.0</v>
      </c>
      <c r="S509" s="16"/>
      <c r="T509" s="16"/>
      <c r="U509" s="14"/>
      <c r="V509" s="18" t="s">
        <v>34</v>
      </c>
      <c r="W509" s="16"/>
      <c r="X509" s="16"/>
    </row>
    <row r="510" ht="22.5" customHeight="1">
      <c r="A510" s="11">
        <v>46030.59726342592</v>
      </c>
      <c r="B510" s="12" t="s">
        <v>1169</v>
      </c>
      <c r="C510" s="13" t="s">
        <v>1170</v>
      </c>
      <c r="D510" s="14"/>
      <c r="E510" s="13" t="s">
        <v>122</v>
      </c>
      <c r="F510" s="13" t="s">
        <v>46</v>
      </c>
      <c r="G510" s="16"/>
      <c r="H510" s="13" t="s">
        <v>69</v>
      </c>
      <c r="I510" s="13" t="s">
        <v>659</v>
      </c>
      <c r="J510" s="14"/>
      <c r="K510" s="16" t="str">
        <f t="array" ref="K510">IFERROR(VLOOKUP(B510, SORT('Nhật ký nộp hồ sơ '!B:D, 'Nhật ký nộp hồ sơ '!A:A, FALSE), 3, FALSE),"")</f>
        <v>Hoàn thành</v>
      </c>
      <c r="L510" s="16" t="str">
        <f t="shared" si="1"/>
        <v>Hoàn thành</v>
      </c>
      <c r="M510" s="13" t="s">
        <v>56</v>
      </c>
      <c r="N510" s="17">
        <f>IFERROR(__xludf.DUMMYFUNCTION("""COMPUTED_VALUE"""),46030.0)</f>
        <v>46030</v>
      </c>
      <c r="O510" s="17">
        <v>46033.0</v>
      </c>
      <c r="P510" s="17">
        <f>IFERROR(__xludf.DUMMYFUNCTION("IFERROR(QUERY('Nhật ký nộp hồ sơ '!A:I, ""SELECT I WHERE B = '""&amp;B510&amp;""' ORDER BY A DESC LIMIT 1"", 0))"),46037.0)</f>
        <v>46037</v>
      </c>
      <c r="Q510" s="17">
        <f t="shared" si="2"/>
        <v>46037</v>
      </c>
      <c r="R510" s="16">
        <v>1.0</v>
      </c>
      <c r="S510" s="16"/>
      <c r="T510" s="16"/>
      <c r="U510" s="14"/>
      <c r="V510" s="18" t="s">
        <v>34</v>
      </c>
      <c r="W510" s="16"/>
      <c r="X510" s="16"/>
    </row>
    <row r="511" ht="22.5" customHeight="1">
      <c r="A511" s="11">
        <v>46030.59979403936</v>
      </c>
      <c r="B511" s="12" t="s">
        <v>1171</v>
      </c>
      <c r="C511" s="13" t="s">
        <v>1172</v>
      </c>
      <c r="D511" s="14"/>
      <c r="E511" s="13" t="s">
        <v>26</v>
      </c>
      <c r="F511" s="15" t="s">
        <v>27</v>
      </c>
      <c r="G511" s="16"/>
      <c r="H511" s="13" t="s">
        <v>69</v>
      </c>
      <c r="I511" s="13" t="s">
        <v>659</v>
      </c>
      <c r="J511" s="14"/>
      <c r="K511" s="16" t="str">
        <f t="array" ref="K511">IFERROR(VLOOKUP(B511, SORT('Nhật ký nộp hồ sơ '!B:D, 'Nhật ký nộp hồ sơ '!A:A, FALSE), 3, FALSE),"")</f>
        <v>Hoàn thành</v>
      </c>
      <c r="L511" s="16" t="str">
        <f t="shared" si="1"/>
        <v>Hoàn thành</v>
      </c>
      <c r="M511" s="13" t="s">
        <v>48</v>
      </c>
      <c r="N511" s="17">
        <f>IFERROR(__xludf.DUMMYFUNCTION("""COMPUTED_VALUE"""),46030.0)</f>
        <v>46030</v>
      </c>
      <c r="O511" s="17">
        <v>46033.0</v>
      </c>
      <c r="P511" s="17">
        <f>IFERROR(__xludf.DUMMYFUNCTION("IFERROR(QUERY('Nhật ký nộp hồ sơ '!A:I, ""SELECT I WHERE B = '""&amp;B511&amp;""' ORDER BY A DESC LIMIT 1"", 0))"),46042.0)</f>
        <v>46042</v>
      </c>
      <c r="Q511" s="17">
        <f t="shared" si="2"/>
        <v>46042</v>
      </c>
      <c r="R511" s="16">
        <v>2.0</v>
      </c>
      <c r="S511" s="16"/>
      <c r="T511" s="16"/>
      <c r="U511" s="14"/>
      <c r="V511" s="18" t="s">
        <v>34</v>
      </c>
      <c r="W511" s="16"/>
      <c r="X511" s="16"/>
    </row>
    <row r="512" ht="22.5" customHeight="1">
      <c r="A512" s="11">
        <v>46031.755147187505</v>
      </c>
      <c r="B512" s="12" t="s">
        <v>1173</v>
      </c>
      <c r="C512" s="13" t="s">
        <v>1174</v>
      </c>
      <c r="D512" s="14"/>
      <c r="E512" s="13" t="s">
        <v>122</v>
      </c>
      <c r="F512" s="13" t="s">
        <v>246</v>
      </c>
      <c r="G512" s="16"/>
      <c r="H512" s="13" t="s">
        <v>28</v>
      </c>
      <c r="I512" s="13" t="s">
        <v>659</v>
      </c>
      <c r="J512" s="14"/>
      <c r="K512" s="16" t="str">
        <f t="array" ref="K512">IFERROR(VLOOKUP(B512, SORT('Nhật ký nộp hồ sơ '!B:D, 'Nhật ký nộp hồ sơ '!A:A, FALSE), 3, FALSE),"")</f>
        <v>Hoàn thành</v>
      </c>
      <c r="L512" s="16" t="str">
        <f t="shared" si="1"/>
        <v>Hoàn thành</v>
      </c>
      <c r="M512" s="13" t="s">
        <v>216</v>
      </c>
      <c r="N512" s="17">
        <f>IFERROR(__xludf.DUMMYFUNCTION("""COMPUTED_VALUE"""),46031.0)</f>
        <v>46031</v>
      </c>
      <c r="O512" s="17">
        <v>46034.0</v>
      </c>
      <c r="P512" s="17">
        <f>IFERROR(__xludf.DUMMYFUNCTION("IFERROR(QUERY('Nhật ký nộp hồ sơ '!A:I, ""SELECT I WHERE B = '""&amp;B512&amp;""' ORDER BY A DESC LIMIT 1"", 0))"),46031.0)</f>
        <v>46031</v>
      </c>
      <c r="Q512" s="17">
        <f t="shared" si="2"/>
        <v>46031</v>
      </c>
      <c r="R512" s="16">
        <v>4.0</v>
      </c>
      <c r="S512" s="16"/>
      <c r="T512" s="16"/>
      <c r="U512" s="14"/>
      <c r="V512" s="18" t="s">
        <v>34</v>
      </c>
      <c r="W512" s="13">
        <v>6.0</v>
      </c>
      <c r="X512" s="13" t="s">
        <v>687</v>
      </c>
    </row>
    <row r="513" ht="22.5" customHeight="1">
      <c r="A513" s="11">
        <v>46031.75845408565</v>
      </c>
      <c r="B513" s="12" t="s">
        <v>1175</v>
      </c>
      <c r="C513" s="13" t="s">
        <v>1176</v>
      </c>
      <c r="D513" s="14"/>
      <c r="E513" s="13" t="s">
        <v>26</v>
      </c>
      <c r="F513" s="13" t="s">
        <v>133</v>
      </c>
      <c r="G513" s="20" t="s">
        <v>1116</v>
      </c>
      <c r="H513" s="13" t="s">
        <v>28</v>
      </c>
      <c r="I513" s="13" t="s">
        <v>659</v>
      </c>
      <c r="J513" s="14"/>
      <c r="K513" s="16" t="str">
        <f t="array" ref="K513">IFERROR(VLOOKUP(B513, SORT('Nhật ký nộp hồ sơ '!B:D, 'Nhật ký nộp hồ sơ '!A:A, FALSE), 3, FALSE),"")</f>
        <v>Hoàn thành</v>
      </c>
      <c r="L513" s="16" t="str">
        <f t="shared" si="1"/>
        <v>Hoàn thành</v>
      </c>
      <c r="M513" s="13" t="s">
        <v>216</v>
      </c>
      <c r="N513" s="17">
        <f>IFERROR(__xludf.DUMMYFUNCTION("""COMPUTED_VALUE"""),46031.0)</f>
        <v>46031</v>
      </c>
      <c r="O513" s="17">
        <v>46034.0</v>
      </c>
      <c r="P513" s="17">
        <f>IFERROR(__xludf.DUMMYFUNCTION("IFERROR(QUERY('Nhật ký nộp hồ sơ '!A:I, ""SELECT I WHERE B = '""&amp;B513&amp;""' ORDER BY A DESC LIMIT 1"", 0))"),46031.0)</f>
        <v>46031</v>
      </c>
      <c r="Q513" s="17">
        <f t="shared" si="2"/>
        <v>46031</v>
      </c>
      <c r="R513" s="16">
        <v>4.0</v>
      </c>
      <c r="S513" s="13" t="s">
        <v>1177</v>
      </c>
      <c r="T513" s="16"/>
      <c r="U513" s="14"/>
      <c r="V513" s="18" t="s">
        <v>34</v>
      </c>
      <c r="W513" s="13">
        <v>2.0</v>
      </c>
      <c r="X513" s="13" t="s">
        <v>687</v>
      </c>
    </row>
    <row r="514" ht="22.5" customHeight="1">
      <c r="A514" s="11">
        <v>46031.76054689815</v>
      </c>
      <c r="B514" s="12" t="s">
        <v>1178</v>
      </c>
      <c r="C514" s="13" t="s">
        <v>1179</v>
      </c>
      <c r="D514" s="14"/>
      <c r="E514" s="13" t="s">
        <v>26</v>
      </c>
      <c r="F514" s="13" t="s">
        <v>133</v>
      </c>
      <c r="G514" s="20" t="s">
        <v>1180</v>
      </c>
      <c r="H514" s="13" t="s">
        <v>28</v>
      </c>
      <c r="I514" s="13" t="s">
        <v>659</v>
      </c>
      <c r="J514" s="14"/>
      <c r="K514" s="16" t="str">
        <f t="array" ref="K514">IFERROR(VLOOKUP(B514, SORT('Nhật ký nộp hồ sơ '!B:D, 'Nhật ký nộp hồ sơ '!A:A, FALSE), 3, FALSE),"")</f>
        <v>Hủy</v>
      </c>
      <c r="L514" s="16" t="str">
        <f t="shared" si="1"/>
        <v>ĐÃ HỦY</v>
      </c>
      <c r="M514" s="13" t="s">
        <v>56</v>
      </c>
      <c r="N514" s="17">
        <f>IFERROR(__xludf.DUMMYFUNCTION("""COMPUTED_VALUE"""),46031.0)</f>
        <v>46031</v>
      </c>
      <c r="O514" s="17">
        <v>46034.0</v>
      </c>
      <c r="P514" s="17">
        <f>IFERROR(__xludf.DUMMYFUNCTION("IFERROR(QUERY('Nhật ký nộp hồ sơ '!A:I, ""SELECT I WHERE B = '""&amp;B514&amp;""' ORDER BY A DESC LIMIT 1"", 0))"),46038.0)</f>
        <v>46038</v>
      </c>
      <c r="Q514" s="17" t="str">
        <f t="shared" si="2"/>
        <v/>
      </c>
      <c r="R514" s="16">
        <v>3.0</v>
      </c>
      <c r="S514" s="16"/>
      <c r="T514" s="16"/>
      <c r="U514" s="14"/>
      <c r="V514" s="18" t="s">
        <v>34</v>
      </c>
      <c r="W514" s="16"/>
      <c r="X514" s="16"/>
    </row>
    <row r="515" ht="22.5" customHeight="1">
      <c r="A515" s="11">
        <v>46031.76662013889</v>
      </c>
      <c r="B515" s="12" t="s">
        <v>1181</v>
      </c>
      <c r="C515" s="13" t="s">
        <v>1167</v>
      </c>
      <c r="D515" s="14"/>
      <c r="E515" s="13" t="s">
        <v>132</v>
      </c>
      <c r="F515" s="13" t="s">
        <v>133</v>
      </c>
      <c r="G515" s="20" t="s">
        <v>1168</v>
      </c>
      <c r="H515" s="13" t="s">
        <v>69</v>
      </c>
      <c r="I515" s="13" t="s">
        <v>659</v>
      </c>
      <c r="J515" s="14"/>
      <c r="K515" s="16" t="str">
        <f t="array" ref="K515">IFERROR(VLOOKUP(B515, SORT('Nhật ký nộp hồ sơ '!B:D, 'Nhật ký nộp hồ sơ '!A:A, FALSE), 3, FALSE),"")</f>
        <v>Hoàn thành</v>
      </c>
      <c r="L515" s="16" t="str">
        <f t="shared" si="1"/>
        <v>Hoàn thành</v>
      </c>
      <c r="M515" s="13" t="s">
        <v>56</v>
      </c>
      <c r="N515" s="17">
        <f>IFERROR(__xludf.DUMMYFUNCTION("""COMPUTED_VALUE"""),46031.0)</f>
        <v>46031</v>
      </c>
      <c r="O515" s="17">
        <v>46034.0</v>
      </c>
      <c r="P515" s="17">
        <f>IFERROR(__xludf.DUMMYFUNCTION("IFERROR(QUERY('Nhật ký nộp hồ sơ '!A:I, ""SELECT I WHERE B = '""&amp;B515&amp;""' ORDER BY A DESC LIMIT 1"", 0))"),46053.0)</f>
        <v>46053</v>
      </c>
      <c r="Q515" s="17">
        <f t="shared" si="2"/>
        <v>46053</v>
      </c>
      <c r="R515" s="16">
        <v>2.0</v>
      </c>
      <c r="S515" s="16"/>
      <c r="T515" s="16"/>
      <c r="U515" s="14"/>
      <c r="V515" s="18" t="s">
        <v>34</v>
      </c>
      <c r="W515" s="16"/>
      <c r="X515" s="16"/>
    </row>
    <row r="516" ht="22.5" customHeight="1">
      <c r="A516" s="11">
        <v>46034.43125230324</v>
      </c>
      <c r="B516" s="12" t="s">
        <v>1182</v>
      </c>
      <c r="C516" s="13" t="s">
        <v>327</v>
      </c>
      <c r="D516" s="14"/>
      <c r="E516" s="13" t="s">
        <v>53</v>
      </c>
      <c r="F516" s="13" t="s">
        <v>133</v>
      </c>
      <c r="G516" s="16"/>
      <c r="H516" s="13" t="s">
        <v>28</v>
      </c>
      <c r="I516" s="13" t="s">
        <v>81</v>
      </c>
      <c r="J516" s="14"/>
      <c r="K516" s="16" t="str">
        <f t="array" ref="K516">IFERROR(VLOOKUP(B516, SORT('Nhật ký nộp hồ sơ '!B:D, 'Nhật ký nộp hồ sơ '!A:A, FALSE), 3, FALSE),"")</f>
        <v>Hoàn thành</v>
      </c>
      <c r="L516" s="16" t="str">
        <f t="shared" si="1"/>
        <v>Hoàn thành</v>
      </c>
      <c r="M516" s="13" t="s">
        <v>216</v>
      </c>
      <c r="N516" s="17">
        <f>IFERROR(__xludf.DUMMYFUNCTION("""COMPUTED_VALUE"""),46034.0)</f>
        <v>46034</v>
      </c>
      <c r="O516" s="17">
        <v>46037.0</v>
      </c>
      <c r="P516" s="17">
        <f>IFERROR(__xludf.DUMMYFUNCTION("IFERROR(QUERY('Nhật ký nộp hồ sơ '!A:I, ""SELECT I WHERE B = '""&amp;B516&amp;""' ORDER BY A DESC LIMIT 1"", 0))"),46032.0)</f>
        <v>46032</v>
      </c>
      <c r="Q516" s="17">
        <f t="shared" si="2"/>
        <v>46032</v>
      </c>
      <c r="R516" s="16">
        <v>1.0</v>
      </c>
      <c r="S516" s="16"/>
      <c r="T516" s="16"/>
      <c r="U516" s="14"/>
      <c r="V516" s="18" t="s">
        <v>34</v>
      </c>
      <c r="W516" s="13">
        <v>8.0</v>
      </c>
      <c r="X516" s="13" t="s">
        <v>687</v>
      </c>
    </row>
    <row r="517" ht="22.5" customHeight="1">
      <c r="A517" s="11">
        <v>46034.44285255787</v>
      </c>
      <c r="B517" s="12" t="s">
        <v>1183</v>
      </c>
      <c r="C517" s="13" t="s">
        <v>1184</v>
      </c>
      <c r="D517" s="14"/>
      <c r="E517" s="13" t="s">
        <v>151</v>
      </c>
      <c r="F517" s="13" t="s">
        <v>89</v>
      </c>
      <c r="G517" s="16"/>
      <c r="H517" s="13" t="s">
        <v>69</v>
      </c>
      <c r="I517" s="13" t="s">
        <v>659</v>
      </c>
      <c r="J517" s="14"/>
      <c r="K517" s="16" t="str">
        <f t="array" ref="K517">IFERROR(VLOOKUP(B517, SORT('Nhật ký nộp hồ sơ '!B:D, 'Nhật ký nộp hồ sơ '!A:A, FALSE), 3, FALSE),"")</f>
        <v>Hoàn thành</v>
      </c>
      <c r="L517" s="16" t="str">
        <f t="shared" si="1"/>
        <v>Hoàn thành</v>
      </c>
      <c r="M517" s="13" t="s">
        <v>48</v>
      </c>
      <c r="N517" s="17">
        <f>IFERROR(__xludf.DUMMYFUNCTION("""COMPUTED_VALUE"""),46034.0)</f>
        <v>46034</v>
      </c>
      <c r="O517" s="17">
        <v>46037.0</v>
      </c>
      <c r="P517" s="17">
        <f>IFERROR(__xludf.DUMMYFUNCTION("IFERROR(QUERY('Nhật ký nộp hồ sơ '!A:I, ""SELECT I WHERE B = '""&amp;B517&amp;""' ORDER BY A DESC LIMIT 1"", 0))"),46079.0)</f>
        <v>46079</v>
      </c>
      <c r="Q517" s="17">
        <f t="shared" si="2"/>
        <v>46079</v>
      </c>
      <c r="R517" s="16">
        <v>2.0</v>
      </c>
      <c r="S517" s="16"/>
      <c r="T517" s="16"/>
      <c r="U517" s="14"/>
      <c r="V517" s="18" t="s">
        <v>34</v>
      </c>
      <c r="W517" s="16"/>
      <c r="X517" s="16"/>
    </row>
    <row r="518" ht="22.5" customHeight="1">
      <c r="A518" s="11">
        <v>46035.41013079861</v>
      </c>
      <c r="B518" s="12" t="s">
        <v>1185</v>
      </c>
      <c r="C518" s="13" t="s">
        <v>1130</v>
      </c>
      <c r="D518" s="14"/>
      <c r="E518" s="13" t="s">
        <v>62</v>
      </c>
      <c r="F518" s="13" t="s">
        <v>481</v>
      </c>
      <c r="G518" s="16"/>
      <c r="H518" s="13" t="s">
        <v>28</v>
      </c>
      <c r="I518" s="13" t="s">
        <v>81</v>
      </c>
      <c r="J518" s="14"/>
      <c r="K518" s="16" t="str">
        <f t="array" ref="K518">IFERROR(VLOOKUP(B518, SORT('Nhật ký nộp hồ sơ '!B:D, 'Nhật ký nộp hồ sơ '!A:A, FALSE), 3, FALSE),"")</f>
        <v>Hoàn thành</v>
      </c>
      <c r="L518" s="16" t="str">
        <f t="shared" si="1"/>
        <v>Hoàn thành</v>
      </c>
      <c r="M518" s="13" t="s">
        <v>146</v>
      </c>
      <c r="N518" s="17">
        <f>IFERROR(__xludf.DUMMYFUNCTION("""COMPUTED_VALUE"""),46035.0)</f>
        <v>46035</v>
      </c>
      <c r="O518" s="17">
        <v>46038.0</v>
      </c>
      <c r="P518" s="17">
        <f>IFERROR(__xludf.DUMMYFUNCTION("IFERROR(QUERY('Nhật ký nộp hồ sơ '!A:I, ""SELECT I WHERE B = '""&amp;B518&amp;""' ORDER BY A DESC LIMIT 1"", 0))"),46035.0)</f>
        <v>46035</v>
      </c>
      <c r="Q518" s="17">
        <f t="shared" si="2"/>
        <v>46035</v>
      </c>
      <c r="R518" s="16">
        <v>1.0</v>
      </c>
      <c r="S518" s="16"/>
      <c r="T518" s="16"/>
      <c r="U518" s="14"/>
      <c r="V518" s="18" t="s">
        <v>34</v>
      </c>
      <c r="W518" s="16"/>
      <c r="X518" s="16"/>
    </row>
    <row r="519" ht="22.5" customHeight="1">
      <c r="A519" s="11">
        <v>46035.479144780096</v>
      </c>
      <c r="B519" s="12" t="s">
        <v>1186</v>
      </c>
      <c r="C519" s="13" t="s">
        <v>818</v>
      </c>
      <c r="D519" s="14"/>
      <c r="E519" s="13" t="s">
        <v>74</v>
      </c>
      <c r="F519" s="13" t="s">
        <v>89</v>
      </c>
      <c r="G519" s="16"/>
      <c r="H519" s="13" t="s">
        <v>28</v>
      </c>
      <c r="I519" s="13" t="s">
        <v>81</v>
      </c>
      <c r="J519" s="14"/>
      <c r="K519" s="16" t="str">
        <f t="array" ref="K519">IFERROR(VLOOKUP(B519, SORT('Nhật ký nộp hồ sơ '!B:D, 'Nhật ký nộp hồ sơ '!A:A, FALSE), 3, FALSE),"")</f>
        <v>Hoàn thành</v>
      </c>
      <c r="L519" s="16" t="str">
        <f t="shared" si="1"/>
        <v>Hoàn thành</v>
      </c>
      <c r="M519" s="13" t="s">
        <v>41</v>
      </c>
      <c r="N519" s="17">
        <f>IFERROR(__xludf.DUMMYFUNCTION("""COMPUTED_VALUE"""),46035.0)</f>
        <v>46035</v>
      </c>
      <c r="O519" s="17">
        <v>46038.0</v>
      </c>
      <c r="P519" s="17">
        <f>IFERROR(__xludf.DUMMYFUNCTION("IFERROR(QUERY('Nhật ký nộp hồ sơ '!A:I, ""SELECT I WHERE B = '""&amp;B519&amp;""' ORDER BY A DESC LIMIT 1"", 0))"),46035.0)</f>
        <v>46035</v>
      </c>
      <c r="Q519" s="17">
        <f t="shared" si="2"/>
        <v>46035</v>
      </c>
      <c r="R519" s="16">
        <v>1.0</v>
      </c>
      <c r="S519" s="16"/>
      <c r="T519" s="16"/>
      <c r="U519" s="14"/>
      <c r="V519" s="18" t="s">
        <v>34</v>
      </c>
      <c r="W519" s="16"/>
      <c r="X519" s="16"/>
    </row>
    <row r="520" ht="22.5" customHeight="1">
      <c r="A520" s="11">
        <v>46036.41916875</v>
      </c>
      <c r="B520" s="12" t="s">
        <v>1187</v>
      </c>
      <c r="C520" s="13" t="s">
        <v>1121</v>
      </c>
      <c r="D520" s="14"/>
      <c r="E520" s="13" t="s">
        <v>45</v>
      </c>
      <c r="F520" s="13" t="s">
        <v>46</v>
      </c>
      <c r="G520" s="16"/>
      <c r="H520" s="13" t="s">
        <v>29</v>
      </c>
      <c r="I520" s="13" t="s">
        <v>659</v>
      </c>
      <c r="J520" s="14"/>
      <c r="K520" s="16" t="str">
        <f t="array" ref="K520">IFERROR(VLOOKUP(B520, SORT('Nhật ký nộp hồ sơ '!B:D, 'Nhật ký nộp hồ sơ '!A:A, FALSE), 3, FALSE),"")</f>
        <v>Hoàn thành</v>
      </c>
      <c r="L520" s="16" t="str">
        <f t="shared" si="1"/>
        <v>Hoàn thành</v>
      </c>
      <c r="M520" s="13" t="s">
        <v>216</v>
      </c>
      <c r="N520" s="17">
        <f>IFERROR(__xludf.DUMMYFUNCTION("""COMPUTED_VALUE"""),46036.0)</f>
        <v>46036</v>
      </c>
      <c r="O520" s="17">
        <v>46039.0</v>
      </c>
      <c r="P520" s="17">
        <f>IFERROR(__xludf.DUMMYFUNCTION("IFERROR(QUERY('Nhật ký nộp hồ sơ '!A:I, ""SELECT I WHERE B = '""&amp;B520&amp;""' ORDER BY A DESC LIMIT 1"", 0))"),46035.0)</f>
        <v>46035</v>
      </c>
      <c r="Q520" s="17">
        <f t="shared" si="2"/>
        <v>46035</v>
      </c>
      <c r="R520" s="16">
        <v>1.0</v>
      </c>
      <c r="S520" s="16"/>
      <c r="T520" s="16"/>
      <c r="U520" s="14"/>
      <c r="V520" s="18" t="s">
        <v>34</v>
      </c>
      <c r="W520" s="13">
        <v>7.0</v>
      </c>
      <c r="X520" s="13" t="s">
        <v>1188</v>
      </c>
    </row>
    <row r="521" ht="22.5" customHeight="1">
      <c r="A521" s="11">
        <v>46036.42053128472</v>
      </c>
      <c r="B521" s="12" t="s">
        <v>1189</v>
      </c>
      <c r="C521" s="13" t="s">
        <v>1190</v>
      </c>
      <c r="D521" s="14"/>
      <c r="E521" s="13" t="s">
        <v>26</v>
      </c>
      <c r="F521" s="13" t="s">
        <v>133</v>
      </c>
      <c r="G521" s="20" t="s">
        <v>1191</v>
      </c>
      <c r="H521" s="13" t="s">
        <v>29</v>
      </c>
      <c r="I521" s="13" t="s">
        <v>659</v>
      </c>
      <c r="J521" s="14"/>
      <c r="K521" s="16" t="str">
        <f t="array" ref="K521">IFERROR(VLOOKUP(B521, SORT('Nhật ký nộp hồ sơ '!B:D, 'Nhật ký nộp hồ sơ '!A:A, FALSE), 3, FALSE),"")</f>
        <v>Nộp thành công - Chờ kết quả</v>
      </c>
      <c r="L521" s="16" t="str">
        <f t="shared" si="1"/>
        <v>Đã nộp</v>
      </c>
      <c r="M521" s="13" t="s">
        <v>48</v>
      </c>
      <c r="N521" s="17">
        <f>IFERROR(__xludf.DUMMYFUNCTION("""COMPUTED_VALUE"""),46036.0)</f>
        <v>46036</v>
      </c>
      <c r="O521" s="17">
        <v>46039.0</v>
      </c>
      <c r="P521" s="17">
        <f>IFERROR(__xludf.DUMMYFUNCTION("IFERROR(QUERY('Nhật ký nộp hồ sơ '!A:I, ""SELECT I WHERE B = '""&amp;B521&amp;""' ORDER BY A DESC LIMIT 1"", 0))"),46043.0)</f>
        <v>46043</v>
      </c>
      <c r="Q521" s="17" t="str">
        <f t="shared" si="2"/>
        <v/>
      </c>
      <c r="R521" s="16">
        <v>3.0</v>
      </c>
      <c r="S521" s="16"/>
      <c r="T521" s="16"/>
      <c r="U521" s="14"/>
      <c r="V521" s="18" t="s">
        <v>34</v>
      </c>
      <c r="W521" s="16"/>
      <c r="X521" s="16"/>
    </row>
    <row r="522" ht="22.5" customHeight="1">
      <c r="A522" s="11">
        <v>46036.42117640046</v>
      </c>
      <c r="B522" s="12" t="s">
        <v>1192</v>
      </c>
      <c r="C522" s="13" t="s">
        <v>1193</v>
      </c>
      <c r="D522" s="14"/>
      <c r="E522" s="13" t="s">
        <v>26</v>
      </c>
      <c r="F522" s="13" t="s">
        <v>68</v>
      </c>
      <c r="G522" s="16"/>
      <c r="H522" s="13" t="s">
        <v>29</v>
      </c>
      <c r="I522" s="13" t="s">
        <v>659</v>
      </c>
      <c r="J522" s="14"/>
      <c r="K522" s="16" t="str">
        <f t="array" ref="K522">IFERROR(VLOOKUP(B522, SORT('Nhật ký nộp hồ sơ '!B:D, 'Nhật ký nộp hồ sơ '!A:A, FALSE), 3, FALSE),"")</f>
        <v>Hoàn thành</v>
      </c>
      <c r="L522" s="16" t="str">
        <f t="shared" si="1"/>
        <v>Hoàn thành</v>
      </c>
      <c r="M522" s="13" t="s">
        <v>48</v>
      </c>
      <c r="N522" s="17">
        <f>IFERROR(__xludf.DUMMYFUNCTION("""COMPUTED_VALUE"""),46036.0)</f>
        <v>46036</v>
      </c>
      <c r="O522" s="17">
        <v>46039.0</v>
      </c>
      <c r="P522" s="17">
        <f>IFERROR(__xludf.DUMMYFUNCTION("IFERROR(QUERY('Nhật ký nộp hồ sơ '!A:I, ""SELECT I WHERE B = '""&amp;B522&amp;""' ORDER BY A DESC LIMIT 1"", 0))"),46059.0)</f>
        <v>46059</v>
      </c>
      <c r="Q522" s="17">
        <f t="shared" si="2"/>
        <v>46059</v>
      </c>
      <c r="R522" s="16">
        <v>1.0</v>
      </c>
      <c r="S522" s="16"/>
      <c r="T522" s="16"/>
      <c r="U522" s="14"/>
      <c r="V522" s="18" t="s">
        <v>34</v>
      </c>
      <c r="W522" s="16"/>
      <c r="X522" s="16"/>
    </row>
    <row r="523" ht="22.5" customHeight="1">
      <c r="A523" s="11">
        <v>46036.42237108796</v>
      </c>
      <c r="B523" s="12" t="s">
        <v>1194</v>
      </c>
      <c r="C523" s="13" t="s">
        <v>1195</v>
      </c>
      <c r="D523" s="14"/>
      <c r="E523" s="13" t="s">
        <v>26</v>
      </c>
      <c r="F523" s="13" t="s">
        <v>46</v>
      </c>
      <c r="G523" s="20" t="s">
        <v>1196</v>
      </c>
      <c r="H523" s="13" t="s">
        <v>29</v>
      </c>
      <c r="I523" s="13" t="s">
        <v>659</v>
      </c>
      <c r="J523" s="14"/>
      <c r="K523" s="16" t="str">
        <f t="array" ref="K523">IFERROR(VLOOKUP(B523, SORT('Nhật ký nộp hồ sơ '!B:D, 'Nhật ký nộp hồ sơ '!A:A, FALSE), 3, FALSE),"")</f>
        <v>Hoàn thành</v>
      </c>
      <c r="L523" s="16" t="str">
        <f t="shared" si="1"/>
        <v>Hoàn thành</v>
      </c>
      <c r="M523" s="13" t="s">
        <v>48</v>
      </c>
      <c r="N523" s="17">
        <f>IFERROR(__xludf.DUMMYFUNCTION("""COMPUTED_VALUE"""),46036.0)</f>
        <v>46036</v>
      </c>
      <c r="O523" s="17">
        <v>46039.0</v>
      </c>
      <c r="P523" s="17">
        <f>IFERROR(__xludf.DUMMYFUNCTION("IFERROR(QUERY('Nhật ký nộp hồ sơ '!A:I, ""SELECT I WHERE B = '""&amp;B523&amp;""' ORDER BY A DESC LIMIT 1"", 0))"),46148.0)</f>
        <v>46148</v>
      </c>
      <c r="Q523" s="17">
        <f t="shared" si="2"/>
        <v>46148</v>
      </c>
      <c r="R523" s="16">
        <v>1.0</v>
      </c>
      <c r="S523" s="16"/>
      <c r="T523" s="16"/>
      <c r="U523" s="14"/>
      <c r="V523" s="18" t="s">
        <v>34</v>
      </c>
      <c r="W523" s="16"/>
      <c r="X523" s="16"/>
    </row>
    <row r="524" ht="22.5" customHeight="1">
      <c r="A524" s="11">
        <v>46036.61572377315</v>
      </c>
      <c r="B524" s="12" t="s">
        <v>1197</v>
      </c>
      <c r="C524" s="13" t="s">
        <v>557</v>
      </c>
      <c r="D524" s="14"/>
      <c r="E524" s="13" t="s">
        <v>53</v>
      </c>
      <c r="F524" s="13" t="s">
        <v>554</v>
      </c>
      <c r="G524" s="16"/>
      <c r="H524" s="13" t="s">
        <v>28</v>
      </c>
      <c r="I524" s="13" t="s">
        <v>81</v>
      </c>
      <c r="J524" s="14"/>
      <c r="K524" s="16" t="str">
        <f t="array" ref="K524">IFERROR(VLOOKUP(B524, SORT('Nhật ký nộp hồ sơ '!B:D, 'Nhật ký nộp hồ sơ '!A:A, FALSE), 3, FALSE),"")</f>
        <v>Hoàn thành</v>
      </c>
      <c r="L524" s="16" t="str">
        <f t="shared" si="1"/>
        <v>Hoàn thành</v>
      </c>
      <c r="M524" s="13" t="s">
        <v>216</v>
      </c>
      <c r="N524" s="17">
        <f>IFERROR(__xludf.DUMMYFUNCTION("""COMPUTED_VALUE"""),46036.0)</f>
        <v>46036</v>
      </c>
      <c r="O524" s="17">
        <v>46039.0</v>
      </c>
      <c r="P524" s="17">
        <f>IFERROR(__xludf.DUMMYFUNCTION("IFERROR(QUERY('Nhật ký nộp hồ sơ '!A:I, ""SELECT I WHERE B = '""&amp;B524&amp;""' ORDER BY A DESC LIMIT 1"", 0))"),46036.0)</f>
        <v>46036</v>
      </c>
      <c r="Q524" s="17">
        <f t="shared" si="2"/>
        <v>46036</v>
      </c>
      <c r="R524" s="16">
        <v>3.0</v>
      </c>
      <c r="S524" s="16"/>
      <c r="T524" s="16"/>
      <c r="U524" s="14"/>
      <c r="V524" s="18" t="s">
        <v>34</v>
      </c>
      <c r="W524" s="13">
        <v>6.0</v>
      </c>
      <c r="X524" s="13" t="s">
        <v>687</v>
      </c>
    </row>
    <row r="525" ht="22.5" customHeight="1">
      <c r="A525" s="11">
        <v>46037.64097332176</v>
      </c>
      <c r="B525" s="12" t="s">
        <v>1198</v>
      </c>
      <c r="C525" s="13" t="s">
        <v>1199</v>
      </c>
      <c r="D525" s="14"/>
      <c r="E525" s="13" t="s">
        <v>26</v>
      </c>
      <c r="F525" s="13" t="s">
        <v>133</v>
      </c>
      <c r="G525" s="20" t="s">
        <v>1156</v>
      </c>
      <c r="H525" s="13" t="s">
        <v>47</v>
      </c>
      <c r="I525" s="13" t="s">
        <v>659</v>
      </c>
      <c r="J525" s="14"/>
      <c r="K525" s="16" t="str">
        <f t="array" ref="K525">IFERROR(VLOOKUP(B525, SORT('Nhật ký nộp hồ sơ '!B:D, 'Nhật ký nộp hồ sơ '!A:A, FALSE), 3, FALSE),"")</f>
        <v>Hoàn thành</v>
      </c>
      <c r="L525" s="16" t="str">
        <f t="shared" si="1"/>
        <v>Hoàn thành</v>
      </c>
      <c r="M525" s="13" t="s">
        <v>48</v>
      </c>
      <c r="N525" s="17">
        <f>IFERROR(__xludf.DUMMYFUNCTION("""COMPUTED_VALUE"""),46037.0)</f>
        <v>46037</v>
      </c>
      <c r="O525" s="17">
        <v>46040.0</v>
      </c>
      <c r="P525" s="17">
        <f>IFERROR(__xludf.DUMMYFUNCTION("IFERROR(QUERY('Nhật ký nộp hồ sơ '!A:I, ""SELECT I WHERE B = '""&amp;B525&amp;""' ORDER BY A DESC LIMIT 1"", 0))"),46057.0)</f>
        <v>46057</v>
      </c>
      <c r="Q525" s="17">
        <f t="shared" si="2"/>
        <v>46057</v>
      </c>
      <c r="R525" s="16">
        <v>1.0</v>
      </c>
      <c r="S525" s="13" t="s">
        <v>1200</v>
      </c>
      <c r="T525" s="13" t="s">
        <v>1201</v>
      </c>
      <c r="U525" s="14"/>
      <c r="V525" s="18" t="s">
        <v>34</v>
      </c>
      <c r="W525" s="16"/>
      <c r="X525" s="16"/>
    </row>
    <row r="526" ht="22.5" customHeight="1">
      <c r="A526" s="11">
        <v>46037.64814880787</v>
      </c>
      <c r="B526" s="12" t="s">
        <v>1202</v>
      </c>
      <c r="C526" s="13" t="s">
        <v>1203</v>
      </c>
      <c r="D526" s="14"/>
      <c r="E526" s="13" t="s">
        <v>88</v>
      </c>
      <c r="F526" s="13" t="s">
        <v>29</v>
      </c>
      <c r="G526" s="13" t="s">
        <v>1204</v>
      </c>
      <c r="H526" s="13" t="s">
        <v>47</v>
      </c>
      <c r="I526" s="13" t="s">
        <v>659</v>
      </c>
      <c r="J526" s="14"/>
      <c r="K526" s="16" t="str">
        <f t="array" ref="K526">IFERROR(VLOOKUP(B526, SORT('Nhật ký nộp hồ sơ '!B:D, 'Nhật ký nộp hồ sơ '!A:A, FALSE), 3, FALSE),"")</f>
        <v>Hoàn thành</v>
      </c>
      <c r="L526" s="16" t="str">
        <f t="shared" si="1"/>
        <v>Hoàn thành</v>
      </c>
      <c r="M526" s="13" t="s">
        <v>48</v>
      </c>
      <c r="N526" s="17">
        <f>IFERROR(__xludf.DUMMYFUNCTION("""COMPUTED_VALUE"""),46037.0)</f>
        <v>46037</v>
      </c>
      <c r="O526" s="17">
        <v>46040.0</v>
      </c>
      <c r="P526" s="17">
        <f>IFERROR(__xludf.DUMMYFUNCTION("IFERROR(QUERY('Nhật ký nộp hồ sơ '!A:I, ""SELECT I WHERE B = '""&amp;B526&amp;""' ORDER BY A DESC LIMIT 1"", 0))"),46059.0)</f>
        <v>46059</v>
      </c>
      <c r="Q526" s="17">
        <f t="shared" si="2"/>
        <v>46059</v>
      </c>
      <c r="R526" s="16">
        <v>2.0</v>
      </c>
      <c r="S526" s="13" t="s">
        <v>1205</v>
      </c>
      <c r="T526" s="13" t="s">
        <v>1201</v>
      </c>
      <c r="U526" s="14"/>
      <c r="V526" s="18" t="s">
        <v>34</v>
      </c>
      <c r="W526" s="16"/>
      <c r="X526" s="16"/>
    </row>
    <row r="527" ht="22.5" customHeight="1">
      <c r="A527" s="11">
        <v>46037.65407071759</v>
      </c>
      <c r="B527" s="12" t="s">
        <v>1206</v>
      </c>
      <c r="C527" s="13" t="s">
        <v>1207</v>
      </c>
      <c r="D527" s="14"/>
      <c r="E527" s="13" t="s">
        <v>26</v>
      </c>
      <c r="F527" s="13" t="s">
        <v>133</v>
      </c>
      <c r="G527" s="20" t="s">
        <v>923</v>
      </c>
      <c r="H527" s="13" t="s">
        <v>47</v>
      </c>
      <c r="I527" s="13" t="s">
        <v>81</v>
      </c>
      <c r="J527" s="14"/>
      <c r="K527" s="16" t="str">
        <f t="array" ref="K527">IFERROR(VLOOKUP(B527, SORT('Nhật ký nộp hồ sơ '!B:D, 'Nhật ký nộp hồ sơ '!A:A, FALSE), 3, FALSE),"")</f>
        <v>Hoàn thành</v>
      </c>
      <c r="L527" s="16" t="str">
        <f t="shared" si="1"/>
        <v>Hoàn thành</v>
      </c>
      <c r="M527" s="13" t="s">
        <v>82</v>
      </c>
      <c r="N527" s="17">
        <f>IFERROR(__xludf.DUMMYFUNCTION("""COMPUTED_VALUE"""),46037.0)</f>
        <v>46037</v>
      </c>
      <c r="O527" s="17">
        <v>46040.0</v>
      </c>
      <c r="P527" s="17">
        <f>IFERROR(__xludf.DUMMYFUNCTION("IFERROR(QUERY('Nhật ký nộp hồ sơ '!A:I, ""SELECT I WHERE B = '""&amp;B527&amp;""' ORDER BY A DESC LIMIT 1"", 0))"),46064.0)</f>
        <v>46064</v>
      </c>
      <c r="Q527" s="17">
        <f t="shared" si="2"/>
        <v>46064</v>
      </c>
      <c r="R527" s="16">
        <v>1.0</v>
      </c>
      <c r="S527" s="16"/>
      <c r="T527" s="13" t="s">
        <v>1208</v>
      </c>
      <c r="U527" s="14"/>
      <c r="V527" s="18" t="s">
        <v>34</v>
      </c>
      <c r="W527" s="16"/>
      <c r="X527" s="16"/>
    </row>
    <row r="528" ht="22.5" customHeight="1">
      <c r="A528" s="11">
        <v>46037.65439653935</v>
      </c>
      <c r="B528" s="12" t="s">
        <v>1209</v>
      </c>
      <c r="C528" s="13" t="s">
        <v>1210</v>
      </c>
      <c r="D528" s="14"/>
      <c r="E528" s="13" t="s">
        <v>26</v>
      </c>
      <c r="F528" s="13" t="s">
        <v>133</v>
      </c>
      <c r="G528" s="20" t="s">
        <v>923</v>
      </c>
      <c r="H528" s="13" t="s">
        <v>47</v>
      </c>
      <c r="I528" s="13" t="s">
        <v>81</v>
      </c>
      <c r="J528" s="14"/>
      <c r="K528" s="16" t="str">
        <f t="array" ref="K528">IFERROR(VLOOKUP(B528, SORT('Nhật ký nộp hồ sơ '!B:D, 'Nhật ký nộp hồ sơ '!A:A, FALSE), 3, FALSE),"")</f>
        <v>Hoàn thành</v>
      </c>
      <c r="L528" s="16" t="str">
        <f t="shared" si="1"/>
        <v>Hoàn thành</v>
      </c>
      <c r="M528" s="13" t="s">
        <v>82</v>
      </c>
      <c r="N528" s="17">
        <f>IFERROR(__xludf.DUMMYFUNCTION("""COMPUTED_VALUE"""),46037.0)</f>
        <v>46037</v>
      </c>
      <c r="O528" s="17">
        <v>46040.0</v>
      </c>
      <c r="P528" s="17">
        <f>IFERROR(__xludf.DUMMYFUNCTION("IFERROR(QUERY('Nhật ký nộp hồ sơ '!A:I, ""SELECT I WHERE B = '""&amp;B528&amp;""' ORDER BY A DESC LIMIT 1"", 0))"),46064.0)</f>
        <v>46064</v>
      </c>
      <c r="Q528" s="17">
        <f t="shared" si="2"/>
        <v>46064</v>
      </c>
      <c r="R528" s="16">
        <v>5.0</v>
      </c>
      <c r="S528" s="16"/>
      <c r="T528" s="13" t="s">
        <v>1211</v>
      </c>
      <c r="U528" s="14"/>
      <c r="V528" s="18" t="s">
        <v>34</v>
      </c>
      <c r="W528" s="16"/>
      <c r="X528" s="16"/>
    </row>
    <row r="529" ht="22.5" customHeight="1">
      <c r="A529" s="11">
        <v>46037.65544269676</v>
      </c>
      <c r="B529" s="12" t="s">
        <v>1212</v>
      </c>
      <c r="C529" s="13" t="s">
        <v>1213</v>
      </c>
      <c r="D529" s="18" t="s">
        <v>44</v>
      </c>
      <c r="E529" s="13" t="s">
        <v>122</v>
      </c>
      <c r="F529" s="13" t="s">
        <v>338</v>
      </c>
      <c r="G529" s="16"/>
      <c r="H529" s="13" t="s">
        <v>47</v>
      </c>
      <c r="I529" s="13" t="s">
        <v>659</v>
      </c>
      <c r="J529" s="14"/>
      <c r="K529" s="16" t="str">
        <f t="array" ref="K529">IFERROR(VLOOKUP(B529, SORT('Nhật ký nộp hồ sơ '!B:D, 'Nhật ký nộp hồ sơ '!A:A, FALSE), 3, FALSE),"")</f>
        <v>Hoàn thành</v>
      </c>
      <c r="L529" s="16" t="str">
        <f t="shared" si="1"/>
        <v>Hoàn thành</v>
      </c>
      <c r="M529" s="13" t="s">
        <v>56</v>
      </c>
      <c r="N529" s="17">
        <f>IFERROR(__xludf.DUMMYFUNCTION("""COMPUTED_VALUE"""),46037.0)</f>
        <v>46037</v>
      </c>
      <c r="O529" s="17">
        <v>46040.0</v>
      </c>
      <c r="P529" s="17">
        <f>IFERROR(__xludf.DUMMYFUNCTION("IFERROR(QUERY('Nhật ký nộp hồ sơ '!A:I, ""SELECT I WHERE B = '""&amp;B529&amp;""' ORDER BY A DESC LIMIT 1"", 0))"),46056.0)</f>
        <v>46056</v>
      </c>
      <c r="Q529" s="17">
        <f t="shared" si="2"/>
        <v>46056</v>
      </c>
      <c r="R529" s="16">
        <v>2.0</v>
      </c>
      <c r="S529" s="16"/>
      <c r="T529" s="16"/>
      <c r="U529" s="14"/>
      <c r="V529" s="18" t="s">
        <v>34</v>
      </c>
      <c r="W529" s="16"/>
      <c r="X529" s="16"/>
    </row>
    <row r="530" ht="22.5" customHeight="1">
      <c r="A530" s="11">
        <v>46037.655792210644</v>
      </c>
      <c r="B530" s="12" t="s">
        <v>1214</v>
      </c>
      <c r="C530" s="13" t="s">
        <v>1121</v>
      </c>
      <c r="D530" s="18" t="s">
        <v>44</v>
      </c>
      <c r="E530" s="13" t="s">
        <v>45</v>
      </c>
      <c r="F530" s="13" t="s">
        <v>46</v>
      </c>
      <c r="G530" s="16"/>
      <c r="H530" s="13" t="s">
        <v>28</v>
      </c>
      <c r="I530" s="13" t="s">
        <v>81</v>
      </c>
      <c r="J530" s="14"/>
      <c r="K530" s="16" t="str">
        <f t="array" ref="K530">IFERROR(VLOOKUP(B530, SORT('Nhật ký nộp hồ sơ '!B:D, 'Nhật ký nộp hồ sơ '!A:A, FALSE), 3, FALSE),"")</f>
        <v>Hoàn thành</v>
      </c>
      <c r="L530" s="16" t="str">
        <f t="shared" si="1"/>
        <v>Hoàn thành</v>
      </c>
      <c r="M530" s="13" t="s">
        <v>146</v>
      </c>
      <c r="N530" s="17">
        <f>IFERROR(__xludf.DUMMYFUNCTION("""COMPUTED_VALUE"""),46037.0)</f>
        <v>46037</v>
      </c>
      <c r="O530" s="17">
        <v>46040.0</v>
      </c>
      <c r="P530" s="17">
        <f>IFERROR(__xludf.DUMMYFUNCTION("IFERROR(QUERY('Nhật ký nộp hồ sơ '!A:I, ""SELECT I WHERE B = '""&amp;B530&amp;""' ORDER BY A DESC LIMIT 1"", 0))"),46038.0)</f>
        <v>46038</v>
      </c>
      <c r="Q530" s="17">
        <f t="shared" si="2"/>
        <v>46038</v>
      </c>
      <c r="R530" s="16">
        <v>1.0</v>
      </c>
      <c r="S530" s="16"/>
      <c r="T530" s="16"/>
      <c r="U530" s="14"/>
      <c r="V530" s="18" t="s">
        <v>34</v>
      </c>
      <c r="W530" s="16"/>
      <c r="X530" s="16"/>
    </row>
    <row r="531" ht="22.5" customHeight="1">
      <c r="A531" s="11">
        <v>46037.69414760417</v>
      </c>
      <c r="B531" s="12" t="s">
        <v>1215</v>
      </c>
      <c r="C531" s="13" t="s">
        <v>1216</v>
      </c>
      <c r="D531" s="18" t="s">
        <v>44</v>
      </c>
      <c r="E531" s="13" t="s">
        <v>62</v>
      </c>
      <c r="F531" s="13" t="s">
        <v>133</v>
      </c>
      <c r="G531" s="20" t="s">
        <v>1217</v>
      </c>
      <c r="H531" s="13" t="s">
        <v>28</v>
      </c>
      <c r="I531" s="13" t="s">
        <v>659</v>
      </c>
      <c r="J531" s="14"/>
      <c r="K531" s="16" t="str">
        <f t="array" ref="K531">IFERROR(VLOOKUP(B531, SORT('Nhật ký nộp hồ sơ '!B:D, 'Nhật ký nộp hồ sơ '!A:A, FALSE), 3, FALSE),"")</f>
        <v>Hoàn thành</v>
      </c>
      <c r="L531" s="16" t="str">
        <f t="shared" si="1"/>
        <v>Hoàn thành</v>
      </c>
      <c r="M531" s="13" t="s">
        <v>48</v>
      </c>
      <c r="N531" s="17">
        <f>IFERROR(__xludf.DUMMYFUNCTION("""COMPUTED_VALUE"""),46037.0)</f>
        <v>46037</v>
      </c>
      <c r="O531" s="17">
        <v>46040.0</v>
      </c>
      <c r="P531" s="17">
        <f>IFERROR(__xludf.DUMMYFUNCTION("IFERROR(QUERY('Nhật ký nộp hồ sơ '!A:I, ""SELECT I WHERE B = '""&amp;B531&amp;""' ORDER BY A DESC LIMIT 1"", 0))"),46059.0)</f>
        <v>46059</v>
      </c>
      <c r="Q531" s="17">
        <f t="shared" si="2"/>
        <v>46059</v>
      </c>
      <c r="R531" s="16">
        <v>3.0</v>
      </c>
      <c r="S531" s="16"/>
      <c r="T531" s="16"/>
      <c r="U531" s="14"/>
      <c r="V531" s="18" t="s">
        <v>34</v>
      </c>
      <c r="W531" s="16"/>
      <c r="X531" s="16"/>
    </row>
    <row r="532" ht="22.5" customHeight="1">
      <c r="A532" s="11">
        <v>46039.40143900463</v>
      </c>
      <c r="B532" s="12" t="s">
        <v>1218</v>
      </c>
      <c r="C532" s="13" t="s">
        <v>1219</v>
      </c>
      <c r="D532" s="14"/>
      <c r="E532" s="13" t="s">
        <v>53</v>
      </c>
      <c r="F532" s="13" t="s">
        <v>133</v>
      </c>
      <c r="G532" s="20" t="s">
        <v>1220</v>
      </c>
      <c r="H532" s="13" t="s">
        <v>28</v>
      </c>
      <c r="I532" s="13" t="s">
        <v>81</v>
      </c>
      <c r="J532" s="14"/>
      <c r="K532" s="16" t="str">
        <f t="array" ref="K532">IFERROR(VLOOKUP(B532, SORT('Nhật ký nộp hồ sơ '!B:D, 'Nhật ký nộp hồ sơ '!A:A, FALSE), 3, FALSE),"")</f>
        <v>Hủy</v>
      </c>
      <c r="L532" s="16" t="str">
        <f t="shared" si="1"/>
        <v>ĐÃ HỦY</v>
      </c>
      <c r="M532" s="13" t="s">
        <v>56</v>
      </c>
      <c r="N532" s="17">
        <f>IFERROR(__xludf.DUMMYFUNCTION("""COMPUTED_VALUE"""),46039.0)</f>
        <v>46039</v>
      </c>
      <c r="O532" s="17">
        <v>46042.0</v>
      </c>
      <c r="P532" s="17">
        <f>IFERROR(__xludf.DUMMYFUNCTION("IFERROR(QUERY('Nhật ký nộp hồ sơ '!A:I, ""SELECT I WHERE B = '""&amp;B532&amp;""' ORDER BY A DESC LIMIT 1"", 0))"),46164.0)</f>
        <v>46164</v>
      </c>
      <c r="Q532" s="17" t="str">
        <f t="shared" si="2"/>
        <v/>
      </c>
      <c r="R532" s="16">
        <v>1.0</v>
      </c>
      <c r="S532" s="13" t="s">
        <v>1221</v>
      </c>
      <c r="T532" s="16"/>
      <c r="U532" s="14"/>
      <c r="V532" s="18" t="s">
        <v>34</v>
      </c>
      <c r="W532" s="16"/>
      <c r="X532" s="16"/>
    </row>
    <row r="533" ht="22.5" customHeight="1">
      <c r="A533" s="11">
        <v>46039.90995527778</v>
      </c>
      <c r="B533" s="12" t="s">
        <v>1222</v>
      </c>
      <c r="C533" s="13" t="s">
        <v>1223</v>
      </c>
      <c r="D533" s="14"/>
      <c r="E533" s="13" t="s">
        <v>45</v>
      </c>
      <c r="F533" s="13" t="s">
        <v>133</v>
      </c>
      <c r="G533" s="20" t="s">
        <v>1224</v>
      </c>
      <c r="H533" s="13" t="s">
        <v>69</v>
      </c>
      <c r="I533" s="13" t="s">
        <v>659</v>
      </c>
      <c r="J533" s="14"/>
      <c r="K533" s="16" t="str">
        <f t="array" ref="K533">IFERROR(VLOOKUP(B533, SORT('Nhật ký nộp hồ sơ '!B:D, 'Nhật ký nộp hồ sơ '!A:A, FALSE), 3, FALSE),"")</f>
        <v>Hoàn thành</v>
      </c>
      <c r="L533" s="16" t="str">
        <f t="shared" si="1"/>
        <v>Hoàn thành</v>
      </c>
      <c r="M533" s="13" t="s">
        <v>216</v>
      </c>
      <c r="N533" s="17">
        <f>IFERROR(__xludf.DUMMYFUNCTION("""COMPUTED_VALUE"""),46039.0)</f>
        <v>46039</v>
      </c>
      <c r="O533" s="17">
        <v>46042.0</v>
      </c>
      <c r="P533" s="17">
        <f>IFERROR(__xludf.DUMMYFUNCTION("IFERROR(QUERY('Nhật ký nộp hồ sơ '!A:I, ""SELECT I WHERE B = '""&amp;B533&amp;""' ORDER BY A DESC LIMIT 1"", 0))"),46039.0)</f>
        <v>46039</v>
      </c>
      <c r="Q533" s="17">
        <f t="shared" si="2"/>
        <v>46039</v>
      </c>
      <c r="R533" s="16">
        <v>1.0</v>
      </c>
      <c r="S533" s="16"/>
      <c r="T533" s="16"/>
      <c r="U533" s="14"/>
      <c r="V533" s="18" t="s">
        <v>34</v>
      </c>
      <c r="W533" s="13">
        <v>4.0</v>
      </c>
      <c r="X533" s="13" t="s">
        <v>1188</v>
      </c>
    </row>
    <row r="534" ht="22.5" customHeight="1">
      <c r="A534" s="11">
        <v>46040.48284827547</v>
      </c>
      <c r="B534" s="12" t="s">
        <v>1225</v>
      </c>
      <c r="C534" s="13" t="s">
        <v>1226</v>
      </c>
      <c r="D534" s="14"/>
      <c r="E534" s="13" t="s">
        <v>79</v>
      </c>
      <c r="F534" s="13" t="s">
        <v>68</v>
      </c>
      <c r="G534" s="16"/>
      <c r="H534" s="13" t="s">
        <v>28</v>
      </c>
      <c r="I534" s="13" t="s">
        <v>659</v>
      </c>
      <c r="J534" s="14"/>
      <c r="K534" s="16" t="str">
        <f t="array" ref="K534">IFERROR(VLOOKUP(B534, SORT('Nhật ký nộp hồ sơ '!B:D, 'Nhật ký nộp hồ sơ '!A:A, FALSE), 3, FALSE),"")</f>
        <v>Hoàn thành</v>
      </c>
      <c r="L534" s="16" t="str">
        <f t="shared" si="1"/>
        <v>Hoàn thành</v>
      </c>
      <c r="M534" s="13" t="s">
        <v>216</v>
      </c>
      <c r="N534" s="17">
        <f>IFERROR(__xludf.DUMMYFUNCTION("""COMPUTED_VALUE"""),46040.0)</f>
        <v>46040</v>
      </c>
      <c r="O534" s="17">
        <v>46043.0</v>
      </c>
      <c r="P534" s="17">
        <f>IFERROR(__xludf.DUMMYFUNCTION("IFERROR(QUERY('Nhật ký nộp hồ sơ '!A:I, ""SELECT I WHERE B = '""&amp;B534&amp;""' ORDER BY A DESC LIMIT 1"", 0))"),46040.0)</f>
        <v>46040</v>
      </c>
      <c r="Q534" s="17">
        <f t="shared" si="2"/>
        <v>46040</v>
      </c>
      <c r="R534" s="16">
        <v>2.0</v>
      </c>
      <c r="S534" s="13" t="s">
        <v>1227</v>
      </c>
      <c r="T534" s="16"/>
      <c r="U534" s="14"/>
      <c r="V534" s="18" t="s">
        <v>34</v>
      </c>
      <c r="W534" s="13">
        <v>1.0</v>
      </c>
      <c r="X534" s="13" t="s">
        <v>687</v>
      </c>
    </row>
    <row r="535" ht="22.5" customHeight="1">
      <c r="A535" s="35">
        <v>46041.45257814815</v>
      </c>
      <c r="B535" s="12" t="s">
        <v>1228</v>
      </c>
      <c r="C535" s="15" t="s">
        <v>1229</v>
      </c>
      <c r="D535" s="36"/>
      <c r="E535" s="15" t="s">
        <v>122</v>
      </c>
      <c r="F535" s="15" t="s">
        <v>89</v>
      </c>
      <c r="G535" s="37"/>
      <c r="H535" s="15" t="s">
        <v>69</v>
      </c>
      <c r="I535" s="15" t="s">
        <v>659</v>
      </c>
      <c r="J535" s="36"/>
      <c r="K535" s="37" t="str">
        <f t="array" ref="K535">IFERROR(VLOOKUP(B535, SORT('Nhật ký nộp hồ sơ '!B:D, 'Nhật ký nộp hồ sơ '!A:A, FALSE), 3, FALSE),"")</f>
        <v>Hoàn thành</v>
      </c>
      <c r="L535" s="37" t="str">
        <f t="shared" si="1"/>
        <v>Hoàn thành</v>
      </c>
      <c r="M535" s="15" t="s">
        <v>48</v>
      </c>
      <c r="N535" s="38">
        <f>IFERROR(__xludf.DUMMYFUNCTION("""COMPUTED_VALUE"""),46041.0)</f>
        <v>46041</v>
      </c>
      <c r="O535" s="38">
        <v>46044.0</v>
      </c>
      <c r="P535" s="38">
        <f>IFERROR(__xludf.DUMMYFUNCTION("IFERROR(QUERY('Nhật ký nộp hồ sơ '!A:I, ""SELECT I WHERE B = '""&amp;B535&amp;""' ORDER BY A DESC LIMIT 1"", 0))"),46106.0)</f>
        <v>46106</v>
      </c>
      <c r="Q535" s="38">
        <f t="shared" si="2"/>
        <v>46106</v>
      </c>
      <c r="R535" s="37">
        <v>2.0</v>
      </c>
      <c r="S535" s="37"/>
      <c r="T535" s="37"/>
      <c r="U535" s="36"/>
      <c r="V535" s="18" t="s">
        <v>34</v>
      </c>
      <c r="W535" s="37"/>
      <c r="X535" s="37"/>
    </row>
    <row r="536" ht="22.5" customHeight="1">
      <c r="A536" s="35">
        <v>46041.595984872685</v>
      </c>
      <c r="B536" s="12" t="s">
        <v>1230</v>
      </c>
      <c r="C536" s="15" t="s">
        <v>818</v>
      </c>
      <c r="D536" s="36"/>
      <c r="E536" s="15" t="s">
        <v>74</v>
      </c>
      <c r="F536" s="15" t="s">
        <v>89</v>
      </c>
      <c r="G536" s="37"/>
      <c r="H536" s="15" t="s">
        <v>69</v>
      </c>
      <c r="I536" s="15" t="s">
        <v>81</v>
      </c>
      <c r="J536" s="36"/>
      <c r="K536" s="37" t="str">
        <f t="array" ref="K536">IFERROR(VLOOKUP(B536, SORT('Nhật ký nộp hồ sơ '!B:D, 'Nhật ký nộp hồ sơ '!A:A, FALSE), 3, FALSE),"")</f>
        <v>Hoàn thành</v>
      </c>
      <c r="L536" s="37" t="str">
        <f t="shared" si="1"/>
        <v>Hoàn thành</v>
      </c>
      <c r="M536" s="15" t="s">
        <v>41</v>
      </c>
      <c r="N536" s="38">
        <f>IFERROR(__xludf.DUMMYFUNCTION("""COMPUTED_VALUE"""),46041.0)</f>
        <v>46041</v>
      </c>
      <c r="O536" s="38">
        <v>46044.0</v>
      </c>
      <c r="P536" s="38">
        <f>IFERROR(__xludf.DUMMYFUNCTION("IFERROR(QUERY('Nhật ký nộp hồ sơ '!A:I, ""SELECT I WHERE B = '""&amp;B536&amp;""' ORDER BY A DESC LIMIT 1"", 0))"),46041.0)</f>
        <v>46041</v>
      </c>
      <c r="Q536" s="38">
        <f t="shared" si="2"/>
        <v>46041</v>
      </c>
      <c r="R536" s="37">
        <v>2.0</v>
      </c>
      <c r="S536" s="37"/>
      <c r="T536" s="37"/>
      <c r="U536" s="36"/>
      <c r="V536" s="18" t="s">
        <v>34</v>
      </c>
      <c r="W536" s="37"/>
      <c r="X536" s="37"/>
    </row>
    <row r="537" ht="22.5" customHeight="1">
      <c r="A537" s="35">
        <v>46041.628245740736</v>
      </c>
      <c r="B537" s="12" t="s">
        <v>1231</v>
      </c>
      <c r="C537" s="15" t="s">
        <v>1232</v>
      </c>
      <c r="D537" s="39" t="s">
        <v>44</v>
      </c>
      <c r="E537" s="15" t="s">
        <v>26</v>
      </c>
      <c r="F537" s="15" t="s">
        <v>133</v>
      </c>
      <c r="G537" s="37"/>
      <c r="H537" s="15" t="s">
        <v>47</v>
      </c>
      <c r="I537" s="15" t="s">
        <v>81</v>
      </c>
      <c r="J537" s="36"/>
      <c r="K537" s="37" t="str">
        <f t="array" ref="K537">IFERROR(VLOOKUP(B537, SORT('Nhật ký nộp hồ sơ '!B:D, 'Nhật ký nộp hồ sơ '!A:A, FALSE), 3, FALSE),"")</f>
        <v>Hoàn thành</v>
      </c>
      <c r="L537" s="37" t="str">
        <f t="shared" si="1"/>
        <v>Hoàn thành</v>
      </c>
      <c r="M537" s="15" t="s">
        <v>41</v>
      </c>
      <c r="N537" s="38">
        <f>IFERROR(__xludf.DUMMYFUNCTION("""COMPUTED_VALUE"""),46041.0)</f>
        <v>46041</v>
      </c>
      <c r="O537" s="38">
        <v>46044.0</v>
      </c>
      <c r="P537" s="38">
        <f>IFERROR(__xludf.DUMMYFUNCTION("IFERROR(QUERY('Nhật ký nộp hồ sơ '!A:I, ""SELECT I WHERE B = '""&amp;B537&amp;""' ORDER BY A DESC LIMIT 1"", 0))"),46041.0)</f>
        <v>46041</v>
      </c>
      <c r="Q537" s="38">
        <f t="shared" si="2"/>
        <v>46041</v>
      </c>
      <c r="R537" s="37">
        <v>2.0</v>
      </c>
      <c r="S537" s="15" t="s">
        <v>1233</v>
      </c>
      <c r="T537" s="37"/>
      <c r="U537" s="36"/>
      <c r="V537" s="18" t="s">
        <v>34</v>
      </c>
      <c r="W537" s="37"/>
      <c r="X537" s="37"/>
    </row>
    <row r="538" ht="22.5" customHeight="1">
      <c r="A538" s="35">
        <v>46041.67059346064</v>
      </c>
      <c r="B538" s="12" t="s">
        <v>1234</v>
      </c>
      <c r="C538" s="15" t="s">
        <v>1235</v>
      </c>
      <c r="D538" s="36"/>
      <c r="E538" s="15" t="s">
        <v>187</v>
      </c>
      <c r="F538" s="15" t="s">
        <v>92</v>
      </c>
      <c r="G538" s="37"/>
      <c r="H538" s="15" t="s">
        <v>47</v>
      </c>
      <c r="I538" s="15" t="s">
        <v>81</v>
      </c>
      <c r="J538" s="36"/>
      <c r="K538" s="37" t="str">
        <f t="array" ref="K538">IFERROR(VLOOKUP(B538, SORT('Nhật ký nộp hồ sơ '!B:D, 'Nhật ký nộp hồ sơ '!A:A, FALSE), 3, FALSE),"")</f>
        <v>Hoàn thành</v>
      </c>
      <c r="L538" s="37" t="str">
        <f t="shared" si="1"/>
        <v>Hoàn thành</v>
      </c>
      <c r="M538" s="15" t="s">
        <v>48</v>
      </c>
      <c r="N538" s="38">
        <f>IFERROR(__xludf.DUMMYFUNCTION("""COMPUTED_VALUE"""),46041.0)</f>
        <v>46041</v>
      </c>
      <c r="O538" s="38">
        <v>46044.0</v>
      </c>
      <c r="P538" s="38">
        <f>IFERROR(__xludf.DUMMYFUNCTION("IFERROR(QUERY('Nhật ký nộp hồ sơ '!A:I, ""SELECT I WHERE B = '""&amp;B538&amp;""' ORDER BY A DESC LIMIT 1"", 0))"),46108.0)</f>
        <v>46108</v>
      </c>
      <c r="Q538" s="38">
        <f t="shared" si="2"/>
        <v>46108</v>
      </c>
      <c r="R538" s="37">
        <v>1.0</v>
      </c>
      <c r="S538" s="37"/>
      <c r="T538" s="37"/>
      <c r="U538" s="36"/>
      <c r="V538" s="18" t="s">
        <v>34</v>
      </c>
      <c r="W538" s="37"/>
      <c r="X538" s="37"/>
    </row>
    <row r="539" ht="22.5" customHeight="1">
      <c r="A539" s="35">
        <v>46042.39082291667</v>
      </c>
      <c r="B539" s="12" t="s">
        <v>1236</v>
      </c>
      <c r="C539" s="15" t="s">
        <v>1237</v>
      </c>
      <c r="D539" s="36"/>
      <c r="E539" s="15" t="s">
        <v>26</v>
      </c>
      <c r="F539" s="15" t="s">
        <v>191</v>
      </c>
      <c r="G539" s="37"/>
      <c r="H539" s="15" t="s">
        <v>29</v>
      </c>
      <c r="I539" s="15" t="s">
        <v>659</v>
      </c>
      <c r="J539" s="36"/>
      <c r="K539" s="37" t="str">
        <f t="array" ref="K539">IFERROR(VLOOKUP(B539, SORT('Nhật ký nộp hồ sơ '!B:D, 'Nhật ký nộp hồ sơ '!A:A, FALSE), 3, FALSE),"")</f>
        <v>Hoàn thành</v>
      </c>
      <c r="L539" s="37" t="str">
        <f t="shared" si="1"/>
        <v>Hoàn thành</v>
      </c>
      <c r="M539" s="15" t="s">
        <v>41</v>
      </c>
      <c r="N539" s="38">
        <f>IFERROR(__xludf.DUMMYFUNCTION("""COMPUTED_VALUE"""),46042.0)</f>
        <v>46042</v>
      </c>
      <c r="O539" s="38">
        <v>46045.0</v>
      </c>
      <c r="P539" s="38">
        <f>IFERROR(__xludf.DUMMYFUNCTION("IFERROR(QUERY('Nhật ký nộp hồ sơ '!A:I, ""SELECT I WHERE B = '""&amp;B539&amp;""' ORDER BY A DESC LIMIT 1"", 0))"),46042.0)</f>
        <v>46042</v>
      </c>
      <c r="Q539" s="38">
        <f t="shared" si="2"/>
        <v>46042</v>
      </c>
      <c r="R539" s="37">
        <v>2.0</v>
      </c>
      <c r="S539" s="37"/>
      <c r="T539" s="37"/>
      <c r="U539" s="36"/>
      <c r="V539" s="18" t="s">
        <v>34</v>
      </c>
      <c r="W539" s="37"/>
      <c r="X539" s="37"/>
    </row>
    <row r="540" ht="22.5" customHeight="1">
      <c r="A540" s="35">
        <v>46043.49049340277</v>
      </c>
      <c r="B540" s="12" t="s">
        <v>1238</v>
      </c>
      <c r="C540" s="15" t="s">
        <v>1013</v>
      </c>
      <c r="D540" s="39" t="s">
        <v>44</v>
      </c>
      <c r="E540" s="15" t="s">
        <v>79</v>
      </c>
      <c r="F540" s="15" t="s">
        <v>92</v>
      </c>
      <c r="G540" s="37"/>
      <c r="H540" s="15" t="s">
        <v>29</v>
      </c>
      <c r="I540" s="15" t="s">
        <v>81</v>
      </c>
      <c r="J540" s="36"/>
      <c r="K540" s="37" t="str">
        <f t="array" ref="K540">IFERROR(VLOOKUP(B540, SORT('Nhật ký nộp hồ sơ '!B:D, 'Nhật ký nộp hồ sơ '!A:A, FALSE), 3, FALSE),"")</f>
        <v>Hoàn thành</v>
      </c>
      <c r="L540" s="37" t="str">
        <f t="shared" si="1"/>
        <v>Hoàn thành</v>
      </c>
      <c r="M540" s="15" t="s">
        <v>56</v>
      </c>
      <c r="N540" s="38">
        <f>IFERROR(__xludf.DUMMYFUNCTION("""COMPUTED_VALUE"""),46043.0)</f>
        <v>46043</v>
      </c>
      <c r="O540" s="38">
        <v>46046.0</v>
      </c>
      <c r="P540" s="38">
        <f>IFERROR(__xludf.DUMMYFUNCTION("IFERROR(QUERY('Nhật ký nộp hồ sơ '!A:I, ""SELECT I WHERE B = '""&amp;B540&amp;""' ORDER BY A DESC LIMIT 1"", 0))"),46053.0)</f>
        <v>46053</v>
      </c>
      <c r="Q540" s="38">
        <f t="shared" si="2"/>
        <v>46053</v>
      </c>
      <c r="R540" s="37">
        <v>1.0</v>
      </c>
      <c r="S540" s="37"/>
      <c r="T540" s="37"/>
      <c r="U540" s="36"/>
      <c r="V540" s="18" t="s">
        <v>34</v>
      </c>
      <c r="W540" s="37"/>
      <c r="X540" s="37"/>
    </row>
    <row r="541" ht="22.5" customHeight="1">
      <c r="A541" s="35">
        <v>46043.49146232639</v>
      </c>
      <c r="B541" s="12" t="s">
        <v>1239</v>
      </c>
      <c r="C541" s="15" t="s">
        <v>1130</v>
      </c>
      <c r="D541" s="36"/>
      <c r="E541" s="15" t="s">
        <v>79</v>
      </c>
      <c r="F541" s="15" t="s">
        <v>481</v>
      </c>
      <c r="G541" s="37"/>
      <c r="H541" s="15" t="s">
        <v>29</v>
      </c>
      <c r="I541" s="15" t="s">
        <v>81</v>
      </c>
      <c r="J541" s="36"/>
      <c r="K541" s="37" t="str">
        <f t="array" ref="K541">IFERROR(VLOOKUP(B541, SORT('Nhật ký nộp hồ sơ '!B:D, 'Nhật ký nộp hồ sơ '!A:A, FALSE), 3, FALSE),"")</f>
        <v>Hoàn thành</v>
      </c>
      <c r="L541" s="37" t="str">
        <f t="shared" si="1"/>
        <v>Hoàn thành</v>
      </c>
      <c r="M541" s="15" t="s">
        <v>216</v>
      </c>
      <c r="N541" s="38">
        <f>IFERROR(__xludf.DUMMYFUNCTION("""COMPUTED_VALUE"""),46043.0)</f>
        <v>46043</v>
      </c>
      <c r="O541" s="38">
        <v>46046.0</v>
      </c>
      <c r="P541" s="38">
        <f>IFERROR(__xludf.DUMMYFUNCTION("IFERROR(QUERY('Nhật ký nộp hồ sơ '!A:I, ""SELECT I WHERE B = '""&amp;B541&amp;""' ORDER BY A DESC LIMIT 1"", 0))"),46044.0)</f>
        <v>46044</v>
      </c>
      <c r="Q541" s="38">
        <f t="shared" si="2"/>
        <v>46044</v>
      </c>
      <c r="R541" s="37">
        <v>1.0</v>
      </c>
      <c r="S541" s="37"/>
      <c r="T541" s="37"/>
      <c r="U541" s="36"/>
      <c r="V541" s="18" t="s">
        <v>34</v>
      </c>
      <c r="W541" s="15">
        <v>2.0</v>
      </c>
      <c r="X541" s="15" t="s">
        <v>687</v>
      </c>
    </row>
    <row r="542" ht="22.5" customHeight="1">
      <c r="A542" s="35">
        <v>46043.714444375</v>
      </c>
      <c r="B542" s="12" t="s">
        <v>1240</v>
      </c>
      <c r="C542" s="15" t="s">
        <v>1241</v>
      </c>
      <c r="D542" s="36"/>
      <c r="E542" s="15" t="s">
        <v>151</v>
      </c>
      <c r="F542" s="15" t="s">
        <v>89</v>
      </c>
      <c r="G542" s="37"/>
      <c r="H542" s="15" t="s">
        <v>69</v>
      </c>
      <c r="I542" s="15" t="s">
        <v>659</v>
      </c>
      <c r="J542" s="36"/>
      <c r="K542" s="37" t="str">
        <f t="array" ref="K542">IFERROR(VLOOKUP(B542, SORT('Nhật ký nộp hồ sơ '!B:D, 'Nhật ký nộp hồ sơ '!A:A, FALSE), 3, FALSE),"")</f>
        <v>Hoàn thành</v>
      </c>
      <c r="L542" s="37" t="str">
        <f t="shared" si="1"/>
        <v>Hoàn thành</v>
      </c>
      <c r="M542" s="15" t="s">
        <v>48</v>
      </c>
      <c r="N542" s="38">
        <f>IFERROR(__xludf.DUMMYFUNCTION("""COMPUTED_VALUE"""),46043.0)</f>
        <v>46043</v>
      </c>
      <c r="O542" s="38">
        <v>46046.0</v>
      </c>
      <c r="P542" s="38">
        <f>IFERROR(__xludf.DUMMYFUNCTION("IFERROR(QUERY('Nhật ký nộp hồ sơ '!A:I, ""SELECT I WHERE B = '""&amp;B542&amp;""' ORDER BY A DESC LIMIT 1"", 0))"),46120.0)</f>
        <v>46120</v>
      </c>
      <c r="Q542" s="38">
        <f t="shared" si="2"/>
        <v>46120</v>
      </c>
      <c r="R542" s="37">
        <v>2.0</v>
      </c>
      <c r="S542" s="37"/>
      <c r="T542" s="37"/>
      <c r="U542" s="36"/>
      <c r="V542" s="18" t="s">
        <v>34</v>
      </c>
      <c r="W542" s="37"/>
      <c r="X542" s="37"/>
    </row>
    <row r="543" ht="22.5" customHeight="1">
      <c r="A543" s="35">
        <v>46044.71444444444</v>
      </c>
      <c r="B543" s="12" t="s">
        <v>1242</v>
      </c>
      <c r="C543" s="15" t="s">
        <v>1243</v>
      </c>
      <c r="D543" s="36"/>
      <c r="E543" s="15" t="s">
        <v>187</v>
      </c>
      <c r="F543" s="15" t="s">
        <v>414</v>
      </c>
      <c r="G543" s="37"/>
      <c r="H543" s="15" t="s">
        <v>47</v>
      </c>
      <c r="I543" s="15" t="s">
        <v>659</v>
      </c>
      <c r="J543" s="36"/>
      <c r="K543" s="37" t="str">
        <f t="array" ref="K543">IFERROR(VLOOKUP(B543, SORT('Nhật ký nộp hồ sơ '!B:D, 'Nhật ký nộp hồ sơ '!A:A, FALSE), 3, FALSE),"")</f>
        <v>Hoàn thành</v>
      </c>
      <c r="L543" s="37" t="str">
        <f t="shared" si="1"/>
        <v>Hoàn thành</v>
      </c>
      <c r="M543" s="15" t="s">
        <v>56</v>
      </c>
      <c r="N543" s="38">
        <f>IFERROR(__xludf.DUMMYFUNCTION("""COMPUTED_VALUE"""),46044.0)</f>
        <v>46044</v>
      </c>
      <c r="O543" s="38">
        <v>46047.0</v>
      </c>
      <c r="P543" s="38">
        <f>IFERROR(__xludf.DUMMYFUNCTION("IFERROR(QUERY('Nhật ký nộp hồ sơ '!A:I, ""SELECT I WHERE B = '""&amp;B543&amp;""' ORDER BY A DESC LIMIT 1"", 0))"),46055.0)</f>
        <v>46055</v>
      </c>
      <c r="Q543" s="38">
        <f t="shared" si="2"/>
        <v>46055</v>
      </c>
      <c r="R543" s="37">
        <v>1.0</v>
      </c>
      <c r="S543" s="15" t="s">
        <v>1244</v>
      </c>
      <c r="T543" s="37"/>
      <c r="U543" s="36"/>
      <c r="V543" s="18" t="s">
        <v>34</v>
      </c>
      <c r="W543" s="37"/>
      <c r="X543" s="37"/>
    </row>
    <row r="544" ht="22.5" customHeight="1">
      <c r="A544" s="35">
        <v>46045.41687758102</v>
      </c>
      <c r="B544" s="12" t="s">
        <v>1245</v>
      </c>
      <c r="C544" s="15" t="s">
        <v>1243</v>
      </c>
      <c r="D544" s="36"/>
      <c r="E544" s="15" t="s">
        <v>187</v>
      </c>
      <c r="F544" s="15" t="s">
        <v>414</v>
      </c>
      <c r="G544" s="37"/>
      <c r="H544" s="15" t="s">
        <v>29</v>
      </c>
      <c r="I544" s="15" t="s">
        <v>659</v>
      </c>
      <c r="J544" s="36"/>
      <c r="K544" s="37" t="str">
        <f t="array" ref="K544">IFERROR(VLOOKUP(B544, SORT('Nhật ký nộp hồ sơ '!B:D, 'Nhật ký nộp hồ sơ '!A:A, FALSE), 3, FALSE),"")</f>
        <v>Hoàn thành</v>
      </c>
      <c r="L544" s="37" t="str">
        <f t="shared" si="1"/>
        <v>Hoàn thành</v>
      </c>
      <c r="M544" s="15" t="s">
        <v>216</v>
      </c>
      <c r="N544" s="38">
        <f>IFERROR(__xludf.DUMMYFUNCTION("""COMPUTED_VALUE"""),46045.0)</f>
        <v>46045</v>
      </c>
      <c r="O544" s="38">
        <v>46048.0</v>
      </c>
      <c r="P544" s="38">
        <f>IFERROR(__xludf.DUMMYFUNCTION("IFERROR(QUERY('Nhật ký nộp hồ sơ '!A:I, ""SELECT I WHERE B = '""&amp;B544&amp;""' ORDER BY A DESC LIMIT 1"", 0))"),46046.0)</f>
        <v>46046</v>
      </c>
      <c r="Q544" s="38">
        <f t="shared" si="2"/>
        <v>46046</v>
      </c>
      <c r="R544" s="37">
        <v>2.0</v>
      </c>
      <c r="S544" s="37"/>
      <c r="T544" s="37"/>
      <c r="U544" s="36"/>
      <c r="V544" s="18" t="s">
        <v>34</v>
      </c>
      <c r="W544" s="15">
        <v>4.0</v>
      </c>
      <c r="X544" s="15" t="s">
        <v>687</v>
      </c>
    </row>
    <row r="545" ht="22.5" customHeight="1">
      <c r="A545" s="35">
        <v>46045.479156064815</v>
      </c>
      <c r="B545" s="12" t="s">
        <v>1246</v>
      </c>
      <c r="C545" s="15" t="s">
        <v>1247</v>
      </c>
      <c r="D545" s="36"/>
      <c r="E545" s="15" t="s">
        <v>122</v>
      </c>
      <c r="F545" s="15" t="s">
        <v>92</v>
      </c>
      <c r="G545" s="37"/>
      <c r="H545" s="15" t="s">
        <v>29</v>
      </c>
      <c r="I545" s="15" t="s">
        <v>81</v>
      </c>
      <c r="J545" s="36"/>
      <c r="K545" s="37" t="str">
        <f t="array" ref="K545">IFERROR(VLOOKUP(B545, SORT('Nhật ký nộp hồ sơ '!B:D, 'Nhật ký nộp hồ sơ '!A:A, FALSE), 3, FALSE),"")</f>
        <v>Hoàn thành</v>
      </c>
      <c r="L545" s="37" t="str">
        <f t="shared" si="1"/>
        <v>Hoàn thành</v>
      </c>
      <c r="M545" s="15" t="s">
        <v>82</v>
      </c>
      <c r="N545" s="38">
        <f>IFERROR(__xludf.DUMMYFUNCTION("""COMPUTED_VALUE"""),46045.0)</f>
        <v>46045</v>
      </c>
      <c r="O545" s="38">
        <v>46048.0</v>
      </c>
      <c r="P545" s="38">
        <f>IFERROR(__xludf.DUMMYFUNCTION("IFERROR(QUERY('Nhật ký nộp hồ sơ '!A:I, ""SELECT I WHERE B = '""&amp;B545&amp;""' ORDER BY A DESC LIMIT 1"", 0))"),46090.0)</f>
        <v>46090</v>
      </c>
      <c r="Q545" s="38">
        <f t="shared" si="2"/>
        <v>46090</v>
      </c>
      <c r="R545" s="37">
        <v>1.0</v>
      </c>
      <c r="S545" s="37"/>
      <c r="T545" s="37"/>
      <c r="U545" s="36"/>
      <c r="V545" s="18" t="s">
        <v>34</v>
      </c>
      <c r="W545" s="37"/>
      <c r="X545" s="37"/>
    </row>
    <row r="546" ht="22.5" customHeight="1">
      <c r="A546" s="35">
        <v>46045.70519208333</v>
      </c>
      <c r="B546" s="12" t="s">
        <v>1248</v>
      </c>
      <c r="C546" s="15" t="s">
        <v>1249</v>
      </c>
      <c r="D546" s="36"/>
      <c r="E546" s="15" t="s">
        <v>88</v>
      </c>
      <c r="F546" s="15" t="s">
        <v>133</v>
      </c>
      <c r="G546" s="40" t="s">
        <v>1250</v>
      </c>
      <c r="H546" s="15" t="s">
        <v>28</v>
      </c>
      <c r="I546" s="15" t="s">
        <v>81</v>
      </c>
      <c r="J546" s="36"/>
      <c r="K546" s="37" t="str">
        <f t="array" ref="K546">IFERROR(VLOOKUP(B546, SORT('Nhật ký nộp hồ sơ '!B:D, 'Nhật ký nộp hồ sơ '!A:A, FALSE), 3, FALSE),"")</f>
        <v>Nộp thành công - Chờ kết quả</v>
      </c>
      <c r="L546" s="37" t="str">
        <f t="shared" si="1"/>
        <v>Đã nộp</v>
      </c>
      <c r="M546" s="15" t="s">
        <v>56</v>
      </c>
      <c r="N546" s="38">
        <f>IFERROR(__xludf.DUMMYFUNCTION("""COMPUTED_VALUE"""),46045.0)</f>
        <v>46045</v>
      </c>
      <c r="O546" s="38">
        <v>46048.0</v>
      </c>
      <c r="P546" s="38">
        <f>IFERROR(__xludf.DUMMYFUNCTION("IFERROR(QUERY('Nhật ký nộp hồ sơ '!A:I, ""SELECT I WHERE B = '""&amp;B546&amp;""' ORDER BY A DESC LIMIT 1"", 0))"),46056.0)</f>
        <v>46056</v>
      </c>
      <c r="Q546" s="38" t="str">
        <f t="shared" si="2"/>
        <v/>
      </c>
      <c r="R546" s="37">
        <v>1.0</v>
      </c>
      <c r="S546" s="15" t="s">
        <v>1251</v>
      </c>
      <c r="T546" s="37"/>
      <c r="U546" s="36"/>
      <c r="V546" s="18" t="s">
        <v>34</v>
      </c>
      <c r="W546" s="37"/>
      <c r="X546" s="37"/>
    </row>
    <row r="547" ht="22.5" customHeight="1">
      <c r="A547" s="35">
        <v>46046.36613375</v>
      </c>
      <c r="B547" s="12" t="s">
        <v>1252</v>
      </c>
      <c r="C547" s="15" t="s">
        <v>1253</v>
      </c>
      <c r="D547" s="36"/>
      <c r="E547" s="15" t="s">
        <v>53</v>
      </c>
      <c r="F547" s="15" t="s">
        <v>414</v>
      </c>
      <c r="G547" s="37"/>
      <c r="H547" s="15" t="s">
        <v>47</v>
      </c>
      <c r="I547" s="15" t="s">
        <v>659</v>
      </c>
      <c r="J547" s="36"/>
      <c r="K547" s="37" t="str">
        <f t="array" ref="K547">IFERROR(VLOOKUP(B547, SORT('Nhật ký nộp hồ sơ '!B:D, 'Nhật ký nộp hồ sơ '!A:A, FALSE), 3, FALSE),"")</f>
        <v>Hủy</v>
      </c>
      <c r="L547" s="37" t="str">
        <f t="shared" si="1"/>
        <v>ĐÃ HỦY</v>
      </c>
      <c r="M547" s="15" t="s">
        <v>56</v>
      </c>
      <c r="N547" s="38">
        <f>IFERROR(__xludf.DUMMYFUNCTION("""COMPUTED_VALUE"""),46046.0)</f>
        <v>46046</v>
      </c>
      <c r="O547" s="38">
        <v>46049.0</v>
      </c>
      <c r="P547" s="38">
        <f>IFERROR(__xludf.DUMMYFUNCTION("IFERROR(QUERY('Nhật ký nộp hồ sơ '!A:I, ""SELECT I WHERE B = '""&amp;B547&amp;""' ORDER BY A DESC LIMIT 1"", 0))"),46059.0)</f>
        <v>46059</v>
      </c>
      <c r="Q547" s="38" t="str">
        <f t="shared" si="2"/>
        <v/>
      </c>
      <c r="R547" s="37">
        <v>1.0</v>
      </c>
      <c r="S547" s="15" t="s">
        <v>1254</v>
      </c>
      <c r="T547" s="15" t="s">
        <v>1255</v>
      </c>
      <c r="U547" s="36"/>
      <c r="V547" s="18" t="s">
        <v>34</v>
      </c>
      <c r="W547" s="37"/>
      <c r="X547" s="37"/>
    </row>
    <row r="548" ht="22.5" customHeight="1">
      <c r="A548" s="35">
        <v>46046.42414761574</v>
      </c>
      <c r="B548" s="12" t="s">
        <v>1256</v>
      </c>
      <c r="C548" s="15" t="s">
        <v>1257</v>
      </c>
      <c r="D548" s="36"/>
      <c r="E548" s="15" t="s">
        <v>26</v>
      </c>
      <c r="F548" s="15" t="s">
        <v>133</v>
      </c>
      <c r="G548" s="15" t="s">
        <v>1258</v>
      </c>
      <c r="H548" s="15" t="s">
        <v>47</v>
      </c>
      <c r="I548" s="15" t="s">
        <v>81</v>
      </c>
      <c r="J548" s="36"/>
      <c r="K548" s="37" t="str">
        <f t="array" ref="K548">IFERROR(VLOOKUP(B548, SORT('Nhật ký nộp hồ sơ '!B:D, 'Nhật ký nộp hồ sơ '!A:A, FALSE), 3, FALSE),"")</f>
        <v>Nộp thành công - Chờ kết quả</v>
      </c>
      <c r="L548" s="37" t="str">
        <f t="shared" si="1"/>
        <v>Đã nộp</v>
      </c>
      <c r="M548" s="15" t="s">
        <v>82</v>
      </c>
      <c r="N548" s="38">
        <f>IFERROR(__xludf.DUMMYFUNCTION("""COMPUTED_VALUE"""),46046.0)</f>
        <v>46046</v>
      </c>
      <c r="O548" s="38">
        <v>46049.0</v>
      </c>
      <c r="P548" s="38">
        <f>IFERROR(__xludf.DUMMYFUNCTION("IFERROR(QUERY('Nhật ký nộp hồ sơ '!A:I, ""SELECT I WHERE B = '""&amp;B548&amp;""' ORDER BY A DESC LIMIT 1"", 0))"),46056.0)</f>
        <v>46056</v>
      </c>
      <c r="Q548" s="38" t="str">
        <f t="shared" si="2"/>
        <v/>
      </c>
      <c r="R548" s="37">
        <v>1.0</v>
      </c>
      <c r="S548" s="37"/>
      <c r="T548" s="37"/>
      <c r="U548" s="36"/>
      <c r="V548" s="18" t="s">
        <v>34</v>
      </c>
      <c r="W548" s="37"/>
      <c r="X548" s="37"/>
    </row>
    <row r="549" ht="22.5" customHeight="1">
      <c r="A549" s="35">
        <v>46048.43145847222</v>
      </c>
      <c r="B549" s="12" t="s">
        <v>1259</v>
      </c>
      <c r="C549" s="15" t="s">
        <v>1260</v>
      </c>
      <c r="D549" s="36"/>
      <c r="E549" s="15" t="s">
        <v>26</v>
      </c>
      <c r="F549" s="15" t="s">
        <v>89</v>
      </c>
      <c r="G549" s="37"/>
      <c r="H549" s="15" t="s">
        <v>100</v>
      </c>
      <c r="I549" s="15" t="s">
        <v>81</v>
      </c>
      <c r="J549" s="36"/>
      <c r="K549" s="37" t="str">
        <f t="array" ref="K549">IFERROR(VLOOKUP(B549, SORT('Nhật ký nộp hồ sơ '!B:D, 'Nhật ký nộp hồ sơ '!A:A, FALSE), 3, FALSE),"")</f>
        <v>Hoàn thành</v>
      </c>
      <c r="L549" s="37" t="str">
        <f t="shared" si="1"/>
        <v>Hoàn thành</v>
      </c>
      <c r="M549" s="15" t="s">
        <v>588</v>
      </c>
      <c r="N549" s="38">
        <f>IFERROR(__xludf.DUMMYFUNCTION("""COMPUTED_VALUE"""),46048.0)</f>
        <v>46048</v>
      </c>
      <c r="O549" s="38">
        <v>46051.0</v>
      </c>
      <c r="P549" s="38">
        <f>IFERROR(__xludf.DUMMYFUNCTION("IFERROR(QUERY('Nhật ký nộp hồ sơ '!A:I, ""SELECT I WHERE B = '""&amp;B549&amp;""' ORDER BY A DESC LIMIT 1"", 0))"),46084.0)</f>
        <v>46084</v>
      </c>
      <c r="Q549" s="38">
        <f t="shared" si="2"/>
        <v>46084</v>
      </c>
      <c r="R549" s="37">
        <v>1.0</v>
      </c>
      <c r="S549" s="37"/>
      <c r="T549" s="37"/>
      <c r="U549" s="36"/>
      <c r="V549" s="18" t="s">
        <v>34</v>
      </c>
      <c r="W549" s="37"/>
      <c r="X549" s="37"/>
    </row>
    <row r="550" ht="22.5" customHeight="1">
      <c r="A550" s="35">
        <v>46048.432605532405</v>
      </c>
      <c r="B550" s="12" t="s">
        <v>1261</v>
      </c>
      <c r="C550" s="15" t="s">
        <v>1262</v>
      </c>
      <c r="D550" s="36"/>
      <c r="E550" s="15" t="s">
        <v>122</v>
      </c>
      <c r="F550" s="15" t="s">
        <v>338</v>
      </c>
      <c r="G550" s="37"/>
      <c r="H550" s="15" t="s">
        <v>100</v>
      </c>
      <c r="I550" s="15" t="s">
        <v>81</v>
      </c>
      <c r="J550" s="36"/>
      <c r="K550" s="37" t="str">
        <f t="array" ref="K550">IFERROR(VLOOKUP(B550, SORT('Nhật ký nộp hồ sơ '!B:D, 'Nhật ký nộp hồ sơ '!A:A, FALSE), 3, FALSE),"")</f>
        <v>Nộp thành công - Chờ kết quả</v>
      </c>
      <c r="L550" s="37" t="str">
        <f t="shared" si="1"/>
        <v>Đã nộp</v>
      </c>
      <c r="M550" s="15" t="s">
        <v>588</v>
      </c>
      <c r="N550" s="38">
        <f>IFERROR(__xludf.DUMMYFUNCTION("""COMPUTED_VALUE"""),46048.0)</f>
        <v>46048</v>
      </c>
      <c r="O550" s="38">
        <v>46051.0</v>
      </c>
      <c r="P550" s="38">
        <f>IFERROR(__xludf.DUMMYFUNCTION("IFERROR(QUERY('Nhật ký nộp hồ sơ '!A:I, ""SELECT I WHERE B = '""&amp;B550&amp;""' ORDER BY A DESC LIMIT 1"", 0))"),46084.0)</f>
        <v>46084</v>
      </c>
      <c r="Q550" s="38" t="str">
        <f t="shared" si="2"/>
        <v/>
      </c>
      <c r="R550" s="37">
        <v>1.0</v>
      </c>
      <c r="S550" s="37"/>
      <c r="T550" s="37"/>
      <c r="U550" s="36"/>
      <c r="V550" s="18" t="s">
        <v>34</v>
      </c>
      <c r="W550" s="37"/>
      <c r="X550" s="37"/>
    </row>
    <row r="551" ht="22.5" customHeight="1">
      <c r="A551" s="35">
        <v>46048.43340393518</v>
      </c>
      <c r="B551" s="12" t="s">
        <v>1263</v>
      </c>
      <c r="C551" s="15" t="s">
        <v>1264</v>
      </c>
      <c r="D551" s="36"/>
      <c r="E551" s="15" t="s">
        <v>74</v>
      </c>
      <c r="F551" s="15" t="s">
        <v>89</v>
      </c>
      <c r="G551" s="37"/>
      <c r="H551" s="15" t="s">
        <v>100</v>
      </c>
      <c r="I551" s="15" t="s">
        <v>81</v>
      </c>
      <c r="J551" s="36"/>
      <c r="K551" s="37" t="str">
        <f t="array" ref="K551">IFERROR(VLOOKUP(B551, SORT('Nhật ký nộp hồ sơ '!B:D, 'Nhật ký nộp hồ sơ '!A:A, FALSE), 3, FALSE),"")</f>
        <v>Hoàn thành</v>
      </c>
      <c r="L551" s="37" t="str">
        <f t="shared" si="1"/>
        <v>Hoàn thành</v>
      </c>
      <c r="M551" s="15" t="s">
        <v>588</v>
      </c>
      <c r="N551" s="38">
        <f>IFERROR(__xludf.DUMMYFUNCTION("""COMPUTED_VALUE"""),46048.0)</f>
        <v>46048</v>
      </c>
      <c r="O551" s="38">
        <v>46051.0</v>
      </c>
      <c r="P551" s="38">
        <f>IFERROR(__xludf.DUMMYFUNCTION("IFERROR(QUERY('Nhật ký nộp hồ sơ '!A:I, ""SELECT I WHERE B = '""&amp;B551&amp;""' ORDER BY A DESC LIMIT 1"", 0))"),46084.0)</f>
        <v>46084</v>
      </c>
      <c r="Q551" s="38">
        <f t="shared" si="2"/>
        <v>46084</v>
      </c>
      <c r="R551" s="37">
        <v>2.0</v>
      </c>
      <c r="S551" s="37"/>
      <c r="T551" s="37"/>
      <c r="U551" s="36"/>
      <c r="V551" s="18" t="s">
        <v>34</v>
      </c>
      <c r="W551" s="37"/>
      <c r="X551" s="37"/>
    </row>
    <row r="552" ht="22.5" customHeight="1">
      <c r="A552" s="35">
        <v>46049.37067488426</v>
      </c>
      <c r="B552" s="12" t="s">
        <v>1265</v>
      </c>
      <c r="C552" s="15" t="s">
        <v>1266</v>
      </c>
      <c r="D552" s="36"/>
      <c r="E552" s="15" t="s">
        <v>53</v>
      </c>
      <c r="F552" s="15" t="s">
        <v>191</v>
      </c>
      <c r="G552" s="37"/>
      <c r="H552" s="15" t="s">
        <v>29</v>
      </c>
      <c r="I552" s="15" t="s">
        <v>659</v>
      </c>
      <c r="J552" s="36"/>
      <c r="K552" s="37" t="str">
        <f t="array" ref="K552">IFERROR(VLOOKUP(B552, SORT('Nhật ký nộp hồ sơ '!B:D, 'Nhật ký nộp hồ sơ '!A:A, FALSE), 3, FALSE),"")</f>
        <v>Hoàn thành</v>
      </c>
      <c r="L552" s="37" t="str">
        <f t="shared" si="1"/>
        <v>Hoàn thành</v>
      </c>
      <c r="M552" s="15" t="s">
        <v>216</v>
      </c>
      <c r="N552" s="38">
        <f>IFERROR(__xludf.DUMMYFUNCTION("""COMPUTED_VALUE"""),46049.0)</f>
        <v>46049</v>
      </c>
      <c r="O552" s="38">
        <v>46052.0</v>
      </c>
      <c r="P552" s="38">
        <f>IFERROR(__xludf.DUMMYFUNCTION("IFERROR(QUERY('Nhật ký nộp hồ sơ '!A:I, ""SELECT I WHERE B = '""&amp;B552&amp;""' ORDER BY A DESC LIMIT 1"", 0))"),46049.0)</f>
        <v>46049</v>
      </c>
      <c r="Q552" s="38">
        <f t="shared" si="2"/>
        <v>46049</v>
      </c>
      <c r="R552" s="37">
        <v>1.0</v>
      </c>
      <c r="S552" s="37"/>
      <c r="T552" s="37"/>
      <c r="U552" s="36"/>
      <c r="V552" s="18" t="s">
        <v>34</v>
      </c>
      <c r="W552" s="15">
        <v>5.0</v>
      </c>
      <c r="X552" s="15" t="s">
        <v>1188</v>
      </c>
    </row>
    <row r="553" ht="22.5" customHeight="1">
      <c r="A553" s="35">
        <v>46049.37126989583</v>
      </c>
      <c r="B553" s="12" t="s">
        <v>1267</v>
      </c>
      <c r="C553" s="15" t="s">
        <v>1266</v>
      </c>
      <c r="D553" s="36"/>
      <c r="E553" s="15" t="s">
        <v>53</v>
      </c>
      <c r="F553" s="15" t="s">
        <v>191</v>
      </c>
      <c r="G553" s="37"/>
      <c r="H553" s="15" t="s">
        <v>29</v>
      </c>
      <c r="I553" s="15" t="s">
        <v>659</v>
      </c>
      <c r="J553" s="36"/>
      <c r="K553" s="37" t="str">
        <f t="array" ref="K553">IFERROR(VLOOKUP(B553, SORT('Nhật ký nộp hồ sơ '!B:D, 'Nhật ký nộp hồ sơ '!A:A, FALSE), 3, FALSE),"")</f>
        <v>Nộp thành công - Chờ kết quả</v>
      </c>
      <c r="L553" s="37" t="str">
        <f t="shared" si="1"/>
        <v>Đã nộp</v>
      </c>
      <c r="M553" s="15" t="s">
        <v>181</v>
      </c>
      <c r="N553" s="38">
        <f>IFERROR(__xludf.DUMMYFUNCTION("""COMPUTED_VALUE"""),46049.0)</f>
        <v>46049</v>
      </c>
      <c r="O553" s="38">
        <v>46052.0</v>
      </c>
      <c r="P553" s="38">
        <f>IFERROR(__xludf.DUMMYFUNCTION("IFERROR(QUERY('Nhật ký nộp hồ sơ '!A:I, ""SELECT I WHERE B = '""&amp;B553&amp;""' ORDER BY A DESC LIMIT 1"", 0))"),46191.0)</f>
        <v>46191</v>
      </c>
      <c r="Q553" s="38" t="str">
        <f t="shared" si="2"/>
        <v/>
      </c>
      <c r="R553" s="37">
        <v>2.0</v>
      </c>
      <c r="S553" s="37"/>
      <c r="T553" s="37"/>
      <c r="U553" s="36"/>
      <c r="V553" s="18" t="s">
        <v>34</v>
      </c>
      <c r="W553" s="37"/>
      <c r="X553" s="37"/>
    </row>
    <row r="554" ht="22.5" customHeight="1">
      <c r="A554" s="35">
        <v>46049.48156478009</v>
      </c>
      <c r="B554" s="12" t="s">
        <v>1268</v>
      </c>
      <c r="C554" s="15" t="s">
        <v>1269</v>
      </c>
      <c r="D554" s="36"/>
      <c r="E554" s="15" t="s">
        <v>74</v>
      </c>
      <c r="F554" s="15" t="s">
        <v>133</v>
      </c>
      <c r="G554" s="40" t="s">
        <v>1270</v>
      </c>
      <c r="H554" s="15" t="s">
        <v>69</v>
      </c>
      <c r="I554" s="15" t="s">
        <v>659</v>
      </c>
      <c r="J554" s="36"/>
      <c r="K554" s="37" t="str">
        <f t="array" ref="K554">IFERROR(VLOOKUP(B554, SORT('Nhật ký nộp hồ sơ '!B:D, 'Nhật ký nộp hồ sơ '!A:A, FALSE), 3, FALSE),"")</f>
        <v>Nộp thành công - Chờ kết quả</v>
      </c>
      <c r="L554" s="37" t="str">
        <f t="shared" si="1"/>
        <v>Đã nộp</v>
      </c>
      <c r="M554" s="15" t="s">
        <v>135</v>
      </c>
      <c r="N554" s="38">
        <f>IFERROR(__xludf.DUMMYFUNCTION("""COMPUTED_VALUE"""),46049.0)</f>
        <v>46049</v>
      </c>
      <c r="O554" s="38">
        <v>46052.0</v>
      </c>
      <c r="P554" s="38">
        <f>IFERROR(__xludf.DUMMYFUNCTION("IFERROR(QUERY('Nhật ký nộp hồ sơ '!A:I, ""SELECT I WHERE B = '""&amp;B554&amp;""' ORDER BY A DESC LIMIT 1"", 0))"),46050.0)</f>
        <v>46050</v>
      </c>
      <c r="Q554" s="38" t="str">
        <f t="shared" si="2"/>
        <v/>
      </c>
      <c r="R554" s="37">
        <v>1.0</v>
      </c>
      <c r="S554" s="37"/>
      <c r="T554" s="37"/>
      <c r="U554" s="36"/>
      <c r="V554" s="18" t="s">
        <v>34</v>
      </c>
      <c r="W554" s="37"/>
      <c r="X554" s="37"/>
    </row>
    <row r="555" ht="22.5" customHeight="1">
      <c r="A555" s="35">
        <v>46049.482726111106</v>
      </c>
      <c r="B555" s="12" t="s">
        <v>1271</v>
      </c>
      <c r="C555" s="15" t="s">
        <v>1269</v>
      </c>
      <c r="D555" s="36"/>
      <c r="E555" s="15" t="s">
        <v>74</v>
      </c>
      <c r="F555" s="15" t="s">
        <v>133</v>
      </c>
      <c r="G555" s="40" t="s">
        <v>1270</v>
      </c>
      <c r="H555" s="15" t="s">
        <v>69</v>
      </c>
      <c r="I555" s="15" t="s">
        <v>81</v>
      </c>
      <c r="J555" s="36"/>
      <c r="K555" s="37" t="str">
        <f t="array" ref="K555">IFERROR(VLOOKUP(B555, SORT('Nhật ký nộp hồ sơ '!B:D, 'Nhật ký nộp hồ sơ '!A:A, FALSE), 3, FALSE),"")</f>
        <v>Nộp thành công - Chờ kết quả</v>
      </c>
      <c r="L555" s="37" t="str">
        <f t="shared" si="1"/>
        <v>Đã nộp</v>
      </c>
      <c r="M555" s="15" t="s">
        <v>135</v>
      </c>
      <c r="N555" s="38">
        <f>IFERROR(__xludf.DUMMYFUNCTION("""COMPUTED_VALUE"""),46049.0)</f>
        <v>46049</v>
      </c>
      <c r="O555" s="38">
        <v>46052.0</v>
      </c>
      <c r="P555" s="38">
        <f>IFERROR(__xludf.DUMMYFUNCTION("IFERROR(QUERY('Nhật ký nộp hồ sơ '!A:I, ""SELECT I WHERE B = '""&amp;B555&amp;""' ORDER BY A DESC LIMIT 1"", 0))"),46050.0)</f>
        <v>46050</v>
      </c>
      <c r="Q555" s="38" t="str">
        <f t="shared" si="2"/>
        <v/>
      </c>
      <c r="R555" s="37">
        <v>4.0</v>
      </c>
      <c r="S555" s="37"/>
      <c r="T555" s="37"/>
      <c r="U555" s="36"/>
      <c r="V555" s="18" t="s">
        <v>34</v>
      </c>
      <c r="W555" s="37"/>
      <c r="X555" s="37"/>
    </row>
    <row r="556" ht="22.5" customHeight="1">
      <c r="A556" s="35">
        <v>46050.51825018518</v>
      </c>
      <c r="B556" s="12" t="s">
        <v>1272</v>
      </c>
      <c r="C556" s="15" t="s">
        <v>252</v>
      </c>
      <c r="D556" s="36"/>
      <c r="E556" s="15" t="s">
        <v>132</v>
      </c>
      <c r="F556" s="15" t="s">
        <v>133</v>
      </c>
      <c r="G556" s="37"/>
      <c r="H556" s="15" t="s">
        <v>29</v>
      </c>
      <c r="I556" s="13" t="s">
        <v>100</v>
      </c>
      <c r="J556" s="36"/>
      <c r="K556" s="16" t="str">
        <f t="array" ref="K556">IFERROR(VLOOKUP(B556, SORT('Nhật ký nộp hồ sơ '!B:D, 'Nhật ký nộp hồ sơ '!A:A, FALSE), 3, FALSE),"")</f>
        <v>Nộp thành công - Chờ kết quả</v>
      </c>
      <c r="L556" s="37" t="str">
        <f t="shared" si="1"/>
        <v>Đã nộp</v>
      </c>
      <c r="M556" s="15" t="s">
        <v>48</v>
      </c>
      <c r="N556" s="38">
        <f>IFERROR(__xludf.DUMMYFUNCTION("""COMPUTED_VALUE"""),46050.0)</f>
        <v>46050</v>
      </c>
      <c r="O556" s="38">
        <v>46053.0</v>
      </c>
      <c r="P556" s="38">
        <f>IFERROR(__xludf.DUMMYFUNCTION("IFERROR(QUERY('Nhật ký nộp hồ sơ '!A:I, ""SELECT I WHERE B = '""&amp;B556&amp;""' ORDER BY A DESC LIMIT 1"", 0))"),46083.0)</f>
        <v>46083</v>
      </c>
      <c r="Q556" s="38" t="str">
        <f t="shared" si="2"/>
        <v/>
      </c>
      <c r="R556" s="37">
        <v>1.0</v>
      </c>
      <c r="S556" s="37"/>
      <c r="T556" s="37"/>
      <c r="U556" s="36"/>
      <c r="V556" s="18" t="s">
        <v>34</v>
      </c>
      <c r="W556" s="37"/>
      <c r="X556" s="37"/>
    </row>
    <row r="557" ht="22.5" customHeight="1">
      <c r="A557" s="35">
        <v>46050.57849796297</v>
      </c>
      <c r="B557" s="12" t="s">
        <v>1273</v>
      </c>
      <c r="C557" s="15" t="s">
        <v>1274</v>
      </c>
      <c r="D557" s="36"/>
      <c r="E557" s="15" t="s">
        <v>45</v>
      </c>
      <c r="F557" s="15" t="s">
        <v>1275</v>
      </c>
      <c r="G557" s="37"/>
      <c r="H557" s="15" t="s">
        <v>69</v>
      </c>
      <c r="I557" s="15" t="s">
        <v>659</v>
      </c>
      <c r="J557" s="36"/>
      <c r="K557" s="37" t="str">
        <f t="array" ref="K557">IFERROR(VLOOKUP(B557, SORT('Nhật ký nộp hồ sơ '!B:D, 'Nhật ký nộp hồ sơ '!A:A, FALSE), 3, FALSE),"")</f>
        <v>Hủy</v>
      </c>
      <c r="L557" s="37" t="str">
        <f t="shared" si="1"/>
        <v>ĐÃ HỦY</v>
      </c>
      <c r="M557" s="15" t="s">
        <v>135</v>
      </c>
      <c r="N557" s="38">
        <f>IFERROR(__xludf.DUMMYFUNCTION("""COMPUTED_VALUE"""),46050.0)</f>
        <v>46050</v>
      </c>
      <c r="O557" s="38">
        <v>46053.0</v>
      </c>
      <c r="P557" s="38">
        <f>IFERROR(__xludf.DUMMYFUNCTION("IFERROR(QUERY('Nhật ký nộp hồ sơ '!A:I, ""SELECT I WHERE B = '""&amp;B557&amp;""' ORDER BY A DESC LIMIT 1"", 0))"),46051.0)</f>
        <v>46051</v>
      </c>
      <c r="Q557" s="38" t="str">
        <f t="shared" si="2"/>
        <v/>
      </c>
      <c r="R557" s="37">
        <v>1.0</v>
      </c>
      <c r="S557" s="37"/>
      <c r="T557" s="37"/>
      <c r="U557" s="36"/>
      <c r="V557" s="18" t="s">
        <v>34</v>
      </c>
      <c r="W557" s="37"/>
      <c r="X557" s="37"/>
    </row>
    <row r="558" ht="22.5" customHeight="1">
      <c r="A558" s="35">
        <v>46050.64327971065</v>
      </c>
      <c r="B558" s="12" t="s">
        <v>1276</v>
      </c>
      <c r="C558" s="15" t="s">
        <v>1277</v>
      </c>
      <c r="D558" s="39" t="s">
        <v>44</v>
      </c>
      <c r="E558" s="13" t="s">
        <v>62</v>
      </c>
      <c r="F558" s="15" t="s">
        <v>133</v>
      </c>
      <c r="G558" s="40" t="s">
        <v>1278</v>
      </c>
      <c r="H558" s="15" t="s">
        <v>47</v>
      </c>
      <c r="I558" s="15" t="s">
        <v>81</v>
      </c>
      <c r="J558" s="36"/>
      <c r="K558" s="37" t="str">
        <f t="array" ref="K558">IFERROR(VLOOKUP(B558, SORT('Nhật ký nộp hồ sơ '!B:D, 'Nhật ký nộp hồ sơ '!A:A, FALSE), 3, FALSE),"")</f>
        <v>Hoàn thành</v>
      </c>
      <c r="L558" s="37" t="str">
        <f t="shared" si="1"/>
        <v>Hoàn thành</v>
      </c>
      <c r="M558" s="15" t="s">
        <v>30</v>
      </c>
      <c r="N558" s="38">
        <f>IFERROR(__xludf.DUMMYFUNCTION("""COMPUTED_VALUE"""),46050.0)</f>
        <v>46050</v>
      </c>
      <c r="O558" s="38">
        <v>46053.0</v>
      </c>
      <c r="P558" s="38">
        <f>IFERROR(__xludf.DUMMYFUNCTION("IFERROR(QUERY('Nhật ký nộp hồ sơ '!A:I, ""SELECT I WHERE B = '""&amp;B558&amp;""' ORDER BY A DESC LIMIT 1"", 0))"),46059.0)</f>
        <v>46059</v>
      </c>
      <c r="Q558" s="38">
        <f t="shared" si="2"/>
        <v>46059</v>
      </c>
      <c r="R558" s="37">
        <v>3.0</v>
      </c>
      <c r="S558" s="37"/>
      <c r="T558" s="37"/>
      <c r="U558" s="36"/>
      <c r="V558" s="18" t="s">
        <v>34</v>
      </c>
      <c r="W558" s="37"/>
      <c r="X558" s="37"/>
    </row>
    <row r="559" ht="22.5" customHeight="1">
      <c r="A559" s="35">
        <v>46051.664051354164</v>
      </c>
      <c r="B559" s="12" t="s">
        <v>1279</v>
      </c>
      <c r="C559" s="15" t="s">
        <v>1280</v>
      </c>
      <c r="D559" s="36"/>
      <c r="E559" s="27" t="s">
        <v>222</v>
      </c>
      <c r="F559" s="15" t="s">
        <v>133</v>
      </c>
      <c r="G559" s="40" t="s">
        <v>832</v>
      </c>
      <c r="H559" s="15" t="s">
        <v>29</v>
      </c>
      <c r="I559" s="15" t="s">
        <v>659</v>
      </c>
      <c r="J559" s="39" t="s">
        <v>202</v>
      </c>
      <c r="K559" s="37" t="str">
        <f t="array" ref="K559">IFERROR(VLOOKUP(B559, SORT('Nhật ký nộp hồ sơ '!B:D, 'Nhật ký nộp hồ sơ '!A:A, FALSE), 3, FALSE),"")</f>
        <v>Hoàn thành</v>
      </c>
      <c r="L559" s="37" t="str">
        <f t="shared" si="1"/>
        <v>Hoàn thành</v>
      </c>
      <c r="M559" s="15" t="s">
        <v>216</v>
      </c>
      <c r="N559" s="38">
        <f>IFERROR(__xludf.DUMMYFUNCTION("""COMPUTED_VALUE"""),46051.0)</f>
        <v>46051</v>
      </c>
      <c r="O559" s="38">
        <v>46052.0</v>
      </c>
      <c r="P559" s="38">
        <f>IFERROR(__xludf.DUMMYFUNCTION("IFERROR(QUERY('Nhật ký nộp hồ sơ '!A:I, ""SELECT I WHERE B = '""&amp;B559&amp;""' ORDER BY A DESC LIMIT 1"", 0))"),46052.0)</f>
        <v>46052</v>
      </c>
      <c r="Q559" s="38">
        <f t="shared" si="2"/>
        <v>46052</v>
      </c>
      <c r="R559" s="37">
        <v>2.0</v>
      </c>
      <c r="S559" s="37"/>
      <c r="T559" s="37"/>
      <c r="U559" s="36"/>
      <c r="V559" s="18" t="s">
        <v>34</v>
      </c>
      <c r="W559" s="15">
        <v>10.0</v>
      </c>
      <c r="X559" s="15" t="s">
        <v>1188</v>
      </c>
    </row>
    <row r="560" ht="22.5" customHeight="1">
      <c r="A560" s="35">
        <v>46051.66495225695</v>
      </c>
      <c r="B560" s="12" t="s">
        <v>1281</v>
      </c>
      <c r="C560" s="15" t="s">
        <v>1282</v>
      </c>
      <c r="D560" s="36"/>
      <c r="E560" s="15" t="s">
        <v>26</v>
      </c>
      <c r="F560" s="15" t="s">
        <v>92</v>
      </c>
      <c r="G560" s="37"/>
      <c r="H560" s="15" t="s">
        <v>29</v>
      </c>
      <c r="I560" s="15" t="s">
        <v>659</v>
      </c>
      <c r="J560" s="36"/>
      <c r="K560" s="37" t="str">
        <f t="array" ref="K560">IFERROR(VLOOKUP(B560, SORT('Nhật ký nộp hồ sơ '!B:D, 'Nhật ký nộp hồ sơ '!A:A, FALSE), 3, FALSE),"")</f>
        <v>Hoàn thành</v>
      </c>
      <c r="L560" s="37" t="str">
        <f t="shared" si="1"/>
        <v>Hoàn thành</v>
      </c>
      <c r="M560" s="15" t="s">
        <v>30</v>
      </c>
      <c r="N560" s="38">
        <f>IFERROR(__xludf.DUMMYFUNCTION("""COMPUTED_VALUE"""),46051.0)</f>
        <v>46051</v>
      </c>
      <c r="O560" s="38">
        <v>46054.0</v>
      </c>
      <c r="P560" s="38">
        <f>IFERROR(__xludf.DUMMYFUNCTION("IFERROR(QUERY('Nhật ký nộp hồ sơ '!A:I, ""SELECT I WHERE B = '""&amp;B560&amp;""' ORDER BY A DESC LIMIT 1"", 0))"),46087.0)</f>
        <v>46087</v>
      </c>
      <c r="Q560" s="38">
        <f t="shared" si="2"/>
        <v>46087</v>
      </c>
      <c r="R560" s="37">
        <v>1.0</v>
      </c>
      <c r="S560" s="37"/>
      <c r="T560" s="37"/>
      <c r="U560" s="36"/>
      <c r="V560" s="18" t="s">
        <v>34</v>
      </c>
      <c r="W560" s="37"/>
      <c r="X560" s="37"/>
    </row>
    <row r="561" ht="22.5" customHeight="1">
      <c r="A561" s="35">
        <v>46052.39840899306</v>
      </c>
      <c r="B561" s="12" t="s">
        <v>1283</v>
      </c>
      <c r="C561" s="15" t="s">
        <v>1266</v>
      </c>
      <c r="D561" s="36"/>
      <c r="E561" s="15" t="s">
        <v>53</v>
      </c>
      <c r="F561" s="15" t="s">
        <v>191</v>
      </c>
      <c r="G561" s="37"/>
      <c r="H561" s="15" t="s">
        <v>28</v>
      </c>
      <c r="I561" s="15" t="s">
        <v>81</v>
      </c>
      <c r="J561" s="36"/>
      <c r="K561" s="37" t="str">
        <f t="array" ref="K561">IFERROR(VLOOKUP(B561, SORT('Nhật ký nộp hồ sơ '!B:D, 'Nhật ký nộp hồ sơ '!A:A, FALSE), 3, FALSE),"")</f>
        <v>Hoàn thành</v>
      </c>
      <c r="L561" s="37" t="str">
        <f t="shared" si="1"/>
        <v>Hoàn thành</v>
      </c>
      <c r="M561" s="15" t="s">
        <v>146</v>
      </c>
      <c r="N561" s="38">
        <f>IFERROR(__xludf.DUMMYFUNCTION("""COMPUTED_VALUE"""),46052.0)</f>
        <v>46052</v>
      </c>
      <c r="O561" s="38">
        <v>46055.0</v>
      </c>
      <c r="P561" s="38">
        <f>IFERROR(__xludf.DUMMYFUNCTION("IFERROR(QUERY('Nhật ký nộp hồ sơ '!A:I, ""SELECT I WHERE B = '""&amp;B561&amp;""' ORDER BY A DESC LIMIT 1"", 0))"),46052.0)</f>
        <v>46052</v>
      </c>
      <c r="Q561" s="38">
        <f t="shared" si="2"/>
        <v>46052</v>
      </c>
      <c r="R561" s="37">
        <v>1.0</v>
      </c>
      <c r="S561" s="37"/>
      <c r="T561" s="37"/>
      <c r="U561" s="36"/>
      <c r="V561" s="18" t="s">
        <v>34</v>
      </c>
      <c r="W561" s="37"/>
      <c r="X561" s="37"/>
    </row>
    <row r="562" ht="22.5" customHeight="1">
      <c r="A562" s="35">
        <v>46052.512174675925</v>
      </c>
      <c r="B562" s="12" t="s">
        <v>1284</v>
      </c>
      <c r="C562" s="15" t="s">
        <v>1266</v>
      </c>
      <c r="D562" s="36"/>
      <c r="E562" s="15" t="s">
        <v>53</v>
      </c>
      <c r="F562" s="15" t="s">
        <v>191</v>
      </c>
      <c r="G562" s="37"/>
      <c r="H562" s="15" t="s">
        <v>29</v>
      </c>
      <c r="I562" s="15" t="s">
        <v>659</v>
      </c>
      <c r="J562" s="36"/>
      <c r="K562" s="37" t="str">
        <f t="array" ref="K562">IFERROR(VLOOKUP(B562, SORT('Nhật ký nộp hồ sơ '!B:D, 'Nhật ký nộp hồ sơ '!A:A, FALSE), 3, FALSE),"")</f>
        <v>Hoàn thành</v>
      </c>
      <c r="L562" s="37" t="str">
        <f t="shared" si="1"/>
        <v>Hoàn thành</v>
      </c>
      <c r="M562" s="15" t="s">
        <v>216</v>
      </c>
      <c r="N562" s="38">
        <f>IFERROR(__xludf.DUMMYFUNCTION("""COMPUTED_VALUE"""),46052.0)</f>
        <v>46052</v>
      </c>
      <c r="O562" s="38">
        <v>46055.0</v>
      </c>
      <c r="P562" s="38">
        <f>IFERROR(__xludf.DUMMYFUNCTION("IFERROR(QUERY('Nhật ký nộp hồ sơ '!A:I, ""SELECT I WHERE B = '""&amp;B562&amp;""' ORDER BY A DESC LIMIT 1"", 0))"),46052.0)</f>
        <v>46052</v>
      </c>
      <c r="Q562" s="38">
        <f t="shared" si="2"/>
        <v>46052</v>
      </c>
      <c r="R562" s="37">
        <v>6.0</v>
      </c>
      <c r="S562" s="37"/>
      <c r="T562" s="37"/>
      <c r="U562" s="36"/>
      <c r="V562" s="18" t="s">
        <v>34</v>
      </c>
      <c r="W562" s="15">
        <v>22.0</v>
      </c>
      <c r="X562" s="15" t="s">
        <v>1188</v>
      </c>
    </row>
    <row r="563" ht="22.5" customHeight="1">
      <c r="A563" s="35">
        <v>46052.600281527775</v>
      </c>
      <c r="B563" s="12" t="s">
        <v>1285</v>
      </c>
      <c r="C563" s="15" t="s">
        <v>1249</v>
      </c>
      <c r="D563" s="36"/>
      <c r="E563" s="15" t="s">
        <v>88</v>
      </c>
      <c r="F563" s="15" t="s">
        <v>133</v>
      </c>
      <c r="G563" s="40" t="s">
        <v>1250</v>
      </c>
      <c r="H563" s="15" t="s">
        <v>28</v>
      </c>
      <c r="I563" s="15" t="s">
        <v>81</v>
      </c>
      <c r="J563" s="36"/>
      <c r="K563" s="37" t="str">
        <f t="array" ref="K563">IFERROR(VLOOKUP(B563, SORT('Nhật ký nộp hồ sơ '!B:D, 'Nhật ký nộp hồ sơ '!A:A, FALSE), 3, FALSE),"")</f>
        <v>Hoàn thành</v>
      </c>
      <c r="L563" s="37" t="str">
        <f t="shared" si="1"/>
        <v>Hoàn thành</v>
      </c>
      <c r="M563" s="15" t="s">
        <v>146</v>
      </c>
      <c r="N563" s="38">
        <f>IFERROR(__xludf.DUMMYFUNCTION("""COMPUTED_VALUE"""),46052.0)</f>
        <v>46052</v>
      </c>
      <c r="O563" s="38">
        <v>46055.0</v>
      </c>
      <c r="P563" s="38">
        <f>IFERROR(__xludf.DUMMYFUNCTION("IFERROR(QUERY('Nhật ký nộp hồ sơ '!A:I, ""SELECT I WHERE B = '""&amp;B563&amp;""' ORDER BY A DESC LIMIT 1"", 0))"),46052.0)</f>
        <v>46052</v>
      </c>
      <c r="Q563" s="38">
        <f t="shared" si="2"/>
        <v>46052</v>
      </c>
      <c r="R563" s="37">
        <v>1.0</v>
      </c>
      <c r="S563" s="37"/>
      <c r="T563" s="37"/>
      <c r="U563" s="36"/>
      <c r="V563" s="18" t="s">
        <v>34</v>
      </c>
      <c r="W563" s="37"/>
      <c r="X563" s="37"/>
    </row>
    <row r="564" ht="22.5" customHeight="1">
      <c r="A564" s="35">
        <v>46052.715228182875</v>
      </c>
      <c r="B564" s="12" t="s">
        <v>1286</v>
      </c>
      <c r="C564" s="15" t="s">
        <v>1287</v>
      </c>
      <c r="D564" s="36"/>
      <c r="E564" s="13" t="s">
        <v>62</v>
      </c>
      <c r="F564" s="15" t="s">
        <v>133</v>
      </c>
      <c r="G564" s="37"/>
      <c r="H564" s="15" t="s">
        <v>100</v>
      </c>
      <c r="I564" s="15" t="s">
        <v>81</v>
      </c>
      <c r="J564" s="36"/>
      <c r="K564" s="37" t="str">
        <f t="array" ref="K564">IFERROR(VLOOKUP(B564, SORT('Nhật ký nộp hồ sơ '!B:D, 'Nhật ký nộp hồ sơ '!A:A, FALSE), 3, FALSE),"")</f>
        <v>Nộp thành công - Chờ kết quả</v>
      </c>
      <c r="L564" s="37" t="str">
        <f t="shared" si="1"/>
        <v>Đã nộp</v>
      </c>
      <c r="M564" s="15" t="s">
        <v>588</v>
      </c>
      <c r="N564" s="38">
        <f>IFERROR(__xludf.DUMMYFUNCTION("""COMPUTED_VALUE"""),46052.0)</f>
        <v>46052</v>
      </c>
      <c r="O564" s="38">
        <v>46055.0</v>
      </c>
      <c r="P564" s="38">
        <f>IFERROR(__xludf.DUMMYFUNCTION("IFERROR(QUERY('Nhật ký nộp hồ sơ '!A:I, ""SELECT I WHERE B = '""&amp;B564&amp;""' ORDER BY A DESC LIMIT 1"", 0))"),46052.0)</f>
        <v>46052</v>
      </c>
      <c r="Q564" s="38" t="str">
        <f t="shared" si="2"/>
        <v/>
      </c>
      <c r="R564" s="37">
        <v>2.0</v>
      </c>
      <c r="S564" s="37"/>
      <c r="T564" s="37"/>
      <c r="U564" s="36"/>
      <c r="V564" s="18" t="s">
        <v>34</v>
      </c>
      <c r="W564" s="37"/>
      <c r="X564" s="37"/>
    </row>
    <row r="565" ht="22.5" customHeight="1">
      <c r="A565" s="35">
        <v>46052.717689074074</v>
      </c>
      <c r="B565" s="12" t="s">
        <v>1288</v>
      </c>
      <c r="C565" s="15" t="s">
        <v>1289</v>
      </c>
      <c r="D565" s="36"/>
      <c r="E565" s="15" t="s">
        <v>88</v>
      </c>
      <c r="F565" s="15" t="s">
        <v>133</v>
      </c>
      <c r="G565" s="37"/>
      <c r="H565" s="15" t="s">
        <v>100</v>
      </c>
      <c r="I565" s="15" t="s">
        <v>81</v>
      </c>
      <c r="J565" s="36"/>
      <c r="K565" s="37" t="str">
        <f t="array" ref="K565">IFERROR(VLOOKUP(B565, SORT('Nhật ký nộp hồ sơ '!B:D, 'Nhật ký nộp hồ sơ '!A:A, FALSE), 3, FALSE),"")</f>
        <v>Nộp thành công - Chờ kết quả</v>
      </c>
      <c r="L565" s="37" t="str">
        <f t="shared" si="1"/>
        <v>Đã nộp</v>
      </c>
      <c r="M565" s="15" t="s">
        <v>588</v>
      </c>
      <c r="N565" s="38">
        <f>IFERROR(__xludf.DUMMYFUNCTION("""COMPUTED_VALUE"""),46052.0)</f>
        <v>46052</v>
      </c>
      <c r="O565" s="38">
        <v>46055.0</v>
      </c>
      <c r="P565" s="38">
        <f>IFERROR(__xludf.DUMMYFUNCTION("IFERROR(QUERY('Nhật ký nộp hồ sơ '!A:I, ""SELECT I WHERE B = '""&amp;B565&amp;""' ORDER BY A DESC LIMIT 1"", 0))"),46094.0)</f>
        <v>46094</v>
      </c>
      <c r="Q565" s="38" t="str">
        <f t="shared" si="2"/>
        <v/>
      </c>
      <c r="R565" s="37">
        <v>1.0</v>
      </c>
      <c r="S565" s="37"/>
      <c r="T565" s="37"/>
      <c r="U565" s="36"/>
      <c r="V565" s="18" t="s">
        <v>34</v>
      </c>
      <c r="W565" s="37"/>
      <c r="X565" s="37"/>
    </row>
    <row r="566" ht="22.5" customHeight="1">
      <c r="A566" s="35">
        <v>46053.65752282407</v>
      </c>
      <c r="B566" s="12" t="s">
        <v>1290</v>
      </c>
      <c r="C566" s="15" t="s">
        <v>1291</v>
      </c>
      <c r="D566" s="39" t="s">
        <v>44</v>
      </c>
      <c r="E566" s="15" t="s">
        <v>45</v>
      </c>
      <c r="F566" s="15" t="s">
        <v>133</v>
      </c>
      <c r="G566" s="40" t="s">
        <v>1292</v>
      </c>
      <c r="H566" s="15" t="s">
        <v>29</v>
      </c>
      <c r="I566" s="15" t="s">
        <v>659</v>
      </c>
      <c r="J566" s="36"/>
      <c r="K566" s="37" t="str">
        <f t="array" ref="K566">IFERROR(VLOOKUP(B566, SORT('Nhật ký nộp hồ sơ '!B:D, 'Nhật ký nộp hồ sơ '!A:A, FALSE), 3, FALSE),"")</f>
        <v>Nộp thành công - Chờ kết quả</v>
      </c>
      <c r="L566" s="37" t="str">
        <f t="shared" si="1"/>
        <v>Đã nộp</v>
      </c>
      <c r="M566" s="15" t="s">
        <v>135</v>
      </c>
      <c r="N566" s="38">
        <f>IFERROR(__xludf.DUMMYFUNCTION("""COMPUTED_VALUE"""),46053.0)</f>
        <v>46053</v>
      </c>
      <c r="O566" s="38">
        <v>46056.0</v>
      </c>
      <c r="P566" s="38">
        <f>IFERROR(__xludf.DUMMYFUNCTION("IFERROR(QUERY('Nhật ký nộp hồ sơ '!A:I, ""SELECT I WHERE B = '""&amp;B566&amp;""' ORDER BY A DESC LIMIT 1"", 0))"),46122.0)</f>
        <v>46122</v>
      </c>
      <c r="Q566" s="38" t="str">
        <f t="shared" si="2"/>
        <v/>
      </c>
      <c r="R566" s="37">
        <v>1.0</v>
      </c>
      <c r="S566" s="37"/>
      <c r="T566" s="15" t="s">
        <v>1293</v>
      </c>
      <c r="U566" s="36"/>
      <c r="V566" s="18" t="s">
        <v>34</v>
      </c>
      <c r="W566" s="37"/>
      <c r="X566" s="37"/>
    </row>
    <row r="567" ht="22.5" customHeight="1">
      <c r="A567" s="35">
        <v>46055.57987210648</v>
      </c>
      <c r="B567" s="12" t="s">
        <v>1294</v>
      </c>
      <c r="C567" s="15" t="s">
        <v>1295</v>
      </c>
      <c r="D567" s="36"/>
      <c r="E567" s="15" t="s">
        <v>122</v>
      </c>
      <c r="F567" s="15" t="s">
        <v>176</v>
      </c>
      <c r="G567" s="37"/>
      <c r="H567" s="15" t="s">
        <v>69</v>
      </c>
      <c r="I567" s="15" t="s">
        <v>659</v>
      </c>
      <c r="J567" s="36"/>
      <c r="K567" s="37" t="str">
        <f t="array" ref="K567">IFERROR(VLOOKUP(B567, SORT('Nhật ký nộp hồ sơ '!B:D, 'Nhật ký nộp hồ sơ '!A:A, FALSE), 3, FALSE),"")</f>
        <v>Hoàn thành</v>
      </c>
      <c r="L567" s="37" t="str">
        <f t="shared" si="1"/>
        <v>Hoàn thành</v>
      </c>
      <c r="M567" s="15" t="s">
        <v>56</v>
      </c>
      <c r="N567" s="38">
        <f>IFERROR(__xludf.DUMMYFUNCTION("""COMPUTED_VALUE"""),46055.0)</f>
        <v>46055</v>
      </c>
      <c r="O567" s="38">
        <v>46058.0</v>
      </c>
      <c r="P567" s="38">
        <f>IFERROR(__xludf.DUMMYFUNCTION("IFERROR(QUERY('Nhật ký nộp hồ sơ '!A:I, ""SELECT I WHERE B = '""&amp;B567&amp;""' ORDER BY A DESC LIMIT 1"", 0))"),46097.0)</f>
        <v>46097</v>
      </c>
      <c r="Q567" s="38">
        <f t="shared" si="2"/>
        <v>46097</v>
      </c>
      <c r="R567" s="37">
        <v>1.0</v>
      </c>
      <c r="S567" s="37"/>
      <c r="T567" s="37"/>
      <c r="U567" s="36"/>
      <c r="V567" s="18" t="s">
        <v>34</v>
      </c>
      <c r="W567" s="37"/>
      <c r="X567" s="37"/>
    </row>
    <row r="568" ht="22.5" customHeight="1">
      <c r="A568" s="35">
        <v>46055.58106116898</v>
      </c>
      <c r="B568" s="12" t="s">
        <v>1296</v>
      </c>
      <c r="C568" s="15" t="s">
        <v>1297</v>
      </c>
      <c r="D568" s="36"/>
      <c r="E568" s="15" t="s">
        <v>122</v>
      </c>
      <c r="F568" s="15" t="s">
        <v>89</v>
      </c>
      <c r="G568" s="37"/>
      <c r="H568" s="15" t="s">
        <v>69</v>
      </c>
      <c r="I568" s="15" t="s">
        <v>659</v>
      </c>
      <c r="J568" s="36"/>
      <c r="K568" s="37" t="str">
        <f t="array" ref="K568">IFERROR(VLOOKUP(B568, SORT('Nhật ký nộp hồ sơ '!B:D, 'Nhật ký nộp hồ sơ '!A:A, FALSE), 3, FALSE),"")</f>
        <v>Hoàn thành</v>
      </c>
      <c r="L568" s="37" t="str">
        <f t="shared" si="1"/>
        <v>Hoàn thành</v>
      </c>
      <c r="M568" s="15" t="s">
        <v>41</v>
      </c>
      <c r="N568" s="38">
        <f>IFERROR(__xludf.DUMMYFUNCTION("""COMPUTED_VALUE"""),46055.0)</f>
        <v>46055</v>
      </c>
      <c r="O568" s="38">
        <v>46058.0</v>
      </c>
      <c r="P568" s="38">
        <f>IFERROR(__xludf.DUMMYFUNCTION("IFERROR(QUERY('Nhật ký nộp hồ sơ '!A:I, ""SELECT I WHERE B = '""&amp;B568&amp;""' ORDER BY A DESC LIMIT 1"", 0))"),46059.0)</f>
        <v>46059</v>
      </c>
      <c r="Q568" s="38">
        <f t="shared" si="2"/>
        <v>46059</v>
      </c>
      <c r="R568" s="37">
        <v>1.0</v>
      </c>
      <c r="S568" s="37"/>
      <c r="T568" s="37"/>
      <c r="U568" s="36"/>
      <c r="V568" s="18" t="s">
        <v>34</v>
      </c>
      <c r="W568" s="37"/>
      <c r="X568" s="37"/>
    </row>
    <row r="569" ht="22.5" customHeight="1">
      <c r="A569" s="35">
        <v>46056.47124886574</v>
      </c>
      <c r="B569" s="12" t="s">
        <v>1298</v>
      </c>
      <c r="C569" s="15" t="s">
        <v>1299</v>
      </c>
      <c r="D569" s="36"/>
      <c r="E569" s="15" t="s">
        <v>79</v>
      </c>
      <c r="F569" s="15" t="s">
        <v>133</v>
      </c>
      <c r="G569" s="40" t="s">
        <v>1300</v>
      </c>
      <c r="H569" s="15" t="s">
        <v>47</v>
      </c>
      <c r="I569" s="15" t="s">
        <v>81</v>
      </c>
      <c r="J569" s="36"/>
      <c r="K569" s="37" t="str">
        <f t="array" ref="K569">IFERROR(VLOOKUP(B569, SORT('Nhật ký nộp hồ sơ '!B:D, 'Nhật ký nộp hồ sơ '!A:A, FALSE), 3, FALSE),"")</f>
        <v>Hoàn thành</v>
      </c>
      <c r="L569" s="37" t="str">
        <f t="shared" si="1"/>
        <v>Hoàn thành</v>
      </c>
      <c r="M569" s="15" t="s">
        <v>82</v>
      </c>
      <c r="N569" s="38">
        <f>IFERROR(__xludf.DUMMYFUNCTION("""COMPUTED_VALUE"""),46056.0)</f>
        <v>46056</v>
      </c>
      <c r="O569" s="38">
        <v>46059.0</v>
      </c>
      <c r="P569" s="38">
        <f>IFERROR(__xludf.DUMMYFUNCTION("IFERROR(QUERY('Nhật ký nộp hồ sơ '!A:I, ""SELECT I WHERE B = '""&amp;B569&amp;""' ORDER BY A DESC LIMIT 1"", 0))"),46099.0)</f>
        <v>46099</v>
      </c>
      <c r="Q569" s="38">
        <f t="shared" si="2"/>
        <v>46099</v>
      </c>
      <c r="R569" s="37">
        <v>4.0</v>
      </c>
      <c r="S569" s="15" t="s">
        <v>1301</v>
      </c>
      <c r="T569" s="37"/>
      <c r="U569" s="36"/>
      <c r="V569" s="18" t="s">
        <v>34</v>
      </c>
      <c r="W569" s="37"/>
      <c r="X569" s="37"/>
    </row>
    <row r="570" ht="22.5" customHeight="1">
      <c r="A570" s="35">
        <v>46056.57240847222</v>
      </c>
      <c r="B570" s="12" t="s">
        <v>1302</v>
      </c>
      <c r="C570" s="15" t="s">
        <v>305</v>
      </c>
      <c r="D570" s="39" t="s">
        <v>44</v>
      </c>
      <c r="E570" s="15" t="s">
        <v>26</v>
      </c>
      <c r="F570" s="15" t="s">
        <v>191</v>
      </c>
      <c r="G570" s="37"/>
      <c r="H570" s="15" t="s">
        <v>28</v>
      </c>
      <c r="I570" s="15" t="s">
        <v>81</v>
      </c>
      <c r="J570" s="36"/>
      <c r="K570" s="37" t="str">
        <f t="array" ref="K570">IFERROR(VLOOKUP(B570, SORT('Nhật ký nộp hồ sơ '!B:D, 'Nhật ký nộp hồ sơ '!A:A, FALSE), 3, FALSE),"")</f>
        <v>Hoàn thành</v>
      </c>
      <c r="L570" s="37" t="str">
        <f t="shared" si="1"/>
        <v>Hoàn thành</v>
      </c>
      <c r="M570" s="15" t="s">
        <v>41</v>
      </c>
      <c r="N570" s="38">
        <f>IFERROR(__xludf.DUMMYFUNCTION("""COMPUTED_VALUE"""),46056.0)</f>
        <v>46056</v>
      </c>
      <c r="O570" s="38">
        <v>46059.0</v>
      </c>
      <c r="P570" s="38">
        <f>IFERROR(__xludf.DUMMYFUNCTION("IFERROR(QUERY('Nhật ký nộp hồ sơ '!A:I, ""SELECT I WHERE B = '""&amp;B570&amp;""' ORDER BY A DESC LIMIT 1"", 0))"),46056.0)</f>
        <v>46056</v>
      </c>
      <c r="Q570" s="38">
        <f t="shared" si="2"/>
        <v>46056</v>
      </c>
      <c r="R570" s="37">
        <v>1.0</v>
      </c>
      <c r="S570" s="37"/>
      <c r="T570" s="37"/>
      <c r="U570" s="36"/>
      <c r="V570" s="18" t="s">
        <v>34</v>
      </c>
      <c r="W570" s="37"/>
      <c r="X570" s="37"/>
    </row>
    <row r="571" ht="22.5" customHeight="1">
      <c r="A571" s="35">
        <v>46056.57294920139</v>
      </c>
      <c r="B571" s="12" t="s">
        <v>1303</v>
      </c>
      <c r="C571" s="15" t="s">
        <v>537</v>
      </c>
      <c r="D571" s="39" t="s">
        <v>44</v>
      </c>
      <c r="E571" s="15" t="s">
        <v>26</v>
      </c>
      <c r="F571" s="15" t="s">
        <v>191</v>
      </c>
      <c r="G571" s="37"/>
      <c r="H571" s="15" t="s">
        <v>28</v>
      </c>
      <c r="I571" s="15" t="s">
        <v>81</v>
      </c>
      <c r="J571" s="36"/>
      <c r="K571" s="37" t="str">
        <f t="array" ref="K571">IFERROR(VLOOKUP(B571, SORT('Nhật ký nộp hồ sơ '!B:D, 'Nhật ký nộp hồ sơ '!A:A, FALSE), 3, FALSE),"")</f>
        <v>Hoàn thành</v>
      </c>
      <c r="L571" s="37" t="str">
        <f t="shared" si="1"/>
        <v>Hoàn thành</v>
      </c>
      <c r="M571" s="15" t="s">
        <v>41</v>
      </c>
      <c r="N571" s="38">
        <f>IFERROR(__xludf.DUMMYFUNCTION("""COMPUTED_VALUE"""),46056.0)</f>
        <v>46056</v>
      </c>
      <c r="O571" s="38">
        <v>46059.0</v>
      </c>
      <c r="P571" s="38">
        <f>IFERROR(__xludf.DUMMYFUNCTION("IFERROR(QUERY('Nhật ký nộp hồ sơ '!A:I, ""SELECT I WHERE B = '""&amp;B571&amp;""' ORDER BY A DESC LIMIT 1"", 0))"),46056.0)</f>
        <v>46056</v>
      </c>
      <c r="Q571" s="38">
        <f t="shared" si="2"/>
        <v>46056</v>
      </c>
      <c r="R571" s="37">
        <v>2.0</v>
      </c>
      <c r="S571" s="37"/>
      <c r="T571" s="37"/>
      <c r="U571" s="36"/>
      <c r="V571" s="18" t="s">
        <v>34</v>
      </c>
      <c r="W571" s="37"/>
      <c r="X571" s="37"/>
    </row>
    <row r="572" ht="22.5" customHeight="1">
      <c r="A572" s="35">
        <v>46057.41771206018</v>
      </c>
      <c r="B572" s="12" t="s">
        <v>1304</v>
      </c>
      <c r="C572" s="15" t="s">
        <v>1305</v>
      </c>
      <c r="D572" s="36"/>
      <c r="E572" s="15" t="s">
        <v>45</v>
      </c>
      <c r="F572" s="15" t="s">
        <v>133</v>
      </c>
      <c r="G572" s="40" t="s">
        <v>1306</v>
      </c>
      <c r="H572" s="15" t="s">
        <v>69</v>
      </c>
      <c r="I572" s="15" t="s">
        <v>659</v>
      </c>
      <c r="J572" s="36"/>
      <c r="K572" s="37" t="str">
        <f t="array" ref="K572">IFERROR(VLOOKUP(B572, SORT('Nhật ký nộp hồ sơ '!B:D, 'Nhật ký nộp hồ sơ '!A:A, FALSE), 3, FALSE),"")</f>
        <v>Hoàn thành</v>
      </c>
      <c r="L572" s="37" t="str">
        <f t="shared" si="1"/>
        <v>Hoàn thành</v>
      </c>
      <c r="M572" s="15" t="s">
        <v>56</v>
      </c>
      <c r="N572" s="38">
        <f>IFERROR(__xludf.DUMMYFUNCTION("""COMPUTED_VALUE"""),46057.0)</f>
        <v>46057</v>
      </c>
      <c r="O572" s="38">
        <v>46060.0</v>
      </c>
      <c r="P572" s="38">
        <f>IFERROR(__xludf.DUMMYFUNCTION("IFERROR(QUERY('Nhật ký nộp hồ sơ '!A:I, ""SELECT I WHERE B = '""&amp;B572&amp;""' ORDER BY A DESC LIMIT 1"", 0))"),46090.0)</f>
        <v>46090</v>
      </c>
      <c r="Q572" s="38">
        <f t="shared" si="2"/>
        <v>46090</v>
      </c>
      <c r="R572" s="37">
        <v>5.0</v>
      </c>
      <c r="S572" s="37"/>
      <c r="T572" s="37"/>
      <c r="U572" s="36"/>
      <c r="V572" s="18" t="s">
        <v>34</v>
      </c>
      <c r="W572" s="37"/>
      <c r="X572" s="37"/>
    </row>
    <row r="573" ht="22.5" customHeight="1">
      <c r="A573" s="35">
        <v>46057.420201875</v>
      </c>
      <c r="B573" s="12" t="s">
        <v>1307</v>
      </c>
      <c r="C573" s="15" t="s">
        <v>1308</v>
      </c>
      <c r="D573" s="36"/>
      <c r="E573" s="15" t="s">
        <v>187</v>
      </c>
      <c r="F573" s="15" t="s">
        <v>133</v>
      </c>
      <c r="G573" s="40" t="s">
        <v>1309</v>
      </c>
      <c r="H573" s="15" t="s">
        <v>69</v>
      </c>
      <c r="I573" s="15" t="s">
        <v>659</v>
      </c>
      <c r="J573" s="36"/>
      <c r="K573" s="37" t="str">
        <f t="array" ref="K573">IFERROR(VLOOKUP(B573, SORT('Nhật ký nộp hồ sơ '!B:D, 'Nhật ký nộp hồ sơ '!A:A, FALSE), 3, FALSE),"")</f>
        <v>Hoàn thành</v>
      </c>
      <c r="L573" s="37" t="str">
        <f t="shared" si="1"/>
        <v>Hoàn thành</v>
      </c>
      <c r="M573" s="15" t="s">
        <v>56</v>
      </c>
      <c r="N573" s="38">
        <f>IFERROR(__xludf.DUMMYFUNCTION("""COMPUTED_VALUE"""),46057.0)</f>
        <v>46057</v>
      </c>
      <c r="O573" s="38">
        <v>46060.0</v>
      </c>
      <c r="P573" s="38">
        <f>IFERROR(__xludf.DUMMYFUNCTION("IFERROR(QUERY('Nhật ký nộp hồ sơ '!A:I, ""SELECT I WHERE B = '""&amp;B573&amp;""' ORDER BY A DESC LIMIT 1"", 0))"),46079.0)</f>
        <v>46079</v>
      </c>
      <c r="Q573" s="38">
        <f t="shared" si="2"/>
        <v>46079</v>
      </c>
      <c r="R573" s="37">
        <v>1.0</v>
      </c>
      <c r="S573" s="37"/>
      <c r="T573" s="37"/>
      <c r="U573" s="36"/>
      <c r="V573" s="18" t="s">
        <v>34</v>
      </c>
      <c r="W573" s="37"/>
      <c r="X573" s="37"/>
    </row>
    <row r="574" ht="22.5" customHeight="1">
      <c r="A574" s="35">
        <v>46057.51480253472</v>
      </c>
      <c r="B574" s="12" t="s">
        <v>1310</v>
      </c>
      <c r="C574" s="15" t="s">
        <v>727</v>
      </c>
      <c r="D574" s="36"/>
      <c r="E574" s="15" t="s">
        <v>79</v>
      </c>
      <c r="F574" s="15" t="s">
        <v>89</v>
      </c>
      <c r="G574" s="37"/>
      <c r="H574" s="15" t="s">
        <v>29</v>
      </c>
      <c r="I574" s="15" t="s">
        <v>81</v>
      </c>
      <c r="J574" s="36"/>
      <c r="K574" s="37" t="str">
        <f t="array" ref="K574">IFERROR(VLOOKUP(B574, SORT('Nhật ký nộp hồ sơ '!B:D, 'Nhật ký nộp hồ sơ '!A:A, FALSE), 3, FALSE),"")</f>
        <v>Hoàn thành</v>
      </c>
      <c r="L574" s="37" t="str">
        <f t="shared" si="1"/>
        <v>Hoàn thành</v>
      </c>
      <c r="M574" s="15" t="s">
        <v>216</v>
      </c>
      <c r="N574" s="38">
        <f>IFERROR(__xludf.DUMMYFUNCTION("""COMPUTED_VALUE"""),46057.0)</f>
        <v>46057</v>
      </c>
      <c r="O574" s="38">
        <v>46060.0</v>
      </c>
      <c r="P574" s="38">
        <f>IFERROR(__xludf.DUMMYFUNCTION("IFERROR(QUERY('Nhật ký nộp hồ sơ '!A:I, ""SELECT I WHERE B = '""&amp;B574&amp;""' ORDER BY A DESC LIMIT 1"", 0))"),46058.0)</f>
        <v>46058</v>
      </c>
      <c r="Q574" s="38">
        <f t="shared" si="2"/>
        <v>46058</v>
      </c>
      <c r="R574" s="37">
        <v>1.0</v>
      </c>
      <c r="S574" s="37"/>
      <c r="T574" s="37"/>
      <c r="U574" s="36"/>
      <c r="V574" s="18" t="s">
        <v>34</v>
      </c>
      <c r="W574" s="15">
        <v>2.0</v>
      </c>
      <c r="X574" s="15" t="s">
        <v>687</v>
      </c>
    </row>
    <row r="575" ht="22.5" customHeight="1">
      <c r="A575" s="35">
        <v>46057.515942777776</v>
      </c>
      <c r="B575" s="12" t="s">
        <v>1311</v>
      </c>
      <c r="C575" s="15" t="s">
        <v>716</v>
      </c>
      <c r="D575" s="36"/>
      <c r="E575" s="15" t="s">
        <v>45</v>
      </c>
      <c r="F575" s="15" t="s">
        <v>133</v>
      </c>
      <c r="G575" s="37"/>
      <c r="H575" s="15" t="s">
        <v>29</v>
      </c>
      <c r="I575" s="15" t="s">
        <v>659</v>
      </c>
      <c r="J575" s="36"/>
      <c r="K575" s="37" t="str">
        <f t="array" ref="K575">IFERROR(VLOOKUP(B575, SORT('Nhật ký nộp hồ sơ '!B:D, 'Nhật ký nộp hồ sơ '!A:A, FALSE), 3, FALSE),"")</f>
        <v>Hoàn thành</v>
      </c>
      <c r="L575" s="37" t="str">
        <f t="shared" si="1"/>
        <v>Hoàn thành</v>
      </c>
      <c r="M575" s="15" t="s">
        <v>216</v>
      </c>
      <c r="N575" s="38">
        <f>IFERROR(__xludf.DUMMYFUNCTION("""COMPUTED_VALUE"""),46057.0)</f>
        <v>46057</v>
      </c>
      <c r="O575" s="38">
        <v>46060.0</v>
      </c>
      <c r="P575" s="38">
        <f>IFERROR(__xludf.DUMMYFUNCTION("IFERROR(QUERY('Nhật ký nộp hồ sơ '!A:I, ""SELECT I WHERE B = '""&amp;B575&amp;""' ORDER BY A DESC LIMIT 1"", 0))"),46058.0)</f>
        <v>46058</v>
      </c>
      <c r="Q575" s="38">
        <f t="shared" si="2"/>
        <v>46058</v>
      </c>
      <c r="R575" s="37">
        <v>1.0</v>
      </c>
      <c r="S575" s="37"/>
      <c r="T575" s="37"/>
      <c r="U575" s="36"/>
      <c r="V575" s="18" t="s">
        <v>34</v>
      </c>
      <c r="W575" s="15">
        <v>3.0</v>
      </c>
      <c r="X575" s="15" t="s">
        <v>687</v>
      </c>
    </row>
    <row r="576" ht="22.5" customHeight="1">
      <c r="A576" s="35">
        <v>46057.51694818287</v>
      </c>
      <c r="B576" s="12" t="s">
        <v>1312</v>
      </c>
      <c r="C576" s="15" t="s">
        <v>1313</v>
      </c>
      <c r="D576" s="39" t="s">
        <v>44</v>
      </c>
      <c r="E576" s="15" t="s">
        <v>26</v>
      </c>
      <c r="F576" s="13" t="s">
        <v>46</v>
      </c>
      <c r="G576" s="37"/>
      <c r="H576" s="15" t="s">
        <v>29</v>
      </c>
      <c r="I576" s="15" t="s">
        <v>659</v>
      </c>
      <c r="J576" s="36"/>
      <c r="K576" s="37" t="str">
        <f t="array" ref="K576">IFERROR(VLOOKUP(B576, SORT('Nhật ký nộp hồ sơ '!B:D, 'Nhật ký nộp hồ sơ '!A:A, FALSE), 3, FALSE),"")</f>
        <v>Hoàn thành</v>
      </c>
      <c r="L576" s="37" t="str">
        <f t="shared" si="1"/>
        <v>Hoàn thành</v>
      </c>
      <c r="M576" s="15" t="s">
        <v>56</v>
      </c>
      <c r="N576" s="38">
        <f>IFERROR(__xludf.DUMMYFUNCTION("""COMPUTED_VALUE"""),46057.0)</f>
        <v>46057</v>
      </c>
      <c r="O576" s="38">
        <v>46060.0</v>
      </c>
      <c r="P576" s="38">
        <f>IFERROR(__xludf.DUMMYFUNCTION("IFERROR(QUERY('Nhật ký nộp hồ sơ '!A:I, ""SELECT I WHERE B = '""&amp;B576&amp;""' ORDER BY A DESC LIMIT 1"", 0))"),46168.0)</f>
        <v>46168</v>
      </c>
      <c r="Q576" s="38">
        <f t="shared" si="2"/>
        <v>46168</v>
      </c>
      <c r="R576" s="37">
        <v>3.0</v>
      </c>
      <c r="S576" s="37"/>
      <c r="T576" s="37"/>
      <c r="U576" s="36"/>
      <c r="V576" s="18" t="s">
        <v>34</v>
      </c>
      <c r="W576" s="37"/>
      <c r="X576" s="37"/>
    </row>
    <row r="577" ht="22.5" customHeight="1">
      <c r="A577" s="35">
        <v>46057.5184843287</v>
      </c>
      <c r="B577" s="12" t="s">
        <v>1314</v>
      </c>
      <c r="C577" s="15" t="s">
        <v>1315</v>
      </c>
      <c r="D577" s="36"/>
      <c r="E577" s="15" t="s">
        <v>26</v>
      </c>
      <c r="F577" s="15" t="s">
        <v>133</v>
      </c>
      <c r="G577" s="40" t="s">
        <v>1316</v>
      </c>
      <c r="H577" s="15" t="s">
        <v>29</v>
      </c>
      <c r="I577" s="15" t="s">
        <v>659</v>
      </c>
      <c r="J577" s="36"/>
      <c r="K577" s="37" t="str">
        <f t="array" ref="K577">IFERROR(VLOOKUP(B577, SORT('Nhật ký nộp hồ sơ '!B:D, 'Nhật ký nộp hồ sơ '!A:A, FALSE), 3, FALSE),"")</f>
        <v>Hủy</v>
      </c>
      <c r="L577" s="37" t="str">
        <f t="shared" si="1"/>
        <v>ĐÃ HỦY</v>
      </c>
      <c r="M577" s="15" t="s">
        <v>56</v>
      </c>
      <c r="N577" s="38">
        <f>IFERROR(__xludf.DUMMYFUNCTION("""COMPUTED_VALUE"""),46057.0)</f>
        <v>46057</v>
      </c>
      <c r="O577" s="38">
        <v>46060.0</v>
      </c>
      <c r="P577" s="38">
        <f>IFERROR(__xludf.DUMMYFUNCTION("IFERROR(QUERY('Nhật ký nộp hồ sơ '!A:I, ""SELECT I WHERE B = '""&amp;B577&amp;""' ORDER BY A DESC LIMIT 1"", 0))"),46059.0)</f>
        <v>46059</v>
      </c>
      <c r="Q577" s="38" t="str">
        <f t="shared" si="2"/>
        <v/>
      </c>
      <c r="R577" s="37">
        <v>2.0</v>
      </c>
      <c r="S577" s="37"/>
      <c r="T577" s="37"/>
      <c r="U577" s="36"/>
      <c r="V577" s="18" t="s">
        <v>34</v>
      </c>
      <c r="W577" s="37"/>
      <c r="X577" s="37"/>
    </row>
    <row r="578" ht="22.5" customHeight="1">
      <c r="A578" s="35">
        <v>46057.646034467594</v>
      </c>
      <c r="B578" s="12" t="s">
        <v>1317</v>
      </c>
      <c r="C578" s="15" t="s">
        <v>1243</v>
      </c>
      <c r="D578" s="36"/>
      <c r="E578" s="15" t="s">
        <v>187</v>
      </c>
      <c r="F578" s="15" t="s">
        <v>414</v>
      </c>
      <c r="G578" s="37"/>
      <c r="H578" s="15" t="s">
        <v>100</v>
      </c>
      <c r="I578" s="15" t="s">
        <v>81</v>
      </c>
      <c r="J578" s="36"/>
      <c r="K578" s="37" t="str">
        <f t="array" ref="K578">IFERROR(VLOOKUP(B578, SORT('Nhật ký nộp hồ sơ '!B:D, 'Nhật ký nộp hồ sơ '!A:A, FALSE), 3, FALSE),"")</f>
        <v>Hủy</v>
      </c>
      <c r="L578" s="37" t="str">
        <f t="shared" si="1"/>
        <v>ĐÃ HỦY</v>
      </c>
      <c r="M578" s="15" t="s">
        <v>588</v>
      </c>
      <c r="N578" s="38">
        <f>IFERROR(__xludf.DUMMYFUNCTION("""COMPUTED_VALUE"""),46057.0)</f>
        <v>46057</v>
      </c>
      <c r="O578" s="38">
        <v>46060.0</v>
      </c>
      <c r="P578" s="38">
        <f>IFERROR(__xludf.DUMMYFUNCTION("IFERROR(QUERY('Nhật ký nộp hồ sơ '!A:I, ""SELECT I WHERE B = '""&amp;B578&amp;""' ORDER BY A DESC LIMIT 1"", 0))"),46084.0)</f>
        <v>46084</v>
      </c>
      <c r="Q578" s="38" t="str">
        <f t="shared" si="2"/>
        <v/>
      </c>
      <c r="R578" s="37">
        <v>1.0</v>
      </c>
      <c r="S578" s="37"/>
      <c r="T578" s="37"/>
      <c r="U578" s="36"/>
      <c r="V578" s="18" t="s">
        <v>34</v>
      </c>
      <c r="W578" s="37"/>
      <c r="X578" s="37"/>
    </row>
    <row r="579" ht="22.5" customHeight="1">
      <c r="A579" s="35">
        <v>46058.75035353009</v>
      </c>
      <c r="B579" s="12" t="s">
        <v>1318</v>
      </c>
      <c r="C579" s="15" t="s">
        <v>1319</v>
      </c>
      <c r="D579" s="36"/>
      <c r="E579" s="15" t="s">
        <v>26</v>
      </c>
      <c r="F579" s="15" t="s">
        <v>133</v>
      </c>
      <c r="G579" s="37"/>
      <c r="H579" s="15" t="s">
        <v>47</v>
      </c>
      <c r="I579" s="15" t="s">
        <v>81</v>
      </c>
      <c r="J579" s="36"/>
      <c r="K579" s="37" t="str">
        <f t="array" ref="K579">IFERROR(VLOOKUP(B579, SORT('Nhật ký nộp hồ sơ '!B:D, 'Nhật ký nộp hồ sơ '!A:A, FALSE), 3, FALSE),"")</f>
        <v>Hoàn thành</v>
      </c>
      <c r="L579" s="37" t="str">
        <f t="shared" si="1"/>
        <v>Hoàn thành</v>
      </c>
      <c r="M579" s="15" t="s">
        <v>41</v>
      </c>
      <c r="N579" s="38">
        <f>IFERROR(__xludf.DUMMYFUNCTION("""COMPUTED_VALUE"""),46058.0)</f>
        <v>46058</v>
      </c>
      <c r="O579" s="38">
        <v>46061.0</v>
      </c>
      <c r="P579" s="38">
        <f>IFERROR(__xludf.DUMMYFUNCTION("IFERROR(QUERY('Nhật ký nộp hồ sơ '!A:I, ""SELECT I WHERE B = '""&amp;B579&amp;""' ORDER BY A DESC LIMIT 1"", 0))"),46060.0)</f>
        <v>46060</v>
      </c>
      <c r="Q579" s="38">
        <f t="shared" si="2"/>
        <v>46060</v>
      </c>
      <c r="R579" s="37">
        <v>2.0</v>
      </c>
      <c r="S579" s="15" t="s">
        <v>1320</v>
      </c>
      <c r="T579" s="37"/>
      <c r="U579" s="36"/>
      <c r="V579" s="18" t="s">
        <v>34</v>
      </c>
      <c r="W579" s="37"/>
      <c r="X579" s="37"/>
    </row>
    <row r="580" ht="22.5" customHeight="1">
      <c r="A580" s="35">
        <v>46059.38066015046</v>
      </c>
      <c r="B580" s="12" t="s">
        <v>1321</v>
      </c>
      <c r="C580" s="15" t="s">
        <v>1322</v>
      </c>
      <c r="D580" s="36"/>
      <c r="E580" s="15" t="s">
        <v>45</v>
      </c>
      <c r="F580" s="15" t="s">
        <v>133</v>
      </c>
      <c r="G580" s="37"/>
      <c r="H580" s="15" t="s">
        <v>29</v>
      </c>
      <c r="I580" s="15" t="s">
        <v>659</v>
      </c>
      <c r="J580" s="36"/>
      <c r="K580" s="37" t="str">
        <f t="array" ref="K580">IFERROR(VLOOKUP(B580, SORT('Nhật ký nộp hồ sơ '!B:D, 'Nhật ký nộp hồ sơ '!A:A, FALSE), 3, FALSE),"")</f>
        <v>Hoàn thành</v>
      </c>
      <c r="L580" s="37" t="str">
        <f t="shared" si="1"/>
        <v>Hoàn thành</v>
      </c>
      <c r="M580" s="15" t="s">
        <v>216</v>
      </c>
      <c r="N580" s="38">
        <f>IFERROR(__xludf.DUMMYFUNCTION("""COMPUTED_VALUE"""),46059.0)</f>
        <v>46059</v>
      </c>
      <c r="O580" s="38">
        <v>46062.0</v>
      </c>
      <c r="P580" s="38">
        <f>IFERROR(__xludf.DUMMYFUNCTION("IFERROR(QUERY('Nhật ký nộp hồ sơ '!A:I, ""SELECT I WHERE B = '""&amp;B580&amp;""' ORDER BY A DESC LIMIT 1"", 0))"),46060.0)</f>
        <v>46060</v>
      </c>
      <c r="Q580" s="38">
        <f t="shared" si="2"/>
        <v>46060</v>
      </c>
      <c r="R580" s="37">
        <v>3.0</v>
      </c>
      <c r="S580" s="37"/>
      <c r="T580" s="37"/>
      <c r="U580" s="36"/>
      <c r="V580" s="18" t="s">
        <v>34</v>
      </c>
      <c r="W580" s="15">
        <v>5.0</v>
      </c>
      <c r="X580" s="15" t="s">
        <v>687</v>
      </c>
    </row>
    <row r="581" ht="22.5" customHeight="1">
      <c r="A581" s="35">
        <v>46059.382121435185</v>
      </c>
      <c r="B581" s="12" t="s">
        <v>1323</v>
      </c>
      <c r="C581" s="15" t="s">
        <v>1322</v>
      </c>
      <c r="D581" s="36"/>
      <c r="E581" s="15" t="s">
        <v>45</v>
      </c>
      <c r="F581" s="15" t="s">
        <v>133</v>
      </c>
      <c r="G581" s="40" t="s">
        <v>1324</v>
      </c>
      <c r="H581" s="15" t="s">
        <v>29</v>
      </c>
      <c r="I581" s="15" t="s">
        <v>659</v>
      </c>
      <c r="J581" s="36"/>
      <c r="K581" s="37" t="str">
        <f t="array" ref="K581">IFERROR(VLOOKUP(B581, SORT('Nhật ký nộp hồ sơ '!B:D, 'Nhật ký nộp hồ sơ '!A:A, FALSE), 3, FALSE),"")</f>
        <v>Hoàn thành</v>
      </c>
      <c r="L581" s="37" t="str">
        <f t="shared" si="1"/>
        <v>Hoàn thành</v>
      </c>
      <c r="M581" s="15" t="s">
        <v>216</v>
      </c>
      <c r="N581" s="38">
        <f>IFERROR(__xludf.DUMMYFUNCTION("""COMPUTED_VALUE"""),46059.0)</f>
        <v>46059</v>
      </c>
      <c r="O581" s="38">
        <v>46062.0</v>
      </c>
      <c r="P581" s="38">
        <f>IFERROR(__xludf.DUMMYFUNCTION("IFERROR(QUERY('Nhật ký nộp hồ sơ '!A:I, ""SELECT I WHERE B = '""&amp;B581&amp;""' ORDER BY A DESC LIMIT 1"", 0))"),46060.0)</f>
        <v>46060</v>
      </c>
      <c r="Q581" s="38">
        <f t="shared" si="2"/>
        <v>46060</v>
      </c>
      <c r="R581" s="37">
        <v>1.0</v>
      </c>
      <c r="S581" s="37"/>
      <c r="T581" s="37"/>
      <c r="U581" s="36"/>
      <c r="V581" s="18" t="s">
        <v>34</v>
      </c>
      <c r="W581" s="15">
        <v>4.0</v>
      </c>
      <c r="X581" s="15" t="s">
        <v>687</v>
      </c>
    </row>
    <row r="582" ht="22.5" customHeight="1">
      <c r="A582" s="35">
        <v>46059.38638678241</v>
      </c>
      <c r="B582" s="12" t="s">
        <v>1325</v>
      </c>
      <c r="C582" s="15" t="s">
        <v>1326</v>
      </c>
      <c r="D582" s="36"/>
      <c r="E582" s="15" t="s">
        <v>187</v>
      </c>
      <c r="F582" s="15" t="s">
        <v>133</v>
      </c>
      <c r="G582" s="37"/>
      <c r="H582" s="15" t="s">
        <v>29</v>
      </c>
      <c r="I582" s="15" t="s">
        <v>659</v>
      </c>
      <c r="J582" s="36"/>
      <c r="K582" s="37" t="str">
        <f t="array" ref="K582">IFERROR(VLOOKUP(B582, SORT('Nhật ký nộp hồ sơ '!B:D, 'Nhật ký nộp hồ sơ '!A:A, FALSE), 3, FALSE),"")</f>
        <v>Hoàn thành</v>
      </c>
      <c r="L582" s="37" t="str">
        <f t="shared" si="1"/>
        <v>Hoàn thành</v>
      </c>
      <c r="M582" s="15" t="s">
        <v>216</v>
      </c>
      <c r="N582" s="38">
        <f>IFERROR(__xludf.DUMMYFUNCTION("""COMPUTED_VALUE"""),46059.0)</f>
        <v>46059</v>
      </c>
      <c r="O582" s="38">
        <v>46062.0</v>
      </c>
      <c r="P582" s="38">
        <f>IFERROR(__xludf.DUMMYFUNCTION("IFERROR(QUERY('Nhật ký nộp hồ sơ '!A:I, ""SELECT I WHERE B = '""&amp;B582&amp;""' ORDER BY A DESC LIMIT 1"", 0))"),46060.0)</f>
        <v>46060</v>
      </c>
      <c r="Q582" s="38">
        <f t="shared" si="2"/>
        <v>46060</v>
      </c>
      <c r="R582" s="37">
        <v>1.0</v>
      </c>
      <c r="S582" s="15" t="s">
        <v>1327</v>
      </c>
      <c r="T582" s="37"/>
      <c r="U582" s="36"/>
      <c r="V582" s="18" t="s">
        <v>34</v>
      </c>
      <c r="W582" s="15">
        <v>5.0</v>
      </c>
      <c r="X582" s="15" t="s">
        <v>687</v>
      </c>
    </row>
    <row r="583" ht="22.5" customHeight="1">
      <c r="A583" s="35">
        <v>46060.36946087963</v>
      </c>
      <c r="B583" s="12" t="s">
        <v>1328</v>
      </c>
      <c r="C583" s="15" t="s">
        <v>1329</v>
      </c>
      <c r="D583" s="39" t="s">
        <v>44</v>
      </c>
      <c r="E583" s="15" t="s">
        <v>122</v>
      </c>
      <c r="F583" s="15" t="s">
        <v>39</v>
      </c>
      <c r="G583" s="15" t="s">
        <v>1330</v>
      </c>
      <c r="H583" s="15" t="s">
        <v>47</v>
      </c>
      <c r="I583" s="15" t="s">
        <v>659</v>
      </c>
      <c r="J583" s="36"/>
      <c r="K583" s="37" t="str">
        <f t="array" ref="K583">IFERROR(VLOOKUP(B583, SORT('Nhật ký nộp hồ sơ '!B:D, 'Nhật ký nộp hồ sơ '!A:A, FALSE), 3, FALSE),"")</f>
        <v>Hoàn thành</v>
      </c>
      <c r="L583" s="37" t="str">
        <f t="shared" si="1"/>
        <v>Hoàn thành</v>
      </c>
      <c r="M583" s="15" t="s">
        <v>48</v>
      </c>
      <c r="N583" s="38">
        <f>IFERROR(__xludf.DUMMYFUNCTION("""COMPUTED_VALUE"""),46060.0)</f>
        <v>46060</v>
      </c>
      <c r="O583" s="38">
        <v>46063.0</v>
      </c>
      <c r="P583" s="38">
        <f>IFERROR(__xludf.DUMMYFUNCTION("IFERROR(QUERY('Nhật ký nộp hồ sơ '!A:I, ""SELECT I WHERE B = '""&amp;B583&amp;""' ORDER BY A DESC LIMIT 1"", 0))"),46097.0)</f>
        <v>46097</v>
      </c>
      <c r="Q583" s="38">
        <f t="shared" si="2"/>
        <v>46097</v>
      </c>
      <c r="R583" s="37">
        <v>1.0</v>
      </c>
      <c r="S583" s="37"/>
      <c r="T583" s="37"/>
      <c r="U583" s="36"/>
      <c r="V583" s="18" t="s">
        <v>34</v>
      </c>
      <c r="W583" s="37"/>
      <c r="X583" s="37"/>
    </row>
    <row r="584" ht="22.5" customHeight="1">
      <c r="A584" s="35">
        <v>46062.70252651621</v>
      </c>
      <c r="B584" s="12" t="s">
        <v>1331</v>
      </c>
      <c r="C584" s="15" t="s">
        <v>1332</v>
      </c>
      <c r="D584" s="39"/>
      <c r="E584" s="15" t="s">
        <v>187</v>
      </c>
      <c r="F584" s="15" t="s">
        <v>133</v>
      </c>
      <c r="G584" s="15" t="s">
        <v>1333</v>
      </c>
      <c r="H584" s="15" t="s">
        <v>100</v>
      </c>
      <c r="I584" s="15" t="s">
        <v>81</v>
      </c>
      <c r="J584" s="36"/>
      <c r="K584" s="37" t="str">
        <f t="array" ref="K584">IFERROR(VLOOKUP(B584, SORT('Nhật ký nộp hồ sơ '!B:D, 'Nhật ký nộp hồ sơ '!A:A, FALSE), 3, FALSE),"")</f>
        <v>Nộp thành công - Chờ kết quả</v>
      </c>
      <c r="L584" s="37" t="str">
        <f t="shared" si="1"/>
        <v>Đã nộp</v>
      </c>
      <c r="M584" s="15" t="s">
        <v>588</v>
      </c>
      <c r="N584" s="38">
        <f>IFERROR(__xludf.DUMMYFUNCTION("""COMPUTED_VALUE"""),46062.0)</f>
        <v>46062</v>
      </c>
      <c r="O584" s="38">
        <v>46065.0</v>
      </c>
      <c r="P584" s="38">
        <f>IFERROR(__xludf.DUMMYFUNCTION("IFERROR(QUERY('Nhật ký nộp hồ sơ '!A:I, ""SELECT I WHERE B = '""&amp;B584&amp;""' ORDER BY A DESC LIMIT 1"", 0))"),46084.0)</f>
        <v>46084</v>
      </c>
      <c r="Q584" s="37" t="str">
        <f t="shared" si="2"/>
        <v/>
      </c>
      <c r="R584" s="37">
        <v>1.0</v>
      </c>
      <c r="S584" s="15" t="s">
        <v>1334</v>
      </c>
      <c r="T584" s="37"/>
      <c r="U584" s="36"/>
      <c r="V584" s="18" t="s">
        <v>34</v>
      </c>
      <c r="W584" s="37"/>
      <c r="X584" s="37"/>
    </row>
    <row r="585" ht="22.5" customHeight="1">
      <c r="A585" s="35">
        <v>46080.46857964121</v>
      </c>
      <c r="B585" s="12" t="s">
        <v>1335</v>
      </c>
      <c r="C585" s="15" t="s">
        <v>654</v>
      </c>
      <c r="D585" s="41"/>
      <c r="E585" s="15" t="s">
        <v>53</v>
      </c>
      <c r="F585" s="15" t="s">
        <v>133</v>
      </c>
      <c r="G585" s="40" t="s">
        <v>655</v>
      </c>
      <c r="H585" s="15" t="s">
        <v>47</v>
      </c>
      <c r="I585" s="15" t="s">
        <v>81</v>
      </c>
      <c r="J585" s="36"/>
      <c r="K585" s="37" t="str">
        <f t="array" ref="K585">IFERROR(VLOOKUP(B585, SORT('Nhật ký nộp hồ sơ '!B:D, 'Nhật ký nộp hồ sơ '!A:A, FALSE), 3, FALSE),"")</f>
        <v>Nộp thành công - Chờ kết quả</v>
      </c>
      <c r="L585" s="37" t="str">
        <f t="shared" si="1"/>
        <v>Đã nộp</v>
      </c>
      <c r="M585" s="15" t="s">
        <v>82</v>
      </c>
      <c r="N585" s="38">
        <f>IFERROR(__xludf.DUMMYFUNCTION("""COMPUTED_VALUE"""),46080.0)</f>
        <v>46080</v>
      </c>
      <c r="O585" s="38">
        <v>46083.0</v>
      </c>
      <c r="P585" s="38">
        <f>IFERROR(__xludf.DUMMYFUNCTION("IFERROR(QUERY('Nhật ký nộp hồ sơ '!A:I, ""SELECT I WHERE B = '""&amp;B585&amp;""' ORDER BY A DESC LIMIT 1"", 0))"),46106.0)</f>
        <v>46106</v>
      </c>
      <c r="Q585" s="37" t="str">
        <f t="shared" si="2"/>
        <v/>
      </c>
      <c r="R585" s="37">
        <v>1.0</v>
      </c>
      <c r="S585" s="15" t="s">
        <v>1336</v>
      </c>
      <c r="T585" s="15" t="s">
        <v>1337</v>
      </c>
      <c r="U585" s="36"/>
      <c r="V585" s="18" t="s">
        <v>34</v>
      </c>
      <c r="W585" s="37"/>
      <c r="X585" s="37"/>
    </row>
    <row r="586" ht="22.5" customHeight="1">
      <c r="A586" s="35">
        <v>46080.61243451389</v>
      </c>
      <c r="B586" s="12" t="s">
        <v>1338</v>
      </c>
      <c r="C586" s="15" t="s">
        <v>1130</v>
      </c>
      <c r="D586" s="41"/>
      <c r="E586" s="15" t="s">
        <v>62</v>
      </c>
      <c r="F586" s="15" t="s">
        <v>481</v>
      </c>
      <c r="G586" s="15"/>
      <c r="H586" s="15" t="s">
        <v>47</v>
      </c>
      <c r="I586" s="15" t="s">
        <v>81</v>
      </c>
      <c r="J586" s="36"/>
      <c r="K586" s="37" t="str">
        <f t="array" ref="K586">IFERROR(VLOOKUP(B586, SORT('Nhật ký nộp hồ sơ '!B:D, 'Nhật ký nộp hồ sơ '!A:A, FALSE), 3, FALSE),"")</f>
        <v>Hoàn thành</v>
      </c>
      <c r="L586" s="37" t="str">
        <f t="shared" si="1"/>
        <v>Hoàn thành</v>
      </c>
      <c r="M586" s="15" t="s">
        <v>82</v>
      </c>
      <c r="N586" s="38">
        <f>IFERROR(__xludf.DUMMYFUNCTION("""COMPUTED_VALUE"""),46080.0)</f>
        <v>46080</v>
      </c>
      <c r="O586" s="38">
        <v>46083.0</v>
      </c>
      <c r="P586" s="38">
        <f>IFERROR(__xludf.DUMMYFUNCTION("IFERROR(QUERY('Nhật ký nộp hồ sơ '!A:I, ""SELECT I WHERE B = '""&amp;B586&amp;""' ORDER BY A DESC LIMIT 1"", 0))"),46176.0)</f>
        <v>46176</v>
      </c>
      <c r="Q586" s="38">
        <f t="shared" si="2"/>
        <v>46176</v>
      </c>
      <c r="R586" s="37">
        <v>2.0</v>
      </c>
      <c r="S586" s="15" t="s">
        <v>1336</v>
      </c>
      <c r="T586" s="37"/>
      <c r="U586" s="36"/>
      <c r="V586" s="18" t="s">
        <v>34</v>
      </c>
      <c r="W586" s="37"/>
      <c r="X586" s="37"/>
    </row>
    <row r="587" ht="22.5" customHeight="1">
      <c r="A587" s="35">
        <v>46080.667699618054</v>
      </c>
      <c r="B587" s="12" t="s">
        <v>1339</v>
      </c>
      <c r="C587" s="15" t="s">
        <v>1340</v>
      </c>
      <c r="D587" s="41"/>
      <c r="E587" s="15" t="s">
        <v>26</v>
      </c>
      <c r="F587" s="15" t="s">
        <v>620</v>
      </c>
      <c r="G587" s="15"/>
      <c r="H587" s="15" t="s">
        <v>28</v>
      </c>
      <c r="I587" s="15" t="s">
        <v>659</v>
      </c>
      <c r="J587" s="36"/>
      <c r="K587" s="37" t="str">
        <f t="array" ref="K587">IFERROR(VLOOKUP(B587, SORT('Nhật ký nộp hồ sơ '!B:D, 'Nhật ký nộp hồ sơ '!A:A, FALSE), 3, FALSE),"")</f>
        <v>Hoàn thành</v>
      </c>
      <c r="L587" s="37" t="str">
        <f t="shared" si="1"/>
        <v>Hoàn thành</v>
      </c>
      <c r="M587" s="15" t="s">
        <v>216</v>
      </c>
      <c r="N587" s="38">
        <f>IFERROR(__xludf.DUMMYFUNCTION("""COMPUTED_VALUE"""),46080.0)</f>
        <v>46080</v>
      </c>
      <c r="O587" s="38">
        <v>46083.0</v>
      </c>
      <c r="P587" s="38">
        <f>IFERROR(__xludf.DUMMYFUNCTION("IFERROR(QUERY('Nhật ký nộp hồ sơ '!A:I, ""SELECT I WHERE B = '""&amp;B587&amp;""' ORDER BY A DESC LIMIT 1"", 0))"),46081.0)</f>
        <v>46081</v>
      </c>
      <c r="Q587" s="38">
        <f t="shared" si="2"/>
        <v>46081</v>
      </c>
      <c r="R587" s="37">
        <v>1.0</v>
      </c>
      <c r="S587" s="15"/>
      <c r="T587" s="37"/>
      <c r="U587" s="36"/>
      <c r="V587" s="18" t="s">
        <v>34</v>
      </c>
      <c r="W587" s="37"/>
      <c r="X587" s="37" t="s">
        <v>1188</v>
      </c>
    </row>
    <row r="588" ht="22.5" customHeight="1">
      <c r="A588" s="35">
        <v>46080.669828831014</v>
      </c>
      <c r="B588" s="12" t="s">
        <v>1341</v>
      </c>
      <c r="C588" s="15" t="s">
        <v>1342</v>
      </c>
      <c r="D588" s="41"/>
      <c r="E588" s="15" t="s">
        <v>62</v>
      </c>
      <c r="F588" s="15" t="s">
        <v>133</v>
      </c>
      <c r="G588" s="40" t="s">
        <v>1343</v>
      </c>
      <c r="H588" s="15" t="s">
        <v>28</v>
      </c>
      <c r="I588" s="15" t="s">
        <v>659</v>
      </c>
      <c r="J588" s="36"/>
      <c r="K588" s="37" t="str">
        <f t="array" ref="K588">IFERROR(VLOOKUP(B588, SORT('Nhật ký nộp hồ sơ '!B:D, 'Nhật ký nộp hồ sơ '!A:A, FALSE), 3, FALSE),"")</f>
        <v>Hủy</v>
      </c>
      <c r="L588" s="37" t="str">
        <f t="shared" si="1"/>
        <v>ĐÃ HỦY</v>
      </c>
      <c r="M588" s="15" t="s">
        <v>56</v>
      </c>
      <c r="N588" s="38">
        <f>IFERROR(__xludf.DUMMYFUNCTION("""COMPUTED_VALUE"""),46080.0)</f>
        <v>46080</v>
      </c>
      <c r="O588" s="38">
        <v>46083.0</v>
      </c>
      <c r="P588" s="38">
        <f>IFERROR(__xludf.DUMMYFUNCTION("IFERROR(QUERY('Nhật ký nộp hồ sơ '!A:I, ""SELECT I WHERE B = '""&amp;B588&amp;""' ORDER BY A DESC LIMIT 1"", 0))"),46135.0)</f>
        <v>46135</v>
      </c>
      <c r="Q588" s="37" t="str">
        <f t="shared" si="2"/>
        <v/>
      </c>
      <c r="R588" s="37">
        <v>3.0</v>
      </c>
      <c r="S588" s="15" t="s">
        <v>1344</v>
      </c>
      <c r="T588" s="37"/>
      <c r="U588" s="36"/>
      <c r="V588" s="18" t="s">
        <v>34</v>
      </c>
      <c r="W588" s="37"/>
      <c r="X588" s="37"/>
    </row>
    <row r="589" ht="22.5" customHeight="1">
      <c r="A589" s="35">
        <v>46083.41458892361</v>
      </c>
      <c r="B589" s="12" t="s">
        <v>1345</v>
      </c>
      <c r="C589" s="15" t="s">
        <v>1346</v>
      </c>
      <c r="D589" s="41"/>
      <c r="E589" s="15" t="s">
        <v>26</v>
      </c>
      <c r="F589" s="15" t="s">
        <v>440</v>
      </c>
      <c r="G589" s="15"/>
      <c r="H589" s="15" t="s">
        <v>29</v>
      </c>
      <c r="I589" s="13" t="s">
        <v>40</v>
      </c>
      <c r="J589" s="36"/>
      <c r="K589" s="37" t="str">
        <f t="array" ref="K589">IFERROR(VLOOKUP(B589, SORT('Nhật ký nộp hồ sơ '!B:D, 'Nhật ký nộp hồ sơ '!A:A, FALSE), 3, FALSE),"")</f>
        <v>Hoàn thành</v>
      </c>
      <c r="L589" s="37" t="str">
        <f t="shared" si="1"/>
        <v>Hoàn thành</v>
      </c>
      <c r="M589" s="15" t="s">
        <v>30</v>
      </c>
      <c r="N589" s="38">
        <f>IFERROR(__xludf.DUMMYFUNCTION("""COMPUTED_VALUE"""),46083.0)</f>
        <v>46083</v>
      </c>
      <c r="O589" s="38">
        <v>46086.0</v>
      </c>
      <c r="P589" s="38">
        <f>IFERROR(__xludf.DUMMYFUNCTION("IFERROR(QUERY('Nhật ký nộp hồ sơ '!A:I, ""SELECT I WHERE B = '""&amp;B589&amp;""' ORDER BY A DESC LIMIT 1"", 0))"),46085.0)</f>
        <v>46085</v>
      </c>
      <c r="Q589" s="38">
        <f t="shared" si="2"/>
        <v>46085</v>
      </c>
      <c r="R589" s="37">
        <v>1.0</v>
      </c>
      <c r="S589" s="15"/>
      <c r="T589" s="37"/>
      <c r="U589" s="36"/>
      <c r="V589" s="18" t="s">
        <v>34</v>
      </c>
      <c r="W589" s="37"/>
      <c r="X589" s="37"/>
    </row>
    <row r="590" ht="22.5" customHeight="1">
      <c r="A590" s="35">
        <v>46084.39602810185</v>
      </c>
      <c r="B590" s="12" t="s">
        <v>1347</v>
      </c>
      <c r="C590" s="15" t="s">
        <v>1348</v>
      </c>
      <c r="D590" s="41"/>
      <c r="E590" s="15" t="s">
        <v>88</v>
      </c>
      <c r="F590" s="15" t="s">
        <v>133</v>
      </c>
      <c r="G590" s="40" t="s">
        <v>1349</v>
      </c>
      <c r="H590" s="15" t="s">
        <v>47</v>
      </c>
      <c r="I590" s="15" t="s">
        <v>659</v>
      </c>
      <c r="J590" s="36"/>
      <c r="K590" s="37" t="str">
        <f t="array" ref="K590">IFERROR(VLOOKUP(B590, SORT('Nhật ký nộp hồ sơ '!B:D, 'Nhật ký nộp hồ sơ '!A:A, FALSE), 3, FALSE),"")</f>
        <v>Hoàn thành</v>
      </c>
      <c r="L590" s="37" t="str">
        <f t="shared" si="1"/>
        <v>Hoàn thành</v>
      </c>
      <c r="M590" s="15" t="s">
        <v>56</v>
      </c>
      <c r="N590" s="38">
        <f>IFERROR(__xludf.DUMMYFUNCTION("""COMPUTED_VALUE"""),46084.0)</f>
        <v>46084</v>
      </c>
      <c r="O590" s="38">
        <v>46087.0</v>
      </c>
      <c r="P590" s="38">
        <f>IFERROR(__xludf.DUMMYFUNCTION("IFERROR(QUERY('Nhật ký nộp hồ sơ '!A:I, ""SELECT I WHERE B = '""&amp;B590&amp;""' ORDER BY A DESC LIMIT 1"", 0))"),46091.0)</f>
        <v>46091</v>
      </c>
      <c r="Q590" s="38">
        <f t="shared" si="2"/>
        <v>46091</v>
      </c>
      <c r="R590" s="37">
        <v>1.0</v>
      </c>
      <c r="S590" s="15"/>
      <c r="T590" s="37"/>
      <c r="U590" s="36"/>
      <c r="V590" s="18" t="s">
        <v>34</v>
      </c>
      <c r="W590" s="37"/>
      <c r="X590" s="37"/>
    </row>
    <row r="591" ht="22.5" customHeight="1">
      <c r="A591" s="35">
        <v>46084.40153834491</v>
      </c>
      <c r="B591" s="12" t="s">
        <v>1350</v>
      </c>
      <c r="C591" s="15" t="s">
        <v>1351</v>
      </c>
      <c r="D591" s="41"/>
      <c r="E591" s="15" t="s">
        <v>151</v>
      </c>
      <c r="F591" s="13" t="s">
        <v>68</v>
      </c>
      <c r="G591" s="15"/>
      <c r="H591" s="15" t="s">
        <v>69</v>
      </c>
      <c r="I591" s="15" t="s">
        <v>659</v>
      </c>
      <c r="J591" s="36"/>
      <c r="K591" s="37" t="str">
        <f t="array" ref="K591">IFERROR(VLOOKUP(B591, SORT('Nhật ký nộp hồ sơ '!B:D, 'Nhật ký nộp hồ sơ '!A:A, FALSE), 3, FALSE),"")</f>
        <v>Hoàn thành</v>
      </c>
      <c r="L591" s="37" t="str">
        <f t="shared" si="1"/>
        <v>Hoàn thành</v>
      </c>
      <c r="M591" s="15" t="s">
        <v>48</v>
      </c>
      <c r="N591" s="38">
        <f>IFERROR(__xludf.DUMMYFUNCTION("""COMPUTED_VALUE"""),46084.0)</f>
        <v>46084</v>
      </c>
      <c r="O591" s="38">
        <v>46087.0</v>
      </c>
      <c r="P591" s="38">
        <f>IFERROR(__xludf.DUMMYFUNCTION("IFERROR(QUERY('Nhật ký nộp hồ sơ '!A:I, ""SELECT I WHERE B = '""&amp;B591&amp;""' ORDER BY A DESC LIMIT 1"", 0))"),46119.0)</f>
        <v>46119</v>
      </c>
      <c r="Q591" s="38">
        <f t="shared" si="2"/>
        <v>46119</v>
      </c>
      <c r="R591" s="37">
        <v>1.0</v>
      </c>
      <c r="S591" s="15"/>
      <c r="T591" s="37"/>
      <c r="U591" s="36"/>
      <c r="V591" s="18" t="s">
        <v>34</v>
      </c>
      <c r="W591" s="37"/>
      <c r="X591" s="37"/>
    </row>
    <row r="592" ht="22.5" customHeight="1">
      <c r="A592" s="35">
        <v>46085.3810962037</v>
      </c>
      <c r="B592" s="12" t="s">
        <v>1352</v>
      </c>
      <c r="C592" s="15" t="s">
        <v>1219</v>
      </c>
      <c r="D592" s="41"/>
      <c r="E592" s="15" t="s">
        <v>53</v>
      </c>
      <c r="F592" s="15" t="s">
        <v>133</v>
      </c>
      <c r="G592" s="15"/>
      <c r="H592" s="15" t="s">
        <v>28</v>
      </c>
      <c r="I592" s="15" t="s">
        <v>81</v>
      </c>
      <c r="J592" s="36"/>
      <c r="K592" s="37" t="str">
        <f t="array" ref="K592">IFERROR(VLOOKUP(B592, SORT('Nhật ký nộp hồ sơ '!B:D, 'Nhật ký nộp hồ sơ '!A:A, FALSE), 3, FALSE),"")</f>
        <v>Hoàn thành</v>
      </c>
      <c r="L592" s="37" t="str">
        <f t="shared" si="1"/>
        <v>Hoàn thành</v>
      </c>
      <c r="M592" s="15" t="s">
        <v>216</v>
      </c>
      <c r="N592" s="38">
        <f>IFERROR(__xludf.DUMMYFUNCTION("""COMPUTED_VALUE"""),46085.0)</f>
        <v>46085</v>
      </c>
      <c r="O592" s="38">
        <v>46088.0</v>
      </c>
      <c r="P592" s="38">
        <f>IFERROR(__xludf.DUMMYFUNCTION("IFERROR(QUERY('Nhật ký nộp hồ sơ '!A:I, ""SELECT I WHERE B = '""&amp;B592&amp;""' ORDER BY A DESC LIMIT 1"", 0))"),46085.0)</f>
        <v>46085</v>
      </c>
      <c r="Q592" s="38">
        <f t="shared" si="2"/>
        <v>46085</v>
      </c>
      <c r="R592" s="37">
        <v>1.0</v>
      </c>
      <c r="S592" s="15"/>
      <c r="T592" s="37"/>
      <c r="U592" s="36"/>
      <c r="V592" s="18" t="s">
        <v>34</v>
      </c>
      <c r="W592" s="37"/>
      <c r="X592" s="37"/>
    </row>
    <row r="593" ht="22.5" customHeight="1">
      <c r="A593" s="35">
        <v>46085.464248425924</v>
      </c>
      <c r="B593" s="12" t="s">
        <v>1353</v>
      </c>
      <c r="C593" s="15" t="s">
        <v>1354</v>
      </c>
      <c r="D593" s="36"/>
      <c r="E593" s="15" t="s">
        <v>53</v>
      </c>
      <c r="F593" s="15" t="s">
        <v>133</v>
      </c>
      <c r="G593" s="37"/>
      <c r="H593" s="15" t="s">
        <v>29</v>
      </c>
      <c r="I593" s="15" t="s">
        <v>659</v>
      </c>
      <c r="J593" s="36"/>
      <c r="K593" s="37" t="str">
        <f t="array" ref="K593">IFERROR(VLOOKUP(B593, SORT('Nhật ký nộp hồ sơ '!B:D, 'Nhật ký nộp hồ sơ '!A:A, FALSE), 3, FALSE),"")</f>
        <v>Nộp thành công - Chờ kết quả</v>
      </c>
      <c r="L593" s="37" t="str">
        <f t="shared" si="1"/>
        <v>Đã nộp</v>
      </c>
      <c r="M593" s="15" t="s">
        <v>48</v>
      </c>
      <c r="N593" s="38">
        <f>IFERROR(__xludf.DUMMYFUNCTION("""COMPUTED_VALUE"""),46085.0)</f>
        <v>46085</v>
      </c>
      <c r="O593" s="38">
        <v>46088.0</v>
      </c>
      <c r="P593" s="38">
        <f>IFERROR(__xludf.DUMMYFUNCTION("IFERROR(QUERY('Nhật ký nộp hồ sơ '!A:I, ""SELECT I WHERE B = '""&amp;B593&amp;""' ORDER BY A DESC LIMIT 1"", 0))"),46192.0)</f>
        <v>46192</v>
      </c>
      <c r="Q593" s="37" t="str">
        <f t="shared" si="2"/>
        <v/>
      </c>
      <c r="R593" s="37">
        <v>1.0</v>
      </c>
      <c r="S593" s="37"/>
      <c r="T593" s="15" t="s">
        <v>1355</v>
      </c>
      <c r="U593" s="36"/>
      <c r="V593" s="18" t="s">
        <v>34</v>
      </c>
      <c r="W593" s="37"/>
      <c r="X593" s="37"/>
    </row>
    <row r="594" ht="22.5" customHeight="1">
      <c r="A594" s="35">
        <v>46085.46546380787</v>
      </c>
      <c r="B594" s="12" t="s">
        <v>1356</v>
      </c>
      <c r="C594" s="15" t="s">
        <v>1357</v>
      </c>
      <c r="D594" s="36"/>
      <c r="E594" s="15" t="s">
        <v>187</v>
      </c>
      <c r="F594" s="15" t="s">
        <v>133</v>
      </c>
      <c r="G594" s="37"/>
      <c r="H594" s="15" t="s">
        <v>29</v>
      </c>
      <c r="I594" s="15" t="s">
        <v>659</v>
      </c>
      <c r="J594" s="36"/>
      <c r="K594" s="37" t="str">
        <f t="array" ref="K594">IFERROR(VLOOKUP(B594, SORT('Nhật ký nộp hồ sơ '!B:D, 'Nhật ký nộp hồ sơ '!A:A, FALSE), 3, FALSE),"")</f>
        <v>Hoàn thành</v>
      </c>
      <c r="L594" s="37" t="str">
        <f t="shared" si="1"/>
        <v>Hoàn thành</v>
      </c>
      <c r="M594" s="15" t="s">
        <v>48</v>
      </c>
      <c r="N594" s="38">
        <f>IFERROR(__xludf.DUMMYFUNCTION("""COMPUTED_VALUE"""),46085.0)</f>
        <v>46085</v>
      </c>
      <c r="O594" s="38">
        <v>46088.0</v>
      </c>
      <c r="P594" s="38">
        <f>IFERROR(__xludf.DUMMYFUNCTION("IFERROR(QUERY('Nhật ký nộp hồ sơ '!A:I, ""SELECT I WHERE B = '""&amp;B594&amp;""' ORDER BY A DESC LIMIT 1"", 0))"),46112.0)</f>
        <v>46112</v>
      </c>
      <c r="Q594" s="38">
        <f t="shared" si="2"/>
        <v>46112</v>
      </c>
      <c r="R594" s="37">
        <v>1.0</v>
      </c>
      <c r="S594" s="37"/>
      <c r="T594" s="15" t="s">
        <v>1358</v>
      </c>
      <c r="U594" s="36"/>
      <c r="V594" s="18" t="s">
        <v>34</v>
      </c>
      <c r="W594" s="37"/>
      <c r="X594" s="37"/>
    </row>
    <row r="595" ht="22.5" customHeight="1">
      <c r="A595" s="35">
        <v>46085.477828125004</v>
      </c>
      <c r="B595" s="12" t="s">
        <v>1359</v>
      </c>
      <c r="C595" s="15" t="s">
        <v>1342</v>
      </c>
      <c r="D595" s="36"/>
      <c r="E595" s="15" t="s">
        <v>62</v>
      </c>
      <c r="F595" s="15" t="s">
        <v>133</v>
      </c>
      <c r="G595" s="42" t="s">
        <v>1360</v>
      </c>
      <c r="H595" s="15" t="s">
        <v>28</v>
      </c>
      <c r="I595" s="15" t="s">
        <v>81</v>
      </c>
      <c r="J595" s="36"/>
      <c r="K595" s="37" t="str">
        <f t="array" ref="K595">IFERROR(VLOOKUP(B595, SORT('Nhật ký nộp hồ sơ '!B:D, 'Nhật ký nộp hồ sơ '!A:A, FALSE), 3, FALSE),"")</f>
        <v>Hoàn thành</v>
      </c>
      <c r="L595" s="37" t="str">
        <f t="shared" si="1"/>
        <v>Hoàn thành</v>
      </c>
      <c r="M595" s="15" t="s">
        <v>41</v>
      </c>
      <c r="N595" s="38">
        <f>IFERROR(__xludf.DUMMYFUNCTION("""COMPUTED_VALUE"""),46085.0)</f>
        <v>46085</v>
      </c>
      <c r="O595" s="38">
        <v>46088.0</v>
      </c>
      <c r="P595" s="38">
        <f>IFERROR(__xludf.DUMMYFUNCTION("IFERROR(QUERY('Nhật ký nộp hồ sơ '!A:I, ""SELECT I WHERE B = '""&amp;B595&amp;""' ORDER BY A DESC LIMIT 1"", 0))"),46086.0)</f>
        <v>46086</v>
      </c>
      <c r="Q595" s="38">
        <f t="shared" si="2"/>
        <v>46086</v>
      </c>
      <c r="R595" s="37">
        <v>1.0</v>
      </c>
      <c r="S595" s="37" t="s">
        <v>1361</v>
      </c>
      <c r="T595" s="37"/>
      <c r="U595" s="36"/>
      <c r="V595" s="18" t="s">
        <v>34</v>
      </c>
      <c r="W595" s="37"/>
      <c r="X595" s="37"/>
    </row>
    <row r="596" ht="22.5" customHeight="1">
      <c r="A596" s="35">
        <v>46085.48682413195</v>
      </c>
      <c r="B596" s="12" t="s">
        <v>1362</v>
      </c>
      <c r="C596" s="15" t="s">
        <v>1363</v>
      </c>
      <c r="D596" s="36"/>
      <c r="E596" s="15" t="s">
        <v>74</v>
      </c>
      <c r="F596" s="15" t="s">
        <v>133</v>
      </c>
      <c r="G596" s="42" t="s">
        <v>1270</v>
      </c>
      <c r="H596" s="15" t="s">
        <v>47</v>
      </c>
      <c r="I596" s="15" t="s">
        <v>81</v>
      </c>
      <c r="J596" s="36"/>
      <c r="K596" s="37" t="str">
        <f t="array" ref="K596">IFERROR(VLOOKUP(B596, SORT('Nhật ký nộp hồ sơ '!B:D, 'Nhật ký nộp hồ sơ '!A:A, FALSE), 3, FALSE),"")</f>
        <v>Hoàn thành</v>
      </c>
      <c r="L596" s="37" t="str">
        <f t="shared" si="1"/>
        <v>Hoàn thành</v>
      </c>
      <c r="M596" s="15" t="s">
        <v>41</v>
      </c>
      <c r="N596" s="38">
        <f>IFERROR(__xludf.DUMMYFUNCTION("""COMPUTED_VALUE"""),46085.0)</f>
        <v>46085</v>
      </c>
      <c r="O596" s="38">
        <v>46088.0</v>
      </c>
      <c r="P596" s="38">
        <f>IFERROR(__xludf.DUMMYFUNCTION("IFERROR(QUERY('Nhật ký nộp hồ sơ '!A:I, ""SELECT I WHERE B = '""&amp;B596&amp;""' ORDER BY A DESC LIMIT 1"", 0))"),46085.0)</f>
        <v>46085</v>
      </c>
      <c r="Q596" s="38">
        <f t="shared" si="2"/>
        <v>46085</v>
      </c>
      <c r="R596" s="37">
        <v>1.0</v>
      </c>
      <c r="S596" s="37"/>
      <c r="T596" s="37"/>
      <c r="U596" s="36"/>
      <c r="V596" s="18" t="s">
        <v>34</v>
      </c>
      <c r="W596" s="37"/>
      <c r="X596" s="37"/>
    </row>
    <row r="597" ht="22.5" customHeight="1">
      <c r="A597" s="35">
        <v>46085.67115841435</v>
      </c>
      <c r="B597" s="12" t="s">
        <v>1364</v>
      </c>
      <c r="C597" s="15" t="s">
        <v>1322</v>
      </c>
      <c r="D597" s="36"/>
      <c r="E597" s="15" t="s">
        <v>45</v>
      </c>
      <c r="F597" s="15" t="s">
        <v>133</v>
      </c>
      <c r="G597" s="42" t="s">
        <v>1324</v>
      </c>
      <c r="H597" s="15" t="s">
        <v>28</v>
      </c>
      <c r="I597" s="15" t="s">
        <v>659</v>
      </c>
      <c r="J597" s="36"/>
      <c r="K597" s="37" t="str">
        <f t="array" ref="K597">IFERROR(VLOOKUP(B597, SORT('Nhật ký nộp hồ sơ '!B:D, 'Nhật ký nộp hồ sơ '!A:A, FALSE), 3, FALSE),"")</f>
        <v>Hoàn thành</v>
      </c>
      <c r="L597" s="37" t="str">
        <f t="shared" si="1"/>
        <v>Hoàn thành</v>
      </c>
      <c r="M597" s="15" t="s">
        <v>216</v>
      </c>
      <c r="N597" s="38">
        <f>IFERROR(__xludf.DUMMYFUNCTION("""COMPUTED_VALUE"""),46085.0)</f>
        <v>46085</v>
      </c>
      <c r="O597" s="38">
        <v>46088.0</v>
      </c>
      <c r="P597" s="38">
        <f>IFERROR(__xludf.DUMMYFUNCTION("IFERROR(QUERY('Nhật ký nộp hồ sơ '!A:I, ""SELECT I WHERE B = '""&amp;B597&amp;""' ORDER BY A DESC LIMIT 1"", 0))"),46086.0)</f>
        <v>46086</v>
      </c>
      <c r="Q597" s="38">
        <f t="shared" si="2"/>
        <v>46086</v>
      </c>
      <c r="R597" s="37">
        <v>3.0</v>
      </c>
      <c r="S597" s="37"/>
      <c r="T597" s="37"/>
      <c r="U597" s="36"/>
      <c r="V597" s="18" t="s">
        <v>34</v>
      </c>
      <c r="W597" s="37"/>
      <c r="X597" s="37"/>
    </row>
    <row r="598" ht="22.5" customHeight="1">
      <c r="A598" s="35">
        <v>46085.69783217592</v>
      </c>
      <c r="B598" s="12" t="s">
        <v>1365</v>
      </c>
      <c r="C598" s="15" t="s">
        <v>1366</v>
      </c>
      <c r="D598" s="36"/>
      <c r="E598" s="15" t="s">
        <v>26</v>
      </c>
      <c r="F598" s="15" t="s">
        <v>133</v>
      </c>
      <c r="G598" s="42" t="s">
        <v>1367</v>
      </c>
      <c r="H598" s="15" t="s">
        <v>47</v>
      </c>
      <c r="I598" s="13" t="s">
        <v>659</v>
      </c>
      <c r="J598" s="36"/>
      <c r="K598" s="37" t="str">
        <f t="array" ref="K598">IFERROR(VLOOKUP(B598, SORT('Nhật ký nộp hồ sơ '!B:D, 'Nhật ký nộp hồ sơ '!A:A, FALSE), 3, FALSE),"")</f>
        <v>Hoàn thành</v>
      </c>
      <c r="L598" s="37" t="str">
        <f t="shared" si="1"/>
        <v>Hoàn thành</v>
      </c>
      <c r="M598" s="15" t="s">
        <v>30</v>
      </c>
      <c r="N598" s="38">
        <f>IFERROR(__xludf.DUMMYFUNCTION("""COMPUTED_VALUE"""),46085.0)</f>
        <v>46085</v>
      </c>
      <c r="O598" s="38">
        <v>46088.0</v>
      </c>
      <c r="P598" s="38">
        <f>IFERROR(__xludf.DUMMYFUNCTION("IFERROR(QUERY('Nhật ký nộp hồ sơ '!A:I, ""SELECT I WHERE B = '""&amp;B598&amp;""' ORDER BY A DESC LIMIT 1"", 0))"),46086.0)</f>
        <v>46086</v>
      </c>
      <c r="Q598" s="38">
        <f t="shared" si="2"/>
        <v>46086</v>
      </c>
      <c r="R598" s="37">
        <v>4.0</v>
      </c>
      <c r="S598" s="37" t="s">
        <v>1368</v>
      </c>
      <c r="T598" s="37"/>
      <c r="U598" s="36"/>
      <c r="V598" s="18" t="s">
        <v>34</v>
      </c>
      <c r="W598" s="37"/>
      <c r="X598" s="37"/>
    </row>
    <row r="599" ht="22.5" customHeight="1">
      <c r="A599" s="35">
        <v>46086.40096439815</v>
      </c>
      <c r="B599" s="12" t="s">
        <v>1369</v>
      </c>
      <c r="C599" s="15" t="s">
        <v>1130</v>
      </c>
      <c r="D599" s="36"/>
      <c r="E599" s="15" t="s">
        <v>62</v>
      </c>
      <c r="F599" s="15" t="s">
        <v>481</v>
      </c>
      <c r="G599" s="37"/>
      <c r="H599" s="15" t="s">
        <v>28</v>
      </c>
      <c r="I599" s="15" t="s">
        <v>659</v>
      </c>
      <c r="J599" s="36"/>
      <c r="K599" s="37" t="str">
        <f t="array" ref="K599">IFERROR(VLOOKUP(B599, SORT('Nhật ký nộp hồ sơ '!B:D, 'Nhật ký nộp hồ sơ '!A:A, FALSE), 3, FALSE),"")</f>
        <v>Hoàn thành</v>
      </c>
      <c r="L599" s="37" t="str">
        <f t="shared" si="1"/>
        <v>Hoàn thành</v>
      </c>
      <c r="M599" s="15" t="s">
        <v>216</v>
      </c>
      <c r="N599" s="38">
        <f>IFERROR(__xludf.DUMMYFUNCTION("""COMPUTED_VALUE"""),46086.0)</f>
        <v>46086</v>
      </c>
      <c r="O599" s="38">
        <v>46089.0</v>
      </c>
      <c r="P599" s="38">
        <f>IFERROR(__xludf.DUMMYFUNCTION("IFERROR(QUERY('Nhật ký nộp hồ sơ '!A:I, ""SELECT I WHERE B = '""&amp;B599&amp;""' ORDER BY A DESC LIMIT 1"", 0))"),46086.0)</f>
        <v>46086</v>
      </c>
      <c r="Q599" s="38">
        <f t="shared" si="2"/>
        <v>46086</v>
      </c>
      <c r="R599" s="37">
        <v>1.0</v>
      </c>
      <c r="S599" s="37"/>
      <c r="T599" s="37"/>
      <c r="U599" s="36"/>
      <c r="V599" s="18" t="s">
        <v>34</v>
      </c>
      <c r="W599" s="37">
        <v>6.0</v>
      </c>
      <c r="X599" s="37" t="s">
        <v>687</v>
      </c>
    </row>
    <row r="600" ht="22.5" customHeight="1">
      <c r="A600" s="35">
        <v>46087.65157898148</v>
      </c>
      <c r="B600" s="12" t="s">
        <v>1370</v>
      </c>
      <c r="C600" s="15" t="s">
        <v>1371</v>
      </c>
      <c r="D600" s="36"/>
      <c r="E600" s="15" t="s">
        <v>45</v>
      </c>
      <c r="F600" s="15" t="s">
        <v>133</v>
      </c>
      <c r="G600" s="42" t="s">
        <v>1372</v>
      </c>
      <c r="H600" s="15" t="s">
        <v>69</v>
      </c>
      <c r="I600" s="15" t="s">
        <v>659</v>
      </c>
      <c r="J600" s="36"/>
      <c r="K600" s="37" t="str">
        <f t="array" ref="K600">IFERROR(VLOOKUP(B600, SORT('Nhật ký nộp hồ sơ '!B:D, 'Nhật ký nộp hồ sơ '!A:A, FALSE), 3, FALSE),"")</f>
        <v>Hoàn thành</v>
      </c>
      <c r="L600" s="37" t="str">
        <f t="shared" si="1"/>
        <v>Hoàn thành</v>
      </c>
      <c r="M600" s="15" t="s">
        <v>48</v>
      </c>
      <c r="N600" s="38">
        <f>IFERROR(__xludf.DUMMYFUNCTION("""COMPUTED_VALUE"""),46087.0)</f>
        <v>46087</v>
      </c>
      <c r="O600" s="38">
        <v>46090.0</v>
      </c>
      <c r="P600" s="38">
        <f>IFERROR(__xludf.DUMMYFUNCTION("IFERROR(QUERY('Nhật ký nộp hồ sơ '!A:I, ""SELECT I WHERE B = '""&amp;B600&amp;""' ORDER BY A DESC LIMIT 1"", 0))"),46101.0)</f>
        <v>46101</v>
      </c>
      <c r="Q600" s="38">
        <f t="shared" si="2"/>
        <v>46101</v>
      </c>
      <c r="R600" s="37">
        <v>2.0</v>
      </c>
      <c r="S600" s="37"/>
      <c r="T600" s="37"/>
      <c r="U600" s="36"/>
      <c r="V600" s="18" t="s">
        <v>34</v>
      </c>
      <c r="W600" s="37"/>
      <c r="X600" s="37"/>
    </row>
    <row r="601" ht="22.5" customHeight="1">
      <c r="A601" s="35">
        <v>46088.503999085646</v>
      </c>
      <c r="B601" s="12" t="s">
        <v>1373</v>
      </c>
      <c r="C601" s="15" t="s">
        <v>1269</v>
      </c>
      <c r="D601" s="36"/>
      <c r="E601" s="15" t="s">
        <v>74</v>
      </c>
      <c r="F601" s="15" t="s">
        <v>133</v>
      </c>
      <c r="G601" s="42" t="s">
        <v>1270</v>
      </c>
      <c r="H601" s="15" t="s">
        <v>659</v>
      </c>
      <c r="I601" s="15" t="s">
        <v>81</v>
      </c>
      <c r="J601" s="36"/>
      <c r="K601" s="37" t="str">
        <f t="array" ref="K601">IFERROR(VLOOKUP(B601, SORT('Nhật ký nộp hồ sơ '!B:D, 'Nhật ký nộp hồ sơ '!A:A, FALSE), 3, FALSE),"")</f>
        <v>Hủy</v>
      </c>
      <c r="L601" s="37" t="str">
        <f t="shared" si="1"/>
        <v>ĐÃ HỦY</v>
      </c>
      <c r="M601" s="15" t="s">
        <v>588</v>
      </c>
      <c r="N601" s="38">
        <f>IFERROR(__xludf.DUMMYFUNCTION("""COMPUTED_VALUE"""),46088.0)</f>
        <v>46088</v>
      </c>
      <c r="O601" s="38">
        <v>46091.0</v>
      </c>
      <c r="P601" s="38">
        <f>IFERROR(__xludf.DUMMYFUNCTION("IFERROR(QUERY('Nhật ký nộp hồ sơ '!A:I, ""SELECT I WHERE B = '""&amp;B601&amp;""' ORDER BY A DESC LIMIT 1"", 0))"),46088.0)</f>
        <v>46088</v>
      </c>
      <c r="Q601" s="38" t="str">
        <f t="shared" si="2"/>
        <v/>
      </c>
      <c r="R601" s="37">
        <v>1.0</v>
      </c>
      <c r="S601" s="37"/>
      <c r="T601" s="37"/>
      <c r="U601" s="36"/>
      <c r="V601" s="18" t="s">
        <v>34</v>
      </c>
      <c r="W601" s="37"/>
      <c r="X601" s="37"/>
    </row>
    <row r="602" ht="22.5" customHeight="1">
      <c r="A602" s="35">
        <v>46090.43002962963</v>
      </c>
      <c r="B602" s="12" t="s">
        <v>1374</v>
      </c>
      <c r="C602" s="15" t="s">
        <v>1375</v>
      </c>
      <c r="D602" s="36"/>
      <c r="E602" s="15" t="s">
        <v>151</v>
      </c>
      <c r="F602" s="13" t="s">
        <v>232</v>
      </c>
      <c r="G602" s="37"/>
      <c r="H602" s="15" t="s">
        <v>28</v>
      </c>
      <c r="I602" s="15" t="s">
        <v>81</v>
      </c>
      <c r="J602" s="39" t="s">
        <v>202</v>
      </c>
      <c r="K602" s="37" t="str">
        <f t="array" ref="K602">IFERROR(VLOOKUP(B602, SORT('Nhật ký nộp hồ sơ '!B:D, 'Nhật ký nộp hồ sơ '!A:A, FALSE), 3, FALSE),"")</f>
        <v>Hoàn thành</v>
      </c>
      <c r="L602" s="37" t="str">
        <f t="shared" si="1"/>
        <v>Hoàn thành</v>
      </c>
      <c r="M602" s="15" t="s">
        <v>56</v>
      </c>
      <c r="N602" s="38">
        <f>IFERROR(__xludf.DUMMYFUNCTION("""COMPUTED_VALUE"""),46090.0)</f>
        <v>46090</v>
      </c>
      <c r="O602" s="38">
        <v>46091.0</v>
      </c>
      <c r="P602" s="38">
        <f>IFERROR(__xludf.DUMMYFUNCTION("IFERROR(QUERY('Nhật ký nộp hồ sơ '!A:I, ""SELECT I WHERE B = '""&amp;B602&amp;""' ORDER BY A DESC LIMIT 1"", 0))"),46106.0)</f>
        <v>46106</v>
      </c>
      <c r="Q602" s="38">
        <f t="shared" si="2"/>
        <v>46106</v>
      </c>
      <c r="R602" s="37">
        <v>1.0</v>
      </c>
      <c r="S602" s="37"/>
      <c r="T602" s="37"/>
      <c r="U602" s="36"/>
      <c r="V602" s="18" t="s">
        <v>34</v>
      </c>
      <c r="W602" s="37"/>
      <c r="X602" s="37"/>
    </row>
    <row r="603" ht="22.5" customHeight="1">
      <c r="A603" s="35">
        <v>46090.43055521991</v>
      </c>
      <c r="B603" s="12" t="s">
        <v>1376</v>
      </c>
      <c r="C603" s="15" t="s">
        <v>1375</v>
      </c>
      <c r="D603" s="36"/>
      <c r="E603" s="15" t="s">
        <v>151</v>
      </c>
      <c r="F603" s="13" t="s">
        <v>232</v>
      </c>
      <c r="G603" s="37"/>
      <c r="H603" s="15" t="s">
        <v>28</v>
      </c>
      <c r="I603" s="15" t="s">
        <v>81</v>
      </c>
      <c r="J603" s="39"/>
      <c r="K603" s="37" t="str">
        <f t="array" ref="K603">IFERROR(VLOOKUP(B603, SORT('Nhật ký nộp hồ sơ '!B:D, 'Nhật ký nộp hồ sơ '!A:A, FALSE), 3, FALSE),"")</f>
        <v>Hoàn thành</v>
      </c>
      <c r="L603" s="37" t="str">
        <f t="shared" si="1"/>
        <v>Hoàn thành</v>
      </c>
      <c r="M603" s="15" t="s">
        <v>146</v>
      </c>
      <c r="N603" s="38">
        <f>IFERROR(__xludf.DUMMYFUNCTION("""COMPUTED_VALUE"""),46090.0)</f>
        <v>46090</v>
      </c>
      <c r="O603" s="38">
        <v>46093.0</v>
      </c>
      <c r="P603" s="38">
        <f>IFERROR(__xludf.DUMMYFUNCTION("IFERROR(QUERY('Nhật ký nộp hồ sơ '!A:I, ""SELECT I WHERE B = '""&amp;B603&amp;""' ORDER BY A DESC LIMIT 1"", 0))"),46090.0)</f>
        <v>46090</v>
      </c>
      <c r="Q603" s="38">
        <f t="shared" si="2"/>
        <v>46090</v>
      </c>
      <c r="R603" s="37">
        <v>2.0</v>
      </c>
      <c r="S603" s="37"/>
      <c r="T603" s="37"/>
      <c r="U603" s="36"/>
      <c r="V603" s="18" t="s">
        <v>34</v>
      </c>
      <c r="W603" s="37"/>
      <c r="X603" s="37"/>
    </row>
    <row r="604" ht="22.5" customHeight="1">
      <c r="A604" s="35">
        <v>46090.44644274305</v>
      </c>
      <c r="B604" s="12" t="s">
        <v>1377</v>
      </c>
      <c r="C604" s="15" t="s">
        <v>1378</v>
      </c>
      <c r="D604" s="36"/>
      <c r="E604" s="15" t="s">
        <v>53</v>
      </c>
      <c r="F604" s="15" t="s">
        <v>133</v>
      </c>
      <c r="G604" s="42" t="s">
        <v>1379</v>
      </c>
      <c r="H604" s="15" t="s">
        <v>29</v>
      </c>
      <c r="I604" s="15" t="s">
        <v>659</v>
      </c>
      <c r="J604" s="36"/>
      <c r="K604" s="37" t="str">
        <f t="array" ref="K604">IFERROR(VLOOKUP(B604, SORT('Nhật ký nộp hồ sơ '!B:D, 'Nhật ký nộp hồ sơ '!A:A, FALSE), 3, FALSE),"")</f>
        <v>Hoàn thành</v>
      </c>
      <c r="L604" s="37" t="str">
        <f t="shared" si="1"/>
        <v>Hoàn thành</v>
      </c>
      <c r="M604" s="15" t="s">
        <v>30</v>
      </c>
      <c r="N604" s="38">
        <f>IFERROR(__xludf.DUMMYFUNCTION("""COMPUTED_VALUE"""),46090.0)</f>
        <v>46090</v>
      </c>
      <c r="O604" s="38">
        <v>46093.0</v>
      </c>
      <c r="P604" s="38">
        <f>IFERROR(__xludf.DUMMYFUNCTION("IFERROR(QUERY('Nhật ký nộp hồ sơ '!A:I, ""SELECT I WHERE B = '""&amp;B604&amp;""' ORDER BY A DESC LIMIT 1"", 0))"),46092.0)</f>
        <v>46092</v>
      </c>
      <c r="Q604" s="38">
        <f t="shared" si="2"/>
        <v>46092</v>
      </c>
      <c r="R604" s="37">
        <v>2.0</v>
      </c>
      <c r="S604" s="37" t="s">
        <v>1380</v>
      </c>
      <c r="T604" s="37"/>
      <c r="U604" s="36"/>
      <c r="V604" s="18" t="s">
        <v>34</v>
      </c>
      <c r="W604" s="37"/>
      <c r="X604" s="37"/>
    </row>
    <row r="605" ht="22.5" customHeight="1">
      <c r="A605" s="35">
        <v>46090.72048236111</v>
      </c>
      <c r="B605" s="12" t="s">
        <v>1381</v>
      </c>
      <c r="C605" s="15" t="s">
        <v>1378</v>
      </c>
      <c r="D605" s="36"/>
      <c r="E605" s="15" t="s">
        <v>53</v>
      </c>
      <c r="F605" s="15" t="s">
        <v>133</v>
      </c>
      <c r="G605" s="37"/>
      <c r="H605" s="15" t="s">
        <v>28</v>
      </c>
      <c r="I605" s="15" t="s">
        <v>81</v>
      </c>
      <c r="J605" s="36"/>
      <c r="K605" s="37" t="str">
        <f t="array" ref="K605">IFERROR(VLOOKUP(B605, SORT('Nhật ký nộp hồ sơ '!B:D, 'Nhật ký nộp hồ sơ '!A:A, FALSE), 3, FALSE),"")</f>
        <v>Hoàn thành</v>
      </c>
      <c r="L605" s="37" t="str">
        <f t="shared" si="1"/>
        <v>Hoàn thành</v>
      </c>
      <c r="M605" s="15" t="s">
        <v>146</v>
      </c>
      <c r="N605" s="38">
        <f>IFERROR(__xludf.DUMMYFUNCTION("""COMPUTED_VALUE"""),46090.0)</f>
        <v>46090</v>
      </c>
      <c r="O605" s="38">
        <v>46093.0</v>
      </c>
      <c r="P605" s="38">
        <f>IFERROR(__xludf.DUMMYFUNCTION("IFERROR(QUERY('Nhật ký nộp hồ sơ '!A:I, ""SELECT I WHERE B = '""&amp;B605&amp;""' ORDER BY A DESC LIMIT 1"", 0))"),46091.0)</f>
        <v>46091</v>
      </c>
      <c r="Q605" s="38">
        <f t="shared" si="2"/>
        <v>46091</v>
      </c>
      <c r="R605" s="37">
        <v>3.0</v>
      </c>
      <c r="S605" s="37"/>
      <c r="T605" s="37"/>
      <c r="U605" s="36"/>
      <c r="V605" s="18" t="s">
        <v>34</v>
      </c>
      <c r="W605" s="37"/>
      <c r="X605" s="37"/>
    </row>
    <row r="606" ht="22.5" customHeight="1">
      <c r="A606" s="35">
        <v>46091.434375509256</v>
      </c>
      <c r="B606" s="12" t="s">
        <v>1382</v>
      </c>
      <c r="C606" s="15" t="s">
        <v>1322</v>
      </c>
      <c r="D606" s="36"/>
      <c r="E606" s="15" t="s">
        <v>45</v>
      </c>
      <c r="F606" s="15" t="s">
        <v>133</v>
      </c>
      <c r="G606" s="15" t="s">
        <v>1383</v>
      </c>
      <c r="H606" s="15" t="s">
        <v>28</v>
      </c>
      <c r="I606" s="15" t="s">
        <v>81</v>
      </c>
      <c r="J606" s="36"/>
      <c r="K606" s="37" t="str">
        <f t="array" ref="K606">IFERROR(VLOOKUP(B606, SORT('Nhật ký nộp hồ sơ '!B:D, 'Nhật ký nộp hồ sơ '!A:A, FALSE), 3, FALSE),"")</f>
        <v>Hoàn thành</v>
      </c>
      <c r="L606" s="37" t="str">
        <f t="shared" si="1"/>
        <v>Hoàn thành</v>
      </c>
      <c r="M606" s="15" t="s">
        <v>41</v>
      </c>
      <c r="N606" s="38">
        <f>IFERROR(__xludf.DUMMYFUNCTION("""COMPUTED_VALUE"""),46091.0)</f>
        <v>46091</v>
      </c>
      <c r="O606" s="38">
        <v>46094.0</v>
      </c>
      <c r="P606" s="38">
        <f>IFERROR(__xludf.DUMMYFUNCTION("IFERROR(QUERY('Nhật ký nộp hồ sơ '!A:I, ""SELECT I WHERE B = '""&amp;B606&amp;""' ORDER BY A DESC LIMIT 1"", 0))"),46091.0)</f>
        <v>46091</v>
      </c>
      <c r="Q606" s="38">
        <f t="shared" si="2"/>
        <v>46091</v>
      </c>
      <c r="R606" s="37">
        <v>2.0</v>
      </c>
      <c r="S606" s="37"/>
      <c r="T606" s="37"/>
      <c r="U606" s="36"/>
      <c r="V606" s="18" t="s">
        <v>34</v>
      </c>
      <c r="W606" s="37"/>
      <c r="X606" s="37"/>
    </row>
    <row r="607" ht="22.5" customHeight="1">
      <c r="A607" s="35">
        <v>46091.43510391204</v>
      </c>
      <c r="B607" s="12" t="s">
        <v>1384</v>
      </c>
      <c r="C607" s="15" t="s">
        <v>1322</v>
      </c>
      <c r="D607" s="36"/>
      <c r="E607" s="15" t="s">
        <v>45</v>
      </c>
      <c r="F607" s="15" t="s">
        <v>133</v>
      </c>
      <c r="G607" s="15" t="s">
        <v>1383</v>
      </c>
      <c r="H607" s="15" t="s">
        <v>28</v>
      </c>
      <c r="I607" s="15" t="s">
        <v>659</v>
      </c>
      <c r="J607" s="36"/>
      <c r="K607" s="37" t="str">
        <f t="array" ref="K607">IFERROR(VLOOKUP(B607, SORT('Nhật ký nộp hồ sơ '!B:D, 'Nhật ký nộp hồ sơ '!A:A, FALSE), 3, FALSE),"")</f>
        <v>Hoàn thành</v>
      </c>
      <c r="L607" s="37" t="str">
        <f t="shared" si="1"/>
        <v>Hoàn thành</v>
      </c>
      <c r="M607" s="15" t="s">
        <v>41</v>
      </c>
      <c r="N607" s="38">
        <f>IFERROR(__xludf.DUMMYFUNCTION("""COMPUTED_VALUE"""),46091.0)</f>
        <v>46091</v>
      </c>
      <c r="O607" s="38">
        <v>46094.0</v>
      </c>
      <c r="P607" s="38">
        <f>IFERROR(__xludf.DUMMYFUNCTION("IFERROR(QUERY('Nhật ký nộp hồ sơ '!A:I, ""SELECT I WHERE B = '""&amp;B607&amp;""' ORDER BY A DESC LIMIT 1"", 0))"),46091.0)</f>
        <v>46091</v>
      </c>
      <c r="Q607" s="38">
        <f t="shared" si="2"/>
        <v>46091</v>
      </c>
      <c r="R607" s="37">
        <v>1.0</v>
      </c>
      <c r="S607" s="37"/>
      <c r="T607" s="37"/>
      <c r="U607" s="36"/>
      <c r="V607" s="18" t="s">
        <v>34</v>
      </c>
      <c r="W607" s="37"/>
      <c r="X607" s="37"/>
    </row>
    <row r="608" ht="22.5" customHeight="1">
      <c r="A608" s="35">
        <v>46091.4755584375</v>
      </c>
      <c r="B608" s="12" t="s">
        <v>1385</v>
      </c>
      <c r="C608" s="15" t="s">
        <v>590</v>
      </c>
      <c r="D608" s="36"/>
      <c r="E608" s="15" t="s">
        <v>122</v>
      </c>
      <c r="F608" s="15" t="s">
        <v>89</v>
      </c>
      <c r="G608" s="15"/>
      <c r="H608" s="15" t="s">
        <v>29</v>
      </c>
      <c r="I608" s="15" t="s">
        <v>659</v>
      </c>
      <c r="J608" s="36"/>
      <c r="K608" s="37" t="str">
        <f t="array" ref="K608">IFERROR(VLOOKUP(B608, SORT('Nhật ký nộp hồ sơ '!B:D, 'Nhật ký nộp hồ sơ '!A:A, FALSE), 3, FALSE),"")</f>
        <v>Hoàn thành</v>
      </c>
      <c r="L608" s="37" t="str">
        <f t="shared" si="1"/>
        <v>Hoàn thành</v>
      </c>
      <c r="M608" s="15" t="s">
        <v>216</v>
      </c>
      <c r="N608" s="38">
        <f>IFERROR(__xludf.DUMMYFUNCTION("""COMPUTED_VALUE"""),46091.0)</f>
        <v>46091</v>
      </c>
      <c r="O608" s="38">
        <v>46094.0</v>
      </c>
      <c r="P608" s="38">
        <f>IFERROR(__xludf.DUMMYFUNCTION("IFERROR(QUERY('Nhật ký nộp hồ sơ '!A:I, ""SELECT I WHERE B = '""&amp;B608&amp;""' ORDER BY A DESC LIMIT 1"", 0))"),46091.0)</f>
        <v>46091</v>
      </c>
      <c r="Q608" s="38">
        <f t="shared" si="2"/>
        <v>46091</v>
      </c>
      <c r="R608" s="37">
        <v>1.0</v>
      </c>
      <c r="S608" s="37"/>
      <c r="T608" s="37"/>
      <c r="U608" s="36"/>
      <c r="V608" s="18" t="s">
        <v>34</v>
      </c>
      <c r="W608" s="37">
        <v>7.0</v>
      </c>
      <c r="X608" s="37" t="s">
        <v>1188</v>
      </c>
    </row>
    <row r="609" ht="22.5" customHeight="1">
      <c r="A609" s="35">
        <v>46091.50155859954</v>
      </c>
      <c r="B609" s="12" t="s">
        <v>1386</v>
      </c>
      <c r="C609" s="15" t="s">
        <v>1387</v>
      </c>
      <c r="D609" s="36"/>
      <c r="E609" s="15" t="s">
        <v>26</v>
      </c>
      <c r="F609" s="15" t="s">
        <v>133</v>
      </c>
      <c r="G609" s="40" t="s">
        <v>1388</v>
      </c>
      <c r="H609" s="15" t="s">
        <v>69</v>
      </c>
      <c r="I609" s="15" t="s">
        <v>81</v>
      </c>
      <c r="J609" s="36"/>
      <c r="K609" s="37" t="str">
        <f t="array" ref="K609">IFERROR(VLOOKUP(B609, SORT('Nhật ký nộp hồ sơ '!B:D, 'Nhật ký nộp hồ sơ '!A:A, FALSE), 3, FALSE),"")</f>
        <v>Hoàn thành</v>
      </c>
      <c r="L609" s="37" t="str">
        <f t="shared" si="1"/>
        <v>Hoàn thành</v>
      </c>
      <c r="M609" s="15" t="s">
        <v>181</v>
      </c>
      <c r="N609" s="38">
        <f>IFERROR(__xludf.DUMMYFUNCTION("""COMPUTED_VALUE"""),46091.0)</f>
        <v>46091</v>
      </c>
      <c r="O609" s="38">
        <v>46094.0</v>
      </c>
      <c r="P609" s="38">
        <f>IFERROR(__xludf.DUMMYFUNCTION("IFERROR(QUERY('Nhật ký nộp hồ sơ '!A:I, ""SELECT I WHERE B = '""&amp;B609&amp;""' ORDER BY A DESC LIMIT 1"", 0))"),46100.0)</f>
        <v>46100</v>
      </c>
      <c r="Q609" s="38">
        <f t="shared" si="2"/>
        <v>46100</v>
      </c>
      <c r="R609" s="37">
        <v>1.0</v>
      </c>
      <c r="S609" s="37"/>
      <c r="T609" s="37"/>
      <c r="U609" s="36"/>
      <c r="V609" s="18" t="s">
        <v>34</v>
      </c>
      <c r="W609" s="37"/>
      <c r="X609" s="37"/>
    </row>
    <row r="610" ht="22.5" customHeight="1">
      <c r="A610" s="35">
        <v>46091.66034315972</v>
      </c>
      <c r="B610" s="12" t="s">
        <v>1389</v>
      </c>
      <c r="C610" s="15" t="s">
        <v>340</v>
      </c>
      <c r="D610" s="36"/>
      <c r="E610" s="15" t="s">
        <v>187</v>
      </c>
      <c r="F610" s="15" t="s">
        <v>80</v>
      </c>
      <c r="G610" s="15"/>
      <c r="H610" s="15" t="s">
        <v>29</v>
      </c>
      <c r="I610" s="15" t="s">
        <v>81</v>
      </c>
      <c r="J610" s="36"/>
      <c r="K610" s="37" t="str">
        <f t="array" ref="K610">IFERROR(VLOOKUP(B610, SORT('Nhật ký nộp hồ sơ '!B:D, 'Nhật ký nộp hồ sơ '!A:A, FALSE), 3, FALSE),"")</f>
        <v>Hoàn thành</v>
      </c>
      <c r="L610" s="37" t="str">
        <f t="shared" si="1"/>
        <v>Hoàn thành</v>
      </c>
      <c r="M610" s="15" t="s">
        <v>216</v>
      </c>
      <c r="N610" s="38">
        <f>IFERROR(__xludf.DUMMYFUNCTION("""COMPUTED_VALUE"""),46091.0)</f>
        <v>46091</v>
      </c>
      <c r="O610" s="38">
        <v>46094.0</v>
      </c>
      <c r="P610" s="38">
        <f>IFERROR(__xludf.DUMMYFUNCTION("IFERROR(QUERY('Nhật ký nộp hồ sơ '!A:I, ""SELECT I WHERE B = '""&amp;B610&amp;""' ORDER BY A DESC LIMIT 1"", 0))"),46091.0)</f>
        <v>46091</v>
      </c>
      <c r="Q610" s="38">
        <f t="shared" si="2"/>
        <v>46091</v>
      </c>
      <c r="R610" s="37">
        <v>1.0</v>
      </c>
      <c r="S610" s="37"/>
      <c r="T610" s="37"/>
      <c r="U610" s="36"/>
      <c r="V610" s="18" t="s">
        <v>34</v>
      </c>
      <c r="W610" s="37">
        <v>5.0</v>
      </c>
      <c r="X610" s="37" t="s">
        <v>1188</v>
      </c>
    </row>
    <row r="611" ht="22.5" customHeight="1">
      <c r="A611" s="35">
        <v>46092.56516755787</v>
      </c>
      <c r="B611" s="12" t="s">
        <v>1390</v>
      </c>
      <c r="C611" s="15" t="s">
        <v>1391</v>
      </c>
      <c r="D611" s="36"/>
      <c r="E611" s="15" t="s">
        <v>132</v>
      </c>
      <c r="F611" s="15" t="s">
        <v>133</v>
      </c>
      <c r="G611" s="40" t="s">
        <v>1392</v>
      </c>
      <c r="H611" s="15" t="s">
        <v>47</v>
      </c>
      <c r="I611" s="15" t="s">
        <v>659</v>
      </c>
      <c r="J611" s="36"/>
      <c r="K611" s="37" t="str">
        <f t="array" ref="K611">IFERROR(VLOOKUP(B611, SORT('Nhật ký nộp hồ sơ '!B:D, 'Nhật ký nộp hồ sơ '!A:A, FALSE), 3, FALSE),"")</f>
        <v>Hoàn thành</v>
      </c>
      <c r="L611" s="37" t="str">
        <f t="shared" si="1"/>
        <v>Hoàn thành</v>
      </c>
      <c r="M611" s="15" t="s">
        <v>56</v>
      </c>
      <c r="N611" s="38">
        <f>IFERROR(__xludf.DUMMYFUNCTION("""COMPUTED_VALUE"""),46092.0)</f>
        <v>46092</v>
      </c>
      <c r="O611" s="38">
        <v>46095.0</v>
      </c>
      <c r="P611" s="38">
        <f>IFERROR(__xludf.DUMMYFUNCTION("IFERROR(QUERY('Nhật ký nộp hồ sơ '!A:I, ""SELECT I WHERE B = '""&amp;B611&amp;""' ORDER BY A DESC LIMIT 1"", 0))"),46114.0)</f>
        <v>46114</v>
      </c>
      <c r="Q611" s="38">
        <f t="shared" si="2"/>
        <v>46114</v>
      </c>
      <c r="R611" s="37">
        <v>1.0</v>
      </c>
      <c r="S611" s="37" t="s">
        <v>1393</v>
      </c>
      <c r="T611" s="15" t="s">
        <v>1067</v>
      </c>
      <c r="U611" s="36"/>
      <c r="V611" s="18" t="s">
        <v>34</v>
      </c>
      <c r="W611" s="37"/>
      <c r="X611" s="37"/>
    </row>
    <row r="612" ht="22.5" customHeight="1">
      <c r="A612" s="35">
        <v>46092.61194769676</v>
      </c>
      <c r="B612" s="12" t="s">
        <v>1394</v>
      </c>
      <c r="C612" s="15" t="s">
        <v>1395</v>
      </c>
      <c r="D612" s="36"/>
      <c r="E612" s="15" t="s">
        <v>132</v>
      </c>
      <c r="F612" s="15" t="s">
        <v>46</v>
      </c>
      <c r="G612" s="15"/>
      <c r="H612" s="15" t="s">
        <v>69</v>
      </c>
      <c r="I612" s="15" t="s">
        <v>659</v>
      </c>
      <c r="J612" s="36"/>
      <c r="K612" s="37" t="str">
        <f t="array" ref="K612">IFERROR(VLOOKUP(B612, SORT('Nhật ký nộp hồ sơ '!B:D, 'Nhật ký nộp hồ sơ '!A:A, FALSE), 3, FALSE),"")</f>
        <v>Hoàn thành</v>
      </c>
      <c r="L612" s="37" t="str">
        <f t="shared" si="1"/>
        <v>Hoàn thành</v>
      </c>
      <c r="M612" s="15" t="s">
        <v>48</v>
      </c>
      <c r="N612" s="38">
        <f>IFERROR(__xludf.DUMMYFUNCTION("""COMPUTED_VALUE"""),46092.0)</f>
        <v>46092</v>
      </c>
      <c r="O612" s="38">
        <v>46095.0</v>
      </c>
      <c r="P612" s="38">
        <f>IFERROR(__xludf.DUMMYFUNCTION("IFERROR(QUERY('Nhật ký nộp hồ sơ '!A:I, ""SELECT I WHERE B = '""&amp;B612&amp;""' ORDER BY A DESC LIMIT 1"", 0))"),46128.0)</f>
        <v>46128</v>
      </c>
      <c r="Q612" s="38">
        <f t="shared" si="2"/>
        <v>46128</v>
      </c>
      <c r="R612" s="37">
        <v>1.0</v>
      </c>
      <c r="S612" s="37"/>
      <c r="T612" s="37"/>
      <c r="U612" s="36"/>
      <c r="V612" s="18" t="s">
        <v>34</v>
      </c>
      <c r="W612" s="37"/>
      <c r="X612" s="37"/>
    </row>
    <row r="613" ht="22.5" customHeight="1">
      <c r="A613" s="35">
        <v>46092.6144377662</v>
      </c>
      <c r="B613" s="12" t="s">
        <v>1396</v>
      </c>
      <c r="C613" s="15" t="s">
        <v>1397</v>
      </c>
      <c r="D613" s="36"/>
      <c r="E613" s="15" t="s">
        <v>88</v>
      </c>
      <c r="F613" s="15" t="s">
        <v>133</v>
      </c>
      <c r="G613" s="40" t="s">
        <v>1398</v>
      </c>
      <c r="H613" s="15" t="s">
        <v>69</v>
      </c>
      <c r="I613" s="15" t="s">
        <v>659</v>
      </c>
      <c r="J613" s="36"/>
      <c r="K613" s="37" t="str">
        <f t="array" ref="K613">IFERROR(VLOOKUP(B613, SORT('Nhật ký nộp hồ sơ '!B:D, 'Nhật ký nộp hồ sơ '!A:A, FALSE), 3, FALSE),"")</f>
        <v>Hoàn thành</v>
      </c>
      <c r="L613" s="37" t="str">
        <f t="shared" si="1"/>
        <v>Hoàn thành</v>
      </c>
      <c r="M613" s="15" t="s">
        <v>41</v>
      </c>
      <c r="N613" s="38">
        <f>IFERROR(__xludf.DUMMYFUNCTION("""COMPUTED_VALUE"""),46092.0)</f>
        <v>46092</v>
      </c>
      <c r="O613" s="38">
        <v>46095.0</v>
      </c>
      <c r="P613" s="38">
        <f>IFERROR(__xludf.DUMMYFUNCTION("IFERROR(QUERY('Nhật ký nộp hồ sơ '!A:I, ""SELECT I WHERE B = '""&amp;B613&amp;""' ORDER BY A DESC LIMIT 1"", 0))"),46099.0)</f>
        <v>46099</v>
      </c>
      <c r="Q613" s="38">
        <f t="shared" si="2"/>
        <v>46099</v>
      </c>
      <c r="R613" s="37">
        <v>1.0</v>
      </c>
      <c r="S613" s="37"/>
      <c r="T613" s="37"/>
      <c r="U613" s="36"/>
      <c r="V613" s="18" t="s">
        <v>34</v>
      </c>
      <c r="W613" s="37"/>
      <c r="X613" s="37"/>
    </row>
    <row r="614" ht="22.5" customHeight="1">
      <c r="A614" s="35">
        <v>46093.39408640046</v>
      </c>
      <c r="B614" s="12" t="s">
        <v>1399</v>
      </c>
      <c r="C614" s="15" t="s">
        <v>1400</v>
      </c>
      <c r="D614" s="36"/>
      <c r="E614" s="15" t="s">
        <v>74</v>
      </c>
      <c r="F614" s="15" t="s">
        <v>246</v>
      </c>
      <c r="G614" s="15"/>
      <c r="H614" s="15" t="s">
        <v>28</v>
      </c>
      <c r="I614" s="15" t="s">
        <v>659</v>
      </c>
      <c r="J614" s="36"/>
      <c r="K614" s="37" t="str">
        <f t="array" ref="K614">IFERROR(VLOOKUP(B614, SORT('Nhật ký nộp hồ sơ '!B:D, 'Nhật ký nộp hồ sơ '!A:A, FALSE), 3, FALSE),"")</f>
        <v>Hoàn thành</v>
      </c>
      <c r="L614" s="37" t="str">
        <f t="shared" si="1"/>
        <v>Hoàn thành</v>
      </c>
      <c r="M614" s="15" t="s">
        <v>48</v>
      </c>
      <c r="N614" s="38">
        <f>IFERROR(__xludf.DUMMYFUNCTION("""COMPUTED_VALUE"""),46093.0)</f>
        <v>46093</v>
      </c>
      <c r="O614" s="38">
        <v>46096.0</v>
      </c>
      <c r="P614" s="38">
        <f>IFERROR(__xludf.DUMMYFUNCTION("IFERROR(QUERY('Nhật ký nộp hồ sơ '!A:I, ""SELECT I WHERE B = '""&amp;B614&amp;""' ORDER BY A DESC LIMIT 1"", 0))"),46122.0)</f>
        <v>46122</v>
      </c>
      <c r="Q614" s="38">
        <f t="shared" si="2"/>
        <v>46122</v>
      </c>
      <c r="R614" s="37">
        <v>1.0</v>
      </c>
      <c r="S614" s="37"/>
      <c r="T614" s="37"/>
      <c r="U614" s="36"/>
      <c r="V614" s="18" t="s">
        <v>34</v>
      </c>
      <c r="W614" s="37"/>
      <c r="X614" s="37"/>
    </row>
    <row r="615" ht="22.5" customHeight="1">
      <c r="A615" s="35">
        <v>46093.395492372685</v>
      </c>
      <c r="B615" s="12" t="s">
        <v>1401</v>
      </c>
      <c r="C615" s="15" t="s">
        <v>1402</v>
      </c>
      <c r="D615" s="36"/>
      <c r="E615" s="15" t="s">
        <v>132</v>
      </c>
      <c r="F615" s="15" t="s">
        <v>133</v>
      </c>
      <c r="G615" s="40" t="s">
        <v>1403</v>
      </c>
      <c r="H615" s="15" t="s">
        <v>28</v>
      </c>
      <c r="I615" s="15" t="s">
        <v>659</v>
      </c>
      <c r="J615" s="36"/>
      <c r="K615" s="37" t="str">
        <f t="array" ref="K615">IFERROR(VLOOKUP(B615, SORT('Nhật ký nộp hồ sơ '!B:D, 'Nhật ký nộp hồ sơ '!A:A, FALSE), 3, FALSE),"")</f>
        <v>Hủy</v>
      </c>
      <c r="L615" s="37" t="str">
        <f t="shared" si="1"/>
        <v>ĐÃ HỦY</v>
      </c>
      <c r="M615" s="15" t="s">
        <v>56</v>
      </c>
      <c r="N615" s="38">
        <f>IFERROR(__xludf.DUMMYFUNCTION("""COMPUTED_VALUE"""),46093.0)</f>
        <v>46093</v>
      </c>
      <c r="O615" s="38">
        <v>46096.0</v>
      </c>
      <c r="P615" s="38">
        <f>IFERROR(__xludf.DUMMYFUNCTION("IFERROR(QUERY('Nhật ký nộp hồ sơ '!A:I, ""SELECT I WHERE B = '""&amp;B615&amp;""' ORDER BY A DESC LIMIT 1"", 0))"),46111.0)</f>
        <v>46111</v>
      </c>
      <c r="Q615" s="38" t="str">
        <f t="shared" si="2"/>
        <v/>
      </c>
      <c r="R615" s="37">
        <v>1.0</v>
      </c>
      <c r="S615" s="37" t="s">
        <v>1404</v>
      </c>
      <c r="T615" s="37"/>
      <c r="U615" s="36"/>
      <c r="V615" s="18" t="s">
        <v>34</v>
      </c>
      <c r="W615" s="37"/>
      <c r="X615" s="37"/>
    </row>
    <row r="616" ht="22.5" customHeight="1">
      <c r="A616" s="35">
        <v>46094.39047288195</v>
      </c>
      <c r="B616" s="12" t="s">
        <v>1405</v>
      </c>
      <c r="C616" s="15" t="s">
        <v>1391</v>
      </c>
      <c r="D616" s="36"/>
      <c r="E616" s="15" t="s">
        <v>132</v>
      </c>
      <c r="F616" s="15" t="s">
        <v>133</v>
      </c>
      <c r="G616" s="15"/>
      <c r="H616" s="15" t="s">
        <v>29</v>
      </c>
      <c r="I616" s="15" t="s">
        <v>659</v>
      </c>
      <c r="J616" s="36"/>
      <c r="K616" s="37" t="str">
        <f t="array" ref="K616">IFERROR(VLOOKUP(B616, SORT('Nhật ký nộp hồ sơ '!B:D, 'Nhật ký nộp hồ sơ '!A:A, FALSE), 3, FALSE),"")</f>
        <v>Hoàn thành</v>
      </c>
      <c r="L616" s="37" t="str">
        <f t="shared" si="1"/>
        <v>Hoàn thành</v>
      </c>
      <c r="M616" s="15" t="s">
        <v>216</v>
      </c>
      <c r="N616" s="38">
        <f>IFERROR(__xludf.DUMMYFUNCTION("""COMPUTED_VALUE"""),46094.0)</f>
        <v>46094</v>
      </c>
      <c r="O616" s="38">
        <v>46097.0</v>
      </c>
      <c r="P616" s="38">
        <f>IFERROR(__xludf.DUMMYFUNCTION("IFERROR(QUERY('Nhật ký nộp hồ sơ '!A:I, ""SELECT I WHERE B = '""&amp;B616&amp;""' ORDER BY A DESC LIMIT 1"", 0))"),46094.0)</f>
        <v>46094</v>
      </c>
      <c r="Q616" s="38">
        <f t="shared" si="2"/>
        <v>46094</v>
      </c>
      <c r="R616" s="37">
        <v>1.0</v>
      </c>
      <c r="S616" s="37"/>
      <c r="T616" s="37"/>
      <c r="U616" s="36"/>
      <c r="V616" s="18" t="s">
        <v>34</v>
      </c>
      <c r="W616" s="37">
        <v>2.0</v>
      </c>
      <c r="X616" s="37" t="s">
        <v>687</v>
      </c>
    </row>
    <row r="617" ht="22.5" customHeight="1">
      <c r="A617" s="35">
        <v>46094.3922843287</v>
      </c>
      <c r="B617" s="12" t="s">
        <v>1406</v>
      </c>
      <c r="C617" s="15" t="s">
        <v>1407</v>
      </c>
      <c r="D617" s="36"/>
      <c r="E617" s="15" t="s">
        <v>26</v>
      </c>
      <c r="F617" s="15" t="s">
        <v>68</v>
      </c>
      <c r="G617" s="15"/>
      <c r="H617" s="15" t="s">
        <v>29</v>
      </c>
      <c r="I617" s="15" t="s">
        <v>659</v>
      </c>
      <c r="J617" s="36"/>
      <c r="K617" s="37" t="str">
        <f t="array" ref="K617">IFERROR(VLOOKUP(B617, SORT('Nhật ký nộp hồ sơ '!B:D, 'Nhật ký nộp hồ sơ '!A:A, FALSE), 3, FALSE),"")</f>
        <v>Hoàn thành</v>
      </c>
      <c r="L617" s="37" t="str">
        <f t="shared" si="1"/>
        <v>Hoàn thành</v>
      </c>
      <c r="M617" s="15" t="s">
        <v>56</v>
      </c>
      <c r="N617" s="38">
        <f>IFERROR(__xludf.DUMMYFUNCTION("""COMPUTED_VALUE"""),46094.0)</f>
        <v>46094</v>
      </c>
      <c r="O617" s="38">
        <v>46097.0</v>
      </c>
      <c r="P617" s="38">
        <f>IFERROR(__xludf.DUMMYFUNCTION("IFERROR(QUERY('Nhật ký nộp hồ sơ '!A:I, ""SELECT I WHERE B = '""&amp;B617&amp;""' ORDER BY A DESC LIMIT 1"", 0))"),46105.0)</f>
        <v>46105</v>
      </c>
      <c r="Q617" s="38">
        <f t="shared" si="2"/>
        <v>46105</v>
      </c>
      <c r="R617" s="37">
        <v>1.0</v>
      </c>
      <c r="S617" s="37"/>
      <c r="T617" s="37"/>
      <c r="U617" s="36"/>
      <c r="V617" s="18" t="s">
        <v>34</v>
      </c>
      <c r="W617" s="37"/>
      <c r="X617" s="37"/>
    </row>
    <row r="618" ht="22.5" customHeight="1">
      <c r="A618" s="35">
        <v>46094.39367521991</v>
      </c>
      <c r="B618" s="12" t="s">
        <v>1408</v>
      </c>
      <c r="C618" s="15" t="s">
        <v>1409</v>
      </c>
      <c r="D618" s="36"/>
      <c r="E618" s="15" t="s">
        <v>74</v>
      </c>
      <c r="F618" s="15" t="s">
        <v>133</v>
      </c>
      <c r="G618" s="40" t="s">
        <v>1410</v>
      </c>
      <c r="H618" s="15" t="s">
        <v>29</v>
      </c>
      <c r="I618" s="15" t="s">
        <v>659</v>
      </c>
      <c r="J618" s="36"/>
      <c r="K618" s="37" t="str">
        <f t="array" ref="K618">IFERROR(VLOOKUP(B618, SORT('Nhật ký nộp hồ sơ '!B:D, 'Nhật ký nộp hồ sơ '!A:A, FALSE), 3, FALSE),"")</f>
        <v>Hoàn thành</v>
      </c>
      <c r="L618" s="37" t="str">
        <f t="shared" si="1"/>
        <v>Hoàn thành</v>
      </c>
      <c r="M618" s="15" t="s">
        <v>56</v>
      </c>
      <c r="N618" s="38">
        <f>IFERROR(__xludf.DUMMYFUNCTION("""COMPUTED_VALUE"""),46094.0)</f>
        <v>46094</v>
      </c>
      <c r="O618" s="38">
        <v>46097.0</v>
      </c>
      <c r="P618" s="38">
        <f>IFERROR(__xludf.DUMMYFUNCTION("IFERROR(QUERY('Nhật ký nộp hồ sơ '!A:I, ""SELECT I WHERE B = '""&amp;B618&amp;""' ORDER BY A DESC LIMIT 1"", 0))"),46105.0)</f>
        <v>46105</v>
      </c>
      <c r="Q618" s="38">
        <f t="shared" si="2"/>
        <v>46105</v>
      </c>
      <c r="R618" s="37">
        <v>2.0</v>
      </c>
      <c r="S618" s="37"/>
      <c r="T618" s="37"/>
      <c r="U618" s="36"/>
      <c r="V618" s="18" t="s">
        <v>34</v>
      </c>
      <c r="W618" s="37"/>
      <c r="X618" s="37"/>
    </row>
    <row r="619" ht="22.5" customHeight="1">
      <c r="A619" s="35">
        <v>46094.4113830787</v>
      </c>
      <c r="B619" s="12" t="s">
        <v>1411</v>
      </c>
      <c r="C619" s="15" t="s">
        <v>1412</v>
      </c>
      <c r="D619" s="36"/>
      <c r="E619" s="15" t="s">
        <v>132</v>
      </c>
      <c r="F619" s="15" t="s">
        <v>68</v>
      </c>
      <c r="G619" s="15"/>
      <c r="H619" s="15" t="s">
        <v>69</v>
      </c>
      <c r="I619" s="15" t="s">
        <v>659</v>
      </c>
      <c r="J619" s="36"/>
      <c r="K619" s="37" t="str">
        <f t="array" ref="K619">IFERROR(VLOOKUP(B619, SORT('Nhật ký nộp hồ sơ '!B:D, 'Nhật ký nộp hồ sơ '!A:A, FALSE), 3, FALSE),"")</f>
        <v>Hoàn thành</v>
      </c>
      <c r="L619" s="37" t="str">
        <f t="shared" si="1"/>
        <v>Hoàn thành</v>
      </c>
      <c r="M619" s="15" t="s">
        <v>48</v>
      </c>
      <c r="N619" s="38">
        <f>IFERROR(__xludf.DUMMYFUNCTION("""COMPUTED_VALUE"""),46094.0)</f>
        <v>46094</v>
      </c>
      <c r="O619" s="38">
        <v>46097.0</v>
      </c>
      <c r="P619" s="38">
        <f>IFERROR(__xludf.DUMMYFUNCTION("IFERROR(QUERY('Nhật ký nộp hồ sơ '!A:I, ""SELECT I WHERE B = '""&amp;B619&amp;""' ORDER BY A DESC LIMIT 1"", 0))"),46114.0)</f>
        <v>46114</v>
      </c>
      <c r="Q619" s="38">
        <f t="shared" si="2"/>
        <v>46114</v>
      </c>
      <c r="R619" s="37">
        <v>1.0</v>
      </c>
      <c r="S619" s="37"/>
      <c r="T619" s="37"/>
      <c r="U619" s="36"/>
      <c r="V619" s="18" t="s">
        <v>34</v>
      </c>
      <c r="W619" s="37"/>
      <c r="X619" s="37"/>
    </row>
    <row r="620" ht="22.5" customHeight="1">
      <c r="A620" s="35">
        <v>46094.57405738426</v>
      </c>
      <c r="B620" s="12" t="s">
        <v>1413</v>
      </c>
      <c r="C620" s="15" t="s">
        <v>1414</v>
      </c>
      <c r="D620" s="36"/>
      <c r="E620" s="15" t="s">
        <v>45</v>
      </c>
      <c r="F620" s="15" t="s">
        <v>46</v>
      </c>
      <c r="G620" s="15"/>
      <c r="H620" s="15" t="s">
        <v>47</v>
      </c>
      <c r="I620" s="15" t="s">
        <v>659</v>
      </c>
      <c r="J620" s="36"/>
      <c r="K620" s="37" t="str">
        <f t="array" ref="K620">IFERROR(VLOOKUP(B620, SORT('Nhật ký nộp hồ sơ '!B:D, 'Nhật ký nộp hồ sơ '!A:A, FALSE), 3, FALSE),"")</f>
        <v>Nộp thành công - Chờ kết quả</v>
      </c>
      <c r="L620" s="37" t="str">
        <f t="shared" si="1"/>
        <v>Đã nộp</v>
      </c>
      <c r="M620" s="15" t="s">
        <v>56</v>
      </c>
      <c r="N620" s="38">
        <f>IFERROR(__xludf.DUMMYFUNCTION("""COMPUTED_VALUE"""),46094.0)</f>
        <v>46094</v>
      </c>
      <c r="O620" s="38">
        <v>46097.0</v>
      </c>
      <c r="P620" s="38">
        <f>IFERROR(__xludf.DUMMYFUNCTION("IFERROR(QUERY('Nhật ký nộp hồ sơ '!A:I, ""SELECT I WHERE B = '""&amp;B620&amp;""' ORDER BY A DESC LIMIT 1"", 0))"),46126.0)</f>
        <v>46126</v>
      </c>
      <c r="Q620" s="38" t="str">
        <f t="shared" si="2"/>
        <v/>
      </c>
      <c r="R620" s="37">
        <v>1.0</v>
      </c>
      <c r="S620" s="37" t="s">
        <v>1415</v>
      </c>
      <c r="T620" s="37"/>
      <c r="U620" s="36"/>
      <c r="V620" s="18" t="s">
        <v>34</v>
      </c>
      <c r="W620" s="37"/>
      <c r="X620" s="37"/>
    </row>
    <row r="621" ht="22.5" customHeight="1">
      <c r="A621" s="35">
        <v>46097.46713157407</v>
      </c>
      <c r="B621" s="12" t="s">
        <v>1416</v>
      </c>
      <c r="C621" s="15" t="s">
        <v>1417</v>
      </c>
      <c r="D621" s="36"/>
      <c r="E621" s="15" t="s">
        <v>88</v>
      </c>
      <c r="F621" s="15" t="s">
        <v>133</v>
      </c>
      <c r="G621" s="15"/>
      <c r="H621" s="15" t="s">
        <v>100</v>
      </c>
      <c r="I621" s="15" t="s">
        <v>81</v>
      </c>
      <c r="J621" s="36"/>
      <c r="K621" s="37" t="str">
        <f t="array" ref="K621">IFERROR(VLOOKUP(B621, SORT('Nhật ký nộp hồ sơ '!B:D, 'Nhật ký nộp hồ sơ '!A:A, FALSE), 3, FALSE),"")</f>
        <v>Nộp thành công - Chờ kết quả</v>
      </c>
      <c r="L621" s="37" t="str">
        <f t="shared" si="1"/>
        <v>Đã nộp</v>
      </c>
      <c r="M621" s="15" t="s">
        <v>588</v>
      </c>
      <c r="N621" s="38">
        <f>IFERROR(__xludf.DUMMYFUNCTION("""COMPUTED_VALUE"""),46097.0)</f>
        <v>46097</v>
      </c>
      <c r="O621" s="38">
        <v>46100.0</v>
      </c>
      <c r="P621" s="38">
        <f>IFERROR(__xludf.DUMMYFUNCTION("IFERROR(QUERY('Nhật ký nộp hồ sơ '!A:I, ""SELECT I WHERE B = '""&amp;B621&amp;""' ORDER BY A DESC LIMIT 1"", 0))"),46146.0)</f>
        <v>46146</v>
      </c>
      <c r="Q621" s="38" t="str">
        <f t="shared" si="2"/>
        <v/>
      </c>
      <c r="R621" s="37">
        <v>1.0</v>
      </c>
      <c r="S621" s="37"/>
      <c r="T621" s="37"/>
      <c r="U621" s="36"/>
      <c r="V621" s="18" t="s">
        <v>34</v>
      </c>
      <c r="W621" s="37"/>
      <c r="X621" s="37"/>
    </row>
    <row r="622" ht="22.5" customHeight="1">
      <c r="A622" s="35">
        <v>46098.57841488426</v>
      </c>
      <c r="B622" s="12" t="s">
        <v>1418</v>
      </c>
      <c r="C622" s="15" t="s">
        <v>1419</v>
      </c>
      <c r="D622" s="36"/>
      <c r="E622" s="15" t="s">
        <v>132</v>
      </c>
      <c r="F622" s="15" t="s">
        <v>68</v>
      </c>
      <c r="G622" s="15"/>
      <c r="H622" s="15" t="s">
        <v>29</v>
      </c>
      <c r="I622" s="15" t="s">
        <v>659</v>
      </c>
      <c r="J622" s="36"/>
      <c r="K622" s="37" t="str">
        <f t="array" ref="K622">IFERROR(VLOOKUP(B622, SORT('Nhật ký nộp hồ sơ '!B:D, 'Nhật ký nộp hồ sơ '!A:A, FALSE), 3, FALSE),"")</f>
        <v>Hoàn thành</v>
      </c>
      <c r="L622" s="37" t="str">
        <f t="shared" si="1"/>
        <v>Hoàn thành</v>
      </c>
      <c r="M622" s="15" t="s">
        <v>30</v>
      </c>
      <c r="N622" s="38">
        <f>IFERROR(__xludf.DUMMYFUNCTION("""COMPUTED_VALUE"""),46098.0)</f>
        <v>46098</v>
      </c>
      <c r="O622" s="38">
        <v>46101.0</v>
      </c>
      <c r="P622" s="38">
        <f>IFERROR(__xludf.DUMMYFUNCTION("IFERROR(QUERY('Nhật ký nộp hồ sơ '!A:I, ""SELECT I WHERE B = '""&amp;B622&amp;""' ORDER BY A DESC LIMIT 1"", 0))"),46101.0)</f>
        <v>46101</v>
      </c>
      <c r="Q622" s="38">
        <f t="shared" si="2"/>
        <v>46101</v>
      </c>
      <c r="R622" s="37">
        <v>4.0</v>
      </c>
      <c r="S622" s="37"/>
      <c r="T622" s="37"/>
      <c r="U622" s="36"/>
      <c r="V622" s="18" t="s">
        <v>34</v>
      </c>
      <c r="W622" s="37"/>
      <c r="X622" s="37"/>
    </row>
    <row r="623" ht="22.5" customHeight="1">
      <c r="A623" s="35">
        <v>46098.5811856713</v>
      </c>
      <c r="B623" s="12" t="s">
        <v>1420</v>
      </c>
      <c r="C623" s="15" t="s">
        <v>1421</v>
      </c>
      <c r="D623" s="36"/>
      <c r="E623" s="15" t="s">
        <v>222</v>
      </c>
      <c r="F623" s="15" t="s">
        <v>133</v>
      </c>
      <c r="G623" s="15"/>
      <c r="H623" s="15" t="s">
        <v>29</v>
      </c>
      <c r="I623" s="15" t="s">
        <v>659</v>
      </c>
      <c r="J623" s="39" t="s">
        <v>202</v>
      </c>
      <c r="K623" s="37" t="str">
        <f t="array" ref="K623">IFERROR(VLOOKUP(B623, SORT('Nhật ký nộp hồ sơ '!B:D, 'Nhật ký nộp hồ sơ '!A:A, FALSE), 3, FALSE),"")</f>
        <v>Hoàn thành</v>
      </c>
      <c r="L623" s="37" t="str">
        <f t="shared" si="1"/>
        <v>Hoàn thành</v>
      </c>
      <c r="M623" s="15" t="s">
        <v>56</v>
      </c>
      <c r="N623" s="38">
        <f>IFERROR(__xludf.DUMMYFUNCTION("""COMPUTED_VALUE"""),46098.0)</f>
        <v>46098</v>
      </c>
      <c r="O623" s="38">
        <v>46099.0</v>
      </c>
      <c r="P623" s="38">
        <f>IFERROR(__xludf.DUMMYFUNCTION("IFERROR(QUERY('Nhật ký nộp hồ sơ '!A:I, ""SELECT I WHERE B = '""&amp;B623&amp;""' ORDER BY A DESC LIMIT 1"", 0))"),46113.0)</f>
        <v>46113</v>
      </c>
      <c r="Q623" s="38">
        <f t="shared" si="2"/>
        <v>46113</v>
      </c>
      <c r="R623" s="37">
        <v>1.0</v>
      </c>
      <c r="S623" s="37" t="s">
        <v>1422</v>
      </c>
      <c r="T623" s="15" t="s">
        <v>1423</v>
      </c>
      <c r="U623" s="36"/>
      <c r="V623" s="18" t="s">
        <v>34</v>
      </c>
      <c r="W623" s="37"/>
      <c r="X623" s="37"/>
    </row>
    <row r="624" ht="22.5" customHeight="1">
      <c r="A624" s="35">
        <v>46098.596403958334</v>
      </c>
      <c r="B624" s="12" t="s">
        <v>1424</v>
      </c>
      <c r="C624" s="15" t="s">
        <v>1425</v>
      </c>
      <c r="D624" s="36"/>
      <c r="E624" s="15" t="s">
        <v>132</v>
      </c>
      <c r="F624" s="15" t="s">
        <v>27</v>
      </c>
      <c r="G624" s="15"/>
      <c r="H624" s="15" t="s">
        <v>28</v>
      </c>
      <c r="I624" s="15" t="s">
        <v>81</v>
      </c>
      <c r="J624" s="36"/>
      <c r="K624" s="37" t="str">
        <f t="array" ref="K624">IFERROR(VLOOKUP(B624, SORT('Nhật ký nộp hồ sơ '!B:D, 'Nhật ký nộp hồ sơ '!A:A, FALSE), 3, FALSE),"")</f>
        <v>Hoàn thành</v>
      </c>
      <c r="L624" s="37" t="str">
        <f t="shared" si="1"/>
        <v>Hoàn thành</v>
      </c>
      <c r="M624" s="15" t="s">
        <v>146</v>
      </c>
      <c r="N624" s="38">
        <f>IFERROR(__xludf.DUMMYFUNCTION("""COMPUTED_VALUE"""),46098.0)</f>
        <v>46098</v>
      </c>
      <c r="O624" s="38">
        <v>46101.0</v>
      </c>
      <c r="P624" s="38">
        <f>IFERROR(__xludf.DUMMYFUNCTION("IFERROR(QUERY('Nhật ký nộp hồ sơ '!A:I, ""SELECT I WHERE B = '""&amp;B624&amp;""' ORDER BY A DESC LIMIT 1"", 0))"),46099.0)</f>
        <v>46099</v>
      </c>
      <c r="Q624" s="38">
        <f t="shared" si="2"/>
        <v>46099</v>
      </c>
      <c r="R624" s="37">
        <v>2.0</v>
      </c>
      <c r="S624" s="37"/>
      <c r="T624" s="37"/>
      <c r="U624" s="36"/>
      <c r="V624" s="18" t="s">
        <v>34</v>
      </c>
      <c r="W624" s="37"/>
      <c r="X624" s="37"/>
    </row>
    <row r="625" ht="22.5" customHeight="1">
      <c r="A625" s="35">
        <v>46098.59680439815</v>
      </c>
      <c r="B625" s="12" t="s">
        <v>1426</v>
      </c>
      <c r="C625" s="15" t="s">
        <v>1425</v>
      </c>
      <c r="D625" s="36"/>
      <c r="E625" s="15" t="s">
        <v>132</v>
      </c>
      <c r="F625" s="15" t="s">
        <v>27</v>
      </c>
      <c r="G625" s="15"/>
      <c r="H625" s="15" t="s">
        <v>28</v>
      </c>
      <c r="I625" s="15" t="s">
        <v>81</v>
      </c>
      <c r="J625" s="36"/>
      <c r="K625" s="37" t="str">
        <f t="array" ref="K625">IFERROR(VLOOKUP(B625, SORT('Nhật ký nộp hồ sơ '!B:D, 'Nhật ký nộp hồ sơ '!A:A, FALSE), 3, FALSE),"")</f>
        <v>Hủy</v>
      </c>
      <c r="L625" s="37" t="str">
        <f t="shared" si="1"/>
        <v>ĐÃ HỦY</v>
      </c>
      <c r="M625" s="15" t="s">
        <v>56</v>
      </c>
      <c r="N625" s="38">
        <f>IFERROR(__xludf.DUMMYFUNCTION("""COMPUTED_VALUE"""),46098.0)</f>
        <v>46098</v>
      </c>
      <c r="O625" s="38">
        <v>46101.0</v>
      </c>
      <c r="P625" s="38">
        <f>IFERROR(__xludf.DUMMYFUNCTION("IFERROR(QUERY('Nhật ký nộp hồ sơ '!A:I, ""SELECT I WHERE B = '""&amp;B625&amp;""' ORDER BY A DESC LIMIT 1"", 0))"),46118.0)</f>
        <v>46118</v>
      </c>
      <c r="Q625" s="38" t="str">
        <f t="shared" si="2"/>
        <v/>
      </c>
      <c r="R625" s="37">
        <v>2.0</v>
      </c>
      <c r="S625" s="15" t="s">
        <v>1427</v>
      </c>
      <c r="T625" s="37"/>
      <c r="U625" s="36"/>
      <c r="V625" s="18" t="s">
        <v>34</v>
      </c>
      <c r="W625" s="37"/>
      <c r="X625" s="37"/>
    </row>
    <row r="626" ht="22.5" customHeight="1">
      <c r="A626" s="35">
        <v>46098.59783986111</v>
      </c>
      <c r="B626" s="12" t="s">
        <v>1428</v>
      </c>
      <c r="C626" s="15" t="s">
        <v>1429</v>
      </c>
      <c r="D626" s="36"/>
      <c r="E626" s="15" t="s">
        <v>88</v>
      </c>
      <c r="F626" s="15" t="s">
        <v>133</v>
      </c>
      <c r="G626" s="40" t="s">
        <v>1430</v>
      </c>
      <c r="H626" s="15" t="s">
        <v>28</v>
      </c>
      <c r="I626" s="15" t="s">
        <v>81</v>
      </c>
      <c r="J626" s="36"/>
      <c r="K626" s="37" t="str">
        <f t="array" ref="K626">IFERROR(VLOOKUP(B626, SORT('Nhật ký nộp hồ sơ '!B:D, 'Nhật ký nộp hồ sơ '!A:A, FALSE), 3, FALSE),"")</f>
        <v>Hoàn thành</v>
      </c>
      <c r="L626" s="37" t="str">
        <f t="shared" si="1"/>
        <v>Hoàn thành</v>
      </c>
      <c r="M626" s="15" t="s">
        <v>146</v>
      </c>
      <c r="N626" s="38">
        <f>IFERROR(__xludf.DUMMYFUNCTION("""COMPUTED_VALUE"""),46098.0)</f>
        <v>46098</v>
      </c>
      <c r="O626" s="38">
        <v>46101.0</v>
      </c>
      <c r="P626" s="38">
        <f>IFERROR(__xludf.DUMMYFUNCTION("IFERROR(QUERY('Nhật ký nộp hồ sơ '!A:I, ""SELECT I WHERE B = '""&amp;B626&amp;""' ORDER BY A DESC LIMIT 1"", 0))"),46099.0)</f>
        <v>46099</v>
      </c>
      <c r="Q626" s="38">
        <f t="shared" si="2"/>
        <v>46099</v>
      </c>
      <c r="R626" s="37">
        <v>2.0</v>
      </c>
      <c r="S626" s="37"/>
      <c r="T626" s="37"/>
      <c r="U626" s="36"/>
      <c r="V626" s="18" t="s">
        <v>34</v>
      </c>
      <c r="W626" s="37"/>
      <c r="X626" s="37"/>
    </row>
    <row r="627" ht="22.5" customHeight="1">
      <c r="A627" s="35">
        <v>46098.598496817125</v>
      </c>
      <c r="B627" s="12" t="s">
        <v>1431</v>
      </c>
      <c r="C627" s="15" t="s">
        <v>1429</v>
      </c>
      <c r="D627" s="36"/>
      <c r="E627" s="15" t="s">
        <v>88</v>
      </c>
      <c r="F627" s="15" t="s">
        <v>133</v>
      </c>
      <c r="G627" s="40" t="s">
        <v>1430</v>
      </c>
      <c r="H627" s="15" t="s">
        <v>28</v>
      </c>
      <c r="I627" s="15" t="s">
        <v>659</v>
      </c>
      <c r="J627" s="36"/>
      <c r="K627" s="37" t="str">
        <f t="array" ref="K627">IFERROR(VLOOKUP(B627, SORT('Nhật ký nộp hồ sơ '!B:D, 'Nhật ký nộp hồ sơ '!A:A, FALSE), 3, FALSE),"")</f>
        <v>Hoàn thành</v>
      </c>
      <c r="L627" s="37" t="str">
        <f t="shared" si="1"/>
        <v>Hoàn thành</v>
      </c>
      <c r="M627" s="15" t="s">
        <v>30</v>
      </c>
      <c r="N627" s="38">
        <f>IFERROR(__xludf.DUMMYFUNCTION("""COMPUTED_VALUE"""),46098.0)</f>
        <v>46098</v>
      </c>
      <c r="O627" s="38">
        <v>46101.0</v>
      </c>
      <c r="P627" s="38">
        <f>IFERROR(__xludf.DUMMYFUNCTION("IFERROR(QUERY('Nhật ký nộp hồ sơ '!A:I, ""SELECT I WHERE B = '""&amp;B627&amp;""' ORDER BY A DESC LIMIT 1"", 0))"),46099.0)</f>
        <v>46099</v>
      </c>
      <c r="Q627" s="38">
        <f t="shared" si="2"/>
        <v>46099</v>
      </c>
      <c r="R627" s="37">
        <v>1.0</v>
      </c>
      <c r="S627" s="37"/>
      <c r="T627" s="37"/>
      <c r="U627" s="36"/>
      <c r="V627" s="18" t="s">
        <v>34</v>
      </c>
      <c r="W627" s="37"/>
      <c r="X627" s="37"/>
    </row>
    <row r="628" ht="22.5" customHeight="1">
      <c r="A628" s="35">
        <v>46099.472950763884</v>
      </c>
      <c r="B628" s="12" t="s">
        <v>1432</v>
      </c>
      <c r="C628" s="15" t="s">
        <v>1058</v>
      </c>
      <c r="D628" s="39" t="s">
        <v>44</v>
      </c>
      <c r="E628" s="15" t="s">
        <v>45</v>
      </c>
      <c r="F628" s="15" t="s">
        <v>27</v>
      </c>
      <c r="G628" s="15"/>
      <c r="H628" s="15" t="s">
        <v>28</v>
      </c>
      <c r="I628" s="15" t="s">
        <v>81</v>
      </c>
      <c r="J628" s="36"/>
      <c r="K628" s="37" t="str">
        <f t="array" ref="K628">IFERROR(VLOOKUP(B628, SORT('Nhật ký nộp hồ sơ '!B:D, 'Nhật ký nộp hồ sơ '!A:A, FALSE), 3, FALSE),"")</f>
        <v>Hoàn thành</v>
      </c>
      <c r="L628" s="37" t="str">
        <f t="shared" si="1"/>
        <v>Hoàn thành</v>
      </c>
      <c r="M628" s="15" t="s">
        <v>146</v>
      </c>
      <c r="N628" s="38">
        <f>IFERROR(__xludf.DUMMYFUNCTION("""COMPUTED_VALUE"""),46099.0)</f>
        <v>46099</v>
      </c>
      <c r="O628" s="38">
        <v>46102.0</v>
      </c>
      <c r="P628" s="38">
        <f>IFERROR(__xludf.DUMMYFUNCTION("IFERROR(QUERY('Nhật ký nộp hồ sơ '!A:I, ""SELECT I WHERE B = '""&amp;B628&amp;""' ORDER BY A DESC LIMIT 1"", 0))"),46100.0)</f>
        <v>46100</v>
      </c>
      <c r="Q628" s="38">
        <f t="shared" si="2"/>
        <v>46100</v>
      </c>
      <c r="R628" s="37">
        <v>2.0</v>
      </c>
      <c r="S628" s="37"/>
      <c r="T628" s="37"/>
      <c r="U628" s="36"/>
      <c r="V628" s="18" t="s">
        <v>34</v>
      </c>
      <c r="W628" s="37"/>
      <c r="X628" s="37"/>
    </row>
    <row r="629" ht="22.5" customHeight="1">
      <c r="A629" s="35">
        <v>46099.47418572917</v>
      </c>
      <c r="B629" s="12" t="s">
        <v>1433</v>
      </c>
      <c r="C629" s="15" t="s">
        <v>1434</v>
      </c>
      <c r="D629" s="36"/>
      <c r="E629" s="15" t="s">
        <v>88</v>
      </c>
      <c r="F629" s="15" t="s">
        <v>133</v>
      </c>
      <c r="G629" s="40" t="s">
        <v>1435</v>
      </c>
      <c r="H629" s="15" t="s">
        <v>28</v>
      </c>
      <c r="I629" s="15" t="s">
        <v>81</v>
      </c>
      <c r="J629" s="36"/>
      <c r="K629" s="37" t="str">
        <f t="array" ref="K629">IFERROR(VLOOKUP(B629, SORT('Nhật ký nộp hồ sơ '!B:D, 'Nhật ký nộp hồ sơ '!A:A, FALSE), 3, FALSE),"")</f>
        <v>Hoàn thành</v>
      </c>
      <c r="L629" s="37" t="str">
        <f t="shared" si="1"/>
        <v>Hoàn thành</v>
      </c>
      <c r="M629" s="15" t="s">
        <v>146</v>
      </c>
      <c r="N629" s="38">
        <f>IFERROR(__xludf.DUMMYFUNCTION("""COMPUTED_VALUE"""),46099.0)</f>
        <v>46099</v>
      </c>
      <c r="O629" s="38">
        <v>46102.0</v>
      </c>
      <c r="P629" s="38">
        <f>IFERROR(__xludf.DUMMYFUNCTION("IFERROR(QUERY('Nhật ký nộp hồ sơ '!A:I, ""SELECT I WHERE B = '""&amp;B629&amp;""' ORDER BY A DESC LIMIT 1"", 0))"),46100.0)</f>
        <v>46100</v>
      </c>
      <c r="Q629" s="38">
        <f t="shared" si="2"/>
        <v>46100</v>
      </c>
      <c r="R629" s="37">
        <v>1.0</v>
      </c>
      <c r="S629" s="37"/>
      <c r="T629" s="37"/>
      <c r="U629" s="36"/>
      <c r="V629" s="18" t="s">
        <v>34</v>
      </c>
      <c r="W629" s="37"/>
      <c r="X629" s="37"/>
    </row>
    <row r="630" ht="22.5" customHeight="1">
      <c r="A630" s="35">
        <v>46099.47504171296</v>
      </c>
      <c r="B630" s="12" t="s">
        <v>1436</v>
      </c>
      <c r="C630" s="15" t="s">
        <v>1434</v>
      </c>
      <c r="D630" s="36"/>
      <c r="E630" s="15" t="s">
        <v>88</v>
      </c>
      <c r="F630" s="15" t="s">
        <v>133</v>
      </c>
      <c r="G630" s="40" t="s">
        <v>1435</v>
      </c>
      <c r="H630" s="15" t="s">
        <v>28</v>
      </c>
      <c r="I630" s="15" t="s">
        <v>81</v>
      </c>
      <c r="J630" s="36"/>
      <c r="K630" s="37" t="str">
        <f t="array" ref="K630">IFERROR(VLOOKUP(B630, SORT('Nhật ký nộp hồ sơ '!B:D, 'Nhật ký nộp hồ sơ '!A:A, FALSE), 3, FALSE),"")</f>
        <v>Hủy</v>
      </c>
      <c r="L630" s="37" t="str">
        <f t="shared" si="1"/>
        <v>ĐÃ HỦY</v>
      </c>
      <c r="M630" s="15" t="s">
        <v>56</v>
      </c>
      <c r="N630" s="38">
        <f>IFERROR(__xludf.DUMMYFUNCTION("""COMPUTED_VALUE"""),46099.0)</f>
        <v>46099</v>
      </c>
      <c r="O630" s="38">
        <v>46102.0</v>
      </c>
      <c r="P630" s="38">
        <f>IFERROR(__xludf.DUMMYFUNCTION("IFERROR(QUERY('Nhật ký nộp hồ sơ '!A:I, ""SELECT I WHERE B = '""&amp;B630&amp;""' ORDER BY A DESC LIMIT 1"", 0))"),46164.0)</f>
        <v>46164</v>
      </c>
      <c r="Q630" s="38" t="str">
        <f t="shared" si="2"/>
        <v/>
      </c>
      <c r="R630" s="37">
        <v>1.0</v>
      </c>
      <c r="S630" s="37" t="s">
        <v>1437</v>
      </c>
      <c r="T630" s="37"/>
      <c r="U630" s="36"/>
      <c r="V630" s="18" t="s">
        <v>34</v>
      </c>
      <c r="W630" s="37"/>
      <c r="X630" s="37"/>
    </row>
    <row r="631" ht="22.5" customHeight="1">
      <c r="A631" s="35">
        <v>46099.62507238426</v>
      </c>
      <c r="B631" s="12" t="s">
        <v>1438</v>
      </c>
      <c r="C631" s="15" t="s">
        <v>1439</v>
      </c>
      <c r="D631" s="36"/>
      <c r="E631" s="15" t="s">
        <v>45</v>
      </c>
      <c r="F631" s="15" t="s">
        <v>46</v>
      </c>
      <c r="G631" s="15"/>
      <c r="H631" s="15" t="s">
        <v>69</v>
      </c>
      <c r="I631" s="15" t="s">
        <v>659</v>
      </c>
      <c r="J631" s="36"/>
      <c r="K631" s="37" t="str">
        <f t="array" ref="K631">IFERROR(VLOOKUP(B631, SORT('Nhật ký nộp hồ sơ '!B:D, 'Nhật ký nộp hồ sơ '!A:A, FALSE), 3, FALSE),"")</f>
        <v>Hủy</v>
      </c>
      <c r="L631" s="37" t="str">
        <f t="shared" si="1"/>
        <v>ĐÃ HỦY</v>
      </c>
      <c r="M631" s="15" t="s">
        <v>56</v>
      </c>
      <c r="N631" s="38">
        <f>IFERROR(__xludf.DUMMYFUNCTION("""COMPUTED_VALUE"""),46099.0)</f>
        <v>46099</v>
      </c>
      <c r="O631" s="38">
        <v>46102.0</v>
      </c>
      <c r="P631" s="38">
        <f>IFERROR(__xludf.DUMMYFUNCTION("IFERROR(QUERY('Nhật ký nộp hồ sơ '!A:I, ""SELECT I WHERE B = '""&amp;B631&amp;""' ORDER BY A DESC LIMIT 1"", 0))"),46164.0)</f>
        <v>46164</v>
      </c>
      <c r="Q631" s="38" t="str">
        <f t="shared" si="2"/>
        <v/>
      </c>
      <c r="R631" s="37">
        <v>1.0</v>
      </c>
      <c r="S631" s="37"/>
      <c r="T631" s="37"/>
      <c r="U631" s="36"/>
      <c r="V631" s="18" t="s">
        <v>34</v>
      </c>
      <c r="W631" s="37"/>
      <c r="X631" s="37"/>
    </row>
    <row r="632" ht="22.5" customHeight="1">
      <c r="A632" s="35">
        <v>46099.625870069445</v>
      </c>
      <c r="B632" s="12" t="s">
        <v>1440</v>
      </c>
      <c r="C632" s="15" t="s">
        <v>1441</v>
      </c>
      <c r="D632" s="39" t="s">
        <v>44</v>
      </c>
      <c r="E632" s="15" t="s">
        <v>45</v>
      </c>
      <c r="F632" s="15" t="s">
        <v>46</v>
      </c>
      <c r="G632" s="15"/>
      <c r="H632" s="15" t="s">
        <v>69</v>
      </c>
      <c r="I632" s="15" t="s">
        <v>659</v>
      </c>
      <c r="J632" s="36"/>
      <c r="K632" s="37" t="str">
        <f t="array" ref="K632">IFERROR(VLOOKUP(B632, SORT('Nhật ký nộp hồ sơ '!B:D, 'Nhật ký nộp hồ sơ '!A:A, FALSE), 3, FALSE),"")</f>
        <v>Hoàn thành</v>
      </c>
      <c r="L632" s="37" t="str">
        <f t="shared" si="1"/>
        <v>Hoàn thành</v>
      </c>
      <c r="M632" s="15" t="s">
        <v>56</v>
      </c>
      <c r="N632" s="38">
        <f>IFERROR(__xludf.DUMMYFUNCTION("""COMPUTED_VALUE"""),46099.0)</f>
        <v>46099</v>
      </c>
      <c r="O632" s="38">
        <v>46102.0</v>
      </c>
      <c r="P632" s="38">
        <f>IFERROR(__xludf.DUMMYFUNCTION("IFERROR(QUERY('Nhật ký nộp hồ sơ '!A:I, ""SELECT I WHERE B = '""&amp;B632&amp;""' ORDER BY A DESC LIMIT 1"", 0))"),46112.0)</f>
        <v>46112</v>
      </c>
      <c r="Q632" s="38">
        <f t="shared" si="2"/>
        <v>46112</v>
      </c>
      <c r="R632" s="37">
        <v>1.0</v>
      </c>
      <c r="S632" s="37"/>
      <c r="T632" s="37"/>
      <c r="U632" s="36"/>
      <c r="V632" s="18" t="s">
        <v>34</v>
      </c>
      <c r="W632" s="37"/>
      <c r="X632" s="37"/>
    </row>
    <row r="633" ht="22.5" customHeight="1">
      <c r="A633" s="35">
        <v>46099.62836565972</v>
      </c>
      <c r="B633" s="12" t="s">
        <v>1442</v>
      </c>
      <c r="C633" s="15" t="s">
        <v>1443</v>
      </c>
      <c r="D633" s="36"/>
      <c r="E633" s="15" t="s">
        <v>132</v>
      </c>
      <c r="F633" s="15" t="s">
        <v>133</v>
      </c>
      <c r="G633" s="40" t="s">
        <v>1444</v>
      </c>
      <c r="H633" s="15" t="s">
        <v>69</v>
      </c>
      <c r="I633" s="15" t="s">
        <v>659</v>
      </c>
      <c r="J633" s="36"/>
      <c r="K633" s="37" t="str">
        <f t="array" ref="K633">IFERROR(VLOOKUP(B633, SORT('Nhật ký nộp hồ sơ '!B:D, 'Nhật ký nộp hồ sơ '!A:A, FALSE), 3, FALSE),"")</f>
        <v>Hoàn thành</v>
      </c>
      <c r="L633" s="37" t="str">
        <f t="shared" si="1"/>
        <v>Hoàn thành</v>
      </c>
      <c r="M633" s="15" t="s">
        <v>30</v>
      </c>
      <c r="N633" s="38">
        <f>IFERROR(__xludf.DUMMYFUNCTION("""COMPUTED_VALUE"""),46099.0)</f>
        <v>46099</v>
      </c>
      <c r="O633" s="38">
        <v>46102.0</v>
      </c>
      <c r="P633" s="38">
        <f>IFERROR(__xludf.DUMMYFUNCTION("IFERROR(QUERY('Nhật ký nộp hồ sơ '!A:I, ""SELECT I WHERE B = '""&amp;B633&amp;""' ORDER BY A DESC LIMIT 1"", 0))"),46105.0)</f>
        <v>46105</v>
      </c>
      <c r="Q633" s="38">
        <f t="shared" si="2"/>
        <v>46105</v>
      </c>
      <c r="R633" s="37">
        <v>2.0</v>
      </c>
      <c r="S633" s="37"/>
      <c r="T633" s="37"/>
      <c r="U633" s="36"/>
      <c r="V633" s="18" t="s">
        <v>34</v>
      </c>
      <c r="W633" s="37"/>
      <c r="X633" s="37"/>
    </row>
    <row r="634" ht="22.5" customHeight="1">
      <c r="A634" s="35">
        <v>46100.47056778935</v>
      </c>
      <c r="B634" s="12" t="s">
        <v>1445</v>
      </c>
      <c r="C634" s="15" t="s">
        <v>1446</v>
      </c>
      <c r="D634" s="36"/>
      <c r="E634" s="15" t="s">
        <v>122</v>
      </c>
      <c r="F634" s="15" t="s">
        <v>133</v>
      </c>
      <c r="G634" s="40" t="s">
        <v>1447</v>
      </c>
      <c r="H634" s="15" t="s">
        <v>47</v>
      </c>
      <c r="I634" s="15" t="s">
        <v>659</v>
      </c>
      <c r="J634" s="36"/>
      <c r="K634" s="37" t="str">
        <f t="array" ref="K634">IFERROR(VLOOKUP(B634, SORT('Nhật ký nộp hồ sơ '!B:D, 'Nhật ký nộp hồ sơ '!A:A, FALSE), 3, FALSE),"")</f>
        <v>Hủy</v>
      </c>
      <c r="L634" s="37" t="str">
        <f t="shared" si="1"/>
        <v>ĐÃ HỦY</v>
      </c>
      <c r="M634" s="15" t="s">
        <v>48</v>
      </c>
      <c r="N634" s="38">
        <f>IFERROR(__xludf.DUMMYFUNCTION("""COMPUTED_VALUE"""),46100.0)</f>
        <v>46100</v>
      </c>
      <c r="O634" s="38">
        <v>46103.0</v>
      </c>
      <c r="P634" s="38">
        <f>IFERROR(__xludf.DUMMYFUNCTION("IFERROR(QUERY('Nhật ký nộp hồ sơ '!A:I, ""SELECT I WHERE B = '""&amp;B634&amp;""' ORDER BY A DESC LIMIT 1"", 0))"),46133.0)</f>
        <v>46133</v>
      </c>
      <c r="Q634" s="38" t="str">
        <f t="shared" si="2"/>
        <v/>
      </c>
      <c r="R634" s="37">
        <v>1.0</v>
      </c>
      <c r="S634" s="37"/>
      <c r="T634" s="15" t="s">
        <v>1448</v>
      </c>
      <c r="U634" s="36"/>
      <c r="V634" s="18" t="s">
        <v>34</v>
      </c>
      <c r="W634" s="37"/>
      <c r="X634" s="37"/>
    </row>
    <row r="635" ht="22.5" customHeight="1">
      <c r="A635" s="35">
        <v>46100.70769601852</v>
      </c>
      <c r="B635" s="12" t="s">
        <v>1449</v>
      </c>
      <c r="C635" s="15" t="s">
        <v>654</v>
      </c>
      <c r="D635" s="36"/>
      <c r="E635" s="15" t="s">
        <v>53</v>
      </c>
      <c r="F635" s="15" t="s">
        <v>133</v>
      </c>
      <c r="G635" s="15"/>
      <c r="H635" s="15" t="s">
        <v>28</v>
      </c>
      <c r="I635" s="15" t="s">
        <v>81</v>
      </c>
      <c r="J635" s="39" t="s">
        <v>202</v>
      </c>
      <c r="K635" s="37" t="str">
        <f t="array" ref="K635">IFERROR(VLOOKUP(B635, SORT('Nhật ký nộp hồ sơ '!B:D, 'Nhật ký nộp hồ sơ '!A:A, FALSE), 3, FALSE),"")</f>
        <v>Hoàn thành</v>
      </c>
      <c r="L635" s="37" t="str">
        <f t="shared" si="1"/>
        <v>Hoàn thành</v>
      </c>
      <c r="M635" s="15" t="s">
        <v>216</v>
      </c>
      <c r="N635" s="38">
        <f>IFERROR(__xludf.DUMMYFUNCTION("""COMPUTED_VALUE"""),46100.0)</f>
        <v>46100</v>
      </c>
      <c r="O635" s="38">
        <v>46101.0</v>
      </c>
      <c r="P635" s="38">
        <f>IFERROR(__xludf.DUMMYFUNCTION("IFERROR(QUERY('Nhật ký nộp hồ sơ '!A:I, ""SELECT I WHERE B = '""&amp;B635&amp;""' ORDER BY A DESC LIMIT 1"", 0))"),46101.0)</f>
        <v>46101</v>
      </c>
      <c r="Q635" s="38">
        <f t="shared" si="2"/>
        <v>46101</v>
      </c>
      <c r="R635" s="37">
        <v>1.0</v>
      </c>
      <c r="S635" s="37"/>
      <c r="T635" s="15"/>
      <c r="U635" s="36"/>
      <c r="V635" s="18" t="s">
        <v>34</v>
      </c>
      <c r="W635" s="37">
        <v>4.0</v>
      </c>
      <c r="X635" s="37" t="s">
        <v>687</v>
      </c>
    </row>
    <row r="636" ht="22.5" customHeight="1">
      <c r="A636" s="35">
        <v>46101.472026874995</v>
      </c>
      <c r="B636" s="12" t="s">
        <v>1450</v>
      </c>
      <c r="C636" s="15" t="s">
        <v>1451</v>
      </c>
      <c r="D636" s="39" t="s">
        <v>44</v>
      </c>
      <c r="E636" s="15" t="s">
        <v>26</v>
      </c>
      <c r="F636" s="15" t="s">
        <v>92</v>
      </c>
      <c r="G636" s="15"/>
      <c r="H636" s="15" t="s">
        <v>29</v>
      </c>
      <c r="I636" s="15" t="s">
        <v>659</v>
      </c>
      <c r="J636" s="41"/>
      <c r="K636" s="37" t="str">
        <f t="array" ref="K636">IFERROR(VLOOKUP(B636, SORT('Nhật ký nộp hồ sơ '!B:D, 'Nhật ký nộp hồ sơ '!A:A, FALSE), 3, FALSE),"")</f>
        <v>Hoàn thành</v>
      </c>
      <c r="L636" s="37" t="str">
        <f t="shared" si="1"/>
        <v>Hoàn thành</v>
      </c>
      <c r="M636" s="15" t="s">
        <v>56</v>
      </c>
      <c r="N636" s="38">
        <f>IFERROR(__xludf.DUMMYFUNCTION("""COMPUTED_VALUE"""),46101.0)</f>
        <v>46101</v>
      </c>
      <c r="O636" s="38">
        <v>46104.0</v>
      </c>
      <c r="P636" s="38">
        <f>IFERROR(__xludf.DUMMYFUNCTION("IFERROR(QUERY('Nhật ký nộp hồ sơ '!A:I, ""SELECT I WHERE B = '""&amp;B636&amp;""' ORDER BY A DESC LIMIT 1"", 0))"),46151.0)</f>
        <v>46151</v>
      </c>
      <c r="Q636" s="38">
        <f t="shared" si="2"/>
        <v>46151</v>
      </c>
      <c r="R636" s="37">
        <v>1.0</v>
      </c>
      <c r="S636" s="37" t="s">
        <v>1452</v>
      </c>
      <c r="T636" s="15"/>
      <c r="U636" s="36"/>
      <c r="V636" s="18" t="s">
        <v>34</v>
      </c>
      <c r="W636" s="37"/>
      <c r="X636" s="37"/>
    </row>
    <row r="637" ht="22.5" customHeight="1">
      <c r="A637" s="35">
        <v>46101.70293472223</v>
      </c>
      <c r="B637" s="12" t="s">
        <v>1453</v>
      </c>
      <c r="C637" s="15" t="s">
        <v>1454</v>
      </c>
      <c r="D637" s="36"/>
      <c r="E637" s="15" t="s">
        <v>26</v>
      </c>
      <c r="F637" s="15" t="s">
        <v>1455</v>
      </c>
      <c r="G637" s="40" t="s">
        <v>1456</v>
      </c>
      <c r="H637" s="15" t="s">
        <v>28</v>
      </c>
      <c r="I637" s="15" t="s">
        <v>659</v>
      </c>
      <c r="J637" s="41"/>
      <c r="K637" s="37" t="str">
        <f t="array" ref="K637">IFERROR(VLOOKUP(B637, SORT('Nhật ký nộp hồ sơ '!B:D, 'Nhật ký nộp hồ sơ '!A:A, FALSE), 3, FALSE),"")</f>
        <v>Hoàn thành</v>
      </c>
      <c r="L637" s="37" t="str">
        <f t="shared" si="1"/>
        <v>Hoàn thành</v>
      </c>
      <c r="M637" s="15" t="s">
        <v>216</v>
      </c>
      <c r="N637" s="38">
        <f>IFERROR(__xludf.DUMMYFUNCTION("""COMPUTED_VALUE"""),46101.0)</f>
        <v>46101</v>
      </c>
      <c r="O637" s="38">
        <v>46104.0</v>
      </c>
      <c r="P637" s="38">
        <f>IFERROR(__xludf.DUMMYFUNCTION("IFERROR(QUERY('Nhật ký nộp hồ sơ '!A:I, ""SELECT I WHERE B = '""&amp;B637&amp;""' ORDER BY A DESC LIMIT 1"", 0))"),46104.0)</f>
        <v>46104</v>
      </c>
      <c r="Q637" s="38">
        <f t="shared" si="2"/>
        <v>46104</v>
      </c>
      <c r="R637" s="37">
        <v>1.0</v>
      </c>
      <c r="S637" s="37" t="s">
        <v>1457</v>
      </c>
      <c r="T637" s="15"/>
      <c r="U637" s="36"/>
      <c r="V637" s="18" t="s">
        <v>34</v>
      </c>
      <c r="W637" s="37">
        <v>7.0</v>
      </c>
      <c r="X637" s="37" t="s">
        <v>1188</v>
      </c>
    </row>
    <row r="638" ht="22.5" customHeight="1">
      <c r="A638" s="35">
        <v>46104.46613840278</v>
      </c>
      <c r="B638" s="12" t="s">
        <v>1458</v>
      </c>
      <c r="C638" s="15" t="s">
        <v>1459</v>
      </c>
      <c r="D638" s="36"/>
      <c r="E638" s="15" t="s">
        <v>122</v>
      </c>
      <c r="F638" s="15" t="s">
        <v>1460</v>
      </c>
      <c r="G638" s="15"/>
      <c r="H638" s="15" t="s">
        <v>29</v>
      </c>
      <c r="I638" s="15" t="s">
        <v>659</v>
      </c>
      <c r="J638" s="41"/>
      <c r="K638" s="37" t="str">
        <f t="array" ref="K638">IFERROR(VLOOKUP(B638, SORT('Nhật ký nộp hồ sơ '!B:D, 'Nhật ký nộp hồ sơ '!A:A, FALSE), 3, FALSE),"")</f>
        <v>Nộp thành công - Chờ kết quả</v>
      </c>
      <c r="L638" s="37" t="str">
        <f t="shared" si="1"/>
        <v>Đã nộp</v>
      </c>
      <c r="M638" s="15" t="s">
        <v>56</v>
      </c>
      <c r="N638" s="38">
        <f>IFERROR(__xludf.DUMMYFUNCTION("""COMPUTED_VALUE"""),46104.0)</f>
        <v>46104</v>
      </c>
      <c r="O638" s="38">
        <v>46107.0</v>
      </c>
      <c r="P638" s="38">
        <f>IFERROR(__xludf.DUMMYFUNCTION("IFERROR(QUERY('Nhật ký nộp hồ sơ '!A:I, ""SELECT I WHERE B = '""&amp;B638&amp;""' ORDER BY A DESC LIMIT 1"", 0))"),46118.0)</f>
        <v>46118</v>
      </c>
      <c r="Q638" s="38" t="str">
        <f t="shared" si="2"/>
        <v/>
      </c>
      <c r="R638" s="37">
        <v>1.0</v>
      </c>
      <c r="S638" s="37"/>
      <c r="T638" s="15"/>
      <c r="U638" s="36"/>
      <c r="V638" s="18" t="s">
        <v>34</v>
      </c>
      <c r="W638" s="37"/>
      <c r="X638" s="37"/>
    </row>
    <row r="639" ht="22.5" customHeight="1">
      <c r="A639" s="35">
        <v>46105.577195578706</v>
      </c>
      <c r="B639" s="12" t="s">
        <v>1461</v>
      </c>
      <c r="C639" s="15" t="s">
        <v>1462</v>
      </c>
      <c r="D639" s="39" t="s">
        <v>44</v>
      </c>
      <c r="E639" s="15" t="s">
        <v>26</v>
      </c>
      <c r="F639" s="15" t="s">
        <v>133</v>
      </c>
      <c r="G639" s="40" t="s">
        <v>1463</v>
      </c>
      <c r="H639" s="15" t="s">
        <v>47</v>
      </c>
      <c r="I639" s="15" t="s">
        <v>29</v>
      </c>
      <c r="J639" s="41"/>
      <c r="K639" s="37" t="str">
        <f t="array" ref="K639">IFERROR(VLOOKUP(B639, SORT('Nhật ký nộp hồ sơ '!B:D, 'Nhật ký nộp hồ sơ '!A:A, FALSE), 3, FALSE),"")</f>
        <v>Hoàn thành</v>
      </c>
      <c r="L639" s="37" t="str">
        <f t="shared" si="1"/>
        <v>Hoàn thành</v>
      </c>
      <c r="M639" s="15" t="s">
        <v>135</v>
      </c>
      <c r="N639" s="38">
        <f>IFERROR(__xludf.DUMMYFUNCTION("""COMPUTED_VALUE"""),46105.0)</f>
        <v>46105</v>
      </c>
      <c r="O639" s="38">
        <v>46108.0</v>
      </c>
      <c r="P639" s="38">
        <f>IFERROR(__xludf.DUMMYFUNCTION("IFERROR(QUERY('Nhật ký nộp hồ sơ '!A:I, ""SELECT I WHERE B = '""&amp;B639&amp;""' ORDER BY A DESC LIMIT 1"", 0))"),46114.0)</f>
        <v>46114</v>
      </c>
      <c r="Q639" s="38">
        <f t="shared" si="2"/>
        <v>46114</v>
      </c>
      <c r="R639" s="37">
        <v>1.0</v>
      </c>
      <c r="S639" s="37" t="s">
        <v>1464</v>
      </c>
      <c r="T639" s="15"/>
      <c r="U639" s="36"/>
      <c r="V639" s="18" t="s">
        <v>34</v>
      </c>
      <c r="W639" s="37"/>
      <c r="X639" s="37"/>
    </row>
    <row r="640" ht="22.5" customHeight="1">
      <c r="A640" s="35">
        <v>46105.58031304398</v>
      </c>
      <c r="B640" s="12" t="s">
        <v>1465</v>
      </c>
      <c r="C640" s="15" t="s">
        <v>1462</v>
      </c>
      <c r="D640" s="39" t="s">
        <v>44</v>
      </c>
      <c r="E640" s="15" t="s">
        <v>26</v>
      </c>
      <c r="F640" s="15" t="s">
        <v>133</v>
      </c>
      <c r="G640" s="40" t="s">
        <v>1463</v>
      </c>
      <c r="H640" s="15" t="s">
        <v>47</v>
      </c>
      <c r="I640" s="15" t="s">
        <v>81</v>
      </c>
      <c r="J640" s="41"/>
      <c r="K640" s="37" t="str">
        <f t="array" ref="K640">IFERROR(VLOOKUP(B640, SORT('Nhật ký nộp hồ sơ '!B:D, 'Nhật ký nộp hồ sơ '!A:A, FALSE), 3, FALSE),"")</f>
        <v>Hoàn thành</v>
      </c>
      <c r="L640" s="37" t="str">
        <f t="shared" si="1"/>
        <v>Hoàn thành</v>
      </c>
      <c r="M640" s="15" t="s">
        <v>135</v>
      </c>
      <c r="N640" s="38">
        <f>IFERROR(__xludf.DUMMYFUNCTION("""COMPUTED_VALUE"""),46105.0)</f>
        <v>46105</v>
      </c>
      <c r="O640" s="38">
        <v>46108.0</v>
      </c>
      <c r="P640" s="38">
        <f>IFERROR(__xludf.DUMMYFUNCTION("IFERROR(QUERY('Nhật ký nộp hồ sơ '!A:I, ""SELECT I WHERE B = '""&amp;B640&amp;""' ORDER BY A DESC LIMIT 1"", 0))"),46114.0)</f>
        <v>46114</v>
      </c>
      <c r="Q640" s="38">
        <f t="shared" si="2"/>
        <v>46114</v>
      </c>
      <c r="R640" s="37">
        <v>1.0</v>
      </c>
      <c r="S640" s="37" t="s">
        <v>1466</v>
      </c>
      <c r="T640" s="15"/>
      <c r="U640" s="36"/>
      <c r="V640" s="18" t="s">
        <v>34</v>
      </c>
      <c r="W640" s="37"/>
      <c r="X640" s="37"/>
    </row>
    <row r="641" ht="22.5" customHeight="1">
      <c r="A641" s="35">
        <v>46105.58716443287</v>
      </c>
      <c r="B641" s="12" t="s">
        <v>1467</v>
      </c>
      <c r="C641" s="15" t="s">
        <v>1468</v>
      </c>
      <c r="D641" s="36"/>
      <c r="E641" s="15" t="s">
        <v>122</v>
      </c>
      <c r="F641" s="15" t="s">
        <v>133</v>
      </c>
      <c r="G641" s="40" t="s">
        <v>1469</v>
      </c>
      <c r="H641" s="15" t="s">
        <v>69</v>
      </c>
      <c r="I641" s="15" t="s">
        <v>659</v>
      </c>
      <c r="J641" s="41"/>
      <c r="K641" s="37" t="str">
        <f t="array" ref="K641">IFERROR(VLOOKUP(B641, SORT('Nhật ký nộp hồ sơ '!B:D, 'Nhật ký nộp hồ sơ '!A:A, FALSE), 3, FALSE),"")</f>
        <v>Hoàn thành</v>
      </c>
      <c r="L641" s="37" t="str">
        <f t="shared" si="1"/>
        <v>Hoàn thành</v>
      </c>
      <c r="M641" s="15" t="s">
        <v>216</v>
      </c>
      <c r="N641" s="38">
        <f>IFERROR(__xludf.DUMMYFUNCTION("""COMPUTED_VALUE"""),46105.0)</f>
        <v>46105</v>
      </c>
      <c r="O641" s="38">
        <v>46108.0</v>
      </c>
      <c r="P641" s="38">
        <f>IFERROR(__xludf.DUMMYFUNCTION("IFERROR(QUERY('Nhật ký nộp hồ sơ '!A:I, ""SELECT I WHERE B = '""&amp;B641&amp;""' ORDER BY A DESC LIMIT 1"", 0))"),46105.0)</f>
        <v>46105</v>
      </c>
      <c r="Q641" s="38">
        <f t="shared" si="2"/>
        <v>46105</v>
      </c>
      <c r="R641" s="37">
        <v>1.0</v>
      </c>
      <c r="S641" s="37"/>
      <c r="T641" s="15"/>
      <c r="U641" s="36"/>
      <c r="V641" s="18" t="s">
        <v>34</v>
      </c>
      <c r="W641" s="37"/>
      <c r="X641" s="37" t="s">
        <v>1188</v>
      </c>
    </row>
    <row r="642" ht="22.5" customHeight="1">
      <c r="A642" s="35">
        <v>46105.58881927084</v>
      </c>
      <c r="B642" s="12" t="s">
        <v>1470</v>
      </c>
      <c r="C642" s="15" t="s">
        <v>1471</v>
      </c>
      <c r="D642" s="36"/>
      <c r="E642" s="15" t="s">
        <v>79</v>
      </c>
      <c r="F642" s="15" t="s">
        <v>133</v>
      </c>
      <c r="G642" s="40" t="s">
        <v>1472</v>
      </c>
      <c r="H642" s="15" t="s">
        <v>69</v>
      </c>
      <c r="I642" s="15" t="s">
        <v>659</v>
      </c>
      <c r="J642" s="39" t="s">
        <v>202</v>
      </c>
      <c r="K642" s="37" t="str">
        <f t="array" ref="K642">IFERROR(VLOOKUP(B642, SORT('Nhật ký nộp hồ sơ '!B:D, 'Nhật ký nộp hồ sơ '!A:A, FALSE), 3, FALSE),"")</f>
        <v>Nộp thành công - Chờ kết quả</v>
      </c>
      <c r="L642" s="37" t="str">
        <f t="shared" si="1"/>
        <v>Đã nộp</v>
      </c>
      <c r="M642" s="15" t="s">
        <v>56</v>
      </c>
      <c r="N642" s="38">
        <f>IFERROR(__xludf.DUMMYFUNCTION("""COMPUTED_VALUE"""),46105.0)</f>
        <v>46105</v>
      </c>
      <c r="O642" s="38">
        <v>46106.0</v>
      </c>
      <c r="P642" s="38">
        <f>IFERROR(__xludf.DUMMYFUNCTION("IFERROR(QUERY('Nhật ký nộp hồ sơ '!A:I, ""SELECT I WHERE B = '""&amp;B642&amp;""' ORDER BY A DESC LIMIT 1"", 0))"),46123.0)</f>
        <v>46123</v>
      </c>
      <c r="Q642" s="38" t="str">
        <f t="shared" si="2"/>
        <v/>
      </c>
      <c r="R642" s="37">
        <v>1.0</v>
      </c>
      <c r="S642" s="37"/>
      <c r="T642" s="15"/>
      <c r="U642" s="36"/>
      <c r="V642" s="18" t="s">
        <v>34</v>
      </c>
      <c r="W642" s="37"/>
      <c r="X642" s="37"/>
    </row>
    <row r="643" ht="22.5" customHeight="1">
      <c r="A643" s="35">
        <v>46105.61299342592</v>
      </c>
      <c r="B643" s="12" t="s">
        <v>1473</v>
      </c>
      <c r="C643" s="15" t="s">
        <v>1459</v>
      </c>
      <c r="D643" s="36"/>
      <c r="E643" s="15" t="s">
        <v>122</v>
      </c>
      <c r="F643" s="15" t="s">
        <v>1460</v>
      </c>
      <c r="G643" s="15"/>
      <c r="H643" s="15" t="s">
        <v>29</v>
      </c>
      <c r="I643" s="15" t="s">
        <v>47</v>
      </c>
      <c r="J643" s="41"/>
      <c r="K643" s="37" t="str">
        <f t="array" ref="K643">IFERROR(VLOOKUP(B643, SORT('Nhật ký nộp hồ sơ '!B:D, 'Nhật ký nộp hồ sơ '!A:A, FALSE), 3, FALSE),"")</f>
        <v>Hoàn thành</v>
      </c>
      <c r="L643" s="37" t="str">
        <f t="shared" si="1"/>
        <v>Hoàn thành</v>
      </c>
      <c r="M643" s="15" t="s">
        <v>216</v>
      </c>
      <c r="N643" s="38">
        <f>IFERROR(__xludf.DUMMYFUNCTION("""COMPUTED_VALUE"""),46105.0)</f>
        <v>46105</v>
      </c>
      <c r="O643" s="38">
        <v>46108.0</v>
      </c>
      <c r="P643" s="38">
        <f>IFERROR(__xludf.DUMMYFUNCTION("IFERROR(QUERY('Nhật ký nộp hồ sơ '!A:I, ""SELECT I WHERE B = '""&amp;B643&amp;""' ORDER BY A DESC LIMIT 1"", 0))"),46105.0)</f>
        <v>46105</v>
      </c>
      <c r="Q643" s="38">
        <f t="shared" si="2"/>
        <v>46105</v>
      </c>
      <c r="R643" s="37">
        <v>1.0</v>
      </c>
      <c r="S643" s="37"/>
      <c r="T643" s="15"/>
      <c r="U643" s="36"/>
      <c r="V643" s="18" t="s">
        <v>34</v>
      </c>
      <c r="W643" s="37">
        <v>1.0</v>
      </c>
      <c r="X643" s="37" t="s">
        <v>687</v>
      </c>
    </row>
    <row r="644" ht="22.5" customHeight="1">
      <c r="A644" s="35">
        <v>46106.46922734954</v>
      </c>
      <c r="B644" s="12" t="s">
        <v>1474</v>
      </c>
      <c r="C644" s="15" t="s">
        <v>1475</v>
      </c>
      <c r="D644" s="36"/>
      <c r="E644" s="15" t="s">
        <v>62</v>
      </c>
      <c r="F644" s="15" t="s">
        <v>68</v>
      </c>
      <c r="G644" s="37"/>
      <c r="H644" s="15" t="s">
        <v>28</v>
      </c>
      <c r="I644" s="15" t="s">
        <v>659</v>
      </c>
      <c r="J644" s="36"/>
      <c r="K644" s="37" t="str">
        <f t="array" ref="K644">IFERROR(VLOOKUP(B644, SORT('Nhật ký nộp hồ sơ '!B:D, 'Nhật ký nộp hồ sơ '!A:A, FALSE), 3, FALSE),"")</f>
        <v>Hoàn thành</v>
      </c>
      <c r="L644" s="37" t="str">
        <f t="shared" si="1"/>
        <v>Hoàn thành</v>
      </c>
      <c r="M644" s="15" t="s">
        <v>30</v>
      </c>
      <c r="N644" s="38">
        <f>IFERROR(__xludf.DUMMYFUNCTION("""COMPUTED_VALUE"""),46106.0)</f>
        <v>46106</v>
      </c>
      <c r="O644" s="38">
        <v>46109.0</v>
      </c>
      <c r="P644" s="38">
        <f>IFERROR(__xludf.DUMMYFUNCTION("IFERROR(QUERY('Nhật ký nộp hồ sơ '!A:I, ""SELECT I WHERE B = '""&amp;B644&amp;""' ORDER BY A DESC LIMIT 1"", 0))"),46107.0)</f>
        <v>46107</v>
      </c>
      <c r="Q644" s="38">
        <f t="shared" si="2"/>
        <v>46107</v>
      </c>
      <c r="R644" s="37">
        <v>2.0</v>
      </c>
      <c r="S644" s="37"/>
      <c r="T644" s="37"/>
      <c r="U644" s="36"/>
      <c r="V644" s="18" t="s">
        <v>34</v>
      </c>
      <c r="W644" s="37"/>
      <c r="X644" s="37"/>
    </row>
    <row r="645" ht="22.5" customHeight="1">
      <c r="A645" s="35">
        <v>46106.46962659722</v>
      </c>
      <c r="B645" s="12" t="s">
        <v>1476</v>
      </c>
      <c r="C645" s="15" t="s">
        <v>1475</v>
      </c>
      <c r="D645" s="36"/>
      <c r="E645" s="15" t="s">
        <v>62</v>
      </c>
      <c r="F645" s="15" t="s">
        <v>68</v>
      </c>
      <c r="G645" s="37"/>
      <c r="H645" s="15" t="s">
        <v>28</v>
      </c>
      <c r="I645" s="15" t="s">
        <v>81</v>
      </c>
      <c r="J645" s="36"/>
      <c r="K645" s="37" t="str">
        <f t="array" ref="K645">IFERROR(VLOOKUP(B645, SORT('Nhật ký nộp hồ sơ '!B:D, 'Nhật ký nộp hồ sơ '!A:A, FALSE), 3, FALSE),"")</f>
        <v>Hoàn thành</v>
      </c>
      <c r="L645" s="37" t="str">
        <f t="shared" si="1"/>
        <v>Hoàn thành</v>
      </c>
      <c r="M645" s="15" t="s">
        <v>146</v>
      </c>
      <c r="N645" s="38">
        <f>IFERROR(__xludf.DUMMYFUNCTION("""COMPUTED_VALUE"""),46106.0)</f>
        <v>46106</v>
      </c>
      <c r="O645" s="38">
        <v>46109.0</v>
      </c>
      <c r="P645" s="38">
        <f>IFERROR(__xludf.DUMMYFUNCTION("IFERROR(QUERY('Nhật ký nộp hồ sơ '!A:I, ""SELECT I WHERE B = '""&amp;B645&amp;""' ORDER BY A DESC LIMIT 1"", 0))"),46106.0)</f>
        <v>46106</v>
      </c>
      <c r="Q645" s="38">
        <f t="shared" si="2"/>
        <v>46106</v>
      </c>
      <c r="R645" s="37">
        <v>2.0</v>
      </c>
      <c r="S645" s="37"/>
      <c r="T645" s="37"/>
      <c r="U645" s="36"/>
      <c r="V645" s="18" t="s">
        <v>34</v>
      </c>
      <c r="W645" s="37"/>
      <c r="X645" s="37"/>
    </row>
    <row r="646" ht="22.5" customHeight="1">
      <c r="A646" s="35">
        <v>46106.493293761574</v>
      </c>
      <c r="B646" s="12" t="s">
        <v>1477</v>
      </c>
      <c r="C646" s="15" t="s">
        <v>1478</v>
      </c>
      <c r="D646" s="36"/>
      <c r="E646" s="15" t="s">
        <v>26</v>
      </c>
      <c r="F646" s="15" t="s">
        <v>133</v>
      </c>
      <c r="G646" s="40" t="s">
        <v>1463</v>
      </c>
      <c r="H646" s="15" t="s">
        <v>29</v>
      </c>
      <c r="I646" s="15" t="s">
        <v>659</v>
      </c>
      <c r="J646" s="36"/>
      <c r="K646" s="37" t="str">
        <f t="array" ref="K646">IFERROR(VLOOKUP(B646, SORT('Nhật ký nộp hồ sơ '!B:D, 'Nhật ký nộp hồ sơ '!A:A, FALSE), 3, FALSE),"")</f>
        <v>Hoàn thành</v>
      </c>
      <c r="L646" s="37" t="str">
        <f t="shared" si="1"/>
        <v>Hoàn thành</v>
      </c>
      <c r="M646" s="15" t="s">
        <v>216</v>
      </c>
      <c r="N646" s="38">
        <f>IFERROR(__xludf.DUMMYFUNCTION("""COMPUTED_VALUE"""),46106.0)</f>
        <v>46106</v>
      </c>
      <c r="O646" s="38">
        <v>46109.0</v>
      </c>
      <c r="P646" s="38">
        <f>IFERROR(__xludf.DUMMYFUNCTION("IFERROR(QUERY('Nhật ký nộp hồ sơ '!A:I, ""SELECT I WHERE B = '""&amp;B646&amp;""' ORDER BY A DESC LIMIT 1"", 0))"),46106.0)</f>
        <v>46106</v>
      </c>
      <c r="Q646" s="38">
        <f t="shared" si="2"/>
        <v>46106</v>
      </c>
      <c r="R646" s="37">
        <v>0.0</v>
      </c>
      <c r="S646" s="37"/>
      <c r="T646" s="37"/>
      <c r="U646" s="36"/>
      <c r="V646" s="18" t="s">
        <v>34</v>
      </c>
      <c r="W646" s="37">
        <v>2.0</v>
      </c>
      <c r="X646" s="37" t="s">
        <v>687</v>
      </c>
    </row>
    <row r="647" ht="22.5" customHeight="1">
      <c r="A647" s="35">
        <v>46106.49543003472</v>
      </c>
      <c r="B647" s="12" t="s">
        <v>1479</v>
      </c>
      <c r="C647" s="15" t="s">
        <v>1480</v>
      </c>
      <c r="D647" s="39" t="s">
        <v>44</v>
      </c>
      <c r="E647" s="15" t="s">
        <v>132</v>
      </c>
      <c r="F647" s="15" t="s">
        <v>1152</v>
      </c>
      <c r="G647" s="37"/>
      <c r="H647" s="15" t="s">
        <v>29</v>
      </c>
      <c r="I647" s="15" t="s">
        <v>659</v>
      </c>
      <c r="J647" s="36"/>
      <c r="K647" s="37" t="str">
        <f t="array" ref="K647">IFERROR(VLOOKUP(B647, SORT('Nhật ký nộp hồ sơ '!B:D, 'Nhật ký nộp hồ sơ '!A:A, FALSE), 3, FALSE),"")</f>
        <v>Nộp thành công - Chờ kết quả</v>
      </c>
      <c r="L647" s="37" t="str">
        <f t="shared" si="1"/>
        <v>Đã nộp</v>
      </c>
      <c r="M647" s="15" t="s">
        <v>135</v>
      </c>
      <c r="N647" s="38">
        <f>IFERROR(__xludf.DUMMYFUNCTION("""COMPUTED_VALUE"""),46106.0)</f>
        <v>46106</v>
      </c>
      <c r="O647" s="38">
        <v>46109.0</v>
      </c>
      <c r="P647" s="38">
        <f>IFERROR(__xludf.DUMMYFUNCTION("IFERROR(QUERY('Nhật ký nộp hồ sơ '!A:I, ""SELECT I WHERE B = '""&amp;B647&amp;""' ORDER BY A DESC LIMIT 1"", 0))"),46135.0)</f>
        <v>46135</v>
      </c>
      <c r="Q647" s="37" t="str">
        <f t="shared" si="2"/>
        <v/>
      </c>
      <c r="R647" s="37">
        <v>1.0</v>
      </c>
      <c r="S647" s="37"/>
      <c r="T647" s="15" t="s">
        <v>1481</v>
      </c>
      <c r="U647" s="36"/>
      <c r="V647" s="18" t="s">
        <v>34</v>
      </c>
      <c r="W647" s="37"/>
      <c r="X647" s="37"/>
    </row>
    <row r="648" ht="22.5" customHeight="1">
      <c r="A648" s="35">
        <v>46106.723310127316</v>
      </c>
      <c r="B648" s="12" t="s">
        <v>1482</v>
      </c>
      <c r="C648" s="15" t="s">
        <v>1483</v>
      </c>
      <c r="D648" s="36"/>
      <c r="E648" s="15" t="s">
        <v>26</v>
      </c>
      <c r="F648" s="15" t="s">
        <v>620</v>
      </c>
      <c r="G648" s="37"/>
      <c r="H648" s="15" t="s">
        <v>28</v>
      </c>
      <c r="I648" s="15" t="s">
        <v>659</v>
      </c>
      <c r="J648" s="36"/>
      <c r="K648" s="37" t="str">
        <f t="array" ref="K648">IFERROR(VLOOKUP(B648, SORT('Nhật ký nộp hồ sơ '!B:D, 'Nhật ký nộp hồ sơ '!A:A, FALSE), 3, FALSE),"")</f>
        <v>Hoàn thành</v>
      </c>
      <c r="L648" s="37" t="str">
        <f t="shared" si="1"/>
        <v>Hoàn thành</v>
      </c>
      <c r="M648" s="15" t="s">
        <v>216</v>
      </c>
      <c r="N648" s="38">
        <f>IFERROR(__xludf.DUMMYFUNCTION("""COMPUTED_VALUE"""),46106.0)</f>
        <v>46106</v>
      </c>
      <c r="O648" s="38">
        <v>46109.0</v>
      </c>
      <c r="P648" s="38">
        <f>IFERROR(__xludf.DUMMYFUNCTION("IFERROR(QUERY('Nhật ký nộp hồ sơ '!A:I, ""SELECT I WHERE B = '""&amp;B648&amp;""' ORDER BY A DESC LIMIT 1"", 0))"),46107.0)</f>
        <v>46107</v>
      </c>
      <c r="Q648" s="38">
        <f t="shared" si="2"/>
        <v>46107</v>
      </c>
      <c r="R648" s="37">
        <v>1.0</v>
      </c>
      <c r="S648" s="37"/>
      <c r="T648" s="37"/>
      <c r="U648" s="36"/>
      <c r="V648" s="18" t="s">
        <v>34</v>
      </c>
      <c r="W648" s="15">
        <v>4.0</v>
      </c>
      <c r="X648" s="15" t="s">
        <v>1188</v>
      </c>
    </row>
    <row r="649" ht="22.5" customHeight="1">
      <c r="A649" s="35">
        <v>46106.72455591435</v>
      </c>
      <c r="B649" s="12" t="s">
        <v>1484</v>
      </c>
      <c r="C649" s="15" t="s">
        <v>354</v>
      </c>
      <c r="D649" s="36"/>
      <c r="E649" s="15" t="s">
        <v>26</v>
      </c>
      <c r="F649" s="15" t="s">
        <v>620</v>
      </c>
      <c r="G649" s="37"/>
      <c r="H649" s="15" t="s">
        <v>28</v>
      </c>
      <c r="I649" s="15" t="s">
        <v>659</v>
      </c>
      <c r="J649" s="36"/>
      <c r="K649" s="37" t="str">
        <f t="array" ref="K649">IFERROR(VLOOKUP(B649, SORT('Nhật ký nộp hồ sơ '!B:D, 'Nhật ký nộp hồ sơ '!A:A, FALSE), 3, FALSE),"")</f>
        <v>Hoàn thành</v>
      </c>
      <c r="L649" s="37" t="str">
        <f t="shared" si="1"/>
        <v>Hoàn thành</v>
      </c>
      <c r="M649" s="15" t="s">
        <v>216</v>
      </c>
      <c r="N649" s="38">
        <f>IFERROR(__xludf.DUMMYFUNCTION("""COMPUTED_VALUE"""),46106.0)</f>
        <v>46106</v>
      </c>
      <c r="O649" s="38">
        <v>46109.0</v>
      </c>
      <c r="P649" s="38">
        <f>IFERROR(__xludf.DUMMYFUNCTION("IFERROR(QUERY('Nhật ký nộp hồ sơ '!A:I, ""SELECT I WHERE B = '""&amp;B649&amp;""' ORDER BY A DESC LIMIT 1"", 0))"),46107.0)</f>
        <v>46107</v>
      </c>
      <c r="Q649" s="38">
        <f t="shared" si="2"/>
        <v>46107</v>
      </c>
      <c r="R649" s="37">
        <v>1.0</v>
      </c>
      <c r="S649" s="37"/>
      <c r="T649" s="37"/>
      <c r="U649" s="36"/>
      <c r="V649" s="18" t="s">
        <v>34</v>
      </c>
      <c r="W649" s="15">
        <v>4.0</v>
      </c>
      <c r="X649" s="15" t="s">
        <v>1188</v>
      </c>
    </row>
    <row r="650" ht="22.5" customHeight="1">
      <c r="A650" s="35">
        <v>46106.725629259265</v>
      </c>
      <c r="B650" s="12" t="s">
        <v>1485</v>
      </c>
      <c r="C650" s="15" t="s">
        <v>1121</v>
      </c>
      <c r="D650" s="36"/>
      <c r="E650" s="15" t="s">
        <v>45</v>
      </c>
      <c r="F650" s="15" t="s">
        <v>46</v>
      </c>
      <c r="G650" s="37"/>
      <c r="H650" s="15" t="s">
        <v>28</v>
      </c>
      <c r="I650" s="15" t="s">
        <v>659</v>
      </c>
      <c r="J650" s="36"/>
      <c r="K650" s="37" t="str">
        <f t="array" ref="K650">IFERROR(VLOOKUP(B650, SORT('Nhật ký nộp hồ sơ '!B:D, 'Nhật ký nộp hồ sơ '!A:A, FALSE), 3, FALSE),"")</f>
        <v>Hoàn thành</v>
      </c>
      <c r="L650" s="37" t="str">
        <f t="shared" si="1"/>
        <v>Hoàn thành</v>
      </c>
      <c r="M650" s="15" t="s">
        <v>216</v>
      </c>
      <c r="N650" s="38">
        <f>IFERROR(__xludf.DUMMYFUNCTION("""COMPUTED_VALUE"""),46106.0)</f>
        <v>46106</v>
      </c>
      <c r="O650" s="38">
        <v>46109.0</v>
      </c>
      <c r="P650" s="38">
        <f>IFERROR(__xludf.DUMMYFUNCTION("IFERROR(QUERY('Nhật ký nộp hồ sơ '!A:I, ""SELECT I WHERE B = '""&amp;B650&amp;""' ORDER BY A DESC LIMIT 1"", 0))"),46107.0)</f>
        <v>46107</v>
      </c>
      <c r="Q650" s="38">
        <f t="shared" si="2"/>
        <v>46107</v>
      </c>
      <c r="R650" s="37">
        <v>1.0</v>
      </c>
      <c r="S650" s="37"/>
      <c r="T650" s="37"/>
      <c r="U650" s="36"/>
      <c r="V650" s="18" t="s">
        <v>34</v>
      </c>
      <c r="W650" s="15">
        <v>2.0</v>
      </c>
      <c r="X650" s="15" t="s">
        <v>687</v>
      </c>
    </row>
    <row r="651" ht="22.5" customHeight="1">
      <c r="A651" s="35">
        <v>46107.370435833334</v>
      </c>
      <c r="B651" s="12" t="s">
        <v>1486</v>
      </c>
      <c r="C651" s="15" t="s">
        <v>1487</v>
      </c>
      <c r="D651" s="36"/>
      <c r="E651" s="15" t="s">
        <v>45</v>
      </c>
      <c r="F651" s="15" t="s">
        <v>92</v>
      </c>
      <c r="G651" s="37"/>
      <c r="H651" s="15" t="s">
        <v>28</v>
      </c>
      <c r="I651" s="15" t="s">
        <v>81</v>
      </c>
      <c r="J651" s="36"/>
      <c r="K651" s="37" t="str">
        <f t="array" ref="K651">IFERROR(VLOOKUP(B651, SORT('Nhật ký nộp hồ sơ '!B:D, 'Nhật ký nộp hồ sơ '!A:A, FALSE), 3, FALSE),"")</f>
        <v>Hoàn thành</v>
      </c>
      <c r="L651" s="37" t="str">
        <f t="shared" si="1"/>
        <v>Hoàn thành</v>
      </c>
      <c r="M651" s="15" t="s">
        <v>146</v>
      </c>
      <c r="N651" s="38">
        <f>IFERROR(__xludf.DUMMYFUNCTION("""COMPUTED_VALUE"""),46107.0)</f>
        <v>46107</v>
      </c>
      <c r="O651" s="38">
        <v>46110.0</v>
      </c>
      <c r="P651" s="38">
        <f>IFERROR(__xludf.DUMMYFUNCTION("IFERROR(QUERY('Nhật ký nộp hồ sơ '!A:I, ""SELECT I WHERE B = '""&amp;B651&amp;""' ORDER BY A DESC LIMIT 1"", 0))"),46107.0)</f>
        <v>46107</v>
      </c>
      <c r="Q651" s="38">
        <f t="shared" si="2"/>
        <v>46107</v>
      </c>
      <c r="R651" s="37">
        <v>4.0</v>
      </c>
      <c r="S651" s="37"/>
      <c r="T651" s="37"/>
      <c r="U651" s="36"/>
      <c r="V651" s="18" t="s">
        <v>34</v>
      </c>
      <c r="W651" s="15"/>
      <c r="X651" s="15"/>
    </row>
    <row r="652" ht="22.5" customHeight="1">
      <c r="A652" s="35">
        <v>46107.473434803236</v>
      </c>
      <c r="B652" s="12" t="s">
        <v>1488</v>
      </c>
      <c r="C652" s="15" t="s">
        <v>1489</v>
      </c>
      <c r="D652" s="36"/>
      <c r="E652" s="15" t="s">
        <v>45</v>
      </c>
      <c r="F652" s="15" t="s">
        <v>92</v>
      </c>
      <c r="G652" s="37"/>
      <c r="H652" s="15" t="s">
        <v>29</v>
      </c>
      <c r="I652" s="15" t="s">
        <v>659</v>
      </c>
      <c r="J652" s="36"/>
      <c r="K652" s="37" t="str">
        <f t="array" ref="K652">IFERROR(VLOOKUP(B652, SORT('Nhật ký nộp hồ sơ '!B:D, 'Nhật ký nộp hồ sơ '!A:A, FALSE), 3, FALSE),"")</f>
        <v>Hoàn thành</v>
      </c>
      <c r="L652" s="37" t="str">
        <f t="shared" si="1"/>
        <v>Hoàn thành</v>
      </c>
      <c r="M652" s="15" t="s">
        <v>30</v>
      </c>
      <c r="N652" s="38">
        <f>IFERROR(__xludf.DUMMYFUNCTION("""COMPUTED_VALUE"""),46107.0)</f>
        <v>46107</v>
      </c>
      <c r="O652" s="38">
        <v>46110.0</v>
      </c>
      <c r="P652" s="38">
        <f>IFERROR(__xludf.DUMMYFUNCTION("IFERROR(QUERY('Nhật ký nộp hồ sơ '!A:I, ""SELECT I WHERE B = '""&amp;B652&amp;""' ORDER BY A DESC LIMIT 1"", 0))"),46111.0)</f>
        <v>46111</v>
      </c>
      <c r="Q652" s="38">
        <f t="shared" si="2"/>
        <v>46111</v>
      </c>
      <c r="R652" s="37">
        <v>1.0</v>
      </c>
      <c r="S652" s="37"/>
      <c r="T652" s="37"/>
      <c r="U652" s="36"/>
      <c r="V652" s="18" t="s">
        <v>34</v>
      </c>
      <c r="W652" s="15"/>
      <c r="X652" s="15"/>
    </row>
    <row r="653" ht="22.5" customHeight="1">
      <c r="A653" s="35">
        <v>46107.4740882176</v>
      </c>
      <c r="B653" s="12" t="s">
        <v>1490</v>
      </c>
      <c r="C653" s="15" t="s">
        <v>1491</v>
      </c>
      <c r="D653" s="36"/>
      <c r="E653" s="15" t="s">
        <v>45</v>
      </c>
      <c r="F653" s="15" t="s">
        <v>92</v>
      </c>
      <c r="G653" s="37"/>
      <c r="H653" s="15" t="s">
        <v>29</v>
      </c>
      <c r="I653" s="15" t="s">
        <v>659</v>
      </c>
      <c r="J653" s="36"/>
      <c r="K653" s="37" t="str">
        <f t="array" ref="K653">IFERROR(VLOOKUP(B653, SORT('Nhật ký nộp hồ sơ '!B:D, 'Nhật ký nộp hồ sơ '!A:A, FALSE), 3, FALSE),"")</f>
        <v>Hoàn thành</v>
      </c>
      <c r="L653" s="37" t="str">
        <f t="shared" si="1"/>
        <v>Hoàn thành</v>
      </c>
      <c r="M653" s="15" t="s">
        <v>30</v>
      </c>
      <c r="N653" s="38">
        <f>IFERROR(__xludf.DUMMYFUNCTION("""COMPUTED_VALUE"""),46107.0)</f>
        <v>46107</v>
      </c>
      <c r="O653" s="38">
        <v>46110.0</v>
      </c>
      <c r="P653" s="38">
        <f>IFERROR(__xludf.DUMMYFUNCTION("IFERROR(QUERY('Nhật ký nộp hồ sơ '!A:I, ""SELECT I WHERE B = '""&amp;B653&amp;""' ORDER BY A DESC LIMIT 1"", 0))"),46111.0)</f>
        <v>46111</v>
      </c>
      <c r="Q653" s="38">
        <f t="shared" si="2"/>
        <v>46111</v>
      </c>
      <c r="R653" s="37">
        <v>1.0</v>
      </c>
      <c r="S653" s="37"/>
      <c r="T653" s="37"/>
      <c r="U653" s="36"/>
      <c r="V653" s="18" t="s">
        <v>34</v>
      </c>
      <c r="W653" s="15"/>
      <c r="X653" s="15"/>
    </row>
    <row r="654" ht="22.5" customHeight="1">
      <c r="A654" s="35">
        <v>46107.47483972222</v>
      </c>
      <c r="B654" s="12" t="s">
        <v>1492</v>
      </c>
      <c r="C654" s="15" t="s">
        <v>1493</v>
      </c>
      <c r="D654" s="36"/>
      <c r="E654" s="15" t="s">
        <v>45</v>
      </c>
      <c r="F654" s="15" t="s">
        <v>92</v>
      </c>
      <c r="G654" s="37"/>
      <c r="H654" s="15" t="s">
        <v>29</v>
      </c>
      <c r="I654" s="15" t="s">
        <v>659</v>
      </c>
      <c r="J654" s="36"/>
      <c r="K654" s="37" t="str">
        <f t="array" ref="K654">IFERROR(VLOOKUP(B654, SORT('Nhật ký nộp hồ sơ '!B:D, 'Nhật ký nộp hồ sơ '!A:A, FALSE), 3, FALSE),"")</f>
        <v>Hoàn thành</v>
      </c>
      <c r="L654" s="37" t="str">
        <f t="shared" si="1"/>
        <v>Hoàn thành</v>
      </c>
      <c r="M654" s="15" t="s">
        <v>30</v>
      </c>
      <c r="N654" s="38">
        <f>IFERROR(__xludf.DUMMYFUNCTION("""COMPUTED_VALUE"""),46107.0)</f>
        <v>46107</v>
      </c>
      <c r="O654" s="38">
        <v>46110.0</v>
      </c>
      <c r="P654" s="38">
        <f>IFERROR(__xludf.DUMMYFUNCTION("IFERROR(QUERY('Nhật ký nộp hồ sơ '!A:I, ""SELECT I WHERE B = '""&amp;B654&amp;""' ORDER BY A DESC LIMIT 1"", 0))"),46111.0)</f>
        <v>46111</v>
      </c>
      <c r="Q654" s="38">
        <f t="shared" si="2"/>
        <v>46111</v>
      </c>
      <c r="R654" s="37">
        <v>1.0</v>
      </c>
      <c r="S654" s="37"/>
      <c r="T654" s="37"/>
      <c r="U654" s="36"/>
      <c r="V654" s="18" t="s">
        <v>34</v>
      </c>
      <c r="W654" s="15"/>
      <c r="X654" s="15"/>
    </row>
    <row r="655" ht="22.5" customHeight="1">
      <c r="A655" s="35">
        <v>46107.4757572338</v>
      </c>
      <c r="B655" s="12" t="s">
        <v>1494</v>
      </c>
      <c r="C655" s="15" t="s">
        <v>1495</v>
      </c>
      <c r="D655" s="36"/>
      <c r="E655" s="15" t="s">
        <v>45</v>
      </c>
      <c r="F655" s="15" t="s">
        <v>92</v>
      </c>
      <c r="G655" s="37"/>
      <c r="H655" s="15" t="s">
        <v>29</v>
      </c>
      <c r="I655" s="15" t="s">
        <v>659</v>
      </c>
      <c r="J655" s="36"/>
      <c r="K655" s="37" t="str">
        <f t="array" ref="K655">IFERROR(VLOOKUP(B655, SORT('Nhật ký nộp hồ sơ '!B:D, 'Nhật ký nộp hồ sơ '!A:A, FALSE), 3, FALSE),"")</f>
        <v>Hoàn thành</v>
      </c>
      <c r="L655" s="37" t="str">
        <f t="shared" si="1"/>
        <v>Hoàn thành</v>
      </c>
      <c r="M655" s="15" t="s">
        <v>30</v>
      </c>
      <c r="N655" s="38">
        <f>IFERROR(__xludf.DUMMYFUNCTION("""COMPUTED_VALUE"""),46107.0)</f>
        <v>46107</v>
      </c>
      <c r="O655" s="38">
        <v>46110.0</v>
      </c>
      <c r="P655" s="38">
        <f>IFERROR(__xludf.DUMMYFUNCTION("IFERROR(QUERY('Nhật ký nộp hồ sơ '!A:I, ""SELECT I WHERE B = '""&amp;B655&amp;""' ORDER BY A DESC LIMIT 1"", 0))"),46111.0)</f>
        <v>46111</v>
      </c>
      <c r="Q655" s="38">
        <f t="shared" si="2"/>
        <v>46111</v>
      </c>
      <c r="R655" s="37">
        <v>1.0</v>
      </c>
      <c r="S655" s="37"/>
      <c r="T655" s="37"/>
      <c r="U655" s="36"/>
      <c r="V655" s="18" t="s">
        <v>34</v>
      </c>
      <c r="W655" s="15"/>
      <c r="X655" s="15"/>
    </row>
    <row r="656" ht="22.5" customHeight="1">
      <c r="A656" s="35">
        <v>46107.47693704861</v>
      </c>
      <c r="B656" s="12" t="s">
        <v>1496</v>
      </c>
      <c r="C656" s="15" t="s">
        <v>1497</v>
      </c>
      <c r="D656" s="36"/>
      <c r="E656" s="15" t="s">
        <v>45</v>
      </c>
      <c r="F656" s="15" t="s">
        <v>92</v>
      </c>
      <c r="G656" s="37"/>
      <c r="H656" s="15" t="s">
        <v>29</v>
      </c>
      <c r="I656" s="15" t="s">
        <v>659</v>
      </c>
      <c r="J656" s="36"/>
      <c r="K656" s="37" t="str">
        <f t="array" ref="K656">IFERROR(VLOOKUP(B656, SORT('Nhật ký nộp hồ sơ '!B:D, 'Nhật ký nộp hồ sơ '!A:A, FALSE), 3, FALSE),"")</f>
        <v>Hoàn thành</v>
      </c>
      <c r="L656" s="37" t="str">
        <f t="shared" si="1"/>
        <v>Hoàn thành</v>
      </c>
      <c r="M656" s="15" t="s">
        <v>30</v>
      </c>
      <c r="N656" s="38">
        <f>IFERROR(__xludf.DUMMYFUNCTION("""COMPUTED_VALUE"""),46107.0)</f>
        <v>46107</v>
      </c>
      <c r="O656" s="38">
        <v>46110.0</v>
      </c>
      <c r="P656" s="38">
        <f>IFERROR(__xludf.DUMMYFUNCTION("IFERROR(QUERY('Nhật ký nộp hồ sơ '!A:I, ""SELECT I WHERE B = '""&amp;B656&amp;""' ORDER BY A DESC LIMIT 1"", 0))"),46111.0)</f>
        <v>46111</v>
      </c>
      <c r="Q656" s="38">
        <f t="shared" si="2"/>
        <v>46111</v>
      </c>
      <c r="R656" s="37">
        <v>1.0</v>
      </c>
      <c r="S656" s="37" t="s">
        <v>1498</v>
      </c>
      <c r="T656" s="37"/>
      <c r="U656" s="36"/>
      <c r="V656" s="18" t="s">
        <v>34</v>
      </c>
      <c r="W656" s="15"/>
      <c r="X656" s="15"/>
    </row>
    <row r="657" ht="22.5" customHeight="1">
      <c r="A657" s="35">
        <v>46107.49248208333</v>
      </c>
      <c r="B657" s="12" t="s">
        <v>1499</v>
      </c>
      <c r="C657" s="15" t="s">
        <v>1500</v>
      </c>
      <c r="D657" s="39" t="s">
        <v>44</v>
      </c>
      <c r="E657" s="15" t="s">
        <v>222</v>
      </c>
      <c r="F657" s="15" t="s">
        <v>133</v>
      </c>
      <c r="G657" s="37" t="s">
        <v>1501</v>
      </c>
      <c r="H657" s="15" t="s">
        <v>47</v>
      </c>
      <c r="I657" s="15" t="s">
        <v>659</v>
      </c>
      <c r="J657" s="39" t="s">
        <v>202</v>
      </c>
      <c r="K657" s="37" t="str">
        <f t="array" ref="K657">IFERROR(VLOOKUP(B657, SORT('Nhật ký nộp hồ sơ '!B:D, 'Nhật ký nộp hồ sơ '!A:A, FALSE), 3, FALSE),"")</f>
        <v>Hoàn thành</v>
      </c>
      <c r="L657" s="37" t="str">
        <f t="shared" si="1"/>
        <v>Hoàn thành</v>
      </c>
      <c r="M657" s="15" t="s">
        <v>48</v>
      </c>
      <c r="N657" s="38">
        <f>IFERROR(__xludf.DUMMYFUNCTION("""COMPUTED_VALUE"""),46107.0)</f>
        <v>46107</v>
      </c>
      <c r="O657" s="38">
        <v>46108.0</v>
      </c>
      <c r="P657" s="38">
        <f>IFERROR(__xludf.DUMMYFUNCTION("IFERROR(QUERY('Nhật ký nộp hồ sơ '!A:I, ""SELECT I WHERE B = '""&amp;B657&amp;""' ORDER BY A DESC LIMIT 1"", 0))"),46107.0)</f>
        <v>46107</v>
      </c>
      <c r="Q657" s="38">
        <f t="shared" si="2"/>
        <v>46107</v>
      </c>
      <c r="R657" s="37">
        <v>1.0</v>
      </c>
      <c r="S657" s="37"/>
      <c r="T657" s="37"/>
      <c r="U657" s="36"/>
      <c r="V657" s="18" t="s">
        <v>34</v>
      </c>
      <c r="W657" s="15"/>
      <c r="X657" s="15"/>
    </row>
    <row r="658" ht="22.5" customHeight="1">
      <c r="A658" s="35">
        <v>46107.58983866898</v>
      </c>
      <c r="B658" s="12" t="s">
        <v>1502</v>
      </c>
      <c r="C658" s="15" t="s">
        <v>1503</v>
      </c>
      <c r="D658" s="36"/>
      <c r="E658" s="15" t="s">
        <v>151</v>
      </c>
      <c r="F658" s="15" t="s">
        <v>219</v>
      </c>
      <c r="G658" s="37"/>
      <c r="H658" s="15" t="s">
        <v>28</v>
      </c>
      <c r="I658" s="15" t="s">
        <v>659</v>
      </c>
      <c r="J658" s="41"/>
      <c r="K658" s="37" t="str">
        <f t="array" ref="K658">IFERROR(VLOOKUP(B658, SORT('Nhật ký nộp hồ sơ '!B:D, 'Nhật ký nộp hồ sơ '!A:A, FALSE), 3, FALSE),"")</f>
        <v>Hoàn thành</v>
      </c>
      <c r="L658" s="37" t="str">
        <f t="shared" si="1"/>
        <v>Hoàn thành</v>
      </c>
      <c r="M658" s="15" t="s">
        <v>56</v>
      </c>
      <c r="N658" s="38">
        <f>IFERROR(__xludf.DUMMYFUNCTION("""COMPUTED_VALUE"""),46107.0)</f>
        <v>46107</v>
      </c>
      <c r="O658" s="38">
        <v>46110.0</v>
      </c>
      <c r="P658" s="38">
        <f>IFERROR(__xludf.DUMMYFUNCTION("IFERROR(QUERY('Nhật ký nộp hồ sơ '!A:I, ""SELECT I WHERE B = '""&amp;B658&amp;""' ORDER BY A DESC LIMIT 1"", 0))"),46118.0)</f>
        <v>46118</v>
      </c>
      <c r="Q658" s="38">
        <f t="shared" si="2"/>
        <v>46118</v>
      </c>
      <c r="R658" s="37">
        <v>1.0</v>
      </c>
      <c r="S658" s="37"/>
      <c r="T658" s="37"/>
      <c r="U658" s="36"/>
      <c r="V658" s="18" t="s">
        <v>34</v>
      </c>
      <c r="W658" s="15"/>
      <c r="X658" s="15"/>
    </row>
    <row r="659" ht="22.5" customHeight="1">
      <c r="A659" s="35">
        <v>46108.438162349536</v>
      </c>
      <c r="B659" s="12" t="s">
        <v>1504</v>
      </c>
      <c r="C659" s="15" t="s">
        <v>1505</v>
      </c>
      <c r="D659" s="39" t="s">
        <v>44</v>
      </c>
      <c r="E659" s="15" t="s">
        <v>88</v>
      </c>
      <c r="F659" s="15" t="s">
        <v>29</v>
      </c>
      <c r="G659" s="37"/>
      <c r="H659" s="15" t="s">
        <v>29</v>
      </c>
      <c r="I659" s="15" t="s">
        <v>81</v>
      </c>
      <c r="J659" s="41"/>
      <c r="K659" s="37" t="str">
        <f t="array" ref="K659">IFERROR(VLOOKUP(B659, SORT('Nhật ký nộp hồ sơ '!B:D, 'Nhật ký nộp hồ sơ '!A:A, FALSE), 3, FALSE),"")</f>
        <v>Hoàn thành</v>
      </c>
      <c r="L659" s="37" t="str">
        <f t="shared" si="1"/>
        <v>Hoàn thành</v>
      </c>
      <c r="M659" s="15" t="s">
        <v>1506</v>
      </c>
      <c r="N659" s="38">
        <f>IFERROR(__xludf.DUMMYFUNCTION("""COMPUTED_VALUE"""),46108.0)</f>
        <v>46108</v>
      </c>
      <c r="O659" s="38">
        <v>46111.0</v>
      </c>
      <c r="P659" s="38">
        <f>IFERROR(__xludf.DUMMYFUNCTION("IFERROR(QUERY('Nhật ký nộp hồ sơ '!A:I, ""SELECT I WHERE B = '""&amp;B659&amp;""' ORDER BY A DESC LIMIT 1"", 0))"),46118.0)</f>
        <v>46118</v>
      </c>
      <c r="Q659" s="38">
        <f t="shared" si="2"/>
        <v>46118</v>
      </c>
      <c r="R659" s="37">
        <v>2.0</v>
      </c>
      <c r="S659" s="37" t="s">
        <v>1507</v>
      </c>
      <c r="T659" s="37"/>
      <c r="U659" s="36"/>
      <c r="V659" s="18" t="s">
        <v>34</v>
      </c>
      <c r="W659" s="15"/>
      <c r="X659" s="15"/>
    </row>
    <row r="660" ht="22.5" customHeight="1">
      <c r="A660" s="35">
        <v>46108.46112673611</v>
      </c>
      <c r="B660" s="12" t="s">
        <v>1508</v>
      </c>
      <c r="C660" s="15" t="s">
        <v>1509</v>
      </c>
      <c r="D660" s="36"/>
      <c r="E660" s="15" t="s">
        <v>187</v>
      </c>
      <c r="F660" s="15" t="s">
        <v>338</v>
      </c>
      <c r="G660" s="37"/>
      <c r="H660" s="15" t="s">
        <v>47</v>
      </c>
      <c r="I660" s="15" t="s">
        <v>29</v>
      </c>
      <c r="J660" s="41"/>
      <c r="K660" s="37" t="str">
        <f t="array" ref="K660">IFERROR(VLOOKUP(B660, SORT('Nhật ký nộp hồ sơ '!B:D, 'Nhật ký nộp hồ sơ '!A:A, FALSE), 3, FALSE),"")</f>
        <v/>
      </c>
      <c r="L660" s="37" t="str">
        <f t="shared" si="1"/>
        <v>QUÁ HẠN</v>
      </c>
      <c r="M660" s="15" t="s">
        <v>93</v>
      </c>
      <c r="N660" s="38">
        <f>IFERROR(__xludf.DUMMYFUNCTION("""COMPUTED_VALUE"""),46108.0)</f>
        <v>46108</v>
      </c>
      <c r="O660" s="38">
        <v>46111.0</v>
      </c>
      <c r="P660" s="38" t="str">
        <f>IFERROR(__xludf.DUMMYFUNCTION("IFERROR(QUERY('Nhật ký nộp hồ sơ '!A:I, ""SELECT I WHERE B = '""&amp;B660&amp;""' ORDER BY A DESC LIMIT 1"", 0))"),"")</f>
        <v/>
      </c>
      <c r="Q660" s="37" t="str">
        <f t="shared" si="2"/>
        <v/>
      </c>
      <c r="R660" s="37">
        <v>1.0</v>
      </c>
      <c r="S660" s="37"/>
      <c r="T660" s="15" t="s">
        <v>1510</v>
      </c>
      <c r="U660" s="36"/>
      <c r="V660" s="36"/>
      <c r="W660" s="15"/>
      <c r="X660" s="15"/>
    </row>
    <row r="661" ht="22.5" customHeight="1">
      <c r="A661" s="35">
        <v>46108.63869673611</v>
      </c>
      <c r="B661" s="12" t="s">
        <v>1511</v>
      </c>
      <c r="C661" s="15" t="s">
        <v>1069</v>
      </c>
      <c r="D661" s="36"/>
      <c r="E661" s="15" t="s">
        <v>74</v>
      </c>
      <c r="F661" s="15" t="s">
        <v>133</v>
      </c>
      <c r="G661" s="37"/>
      <c r="H661" s="15" t="s">
        <v>28</v>
      </c>
      <c r="I661" s="15" t="s">
        <v>659</v>
      </c>
      <c r="J661" s="41"/>
      <c r="K661" s="37" t="str">
        <f t="array" ref="K661">IFERROR(VLOOKUP(B661, SORT('Nhật ký nộp hồ sơ '!B:D, 'Nhật ký nộp hồ sơ '!A:A, FALSE), 3, FALSE),"")</f>
        <v>Hoàn thành</v>
      </c>
      <c r="L661" s="37" t="str">
        <f t="shared" si="1"/>
        <v>Hoàn thành</v>
      </c>
      <c r="M661" s="15" t="s">
        <v>524</v>
      </c>
      <c r="N661" s="38">
        <f>IFERROR(__xludf.DUMMYFUNCTION("""COMPUTED_VALUE"""),46108.0)</f>
        <v>46108</v>
      </c>
      <c r="O661" s="38">
        <v>46111.0</v>
      </c>
      <c r="P661" s="38">
        <f>IFERROR(__xludf.DUMMYFUNCTION("IFERROR(QUERY('Nhật ký nộp hồ sơ '!A:I, ""SELECT I WHERE B = '""&amp;B661&amp;""' ORDER BY A DESC LIMIT 1"", 0))"),46111.0)</f>
        <v>46111</v>
      </c>
      <c r="Q661" s="38">
        <f t="shared" si="2"/>
        <v>46111</v>
      </c>
      <c r="R661" s="37">
        <v>1.0</v>
      </c>
      <c r="S661" s="37" t="s">
        <v>1512</v>
      </c>
      <c r="T661" s="37"/>
      <c r="U661" s="36"/>
      <c r="V661" s="18" t="s">
        <v>34</v>
      </c>
      <c r="W661" s="15"/>
      <c r="X661" s="15"/>
    </row>
    <row r="662" ht="22.5" customHeight="1">
      <c r="A662" s="35">
        <v>46108.64011881944</v>
      </c>
      <c r="B662" s="12" t="s">
        <v>1513</v>
      </c>
      <c r="C662" s="15" t="s">
        <v>499</v>
      </c>
      <c r="D662" s="36"/>
      <c r="E662" s="15" t="s">
        <v>74</v>
      </c>
      <c r="F662" s="15" t="s">
        <v>89</v>
      </c>
      <c r="G662" s="37"/>
      <c r="H662" s="15" t="s">
        <v>28</v>
      </c>
      <c r="I662" s="15" t="s">
        <v>659</v>
      </c>
      <c r="J662" s="41"/>
      <c r="K662" s="37" t="str">
        <f t="array" ref="K662">IFERROR(VLOOKUP(B662, SORT('Nhật ký nộp hồ sơ '!B:D, 'Nhật ký nộp hồ sơ '!A:A, FALSE), 3, FALSE),"")</f>
        <v>Hoàn thành</v>
      </c>
      <c r="L662" s="37" t="str">
        <f t="shared" si="1"/>
        <v>Hoàn thành</v>
      </c>
      <c r="M662" s="15" t="s">
        <v>524</v>
      </c>
      <c r="N662" s="38">
        <f>IFERROR(__xludf.DUMMYFUNCTION("""COMPUTED_VALUE"""),46108.0)</f>
        <v>46108</v>
      </c>
      <c r="O662" s="38">
        <v>46111.0</v>
      </c>
      <c r="P662" s="38">
        <f>IFERROR(__xludf.DUMMYFUNCTION("IFERROR(QUERY('Nhật ký nộp hồ sơ '!A:I, ""SELECT I WHERE B = '""&amp;B662&amp;""' ORDER BY A DESC LIMIT 1"", 0))"),46111.0)</f>
        <v>46111</v>
      </c>
      <c r="Q662" s="38">
        <f t="shared" si="2"/>
        <v>46111</v>
      </c>
      <c r="R662" s="37">
        <v>1.0</v>
      </c>
      <c r="S662" s="37" t="s">
        <v>1514</v>
      </c>
      <c r="T662" s="37"/>
      <c r="U662" s="36"/>
      <c r="V662" s="18" t="s">
        <v>34</v>
      </c>
      <c r="W662" s="15"/>
      <c r="X662" s="15"/>
    </row>
    <row r="663" ht="22.5" customHeight="1">
      <c r="A663" s="35">
        <v>46108.67261055556</v>
      </c>
      <c r="B663" s="12" t="s">
        <v>1515</v>
      </c>
      <c r="C663" s="15" t="s">
        <v>1516</v>
      </c>
      <c r="D663" s="39" t="s">
        <v>44</v>
      </c>
      <c r="E663" s="15" t="s">
        <v>53</v>
      </c>
      <c r="F663" s="15" t="s">
        <v>191</v>
      </c>
      <c r="G663" s="37"/>
      <c r="H663" s="15" t="s">
        <v>659</v>
      </c>
      <c r="I663" s="15" t="s">
        <v>81</v>
      </c>
      <c r="J663" s="36"/>
      <c r="K663" s="37" t="str">
        <f t="array" ref="K663">IFERROR(VLOOKUP(B663, SORT('Nhật ký nộp hồ sơ '!B:D, 'Nhật ký nộp hồ sơ '!A:A, FALSE), 3, FALSE),"")</f>
        <v>Nộp thành công - Chờ kết quả</v>
      </c>
      <c r="L663" s="37" t="str">
        <f t="shared" si="1"/>
        <v>Đã nộp</v>
      </c>
      <c r="M663" s="15" t="s">
        <v>1506</v>
      </c>
      <c r="N663" s="38">
        <f>IFERROR(__xludf.DUMMYFUNCTION("""COMPUTED_VALUE"""),46108.0)</f>
        <v>46108</v>
      </c>
      <c r="O663" s="38">
        <v>46111.0</v>
      </c>
      <c r="P663" s="38">
        <f>IFERROR(__xludf.DUMMYFUNCTION("IFERROR(QUERY('Nhật ký nộp hồ sơ '!A:I, ""SELECT I WHERE B = '""&amp;B663&amp;""' ORDER BY A DESC LIMIT 1"", 0))"),46108.0)</f>
        <v>46108</v>
      </c>
      <c r="Q663" s="37" t="str">
        <f t="shared" si="2"/>
        <v/>
      </c>
      <c r="R663" s="37">
        <v>2.0</v>
      </c>
      <c r="S663" s="37"/>
      <c r="T663" s="37"/>
      <c r="U663" s="36"/>
      <c r="V663" s="18" t="s">
        <v>34</v>
      </c>
      <c r="W663" s="15"/>
      <c r="X663" s="15"/>
    </row>
    <row r="664" ht="22.5" customHeight="1">
      <c r="A664" s="35">
        <v>46108.67332783565</v>
      </c>
      <c r="B664" s="12" t="s">
        <v>1517</v>
      </c>
      <c r="C664" s="15" t="s">
        <v>1518</v>
      </c>
      <c r="D664" s="36"/>
      <c r="E664" s="15" t="s">
        <v>53</v>
      </c>
      <c r="F664" s="15" t="s">
        <v>133</v>
      </c>
      <c r="G664" s="37"/>
      <c r="H664" s="15" t="s">
        <v>659</v>
      </c>
      <c r="I664" s="15" t="s">
        <v>81</v>
      </c>
      <c r="J664" s="36"/>
      <c r="K664" s="37" t="str">
        <f t="array" ref="K664">IFERROR(VLOOKUP(B664, SORT('Nhật ký nộp hồ sơ '!B:D, 'Nhật ký nộp hồ sơ '!A:A, FALSE), 3, FALSE),"")</f>
        <v>Nộp thành công - Chờ kết quả</v>
      </c>
      <c r="L664" s="37" t="str">
        <f t="shared" si="1"/>
        <v>Đã nộp</v>
      </c>
      <c r="M664" s="15" t="s">
        <v>1506</v>
      </c>
      <c r="N664" s="38">
        <f>IFERROR(__xludf.DUMMYFUNCTION("""COMPUTED_VALUE"""),46108.0)</f>
        <v>46108</v>
      </c>
      <c r="O664" s="38">
        <v>46111.0</v>
      </c>
      <c r="P664" s="38">
        <f>IFERROR(__xludf.DUMMYFUNCTION("IFERROR(QUERY('Nhật ký nộp hồ sơ '!A:I, ""SELECT I WHERE B = '""&amp;B664&amp;""' ORDER BY A DESC LIMIT 1"", 0))"),46108.0)</f>
        <v>46108</v>
      </c>
      <c r="Q664" s="37" t="str">
        <f t="shared" si="2"/>
        <v/>
      </c>
      <c r="R664" s="37">
        <v>1.0</v>
      </c>
      <c r="S664" s="37"/>
      <c r="T664" s="37"/>
      <c r="U664" s="36"/>
      <c r="V664" s="18" t="s">
        <v>34</v>
      </c>
      <c r="W664" s="15"/>
      <c r="X664" s="15"/>
    </row>
    <row r="665" ht="22.5" customHeight="1">
      <c r="A665" s="35">
        <v>46109.48120873843</v>
      </c>
      <c r="B665" s="12" t="s">
        <v>1519</v>
      </c>
      <c r="C665" s="15" t="s">
        <v>1520</v>
      </c>
      <c r="D665" s="36"/>
      <c r="E665" s="15" t="s">
        <v>26</v>
      </c>
      <c r="F665" s="15" t="s">
        <v>133</v>
      </c>
      <c r="G665" s="42" t="s">
        <v>1521</v>
      </c>
      <c r="H665" s="15" t="s">
        <v>47</v>
      </c>
      <c r="I665" s="15" t="s">
        <v>659</v>
      </c>
      <c r="J665" s="41"/>
      <c r="K665" s="37" t="str">
        <f t="array" ref="K665">IFERROR(VLOOKUP(B665, SORT('Nhật ký nộp hồ sơ '!B:D, 'Nhật ký nộp hồ sơ '!A:A, FALSE), 3, FALSE),"")</f>
        <v>Nộp thành công - Chờ kết quả</v>
      </c>
      <c r="L665" s="37" t="str">
        <f t="shared" si="1"/>
        <v>Đã nộp</v>
      </c>
      <c r="M665" s="15" t="s">
        <v>56</v>
      </c>
      <c r="N665" s="38">
        <f>IFERROR(__xludf.DUMMYFUNCTION("""COMPUTED_VALUE"""),46109.0)</f>
        <v>46109</v>
      </c>
      <c r="O665" s="38">
        <v>46112.0</v>
      </c>
      <c r="P665" s="38">
        <f>IFERROR(__xludf.DUMMYFUNCTION("IFERROR(QUERY('Nhật ký nộp hồ sơ '!A:I, ""SELECT I WHERE B = '""&amp;B665&amp;""' ORDER BY A DESC LIMIT 1"", 0))"),46193.0)</f>
        <v>46193</v>
      </c>
      <c r="Q665" s="37" t="str">
        <f t="shared" si="2"/>
        <v/>
      </c>
      <c r="R665" s="37">
        <v>1.0</v>
      </c>
      <c r="S665" s="37" t="s">
        <v>1522</v>
      </c>
      <c r="T665" s="37"/>
      <c r="U665" s="36"/>
      <c r="V665" s="18" t="s">
        <v>34</v>
      </c>
      <c r="W665" s="15"/>
      <c r="X665" s="15"/>
    </row>
    <row r="666" ht="22.5" customHeight="1">
      <c r="A666" s="35">
        <v>46111.37315814815</v>
      </c>
      <c r="B666" s="12" t="s">
        <v>1523</v>
      </c>
      <c r="C666" s="15" t="s">
        <v>1524</v>
      </c>
      <c r="D666" s="36"/>
      <c r="E666" s="15" t="s">
        <v>26</v>
      </c>
      <c r="F666" s="15" t="s">
        <v>1455</v>
      </c>
      <c r="G666" s="15" t="s">
        <v>1525</v>
      </c>
      <c r="H666" s="15" t="s">
        <v>100</v>
      </c>
      <c r="I666" s="15" t="s">
        <v>81</v>
      </c>
      <c r="J666" s="41"/>
      <c r="K666" s="37" t="str">
        <f t="array" ref="K666">IFERROR(VLOOKUP(B666, SORT('Nhật ký nộp hồ sơ '!B:D, 'Nhật ký nộp hồ sơ '!A:A, FALSE), 3, FALSE),"")</f>
        <v>Nộp thành công - Chờ kết quả</v>
      </c>
      <c r="L666" s="37" t="str">
        <f t="shared" si="1"/>
        <v>Đã nộp</v>
      </c>
      <c r="M666" s="15" t="s">
        <v>588</v>
      </c>
      <c r="N666" s="38">
        <f>IFERROR(__xludf.DUMMYFUNCTION("""COMPUTED_VALUE"""),46111.0)</f>
        <v>46111</v>
      </c>
      <c r="O666" s="38">
        <v>46114.0</v>
      </c>
      <c r="P666" s="38">
        <f>IFERROR(__xludf.DUMMYFUNCTION("IFERROR(QUERY('Nhật ký nộp hồ sơ '!A:I, ""SELECT I WHERE B = '""&amp;B666&amp;""' ORDER BY A DESC LIMIT 1"", 0))"),46111.0)</f>
        <v>46111</v>
      </c>
      <c r="Q666" s="37" t="str">
        <f t="shared" si="2"/>
        <v/>
      </c>
      <c r="R666" s="37">
        <v>1.0</v>
      </c>
      <c r="S666" s="37"/>
      <c r="T666" s="37"/>
      <c r="U666" s="36"/>
      <c r="V666" s="18" t="s">
        <v>34</v>
      </c>
      <c r="W666" s="15"/>
      <c r="X666" s="15"/>
    </row>
    <row r="667" ht="22.5" customHeight="1">
      <c r="A667" s="35">
        <v>46111.374060381946</v>
      </c>
      <c r="B667" s="12" t="s">
        <v>1526</v>
      </c>
      <c r="C667" s="15" t="s">
        <v>1527</v>
      </c>
      <c r="D667" s="36"/>
      <c r="E667" s="15" t="s">
        <v>26</v>
      </c>
      <c r="F667" s="15" t="s">
        <v>1455</v>
      </c>
      <c r="G667" s="15" t="s">
        <v>1525</v>
      </c>
      <c r="H667" s="15" t="s">
        <v>100</v>
      </c>
      <c r="I667" s="15" t="s">
        <v>81</v>
      </c>
      <c r="J667" s="41"/>
      <c r="K667" s="37" t="str">
        <f t="array" ref="K667">IFERROR(VLOOKUP(B667, SORT('Nhật ký nộp hồ sơ '!B:D, 'Nhật ký nộp hồ sơ '!A:A, FALSE), 3, FALSE),"")</f>
        <v>Nộp thành công - Chờ kết quả</v>
      </c>
      <c r="L667" s="37" t="str">
        <f t="shared" si="1"/>
        <v>Đã nộp</v>
      </c>
      <c r="M667" s="15" t="s">
        <v>588</v>
      </c>
      <c r="N667" s="38">
        <f>IFERROR(__xludf.DUMMYFUNCTION("""COMPUTED_VALUE"""),46111.0)</f>
        <v>46111</v>
      </c>
      <c r="O667" s="38">
        <v>46114.0</v>
      </c>
      <c r="P667" s="38">
        <f>IFERROR(__xludf.DUMMYFUNCTION("IFERROR(QUERY('Nhật ký nộp hồ sơ '!A:I, ""SELECT I WHERE B = '""&amp;B667&amp;""' ORDER BY A DESC LIMIT 1"", 0))"),46111.0)</f>
        <v>46111</v>
      </c>
      <c r="Q667" s="37" t="str">
        <f t="shared" si="2"/>
        <v/>
      </c>
      <c r="R667" s="37">
        <v>1.0</v>
      </c>
      <c r="S667" s="37"/>
      <c r="T667" s="37"/>
      <c r="U667" s="36"/>
      <c r="V667" s="18" t="s">
        <v>34</v>
      </c>
      <c r="W667" s="15"/>
      <c r="X667" s="15"/>
    </row>
    <row r="668" ht="22.5" customHeight="1">
      <c r="A668" s="35">
        <v>46111.37515458334</v>
      </c>
      <c r="B668" s="12" t="s">
        <v>1528</v>
      </c>
      <c r="C668" s="15" t="s">
        <v>1529</v>
      </c>
      <c r="D668" s="36"/>
      <c r="E668" s="15" t="s">
        <v>26</v>
      </c>
      <c r="F668" s="15" t="s">
        <v>133</v>
      </c>
      <c r="G668" s="15" t="s">
        <v>1530</v>
      </c>
      <c r="H668" s="15" t="s">
        <v>100</v>
      </c>
      <c r="I668" s="15" t="s">
        <v>81</v>
      </c>
      <c r="J668" s="41"/>
      <c r="K668" s="37" t="str">
        <f t="array" ref="K668">IFERROR(VLOOKUP(B668, SORT('Nhật ký nộp hồ sơ '!B:D, 'Nhật ký nộp hồ sơ '!A:A, FALSE), 3, FALSE),"")</f>
        <v>Nộp thành công - Chờ kết quả</v>
      </c>
      <c r="L668" s="37" t="str">
        <f t="shared" si="1"/>
        <v>Đã nộp</v>
      </c>
      <c r="M668" s="15" t="s">
        <v>588</v>
      </c>
      <c r="N668" s="38">
        <f>IFERROR(__xludf.DUMMYFUNCTION("""COMPUTED_VALUE"""),46111.0)</f>
        <v>46111</v>
      </c>
      <c r="O668" s="38">
        <v>46114.0</v>
      </c>
      <c r="P668" s="38">
        <f>IFERROR(__xludf.DUMMYFUNCTION("IFERROR(QUERY('Nhật ký nộp hồ sơ '!A:I, ""SELECT I WHERE B = '""&amp;B668&amp;""' ORDER BY A DESC LIMIT 1"", 0))"),46111.0)</f>
        <v>46111</v>
      </c>
      <c r="Q668" s="37" t="str">
        <f t="shared" si="2"/>
        <v/>
      </c>
      <c r="R668" s="37">
        <v>2.0</v>
      </c>
      <c r="S668" s="37"/>
      <c r="T668" s="37"/>
      <c r="U668" s="36"/>
      <c r="V668" s="18" t="s">
        <v>34</v>
      </c>
      <c r="W668" s="15"/>
      <c r="X668" s="15"/>
    </row>
    <row r="669" ht="22.5" customHeight="1">
      <c r="A669" s="35">
        <v>46111.376150613425</v>
      </c>
      <c r="B669" s="12" t="s">
        <v>1531</v>
      </c>
      <c r="C669" s="15" t="s">
        <v>1532</v>
      </c>
      <c r="D669" s="36"/>
      <c r="E669" s="15" t="s">
        <v>62</v>
      </c>
      <c r="F669" s="15" t="s">
        <v>1533</v>
      </c>
      <c r="G669" s="15" t="s">
        <v>1534</v>
      </c>
      <c r="H669" s="15" t="s">
        <v>100</v>
      </c>
      <c r="I669" s="15" t="s">
        <v>81</v>
      </c>
      <c r="J669" s="41"/>
      <c r="K669" s="37" t="str">
        <f t="array" ref="K669">IFERROR(VLOOKUP(B669, SORT('Nhật ký nộp hồ sơ '!B:D, 'Nhật ký nộp hồ sơ '!A:A, FALSE), 3, FALSE),"")</f>
        <v>Nộp thành công - Chờ kết quả</v>
      </c>
      <c r="L669" s="37" t="str">
        <f t="shared" si="1"/>
        <v>Đã nộp</v>
      </c>
      <c r="M669" s="15" t="s">
        <v>588</v>
      </c>
      <c r="N669" s="38">
        <f>IFERROR(__xludf.DUMMYFUNCTION("""COMPUTED_VALUE"""),46111.0)</f>
        <v>46111</v>
      </c>
      <c r="O669" s="38">
        <v>46114.0</v>
      </c>
      <c r="P669" s="38">
        <f>IFERROR(__xludf.DUMMYFUNCTION("IFERROR(QUERY('Nhật ký nộp hồ sơ '!A:I, ""SELECT I WHERE B = '""&amp;B669&amp;""' ORDER BY A DESC LIMIT 1"", 0))"),46149.0)</f>
        <v>46149</v>
      </c>
      <c r="Q669" s="37" t="str">
        <f t="shared" si="2"/>
        <v/>
      </c>
      <c r="R669" s="37">
        <v>2.0</v>
      </c>
      <c r="S669" s="37"/>
      <c r="T669" s="37"/>
      <c r="U669" s="36"/>
      <c r="V669" s="18" t="s">
        <v>34</v>
      </c>
      <c r="W669" s="15"/>
      <c r="X669" s="15"/>
    </row>
    <row r="670" ht="22.5" customHeight="1">
      <c r="A670" s="35">
        <v>46111.37672959491</v>
      </c>
      <c r="B670" s="12" t="s">
        <v>1535</v>
      </c>
      <c r="C670" s="15" t="s">
        <v>1536</v>
      </c>
      <c r="D670" s="36"/>
      <c r="E670" s="15" t="s">
        <v>62</v>
      </c>
      <c r="F670" s="15" t="s">
        <v>1533</v>
      </c>
      <c r="G670" s="15" t="s">
        <v>1534</v>
      </c>
      <c r="H670" s="15" t="s">
        <v>100</v>
      </c>
      <c r="I670" s="15" t="s">
        <v>81</v>
      </c>
      <c r="J670" s="41"/>
      <c r="K670" s="37" t="str">
        <f t="array" ref="K670">IFERROR(VLOOKUP(B670, SORT('Nhật ký nộp hồ sơ '!B:D, 'Nhật ký nộp hồ sơ '!A:A, FALSE), 3, FALSE),"")</f>
        <v>Nộp thành công - Chờ kết quả</v>
      </c>
      <c r="L670" s="37" t="str">
        <f t="shared" si="1"/>
        <v>Đã nộp</v>
      </c>
      <c r="M670" s="15" t="s">
        <v>588</v>
      </c>
      <c r="N670" s="38">
        <f>IFERROR(__xludf.DUMMYFUNCTION("""COMPUTED_VALUE"""),46111.0)</f>
        <v>46111</v>
      </c>
      <c r="O670" s="38">
        <v>46114.0</v>
      </c>
      <c r="P670" s="38">
        <f>IFERROR(__xludf.DUMMYFUNCTION("IFERROR(QUERY('Nhật ký nộp hồ sơ '!A:I, ""SELECT I WHERE B = '""&amp;B670&amp;""' ORDER BY A DESC LIMIT 1"", 0))"),46149.0)</f>
        <v>46149</v>
      </c>
      <c r="Q670" s="37" t="str">
        <f t="shared" si="2"/>
        <v/>
      </c>
      <c r="R670" s="37">
        <v>1.0</v>
      </c>
      <c r="S670" s="37"/>
      <c r="T670" s="37"/>
      <c r="U670" s="36"/>
      <c r="V670" s="18" t="s">
        <v>34</v>
      </c>
      <c r="W670" s="15"/>
      <c r="X670" s="15"/>
    </row>
    <row r="671" ht="22.5" customHeight="1">
      <c r="A671" s="35">
        <v>46111.37733013889</v>
      </c>
      <c r="B671" s="12" t="s">
        <v>1537</v>
      </c>
      <c r="C671" s="15" t="s">
        <v>1538</v>
      </c>
      <c r="D671" s="36"/>
      <c r="E671" s="15" t="s">
        <v>62</v>
      </c>
      <c r="F671" s="15" t="s">
        <v>1533</v>
      </c>
      <c r="G671" s="15" t="s">
        <v>1534</v>
      </c>
      <c r="H671" s="15" t="s">
        <v>100</v>
      </c>
      <c r="I671" s="15" t="s">
        <v>81</v>
      </c>
      <c r="J671" s="41"/>
      <c r="K671" s="37" t="str">
        <f t="array" ref="K671">IFERROR(VLOOKUP(B671, SORT('Nhật ký nộp hồ sơ '!B:D, 'Nhật ký nộp hồ sơ '!A:A, FALSE), 3, FALSE),"")</f>
        <v>Nộp thành công - Chờ kết quả</v>
      </c>
      <c r="L671" s="37" t="str">
        <f t="shared" si="1"/>
        <v>Đã nộp</v>
      </c>
      <c r="M671" s="15" t="s">
        <v>588</v>
      </c>
      <c r="N671" s="38">
        <f>IFERROR(__xludf.DUMMYFUNCTION("""COMPUTED_VALUE"""),46111.0)</f>
        <v>46111</v>
      </c>
      <c r="O671" s="38">
        <v>46114.0</v>
      </c>
      <c r="P671" s="38">
        <f>IFERROR(__xludf.DUMMYFUNCTION("IFERROR(QUERY('Nhật ký nộp hồ sơ '!A:I, ""SELECT I WHERE B = '""&amp;B671&amp;""' ORDER BY A DESC LIMIT 1"", 0))"),46149.0)</f>
        <v>46149</v>
      </c>
      <c r="Q671" s="37" t="str">
        <f t="shared" si="2"/>
        <v/>
      </c>
      <c r="R671" s="37">
        <v>1.0</v>
      </c>
      <c r="S671" s="37"/>
      <c r="T671" s="37"/>
      <c r="U671" s="36"/>
      <c r="V671" s="18" t="s">
        <v>34</v>
      </c>
      <c r="W671" s="15"/>
      <c r="X671" s="15"/>
    </row>
    <row r="672" ht="22.5" customHeight="1">
      <c r="A672" s="35">
        <v>46111.457874699074</v>
      </c>
      <c r="B672" s="12" t="s">
        <v>1539</v>
      </c>
      <c r="C672" s="15" t="s">
        <v>1540</v>
      </c>
      <c r="D672" s="36"/>
      <c r="E672" s="15" t="s">
        <v>88</v>
      </c>
      <c r="F672" s="15" t="s">
        <v>133</v>
      </c>
      <c r="G672" s="42" t="s">
        <v>1541</v>
      </c>
      <c r="H672" s="15" t="s">
        <v>28</v>
      </c>
      <c r="I672" s="15" t="s">
        <v>659</v>
      </c>
      <c r="J672" s="41"/>
      <c r="K672" s="37" t="str">
        <f t="array" ref="K672">IFERROR(VLOOKUP(B672, SORT('Nhật ký nộp hồ sơ '!B:D, 'Nhật ký nộp hồ sơ '!A:A, FALSE), 3, FALSE),"")</f>
        <v>Hoàn thành</v>
      </c>
      <c r="L672" s="37" t="str">
        <f t="shared" si="1"/>
        <v>Hoàn thành</v>
      </c>
      <c r="M672" s="15" t="s">
        <v>216</v>
      </c>
      <c r="N672" s="38">
        <f>IFERROR(__xludf.DUMMYFUNCTION("""COMPUTED_VALUE"""),46111.0)</f>
        <v>46111</v>
      </c>
      <c r="O672" s="38">
        <v>46114.0</v>
      </c>
      <c r="P672" s="38">
        <f>IFERROR(__xludf.DUMMYFUNCTION("IFERROR(QUERY('Nhật ký nộp hồ sơ '!A:I, ""SELECT I WHERE B = '""&amp;B672&amp;""' ORDER BY A DESC LIMIT 1"", 0))"),46111.0)</f>
        <v>46111</v>
      </c>
      <c r="Q672" s="38">
        <f t="shared" si="2"/>
        <v>46111</v>
      </c>
      <c r="R672" s="37">
        <v>1.0</v>
      </c>
      <c r="S672" s="37"/>
      <c r="T672" s="37"/>
      <c r="U672" s="36"/>
      <c r="V672" s="18" t="s">
        <v>34</v>
      </c>
      <c r="W672" s="15">
        <v>6.0</v>
      </c>
      <c r="X672" s="15" t="s">
        <v>1188</v>
      </c>
    </row>
    <row r="673" ht="22.5" customHeight="1">
      <c r="A673" s="35">
        <v>46111.461395694445</v>
      </c>
      <c r="B673" s="12" t="s">
        <v>1542</v>
      </c>
      <c r="C673" s="15" t="s">
        <v>1543</v>
      </c>
      <c r="D673" s="36"/>
      <c r="E673" s="15" t="s">
        <v>62</v>
      </c>
      <c r="F673" s="15" t="s">
        <v>133</v>
      </c>
      <c r="G673" s="42" t="s">
        <v>1544</v>
      </c>
      <c r="H673" s="15" t="s">
        <v>28</v>
      </c>
      <c r="I673" s="15" t="s">
        <v>659</v>
      </c>
      <c r="J673" s="41"/>
      <c r="K673" s="37" t="str">
        <f t="array" ref="K673">IFERROR(VLOOKUP(B673, SORT('Nhật ký nộp hồ sơ '!B:D, 'Nhật ký nộp hồ sơ '!A:A, FALSE), 3, FALSE),"")</f>
        <v>Nộp thành công - Chờ kết quả</v>
      </c>
      <c r="L673" s="37" t="str">
        <f t="shared" si="1"/>
        <v>Đã nộp</v>
      </c>
      <c r="M673" s="15" t="s">
        <v>56</v>
      </c>
      <c r="N673" s="38">
        <f>IFERROR(__xludf.DUMMYFUNCTION("""COMPUTED_VALUE"""),46111.0)</f>
        <v>46111</v>
      </c>
      <c r="O673" s="38">
        <v>46114.0</v>
      </c>
      <c r="P673" s="38">
        <f>IFERROR(__xludf.DUMMYFUNCTION("IFERROR(QUERY('Nhật ký nộp hồ sơ '!A:I, ""SELECT I WHERE B = '""&amp;B673&amp;""' ORDER BY A DESC LIMIT 1"", 0))"),46189.0)</f>
        <v>46189</v>
      </c>
      <c r="Q673" s="37" t="str">
        <f t="shared" si="2"/>
        <v/>
      </c>
      <c r="R673" s="37">
        <v>4.0</v>
      </c>
      <c r="S673" s="37"/>
      <c r="T673" s="37"/>
      <c r="U673" s="36"/>
      <c r="V673" s="18" t="s">
        <v>34</v>
      </c>
      <c r="W673" s="15"/>
      <c r="X673" s="15"/>
    </row>
    <row r="674" ht="22.5" customHeight="1">
      <c r="A674" s="35">
        <v>46111.46158081018</v>
      </c>
      <c r="B674" s="12" t="s">
        <v>1545</v>
      </c>
      <c r="C674" s="15" t="s">
        <v>1546</v>
      </c>
      <c r="D674" s="36"/>
      <c r="E674" s="15" t="s">
        <v>62</v>
      </c>
      <c r="F674" s="15" t="s">
        <v>133</v>
      </c>
      <c r="G674" s="37"/>
      <c r="H674" s="15" t="s">
        <v>29</v>
      </c>
      <c r="I674" s="15" t="s">
        <v>81</v>
      </c>
      <c r="J674" s="41"/>
      <c r="K674" s="37" t="str">
        <f t="array" ref="K674">IFERROR(VLOOKUP(B674, SORT('Nhật ký nộp hồ sơ '!B:D, 'Nhật ký nộp hồ sơ '!A:A, FALSE), 3, FALSE),"")</f>
        <v>Hoàn thành</v>
      </c>
      <c r="L674" s="37" t="str">
        <f t="shared" si="1"/>
        <v>Hoàn thành</v>
      </c>
      <c r="M674" s="15" t="s">
        <v>524</v>
      </c>
      <c r="N674" s="38">
        <f>IFERROR(__xludf.DUMMYFUNCTION("""COMPUTED_VALUE"""),46111.0)</f>
        <v>46111</v>
      </c>
      <c r="O674" s="38">
        <v>46114.0</v>
      </c>
      <c r="P674" s="38">
        <f>IFERROR(__xludf.DUMMYFUNCTION("IFERROR(QUERY('Nhật ký nộp hồ sơ '!A:I, ""SELECT I WHERE B = '""&amp;B674&amp;""' ORDER BY A DESC LIMIT 1"", 0))"),46111.0)</f>
        <v>46111</v>
      </c>
      <c r="Q674" s="38">
        <f t="shared" si="2"/>
        <v>46111</v>
      </c>
      <c r="R674" s="37">
        <v>3.0</v>
      </c>
      <c r="S674" s="37"/>
      <c r="T674" s="37"/>
      <c r="U674" s="36"/>
      <c r="V674" s="18" t="s">
        <v>34</v>
      </c>
      <c r="W674" s="15"/>
      <c r="X674" s="15"/>
    </row>
    <row r="675" ht="22.5" customHeight="1">
      <c r="A675" s="35">
        <v>46111.46236138888</v>
      </c>
      <c r="B675" s="12" t="s">
        <v>1547</v>
      </c>
      <c r="C675" s="15" t="s">
        <v>1543</v>
      </c>
      <c r="D675" s="36"/>
      <c r="E675" s="15" t="s">
        <v>62</v>
      </c>
      <c r="F675" s="15" t="s">
        <v>133</v>
      </c>
      <c r="G675" s="42" t="s">
        <v>1544</v>
      </c>
      <c r="H675" s="15" t="s">
        <v>28</v>
      </c>
      <c r="I675" s="15" t="s">
        <v>81</v>
      </c>
      <c r="J675" s="41"/>
      <c r="K675" s="37" t="str">
        <f t="array" ref="K675">IFERROR(VLOOKUP(B675, SORT('Nhật ký nộp hồ sơ '!B:D, 'Nhật ký nộp hồ sơ '!A:A, FALSE), 3, FALSE),"")</f>
        <v>Hoàn thành</v>
      </c>
      <c r="L675" s="37" t="str">
        <f t="shared" si="1"/>
        <v>Hoàn thành</v>
      </c>
      <c r="M675" s="15" t="s">
        <v>146</v>
      </c>
      <c r="N675" s="38">
        <f>IFERROR(__xludf.DUMMYFUNCTION("""COMPUTED_VALUE"""),46111.0)</f>
        <v>46111</v>
      </c>
      <c r="O675" s="38">
        <v>46114.0</v>
      </c>
      <c r="P675" s="38">
        <f>IFERROR(__xludf.DUMMYFUNCTION("IFERROR(QUERY('Nhật ký nộp hồ sơ '!A:I, ""SELECT I WHERE B = '""&amp;B675&amp;""' ORDER BY A DESC LIMIT 1"", 0))"),46111.0)</f>
        <v>46111</v>
      </c>
      <c r="Q675" s="38">
        <f t="shared" si="2"/>
        <v>46111</v>
      </c>
      <c r="R675" s="37">
        <v>1.0</v>
      </c>
      <c r="S675" s="37"/>
      <c r="T675" s="37"/>
      <c r="U675" s="36"/>
      <c r="V675" s="18" t="s">
        <v>34</v>
      </c>
      <c r="W675" s="15"/>
      <c r="X675" s="15"/>
    </row>
    <row r="676" ht="22.5" customHeight="1">
      <c r="A676" s="35">
        <v>46111.58605357639</v>
      </c>
      <c r="B676" s="12" t="s">
        <v>1548</v>
      </c>
      <c r="C676" s="15" t="s">
        <v>1549</v>
      </c>
      <c r="D676" s="36"/>
      <c r="E676" s="15" t="s">
        <v>45</v>
      </c>
      <c r="F676" s="15" t="s">
        <v>46</v>
      </c>
      <c r="G676" s="37"/>
      <c r="H676" s="15" t="s">
        <v>69</v>
      </c>
      <c r="I676" s="15" t="s">
        <v>81</v>
      </c>
      <c r="J676" s="41"/>
      <c r="K676" s="37" t="str">
        <f t="array" ref="K676">IFERROR(VLOOKUP(B676, SORT('Nhật ký nộp hồ sơ '!B:D, 'Nhật ký nộp hồ sơ '!A:A, FALSE), 3, FALSE),"")</f>
        <v>Hoàn thành</v>
      </c>
      <c r="L676" s="37" t="str">
        <f t="shared" si="1"/>
        <v>Hoàn thành</v>
      </c>
      <c r="M676" s="15" t="s">
        <v>181</v>
      </c>
      <c r="N676" s="38">
        <f>IFERROR(__xludf.DUMMYFUNCTION("""COMPUTED_VALUE"""),46111.0)</f>
        <v>46111</v>
      </c>
      <c r="O676" s="38">
        <v>46114.0</v>
      </c>
      <c r="P676" s="38">
        <f>IFERROR(__xludf.DUMMYFUNCTION("IFERROR(QUERY('Nhật ký nộp hồ sơ '!A:I, ""SELECT I WHERE B = '""&amp;B676&amp;""' ORDER BY A DESC LIMIT 1"", 0))"),46112.0)</f>
        <v>46112</v>
      </c>
      <c r="Q676" s="38">
        <f t="shared" si="2"/>
        <v>46112</v>
      </c>
      <c r="R676" s="37">
        <v>1.0</v>
      </c>
      <c r="S676" s="37"/>
      <c r="T676" s="37"/>
      <c r="U676" s="36"/>
      <c r="V676" s="18" t="s">
        <v>34</v>
      </c>
      <c r="W676" s="15"/>
      <c r="X676" s="15"/>
    </row>
    <row r="677" ht="22.5" customHeight="1">
      <c r="A677" s="35">
        <v>46112.56659298611</v>
      </c>
      <c r="B677" s="12" t="s">
        <v>1550</v>
      </c>
      <c r="C677" s="15" t="s">
        <v>1047</v>
      </c>
      <c r="D677" s="36"/>
      <c r="E677" s="15" t="s">
        <v>132</v>
      </c>
      <c r="F677" s="15" t="s">
        <v>133</v>
      </c>
      <c r="G677" s="42" t="s">
        <v>1048</v>
      </c>
      <c r="H677" s="15" t="s">
        <v>47</v>
      </c>
      <c r="I677" s="15" t="s">
        <v>81</v>
      </c>
      <c r="J677" s="41"/>
      <c r="K677" s="37" t="str">
        <f t="array" ref="K677">IFERROR(VLOOKUP(B677, SORT('Nhật ký nộp hồ sơ '!B:D, 'Nhật ký nộp hồ sơ '!A:A, FALSE), 3, FALSE),"")</f>
        <v>Hoàn thành</v>
      </c>
      <c r="L677" s="37" t="str">
        <f t="shared" si="1"/>
        <v>Hoàn thành</v>
      </c>
      <c r="M677" s="15" t="s">
        <v>82</v>
      </c>
      <c r="N677" s="38">
        <f>IFERROR(__xludf.DUMMYFUNCTION("""COMPUTED_VALUE"""),46112.0)</f>
        <v>46112</v>
      </c>
      <c r="O677" s="38">
        <v>46115.0</v>
      </c>
      <c r="P677" s="38">
        <f>IFERROR(__xludf.DUMMYFUNCTION("IFERROR(QUERY('Nhật ký nộp hồ sơ '!A:I, ""SELECT I WHERE B = '""&amp;B677&amp;""' ORDER BY A DESC LIMIT 1"", 0))"),46134.0)</f>
        <v>46134</v>
      </c>
      <c r="Q677" s="38">
        <f t="shared" si="2"/>
        <v>46134</v>
      </c>
      <c r="R677" s="37">
        <v>1.0</v>
      </c>
      <c r="S677" s="37"/>
      <c r="T677" s="37"/>
      <c r="U677" s="36"/>
      <c r="V677" s="18" t="s">
        <v>34</v>
      </c>
      <c r="W677" s="15"/>
      <c r="X677" s="15"/>
    </row>
    <row r="678" ht="22.5" customHeight="1">
      <c r="A678" s="35">
        <v>46112.646829317135</v>
      </c>
      <c r="B678" s="12" t="s">
        <v>1551</v>
      </c>
      <c r="C678" s="15" t="s">
        <v>1552</v>
      </c>
      <c r="D678" s="36"/>
      <c r="E678" s="15" t="s">
        <v>222</v>
      </c>
      <c r="F678" s="15" t="s">
        <v>246</v>
      </c>
      <c r="G678" s="37"/>
      <c r="H678" s="15" t="s">
        <v>28</v>
      </c>
      <c r="I678" s="15" t="s">
        <v>659</v>
      </c>
      <c r="J678" s="39" t="s">
        <v>202</v>
      </c>
      <c r="K678" s="37" t="str">
        <f t="array" ref="K678">IFERROR(VLOOKUP(B678, SORT('Nhật ký nộp hồ sơ '!B:D, 'Nhật ký nộp hồ sơ '!A:A, FALSE), 3, FALSE),"")</f>
        <v>Hoàn thành</v>
      </c>
      <c r="L678" s="37" t="str">
        <f t="shared" si="1"/>
        <v>Hoàn thành</v>
      </c>
      <c r="M678" s="15" t="s">
        <v>216</v>
      </c>
      <c r="N678" s="38">
        <f>IFERROR(__xludf.DUMMYFUNCTION("""COMPUTED_VALUE"""),46112.0)</f>
        <v>46112</v>
      </c>
      <c r="O678" s="38">
        <v>46113.0</v>
      </c>
      <c r="P678" s="38">
        <f>IFERROR(__xludf.DUMMYFUNCTION("IFERROR(QUERY('Nhật ký nộp hồ sơ '!A:I, ""SELECT I WHERE B = '""&amp;B678&amp;""' ORDER BY A DESC LIMIT 1"", 0))"),46113.0)</f>
        <v>46113</v>
      </c>
      <c r="Q678" s="38">
        <f t="shared" si="2"/>
        <v>46113</v>
      </c>
      <c r="R678" s="37">
        <v>1.0</v>
      </c>
      <c r="S678" s="37" t="s">
        <v>1553</v>
      </c>
      <c r="T678" s="37"/>
      <c r="U678" s="36"/>
      <c r="V678" s="18" t="s">
        <v>34</v>
      </c>
      <c r="W678" s="15">
        <v>6.0</v>
      </c>
      <c r="X678" s="15" t="s">
        <v>1188</v>
      </c>
    </row>
    <row r="679" ht="22.5" customHeight="1">
      <c r="A679" s="35">
        <v>46112.66623793982</v>
      </c>
      <c r="B679" s="12" t="s">
        <v>1554</v>
      </c>
      <c r="C679" s="15" t="s">
        <v>1459</v>
      </c>
      <c r="D679" s="36"/>
      <c r="E679" s="15" t="s">
        <v>122</v>
      </c>
      <c r="F679" s="15" t="s">
        <v>133</v>
      </c>
      <c r="G679" s="37"/>
      <c r="H679" s="15" t="s">
        <v>69</v>
      </c>
      <c r="I679" s="15" t="s">
        <v>659</v>
      </c>
      <c r="J679" s="41"/>
      <c r="K679" s="37" t="str">
        <f t="array" ref="K679">IFERROR(VLOOKUP(B679, SORT('Nhật ký nộp hồ sơ '!B:D, 'Nhật ký nộp hồ sơ '!A:A, FALSE), 3, FALSE),"")</f>
        <v>Hoàn thành</v>
      </c>
      <c r="L679" s="37" t="str">
        <f t="shared" si="1"/>
        <v>Hoàn thành</v>
      </c>
      <c r="M679" s="15" t="s">
        <v>216</v>
      </c>
      <c r="N679" s="38">
        <f>IFERROR(__xludf.DUMMYFUNCTION("""COMPUTED_VALUE"""),46112.0)</f>
        <v>46112</v>
      </c>
      <c r="O679" s="38">
        <v>46115.0</v>
      </c>
      <c r="P679" s="38">
        <f>IFERROR(__xludf.DUMMYFUNCTION("IFERROR(QUERY('Nhật ký nộp hồ sơ '!A:I, ""SELECT I WHERE B = '""&amp;B679&amp;""' ORDER BY A DESC LIMIT 1"", 0))"),46113.0)</f>
        <v>46113</v>
      </c>
      <c r="Q679" s="38">
        <f t="shared" si="2"/>
        <v>46113</v>
      </c>
      <c r="R679" s="37">
        <v>1.0</v>
      </c>
      <c r="S679" s="37"/>
      <c r="T679" s="37"/>
      <c r="U679" s="36"/>
      <c r="V679" s="18" t="s">
        <v>34</v>
      </c>
      <c r="W679" s="15">
        <v>1.0</v>
      </c>
      <c r="X679" s="15" t="s">
        <v>687</v>
      </c>
    </row>
    <row r="680" ht="22.5" customHeight="1">
      <c r="A680" s="35">
        <v>46113.410136527775</v>
      </c>
      <c r="B680" s="12" t="s">
        <v>1555</v>
      </c>
      <c r="C680" s="15" t="s">
        <v>1556</v>
      </c>
      <c r="D680" s="36"/>
      <c r="E680" s="15" t="s">
        <v>62</v>
      </c>
      <c r="F680" s="15" t="s">
        <v>133</v>
      </c>
      <c r="G680" s="15" t="s">
        <v>1557</v>
      </c>
      <c r="H680" s="15" t="s">
        <v>29</v>
      </c>
      <c r="I680" s="15" t="s">
        <v>659</v>
      </c>
      <c r="J680" s="41"/>
      <c r="K680" s="37" t="str">
        <f t="array" ref="K680">IFERROR(VLOOKUP(B680, SORT('Nhật ký nộp hồ sơ '!B:D, 'Nhật ký nộp hồ sơ '!A:A, FALSE), 3, FALSE),"")</f>
        <v>Hủy</v>
      </c>
      <c r="L680" s="37" t="str">
        <f t="shared" si="1"/>
        <v>ĐÃ HỦY</v>
      </c>
      <c r="M680" s="15" t="s">
        <v>48</v>
      </c>
      <c r="N680" s="38">
        <f>IFERROR(__xludf.DUMMYFUNCTION("""COMPUTED_VALUE"""),46113.0)</f>
        <v>46113</v>
      </c>
      <c r="O680" s="38">
        <v>46116.0</v>
      </c>
      <c r="P680" s="38">
        <f>IFERROR(__xludf.DUMMYFUNCTION("IFERROR(QUERY('Nhật ký nộp hồ sơ '!A:I, ""SELECT I WHERE B = '""&amp;B680&amp;""' ORDER BY A DESC LIMIT 1"", 0))"),46126.0)</f>
        <v>46126</v>
      </c>
      <c r="Q680" s="38" t="str">
        <f t="shared" si="2"/>
        <v/>
      </c>
      <c r="R680" s="37">
        <v>2.0</v>
      </c>
      <c r="S680" s="37"/>
      <c r="T680" s="15" t="s">
        <v>1558</v>
      </c>
      <c r="U680" s="36"/>
      <c r="V680" s="18" t="s">
        <v>34</v>
      </c>
      <c r="W680" s="15"/>
      <c r="X680" s="15"/>
    </row>
    <row r="681" ht="22.5" customHeight="1">
      <c r="A681" s="35">
        <v>46113.43215587963</v>
      </c>
      <c r="B681" s="12" t="s">
        <v>1559</v>
      </c>
      <c r="C681" s="15" t="s">
        <v>1560</v>
      </c>
      <c r="D681" s="36"/>
      <c r="E681" s="15" t="s">
        <v>132</v>
      </c>
      <c r="F681" s="15" t="s">
        <v>123</v>
      </c>
      <c r="G681" s="37"/>
      <c r="H681" s="15" t="s">
        <v>69</v>
      </c>
      <c r="I681" s="15" t="s">
        <v>659</v>
      </c>
      <c r="J681" s="39"/>
      <c r="K681" s="37" t="str">
        <f t="array" ref="K681">IFERROR(VLOOKUP(B681, SORT('Nhật ký nộp hồ sơ '!B:D, 'Nhật ký nộp hồ sơ '!A:A, FALSE), 3, FALSE),"")</f>
        <v>Hủy</v>
      </c>
      <c r="L681" s="37" t="str">
        <f t="shared" si="1"/>
        <v>ĐÃ HỦY</v>
      </c>
      <c r="M681" s="15" t="s">
        <v>56</v>
      </c>
      <c r="N681" s="38">
        <f>IFERROR(__xludf.DUMMYFUNCTION("""COMPUTED_VALUE"""),46113.0)</f>
        <v>46113</v>
      </c>
      <c r="O681" s="38">
        <v>46116.0</v>
      </c>
      <c r="P681" s="38">
        <f>IFERROR(__xludf.DUMMYFUNCTION("IFERROR(QUERY('Nhật ký nộp hồ sơ '!A:I, ""SELECT I WHERE B = '""&amp;B681&amp;""' ORDER BY A DESC LIMIT 1"", 0))"),46135.0)</f>
        <v>46135</v>
      </c>
      <c r="Q681" s="38" t="str">
        <f t="shared" si="2"/>
        <v/>
      </c>
      <c r="R681" s="37">
        <v>1.0</v>
      </c>
      <c r="S681" s="37"/>
      <c r="T681" s="15"/>
      <c r="U681" s="36"/>
      <c r="V681" s="18" t="s">
        <v>34</v>
      </c>
      <c r="W681" s="15"/>
      <c r="X681" s="15"/>
    </row>
    <row r="682" ht="22.5" customHeight="1">
      <c r="A682" s="35">
        <v>46113.43308769676</v>
      </c>
      <c r="B682" s="12" t="s">
        <v>1561</v>
      </c>
      <c r="C682" s="15" t="s">
        <v>1562</v>
      </c>
      <c r="D682" s="36"/>
      <c r="E682" s="15" t="s">
        <v>122</v>
      </c>
      <c r="F682" s="15" t="s">
        <v>176</v>
      </c>
      <c r="G682" s="37"/>
      <c r="H682" s="15" t="s">
        <v>69</v>
      </c>
      <c r="I682" s="15" t="s">
        <v>659</v>
      </c>
      <c r="J682" s="41"/>
      <c r="K682" s="37" t="str">
        <f t="array" ref="K682">IFERROR(VLOOKUP(B682, SORT('Nhật ký nộp hồ sơ '!B:D, 'Nhật ký nộp hồ sơ '!A:A, FALSE), 3, FALSE),"")</f>
        <v>Hoàn thành</v>
      </c>
      <c r="L682" s="37" t="str">
        <f t="shared" si="1"/>
        <v>Hoàn thành</v>
      </c>
      <c r="M682" s="15" t="s">
        <v>135</v>
      </c>
      <c r="N682" s="38">
        <f>IFERROR(__xludf.DUMMYFUNCTION("""COMPUTED_VALUE"""),46113.0)</f>
        <v>46113</v>
      </c>
      <c r="O682" s="38">
        <v>46116.0</v>
      </c>
      <c r="P682" s="38">
        <f>IFERROR(__xludf.DUMMYFUNCTION("IFERROR(QUERY('Nhật ký nộp hồ sơ '!A:I, ""SELECT I WHERE B = '""&amp;B682&amp;""' ORDER BY A DESC LIMIT 1"", 0))"),46135.0)</f>
        <v>46135</v>
      </c>
      <c r="Q682" s="38">
        <f t="shared" si="2"/>
        <v>46135</v>
      </c>
      <c r="R682" s="37">
        <v>3.0</v>
      </c>
      <c r="S682" s="37"/>
      <c r="T682" s="15"/>
      <c r="U682" s="36"/>
      <c r="V682" s="18" t="s">
        <v>34</v>
      </c>
      <c r="W682" s="15"/>
      <c r="X682" s="15"/>
    </row>
    <row r="683" ht="22.5" customHeight="1">
      <c r="A683" s="35">
        <v>46113.43394585648</v>
      </c>
      <c r="B683" s="12" t="s">
        <v>1563</v>
      </c>
      <c r="C683" s="15" t="s">
        <v>1562</v>
      </c>
      <c r="D683" s="36"/>
      <c r="E683" s="15" t="s">
        <v>122</v>
      </c>
      <c r="F683" s="15" t="s">
        <v>176</v>
      </c>
      <c r="G683" s="37"/>
      <c r="H683" s="15" t="s">
        <v>69</v>
      </c>
      <c r="I683" s="15" t="s">
        <v>81</v>
      </c>
      <c r="J683" s="41"/>
      <c r="K683" s="37" t="str">
        <f t="array" ref="K683">IFERROR(VLOOKUP(B683, SORT('Nhật ký nộp hồ sơ '!B:D, 'Nhật ký nộp hồ sơ '!A:A, FALSE), 3, FALSE),"")</f>
        <v>Hoàn thành</v>
      </c>
      <c r="L683" s="37" t="str">
        <f t="shared" si="1"/>
        <v>Hoàn thành</v>
      </c>
      <c r="M683" s="15" t="s">
        <v>135</v>
      </c>
      <c r="N683" s="38">
        <f>IFERROR(__xludf.DUMMYFUNCTION("""COMPUTED_VALUE"""),46113.0)</f>
        <v>46113</v>
      </c>
      <c r="O683" s="38">
        <v>46116.0</v>
      </c>
      <c r="P683" s="38">
        <f>IFERROR(__xludf.DUMMYFUNCTION("IFERROR(QUERY('Nhật ký nộp hồ sơ '!A:I, ""SELECT I WHERE B = '""&amp;B683&amp;""' ORDER BY A DESC LIMIT 1"", 0))"),46135.0)</f>
        <v>46135</v>
      </c>
      <c r="Q683" s="38">
        <f t="shared" si="2"/>
        <v>46135</v>
      </c>
      <c r="R683" s="37">
        <v>1.0</v>
      </c>
      <c r="S683" s="37"/>
      <c r="T683" s="15"/>
      <c r="U683" s="36"/>
      <c r="V683" s="18" t="s">
        <v>34</v>
      </c>
      <c r="W683" s="15"/>
      <c r="X683" s="15"/>
    </row>
    <row r="684" ht="22.5" customHeight="1">
      <c r="A684" s="35">
        <v>46113.43521321759</v>
      </c>
      <c r="B684" s="12" t="s">
        <v>1564</v>
      </c>
      <c r="C684" s="15" t="s">
        <v>1459</v>
      </c>
      <c r="D684" s="36"/>
      <c r="E684" s="15" t="s">
        <v>122</v>
      </c>
      <c r="F684" s="15" t="s">
        <v>1460</v>
      </c>
      <c r="G684" s="37"/>
      <c r="H684" s="15" t="s">
        <v>28</v>
      </c>
      <c r="I684" s="15" t="s">
        <v>81</v>
      </c>
      <c r="J684" s="41"/>
      <c r="K684" s="37" t="str">
        <f t="array" ref="K684">IFERROR(VLOOKUP(B684, SORT('Nhật ký nộp hồ sơ '!B:D, 'Nhật ký nộp hồ sơ '!A:A, FALSE), 3, FALSE),"")</f>
        <v>Hoàn thành</v>
      </c>
      <c r="L684" s="37" t="str">
        <f t="shared" si="1"/>
        <v>Hoàn thành</v>
      </c>
      <c r="M684" s="15" t="s">
        <v>146</v>
      </c>
      <c r="N684" s="38">
        <f>IFERROR(__xludf.DUMMYFUNCTION("""COMPUTED_VALUE"""),46113.0)</f>
        <v>46113</v>
      </c>
      <c r="O684" s="38">
        <v>46116.0</v>
      </c>
      <c r="P684" s="38">
        <f>IFERROR(__xludf.DUMMYFUNCTION("IFERROR(QUERY('Nhật ký nộp hồ sơ '!A:I, ""SELECT I WHERE B = '""&amp;B684&amp;""' ORDER BY A DESC LIMIT 1"", 0))"),46113.0)</f>
        <v>46113</v>
      </c>
      <c r="Q684" s="38">
        <f t="shared" si="2"/>
        <v>46113</v>
      </c>
      <c r="R684" s="37">
        <v>1.0</v>
      </c>
      <c r="S684" s="37" t="s">
        <v>1565</v>
      </c>
      <c r="T684" s="15"/>
      <c r="U684" s="36"/>
      <c r="V684" s="18" t="s">
        <v>34</v>
      </c>
      <c r="W684" s="15"/>
      <c r="X684" s="15"/>
    </row>
    <row r="685" ht="22.5" customHeight="1">
      <c r="A685" s="35">
        <v>46113.43677141204</v>
      </c>
      <c r="B685" s="12" t="s">
        <v>1566</v>
      </c>
      <c r="C685" s="15" t="s">
        <v>1567</v>
      </c>
      <c r="D685" s="36"/>
      <c r="E685" s="15" t="s">
        <v>151</v>
      </c>
      <c r="F685" s="13" t="s">
        <v>232</v>
      </c>
      <c r="G685" s="37"/>
      <c r="H685" s="15" t="s">
        <v>28</v>
      </c>
      <c r="I685" s="15" t="s">
        <v>81</v>
      </c>
      <c r="J685" s="39" t="s">
        <v>202</v>
      </c>
      <c r="K685" s="37" t="str">
        <f t="array" ref="K685">IFERROR(VLOOKUP(B685, SORT('Nhật ký nộp hồ sơ '!B:D, 'Nhật ký nộp hồ sơ '!A:A, FALSE), 3, FALSE),"")</f>
        <v>Hoàn thành</v>
      </c>
      <c r="L685" s="37" t="str">
        <f t="shared" si="1"/>
        <v>Hoàn thành</v>
      </c>
      <c r="M685" s="15" t="s">
        <v>216</v>
      </c>
      <c r="N685" s="38">
        <f>IFERROR(__xludf.DUMMYFUNCTION("""COMPUTED_VALUE"""),46113.0)</f>
        <v>46113</v>
      </c>
      <c r="O685" s="38">
        <v>46114.0</v>
      </c>
      <c r="P685" s="38">
        <f>IFERROR(__xludf.DUMMYFUNCTION("IFERROR(QUERY('Nhật ký nộp hồ sơ '!A:I, ""SELECT I WHERE B = '""&amp;B685&amp;""' ORDER BY A DESC LIMIT 1"", 0))"),46113.0)</f>
        <v>46113</v>
      </c>
      <c r="Q685" s="38">
        <f t="shared" si="2"/>
        <v>46113</v>
      </c>
      <c r="R685" s="37">
        <v>1.0</v>
      </c>
      <c r="S685" s="37"/>
      <c r="T685" s="15"/>
      <c r="U685" s="36"/>
      <c r="V685" s="18" t="s">
        <v>34</v>
      </c>
      <c r="W685" s="15">
        <v>15.0</v>
      </c>
      <c r="X685" s="15" t="s">
        <v>1188</v>
      </c>
    </row>
    <row r="686" ht="22.5" customHeight="1">
      <c r="A686" s="35">
        <v>46113.43736652778</v>
      </c>
      <c r="B686" s="12" t="s">
        <v>1568</v>
      </c>
      <c r="C686" s="15" t="s">
        <v>1567</v>
      </c>
      <c r="D686" s="36"/>
      <c r="E686" s="15" t="s">
        <v>151</v>
      </c>
      <c r="F686" s="13" t="s">
        <v>232</v>
      </c>
      <c r="G686" s="37"/>
      <c r="H686" s="15" t="s">
        <v>28</v>
      </c>
      <c r="I686" s="15" t="s">
        <v>81</v>
      </c>
      <c r="J686" s="39" t="s">
        <v>202</v>
      </c>
      <c r="K686" s="37" t="str">
        <f t="array" ref="K686">IFERROR(VLOOKUP(B686, SORT('Nhật ký nộp hồ sơ '!B:D, 'Nhật ký nộp hồ sơ '!A:A, FALSE), 3, FALSE),"")</f>
        <v>Hoàn thành</v>
      </c>
      <c r="L686" s="37" t="str">
        <f t="shared" si="1"/>
        <v>Hoàn thành</v>
      </c>
      <c r="M686" s="15" t="s">
        <v>41</v>
      </c>
      <c r="N686" s="38">
        <f>IFERROR(__xludf.DUMMYFUNCTION("""COMPUTED_VALUE"""),46113.0)</f>
        <v>46113</v>
      </c>
      <c r="O686" s="38">
        <v>46114.0</v>
      </c>
      <c r="P686" s="38">
        <f>IFERROR(__xludf.DUMMYFUNCTION("IFERROR(QUERY('Nhật ký nộp hồ sơ '!A:I, ""SELECT I WHERE B = '""&amp;B686&amp;""' ORDER BY A DESC LIMIT 1"", 0))"),46113.0)</f>
        <v>46113</v>
      </c>
      <c r="Q686" s="38">
        <f t="shared" si="2"/>
        <v>46113</v>
      </c>
      <c r="R686" s="37">
        <v>2.0</v>
      </c>
      <c r="S686" s="37"/>
      <c r="T686" s="15"/>
      <c r="U686" s="36"/>
      <c r="V686" s="18" t="s">
        <v>34</v>
      </c>
      <c r="W686" s="15"/>
      <c r="X686" s="15"/>
    </row>
    <row r="687" ht="22.5" customHeight="1">
      <c r="A687" s="35">
        <v>46113.536205474535</v>
      </c>
      <c r="B687" s="12" t="s">
        <v>1569</v>
      </c>
      <c r="C687" s="15" t="s">
        <v>1570</v>
      </c>
      <c r="D687" s="36"/>
      <c r="E687" s="15" t="s">
        <v>53</v>
      </c>
      <c r="F687" s="15" t="s">
        <v>133</v>
      </c>
      <c r="G687" s="37" t="s">
        <v>1571</v>
      </c>
      <c r="H687" s="15" t="s">
        <v>47</v>
      </c>
      <c r="I687" s="15" t="s">
        <v>659</v>
      </c>
      <c r="J687" s="41"/>
      <c r="K687" s="37" t="str">
        <f t="array" ref="K687">IFERROR(VLOOKUP(B687, SORT('Nhật ký nộp hồ sơ '!B:D, 'Nhật ký nộp hồ sơ '!A:A, FALSE), 3, FALSE),"")</f>
        <v>Hoàn thành</v>
      </c>
      <c r="L687" s="37" t="str">
        <f t="shared" si="1"/>
        <v>Hoàn thành</v>
      </c>
      <c r="M687" s="15" t="s">
        <v>48</v>
      </c>
      <c r="N687" s="38">
        <f>IFERROR(__xludf.DUMMYFUNCTION("""COMPUTED_VALUE"""),46113.0)</f>
        <v>46113</v>
      </c>
      <c r="O687" s="38">
        <v>46116.0</v>
      </c>
      <c r="P687" s="38">
        <f>IFERROR(__xludf.DUMMYFUNCTION("IFERROR(QUERY('Nhật ký nộp hồ sơ '!A:I, ""SELECT I WHERE B = '""&amp;B687&amp;""' ORDER BY A DESC LIMIT 1"", 0))"),46135.0)</f>
        <v>46135</v>
      </c>
      <c r="Q687" s="38">
        <f t="shared" si="2"/>
        <v>46135</v>
      </c>
      <c r="R687" s="37">
        <v>2.0</v>
      </c>
      <c r="S687" s="37"/>
      <c r="T687" s="15"/>
      <c r="U687" s="36"/>
      <c r="V687" s="18" t="s">
        <v>34</v>
      </c>
      <c r="W687" s="15"/>
      <c r="X687" s="15"/>
    </row>
    <row r="688" ht="22.5" customHeight="1">
      <c r="A688" s="35">
        <v>46114.58595627315</v>
      </c>
      <c r="B688" s="12" t="s">
        <v>1572</v>
      </c>
      <c r="C688" s="15" t="s">
        <v>1573</v>
      </c>
      <c r="D688" s="39" t="s">
        <v>44</v>
      </c>
      <c r="E688" s="15" t="s">
        <v>26</v>
      </c>
      <c r="F688" s="15" t="s">
        <v>133</v>
      </c>
      <c r="G688" s="37" t="s">
        <v>1574</v>
      </c>
      <c r="H688" s="15" t="s">
        <v>47</v>
      </c>
      <c r="I688" s="15" t="s">
        <v>659</v>
      </c>
      <c r="J688" s="41"/>
      <c r="K688" s="37" t="str">
        <f t="array" ref="K688">IFERROR(VLOOKUP(B688, SORT('Nhật ký nộp hồ sơ '!B:D, 'Nhật ký nộp hồ sơ '!A:A, FALSE), 3, FALSE),"")</f>
        <v>Hoàn thành</v>
      </c>
      <c r="L688" s="37" t="str">
        <f t="shared" si="1"/>
        <v>Hoàn thành</v>
      </c>
      <c r="M688" s="15" t="s">
        <v>48</v>
      </c>
      <c r="N688" s="38">
        <f>IFERROR(__xludf.DUMMYFUNCTION("""COMPUTED_VALUE"""),46114.0)</f>
        <v>46114</v>
      </c>
      <c r="O688" s="38">
        <v>46117.0</v>
      </c>
      <c r="P688" s="38">
        <f>IFERROR(__xludf.DUMMYFUNCTION("IFERROR(QUERY('Nhật ký nộp hồ sơ '!A:I, ""SELECT I WHERE B = '""&amp;B688&amp;""' ORDER BY A DESC LIMIT 1"", 0))"),46135.0)</f>
        <v>46135</v>
      </c>
      <c r="Q688" s="38">
        <f t="shared" si="2"/>
        <v>46135</v>
      </c>
      <c r="R688" s="37">
        <v>1.0</v>
      </c>
      <c r="S688" s="37" t="s">
        <v>1575</v>
      </c>
      <c r="T688" s="15"/>
      <c r="U688" s="36"/>
      <c r="V688" s="18" t="s">
        <v>34</v>
      </c>
      <c r="W688" s="15"/>
      <c r="X688" s="15"/>
    </row>
    <row r="689" ht="22.5" customHeight="1">
      <c r="A689" s="35">
        <v>46114.58637211805</v>
      </c>
      <c r="B689" s="12" t="s">
        <v>1576</v>
      </c>
      <c r="C689" s="15" t="s">
        <v>1577</v>
      </c>
      <c r="D689" s="36"/>
      <c r="E689" s="15" t="s">
        <v>74</v>
      </c>
      <c r="F689" s="15" t="s">
        <v>89</v>
      </c>
      <c r="G689" s="37"/>
      <c r="H689" s="15" t="s">
        <v>47</v>
      </c>
      <c r="I689" s="15" t="s">
        <v>659</v>
      </c>
      <c r="J689" s="41"/>
      <c r="K689" s="37" t="str">
        <f t="array" ref="K689">IFERROR(VLOOKUP(B689, SORT('Nhật ký nộp hồ sơ '!B:D, 'Nhật ký nộp hồ sơ '!A:A, FALSE), 3, FALSE),"")</f>
        <v>Hoàn thành</v>
      </c>
      <c r="L689" s="37" t="str">
        <f t="shared" si="1"/>
        <v>Hoàn thành</v>
      </c>
      <c r="M689" s="15" t="s">
        <v>41</v>
      </c>
      <c r="N689" s="38">
        <f>IFERROR(__xludf.DUMMYFUNCTION("""COMPUTED_VALUE"""),46114.0)</f>
        <v>46114</v>
      </c>
      <c r="O689" s="38">
        <v>46117.0</v>
      </c>
      <c r="P689" s="38">
        <f>IFERROR(__xludf.DUMMYFUNCTION("IFERROR(QUERY('Nhật ký nộp hồ sơ '!A:I, ""SELECT I WHERE B = '""&amp;B689&amp;""' ORDER BY A DESC LIMIT 1"", 0))"),46114.0)</f>
        <v>46114</v>
      </c>
      <c r="Q689" s="38">
        <f t="shared" si="2"/>
        <v>46114</v>
      </c>
      <c r="R689" s="37">
        <v>1.0</v>
      </c>
      <c r="S689" s="37"/>
      <c r="T689" s="15"/>
      <c r="U689" s="36"/>
      <c r="V689" s="18" t="s">
        <v>34</v>
      </c>
      <c r="W689" s="15"/>
      <c r="X689" s="15"/>
    </row>
    <row r="690" ht="22.5" customHeight="1">
      <c r="A690" s="35">
        <v>46114.688045856485</v>
      </c>
      <c r="B690" s="12" t="s">
        <v>1578</v>
      </c>
      <c r="C690" s="15" t="s">
        <v>1579</v>
      </c>
      <c r="D690" s="36"/>
      <c r="E690" s="15" t="s">
        <v>74</v>
      </c>
      <c r="F690" s="15" t="s">
        <v>246</v>
      </c>
      <c r="G690" s="37"/>
      <c r="H690" s="15" t="s">
        <v>28</v>
      </c>
      <c r="I690" s="15" t="s">
        <v>659</v>
      </c>
      <c r="J690" s="41"/>
      <c r="K690" s="37" t="str">
        <f t="array" ref="K690">IFERROR(VLOOKUP(B690, SORT('Nhật ký nộp hồ sơ '!B:D, 'Nhật ký nộp hồ sơ '!A:A, FALSE), 3, FALSE),"")</f>
        <v>Hoàn thành</v>
      </c>
      <c r="L690" s="37" t="str">
        <f t="shared" si="1"/>
        <v>Hoàn thành</v>
      </c>
      <c r="M690" s="15" t="s">
        <v>216</v>
      </c>
      <c r="N690" s="38">
        <f>IFERROR(__xludf.DUMMYFUNCTION("""COMPUTED_VALUE"""),46114.0)</f>
        <v>46114</v>
      </c>
      <c r="O690" s="38">
        <v>46117.0</v>
      </c>
      <c r="P690" s="38">
        <f>IFERROR(__xludf.DUMMYFUNCTION("IFERROR(QUERY('Nhật ký nộp hồ sơ '!A:I, ""SELECT I WHERE B = '""&amp;B690&amp;""' ORDER BY A DESC LIMIT 1"", 0))"),46118.0)</f>
        <v>46118</v>
      </c>
      <c r="Q690" s="38">
        <f t="shared" si="2"/>
        <v>46118</v>
      </c>
      <c r="R690" s="37">
        <v>2.0</v>
      </c>
      <c r="S690" s="37"/>
      <c r="T690" s="15"/>
      <c r="U690" s="36"/>
      <c r="V690" s="18" t="s">
        <v>34</v>
      </c>
      <c r="W690" s="15">
        <v>4.0</v>
      </c>
      <c r="X690" s="15" t="s">
        <v>1188</v>
      </c>
    </row>
    <row r="691" ht="22.5" customHeight="1">
      <c r="A691" s="35">
        <v>46115.437307789354</v>
      </c>
      <c r="B691" s="12" t="s">
        <v>1580</v>
      </c>
      <c r="C691" s="15" t="s">
        <v>1505</v>
      </c>
      <c r="D691" s="36"/>
      <c r="E691" s="15" t="s">
        <v>88</v>
      </c>
      <c r="F691" s="15" t="s">
        <v>29</v>
      </c>
      <c r="G691" s="37"/>
      <c r="H691" s="15" t="s">
        <v>29</v>
      </c>
      <c r="I691" s="15" t="s">
        <v>81</v>
      </c>
      <c r="J691" s="41"/>
      <c r="K691" s="37" t="str">
        <f t="array" ref="K691">IFERROR(VLOOKUP(B691, SORT('Nhật ký nộp hồ sơ '!B:D, 'Nhật ký nộp hồ sơ '!A:A, FALSE), 3, FALSE),"")</f>
        <v>Hoàn thành</v>
      </c>
      <c r="L691" s="37" t="str">
        <f t="shared" si="1"/>
        <v>Hoàn thành</v>
      </c>
      <c r="M691" s="15" t="s">
        <v>1506</v>
      </c>
      <c r="N691" s="38">
        <f>IFERROR(__xludf.DUMMYFUNCTION("""COMPUTED_VALUE"""),46115.0)</f>
        <v>46115</v>
      </c>
      <c r="O691" s="38">
        <v>46118.0</v>
      </c>
      <c r="P691" s="38">
        <f>IFERROR(__xludf.DUMMYFUNCTION("IFERROR(QUERY('Nhật ký nộp hồ sơ '!A:I, ""SELECT I WHERE B = '""&amp;B691&amp;""' ORDER BY A DESC LIMIT 1"", 0))"),46115.0)</f>
        <v>46115</v>
      </c>
      <c r="Q691" s="38">
        <f t="shared" si="2"/>
        <v>46115</v>
      </c>
      <c r="R691" s="37">
        <v>1.0</v>
      </c>
      <c r="S691" s="37" t="s">
        <v>1581</v>
      </c>
      <c r="T691" s="15"/>
      <c r="U691" s="36"/>
      <c r="V691" s="18" t="s">
        <v>34</v>
      </c>
      <c r="W691" s="15"/>
      <c r="X691" s="15"/>
    </row>
    <row r="692" ht="22.5" customHeight="1">
      <c r="A692" s="35">
        <v>46115.43815797454</v>
      </c>
      <c r="B692" s="12" t="s">
        <v>1582</v>
      </c>
      <c r="C692" s="15" t="s">
        <v>1583</v>
      </c>
      <c r="D692" s="36"/>
      <c r="E692" s="15" t="s">
        <v>187</v>
      </c>
      <c r="F692" s="15" t="s">
        <v>133</v>
      </c>
      <c r="G692" s="37"/>
      <c r="H692" s="15" t="s">
        <v>29</v>
      </c>
      <c r="I692" s="15" t="s">
        <v>659</v>
      </c>
      <c r="J692" s="41"/>
      <c r="K692" s="37" t="str">
        <f t="array" ref="K692">IFERROR(VLOOKUP(B692, SORT('Nhật ký nộp hồ sơ '!B:D, 'Nhật ký nộp hồ sơ '!A:A, FALSE), 3, FALSE),"")</f>
        <v>Hoàn thành</v>
      </c>
      <c r="L692" s="37" t="str">
        <f t="shared" si="1"/>
        <v>Hoàn thành</v>
      </c>
      <c r="M692" s="15" t="s">
        <v>30</v>
      </c>
      <c r="N692" s="38">
        <f>IFERROR(__xludf.DUMMYFUNCTION("""COMPUTED_VALUE"""),46115.0)</f>
        <v>46115</v>
      </c>
      <c r="O692" s="38">
        <v>46118.0</v>
      </c>
      <c r="P692" s="38">
        <f>IFERROR(__xludf.DUMMYFUNCTION("IFERROR(QUERY('Nhật ký nộp hồ sơ '!A:I, ""SELECT I WHERE B = '""&amp;B692&amp;""' ORDER BY A DESC LIMIT 1"", 0))"),46118.0)</f>
        <v>46118</v>
      </c>
      <c r="Q692" s="38">
        <f t="shared" si="2"/>
        <v>46118</v>
      </c>
      <c r="R692" s="37">
        <v>2.0</v>
      </c>
      <c r="S692" s="37"/>
      <c r="T692" s="15"/>
      <c r="U692" s="36"/>
      <c r="V692" s="18" t="s">
        <v>34</v>
      </c>
      <c r="W692" s="15"/>
      <c r="X692" s="15"/>
    </row>
    <row r="693" ht="22.5" customHeight="1">
      <c r="A693" s="35">
        <v>46115.487898645835</v>
      </c>
      <c r="B693" s="12" t="s">
        <v>1584</v>
      </c>
      <c r="C693" s="15" t="s">
        <v>1262</v>
      </c>
      <c r="D693" s="36"/>
      <c r="E693" s="15" t="s">
        <v>122</v>
      </c>
      <c r="F693" s="15" t="s">
        <v>133</v>
      </c>
      <c r="G693" s="37"/>
      <c r="H693" s="15" t="s">
        <v>28</v>
      </c>
      <c r="I693" s="15" t="s">
        <v>659</v>
      </c>
      <c r="J693" s="41"/>
      <c r="K693" s="37" t="str">
        <f t="array" ref="K693">IFERROR(VLOOKUP(B693, SORT('Nhật ký nộp hồ sơ '!B:D, 'Nhật ký nộp hồ sơ '!A:A, FALSE), 3, FALSE),"")</f>
        <v>Hoàn thành</v>
      </c>
      <c r="L693" s="37" t="str">
        <f t="shared" si="1"/>
        <v>Hoàn thành</v>
      </c>
      <c r="M693" s="15" t="s">
        <v>216</v>
      </c>
      <c r="N693" s="38">
        <f>IFERROR(__xludf.DUMMYFUNCTION("""COMPUTED_VALUE"""),46115.0)</f>
        <v>46115</v>
      </c>
      <c r="O693" s="38">
        <v>46118.0</v>
      </c>
      <c r="P693" s="38">
        <f>IFERROR(__xludf.DUMMYFUNCTION("IFERROR(QUERY('Nhật ký nộp hồ sơ '!A:I, ""SELECT I WHERE B = '""&amp;B693&amp;""' ORDER BY A DESC LIMIT 1"", 0))"),46118.0)</f>
        <v>46118</v>
      </c>
      <c r="Q693" s="38">
        <f t="shared" si="2"/>
        <v>46118</v>
      </c>
      <c r="R693" s="37">
        <v>2.0</v>
      </c>
      <c r="S693" s="37"/>
      <c r="T693" s="15"/>
      <c r="U693" s="36"/>
      <c r="V693" s="18" t="s">
        <v>34</v>
      </c>
      <c r="W693" s="15"/>
      <c r="X693" s="15" t="s">
        <v>687</v>
      </c>
    </row>
    <row r="694" ht="22.5" customHeight="1">
      <c r="A694" s="35">
        <v>46115.52868234954</v>
      </c>
      <c r="B694" s="12" t="s">
        <v>1585</v>
      </c>
      <c r="C694" s="15" t="s">
        <v>1586</v>
      </c>
      <c r="D694" s="36"/>
      <c r="E694" s="15" t="s">
        <v>122</v>
      </c>
      <c r="F694" s="15" t="s">
        <v>133</v>
      </c>
      <c r="G694" s="42" t="s">
        <v>1587</v>
      </c>
      <c r="H694" s="15" t="s">
        <v>28</v>
      </c>
      <c r="I694" s="15" t="s">
        <v>659</v>
      </c>
      <c r="J694" s="41"/>
      <c r="K694" s="37" t="str">
        <f t="array" ref="K694">IFERROR(VLOOKUP(B694, SORT('Nhật ký nộp hồ sơ '!B:D, 'Nhật ký nộp hồ sơ '!A:A, FALSE), 3, FALSE),"")</f>
        <v>Hoàn thành</v>
      </c>
      <c r="L694" s="37" t="str">
        <f t="shared" si="1"/>
        <v>Hoàn thành</v>
      </c>
      <c r="M694" s="15" t="s">
        <v>56</v>
      </c>
      <c r="N694" s="38">
        <f>IFERROR(__xludf.DUMMYFUNCTION("""COMPUTED_VALUE"""),46115.0)</f>
        <v>46115</v>
      </c>
      <c r="O694" s="38">
        <v>46118.0</v>
      </c>
      <c r="P694" s="38">
        <f>IFERROR(__xludf.DUMMYFUNCTION("IFERROR(QUERY('Nhật ký nộp hồ sơ '!A:I, ""SELECT I WHERE B = '""&amp;B694&amp;""' ORDER BY A DESC LIMIT 1"", 0))"),46127.0)</f>
        <v>46127</v>
      </c>
      <c r="Q694" s="38">
        <f t="shared" si="2"/>
        <v>46127</v>
      </c>
      <c r="R694" s="37">
        <v>1.0</v>
      </c>
      <c r="S694" s="37"/>
      <c r="T694" s="15"/>
      <c r="U694" s="36"/>
      <c r="V694" s="18" t="s">
        <v>34</v>
      </c>
      <c r="W694" s="15"/>
      <c r="X694" s="15"/>
    </row>
    <row r="695" ht="22.5" customHeight="1">
      <c r="A695" s="35">
        <v>46116.68539520833</v>
      </c>
      <c r="B695" s="12" t="s">
        <v>1588</v>
      </c>
      <c r="C695" s="15" t="s">
        <v>1577</v>
      </c>
      <c r="D695" s="36"/>
      <c r="E695" s="15" t="s">
        <v>74</v>
      </c>
      <c r="F695" s="15" t="s">
        <v>89</v>
      </c>
      <c r="G695" s="37"/>
      <c r="H695" s="15" t="s">
        <v>29</v>
      </c>
      <c r="I695" s="15" t="s">
        <v>659</v>
      </c>
      <c r="J695" s="41"/>
      <c r="K695" s="37" t="str">
        <f t="array" ref="K695">IFERROR(VLOOKUP(B695, SORT('Nhật ký nộp hồ sơ '!B:D, 'Nhật ký nộp hồ sơ '!A:A, FALSE), 3, FALSE),"")</f>
        <v>Hoàn thành</v>
      </c>
      <c r="L695" s="37" t="str">
        <f t="shared" si="1"/>
        <v>Hoàn thành</v>
      </c>
      <c r="M695" s="15" t="s">
        <v>216</v>
      </c>
      <c r="N695" s="38">
        <f>IFERROR(__xludf.DUMMYFUNCTION("""COMPUTED_VALUE"""),46116.0)</f>
        <v>46116</v>
      </c>
      <c r="O695" s="38">
        <v>46119.0</v>
      </c>
      <c r="P695" s="38">
        <f>IFERROR(__xludf.DUMMYFUNCTION("IFERROR(QUERY('Nhật ký nộp hồ sơ '!A:I, ""SELECT I WHERE B = '""&amp;B695&amp;""' ORDER BY A DESC LIMIT 1"", 0))"),46118.0)</f>
        <v>46118</v>
      </c>
      <c r="Q695" s="38">
        <f t="shared" si="2"/>
        <v>46118</v>
      </c>
      <c r="R695" s="37">
        <v>1.0</v>
      </c>
      <c r="S695" s="37"/>
      <c r="T695" s="15"/>
      <c r="U695" s="36"/>
      <c r="V695" s="18" t="s">
        <v>34</v>
      </c>
      <c r="W695" s="15">
        <v>4.0</v>
      </c>
      <c r="X695" s="15" t="s">
        <v>687</v>
      </c>
    </row>
    <row r="696" ht="22.5" customHeight="1">
      <c r="A696" s="35">
        <v>46118.44147160879</v>
      </c>
      <c r="B696" s="12" t="s">
        <v>1589</v>
      </c>
      <c r="C696" s="15" t="s">
        <v>1577</v>
      </c>
      <c r="D696" s="36"/>
      <c r="E696" s="15" t="s">
        <v>74</v>
      </c>
      <c r="F696" s="15" t="s">
        <v>89</v>
      </c>
      <c r="G696" s="37"/>
      <c r="H696" s="15" t="s">
        <v>47</v>
      </c>
      <c r="I696" s="15" t="s">
        <v>81</v>
      </c>
      <c r="J696" s="41"/>
      <c r="K696" s="37" t="str">
        <f t="array" ref="K696">IFERROR(VLOOKUP(B696, SORT('Nhật ký nộp hồ sơ '!B:D, 'Nhật ký nộp hồ sơ '!A:A, FALSE), 3, FALSE),"")</f>
        <v>Hoàn thành</v>
      </c>
      <c r="L696" s="37" t="str">
        <f t="shared" si="1"/>
        <v>Hoàn thành</v>
      </c>
      <c r="M696" s="15" t="s">
        <v>56</v>
      </c>
      <c r="N696" s="38">
        <f>IFERROR(__xludf.DUMMYFUNCTION("""COMPUTED_VALUE"""),46118.0)</f>
        <v>46118</v>
      </c>
      <c r="O696" s="38">
        <v>46121.0</v>
      </c>
      <c r="P696" s="38">
        <f>IFERROR(__xludf.DUMMYFUNCTION("IFERROR(QUERY('Nhật ký nộp hồ sơ '!A:I, ""SELECT I WHERE B = '""&amp;B696&amp;""' ORDER BY A DESC LIMIT 1"", 0))"),46165.0)</f>
        <v>46165</v>
      </c>
      <c r="Q696" s="38">
        <f t="shared" si="2"/>
        <v>46165</v>
      </c>
      <c r="R696" s="37">
        <v>1.0</v>
      </c>
      <c r="S696" s="37" t="s">
        <v>1590</v>
      </c>
      <c r="T696" s="15"/>
      <c r="U696" s="36"/>
      <c r="V696" s="18" t="s">
        <v>34</v>
      </c>
      <c r="W696" s="15"/>
      <c r="X696" s="15"/>
    </row>
    <row r="697" ht="22.5" customHeight="1">
      <c r="A697" s="35">
        <v>46118.50812864583</v>
      </c>
      <c r="B697" s="12" t="s">
        <v>1591</v>
      </c>
      <c r="C697" s="15" t="s">
        <v>1592</v>
      </c>
      <c r="D697" s="36"/>
      <c r="E697" s="15" t="s">
        <v>187</v>
      </c>
      <c r="F697" s="15" t="s">
        <v>133</v>
      </c>
      <c r="G697" s="37"/>
      <c r="H697" s="15" t="s">
        <v>28</v>
      </c>
      <c r="I697" s="15" t="s">
        <v>29</v>
      </c>
      <c r="J697" s="41"/>
      <c r="K697" s="37" t="str">
        <f t="array" ref="K697">IFERROR(VLOOKUP(B697, SORT('Nhật ký nộp hồ sơ '!B:D, 'Nhật ký nộp hồ sơ '!A:A, FALSE), 3, FALSE),"")</f>
        <v>Hoàn thành</v>
      </c>
      <c r="L697" s="37" t="str">
        <f t="shared" si="1"/>
        <v>Hoàn thành</v>
      </c>
      <c r="M697" s="15" t="s">
        <v>216</v>
      </c>
      <c r="N697" s="38">
        <f>IFERROR(__xludf.DUMMYFUNCTION("""COMPUTED_VALUE"""),46118.0)</f>
        <v>46118</v>
      </c>
      <c r="O697" s="38">
        <v>46121.0</v>
      </c>
      <c r="P697" s="38">
        <f>IFERROR(__xludf.DUMMYFUNCTION("IFERROR(QUERY('Nhật ký nộp hồ sơ '!A:I, ""SELECT I WHERE B = '""&amp;B697&amp;""' ORDER BY A DESC LIMIT 1"", 0))"),46118.0)</f>
        <v>46118</v>
      </c>
      <c r="Q697" s="38">
        <f t="shared" si="2"/>
        <v>46118</v>
      </c>
      <c r="R697" s="37">
        <v>4.0</v>
      </c>
      <c r="S697" s="37"/>
      <c r="T697" s="15"/>
      <c r="U697" s="36"/>
      <c r="V697" s="18" t="s">
        <v>34</v>
      </c>
      <c r="W697" s="15">
        <v>4.0</v>
      </c>
      <c r="X697" s="15" t="s">
        <v>1188</v>
      </c>
    </row>
    <row r="698" ht="22.5" customHeight="1">
      <c r="A698" s="35">
        <v>46118.54840971065</v>
      </c>
      <c r="B698" s="12" t="s">
        <v>1593</v>
      </c>
      <c r="C698" s="15" t="s">
        <v>1594</v>
      </c>
      <c r="D698" s="36"/>
      <c r="E698" s="15" t="s">
        <v>26</v>
      </c>
      <c r="F698" s="15" t="s">
        <v>27</v>
      </c>
      <c r="G698" s="37"/>
      <c r="H698" s="15" t="s">
        <v>29</v>
      </c>
      <c r="I698" s="15" t="s">
        <v>81</v>
      </c>
      <c r="J698" s="41"/>
      <c r="K698" s="37" t="str">
        <f t="array" ref="K698">IFERROR(VLOOKUP(B698, SORT('Nhật ký nộp hồ sơ '!B:D, 'Nhật ký nộp hồ sơ '!A:A, FALSE), 3, FALSE),"")</f>
        <v>Hoàn thành</v>
      </c>
      <c r="L698" s="37" t="str">
        <f t="shared" si="1"/>
        <v>Hoàn thành</v>
      </c>
      <c r="M698" s="15" t="s">
        <v>181</v>
      </c>
      <c r="N698" s="38">
        <f>IFERROR(__xludf.DUMMYFUNCTION("""COMPUTED_VALUE"""),46118.0)</f>
        <v>46118</v>
      </c>
      <c r="O698" s="38">
        <v>46121.0</v>
      </c>
      <c r="P698" s="38">
        <f>IFERROR(__xludf.DUMMYFUNCTION("IFERROR(QUERY('Nhật ký nộp hồ sơ '!A:I, ""SELECT I WHERE B = '""&amp;B698&amp;""' ORDER BY A DESC LIMIT 1"", 0))"),46119.0)</f>
        <v>46119</v>
      </c>
      <c r="Q698" s="38">
        <f t="shared" si="2"/>
        <v>46119</v>
      </c>
      <c r="R698" s="37">
        <v>1.0</v>
      </c>
      <c r="S698" s="37"/>
      <c r="T698" s="15"/>
      <c r="U698" s="36"/>
      <c r="V698" s="18" t="s">
        <v>34</v>
      </c>
      <c r="W698" s="15"/>
      <c r="X698" s="15"/>
    </row>
    <row r="699" ht="22.5" customHeight="1">
      <c r="A699" s="35">
        <v>46118.58711449074</v>
      </c>
      <c r="B699" s="12" t="s">
        <v>1595</v>
      </c>
      <c r="C699" s="15" t="s">
        <v>1219</v>
      </c>
      <c r="D699" s="36"/>
      <c r="E699" s="15" t="s">
        <v>53</v>
      </c>
      <c r="F699" s="15" t="s">
        <v>133</v>
      </c>
      <c r="G699" s="37"/>
      <c r="H699" s="15" t="s">
        <v>28</v>
      </c>
      <c r="I699" s="15" t="s">
        <v>81</v>
      </c>
      <c r="J699" s="41"/>
      <c r="K699" s="37" t="str">
        <f t="array" ref="K699">IFERROR(VLOOKUP(B699, SORT('Nhật ký nộp hồ sơ '!B:D, 'Nhật ký nộp hồ sơ '!A:A, FALSE), 3, FALSE),"")</f>
        <v>Hoàn thành</v>
      </c>
      <c r="L699" s="37" t="str">
        <f t="shared" si="1"/>
        <v>Hoàn thành</v>
      </c>
      <c r="M699" s="15" t="s">
        <v>41</v>
      </c>
      <c r="N699" s="38">
        <f>IFERROR(__xludf.DUMMYFUNCTION("""COMPUTED_VALUE"""),46118.0)</f>
        <v>46118</v>
      </c>
      <c r="O699" s="38">
        <v>46121.0</v>
      </c>
      <c r="P699" s="38">
        <f>IFERROR(__xludf.DUMMYFUNCTION("IFERROR(QUERY('Nhật ký nộp hồ sơ '!A:I, ""SELECT I WHERE B = '""&amp;B699&amp;""' ORDER BY A DESC LIMIT 1"", 0))"),46118.0)</f>
        <v>46118</v>
      </c>
      <c r="Q699" s="38">
        <f t="shared" si="2"/>
        <v>46118</v>
      </c>
      <c r="R699" s="37">
        <v>4.0</v>
      </c>
      <c r="S699" s="37"/>
      <c r="T699" s="15"/>
      <c r="U699" s="36"/>
      <c r="V699" s="18" t="s">
        <v>34</v>
      </c>
      <c r="W699" s="15"/>
      <c r="X699" s="15"/>
    </row>
    <row r="700" ht="22.5" customHeight="1">
      <c r="A700" s="35">
        <v>46118.90118542824</v>
      </c>
      <c r="B700" s="12" t="s">
        <v>1596</v>
      </c>
      <c r="C700" s="15" t="s">
        <v>1597</v>
      </c>
      <c r="D700" s="36"/>
      <c r="E700" s="15" t="s">
        <v>26</v>
      </c>
      <c r="F700" s="15" t="s">
        <v>1598</v>
      </c>
      <c r="G700" s="37"/>
      <c r="H700" s="15" t="s">
        <v>69</v>
      </c>
      <c r="I700" s="15" t="s">
        <v>659</v>
      </c>
      <c r="J700" s="41"/>
      <c r="K700" s="37" t="str">
        <f t="array" ref="K700">IFERROR(VLOOKUP(B700, SORT('Nhật ký nộp hồ sơ '!B:D, 'Nhật ký nộp hồ sơ '!A:A, FALSE), 3, FALSE),"")</f>
        <v>Hoàn thành</v>
      </c>
      <c r="L700" s="37" t="str">
        <f t="shared" si="1"/>
        <v>Hoàn thành</v>
      </c>
      <c r="M700" s="15" t="s">
        <v>56</v>
      </c>
      <c r="N700" s="38">
        <f>IFERROR(__xludf.DUMMYFUNCTION("""COMPUTED_VALUE"""),46118.0)</f>
        <v>46118</v>
      </c>
      <c r="O700" s="38">
        <v>46121.0</v>
      </c>
      <c r="P700" s="38">
        <f>IFERROR(__xludf.DUMMYFUNCTION("IFERROR(QUERY('Nhật ký nộp hồ sơ '!A:I, ""SELECT I WHERE B = '""&amp;B700&amp;""' ORDER BY A DESC LIMIT 1"", 0))"),46133.0)</f>
        <v>46133</v>
      </c>
      <c r="Q700" s="38">
        <f t="shared" si="2"/>
        <v>46133</v>
      </c>
      <c r="R700" s="37">
        <v>1.0</v>
      </c>
      <c r="S700" s="37"/>
      <c r="T700" s="15"/>
      <c r="U700" s="36"/>
      <c r="V700" s="18" t="s">
        <v>34</v>
      </c>
      <c r="W700" s="15"/>
      <c r="X700" s="15"/>
    </row>
    <row r="701" ht="22.5" customHeight="1">
      <c r="A701" s="35">
        <v>46118.902626689814</v>
      </c>
      <c r="B701" s="12" t="s">
        <v>1599</v>
      </c>
      <c r="C701" s="15" t="s">
        <v>1600</v>
      </c>
      <c r="D701" s="36"/>
      <c r="E701" s="15" t="s">
        <v>45</v>
      </c>
      <c r="F701" s="15" t="s">
        <v>89</v>
      </c>
      <c r="G701" s="37"/>
      <c r="H701" s="15" t="s">
        <v>69</v>
      </c>
      <c r="I701" s="15" t="s">
        <v>659</v>
      </c>
      <c r="J701" s="41"/>
      <c r="K701" s="37" t="str">
        <f t="array" ref="K701">IFERROR(VLOOKUP(B701, SORT('Nhật ký nộp hồ sơ '!B:D, 'Nhật ký nộp hồ sơ '!A:A, FALSE), 3, FALSE),"")</f>
        <v>Hoàn thành</v>
      </c>
      <c r="L701" s="37" t="str">
        <f t="shared" si="1"/>
        <v>Hoàn thành</v>
      </c>
      <c r="M701" s="15" t="s">
        <v>48</v>
      </c>
      <c r="N701" s="38">
        <f>IFERROR(__xludf.DUMMYFUNCTION("""COMPUTED_VALUE"""),46118.0)</f>
        <v>46118</v>
      </c>
      <c r="O701" s="38">
        <v>46121.0</v>
      </c>
      <c r="P701" s="38">
        <f>IFERROR(__xludf.DUMMYFUNCTION("IFERROR(QUERY('Nhật ký nộp hồ sơ '!A:I, ""SELECT I WHERE B = '""&amp;B701&amp;""' ORDER BY A DESC LIMIT 1"", 0))"),46133.0)</f>
        <v>46133</v>
      </c>
      <c r="Q701" s="38">
        <f t="shared" si="2"/>
        <v>46133</v>
      </c>
      <c r="R701" s="37">
        <v>1.0</v>
      </c>
      <c r="S701" s="37"/>
      <c r="T701" s="15"/>
      <c r="U701" s="36"/>
      <c r="V701" s="18" t="s">
        <v>34</v>
      </c>
      <c r="W701" s="15"/>
      <c r="X701" s="15"/>
    </row>
    <row r="702" ht="22.5" customHeight="1">
      <c r="A702" s="35">
        <v>46118.90444130787</v>
      </c>
      <c r="B702" s="12" t="s">
        <v>1601</v>
      </c>
      <c r="C702" s="15" t="s">
        <v>1602</v>
      </c>
      <c r="D702" s="36"/>
      <c r="E702" s="15" t="s">
        <v>122</v>
      </c>
      <c r="F702" s="15" t="s">
        <v>89</v>
      </c>
      <c r="G702" s="37"/>
      <c r="H702" s="15" t="s">
        <v>69</v>
      </c>
      <c r="I702" s="15" t="s">
        <v>659</v>
      </c>
      <c r="J702" s="41"/>
      <c r="K702" s="37" t="str">
        <f t="array" ref="K702">IFERROR(VLOOKUP(B702, SORT('Nhật ký nộp hồ sơ '!B:D, 'Nhật ký nộp hồ sơ '!A:A, FALSE), 3, FALSE),"")</f>
        <v>Hủy</v>
      </c>
      <c r="L702" s="37" t="str">
        <f t="shared" si="1"/>
        <v>ĐÃ HỦY</v>
      </c>
      <c r="M702" s="15" t="s">
        <v>48</v>
      </c>
      <c r="N702" s="38">
        <f>IFERROR(__xludf.DUMMYFUNCTION("""COMPUTED_VALUE"""),46118.0)</f>
        <v>46118</v>
      </c>
      <c r="O702" s="38">
        <v>46121.0</v>
      </c>
      <c r="P702" s="38">
        <f>IFERROR(__xludf.DUMMYFUNCTION("IFERROR(QUERY('Nhật ký nộp hồ sơ '!A:I, ""SELECT I WHERE B = '""&amp;B702&amp;""' ORDER BY A DESC LIMIT 1"", 0))"),46135.0)</f>
        <v>46135</v>
      </c>
      <c r="Q702" s="38" t="str">
        <f t="shared" si="2"/>
        <v/>
      </c>
      <c r="R702" s="37">
        <v>1.0</v>
      </c>
      <c r="S702" s="37"/>
      <c r="T702" s="15"/>
      <c r="U702" s="36"/>
      <c r="V702" s="18" t="s">
        <v>34</v>
      </c>
      <c r="W702" s="15"/>
      <c r="X702" s="15"/>
    </row>
    <row r="703" ht="22.5" customHeight="1">
      <c r="A703" s="35">
        <v>46118.90586943287</v>
      </c>
      <c r="B703" s="12" t="s">
        <v>1603</v>
      </c>
      <c r="C703" s="15" t="s">
        <v>1604</v>
      </c>
      <c r="D703" s="36"/>
      <c r="E703" s="15" t="s">
        <v>26</v>
      </c>
      <c r="F703" s="15" t="s">
        <v>1605</v>
      </c>
      <c r="G703" s="37"/>
      <c r="H703" s="15" t="s">
        <v>69</v>
      </c>
      <c r="I703" s="15" t="s">
        <v>659</v>
      </c>
      <c r="J703" s="41"/>
      <c r="K703" s="37" t="str">
        <f t="array" ref="K703">IFERROR(VLOOKUP(B703, SORT('Nhật ký nộp hồ sơ '!B:D, 'Nhật ký nộp hồ sơ '!A:A, FALSE), 3, FALSE),"")</f>
        <v>Hoàn thành</v>
      </c>
      <c r="L703" s="37" t="str">
        <f t="shared" si="1"/>
        <v>Hoàn thành</v>
      </c>
      <c r="M703" s="15" t="s">
        <v>41</v>
      </c>
      <c r="N703" s="38">
        <f>IFERROR(__xludf.DUMMYFUNCTION("""COMPUTED_VALUE"""),46118.0)</f>
        <v>46118</v>
      </c>
      <c r="O703" s="38">
        <v>46121.0</v>
      </c>
      <c r="P703" s="38">
        <f>IFERROR(__xludf.DUMMYFUNCTION("IFERROR(QUERY('Nhật ký nộp hồ sơ '!A:I, ""SELECT I WHERE B = '""&amp;B703&amp;""' ORDER BY A DESC LIMIT 1"", 0))"),46125.0)</f>
        <v>46125</v>
      </c>
      <c r="Q703" s="38">
        <f t="shared" si="2"/>
        <v>46125</v>
      </c>
      <c r="R703" s="37">
        <v>1.0</v>
      </c>
      <c r="S703" s="37"/>
      <c r="T703" s="15"/>
      <c r="U703" s="36"/>
      <c r="V703" s="18" t="s">
        <v>34</v>
      </c>
      <c r="W703" s="15"/>
      <c r="X703" s="15"/>
    </row>
    <row r="704" ht="22.5" customHeight="1">
      <c r="A704" s="35">
        <v>46119.40390201389</v>
      </c>
      <c r="B704" s="12" t="s">
        <v>1606</v>
      </c>
      <c r="C704" s="15" t="s">
        <v>1607</v>
      </c>
      <c r="D704" s="39" t="s">
        <v>44</v>
      </c>
      <c r="E704" s="15" t="s">
        <v>45</v>
      </c>
      <c r="F704" s="15" t="s">
        <v>1608</v>
      </c>
      <c r="G704" s="37"/>
      <c r="H704" s="15" t="s">
        <v>28</v>
      </c>
      <c r="I704" s="15" t="s">
        <v>81</v>
      </c>
      <c r="J704" s="41"/>
      <c r="K704" s="37" t="str">
        <f t="array" ref="K704">IFERROR(VLOOKUP(B704, SORT('Nhật ký nộp hồ sơ '!B:D, 'Nhật ký nộp hồ sơ '!A:A, FALSE), 3, FALSE),"")</f>
        <v>Hoàn thành</v>
      </c>
      <c r="L704" s="37" t="str">
        <f t="shared" si="1"/>
        <v>Hoàn thành</v>
      </c>
      <c r="M704" s="15" t="s">
        <v>56</v>
      </c>
      <c r="N704" s="38">
        <f>IFERROR(__xludf.DUMMYFUNCTION("""COMPUTED_VALUE"""),46119.0)</f>
        <v>46119</v>
      </c>
      <c r="O704" s="38">
        <v>46122.0</v>
      </c>
      <c r="P704" s="38">
        <f>IFERROR(__xludf.DUMMYFUNCTION("IFERROR(QUERY('Nhật ký nộp hồ sơ '!A:I, ""SELECT I WHERE B = '""&amp;B704&amp;""' ORDER BY A DESC LIMIT 1"", 0))"),46128.0)</f>
        <v>46128</v>
      </c>
      <c r="Q704" s="38">
        <f t="shared" si="2"/>
        <v>46128</v>
      </c>
      <c r="R704" s="37">
        <v>1.0</v>
      </c>
      <c r="S704" s="37"/>
      <c r="T704" s="15"/>
      <c r="U704" s="36"/>
      <c r="V704" s="18" t="s">
        <v>34</v>
      </c>
      <c r="W704" s="15"/>
      <c r="X704" s="15"/>
    </row>
    <row r="705" ht="22.5" customHeight="1">
      <c r="A705" s="35">
        <v>46119.490916574076</v>
      </c>
      <c r="B705" s="12" t="s">
        <v>1609</v>
      </c>
      <c r="C705" s="15" t="s">
        <v>1610</v>
      </c>
      <c r="D705" s="36"/>
      <c r="E705" s="15" t="s">
        <v>26</v>
      </c>
      <c r="F705" s="15" t="s">
        <v>133</v>
      </c>
      <c r="G705" s="42" t="s">
        <v>923</v>
      </c>
      <c r="H705" s="15" t="s">
        <v>47</v>
      </c>
      <c r="I705" s="15" t="s">
        <v>81</v>
      </c>
      <c r="J705" s="41"/>
      <c r="K705" s="37" t="str">
        <f t="array" ref="K705">IFERROR(VLOOKUP(B705, SORT('Nhật ký nộp hồ sơ '!B:D, 'Nhật ký nộp hồ sơ '!A:A, FALSE), 3, FALSE),"")</f>
        <v>Hoàn thành</v>
      </c>
      <c r="L705" s="37" t="str">
        <f t="shared" si="1"/>
        <v>Hoàn thành</v>
      </c>
      <c r="M705" s="15" t="s">
        <v>82</v>
      </c>
      <c r="N705" s="38">
        <f>IFERROR(__xludf.DUMMYFUNCTION("""COMPUTED_VALUE"""),46119.0)</f>
        <v>46119</v>
      </c>
      <c r="O705" s="38">
        <v>46122.0</v>
      </c>
      <c r="P705" s="38">
        <f>IFERROR(__xludf.DUMMYFUNCTION("IFERROR(QUERY('Nhật ký nộp hồ sơ '!A:I, ""SELECT I WHERE B = '""&amp;B705&amp;""' ORDER BY A DESC LIMIT 1"", 0))"),46128.0)</f>
        <v>46128</v>
      </c>
      <c r="Q705" s="38">
        <f t="shared" si="2"/>
        <v>46128</v>
      </c>
      <c r="R705" s="37">
        <v>1.0</v>
      </c>
      <c r="S705" s="37" t="s">
        <v>1611</v>
      </c>
      <c r="T705" s="15" t="s">
        <v>1612</v>
      </c>
      <c r="U705" s="36"/>
      <c r="V705" s="18" t="s">
        <v>34</v>
      </c>
      <c r="W705" s="15"/>
      <c r="X705" s="15"/>
    </row>
    <row r="706" ht="22.5" customHeight="1">
      <c r="A706" s="35">
        <v>46119.6066259838</v>
      </c>
      <c r="B706" s="12" t="s">
        <v>1613</v>
      </c>
      <c r="C706" s="15" t="s">
        <v>1614</v>
      </c>
      <c r="D706" s="39" t="s">
        <v>44</v>
      </c>
      <c r="E706" s="15" t="s">
        <v>88</v>
      </c>
      <c r="F706" s="15" t="s">
        <v>133</v>
      </c>
      <c r="G706" s="37"/>
      <c r="H706" s="15" t="s">
        <v>29</v>
      </c>
      <c r="I706" s="15" t="s">
        <v>659</v>
      </c>
      <c r="J706" s="41"/>
      <c r="K706" s="37" t="str">
        <f t="array" ref="K706">IFERROR(VLOOKUP(B706, SORT('Nhật ký nộp hồ sơ '!B:D, 'Nhật ký nộp hồ sơ '!A:A, FALSE), 3, FALSE),"")</f>
        <v>Hoàn thành</v>
      </c>
      <c r="L706" s="37" t="str">
        <f t="shared" si="1"/>
        <v>Hoàn thành</v>
      </c>
      <c r="M706" s="15" t="s">
        <v>56</v>
      </c>
      <c r="N706" s="38">
        <f>IFERROR(__xludf.DUMMYFUNCTION("""COMPUTED_VALUE"""),46119.0)</f>
        <v>46119</v>
      </c>
      <c r="O706" s="38">
        <v>46122.0</v>
      </c>
      <c r="P706" s="38">
        <f>IFERROR(__xludf.DUMMYFUNCTION("IFERROR(QUERY('Nhật ký nộp hồ sơ '!A:I, ""SELECT I WHERE B = '""&amp;B706&amp;""' ORDER BY A DESC LIMIT 1"", 0))"),46129.0)</f>
        <v>46129</v>
      </c>
      <c r="Q706" s="38">
        <f t="shared" si="2"/>
        <v>46129</v>
      </c>
      <c r="R706" s="37">
        <v>1.0</v>
      </c>
      <c r="S706" s="37"/>
      <c r="T706" s="15"/>
      <c r="U706" s="36"/>
      <c r="V706" s="18" t="s">
        <v>34</v>
      </c>
      <c r="W706" s="15"/>
      <c r="X706" s="15"/>
    </row>
    <row r="707" ht="22.5" customHeight="1">
      <c r="A707" s="35">
        <v>46120.451218981485</v>
      </c>
      <c r="B707" s="12" t="s">
        <v>1615</v>
      </c>
      <c r="C707" s="15" t="s">
        <v>1616</v>
      </c>
      <c r="D707" s="39" t="s">
        <v>44</v>
      </c>
      <c r="E707" s="15" t="s">
        <v>132</v>
      </c>
      <c r="F707" s="15" t="s">
        <v>1460</v>
      </c>
      <c r="G707" s="37"/>
      <c r="H707" s="15" t="s">
        <v>28</v>
      </c>
      <c r="I707" s="15" t="s">
        <v>659</v>
      </c>
      <c r="J707" s="41"/>
      <c r="K707" s="37" t="str">
        <f t="array" ref="K707">IFERROR(VLOOKUP(B707, SORT('Nhật ký nộp hồ sơ '!B:D, 'Nhật ký nộp hồ sơ '!A:A, FALSE), 3, FALSE),"")</f>
        <v>Nộp thành công - Chờ kết quả</v>
      </c>
      <c r="L707" s="37" t="str">
        <f t="shared" si="1"/>
        <v>Đã nộp</v>
      </c>
      <c r="M707" s="15" t="s">
        <v>48</v>
      </c>
      <c r="N707" s="38">
        <f>IFERROR(__xludf.DUMMYFUNCTION("""COMPUTED_VALUE"""),46120.0)</f>
        <v>46120</v>
      </c>
      <c r="O707" s="38">
        <v>46123.0</v>
      </c>
      <c r="P707" s="38">
        <f>IFERROR(__xludf.DUMMYFUNCTION("IFERROR(QUERY('Nhật ký nộp hồ sơ '!A:I, ""SELECT I WHERE B = '""&amp;B707&amp;""' ORDER BY A DESC LIMIT 1"", 0))"),46188.0)</f>
        <v>46188</v>
      </c>
      <c r="Q707" s="38" t="str">
        <f t="shared" si="2"/>
        <v/>
      </c>
      <c r="R707" s="37">
        <v>1.0</v>
      </c>
      <c r="S707" s="37"/>
      <c r="T707" s="15"/>
      <c r="U707" s="36"/>
      <c r="V707" s="18" t="s">
        <v>34</v>
      </c>
      <c r="W707" s="15"/>
      <c r="X707" s="15"/>
    </row>
    <row r="708" ht="22.5" customHeight="1">
      <c r="A708" s="35">
        <v>46120.45283068287</v>
      </c>
      <c r="B708" s="12" t="s">
        <v>1617</v>
      </c>
      <c r="C708" s="15" t="s">
        <v>1618</v>
      </c>
      <c r="D708" s="36"/>
      <c r="E708" s="15" t="s">
        <v>26</v>
      </c>
      <c r="F708" s="15" t="s">
        <v>1152</v>
      </c>
      <c r="G708" s="37"/>
      <c r="H708" s="15" t="s">
        <v>28</v>
      </c>
      <c r="I708" s="15" t="s">
        <v>659</v>
      </c>
      <c r="J708" s="41"/>
      <c r="K708" s="37" t="str">
        <f t="array" ref="K708">IFERROR(VLOOKUP(B708, SORT('Nhật ký nộp hồ sơ '!B:D, 'Nhật ký nộp hồ sơ '!A:A, FALSE), 3, FALSE),"")</f>
        <v>Hủy</v>
      </c>
      <c r="L708" s="37" t="str">
        <f t="shared" si="1"/>
        <v>ĐÃ HỦY</v>
      </c>
      <c r="M708" s="15" t="s">
        <v>56</v>
      </c>
      <c r="N708" s="38">
        <f>IFERROR(__xludf.DUMMYFUNCTION("""COMPUTED_VALUE"""),46120.0)</f>
        <v>46120</v>
      </c>
      <c r="O708" s="38">
        <v>46123.0</v>
      </c>
      <c r="P708" s="38">
        <f>IFERROR(__xludf.DUMMYFUNCTION("IFERROR(QUERY('Nhật ký nộp hồ sơ '!A:I, ""SELECT I WHERE B = '""&amp;B708&amp;""' ORDER BY A DESC LIMIT 1"", 0))"),46149.0)</f>
        <v>46149</v>
      </c>
      <c r="Q708" s="38" t="str">
        <f t="shared" si="2"/>
        <v/>
      </c>
      <c r="R708" s="37">
        <v>2.0</v>
      </c>
      <c r="S708" s="37" t="s">
        <v>1619</v>
      </c>
      <c r="T708" s="15"/>
      <c r="U708" s="36"/>
      <c r="V708" s="18" t="s">
        <v>34</v>
      </c>
      <c r="W708" s="15"/>
      <c r="X708" s="15"/>
    </row>
    <row r="709" ht="22.5" customHeight="1">
      <c r="A709" s="35">
        <v>46120.47245746528</v>
      </c>
      <c r="B709" s="12" t="s">
        <v>1620</v>
      </c>
      <c r="C709" s="15" t="s">
        <v>1621</v>
      </c>
      <c r="D709" s="36"/>
      <c r="E709" s="15" t="s">
        <v>222</v>
      </c>
      <c r="F709" s="15" t="s">
        <v>1622</v>
      </c>
      <c r="G709" s="37" t="s">
        <v>1623</v>
      </c>
      <c r="H709" s="15" t="s">
        <v>100</v>
      </c>
      <c r="I709" s="15" t="s">
        <v>81</v>
      </c>
      <c r="J709" s="39"/>
      <c r="K709" s="37" t="str">
        <f t="array" ref="K709">IFERROR(VLOOKUP(B709, SORT('Nhật ký nộp hồ sơ '!B:D, 'Nhật ký nộp hồ sơ '!A:A, FALSE), 3, FALSE),"")</f>
        <v>Hoàn thành</v>
      </c>
      <c r="L709" s="37" t="str">
        <f t="shared" si="1"/>
        <v>Hoàn thành</v>
      </c>
      <c r="M709" s="15" t="s">
        <v>588</v>
      </c>
      <c r="N709" s="38">
        <f>IFERROR(__xludf.DUMMYFUNCTION("""COMPUTED_VALUE"""),46120.0)</f>
        <v>46120</v>
      </c>
      <c r="O709" s="38">
        <v>46123.0</v>
      </c>
      <c r="P709" s="38">
        <f>IFERROR(__xludf.DUMMYFUNCTION("IFERROR(QUERY('Nhật ký nộp hồ sơ '!A:I, ""SELECT I WHERE B = '""&amp;B709&amp;""' ORDER BY A DESC LIMIT 1"", 0))"),46121.0)</f>
        <v>46121</v>
      </c>
      <c r="Q709" s="38">
        <f t="shared" si="2"/>
        <v>46121</v>
      </c>
      <c r="R709" s="37">
        <v>4.0</v>
      </c>
      <c r="S709" s="37"/>
      <c r="T709" s="15"/>
      <c r="U709" s="36"/>
      <c r="V709" s="18" t="s">
        <v>34</v>
      </c>
      <c r="W709" s="15"/>
      <c r="X709" s="15"/>
    </row>
    <row r="710" ht="22.5" customHeight="1">
      <c r="A710" s="35">
        <v>46120.776196782404</v>
      </c>
      <c r="B710" s="12" t="s">
        <v>1624</v>
      </c>
      <c r="C710" s="15" t="s">
        <v>1471</v>
      </c>
      <c r="D710" s="36"/>
      <c r="E710" s="15" t="s">
        <v>79</v>
      </c>
      <c r="F710" s="15" t="s">
        <v>133</v>
      </c>
      <c r="G710" s="40" t="s">
        <v>1472</v>
      </c>
      <c r="H710" s="15" t="s">
        <v>28</v>
      </c>
      <c r="I710" s="15" t="s">
        <v>81</v>
      </c>
      <c r="J710" s="41"/>
      <c r="K710" s="37" t="str">
        <f t="array" ref="K710">IFERROR(VLOOKUP(B710, SORT('Nhật ký nộp hồ sơ '!B:D, 'Nhật ký nộp hồ sơ '!A:A, FALSE), 3, FALSE),"")</f>
        <v>Hoàn thành</v>
      </c>
      <c r="L710" s="37" t="str">
        <f t="shared" si="1"/>
        <v>Hoàn thành</v>
      </c>
      <c r="M710" s="15" t="s">
        <v>146</v>
      </c>
      <c r="N710" s="38">
        <f>IFERROR(__xludf.DUMMYFUNCTION("""COMPUTED_VALUE"""),46120.0)</f>
        <v>46120</v>
      </c>
      <c r="O710" s="38">
        <v>46123.0</v>
      </c>
      <c r="P710" s="38">
        <f>IFERROR(__xludf.DUMMYFUNCTION("IFERROR(QUERY('Nhật ký nộp hồ sơ '!A:I, ""SELECT I WHERE B = '""&amp;B710&amp;""' ORDER BY A DESC LIMIT 1"", 0))"),46121.0)</f>
        <v>46121</v>
      </c>
      <c r="Q710" s="38">
        <f t="shared" si="2"/>
        <v>46121</v>
      </c>
      <c r="R710" s="37">
        <v>1.0</v>
      </c>
      <c r="S710" s="37"/>
      <c r="T710" s="15"/>
      <c r="U710" s="36"/>
      <c r="V710" s="18" t="s">
        <v>34</v>
      </c>
      <c r="W710" s="15"/>
      <c r="X710" s="15"/>
    </row>
    <row r="711" ht="22.5" customHeight="1">
      <c r="A711" s="35">
        <v>46121.57441392361</v>
      </c>
      <c r="B711" s="12" t="s">
        <v>1625</v>
      </c>
      <c r="C711" s="15" t="s">
        <v>1626</v>
      </c>
      <c r="D711" s="36"/>
      <c r="E711" s="15" t="s">
        <v>45</v>
      </c>
      <c r="F711" s="15" t="s">
        <v>133</v>
      </c>
      <c r="G711" s="15"/>
      <c r="H711" s="15" t="s">
        <v>47</v>
      </c>
      <c r="I711" s="15" t="s">
        <v>659</v>
      </c>
      <c r="J711" s="39" t="s">
        <v>202</v>
      </c>
      <c r="K711" s="37" t="str">
        <f t="array" ref="K711">IFERROR(VLOOKUP(B711, SORT('Nhật ký nộp hồ sơ '!B:D, 'Nhật ký nộp hồ sơ '!A:A, FALSE), 3, FALSE),"")</f>
        <v>Hoàn thành</v>
      </c>
      <c r="L711" s="37" t="str">
        <f t="shared" si="1"/>
        <v>Hoàn thành</v>
      </c>
      <c r="M711" s="15" t="s">
        <v>56</v>
      </c>
      <c r="N711" s="38">
        <f>IFERROR(__xludf.DUMMYFUNCTION("""COMPUTED_VALUE"""),46121.0)</f>
        <v>46121</v>
      </c>
      <c r="O711" s="38">
        <v>46122.0</v>
      </c>
      <c r="P711" s="38">
        <f>IFERROR(__xludf.DUMMYFUNCTION("IFERROR(QUERY('Nhật ký nộp hồ sơ '!A:I, ""SELECT I WHERE B = '""&amp;B711&amp;""' ORDER BY A DESC LIMIT 1"", 0))"),46157.0)</f>
        <v>46157</v>
      </c>
      <c r="Q711" s="38">
        <f t="shared" si="2"/>
        <v>46157</v>
      </c>
      <c r="R711" s="37">
        <v>1.0</v>
      </c>
      <c r="S711" s="37" t="s">
        <v>1627</v>
      </c>
      <c r="T711" s="15"/>
      <c r="U711" s="36"/>
      <c r="V711" s="18" t="s">
        <v>34</v>
      </c>
      <c r="W711" s="15"/>
      <c r="X711" s="15"/>
    </row>
    <row r="712" ht="22.5" customHeight="1">
      <c r="A712" s="35">
        <v>46122.633894976854</v>
      </c>
      <c r="B712" s="12" t="s">
        <v>1628</v>
      </c>
      <c r="C712" s="15" t="s">
        <v>1583</v>
      </c>
      <c r="D712" s="36"/>
      <c r="E712" s="15" t="s">
        <v>187</v>
      </c>
      <c r="F712" s="15" t="s">
        <v>133</v>
      </c>
      <c r="G712" s="15"/>
      <c r="H712" s="15" t="s">
        <v>29</v>
      </c>
      <c r="I712" s="15" t="s">
        <v>81</v>
      </c>
      <c r="J712" s="41"/>
      <c r="K712" s="37" t="str">
        <f t="array" ref="K712">IFERROR(VLOOKUP(B712, SORT('Nhật ký nộp hồ sơ '!B:D, 'Nhật ký nộp hồ sơ '!A:A, FALSE), 3, FALSE),"")</f>
        <v>Hoàn thành</v>
      </c>
      <c r="L712" s="37" t="str">
        <f t="shared" si="1"/>
        <v>Hoàn thành</v>
      </c>
      <c r="M712" s="15" t="s">
        <v>30</v>
      </c>
      <c r="N712" s="38">
        <f>IFERROR(__xludf.DUMMYFUNCTION("""COMPUTED_VALUE"""),46122.0)</f>
        <v>46122</v>
      </c>
      <c r="O712" s="38">
        <v>46125.0</v>
      </c>
      <c r="P712" s="38">
        <f>IFERROR(__xludf.DUMMYFUNCTION("IFERROR(QUERY('Nhật ký nộp hồ sơ '!A:I, ""SELECT I WHERE B = '""&amp;B712&amp;""' ORDER BY A DESC LIMIT 1"", 0))"),46125.0)</f>
        <v>46125</v>
      </c>
      <c r="Q712" s="38">
        <f t="shared" si="2"/>
        <v>46125</v>
      </c>
      <c r="R712" s="37">
        <v>2.0</v>
      </c>
      <c r="S712" s="37"/>
      <c r="T712" s="15"/>
      <c r="U712" s="36"/>
      <c r="V712" s="18" t="s">
        <v>34</v>
      </c>
      <c r="W712" s="15"/>
      <c r="X712" s="15"/>
    </row>
    <row r="713" ht="22.5" customHeight="1">
      <c r="A713" s="35">
        <v>46122.634284618056</v>
      </c>
      <c r="B713" s="12" t="s">
        <v>1629</v>
      </c>
      <c r="C713" s="15" t="s">
        <v>1630</v>
      </c>
      <c r="D713" s="36"/>
      <c r="E713" s="15" t="s">
        <v>74</v>
      </c>
      <c r="F713" s="15" t="s">
        <v>133</v>
      </c>
      <c r="G713" s="15" t="s">
        <v>1631</v>
      </c>
      <c r="H713" s="15" t="s">
        <v>28</v>
      </c>
      <c r="I713" s="15" t="s">
        <v>81</v>
      </c>
      <c r="J713" s="41"/>
      <c r="K713" s="37" t="str">
        <f t="array" ref="K713">IFERROR(VLOOKUP(B713, SORT('Nhật ký nộp hồ sơ '!B:D, 'Nhật ký nộp hồ sơ '!A:A, FALSE), 3, FALSE),"")</f>
        <v>Nộp thành công - Chờ kết quả</v>
      </c>
      <c r="L713" s="37" t="str">
        <f t="shared" si="1"/>
        <v>Đã nộp</v>
      </c>
      <c r="M713" s="15" t="s">
        <v>30</v>
      </c>
      <c r="N713" s="38">
        <f>IFERROR(__xludf.DUMMYFUNCTION("""COMPUTED_VALUE"""),46122.0)</f>
        <v>46122</v>
      </c>
      <c r="O713" s="38">
        <v>46125.0</v>
      </c>
      <c r="P713" s="38">
        <f>IFERROR(__xludf.DUMMYFUNCTION("IFERROR(QUERY('Nhật ký nộp hồ sơ '!A:I, ""SELECT I WHERE B = '""&amp;B713&amp;""' ORDER BY A DESC LIMIT 1"", 0))"),46195.0)</f>
        <v>46195</v>
      </c>
      <c r="Q713" s="38" t="str">
        <f t="shared" si="2"/>
        <v/>
      </c>
      <c r="R713" s="37">
        <v>1.0</v>
      </c>
      <c r="S713" s="37"/>
      <c r="T713" s="15"/>
      <c r="U713" s="36"/>
      <c r="V713" s="18" t="s">
        <v>34</v>
      </c>
      <c r="W713" s="15"/>
      <c r="X713" s="15"/>
    </row>
    <row r="714" ht="22.5" customHeight="1">
      <c r="A714" s="35">
        <v>46123.40462991898</v>
      </c>
      <c r="B714" s="12" t="s">
        <v>1632</v>
      </c>
      <c r="C714" s="15" t="s">
        <v>1633</v>
      </c>
      <c r="D714" s="36"/>
      <c r="E714" s="15" t="s">
        <v>122</v>
      </c>
      <c r="F714" s="15" t="s">
        <v>1460</v>
      </c>
      <c r="G714" s="15" t="s">
        <v>1634</v>
      </c>
      <c r="H714" s="15" t="s">
        <v>100</v>
      </c>
      <c r="I714" s="15" t="s">
        <v>81</v>
      </c>
      <c r="J714" s="39" t="s">
        <v>202</v>
      </c>
      <c r="K714" s="37" t="str">
        <f t="array" ref="K714">IFERROR(VLOOKUP(B714, SORT('Nhật ký nộp hồ sơ '!B:D, 'Nhật ký nộp hồ sơ '!A:A, FALSE), 3, FALSE),"")</f>
        <v>Nộp thành công - Chờ kết quả</v>
      </c>
      <c r="L714" s="37" t="str">
        <f t="shared" si="1"/>
        <v>Đã nộp</v>
      </c>
      <c r="M714" s="15" t="s">
        <v>588</v>
      </c>
      <c r="N714" s="38">
        <f>IFERROR(__xludf.DUMMYFUNCTION("""COMPUTED_VALUE"""),46123.0)</f>
        <v>46123</v>
      </c>
      <c r="O714" s="38">
        <v>46124.0</v>
      </c>
      <c r="P714" s="38">
        <f>IFERROR(__xludf.DUMMYFUNCTION("IFERROR(QUERY('Nhật ký nộp hồ sơ '!A:I, ""SELECT I WHERE B = '""&amp;B714&amp;""' ORDER BY A DESC LIMIT 1"", 0))"),46153.0)</f>
        <v>46153</v>
      </c>
      <c r="Q714" s="38" t="str">
        <f t="shared" si="2"/>
        <v/>
      </c>
      <c r="R714" s="37">
        <v>1.0</v>
      </c>
      <c r="S714" s="37"/>
      <c r="T714" s="15"/>
      <c r="U714" s="36"/>
      <c r="V714" s="18" t="s">
        <v>34</v>
      </c>
      <c r="W714" s="15"/>
      <c r="X714" s="15"/>
    </row>
    <row r="715" ht="22.5" customHeight="1">
      <c r="A715" s="35">
        <v>46123.447472314816</v>
      </c>
      <c r="B715" s="12" t="s">
        <v>1635</v>
      </c>
      <c r="C715" s="15" t="s">
        <v>1636</v>
      </c>
      <c r="D715" s="36"/>
      <c r="E715" s="15" t="s">
        <v>151</v>
      </c>
      <c r="F715" s="13" t="s">
        <v>232</v>
      </c>
      <c r="G715" s="15"/>
      <c r="H715" s="15" t="s">
        <v>28</v>
      </c>
      <c r="I715" s="15" t="s">
        <v>81</v>
      </c>
      <c r="J715" s="41"/>
      <c r="K715" s="37" t="str">
        <f t="array" ref="K715">IFERROR(VLOOKUP(B715, SORT('Nhật ký nộp hồ sơ '!B:D, 'Nhật ký nộp hồ sơ '!A:A, FALSE), 3, FALSE),"")</f>
        <v>Hoàn thành</v>
      </c>
      <c r="L715" s="37" t="str">
        <f t="shared" si="1"/>
        <v>Hoàn thành</v>
      </c>
      <c r="M715" s="15" t="s">
        <v>216</v>
      </c>
      <c r="N715" s="38">
        <f>IFERROR(__xludf.DUMMYFUNCTION("""COMPUTED_VALUE"""),46123.0)</f>
        <v>46123</v>
      </c>
      <c r="O715" s="38">
        <v>46126.0</v>
      </c>
      <c r="P715" s="38">
        <f>IFERROR(__xludf.DUMMYFUNCTION("IFERROR(QUERY('Nhật ký nộp hồ sơ '!A:I, ""SELECT I WHERE B = '""&amp;B715&amp;""' ORDER BY A DESC LIMIT 1"", 0))"),46125.0)</f>
        <v>46125</v>
      </c>
      <c r="Q715" s="38">
        <f t="shared" si="2"/>
        <v>46125</v>
      </c>
      <c r="R715" s="37">
        <v>3.0</v>
      </c>
      <c r="S715" s="37"/>
      <c r="T715" s="15"/>
      <c r="U715" s="36"/>
      <c r="V715" s="18" t="s">
        <v>34</v>
      </c>
      <c r="W715" s="15"/>
      <c r="X715" s="15"/>
    </row>
    <row r="716" ht="22.5" customHeight="1">
      <c r="A716" s="35">
        <v>46123.63506547453</v>
      </c>
      <c r="B716" s="12" t="s">
        <v>1637</v>
      </c>
      <c r="C716" s="15" t="s">
        <v>1451</v>
      </c>
      <c r="D716" s="36"/>
      <c r="E716" s="15" t="s">
        <v>26</v>
      </c>
      <c r="F716" s="15" t="s">
        <v>92</v>
      </c>
      <c r="G716" s="15"/>
      <c r="H716" s="15" t="s">
        <v>29</v>
      </c>
      <c r="I716" s="15" t="s">
        <v>659</v>
      </c>
      <c r="J716" s="41"/>
      <c r="K716" s="37" t="str">
        <f t="array" ref="K716">IFERROR(VLOOKUP(B716, SORT('Nhật ký nộp hồ sơ '!B:D, 'Nhật ký nộp hồ sơ '!A:A, FALSE), 3, FALSE),"")</f>
        <v>Hoàn thành</v>
      </c>
      <c r="L716" s="37" t="str">
        <f t="shared" si="1"/>
        <v>Hoàn thành</v>
      </c>
      <c r="M716" s="15" t="s">
        <v>216</v>
      </c>
      <c r="N716" s="38">
        <f>IFERROR(__xludf.DUMMYFUNCTION("""COMPUTED_VALUE"""),46123.0)</f>
        <v>46123</v>
      </c>
      <c r="O716" s="38">
        <v>46126.0</v>
      </c>
      <c r="P716" s="38">
        <f>IFERROR(__xludf.DUMMYFUNCTION("IFERROR(QUERY('Nhật ký nộp hồ sơ '!A:I, ""SELECT I WHERE B = '""&amp;B716&amp;""' ORDER BY A DESC LIMIT 1"", 0))"),46125.0)</f>
        <v>46125</v>
      </c>
      <c r="Q716" s="38">
        <f t="shared" si="2"/>
        <v>46125</v>
      </c>
      <c r="R716" s="37">
        <v>2.0</v>
      </c>
      <c r="S716" s="37"/>
      <c r="T716" s="15"/>
      <c r="U716" s="36"/>
      <c r="V716" s="18" t="s">
        <v>34</v>
      </c>
      <c r="W716" s="15">
        <v>1.0</v>
      </c>
      <c r="X716" s="15" t="s">
        <v>687</v>
      </c>
    </row>
    <row r="717" ht="22.5" customHeight="1">
      <c r="A717" s="35">
        <v>46123.636727476856</v>
      </c>
      <c r="B717" s="12" t="s">
        <v>1638</v>
      </c>
      <c r="C717" s="15" t="s">
        <v>1639</v>
      </c>
      <c r="D717" s="36"/>
      <c r="E717" s="15" t="s">
        <v>132</v>
      </c>
      <c r="F717" s="15" t="s">
        <v>1152</v>
      </c>
      <c r="G717" s="15"/>
      <c r="H717" s="15" t="s">
        <v>29</v>
      </c>
      <c r="I717" s="15" t="s">
        <v>659</v>
      </c>
      <c r="J717" s="41"/>
      <c r="K717" s="37" t="str">
        <f t="array" ref="K717">IFERROR(VLOOKUP(B717, SORT('Nhật ký nộp hồ sơ '!B:D, 'Nhật ký nộp hồ sơ '!A:A, FALSE), 3, FALSE),"")</f>
        <v>Hoàn thành</v>
      </c>
      <c r="L717" s="37" t="str">
        <f t="shared" si="1"/>
        <v>Hoàn thành</v>
      </c>
      <c r="M717" s="15" t="s">
        <v>216</v>
      </c>
      <c r="N717" s="38">
        <f>IFERROR(__xludf.DUMMYFUNCTION("""COMPUTED_VALUE"""),46123.0)</f>
        <v>46123</v>
      </c>
      <c r="O717" s="38">
        <v>46126.0</v>
      </c>
      <c r="P717" s="38">
        <f>IFERROR(__xludf.DUMMYFUNCTION("IFERROR(QUERY('Nhật ký nộp hồ sơ '!A:I, ""SELECT I WHERE B = '""&amp;B717&amp;""' ORDER BY A DESC LIMIT 1"", 0))"),46125.0)</f>
        <v>46125</v>
      </c>
      <c r="Q717" s="38">
        <f t="shared" si="2"/>
        <v>46125</v>
      </c>
      <c r="R717" s="37">
        <v>2.0</v>
      </c>
      <c r="S717" s="37"/>
      <c r="T717" s="15" t="s">
        <v>1640</v>
      </c>
      <c r="U717" s="36"/>
      <c r="V717" s="18" t="s">
        <v>34</v>
      </c>
      <c r="W717" s="15">
        <v>4.0</v>
      </c>
      <c r="X717" s="15" t="s">
        <v>687</v>
      </c>
    </row>
    <row r="718" ht="22.5" customHeight="1">
      <c r="A718" s="35">
        <v>46125.566313773146</v>
      </c>
      <c r="B718" s="12" t="s">
        <v>1641</v>
      </c>
      <c r="C718" s="15" t="s">
        <v>978</v>
      </c>
      <c r="D718" s="36"/>
      <c r="E718" s="15" t="s">
        <v>88</v>
      </c>
      <c r="F718" s="15" t="s">
        <v>133</v>
      </c>
      <c r="G718" s="15"/>
      <c r="H718" s="15" t="s">
        <v>28</v>
      </c>
      <c r="I718" s="15" t="s">
        <v>81</v>
      </c>
      <c r="J718" s="39" t="s">
        <v>202</v>
      </c>
      <c r="K718" s="37" t="str">
        <f t="array" ref="K718">IFERROR(VLOOKUP(B718, SORT('Nhật ký nộp hồ sơ '!B:D, 'Nhật ký nộp hồ sơ '!A:A, FALSE), 3, FALSE),"")</f>
        <v>Hoàn thành</v>
      </c>
      <c r="L718" s="37" t="str">
        <f t="shared" si="1"/>
        <v>Hoàn thành</v>
      </c>
      <c r="M718" s="15" t="s">
        <v>41</v>
      </c>
      <c r="N718" s="38">
        <f>IFERROR(__xludf.DUMMYFUNCTION("""COMPUTED_VALUE"""),46125.0)</f>
        <v>46125</v>
      </c>
      <c r="O718" s="38">
        <v>46126.0</v>
      </c>
      <c r="P718" s="38">
        <f>IFERROR(__xludf.DUMMYFUNCTION("IFERROR(QUERY('Nhật ký nộp hồ sơ '!A:I, ""SELECT I WHERE B = '""&amp;B718&amp;""' ORDER BY A DESC LIMIT 1"", 0))"),46164.0)</f>
        <v>46164</v>
      </c>
      <c r="Q718" s="38">
        <f t="shared" si="2"/>
        <v>46164</v>
      </c>
      <c r="R718" s="37">
        <v>1.0</v>
      </c>
      <c r="S718" s="37"/>
      <c r="T718" s="15"/>
      <c r="U718" s="36"/>
      <c r="V718" s="18" t="s">
        <v>34</v>
      </c>
      <c r="W718" s="15"/>
      <c r="X718" s="15"/>
    </row>
    <row r="719" ht="22.5" customHeight="1">
      <c r="A719" s="35">
        <v>46125.603055775464</v>
      </c>
      <c r="B719" s="12" t="s">
        <v>1642</v>
      </c>
      <c r="C719" s="15" t="s">
        <v>1643</v>
      </c>
      <c r="D719" s="36"/>
      <c r="E719" s="15" t="s">
        <v>45</v>
      </c>
      <c r="F719" s="15" t="s">
        <v>68</v>
      </c>
      <c r="G719" s="15"/>
      <c r="H719" s="15" t="s">
        <v>47</v>
      </c>
      <c r="I719" s="15" t="s">
        <v>659</v>
      </c>
      <c r="J719" s="41"/>
      <c r="K719" s="37" t="str">
        <f t="array" ref="K719">IFERROR(VLOOKUP(B719, SORT('Nhật ký nộp hồ sơ '!B:D, 'Nhật ký nộp hồ sơ '!A:A, FALSE), 3, FALSE),"")</f>
        <v>Hủy</v>
      </c>
      <c r="L719" s="37" t="str">
        <f t="shared" si="1"/>
        <v>ĐÃ HỦY</v>
      </c>
      <c r="M719" s="15" t="s">
        <v>48</v>
      </c>
      <c r="N719" s="38">
        <f>IFERROR(__xludf.DUMMYFUNCTION("""COMPUTED_VALUE"""),46125.0)</f>
        <v>46125</v>
      </c>
      <c r="O719" s="38">
        <v>46128.0</v>
      </c>
      <c r="P719" s="38">
        <f>IFERROR(__xludf.DUMMYFUNCTION("IFERROR(QUERY('Nhật ký nộp hồ sơ '!A:I, ""SELECT I WHERE B = '""&amp;B719&amp;""' ORDER BY A DESC LIMIT 1"", 0))"),46164.0)</f>
        <v>46164</v>
      </c>
      <c r="Q719" s="38" t="str">
        <f t="shared" si="2"/>
        <v/>
      </c>
      <c r="R719" s="37">
        <v>2.0</v>
      </c>
      <c r="S719" s="37" t="s">
        <v>1644</v>
      </c>
      <c r="T719" s="15"/>
      <c r="U719" s="36"/>
      <c r="V719" s="18" t="s">
        <v>34</v>
      </c>
      <c r="W719" s="15"/>
      <c r="X719" s="15"/>
    </row>
    <row r="720" ht="22.5" customHeight="1">
      <c r="A720" s="35">
        <v>46125.62926717593</v>
      </c>
      <c r="B720" s="12" t="s">
        <v>1645</v>
      </c>
      <c r="C720" s="15" t="s">
        <v>1646</v>
      </c>
      <c r="D720" s="36"/>
      <c r="E720" s="15" t="s">
        <v>26</v>
      </c>
      <c r="F720" s="15" t="s">
        <v>133</v>
      </c>
      <c r="G720" s="15"/>
      <c r="H720" s="15" t="s">
        <v>28</v>
      </c>
      <c r="I720" s="15" t="s">
        <v>81</v>
      </c>
      <c r="J720" s="41"/>
      <c r="K720" s="37" t="str">
        <f t="array" ref="K720">IFERROR(VLOOKUP(B720, SORT('Nhật ký nộp hồ sơ '!B:D, 'Nhật ký nộp hồ sơ '!A:A, FALSE), 3, FALSE),"")</f>
        <v>Hoàn thành</v>
      </c>
      <c r="L720" s="37" t="str">
        <f t="shared" si="1"/>
        <v>Hoàn thành</v>
      </c>
      <c r="M720" s="15" t="s">
        <v>146</v>
      </c>
      <c r="N720" s="38">
        <f>IFERROR(__xludf.DUMMYFUNCTION("""COMPUTED_VALUE"""),46125.0)</f>
        <v>46125</v>
      </c>
      <c r="O720" s="38">
        <v>46128.0</v>
      </c>
      <c r="P720" s="38">
        <f>IFERROR(__xludf.DUMMYFUNCTION("IFERROR(QUERY('Nhật ký nộp hồ sơ '!A:I, ""SELECT I WHERE B = '""&amp;B720&amp;""' ORDER BY A DESC LIMIT 1"", 0))"),46126.0)</f>
        <v>46126</v>
      </c>
      <c r="Q720" s="38">
        <f t="shared" si="2"/>
        <v>46126</v>
      </c>
      <c r="R720" s="37">
        <v>1.0</v>
      </c>
      <c r="S720" s="37"/>
      <c r="T720" s="15"/>
      <c r="U720" s="36"/>
      <c r="V720" s="18" t="s">
        <v>34</v>
      </c>
      <c r="W720" s="15"/>
      <c r="X720" s="15"/>
    </row>
    <row r="721" ht="22.5" customHeight="1">
      <c r="A721" s="35">
        <v>46125.63158730324</v>
      </c>
      <c r="B721" s="12" t="s">
        <v>1647</v>
      </c>
      <c r="C721" s="15" t="s">
        <v>1648</v>
      </c>
      <c r="D721" s="36"/>
      <c r="E721" s="15" t="s">
        <v>151</v>
      </c>
      <c r="F721" s="15" t="s">
        <v>133</v>
      </c>
      <c r="G721" s="15"/>
      <c r="H721" s="15" t="s">
        <v>28</v>
      </c>
      <c r="I721" s="15" t="s">
        <v>81</v>
      </c>
      <c r="J721" s="41"/>
      <c r="K721" s="37" t="str">
        <f t="array" ref="K721">IFERROR(VLOOKUP(B721, SORT('Nhật ký nộp hồ sơ '!B:D, 'Nhật ký nộp hồ sơ '!A:A, FALSE), 3, FALSE),"")</f>
        <v>Hoàn thành</v>
      </c>
      <c r="L721" s="37" t="str">
        <f t="shared" si="1"/>
        <v>Hoàn thành</v>
      </c>
      <c r="M721" s="15" t="s">
        <v>146</v>
      </c>
      <c r="N721" s="38">
        <f>IFERROR(__xludf.DUMMYFUNCTION("""COMPUTED_VALUE"""),46125.0)</f>
        <v>46125</v>
      </c>
      <c r="O721" s="38">
        <v>46128.0</v>
      </c>
      <c r="P721" s="38">
        <f>IFERROR(__xludf.DUMMYFUNCTION("IFERROR(QUERY('Nhật ký nộp hồ sơ '!A:I, ""SELECT I WHERE B = '""&amp;B721&amp;""' ORDER BY A DESC LIMIT 1"", 0))"),46126.0)</f>
        <v>46126</v>
      </c>
      <c r="Q721" s="38">
        <f t="shared" si="2"/>
        <v>46126</v>
      </c>
      <c r="R721" s="37">
        <v>1.0</v>
      </c>
      <c r="S721" s="37"/>
      <c r="T721" s="15"/>
      <c r="U721" s="36"/>
      <c r="V721" s="18" t="s">
        <v>34</v>
      </c>
      <c r="W721" s="15"/>
      <c r="X721" s="15"/>
    </row>
    <row r="722" ht="22.5" customHeight="1">
      <c r="A722" s="35">
        <v>46125.71377454861</v>
      </c>
      <c r="B722" s="12" t="s">
        <v>1649</v>
      </c>
      <c r="C722" s="15" t="s">
        <v>1650</v>
      </c>
      <c r="D722" s="36"/>
      <c r="E722" s="15" t="s">
        <v>45</v>
      </c>
      <c r="F722" s="15" t="s">
        <v>46</v>
      </c>
      <c r="G722" s="15"/>
      <c r="H722" s="15" t="s">
        <v>47</v>
      </c>
      <c r="I722" s="15" t="s">
        <v>659</v>
      </c>
      <c r="J722" s="41"/>
      <c r="K722" s="37" t="str">
        <f t="array" ref="K722">IFERROR(VLOOKUP(B722, SORT('Nhật ký nộp hồ sơ '!B:D, 'Nhật ký nộp hồ sơ '!A:A, FALSE), 3, FALSE),"")</f>
        <v>Hoàn thành</v>
      </c>
      <c r="L722" s="37" t="str">
        <f t="shared" si="1"/>
        <v>Hoàn thành</v>
      </c>
      <c r="M722" s="15" t="s">
        <v>56</v>
      </c>
      <c r="N722" s="38">
        <f>IFERROR(__xludf.DUMMYFUNCTION("""COMPUTED_VALUE"""),46125.0)</f>
        <v>46125</v>
      </c>
      <c r="O722" s="38">
        <v>46128.0</v>
      </c>
      <c r="P722" s="38">
        <f>IFERROR(__xludf.DUMMYFUNCTION("IFERROR(QUERY('Nhật ký nộp hồ sơ '!A:I, ""SELECT I WHERE B = '""&amp;B722&amp;""' ORDER BY A DESC LIMIT 1"", 0))"),46147.0)</f>
        <v>46147</v>
      </c>
      <c r="Q722" s="38">
        <f t="shared" si="2"/>
        <v>46147</v>
      </c>
      <c r="R722" s="37">
        <v>1.0</v>
      </c>
      <c r="S722" s="37" t="s">
        <v>1651</v>
      </c>
      <c r="T722" s="15"/>
      <c r="U722" s="36"/>
      <c r="V722" s="18" t="s">
        <v>34</v>
      </c>
      <c r="W722" s="15"/>
      <c r="X722" s="15"/>
    </row>
    <row r="723" ht="22.5" customHeight="1">
      <c r="A723" s="35">
        <v>46126.46665505787</v>
      </c>
      <c r="B723" s="12" t="s">
        <v>1652</v>
      </c>
      <c r="C723" s="15" t="s">
        <v>1648</v>
      </c>
      <c r="D723" s="36"/>
      <c r="E723" s="15" t="s">
        <v>151</v>
      </c>
      <c r="F723" s="15" t="s">
        <v>133</v>
      </c>
      <c r="G723" s="40" t="s">
        <v>1653</v>
      </c>
      <c r="H723" s="15" t="s">
        <v>47</v>
      </c>
      <c r="I723" s="15" t="s">
        <v>659</v>
      </c>
      <c r="J723" s="41"/>
      <c r="K723" s="37" t="str">
        <f t="array" ref="K723">IFERROR(VLOOKUP(B723, SORT('Nhật ký nộp hồ sơ '!B:D, 'Nhật ký nộp hồ sơ '!A:A, FALSE), 3, FALSE),"")</f>
        <v>Nộp thành công - Chờ kết quả</v>
      </c>
      <c r="L723" s="37" t="str">
        <f t="shared" si="1"/>
        <v>Đã nộp</v>
      </c>
      <c r="M723" s="15" t="s">
        <v>56</v>
      </c>
      <c r="N723" s="38">
        <f>IFERROR(__xludf.DUMMYFUNCTION("""COMPUTED_VALUE"""),46126.0)</f>
        <v>46126</v>
      </c>
      <c r="O723" s="38">
        <v>46129.0</v>
      </c>
      <c r="P723" s="38">
        <f>IFERROR(__xludf.DUMMYFUNCTION("IFERROR(QUERY('Nhật ký nộp hồ sơ '!A:I, ""SELECT I WHERE B = '""&amp;B723&amp;""' ORDER BY A DESC LIMIT 1"", 0))"),46195.0)</f>
        <v>46195</v>
      </c>
      <c r="Q723" s="38" t="str">
        <f t="shared" si="2"/>
        <v/>
      </c>
      <c r="R723" s="37">
        <v>1.0</v>
      </c>
      <c r="S723" s="37" t="s">
        <v>1654</v>
      </c>
      <c r="T723" s="15"/>
      <c r="U723" s="36"/>
      <c r="V723" s="18" t="s">
        <v>34</v>
      </c>
      <c r="W723" s="15"/>
      <c r="X723" s="15"/>
    </row>
    <row r="724" ht="22.5" customHeight="1">
      <c r="A724" s="35">
        <v>46126.46819905093</v>
      </c>
      <c r="B724" s="12" t="s">
        <v>1655</v>
      </c>
      <c r="C724" s="15" t="s">
        <v>1562</v>
      </c>
      <c r="D724" s="36"/>
      <c r="E724" s="15" t="s">
        <v>122</v>
      </c>
      <c r="F724" s="15" t="s">
        <v>176</v>
      </c>
      <c r="G724" s="15"/>
      <c r="H724" s="15" t="s">
        <v>69</v>
      </c>
      <c r="I724" s="15" t="s">
        <v>659</v>
      </c>
      <c r="J724" s="41"/>
      <c r="K724" s="37" t="str">
        <f t="array" ref="K724">IFERROR(VLOOKUP(B724, SORT('Nhật ký nộp hồ sơ '!B:D, 'Nhật ký nộp hồ sơ '!A:A, FALSE), 3, FALSE),"")</f>
        <v>Hoàn thành</v>
      </c>
      <c r="L724" s="37" t="str">
        <f t="shared" si="1"/>
        <v>Hoàn thành</v>
      </c>
      <c r="M724" s="15" t="s">
        <v>216</v>
      </c>
      <c r="N724" s="38">
        <f>IFERROR(__xludf.DUMMYFUNCTION("""COMPUTED_VALUE"""),46126.0)</f>
        <v>46126</v>
      </c>
      <c r="O724" s="38">
        <v>46129.0</v>
      </c>
      <c r="P724" s="38">
        <f>IFERROR(__xludf.DUMMYFUNCTION("IFERROR(QUERY('Nhật ký nộp hồ sơ '!A:I, ""SELECT I WHERE B = '""&amp;B724&amp;""' ORDER BY A DESC LIMIT 1"", 0))"),46126.0)</f>
        <v>46126</v>
      </c>
      <c r="Q724" s="38">
        <f t="shared" si="2"/>
        <v>46126</v>
      </c>
      <c r="R724" s="37">
        <v>3.0</v>
      </c>
      <c r="S724" s="37"/>
      <c r="T724" s="15"/>
      <c r="U724" s="36"/>
      <c r="V724" s="18" t="s">
        <v>34</v>
      </c>
      <c r="W724" s="15">
        <v>10.0</v>
      </c>
      <c r="X724" s="15" t="s">
        <v>687</v>
      </c>
    </row>
    <row r="725" ht="22.5" customHeight="1">
      <c r="A725" s="35">
        <v>46126.47035986111</v>
      </c>
      <c r="B725" s="12" t="s">
        <v>1656</v>
      </c>
      <c r="C725" s="15" t="s">
        <v>1646</v>
      </c>
      <c r="D725" s="36"/>
      <c r="E725" s="15" t="s">
        <v>26</v>
      </c>
      <c r="F725" s="15" t="s">
        <v>133</v>
      </c>
      <c r="G725" s="15"/>
      <c r="H725" s="15" t="s">
        <v>69</v>
      </c>
      <c r="I725" s="15" t="s">
        <v>659</v>
      </c>
      <c r="J725" s="41"/>
      <c r="K725" s="37" t="str">
        <f t="array" ref="K725">IFERROR(VLOOKUP(B725, SORT('Nhật ký nộp hồ sơ '!B:D, 'Nhật ký nộp hồ sơ '!A:A, FALSE), 3, FALSE),"")</f>
        <v>Hủy</v>
      </c>
      <c r="L725" s="37" t="str">
        <f t="shared" si="1"/>
        <v>ĐÃ HỦY</v>
      </c>
      <c r="M725" s="15" t="s">
        <v>56</v>
      </c>
      <c r="N725" s="38">
        <f>IFERROR(__xludf.DUMMYFUNCTION("""COMPUTED_VALUE"""),46126.0)</f>
        <v>46126</v>
      </c>
      <c r="O725" s="38">
        <v>46129.0</v>
      </c>
      <c r="P725" s="38">
        <f>IFERROR(__xludf.DUMMYFUNCTION("IFERROR(QUERY('Nhật ký nộp hồ sơ '!A:I, ""SELECT I WHERE B = '""&amp;B725&amp;""' ORDER BY A DESC LIMIT 1"", 0))"),46135.0)</f>
        <v>46135</v>
      </c>
      <c r="Q725" s="38" t="str">
        <f t="shared" si="2"/>
        <v/>
      </c>
      <c r="R725" s="37">
        <v>1.0</v>
      </c>
      <c r="S725" s="37" t="s">
        <v>1657</v>
      </c>
      <c r="T725" s="15"/>
      <c r="U725" s="36"/>
      <c r="V725" s="18" t="s">
        <v>34</v>
      </c>
      <c r="W725" s="15"/>
      <c r="X725" s="15"/>
    </row>
    <row r="726" ht="22.5" customHeight="1">
      <c r="A726" s="35">
        <v>46126.59559542824</v>
      </c>
      <c r="B726" s="12" t="s">
        <v>1658</v>
      </c>
      <c r="C726" s="15" t="s">
        <v>1659</v>
      </c>
      <c r="D726" s="39" t="s">
        <v>44</v>
      </c>
      <c r="E726" s="15" t="s">
        <v>45</v>
      </c>
      <c r="F726" s="15" t="s">
        <v>46</v>
      </c>
      <c r="G726" s="15"/>
      <c r="H726" s="15" t="s">
        <v>47</v>
      </c>
      <c r="I726" s="15" t="s">
        <v>81</v>
      </c>
      <c r="J726" s="41"/>
      <c r="K726" s="37" t="str">
        <f t="array" ref="K726">IFERROR(VLOOKUP(B726, SORT('Nhật ký nộp hồ sơ '!B:D, 'Nhật ký nộp hồ sơ '!A:A, FALSE), 3, FALSE),"")</f>
        <v>Hoàn thành</v>
      </c>
      <c r="L726" s="37" t="str">
        <f t="shared" si="1"/>
        <v>Hoàn thành</v>
      </c>
      <c r="M726" s="15" t="s">
        <v>56</v>
      </c>
      <c r="N726" s="38">
        <f>IFERROR(__xludf.DUMMYFUNCTION("""COMPUTED_VALUE"""),46126.0)</f>
        <v>46126</v>
      </c>
      <c r="O726" s="38">
        <v>46129.0</v>
      </c>
      <c r="P726" s="38">
        <f>IFERROR(__xludf.DUMMYFUNCTION("IFERROR(QUERY('Nhật ký nộp hồ sơ '!A:I, ""SELECT I WHERE B = '""&amp;B726&amp;""' ORDER BY A DESC LIMIT 1"", 0))"),46135.0)</f>
        <v>46135</v>
      </c>
      <c r="Q726" s="38">
        <f t="shared" si="2"/>
        <v>46135</v>
      </c>
      <c r="R726" s="37">
        <v>1.0</v>
      </c>
      <c r="S726" s="37"/>
      <c r="T726" s="15"/>
      <c r="U726" s="36"/>
      <c r="V726" s="18" t="s">
        <v>34</v>
      </c>
      <c r="W726" s="15"/>
      <c r="X726" s="15"/>
    </row>
    <row r="727" ht="22.5" customHeight="1">
      <c r="A727" s="35">
        <v>46127.58135734954</v>
      </c>
      <c r="B727" s="12" t="s">
        <v>1660</v>
      </c>
      <c r="C727" s="15" t="s">
        <v>1661</v>
      </c>
      <c r="D727" s="36"/>
      <c r="E727" s="15" t="s">
        <v>222</v>
      </c>
      <c r="F727" s="15" t="s">
        <v>133</v>
      </c>
      <c r="G727" s="15"/>
      <c r="H727" s="15" t="s">
        <v>29</v>
      </c>
      <c r="I727" s="15" t="s">
        <v>659</v>
      </c>
      <c r="J727" s="39" t="s">
        <v>202</v>
      </c>
      <c r="K727" s="37" t="str">
        <f t="array" ref="K727">IFERROR(VLOOKUP(B727, SORT('Nhật ký nộp hồ sơ '!B:D, 'Nhật ký nộp hồ sơ '!A:A, FALSE), 3, FALSE),"")</f>
        <v>Hoàn thành</v>
      </c>
      <c r="L727" s="37" t="str">
        <f t="shared" si="1"/>
        <v>Hoàn thành</v>
      </c>
      <c r="M727" s="15" t="s">
        <v>48</v>
      </c>
      <c r="N727" s="38">
        <f>IFERROR(__xludf.DUMMYFUNCTION("""COMPUTED_VALUE"""),46127.0)</f>
        <v>46127</v>
      </c>
      <c r="O727" s="38">
        <v>46128.0</v>
      </c>
      <c r="P727" s="38">
        <f>IFERROR(__xludf.DUMMYFUNCTION("IFERROR(QUERY('Nhật ký nộp hồ sơ '!A:I, ""SELECT I WHERE B = '""&amp;B727&amp;""' ORDER BY A DESC LIMIT 1"", 0))"),46127.0)</f>
        <v>46127</v>
      </c>
      <c r="Q727" s="38">
        <f t="shared" si="2"/>
        <v>46127</v>
      </c>
      <c r="R727" s="37">
        <v>2.0</v>
      </c>
      <c r="S727" s="37"/>
      <c r="T727" s="15" t="s">
        <v>1662</v>
      </c>
      <c r="U727" s="36"/>
      <c r="V727" s="18" t="s">
        <v>34</v>
      </c>
      <c r="W727" s="15"/>
      <c r="X727" s="15"/>
    </row>
    <row r="728" ht="22.5" customHeight="1">
      <c r="A728" s="35">
        <v>46127.668258888894</v>
      </c>
      <c r="B728" s="12" t="s">
        <v>1663</v>
      </c>
      <c r="C728" s="15" t="s">
        <v>1664</v>
      </c>
      <c r="D728" s="36"/>
      <c r="E728" s="15" t="s">
        <v>26</v>
      </c>
      <c r="F728" s="15" t="s">
        <v>191</v>
      </c>
      <c r="G728" s="15"/>
      <c r="H728" s="15" t="s">
        <v>28</v>
      </c>
      <c r="I728" s="15" t="s">
        <v>81</v>
      </c>
      <c r="J728" s="41"/>
      <c r="K728" s="37" t="str">
        <f t="array" ref="K728">IFERROR(VLOOKUP(B728, SORT('Nhật ký nộp hồ sơ '!B:D, 'Nhật ký nộp hồ sơ '!A:A, FALSE), 3, FALSE),"")</f>
        <v>Hoàn thành</v>
      </c>
      <c r="L728" s="37" t="str">
        <f t="shared" si="1"/>
        <v>Hoàn thành</v>
      </c>
      <c r="M728" s="15" t="s">
        <v>216</v>
      </c>
      <c r="N728" s="38">
        <f>IFERROR(__xludf.DUMMYFUNCTION("""COMPUTED_VALUE"""),46127.0)</f>
        <v>46127</v>
      </c>
      <c r="O728" s="38">
        <v>46130.0</v>
      </c>
      <c r="P728" s="38">
        <f>IFERROR(__xludf.DUMMYFUNCTION("IFERROR(QUERY('Nhật ký nộp hồ sơ '!A:I, ""SELECT I WHERE B = '""&amp;B728&amp;""' ORDER BY A DESC LIMIT 1"", 0))"),46128.0)</f>
        <v>46128</v>
      </c>
      <c r="Q728" s="38">
        <f t="shared" si="2"/>
        <v>46128</v>
      </c>
      <c r="R728" s="37">
        <v>2.0</v>
      </c>
      <c r="S728" s="37"/>
      <c r="T728" s="15"/>
      <c r="U728" s="36"/>
      <c r="V728" s="18" t="s">
        <v>34</v>
      </c>
      <c r="W728" s="15">
        <v>7.0</v>
      </c>
      <c r="X728" s="15" t="s">
        <v>1188</v>
      </c>
    </row>
    <row r="729" ht="22.5" customHeight="1">
      <c r="A729" s="35">
        <v>46127.9203925926</v>
      </c>
      <c r="B729" s="12" t="s">
        <v>1665</v>
      </c>
      <c r="C729" s="15" t="s">
        <v>1666</v>
      </c>
      <c r="D729" s="36"/>
      <c r="E729" s="15" t="s">
        <v>132</v>
      </c>
      <c r="F729" s="15" t="s">
        <v>133</v>
      </c>
      <c r="G729" s="15"/>
      <c r="H729" s="15" t="s">
        <v>69</v>
      </c>
      <c r="I729" s="15" t="s">
        <v>659</v>
      </c>
      <c r="J729" s="41"/>
      <c r="K729" s="37" t="str">
        <f t="array" ref="K729">IFERROR(VLOOKUP(B729, SORT('Nhật ký nộp hồ sơ '!B:D, 'Nhật ký nộp hồ sơ '!A:A, FALSE), 3, FALSE),"")</f>
        <v>Hoàn thành</v>
      </c>
      <c r="L729" s="37" t="str">
        <f t="shared" si="1"/>
        <v>Hoàn thành</v>
      </c>
      <c r="M729" s="15" t="s">
        <v>56</v>
      </c>
      <c r="N729" s="38">
        <f>IFERROR(__xludf.DUMMYFUNCTION("""COMPUTED_VALUE"""),46127.0)</f>
        <v>46127</v>
      </c>
      <c r="O729" s="38">
        <v>46130.0</v>
      </c>
      <c r="P729" s="38">
        <f>IFERROR(__xludf.DUMMYFUNCTION("IFERROR(QUERY('Nhật ký nộp hồ sơ '!A:I, ""SELECT I WHERE B = '""&amp;B729&amp;""' ORDER BY A DESC LIMIT 1"", 0))"),46155.0)</f>
        <v>46155</v>
      </c>
      <c r="Q729" s="38">
        <f t="shared" si="2"/>
        <v>46155</v>
      </c>
      <c r="R729" s="37">
        <v>1.0</v>
      </c>
      <c r="S729" s="37"/>
      <c r="T729" s="15"/>
      <c r="U729" s="36"/>
      <c r="V729" s="18" t="s">
        <v>34</v>
      </c>
      <c r="W729" s="15"/>
      <c r="X729" s="15"/>
    </row>
    <row r="730" ht="22.5" customHeight="1">
      <c r="A730" s="35">
        <v>46129.278267789356</v>
      </c>
      <c r="B730" s="12" t="s">
        <v>1667</v>
      </c>
      <c r="C730" s="15" t="s">
        <v>1668</v>
      </c>
      <c r="D730" s="36"/>
      <c r="E730" s="15" t="s">
        <v>45</v>
      </c>
      <c r="F730" s="15" t="s">
        <v>28</v>
      </c>
      <c r="G730" s="15"/>
      <c r="H730" s="15" t="s">
        <v>28</v>
      </c>
      <c r="I730" s="15" t="s">
        <v>659</v>
      </c>
      <c r="J730" s="41"/>
      <c r="K730" s="37" t="str">
        <f t="array" ref="K730">IFERROR(VLOOKUP(B730, SORT('Nhật ký nộp hồ sơ '!B:D, 'Nhật ký nộp hồ sơ '!A:A, FALSE), 3, FALSE),"")</f>
        <v>Hoàn thành</v>
      </c>
      <c r="L730" s="37" t="str">
        <f t="shared" si="1"/>
        <v>Hoàn thành</v>
      </c>
      <c r="M730" s="15" t="s">
        <v>135</v>
      </c>
      <c r="N730" s="38">
        <f>IFERROR(__xludf.DUMMYFUNCTION("""COMPUTED_VALUE"""),46129.0)</f>
        <v>46129</v>
      </c>
      <c r="O730" s="38">
        <v>46132.0</v>
      </c>
      <c r="P730" s="38">
        <f>IFERROR(__xludf.DUMMYFUNCTION("IFERROR(QUERY('Nhật ký nộp hồ sơ '!A:I, ""SELECT I WHERE B = '""&amp;B730&amp;""' ORDER BY A DESC LIMIT 1"", 0))"),46140.0)</f>
        <v>46140</v>
      </c>
      <c r="Q730" s="38">
        <f t="shared" si="2"/>
        <v>46140</v>
      </c>
      <c r="R730" s="37">
        <v>1.0</v>
      </c>
      <c r="S730" s="37"/>
      <c r="T730" s="15"/>
      <c r="U730" s="36"/>
      <c r="V730" s="18" t="s">
        <v>34</v>
      </c>
      <c r="W730" s="15"/>
      <c r="X730" s="15"/>
    </row>
    <row r="731" ht="22.5" customHeight="1">
      <c r="A731" s="35">
        <v>46129.28687165509</v>
      </c>
      <c r="B731" s="12" t="s">
        <v>1669</v>
      </c>
      <c r="C731" s="15" t="s">
        <v>1668</v>
      </c>
      <c r="D731" s="36"/>
      <c r="E731" s="15" t="s">
        <v>45</v>
      </c>
      <c r="F731" s="15" t="s">
        <v>28</v>
      </c>
      <c r="G731" s="15"/>
      <c r="H731" s="15" t="s">
        <v>28</v>
      </c>
      <c r="I731" s="15" t="s">
        <v>659</v>
      </c>
      <c r="J731" s="41"/>
      <c r="K731" s="37" t="str">
        <f t="array" ref="K731">IFERROR(VLOOKUP(B731, SORT('Nhật ký nộp hồ sơ '!B:D, 'Nhật ký nộp hồ sơ '!A:A, FALSE), 3, FALSE),"")</f>
        <v>Hoàn thành</v>
      </c>
      <c r="L731" s="37" t="str">
        <f t="shared" si="1"/>
        <v>Hoàn thành</v>
      </c>
      <c r="M731" s="15" t="s">
        <v>135</v>
      </c>
      <c r="N731" s="38">
        <f>IFERROR(__xludf.DUMMYFUNCTION("""COMPUTED_VALUE"""),46129.0)</f>
        <v>46129</v>
      </c>
      <c r="O731" s="38">
        <v>46132.0</v>
      </c>
      <c r="P731" s="38">
        <f>IFERROR(__xludf.DUMMYFUNCTION("IFERROR(QUERY('Nhật ký nộp hồ sơ '!A:I, ""SELECT I WHERE B = '""&amp;B731&amp;""' ORDER BY A DESC LIMIT 1"", 0))"),46140.0)</f>
        <v>46140</v>
      </c>
      <c r="Q731" s="38">
        <f t="shared" si="2"/>
        <v>46140</v>
      </c>
      <c r="R731" s="37">
        <v>1.0</v>
      </c>
      <c r="S731" s="37"/>
      <c r="T731" s="15"/>
      <c r="U731" s="36"/>
      <c r="V731" s="18" t="s">
        <v>34</v>
      </c>
      <c r="W731" s="15"/>
      <c r="X731" s="15"/>
    </row>
    <row r="732" ht="22.5" customHeight="1">
      <c r="A732" s="35">
        <v>46129.365077615745</v>
      </c>
      <c r="B732" s="12" t="s">
        <v>1670</v>
      </c>
      <c r="C732" s="15" t="s">
        <v>1671</v>
      </c>
      <c r="D732" s="36"/>
      <c r="E732" s="15" t="s">
        <v>53</v>
      </c>
      <c r="F732" s="15" t="s">
        <v>133</v>
      </c>
      <c r="G732" s="15" t="s">
        <v>1672</v>
      </c>
      <c r="H732" s="15" t="s">
        <v>100</v>
      </c>
      <c r="I732" s="15" t="s">
        <v>81</v>
      </c>
      <c r="J732" s="41"/>
      <c r="K732" s="37" t="str">
        <f t="array" ref="K732">IFERROR(VLOOKUP(B732, SORT('Nhật ký nộp hồ sơ '!B:D, 'Nhật ký nộp hồ sơ '!A:A, FALSE), 3, FALSE),"")</f>
        <v>Nộp thành công - Chờ kết quả</v>
      </c>
      <c r="L732" s="37" t="str">
        <f t="shared" si="1"/>
        <v>Đã nộp</v>
      </c>
      <c r="M732" s="15" t="s">
        <v>588</v>
      </c>
      <c r="N732" s="38">
        <f>IFERROR(__xludf.DUMMYFUNCTION("""COMPUTED_VALUE"""),46129.0)</f>
        <v>46129</v>
      </c>
      <c r="O732" s="38">
        <v>46132.0</v>
      </c>
      <c r="P732" s="38">
        <f>IFERROR(__xludf.DUMMYFUNCTION("IFERROR(QUERY('Nhật ký nộp hồ sơ '!A:I, ""SELECT I WHERE B = '""&amp;B732&amp;""' ORDER BY A DESC LIMIT 1"", 0))"),46147.0)</f>
        <v>46147</v>
      </c>
      <c r="Q732" s="38" t="str">
        <f t="shared" si="2"/>
        <v/>
      </c>
      <c r="R732" s="37">
        <v>1.0</v>
      </c>
      <c r="S732" s="37"/>
      <c r="T732" s="15"/>
      <c r="U732" s="36"/>
      <c r="V732" s="18" t="s">
        <v>34</v>
      </c>
      <c r="W732" s="15"/>
      <c r="X732" s="15"/>
    </row>
    <row r="733" ht="22.5" customHeight="1">
      <c r="A733" s="35">
        <v>46129.36644532408</v>
      </c>
      <c r="B733" s="12" t="s">
        <v>1673</v>
      </c>
      <c r="C733" s="15" t="s">
        <v>1674</v>
      </c>
      <c r="D733" s="36"/>
      <c r="E733" s="15" t="s">
        <v>62</v>
      </c>
      <c r="F733" s="15" t="s">
        <v>89</v>
      </c>
      <c r="G733" s="15" t="s">
        <v>1675</v>
      </c>
      <c r="H733" s="15" t="s">
        <v>100</v>
      </c>
      <c r="I733" s="15" t="s">
        <v>81</v>
      </c>
      <c r="J733" s="41"/>
      <c r="K733" s="37" t="str">
        <f t="array" ref="K733">IFERROR(VLOOKUP(B733, SORT('Nhật ký nộp hồ sơ '!B:D, 'Nhật ký nộp hồ sơ '!A:A, FALSE), 3, FALSE),"")</f>
        <v>Hủy</v>
      </c>
      <c r="L733" s="37" t="str">
        <f t="shared" si="1"/>
        <v>ĐÃ HỦY</v>
      </c>
      <c r="M733" s="15" t="s">
        <v>588</v>
      </c>
      <c r="N733" s="38">
        <f>IFERROR(__xludf.DUMMYFUNCTION("""COMPUTED_VALUE"""),46129.0)</f>
        <v>46129</v>
      </c>
      <c r="O733" s="38">
        <v>46132.0</v>
      </c>
      <c r="P733" s="38">
        <f>IFERROR(__xludf.DUMMYFUNCTION("IFERROR(QUERY('Nhật ký nộp hồ sơ '!A:I, ""SELECT I WHERE B = '""&amp;B733&amp;""' ORDER BY A DESC LIMIT 1"", 0))"),46163.0)</f>
        <v>46163</v>
      </c>
      <c r="Q733" s="38" t="str">
        <f t="shared" si="2"/>
        <v/>
      </c>
      <c r="R733" s="37">
        <v>1.0</v>
      </c>
      <c r="S733" s="37"/>
      <c r="T733" s="15"/>
      <c r="U733" s="36"/>
      <c r="V733" s="18" t="s">
        <v>34</v>
      </c>
      <c r="W733" s="15"/>
      <c r="X733" s="15"/>
    </row>
    <row r="734" ht="22.5" customHeight="1">
      <c r="A734" s="35">
        <v>46129.460584375</v>
      </c>
      <c r="B734" s="12" t="s">
        <v>1676</v>
      </c>
      <c r="C734" s="15" t="s">
        <v>1677</v>
      </c>
      <c r="D734" s="36"/>
      <c r="E734" s="15" t="s">
        <v>26</v>
      </c>
      <c r="F734" s="15" t="s">
        <v>1598</v>
      </c>
      <c r="G734" s="15" t="s">
        <v>1678</v>
      </c>
      <c r="H734" s="15" t="s">
        <v>100</v>
      </c>
      <c r="I734" s="15" t="s">
        <v>81</v>
      </c>
      <c r="J734" s="41"/>
      <c r="K734" s="37" t="str">
        <f t="array" ref="K734">IFERROR(VLOOKUP(B734, SORT('Nhật ký nộp hồ sơ '!B:D, 'Nhật ký nộp hồ sơ '!A:A, FALSE), 3, FALSE),"")</f>
        <v>Nộp thành công - Chờ kết quả</v>
      </c>
      <c r="L734" s="37" t="str">
        <f t="shared" si="1"/>
        <v>Đã nộp</v>
      </c>
      <c r="M734" s="15" t="s">
        <v>588</v>
      </c>
      <c r="N734" s="38">
        <f>IFERROR(__xludf.DUMMYFUNCTION("""COMPUTED_VALUE"""),46129.0)</f>
        <v>46129</v>
      </c>
      <c r="O734" s="38">
        <v>46132.0</v>
      </c>
      <c r="P734" s="38">
        <f>IFERROR(__xludf.DUMMYFUNCTION("IFERROR(QUERY('Nhật ký nộp hồ sơ '!A:I, ""SELECT I WHERE B = '""&amp;B734&amp;""' ORDER BY A DESC LIMIT 1"", 0))"),46135.0)</f>
        <v>46135</v>
      </c>
      <c r="Q734" s="38" t="str">
        <f t="shared" si="2"/>
        <v/>
      </c>
      <c r="R734" s="37">
        <v>1.0</v>
      </c>
      <c r="S734" s="37"/>
      <c r="T734" s="15"/>
      <c r="U734" s="36"/>
      <c r="V734" s="18" t="s">
        <v>34</v>
      </c>
      <c r="W734" s="15"/>
      <c r="X734" s="15"/>
    </row>
    <row r="735" ht="22.5" customHeight="1">
      <c r="A735" s="35">
        <v>46132.535180798615</v>
      </c>
      <c r="B735" s="12" t="s">
        <v>1679</v>
      </c>
      <c r="C735" s="15" t="s">
        <v>1648</v>
      </c>
      <c r="D735" s="39" t="s">
        <v>44</v>
      </c>
      <c r="E735" s="15" t="s">
        <v>151</v>
      </c>
      <c r="F735" s="15" t="s">
        <v>133</v>
      </c>
      <c r="G735" s="15"/>
      <c r="H735" s="15" t="s">
        <v>28</v>
      </c>
      <c r="I735" s="15" t="s">
        <v>659</v>
      </c>
      <c r="J735" s="41"/>
      <c r="K735" s="37" t="str">
        <f t="array" ref="K735">IFERROR(VLOOKUP(B735, SORT('Nhật ký nộp hồ sơ '!B:D, 'Nhật ký nộp hồ sơ '!A:A, FALSE), 3, FALSE),"")</f>
        <v>Hoàn thành</v>
      </c>
      <c r="L735" s="37" t="str">
        <f t="shared" si="1"/>
        <v>Hoàn thành</v>
      </c>
      <c r="M735" s="15" t="s">
        <v>216</v>
      </c>
      <c r="N735" s="38">
        <f>IFERROR(__xludf.DUMMYFUNCTION("""COMPUTED_VALUE"""),46132.0)</f>
        <v>46132</v>
      </c>
      <c r="O735" s="38">
        <v>46135.0</v>
      </c>
      <c r="P735" s="38">
        <f>IFERROR(__xludf.DUMMYFUNCTION("IFERROR(QUERY('Nhật ký nộp hồ sơ '!A:I, ""SELECT I WHERE B = '""&amp;B735&amp;""' ORDER BY A DESC LIMIT 1"", 0))"),46132.0)</f>
        <v>46132</v>
      </c>
      <c r="Q735" s="38">
        <f t="shared" si="2"/>
        <v>46132</v>
      </c>
      <c r="R735" s="37">
        <v>2.0</v>
      </c>
      <c r="S735" s="37"/>
      <c r="T735" s="15"/>
      <c r="U735" s="36"/>
      <c r="V735" s="18" t="s">
        <v>34</v>
      </c>
      <c r="W735" s="15"/>
      <c r="X735" s="15" t="s">
        <v>1188</v>
      </c>
    </row>
    <row r="736" ht="22.5" customHeight="1">
      <c r="A736" s="35">
        <v>46132.53682033565</v>
      </c>
      <c r="B736" s="12" t="s">
        <v>1680</v>
      </c>
      <c r="C736" s="15" t="s">
        <v>1681</v>
      </c>
      <c r="D736" s="36"/>
      <c r="E736" s="15" t="s">
        <v>45</v>
      </c>
      <c r="F736" s="15" t="s">
        <v>246</v>
      </c>
      <c r="G736" s="15"/>
      <c r="H736" s="15" t="s">
        <v>28</v>
      </c>
      <c r="I736" s="15" t="s">
        <v>659</v>
      </c>
      <c r="J736" s="41"/>
      <c r="K736" s="37" t="str">
        <f t="array" ref="K736">IFERROR(VLOOKUP(B736, SORT('Nhật ký nộp hồ sơ '!B:D, 'Nhật ký nộp hồ sơ '!A:A, FALSE), 3, FALSE),"")</f>
        <v>Hoàn thành</v>
      </c>
      <c r="L736" s="37" t="str">
        <f t="shared" si="1"/>
        <v>Hoàn thành</v>
      </c>
      <c r="M736" s="15" t="s">
        <v>216</v>
      </c>
      <c r="N736" s="38">
        <f>IFERROR(__xludf.DUMMYFUNCTION("""COMPUTED_VALUE"""),46132.0)</f>
        <v>46132</v>
      </c>
      <c r="O736" s="38">
        <v>46135.0</v>
      </c>
      <c r="P736" s="38">
        <f>IFERROR(__xludf.DUMMYFUNCTION("IFERROR(QUERY('Nhật ký nộp hồ sơ '!A:I, ""SELECT I WHERE B = '""&amp;B736&amp;""' ORDER BY A DESC LIMIT 1"", 0))"),46132.0)</f>
        <v>46132</v>
      </c>
      <c r="Q736" s="38">
        <f t="shared" si="2"/>
        <v>46132</v>
      </c>
      <c r="R736" s="37">
        <v>1.0</v>
      </c>
      <c r="S736" s="37"/>
      <c r="T736" s="15"/>
      <c r="U736" s="36"/>
      <c r="V736" s="18" t="s">
        <v>34</v>
      </c>
      <c r="W736" s="15">
        <v>4.0</v>
      </c>
      <c r="X736" s="15" t="s">
        <v>1188</v>
      </c>
    </row>
    <row r="737" ht="22.5" customHeight="1">
      <c r="A737" s="35">
        <v>46132.538364479165</v>
      </c>
      <c r="B737" s="12" t="s">
        <v>1682</v>
      </c>
      <c r="C737" s="15" t="s">
        <v>1035</v>
      </c>
      <c r="D737" s="36"/>
      <c r="E737" s="15" t="s">
        <v>26</v>
      </c>
      <c r="F737" s="15" t="s">
        <v>1683</v>
      </c>
      <c r="G737" s="15"/>
      <c r="H737" s="15" t="s">
        <v>28</v>
      </c>
      <c r="I737" s="15" t="s">
        <v>659</v>
      </c>
      <c r="J737" s="41"/>
      <c r="K737" s="37" t="str">
        <f t="array" ref="K737">IFERROR(VLOOKUP(B737, SORT('Nhật ký nộp hồ sơ '!B:D, 'Nhật ký nộp hồ sơ '!A:A, FALSE), 3, FALSE),"")</f>
        <v>Hoàn thành</v>
      </c>
      <c r="L737" s="37" t="str">
        <f t="shared" si="1"/>
        <v>Hoàn thành</v>
      </c>
      <c r="M737" s="15" t="s">
        <v>216</v>
      </c>
      <c r="N737" s="38">
        <f>IFERROR(__xludf.DUMMYFUNCTION("""COMPUTED_VALUE"""),46132.0)</f>
        <v>46132</v>
      </c>
      <c r="O737" s="38">
        <v>46135.0</v>
      </c>
      <c r="P737" s="38">
        <f>IFERROR(__xludf.DUMMYFUNCTION("IFERROR(QUERY('Nhật ký nộp hồ sơ '!A:I, ""SELECT I WHERE B = '""&amp;B737&amp;""' ORDER BY A DESC LIMIT 1"", 0))"),46132.0)</f>
        <v>46132</v>
      </c>
      <c r="Q737" s="38">
        <f t="shared" si="2"/>
        <v>46132</v>
      </c>
      <c r="R737" s="37">
        <v>1.0</v>
      </c>
      <c r="S737" s="37"/>
      <c r="T737" s="15"/>
      <c r="U737" s="36"/>
      <c r="V737" s="18" t="s">
        <v>34</v>
      </c>
      <c r="W737" s="15">
        <v>4.0</v>
      </c>
      <c r="X737" s="15" t="s">
        <v>1188</v>
      </c>
    </row>
    <row r="738" ht="22.5" customHeight="1">
      <c r="A738" s="35">
        <v>46132.541143194445</v>
      </c>
      <c r="B738" s="12" t="s">
        <v>1684</v>
      </c>
      <c r="C738" s="15" t="s">
        <v>1685</v>
      </c>
      <c r="D738" s="36"/>
      <c r="E738" s="15" t="s">
        <v>132</v>
      </c>
      <c r="F738" s="15" t="s">
        <v>338</v>
      </c>
      <c r="G738" s="15"/>
      <c r="H738" s="15" t="s">
        <v>28</v>
      </c>
      <c r="I738" s="15" t="s">
        <v>659</v>
      </c>
      <c r="J738" s="41"/>
      <c r="K738" s="37" t="str">
        <f t="array" ref="K738">IFERROR(VLOOKUP(B738, SORT('Nhật ký nộp hồ sơ '!B:D, 'Nhật ký nộp hồ sơ '!A:A, FALSE), 3, FALSE),"")</f>
        <v>Hoàn thành</v>
      </c>
      <c r="L738" s="37" t="str">
        <f t="shared" si="1"/>
        <v>Hoàn thành</v>
      </c>
      <c r="M738" s="15" t="s">
        <v>56</v>
      </c>
      <c r="N738" s="38">
        <f>IFERROR(__xludf.DUMMYFUNCTION("""COMPUTED_VALUE"""),46132.0)</f>
        <v>46132</v>
      </c>
      <c r="O738" s="38">
        <v>46135.0</v>
      </c>
      <c r="P738" s="38">
        <f>IFERROR(__xludf.DUMMYFUNCTION("IFERROR(QUERY('Nhật ký nộp hồ sơ '!A:I, ""SELECT I WHERE B = '""&amp;B738&amp;""' ORDER BY A DESC LIMIT 1"", 0))"),46155.0)</f>
        <v>46155</v>
      </c>
      <c r="Q738" s="38">
        <f t="shared" si="2"/>
        <v>46155</v>
      </c>
      <c r="R738" s="37">
        <v>2.0</v>
      </c>
      <c r="S738" s="37"/>
      <c r="T738" s="15"/>
      <c r="U738" s="36"/>
      <c r="V738" s="18" t="s">
        <v>34</v>
      </c>
      <c r="W738" s="15"/>
      <c r="X738" s="15"/>
    </row>
    <row r="739" ht="22.5" customHeight="1">
      <c r="A739" s="35">
        <v>46132.604008842594</v>
      </c>
      <c r="B739" s="12" t="s">
        <v>1686</v>
      </c>
      <c r="C739" s="15" t="s">
        <v>1687</v>
      </c>
      <c r="D739" s="36"/>
      <c r="E739" s="15" t="s">
        <v>222</v>
      </c>
      <c r="F739" s="15" t="s">
        <v>1688</v>
      </c>
      <c r="G739" s="15" t="s">
        <v>1689</v>
      </c>
      <c r="H739" s="15" t="s">
        <v>100</v>
      </c>
      <c r="I739" s="15" t="s">
        <v>81</v>
      </c>
      <c r="J739" s="41"/>
      <c r="K739" s="37" t="str">
        <f t="array" ref="K739">IFERROR(VLOOKUP(B739, SORT('Nhật ký nộp hồ sơ '!B:D, 'Nhật ký nộp hồ sơ '!A:A, FALSE), 3, FALSE),"")</f>
        <v>Nộp thành công - Chờ kết quả</v>
      </c>
      <c r="L739" s="37" t="str">
        <f t="shared" si="1"/>
        <v>Đã nộp</v>
      </c>
      <c r="M739" s="15" t="s">
        <v>588</v>
      </c>
      <c r="N739" s="38">
        <f>IFERROR(__xludf.DUMMYFUNCTION("""COMPUTED_VALUE"""),46132.0)</f>
        <v>46132</v>
      </c>
      <c r="O739" s="38">
        <v>46135.0</v>
      </c>
      <c r="P739" s="38">
        <f>IFERROR(__xludf.DUMMYFUNCTION("IFERROR(QUERY('Nhật ký nộp hồ sơ '!A:I, ""SELECT I WHERE B = '""&amp;B739&amp;""' ORDER BY A DESC LIMIT 1"", 0))"),46153.0)</f>
        <v>46153</v>
      </c>
      <c r="Q739" s="38" t="str">
        <f t="shared" si="2"/>
        <v/>
      </c>
      <c r="R739" s="37">
        <v>3.0</v>
      </c>
      <c r="S739" s="37"/>
      <c r="T739" s="15"/>
      <c r="U739" s="36"/>
      <c r="V739" s="18" t="s">
        <v>34</v>
      </c>
      <c r="W739" s="15"/>
      <c r="X739" s="15"/>
    </row>
    <row r="740" ht="22.5" customHeight="1">
      <c r="A740" s="35">
        <v>46133.489479247684</v>
      </c>
      <c r="B740" s="12" t="s">
        <v>1690</v>
      </c>
      <c r="C740" s="15" t="s">
        <v>1570</v>
      </c>
      <c r="D740" s="36"/>
      <c r="E740" s="15" t="s">
        <v>53</v>
      </c>
      <c r="F740" s="15" t="s">
        <v>133</v>
      </c>
      <c r="G740" s="15"/>
      <c r="H740" s="15" t="s">
        <v>659</v>
      </c>
      <c r="I740" s="15" t="s">
        <v>81</v>
      </c>
      <c r="J740" s="41"/>
      <c r="K740" s="37" t="str">
        <f t="array" ref="K740">IFERROR(VLOOKUP(B740, SORT('Nhật ký nộp hồ sơ '!B:D, 'Nhật ký nộp hồ sơ '!A:A, FALSE), 3, FALSE),"")</f>
        <v>Nộp thành công - Chờ kết quả</v>
      </c>
      <c r="L740" s="37" t="str">
        <f t="shared" si="1"/>
        <v>Đã nộp</v>
      </c>
      <c r="M740" s="15" t="s">
        <v>1506</v>
      </c>
      <c r="N740" s="38">
        <f>IFERROR(__xludf.DUMMYFUNCTION("""COMPUTED_VALUE"""),46133.0)</f>
        <v>46133</v>
      </c>
      <c r="O740" s="38">
        <v>46136.0</v>
      </c>
      <c r="P740" s="38">
        <f>IFERROR(__xludf.DUMMYFUNCTION("IFERROR(QUERY('Nhật ký nộp hồ sơ '!A:I, ""SELECT I WHERE B = '""&amp;B740&amp;""' ORDER BY A DESC LIMIT 1"", 0))"),46132.0)</f>
        <v>46132</v>
      </c>
      <c r="Q740" s="38" t="str">
        <f t="shared" si="2"/>
        <v/>
      </c>
      <c r="R740" s="37">
        <v>1.0</v>
      </c>
      <c r="S740" s="37"/>
      <c r="T740" s="15"/>
      <c r="U740" s="36"/>
      <c r="V740" s="18" t="s">
        <v>34</v>
      </c>
      <c r="W740" s="15"/>
      <c r="X740" s="15"/>
    </row>
    <row r="741" ht="22.5" customHeight="1">
      <c r="A741" s="35">
        <v>46133.50525721065</v>
      </c>
      <c r="B741" s="12" t="s">
        <v>1691</v>
      </c>
      <c r="C741" s="15" t="s">
        <v>1692</v>
      </c>
      <c r="D741" s="36"/>
      <c r="E741" s="15" t="s">
        <v>187</v>
      </c>
      <c r="F741" s="15" t="s">
        <v>69</v>
      </c>
      <c r="G741" s="15"/>
      <c r="H741" s="15" t="s">
        <v>100</v>
      </c>
      <c r="I741" s="15" t="s">
        <v>69</v>
      </c>
      <c r="J741" s="41"/>
      <c r="K741" s="37" t="str">
        <f t="array" ref="K741">IFERROR(VLOOKUP(B741, SORT('Nhật ký nộp hồ sơ '!B:D, 'Nhật ký nộp hồ sơ '!A:A, FALSE), 3, FALSE),"")</f>
        <v>Hoàn thành</v>
      </c>
      <c r="L741" s="37" t="str">
        <f t="shared" si="1"/>
        <v>Hoàn thành</v>
      </c>
      <c r="M741" s="15" t="s">
        <v>588</v>
      </c>
      <c r="N741" s="38">
        <f>IFERROR(__xludf.DUMMYFUNCTION("""COMPUTED_VALUE"""),46133.0)</f>
        <v>46133</v>
      </c>
      <c r="O741" s="38">
        <v>46136.0</v>
      </c>
      <c r="P741" s="38">
        <f>IFERROR(__xludf.DUMMYFUNCTION("IFERROR(QUERY('Nhật ký nộp hồ sơ '!A:I, ""SELECT I WHERE B = '""&amp;B741&amp;""' ORDER BY A DESC LIMIT 1"", 0))"),46156.0)</f>
        <v>46156</v>
      </c>
      <c r="Q741" s="38">
        <f t="shared" si="2"/>
        <v>46156</v>
      </c>
      <c r="R741" s="37">
        <v>4.0</v>
      </c>
      <c r="S741" s="37"/>
      <c r="T741" s="15"/>
      <c r="U741" s="36"/>
      <c r="V741" s="18" t="s">
        <v>34</v>
      </c>
      <c r="W741" s="15"/>
      <c r="X741" s="15"/>
    </row>
    <row r="742" ht="22.5" customHeight="1">
      <c r="A742" s="35">
        <v>46133.621892951385</v>
      </c>
      <c r="B742" s="12" t="s">
        <v>1693</v>
      </c>
      <c r="C742" s="15" t="s">
        <v>1694</v>
      </c>
      <c r="D742" s="36"/>
      <c r="E742" s="15" t="s">
        <v>187</v>
      </c>
      <c r="F742" s="15" t="s">
        <v>39</v>
      </c>
      <c r="G742" s="15"/>
      <c r="H742" s="15" t="s">
        <v>29</v>
      </c>
      <c r="I742" s="15" t="s">
        <v>659</v>
      </c>
      <c r="J742" s="41"/>
      <c r="K742" s="37" t="str">
        <f t="array" ref="K742">IFERROR(VLOOKUP(B742, SORT('Nhật ký nộp hồ sơ '!B:D, 'Nhật ký nộp hồ sơ '!A:A, FALSE), 3, FALSE),"")</f>
        <v>Hoàn thành</v>
      </c>
      <c r="L742" s="37" t="str">
        <f t="shared" si="1"/>
        <v>Hoàn thành</v>
      </c>
      <c r="M742" s="15" t="s">
        <v>56</v>
      </c>
      <c r="N742" s="38">
        <f>IFERROR(__xludf.DUMMYFUNCTION("""COMPUTED_VALUE"""),46133.0)</f>
        <v>46133</v>
      </c>
      <c r="O742" s="38">
        <v>46136.0</v>
      </c>
      <c r="P742" s="38">
        <f>IFERROR(__xludf.DUMMYFUNCTION("IFERROR(QUERY('Nhật ký nộp hồ sơ '!A:I, ""SELECT I WHERE B = '""&amp;B742&amp;""' ORDER BY A DESC LIMIT 1"", 0))"),46149.0)</f>
        <v>46149</v>
      </c>
      <c r="Q742" s="38">
        <f t="shared" si="2"/>
        <v>46149</v>
      </c>
      <c r="R742" s="37">
        <v>1.0</v>
      </c>
      <c r="S742" s="37"/>
      <c r="T742" s="15"/>
      <c r="U742" s="36"/>
      <c r="V742" s="18" t="s">
        <v>34</v>
      </c>
      <c r="W742" s="15"/>
      <c r="X742" s="15"/>
    </row>
    <row r="743" ht="22.5" customHeight="1">
      <c r="A743" s="35">
        <v>46133.622553865745</v>
      </c>
      <c r="B743" s="12" t="s">
        <v>1695</v>
      </c>
      <c r="C743" s="15" t="s">
        <v>1694</v>
      </c>
      <c r="D743" s="36"/>
      <c r="E743" s="15" t="s">
        <v>187</v>
      </c>
      <c r="F743" s="15" t="s">
        <v>39</v>
      </c>
      <c r="G743" s="15"/>
      <c r="H743" s="15" t="s">
        <v>29</v>
      </c>
      <c r="I743" s="15" t="s">
        <v>659</v>
      </c>
      <c r="J743" s="41"/>
      <c r="K743" s="37" t="str">
        <f t="array" ref="K743">IFERROR(VLOOKUP(B743, SORT('Nhật ký nộp hồ sơ '!B:D, 'Nhật ký nộp hồ sơ '!A:A, FALSE), 3, FALSE),"")</f>
        <v>Hoàn thành</v>
      </c>
      <c r="L743" s="37" t="str">
        <f t="shared" si="1"/>
        <v>Hoàn thành</v>
      </c>
      <c r="M743" s="15" t="s">
        <v>216</v>
      </c>
      <c r="N743" s="38">
        <f>IFERROR(__xludf.DUMMYFUNCTION("""COMPUTED_VALUE"""),46133.0)</f>
        <v>46133</v>
      </c>
      <c r="O743" s="38">
        <v>46136.0</v>
      </c>
      <c r="P743" s="38">
        <f>IFERROR(__xludf.DUMMYFUNCTION("IFERROR(QUERY('Nhật ký nộp hồ sơ '!A:I, ""SELECT I WHERE B = '""&amp;B743&amp;""' ORDER BY A DESC LIMIT 1"", 0))"),46134.0)</f>
        <v>46134</v>
      </c>
      <c r="Q743" s="38">
        <f t="shared" si="2"/>
        <v>46134</v>
      </c>
      <c r="R743" s="37">
        <v>1.0</v>
      </c>
      <c r="S743" s="37"/>
      <c r="T743" s="15"/>
      <c r="U743" s="36"/>
      <c r="V743" s="18" t="s">
        <v>34</v>
      </c>
      <c r="W743" s="15">
        <v>2.0</v>
      </c>
      <c r="X743" s="15" t="s">
        <v>687</v>
      </c>
    </row>
    <row r="744" ht="22.5" customHeight="1">
      <c r="A744" s="35">
        <v>46133.696619594906</v>
      </c>
      <c r="B744" s="12" t="s">
        <v>1696</v>
      </c>
      <c r="C744" s="15" t="s">
        <v>1697</v>
      </c>
      <c r="D744" s="36"/>
      <c r="E744" s="15" t="s">
        <v>62</v>
      </c>
      <c r="F744" s="15" t="s">
        <v>133</v>
      </c>
      <c r="G744" s="15"/>
      <c r="H744" s="15" t="s">
        <v>29</v>
      </c>
      <c r="I744" s="15" t="s">
        <v>659</v>
      </c>
      <c r="J744" s="41"/>
      <c r="K744" s="37" t="str">
        <f t="array" ref="K744">IFERROR(VLOOKUP(B744, SORT('Nhật ký nộp hồ sơ '!B:D, 'Nhật ký nộp hồ sơ '!A:A, FALSE), 3, FALSE),"")</f>
        <v>Nộp thành công - Chờ kết quả</v>
      </c>
      <c r="L744" s="37" t="str">
        <f t="shared" si="1"/>
        <v>Đã nộp</v>
      </c>
      <c r="M744" s="15" t="s">
        <v>56</v>
      </c>
      <c r="N744" s="38">
        <f>IFERROR(__xludf.DUMMYFUNCTION("""COMPUTED_VALUE"""),46133.0)</f>
        <v>46133</v>
      </c>
      <c r="O744" s="38">
        <v>46136.0</v>
      </c>
      <c r="P744" s="38">
        <f>IFERROR(__xludf.DUMMYFUNCTION("IFERROR(QUERY('Nhật ký nộp hồ sơ '!A:I, ""SELECT I WHERE B = '""&amp;B744&amp;""' ORDER BY A DESC LIMIT 1"", 0))"),46155.0)</f>
        <v>46155</v>
      </c>
      <c r="Q744" s="38" t="str">
        <f t="shared" si="2"/>
        <v/>
      </c>
      <c r="R744" s="37">
        <v>3.0</v>
      </c>
      <c r="S744" s="37"/>
      <c r="T744" s="15" t="s">
        <v>1698</v>
      </c>
      <c r="U744" s="36"/>
      <c r="V744" s="18" t="s">
        <v>34</v>
      </c>
      <c r="W744" s="15"/>
      <c r="X744" s="15"/>
    </row>
    <row r="745" ht="22.5" customHeight="1">
      <c r="A745" s="35">
        <v>46133.702197129634</v>
      </c>
      <c r="B745" s="12" t="s">
        <v>1699</v>
      </c>
      <c r="C745" s="15" t="s">
        <v>1700</v>
      </c>
      <c r="D745" s="36"/>
      <c r="E745" s="15" t="s">
        <v>222</v>
      </c>
      <c r="F745" s="15" t="s">
        <v>1622</v>
      </c>
      <c r="G745" s="15"/>
      <c r="H745" s="15" t="s">
        <v>659</v>
      </c>
      <c r="I745" s="15" t="s">
        <v>100</v>
      </c>
      <c r="J745" s="41"/>
      <c r="K745" s="37" t="str">
        <f t="array" ref="K745">IFERROR(VLOOKUP(B745, SORT('Nhật ký nộp hồ sơ '!B:D, 'Nhật ký nộp hồ sơ '!A:A, FALSE), 3, FALSE),"")</f>
        <v>Hoàn thành</v>
      </c>
      <c r="L745" s="37" t="str">
        <f t="shared" si="1"/>
        <v>Hoàn thành</v>
      </c>
      <c r="M745" s="15" t="s">
        <v>588</v>
      </c>
      <c r="N745" s="38">
        <f>IFERROR(__xludf.DUMMYFUNCTION("""COMPUTED_VALUE"""),46133.0)</f>
        <v>46133</v>
      </c>
      <c r="O745" s="38">
        <v>46136.0</v>
      </c>
      <c r="P745" s="38">
        <f>IFERROR(__xludf.DUMMYFUNCTION("IFERROR(QUERY('Nhật ký nộp hồ sơ '!A:I, ""SELECT I WHERE B = '""&amp;B745&amp;""' ORDER BY A DESC LIMIT 1"", 0))"),46148.0)</f>
        <v>46148</v>
      </c>
      <c r="Q745" s="38">
        <f t="shared" si="2"/>
        <v>46148</v>
      </c>
      <c r="R745" s="37">
        <v>2.0</v>
      </c>
      <c r="S745" s="37"/>
      <c r="T745" s="15"/>
      <c r="U745" s="36"/>
      <c r="V745" s="18" t="s">
        <v>34</v>
      </c>
      <c r="W745" s="15"/>
      <c r="X745" s="15"/>
    </row>
    <row r="746" ht="22.5" customHeight="1">
      <c r="A746" s="35">
        <v>46135.369869664355</v>
      </c>
      <c r="B746" s="12" t="s">
        <v>1701</v>
      </c>
      <c r="C746" s="15" t="s">
        <v>1702</v>
      </c>
      <c r="D746" s="36"/>
      <c r="E746" s="15" t="s">
        <v>122</v>
      </c>
      <c r="F746" s="15" t="s">
        <v>133</v>
      </c>
      <c r="G746" s="40" t="s">
        <v>1703</v>
      </c>
      <c r="H746" s="15" t="s">
        <v>47</v>
      </c>
      <c r="I746" s="15" t="s">
        <v>659</v>
      </c>
      <c r="J746" s="41"/>
      <c r="K746" s="37" t="str">
        <f t="array" ref="K746">IFERROR(VLOOKUP(B746, SORT('Nhật ký nộp hồ sơ '!B:D, 'Nhật ký nộp hồ sơ '!A:A, FALSE), 3, FALSE),"")</f>
        <v>Hoàn thành</v>
      </c>
      <c r="L746" s="37" t="str">
        <f t="shared" si="1"/>
        <v>Hoàn thành</v>
      </c>
      <c r="M746" s="15" t="s">
        <v>41</v>
      </c>
      <c r="N746" s="38">
        <f>IFERROR(__xludf.DUMMYFUNCTION("""COMPUTED_VALUE"""),46135.0)</f>
        <v>46135</v>
      </c>
      <c r="O746" s="38">
        <v>46138.0</v>
      </c>
      <c r="P746" s="38">
        <f>IFERROR(__xludf.DUMMYFUNCTION("IFERROR(QUERY('Nhật ký nộp hồ sơ '!A:I, ""SELECT I WHERE B = '""&amp;B746&amp;""' ORDER BY A DESC LIMIT 1"", 0))"),46136.0)</f>
        <v>46136</v>
      </c>
      <c r="Q746" s="38">
        <f t="shared" si="2"/>
        <v>46136</v>
      </c>
      <c r="R746" s="37">
        <v>1.0</v>
      </c>
      <c r="S746" s="37"/>
      <c r="T746" s="15"/>
      <c r="U746" s="36"/>
      <c r="V746" s="18" t="s">
        <v>34</v>
      </c>
      <c r="W746" s="15"/>
      <c r="X746" s="15"/>
    </row>
    <row r="747" ht="22.5" customHeight="1">
      <c r="A747" s="35">
        <v>46135.37030732639</v>
      </c>
      <c r="B747" s="12" t="s">
        <v>1704</v>
      </c>
      <c r="C747" s="15" t="s">
        <v>1705</v>
      </c>
      <c r="D747" s="36"/>
      <c r="E747" s="15" t="s">
        <v>122</v>
      </c>
      <c r="F747" s="15" t="s">
        <v>133</v>
      </c>
      <c r="G747" s="40" t="s">
        <v>1703</v>
      </c>
      <c r="H747" s="15" t="s">
        <v>47</v>
      </c>
      <c r="I747" s="15" t="s">
        <v>659</v>
      </c>
      <c r="J747" s="41"/>
      <c r="K747" s="37" t="str">
        <f t="array" ref="K747">IFERROR(VLOOKUP(B747, SORT('Nhật ký nộp hồ sơ '!B:D, 'Nhật ký nộp hồ sơ '!A:A, FALSE), 3, FALSE),"")</f>
        <v>Hoàn thành</v>
      </c>
      <c r="L747" s="37" t="str">
        <f t="shared" si="1"/>
        <v>Hoàn thành</v>
      </c>
      <c r="M747" s="15" t="s">
        <v>41</v>
      </c>
      <c r="N747" s="38">
        <f>IFERROR(__xludf.DUMMYFUNCTION("""COMPUTED_VALUE"""),46135.0)</f>
        <v>46135</v>
      </c>
      <c r="O747" s="38">
        <v>46138.0</v>
      </c>
      <c r="P747" s="38">
        <f>IFERROR(__xludf.DUMMYFUNCTION("IFERROR(QUERY('Nhật ký nộp hồ sơ '!A:I, ""SELECT I WHERE B = '""&amp;B747&amp;""' ORDER BY A DESC LIMIT 1"", 0))"),46136.0)</f>
        <v>46136</v>
      </c>
      <c r="Q747" s="38">
        <f t="shared" si="2"/>
        <v>46136</v>
      </c>
      <c r="R747" s="37">
        <v>1.0</v>
      </c>
      <c r="S747" s="37"/>
      <c r="T747" s="15"/>
      <c r="U747" s="36"/>
      <c r="V747" s="18" t="s">
        <v>34</v>
      </c>
      <c r="W747" s="15"/>
      <c r="X747" s="15"/>
    </row>
    <row r="748" ht="22.5" customHeight="1">
      <c r="A748" s="35">
        <v>46135.37072917824</v>
      </c>
      <c r="B748" s="12" t="s">
        <v>1706</v>
      </c>
      <c r="C748" s="15" t="s">
        <v>1707</v>
      </c>
      <c r="D748" s="36"/>
      <c r="E748" s="15" t="s">
        <v>122</v>
      </c>
      <c r="F748" s="15" t="s">
        <v>133</v>
      </c>
      <c r="G748" s="40" t="s">
        <v>1703</v>
      </c>
      <c r="H748" s="15" t="s">
        <v>47</v>
      </c>
      <c r="I748" s="15" t="s">
        <v>659</v>
      </c>
      <c r="J748" s="41"/>
      <c r="K748" s="37" t="str">
        <f t="array" ref="K748">IFERROR(VLOOKUP(B748, SORT('Nhật ký nộp hồ sơ '!B:D, 'Nhật ký nộp hồ sơ '!A:A, FALSE), 3, FALSE),"")</f>
        <v>Hoàn thành</v>
      </c>
      <c r="L748" s="37" t="str">
        <f t="shared" si="1"/>
        <v>Hoàn thành</v>
      </c>
      <c r="M748" s="15" t="s">
        <v>41</v>
      </c>
      <c r="N748" s="38">
        <f>IFERROR(__xludf.DUMMYFUNCTION("""COMPUTED_VALUE"""),46135.0)</f>
        <v>46135</v>
      </c>
      <c r="O748" s="38">
        <v>46138.0</v>
      </c>
      <c r="P748" s="38">
        <f>IFERROR(__xludf.DUMMYFUNCTION("IFERROR(QUERY('Nhật ký nộp hồ sơ '!A:I, ""SELECT I WHERE B = '""&amp;B748&amp;""' ORDER BY A DESC LIMIT 1"", 0))"),46136.0)</f>
        <v>46136</v>
      </c>
      <c r="Q748" s="38">
        <f t="shared" si="2"/>
        <v>46136</v>
      </c>
      <c r="R748" s="37">
        <v>1.0</v>
      </c>
      <c r="S748" s="37"/>
      <c r="T748" s="15"/>
      <c r="U748" s="36"/>
      <c r="V748" s="18" t="s">
        <v>34</v>
      </c>
      <c r="W748" s="15"/>
      <c r="X748" s="15"/>
    </row>
    <row r="749" ht="22.5" customHeight="1">
      <c r="A749" s="35">
        <v>46135.391662291666</v>
      </c>
      <c r="B749" s="12" t="s">
        <v>1708</v>
      </c>
      <c r="C749" s="15" t="s">
        <v>1709</v>
      </c>
      <c r="D749" s="36"/>
      <c r="E749" s="15" t="s">
        <v>45</v>
      </c>
      <c r="F749" s="15" t="s">
        <v>133</v>
      </c>
      <c r="G749" s="40" t="s">
        <v>1710</v>
      </c>
      <c r="H749" s="15" t="s">
        <v>69</v>
      </c>
      <c r="I749" s="15" t="s">
        <v>659</v>
      </c>
      <c r="J749" s="41"/>
      <c r="K749" s="37" t="str">
        <f t="array" ref="K749">IFERROR(VLOOKUP(B749, SORT('Nhật ký nộp hồ sơ '!B:D, 'Nhật ký nộp hồ sơ '!A:A, FALSE), 3, FALSE),"")</f>
        <v>Hoàn thành</v>
      </c>
      <c r="L749" s="37" t="str">
        <f t="shared" si="1"/>
        <v>Hoàn thành</v>
      </c>
      <c r="M749" s="15" t="s">
        <v>56</v>
      </c>
      <c r="N749" s="38">
        <f>IFERROR(__xludf.DUMMYFUNCTION("""COMPUTED_VALUE"""),46135.0)</f>
        <v>46135</v>
      </c>
      <c r="O749" s="38">
        <v>46138.0</v>
      </c>
      <c r="P749" s="38">
        <f>IFERROR(__xludf.DUMMYFUNCTION("IFERROR(QUERY('Nhật ký nộp hồ sơ '!A:I, ""SELECT I WHERE B = '""&amp;B749&amp;""' ORDER BY A DESC LIMIT 1"", 0))"),46148.0)</f>
        <v>46148</v>
      </c>
      <c r="Q749" s="38">
        <f t="shared" si="2"/>
        <v>46148</v>
      </c>
      <c r="R749" s="37">
        <v>1.0</v>
      </c>
      <c r="S749" s="37"/>
      <c r="T749" s="15"/>
      <c r="U749" s="36"/>
      <c r="V749" s="18" t="s">
        <v>34</v>
      </c>
      <c r="W749" s="15"/>
      <c r="X749" s="15"/>
    </row>
    <row r="750" ht="22.5" customHeight="1">
      <c r="A750" s="35">
        <v>46135.410186678244</v>
      </c>
      <c r="B750" s="12" t="s">
        <v>1711</v>
      </c>
      <c r="C750" s="15" t="s">
        <v>1712</v>
      </c>
      <c r="D750" s="36"/>
      <c r="E750" s="15" t="s">
        <v>45</v>
      </c>
      <c r="F750" s="15" t="s">
        <v>46</v>
      </c>
      <c r="G750" s="15"/>
      <c r="H750" s="15" t="s">
        <v>69</v>
      </c>
      <c r="I750" s="15" t="s">
        <v>659</v>
      </c>
      <c r="J750" s="41"/>
      <c r="K750" s="37" t="str">
        <f t="array" ref="K750">IFERROR(VLOOKUP(B750, SORT('Nhật ký nộp hồ sơ '!B:D, 'Nhật ký nộp hồ sơ '!A:A, FALSE), 3, FALSE),"")</f>
        <v>Hủy</v>
      </c>
      <c r="L750" s="37" t="str">
        <f t="shared" si="1"/>
        <v>ĐÃ HỦY</v>
      </c>
      <c r="M750" s="15" t="s">
        <v>48</v>
      </c>
      <c r="N750" s="38">
        <f>IFERROR(__xludf.DUMMYFUNCTION("""COMPUTED_VALUE"""),46135.0)</f>
        <v>46135</v>
      </c>
      <c r="O750" s="38">
        <v>46138.0</v>
      </c>
      <c r="P750" s="38">
        <f>IFERROR(__xludf.DUMMYFUNCTION("IFERROR(QUERY('Nhật ký nộp hồ sơ '!A:I, ""SELECT I WHERE B = '""&amp;B750&amp;""' ORDER BY A DESC LIMIT 1"", 0))"),46164.0)</f>
        <v>46164</v>
      </c>
      <c r="Q750" s="38" t="str">
        <f t="shared" si="2"/>
        <v/>
      </c>
      <c r="R750" s="37">
        <v>3.0</v>
      </c>
      <c r="S750" s="37"/>
      <c r="T750" s="15"/>
      <c r="U750" s="36"/>
      <c r="V750" s="18" t="s">
        <v>34</v>
      </c>
      <c r="W750" s="15"/>
      <c r="X750" s="15"/>
    </row>
    <row r="751" ht="22.5" customHeight="1">
      <c r="A751" s="35">
        <v>46136.50159891204</v>
      </c>
      <c r="B751" s="12" t="s">
        <v>1713</v>
      </c>
      <c r="C751" s="15" t="s">
        <v>1714</v>
      </c>
      <c r="D751" s="36"/>
      <c r="E751" s="15" t="s">
        <v>88</v>
      </c>
      <c r="F751" s="15" t="s">
        <v>133</v>
      </c>
      <c r="G751" s="15"/>
      <c r="H751" s="15" t="s">
        <v>69</v>
      </c>
      <c r="I751" s="15" t="s">
        <v>659</v>
      </c>
      <c r="J751" s="41"/>
      <c r="K751" s="37" t="str">
        <f t="array" ref="K751">IFERROR(VLOOKUP(B751, SORT('Nhật ký nộp hồ sơ '!B:D, 'Nhật ký nộp hồ sơ '!A:A, FALSE), 3, FALSE),"")</f>
        <v>Hủy</v>
      </c>
      <c r="L751" s="37" t="str">
        <f t="shared" si="1"/>
        <v>ĐÃ HỦY</v>
      </c>
      <c r="M751" s="15" t="s">
        <v>48</v>
      </c>
      <c r="N751" s="38">
        <f>IFERROR(__xludf.DUMMYFUNCTION("""COMPUTED_VALUE"""),46136.0)</f>
        <v>46136</v>
      </c>
      <c r="O751" s="38">
        <v>46139.0</v>
      </c>
      <c r="P751" s="38">
        <f>IFERROR(__xludf.DUMMYFUNCTION("IFERROR(QUERY('Nhật ký nộp hồ sơ '!A:I, ""SELECT I WHERE B = '""&amp;B751&amp;""' ORDER BY A DESC LIMIT 1"", 0))"),46164.0)</f>
        <v>46164</v>
      </c>
      <c r="Q751" s="38" t="str">
        <f t="shared" si="2"/>
        <v/>
      </c>
      <c r="R751" s="37">
        <v>1.0</v>
      </c>
      <c r="S751" s="37"/>
      <c r="T751" s="15"/>
      <c r="U751" s="36"/>
      <c r="V751" s="18" t="s">
        <v>34</v>
      </c>
      <c r="W751" s="15"/>
      <c r="X751" s="15"/>
    </row>
    <row r="752" ht="22.5" customHeight="1">
      <c r="A752" s="35">
        <v>46136.66813590278</v>
      </c>
      <c r="B752" s="12" t="s">
        <v>1715</v>
      </c>
      <c r="C752" s="15" t="s">
        <v>1716</v>
      </c>
      <c r="D752" s="36"/>
      <c r="E752" s="15" t="s">
        <v>122</v>
      </c>
      <c r="F752" s="15" t="s">
        <v>133</v>
      </c>
      <c r="G752" s="40" t="s">
        <v>1717</v>
      </c>
      <c r="H752" s="15" t="s">
        <v>28</v>
      </c>
      <c r="I752" s="15" t="s">
        <v>659</v>
      </c>
      <c r="J752" s="41"/>
      <c r="K752" s="37" t="str">
        <f t="array" ref="K752">IFERROR(VLOOKUP(B752, SORT('Nhật ký nộp hồ sơ '!B:D, 'Nhật ký nộp hồ sơ '!A:A, FALSE), 3, FALSE),"")</f>
        <v>Nộp thành công - Chờ kết quả</v>
      </c>
      <c r="L752" s="37" t="str">
        <f t="shared" si="1"/>
        <v>Đã nộp</v>
      </c>
      <c r="M752" s="15" t="s">
        <v>56</v>
      </c>
      <c r="N752" s="38">
        <f>IFERROR(__xludf.DUMMYFUNCTION("""COMPUTED_VALUE"""),46136.0)</f>
        <v>46136</v>
      </c>
      <c r="O752" s="38">
        <v>46139.0</v>
      </c>
      <c r="P752" s="38">
        <f>IFERROR(__xludf.DUMMYFUNCTION("IFERROR(QUERY('Nhật ký nộp hồ sơ '!A:I, ""SELECT I WHERE B = '""&amp;B752&amp;""' ORDER BY A DESC LIMIT 1"", 0))"),46165.0)</f>
        <v>46165</v>
      </c>
      <c r="Q752" s="38" t="str">
        <f t="shared" si="2"/>
        <v/>
      </c>
      <c r="R752" s="37">
        <v>1.0</v>
      </c>
      <c r="S752" s="37"/>
      <c r="T752" s="15"/>
      <c r="U752" s="36"/>
      <c r="V752" s="18" t="s">
        <v>34</v>
      </c>
      <c r="W752" s="15"/>
      <c r="X752" s="15"/>
    </row>
    <row r="753" ht="22.5" customHeight="1">
      <c r="A753" s="35">
        <v>46139.759778645835</v>
      </c>
      <c r="B753" s="12" t="s">
        <v>1718</v>
      </c>
      <c r="C753" s="15" t="s">
        <v>1719</v>
      </c>
      <c r="D753" s="36"/>
      <c r="E753" s="15" t="s">
        <v>26</v>
      </c>
      <c r="F753" s="15" t="s">
        <v>167</v>
      </c>
      <c r="G753" s="15"/>
      <c r="H753" s="15" t="s">
        <v>28</v>
      </c>
      <c r="I753" s="15" t="s">
        <v>100</v>
      </c>
      <c r="J753" s="41"/>
      <c r="K753" s="37" t="str">
        <f t="array" ref="K753">IFERROR(VLOOKUP(B753, SORT('Nhật ký nộp hồ sơ '!B:D, 'Nhật ký nộp hồ sơ '!A:A, FALSE), 3, FALSE),"")</f>
        <v>Hoàn thành</v>
      </c>
      <c r="L753" s="37" t="str">
        <f t="shared" si="1"/>
        <v>Hoàn thành</v>
      </c>
      <c r="M753" s="15" t="s">
        <v>56</v>
      </c>
      <c r="N753" s="38">
        <f>IFERROR(__xludf.DUMMYFUNCTION("""COMPUTED_VALUE"""),46139.0)</f>
        <v>46139</v>
      </c>
      <c r="O753" s="38">
        <v>46142.0</v>
      </c>
      <c r="P753" s="38">
        <f>IFERROR(__xludf.DUMMYFUNCTION("IFERROR(QUERY('Nhật ký nộp hồ sơ '!A:I, ""SELECT I WHERE B = '""&amp;B753&amp;""' ORDER BY A DESC LIMIT 1"", 0))"),46161.0)</f>
        <v>46161</v>
      </c>
      <c r="Q753" s="38">
        <f t="shared" si="2"/>
        <v>46161</v>
      </c>
      <c r="R753" s="37">
        <v>1.0</v>
      </c>
      <c r="S753" s="37"/>
      <c r="T753" s="15"/>
      <c r="U753" s="36"/>
      <c r="V753" s="18" t="s">
        <v>34</v>
      </c>
      <c r="W753" s="15"/>
      <c r="X753" s="15"/>
    </row>
    <row r="754" ht="22.5" customHeight="1">
      <c r="A754" s="35">
        <v>46140.57737594907</v>
      </c>
      <c r="B754" s="12" t="s">
        <v>1720</v>
      </c>
      <c r="C754" s="15" t="s">
        <v>1719</v>
      </c>
      <c r="D754" s="36"/>
      <c r="E754" s="15" t="s">
        <v>26</v>
      </c>
      <c r="F754" s="15" t="s">
        <v>167</v>
      </c>
      <c r="G754" s="15"/>
      <c r="H754" s="15" t="s">
        <v>28</v>
      </c>
      <c r="I754" s="15" t="s">
        <v>81</v>
      </c>
      <c r="J754" s="41"/>
      <c r="K754" s="37" t="str">
        <f t="array" ref="K754">IFERROR(VLOOKUP(B754, SORT('Nhật ký nộp hồ sơ '!B:D, 'Nhật ký nộp hồ sơ '!A:A, FALSE), 3, FALSE),"")</f>
        <v>Hoàn thành</v>
      </c>
      <c r="L754" s="37" t="str">
        <f t="shared" si="1"/>
        <v>Hoàn thành</v>
      </c>
      <c r="M754" s="15" t="s">
        <v>146</v>
      </c>
      <c r="N754" s="38">
        <f>IFERROR(__xludf.DUMMYFUNCTION("""COMPUTED_VALUE"""),46140.0)</f>
        <v>46140</v>
      </c>
      <c r="O754" s="38">
        <v>46143.0</v>
      </c>
      <c r="P754" s="38">
        <f>IFERROR(__xludf.DUMMYFUNCTION("IFERROR(QUERY('Nhật ký nộp hồ sơ '!A:I, ""SELECT I WHERE B = '""&amp;B754&amp;""' ORDER BY A DESC LIMIT 1"", 0))"),46141.0)</f>
        <v>46141</v>
      </c>
      <c r="Q754" s="38">
        <f t="shared" si="2"/>
        <v>46141</v>
      </c>
      <c r="R754" s="37">
        <v>1.0</v>
      </c>
      <c r="S754" s="37"/>
      <c r="T754" s="15"/>
      <c r="U754" s="36"/>
      <c r="V754" s="18" t="s">
        <v>34</v>
      </c>
      <c r="W754" s="15"/>
      <c r="X754" s="15"/>
    </row>
    <row r="755" ht="22.5" customHeight="1">
      <c r="A755" s="35">
        <v>46140.612059039355</v>
      </c>
      <c r="B755" s="12" t="s">
        <v>1721</v>
      </c>
      <c r="C755" s="15" t="s">
        <v>1722</v>
      </c>
      <c r="D755" s="36"/>
      <c r="E755" s="15" t="s">
        <v>151</v>
      </c>
      <c r="F755" s="15" t="s">
        <v>133</v>
      </c>
      <c r="G755" s="15" t="s">
        <v>1723</v>
      </c>
      <c r="H755" s="15" t="s">
        <v>28</v>
      </c>
      <c r="I755" s="15" t="s">
        <v>81</v>
      </c>
      <c r="J755" s="41"/>
      <c r="K755" s="37" t="str">
        <f t="array" ref="K755">IFERROR(VLOOKUP(B755, SORT('Nhật ký nộp hồ sơ '!B:D, 'Nhật ký nộp hồ sơ '!A:A, FALSE), 3, FALSE),"")</f>
        <v>Nộp thành công - Chờ kết quả</v>
      </c>
      <c r="L755" s="37" t="str">
        <f t="shared" si="1"/>
        <v>Đã nộp</v>
      </c>
      <c r="M755" s="15" t="s">
        <v>48</v>
      </c>
      <c r="N755" s="38">
        <f>IFERROR(__xludf.DUMMYFUNCTION("""COMPUTED_VALUE"""),46140.0)</f>
        <v>46140</v>
      </c>
      <c r="O755" s="38">
        <v>46143.0</v>
      </c>
      <c r="P755" s="38">
        <f>IFERROR(__xludf.DUMMYFUNCTION("IFERROR(QUERY('Nhật ký nộp hồ sơ '!A:I, ""SELECT I WHERE B = '""&amp;B755&amp;""' ORDER BY A DESC LIMIT 1"", 0))"),46195.0)</f>
        <v>46195</v>
      </c>
      <c r="Q755" s="38" t="str">
        <f t="shared" si="2"/>
        <v/>
      </c>
      <c r="R755" s="37">
        <v>1.0</v>
      </c>
      <c r="S755" s="37" t="s">
        <v>1724</v>
      </c>
      <c r="T755" s="15"/>
      <c r="U755" s="36"/>
      <c r="V755" s="18" t="s">
        <v>34</v>
      </c>
      <c r="W755" s="15"/>
      <c r="X755" s="15"/>
    </row>
    <row r="756" ht="22.5" customHeight="1">
      <c r="A756" s="35">
        <v>46141.60347690972</v>
      </c>
      <c r="B756" s="12" t="s">
        <v>1725</v>
      </c>
      <c r="C756" s="15" t="s">
        <v>1726</v>
      </c>
      <c r="D756" s="36"/>
      <c r="E756" s="15" t="s">
        <v>53</v>
      </c>
      <c r="F756" s="15" t="s">
        <v>133</v>
      </c>
      <c r="G756" s="15"/>
      <c r="H756" s="15" t="s">
        <v>28</v>
      </c>
      <c r="I756" s="15" t="s">
        <v>29</v>
      </c>
      <c r="J756" s="41"/>
      <c r="K756" s="37" t="str">
        <f t="array" ref="K756">IFERROR(VLOOKUP(B756, SORT('Nhật ký nộp hồ sơ '!B:D, 'Nhật ký nộp hồ sơ '!A:A, FALSE), 3, FALSE),"")</f>
        <v>Hoàn thành</v>
      </c>
      <c r="L756" s="37" t="str">
        <f t="shared" si="1"/>
        <v>Hoàn thành</v>
      </c>
      <c r="M756" s="15" t="s">
        <v>216</v>
      </c>
      <c r="N756" s="38">
        <f>IFERROR(__xludf.DUMMYFUNCTION("""COMPUTED_VALUE"""),46141.0)</f>
        <v>46141</v>
      </c>
      <c r="O756" s="38">
        <v>46144.0</v>
      </c>
      <c r="P756" s="38">
        <f>IFERROR(__xludf.DUMMYFUNCTION("IFERROR(QUERY('Nhật ký nộp hồ sơ '!A:I, ""SELECT I WHERE B = '""&amp;B756&amp;""' ORDER BY A DESC LIMIT 1"", 0))"),46141.0)</f>
        <v>46141</v>
      </c>
      <c r="Q756" s="38">
        <f t="shared" si="2"/>
        <v>46141</v>
      </c>
      <c r="R756" s="37">
        <v>2.0</v>
      </c>
      <c r="S756" s="37"/>
      <c r="T756" s="15"/>
      <c r="U756" s="36"/>
      <c r="V756" s="18" t="s">
        <v>34</v>
      </c>
      <c r="W756" s="15">
        <v>4.0</v>
      </c>
      <c r="X756" s="15" t="s">
        <v>1188</v>
      </c>
    </row>
    <row r="757" ht="22.5" customHeight="1">
      <c r="A757" s="35">
        <v>46141.65201075231</v>
      </c>
      <c r="B757" s="12" t="s">
        <v>1727</v>
      </c>
      <c r="C757" s="15" t="s">
        <v>1728</v>
      </c>
      <c r="D757" s="36"/>
      <c r="E757" s="15" t="s">
        <v>26</v>
      </c>
      <c r="F757" s="15" t="s">
        <v>338</v>
      </c>
      <c r="G757" s="15"/>
      <c r="H757" s="15" t="s">
        <v>28</v>
      </c>
      <c r="I757" s="15" t="s">
        <v>29</v>
      </c>
      <c r="J757" s="39" t="s">
        <v>202</v>
      </c>
      <c r="K757" s="37" t="str">
        <f t="array" ref="K757">IFERROR(VLOOKUP(B757, SORT('Nhật ký nộp hồ sơ '!B:D, 'Nhật ký nộp hồ sơ '!A:A, FALSE), 3, FALSE),"")</f>
        <v>Hoàn thành</v>
      </c>
      <c r="L757" s="37" t="str">
        <f t="shared" si="1"/>
        <v>Hoàn thành</v>
      </c>
      <c r="M757" s="15" t="s">
        <v>41</v>
      </c>
      <c r="N757" s="38">
        <f>IFERROR(__xludf.DUMMYFUNCTION("""COMPUTED_VALUE"""),46141.0)</f>
        <v>46141</v>
      </c>
      <c r="O757" s="38">
        <v>46142.0</v>
      </c>
      <c r="P757" s="38">
        <f>IFERROR(__xludf.DUMMYFUNCTION("IFERROR(QUERY('Nhật ký nộp hồ sơ '!A:I, ""SELECT I WHERE B = '""&amp;B757&amp;""' ORDER BY A DESC LIMIT 1"", 0))"),46141.0)</f>
        <v>46141</v>
      </c>
      <c r="Q757" s="38">
        <f t="shared" si="2"/>
        <v>46141</v>
      </c>
      <c r="R757" s="37">
        <v>1.0</v>
      </c>
      <c r="S757" s="37"/>
      <c r="T757" s="15"/>
      <c r="U757" s="36"/>
      <c r="V757" s="18" t="s">
        <v>34</v>
      </c>
      <c r="W757" s="15"/>
      <c r="X757" s="15"/>
    </row>
    <row r="758" ht="22.5" customHeight="1">
      <c r="A758" s="35">
        <v>46146.41392900463</v>
      </c>
      <c r="B758" s="12" t="s">
        <v>1729</v>
      </c>
      <c r="C758" s="15" t="s">
        <v>1730</v>
      </c>
      <c r="D758" s="39" t="s">
        <v>44</v>
      </c>
      <c r="E758" s="15" t="s">
        <v>45</v>
      </c>
      <c r="F758" s="15" t="s">
        <v>133</v>
      </c>
      <c r="G758" s="40" t="s">
        <v>720</v>
      </c>
      <c r="H758" s="15" t="s">
        <v>47</v>
      </c>
      <c r="I758" s="15" t="s">
        <v>81</v>
      </c>
      <c r="J758" s="36"/>
      <c r="K758" s="37" t="str">
        <f t="array" ref="K758">IFERROR(VLOOKUP(B758, SORT('Nhật ký nộp hồ sơ '!B:D, 'Nhật ký nộp hồ sơ '!A:A, FALSE), 3, FALSE),"")</f>
        <v>Hoàn thành</v>
      </c>
      <c r="L758" s="37" t="str">
        <f t="shared" si="1"/>
        <v>Hoàn thành</v>
      </c>
      <c r="M758" s="15" t="s">
        <v>135</v>
      </c>
      <c r="N758" s="38">
        <f>IFERROR(__xludf.DUMMYFUNCTION("""COMPUTED_VALUE"""),46146.0)</f>
        <v>46146</v>
      </c>
      <c r="O758" s="38">
        <v>46149.0</v>
      </c>
      <c r="P758" s="38">
        <f>IFERROR(__xludf.DUMMYFUNCTION("IFERROR(QUERY('Nhật ký nộp hồ sơ '!A:I, ""SELECT I WHERE B = '""&amp;B758&amp;""' ORDER BY A DESC LIMIT 1"", 0))"),46168.0)</f>
        <v>46168</v>
      </c>
      <c r="Q758" s="38">
        <f t="shared" si="2"/>
        <v>46168</v>
      </c>
      <c r="R758" s="37">
        <v>1.0</v>
      </c>
      <c r="S758" s="37"/>
      <c r="T758" s="37"/>
      <c r="U758" s="36"/>
      <c r="V758" s="18" t="s">
        <v>34</v>
      </c>
      <c r="W758" s="37"/>
      <c r="X758" s="37"/>
    </row>
    <row r="759" ht="22.5" customHeight="1">
      <c r="A759" s="35">
        <v>46146.414311099536</v>
      </c>
      <c r="B759" s="12" t="s">
        <v>1731</v>
      </c>
      <c r="C759" s="15" t="s">
        <v>1732</v>
      </c>
      <c r="D759" s="39" t="s">
        <v>44</v>
      </c>
      <c r="E759" s="15" t="s">
        <v>45</v>
      </c>
      <c r="F759" s="15" t="s">
        <v>133</v>
      </c>
      <c r="G759" s="40" t="s">
        <v>720</v>
      </c>
      <c r="H759" s="15" t="s">
        <v>47</v>
      </c>
      <c r="I759" s="15" t="s">
        <v>81</v>
      </c>
      <c r="J759" s="36"/>
      <c r="K759" s="37" t="str">
        <f t="array" ref="K759">IFERROR(VLOOKUP(B759, SORT('Nhật ký nộp hồ sơ '!B:D, 'Nhật ký nộp hồ sơ '!A:A, FALSE), 3, FALSE),"")</f>
        <v>Hoàn thành</v>
      </c>
      <c r="L759" s="37" t="str">
        <f t="shared" si="1"/>
        <v>Hoàn thành</v>
      </c>
      <c r="M759" s="15" t="s">
        <v>135</v>
      </c>
      <c r="N759" s="38">
        <f>IFERROR(__xludf.DUMMYFUNCTION("""COMPUTED_VALUE"""),46146.0)</f>
        <v>46146</v>
      </c>
      <c r="O759" s="38">
        <v>46149.0</v>
      </c>
      <c r="P759" s="38">
        <f>IFERROR(__xludf.DUMMYFUNCTION("IFERROR(QUERY('Nhật ký nộp hồ sơ '!A:I, ""SELECT I WHERE B = '""&amp;B759&amp;""' ORDER BY A DESC LIMIT 1"", 0))"),46168.0)</f>
        <v>46168</v>
      </c>
      <c r="Q759" s="38">
        <f t="shared" si="2"/>
        <v>46168</v>
      </c>
      <c r="R759" s="37">
        <v>1.0</v>
      </c>
      <c r="S759" s="37"/>
      <c r="T759" s="37"/>
      <c r="U759" s="36"/>
      <c r="V759" s="18" t="s">
        <v>34</v>
      </c>
      <c r="W759" s="37"/>
      <c r="X759" s="37"/>
    </row>
    <row r="760" ht="22.5" customHeight="1">
      <c r="A760" s="35">
        <v>46146.439847939815</v>
      </c>
      <c r="B760" s="12" t="s">
        <v>1733</v>
      </c>
      <c r="C760" s="15" t="s">
        <v>1734</v>
      </c>
      <c r="D760" s="36"/>
      <c r="E760" s="15" t="s">
        <v>26</v>
      </c>
      <c r="F760" s="15" t="s">
        <v>133</v>
      </c>
      <c r="G760" s="40" t="s">
        <v>1306</v>
      </c>
      <c r="H760" s="15" t="s">
        <v>29</v>
      </c>
      <c r="I760" s="15" t="s">
        <v>28</v>
      </c>
      <c r="J760" s="36"/>
      <c r="K760" s="37" t="str">
        <f t="array" ref="K760">IFERROR(VLOOKUP(B760, SORT('Nhật ký nộp hồ sơ '!B:D, 'Nhật ký nộp hồ sơ '!A:A, FALSE), 3, FALSE),"")</f>
        <v>Hoàn thành</v>
      </c>
      <c r="L760" s="37" t="str">
        <f t="shared" si="1"/>
        <v>Hoàn thành</v>
      </c>
      <c r="M760" s="15" t="s">
        <v>30</v>
      </c>
      <c r="N760" s="38">
        <f>IFERROR(__xludf.DUMMYFUNCTION("""COMPUTED_VALUE"""),46146.0)</f>
        <v>46146</v>
      </c>
      <c r="O760" s="38">
        <v>46149.0</v>
      </c>
      <c r="P760" s="38">
        <f>IFERROR(__xludf.DUMMYFUNCTION("IFERROR(QUERY('Nhật ký nộp hồ sơ '!A:I, ""SELECT I WHERE B = '""&amp;B760&amp;""' ORDER BY A DESC LIMIT 1"", 0))"),46191.0)</f>
        <v>46191</v>
      </c>
      <c r="Q760" s="38">
        <f t="shared" si="2"/>
        <v>46191</v>
      </c>
      <c r="R760" s="37">
        <v>1.0</v>
      </c>
      <c r="S760" s="15" t="s">
        <v>1735</v>
      </c>
      <c r="T760" s="15" t="s">
        <v>1736</v>
      </c>
      <c r="U760" s="36"/>
      <c r="V760" s="36"/>
      <c r="W760" s="37"/>
      <c r="X760" s="37"/>
    </row>
    <row r="761" ht="22.5" customHeight="1">
      <c r="A761" s="35">
        <v>46146.6129455787</v>
      </c>
      <c r="B761" s="12" t="s">
        <v>1737</v>
      </c>
      <c r="C761" s="15" t="s">
        <v>1738</v>
      </c>
      <c r="D761" s="36"/>
      <c r="E761" s="15" t="s">
        <v>45</v>
      </c>
      <c r="F761" s="15" t="s">
        <v>133</v>
      </c>
      <c r="G761" s="40" t="s">
        <v>1739</v>
      </c>
      <c r="H761" s="15" t="s">
        <v>28</v>
      </c>
      <c r="I761" s="15" t="s">
        <v>659</v>
      </c>
      <c r="J761" s="36"/>
      <c r="K761" s="37" t="str">
        <f t="array" ref="K761">IFERROR(VLOOKUP(B761, SORT('Nhật ký nộp hồ sơ '!B:D, 'Nhật ký nộp hồ sơ '!A:A, FALSE), 3, FALSE),"")</f>
        <v>Hoàn thành</v>
      </c>
      <c r="L761" s="37" t="str">
        <f t="shared" si="1"/>
        <v>Hoàn thành</v>
      </c>
      <c r="M761" s="15" t="s">
        <v>56</v>
      </c>
      <c r="N761" s="38">
        <f>IFERROR(__xludf.DUMMYFUNCTION("""COMPUTED_VALUE"""),46146.0)</f>
        <v>46146</v>
      </c>
      <c r="O761" s="38">
        <v>46149.0</v>
      </c>
      <c r="P761" s="38">
        <f>IFERROR(__xludf.DUMMYFUNCTION("IFERROR(QUERY('Nhật ký nộp hồ sơ '!A:I, ""SELECT I WHERE B = '""&amp;B761&amp;""' ORDER BY A DESC LIMIT 1"", 0))"),46150.0)</f>
        <v>46150</v>
      </c>
      <c r="Q761" s="38">
        <f t="shared" si="2"/>
        <v>46150</v>
      </c>
      <c r="R761" s="37">
        <v>3.0</v>
      </c>
      <c r="S761" s="15"/>
      <c r="T761" s="37"/>
      <c r="U761" s="36"/>
      <c r="V761" s="18" t="s">
        <v>34</v>
      </c>
      <c r="W761" s="37"/>
      <c r="X761" s="37"/>
    </row>
    <row r="762" ht="22.5" customHeight="1">
      <c r="A762" s="35">
        <v>46146.73365631944</v>
      </c>
      <c r="B762" s="12" t="s">
        <v>1740</v>
      </c>
      <c r="C762" s="15" t="s">
        <v>1741</v>
      </c>
      <c r="D762" s="36"/>
      <c r="E762" s="15" t="s">
        <v>151</v>
      </c>
      <c r="F762" s="15" t="s">
        <v>133</v>
      </c>
      <c r="G762" s="15" t="s">
        <v>1742</v>
      </c>
      <c r="H762" s="15" t="s">
        <v>28</v>
      </c>
      <c r="I762" s="15" t="s">
        <v>81</v>
      </c>
      <c r="J762" s="36"/>
      <c r="K762" s="37" t="str">
        <f t="array" ref="K762">IFERROR(VLOOKUP(B762, SORT('Nhật ký nộp hồ sơ '!B:D, 'Nhật ký nộp hồ sơ '!A:A, FALSE), 3, FALSE),"")</f>
        <v>Hủy</v>
      </c>
      <c r="L762" s="37" t="str">
        <f t="shared" si="1"/>
        <v>ĐÃ HỦY</v>
      </c>
      <c r="M762" s="15" t="s">
        <v>56</v>
      </c>
      <c r="N762" s="38">
        <f>IFERROR(__xludf.DUMMYFUNCTION("""COMPUTED_VALUE"""),46146.0)</f>
        <v>46146</v>
      </c>
      <c r="O762" s="38">
        <v>46149.0</v>
      </c>
      <c r="P762" s="38">
        <f>IFERROR(__xludf.DUMMYFUNCTION("IFERROR(QUERY('Nhật ký nộp hồ sơ '!A:I, ""SELECT I WHERE B = '""&amp;B762&amp;""' ORDER BY A DESC LIMIT 1"", 0))"),46164.0)</f>
        <v>46164</v>
      </c>
      <c r="Q762" s="37" t="str">
        <f t="shared" si="2"/>
        <v/>
      </c>
      <c r="R762" s="37">
        <v>2.0</v>
      </c>
      <c r="S762" s="15"/>
      <c r="T762" s="37"/>
      <c r="U762" s="36"/>
      <c r="V762" s="18" t="s">
        <v>34</v>
      </c>
      <c r="W762" s="37"/>
      <c r="X762" s="37"/>
    </row>
    <row r="763" ht="22.5" customHeight="1">
      <c r="A763" s="35">
        <v>46146.73424413195</v>
      </c>
      <c r="B763" s="12" t="s">
        <v>1743</v>
      </c>
      <c r="C763" s="15" t="s">
        <v>1741</v>
      </c>
      <c r="D763" s="36"/>
      <c r="E763" s="15" t="s">
        <v>151</v>
      </c>
      <c r="F763" s="15" t="s">
        <v>133</v>
      </c>
      <c r="G763" s="15" t="s">
        <v>1742</v>
      </c>
      <c r="H763" s="15" t="s">
        <v>28</v>
      </c>
      <c r="I763" s="15" t="s">
        <v>81</v>
      </c>
      <c r="J763" s="36"/>
      <c r="K763" s="37" t="str">
        <f t="array" ref="K763">IFERROR(VLOOKUP(B763, SORT('Nhật ký nộp hồ sơ '!B:D, 'Nhật ký nộp hồ sơ '!A:A, FALSE), 3, FALSE),"")</f>
        <v>Hoàn thành</v>
      </c>
      <c r="L763" s="37" t="str">
        <f t="shared" si="1"/>
        <v>Hoàn thành</v>
      </c>
      <c r="M763" s="15" t="s">
        <v>146</v>
      </c>
      <c r="N763" s="38">
        <f>IFERROR(__xludf.DUMMYFUNCTION("""COMPUTED_VALUE"""),46146.0)</f>
        <v>46146</v>
      </c>
      <c r="O763" s="38">
        <v>46149.0</v>
      </c>
      <c r="P763" s="38">
        <f>IFERROR(__xludf.DUMMYFUNCTION("IFERROR(QUERY('Nhật ký nộp hồ sơ '!A:I, ""SELECT I WHERE B = '""&amp;B763&amp;""' ORDER BY A DESC LIMIT 1"", 0))"),46147.0)</f>
        <v>46147</v>
      </c>
      <c r="Q763" s="38">
        <f t="shared" si="2"/>
        <v>46147</v>
      </c>
      <c r="R763" s="37">
        <v>2.0</v>
      </c>
      <c r="S763" s="15"/>
      <c r="T763" s="37"/>
      <c r="U763" s="36"/>
      <c r="V763" s="18" t="s">
        <v>34</v>
      </c>
      <c r="W763" s="37"/>
      <c r="X763" s="37"/>
    </row>
    <row r="764" ht="22.5" customHeight="1">
      <c r="A764" s="35">
        <v>46146.82631230324</v>
      </c>
      <c r="B764" s="12" t="s">
        <v>1744</v>
      </c>
      <c r="C764" s="15" t="s">
        <v>1745</v>
      </c>
      <c r="D764" s="36"/>
      <c r="E764" s="15" t="s">
        <v>45</v>
      </c>
      <c r="F764" s="15" t="s">
        <v>338</v>
      </c>
      <c r="G764" s="15"/>
      <c r="H764" s="15" t="s">
        <v>28</v>
      </c>
      <c r="I764" s="15" t="s">
        <v>659</v>
      </c>
      <c r="J764" s="36"/>
      <c r="K764" s="37" t="str">
        <f t="array" ref="K764">IFERROR(VLOOKUP(B764, SORT('Nhật ký nộp hồ sơ '!B:D, 'Nhật ký nộp hồ sơ '!A:A, FALSE), 3, FALSE),"")</f>
        <v>Hoàn thành</v>
      </c>
      <c r="L764" s="37" t="str">
        <f t="shared" si="1"/>
        <v>Hoàn thành</v>
      </c>
      <c r="M764" s="15" t="s">
        <v>56</v>
      </c>
      <c r="N764" s="38">
        <f>IFERROR(__xludf.DUMMYFUNCTION("""COMPUTED_VALUE"""),46146.0)</f>
        <v>46146</v>
      </c>
      <c r="O764" s="38">
        <v>46149.0</v>
      </c>
      <c r="P764" s="38">
        <f>IFERROR(__xludf.DUMMYFUNCTION("IFERROR(QUERY('Nhật ký nộp hồ sơ '!A:I, ""SELECT I WHERE B = '""&amp;B764&amp;""' ORDER BY A DESC LIMIT 1"", 0))"),46170.0)</f>
        <v>46170</v>
      </c>
      <c r="Q764" s="38">
        <f t="shared" si="2"/>
        <v>46170</v>
      </c>
      <c r="R764" s="37">
        <v>1.0</v>
      </c>
      <c r="S764" s="15"/>
      <c r="T764" s="37"/>
      <c r="U764" s="36"/>
      <c r="V764" s="18" t="s">
        <v>34</v>
      </c>
      <c r="W764" s="37"/>
      <c r="X764" s="37"/>
    </row>
    <row r="765" ht="22.5" customHeight="1">
      <c r="A765" s="35">
        <v>46147.481035335644</v>
      </c>
      <c r="B765" s="12" t="s">
        <v>1746</v>
      </c>
      <c r="C765" s="15" t="s">
        <v>1747</v>
      </c>
      <c r="D765" s="36"/>
      <c r="E765" s="15" t="s">
        <v>222</v>
      </c>
      <c r="F765" s="15" t="s">
        <v>133</v>
      </c>
      <c r="G765" s="15" t="s">
        <v>1748</v>
      </c>
      <c r="H765" s="15" t="s">
        <v>29</v>
      </c>
      <c r="I765" s="15" t="s">
        <v>659</v>
      </c>
      <c r="J765" s="39" t="s">
        <v>202</v>
      </c>
      <c r="K765" s="37" t="str">
        <f t="array" ref="K765">IFERROR(VLOOKUP(B765, SORT('Nhật ký nộp hồ sơ '!B:D, 'Nhật ký nộp hồ sơ '!A:A, FALSE), 3, FALSE),"")</f>
        <v>Hoàn thành</v>
      </c>
      <c r="L765" s="37" t="str">
        <f t="shared" si="1"/>
        <v>Hoàn thành</v>
      </c>
      <c r="M765" s="15" t="s">
        <v>41</v>
      </c>
      <c r="N765" s="38">
        <f>IFERROR(__xludf.DUMMYFUNCTION("""COMPUTED_VALUE"""),46147.0)</f>
        <v>46147</v>
      </c>
      <c r="O765" s="38">
        <v>46148.0</v>
      </c>
      <c r="P765" s="38">
        <f>IFERROR(__xludf.DUMMYFUNCTION("IFERROR(QUERY('Nhật ký nộp hồ sơ '!A:I, ""SELECT I WHERE B = '""&amp;B765&amp;""' ORDER BY A DESC LIMIT 1"", 0))"),46147.0)</f>
        <v>46147</v>
      </c>
      <c r="Q765" s="38">
        <f t="shared" si="2"/>
        <v>46147</v>
      </c>
      <c r="R765" s="37">
        <v>1.0</v>
      </c>
      <c r="S765" s="15"/>
      <c r="T765" s="37"/>
      <c r="U765" s="36"/>
      <c r="V765" s="18" t="s">
        <v>34</v>
      </c>
      <c r="W765" s="37"/>
      <c r="X765" s="37"/>
    </row>
    <row r="766" ht="22.5" customHeight="1">
      <c r="A766" s="35">
        <v>46147.481763275464</v>
      </c>
      <c r="B766" s="12" t="s">
        <v>1749</v>
      </c>
      <c r="C766" s="15" t="s">
        <v>1750</v>
      </c>
      <c r="D766" s="36"/>
      <c r="E766" s="15" t="s">
        <v>222</v>
      </c>
      <c r="F766" s="15" t="s">
        <v>133</v>
      </c>
      <c r="G766" s="15" t="s">
        <v>1748</v>
      </c>
      <c r="H766" s="15" t="s">
        <v>29</v>
      </c>
      <c r="I766" s="15" t="s">
        <v>81</v>
      </c>
      <c r="J766" s="36"/>
      <c r="K766" s="37" t="str">
        <f t="array" ref="K766">IFERROR(VLOOKUP(B766, SORT('Nhật ký nộp hồ sơ '!B:D, 'Nhật ký nộp hồ sơ '!A:A, FALSE), 3, FALSE),"")</f>
        <v>Hoàn thành</v>
      </c>
      <c r="L766" s="37" t="str">
        <f t="shared" si="1"/>
        <v>Hoàn thành</v>
      </c>
      <c r="M766" s="15" t="s">
        <v>41</v>
      </c>
      <c r="N766" s="38">
        <f>IFERROR(__xludf.DUMMYFUNCTION("""COMPUTED_VALUE"""),46147.0)</f>
        <v>46147</v>
      </c>
      <c r="O766" s="38">
        <v>46150.0</v>
      </c>
      <c r="P766" s="38">
        <f>IFERROR(__xludf.DUMMYFUNCTION("IFERROR(QUERY('Nhật ký nộp hồ sơ '!A:I, ""SELECT I WHERE B = '""&amp;B766&amp;""' ORDER BY A DESC LIMIT 1"", 0))"),46147.0)</f>
        <v>46147</v>
      </c>
      <c r="Q766" s="38">
        <f t="shared" si="2"/>
        <v>46147</v>
      </c>
      <c r="R766" s="37">
        <v>1.0</v>
      </c>
      <c r="S766" s="15"/>
      <c r="T766" s="37"/>
      <c r="U766" s="36"/>
      <c r="V766" s="18" t="s">
        <v>34</v>
      </c>
      <c r="W766" s="37"/>
      <c r="X766" s="37"/>
    </row>
    <row r="767" ht="22.5" customHeight="1">
      <c r="A767" s="35">
        <v>46147.482365081014</v>
      </c>
      <c r="B767" s="12" t="s">
        <v>1751</v>
      </c>
      <c r="C767" s="15" t="s">
        <v>1752</v>
      </c>
      <c r="D767" s="36"/>
      <c r="E767" s="15" t="s">
        <v>222</v>
      </c>
      <c r="F767" s="15" t="s">
        <v>133</v>
      </c>
      <c r="G767" s="15" t="s">
        <v>1748</v>
      </c>
      <c r="H767" s="15" t="s">
        <v>29</v>
      </c>
      <c r="I767" s="15" t="s">
        <v>81</v>
      </c>
      <c r="J767" s="39"/>
      <c r="K767" s="37" t="str">
        <f t="array" ref="K767">IFERROR(VLOOKUP(B767, SORT('Nhật ký nộp hồ sơ '!B:D, 'Nhật ký nộp hồ sơ '!A:A, FALSE), 3, FALSE),"")</f>
        <v>Hoàn thành</v>
      </c>
      <c r="L767" s="37" t="str">
        <f t="shared" si="1"/>
        <v>Hoàn thành</v>
      </c>
      <c r="M767" s="15" t="s">
        <v>41</v>
      </c>
      <c r="N767" s="38">
        <f>IFERROR(__xludf.DUMMYFUNCTION("""COMPUTED_VALUE"""),46147.0)</f>
        <v>46147</v>
      </c>
      <c r="O767" s="38">
        <v>46150.0</v>
      </c>
      <c r="P767" s="38">
        <f>IFERROR(__xludf.DUMMYFUNCTION("IFERROR(QUERY('Nhật ký nộp hồ sơ '!A:I, ""SELECT I WHERE B = '""&amp;B767&amp;""' ORDER BY A DESC LIMIT 1"", 0))"),46147.0)</f>
        <v>46147</v>
      </c>
      <c r="Q767" s="38">
        <f t="shared" si="2"/>
        <v>46147</v>
      </c>
      <c r="R767" s="37">
        <v>1.0</v>
      </c>
      <c r="S767" s="15"/>
      <c r="T767" s="37"/>
      <c r="U767" s="36"/>
      <c r="V767" s="18" t="s">
        <v>34</v>
      </c>
      <c r="W767" s="37"/>
      <c r="X767" s="37"/>
    </row>
    <row r="768" ht="22.5" customHeight="1">
      <c r="A768" s="35">
        <v>46147.568832453704</v>
      </c>
      <c r="B768" s="12" t="s">
        <v>1753</v>
      </c>
      <c r="C768" s="15" t="s">
        <v>1741</v>
      </c>
      <c r="D768" s="36"/>
      <c r="E768" s="15" t="s">
        <v>151</v>
      </c>
      <c r="F768" s="15" t="s">
        <v>133</v>
      </c>
      <c r="G768" s="15"/>
      <c r="H768" s="15" t="s">
        <v>28</v>
      </c>
      <c r="I768" s="15" t="s">
        <v>81</v>
      </c>
      <c r="J768" s="39" t="s">
        <v>202</v>
      </c>
      <c r="K768" s="37" t="str">
        <f t="array" ref="K768">IFERROR(VLOOKUP(B768, SORT('Nhật ký nộp hồ sơ '!B:D, 'Nhật ký nộp hồ sơ '!A:A, FALSE), 3, FALSE),"")</f>
        <v>Hoàn thành</v>
      </c>
      <c r="L768" s="37" t="str">
        <f t="shared" si="1"/>
        <v>Hoàn thành</v>
      </c>
      <c r="M768" s="15" t="s">
        <v>41</v>
      </c>
      <c r="N768" s="38">
        <f>IFERROR(__xludf.DUMMYFUNCTION("""COMPUTED_VALUE"""),46147.0)</f>
        <v>46147</v>
      </c>
      <c r="O768" s="38">
        <v>46148.0</v>
      </c>
      <c r="P768" s="38">
        <f>IFERROR(__xludf.DUMMYFUNCTION("IFERROR(QUERY('Nhật ký nộp hồ sơ '!A:I, ""SELECT I WHERE B = '""&amp;B768&amp;""' ORDER BY A DESC LIMIT 1"", 0))"),46147.0)</f>
        <v>46147</v>
      </c>
      <c r="Q768" s="38">
        <f t="shared" si="2"/>
        <v>46147</v>
      </c>
      <c r="R768" s="37">
        <v>1.0</v>
      </c>
      <c r="S768" s="15"/>
      <c r="T768" s="37"/>
      <c r="U768" s="36"/>
      <c r="V768" s="18" t="s">
        <v>34</v>
      </c>
      <c r="W768" s="37"/>
      <c r="X768" s="37"/>
    </row>
    <row r="769" ht="22.5" customHeight="1">
      <c r="A769" s="35">
        <v>46148.418149942125</v>
      </c>
      <c r="B769" s="12" t="s">
        <v>1754</v>
      </c>
      <c r="C769" s="15" t="s">
        <v>719</v>
      </c>
      <c r="D769" s="39" t="s">
        <v>44</v>
      </c>
      <c r="E769" s="15" t="s">
        <v>45</v>
      </c>
      <c r="F769" s="15" t="s">
        <v>1755</v>
      </c>
      <c r="G769" s="15"/>
      <c r="H769" s="15" t="s">
        <v>69</v>
      </c>
      <c r="I769" s="15" t="s">
        <v>659</v>
      </c>
      <c r="J769" s="41"/>
      <c r="K769" s="37" t="str">
        <f t="array" ref="K769">IFERROR(VLOOKUP(B769, SORT('Nhật ký nộp hồ sơ '!B:D, 'Nhật ký nộp hồ sơ '!A:A, FALSE), 3, FALSE),"")</f>
        <v>Hoàn thành</v>
      </c>
      <c r="L769" s="37" t="str">
        <f t="shared" si="1"/>
        <v>Hoàn thành</v>
      </c>
      <c r="M769" s="15" t="s">
        <v>216</v>
      </c>
      <c r="N769" s="38">
        <f>IFERROR(__xludf.DUMMYFUNCTION("""COMPUTED_VALUE"""),46148.0)</f>
        <v>46148</v>
      </c>
      <c r="O769" s="38">
        <v>46151.0</v>
      </c>
      <c r="P769" s="38">
        <f>IFERROR(__xludf.DUMMYFUNCTION("IFERROR(QUERY('Nhật ký nộp hồ sơ '!A:I, ""SELECT I WHERE B = '""&amp;B769&amp;""' ORDER BY A DESC LIMIT 1"", 0))"),46148.0)</f>
        <v>46148</v>
      </c>
      <c r="Q769" s="38">
        <f t="shared" si="2"/>
        <v>46148</v>
      </c>
      <c r="R769" s="37">
        <v>2.0</v>
      </c>
      <c r="S769" s="15"/>
      <c r="T769" s="37"/>
      <c r="U769" s="36"/>
      <c r="V769" s="18" t="s">
        <v>34</v>
      </c>
      <c r="W769" s="37"/>
      <c r="X769" s="37"/>
    </row>
    <row r="770" ht="22.5" customHeight="1">
      <c r="A770" s="35">
        <v>46149.705137743054</v>
      </c>
      <c r="B770" s="12" t="s">
        <v>1756</v>
      </c>
      <c r="C770" s="15" t="s">
        <v>1757</v>
      </c>
      <c r="D770" s="36"/>
      <c r="E770" s="15" t="s">
        <v>88</v>
      </c>
      <c r="F770" s="15" t="s">
        <v>133</v>
      </c>
      <c r="G770" s="15" t="s">
        <v>1758</v>
      </c>
      <c r="H770" s="15" t="s">
        <v>69</v>
      </c>
      <c r="I770" s="15" t="s">
        <v>659</v>
      </c>
      <c r="J770" s="41"/>
      <c r="K770" s="37" t="str">
        <f t="array" ref="K770">IFERROR(VLOOKUP(B770, SORT('Nhật ký nộp hồ sơ '!B:D, 'Nhật ký nộp hồ sơ '!A:A, FALSE), 3, FALSE),"")</f>
        <v>Hoàn thành</v>
      </c>
      <c r="L770" s="37" t="str">
        <f t="shared" si="1"/>
        <v>Hoàn thành</v>
      </c>
      <c r="M770" s="15" t="s">
        <v>56</v>
      </c>
      <c r="N770" s="38">
        <f>IFERROR(__xludf.DUMMYFUNCTION("""COMPUTED_VALUE"""),46149.0)</f>
        <v>46149</v>
      </c>
      <c r="O770" s="38">
        <v>46152.0</v>
      </c>
      <c r="P770" s="38">
        <f>IFERROR(__xludf.DUMMYFUNCTION("IFERROR(QUERY('Nhật ký nộp hồ sơ '!A:I, ""SELECT I WHERE B = '""&amp;B770&amp;""' ORDER BY A DESC LIMIT 1"", 0))"),46161.0)</f>
        <v>46161</v>
      </c>
      <c r="Q770" s="38">
        <f t="shared" si="2"/>
        <v>46161</v>
      </c>
      <c r="R770" s="37">
        <v>1.0</v>
      </c>
      <c r="S770" s="15"/>
      <c r="T770" s="37"/>
      <c r="U770" s="36"/>
      <c r="V770" s="18" t="s">
        <v>34</v>
      </c>
      <c r="W770" s="37"/>
      <c r="X770" s="37"/>
    </row>
    <row r="771" ht="22.5" customHeight="1">
      <c r="A771" s="35">
        <v>46149.72435421296</v>
      </c>
      <c r="B771" s="12" t="s">
        <v>1759</v>
      </c>
      <c r="C771" s="15" t="s">
        <v>1760</v>
      </c>
      <c r="D771" s="36"/>
      <c r="E771" s="15" t="s">
        <v>26</v>
      </c>
      <c r="F771" s="15" t="s">
        <v>246</v>
      </c>
      <c r="G771" s="15"/>
      <c r="H771" s="15" t="s">
        <v>28</v>
      </c>
      <c r="I771" s="15" t="s">
        <v>659</v>
      </c>
      <c r="J771" s="41"/>
      <c r="K771" s="37" t="str">
        <f t="array" ref="K771">IFERROR(VLOOKUP(B771, SORT('Nhật ký nộp hồ sơ '!B:D, 'Nhật ký nộp hồ sơ '!A:A, FALSE), 3, FALSE),"")</f>
        <v>Hoàn thành</v>
      </c>
      <c r="L771" s="37" t="str">
        <f t="shared" si="1"/>
        <v>Hoàn thành</v>
      </c>
      <c r="M771" s="15" t="s">
        <v>216</v>
      </c>
      <c r="N771" s="38">
        <f>IFERROR(__xludf.DUMMYFUNCTION("""COMPUTED_VALUE"""),46149.0)</f>
        <v>46149</v>
      </c>
      <c r="O771" s="38">
        <v>46152.0</v>
      </c>
      <c r="P771" s="38">
        <f>IFERROR(__xludf.DUMMYFUNCTION("IFERROR(QUERY('Nhật ký nộp hồ sơ '!A:I, ""SELECT I WHERE B = '""&amp;B771&amp;""' ORDER BY A DESC LIMIT 1"", 0))"),46150.0)</f>
        <v>46150</v>
      </c>
      <c r="Q771" s="38">
        <f t="shared" si="2"/>
        <v>46150</v>
      </c>
      <c r="R771" s="37">
        <v>1.0</v>
      </c>
      <c r="S771" s="15"/>
      <c r="T771" s="37"/>
      <c r="U771" s="36"/>
      <c r="V771" s="18" t="s">
        <v>34</v>
      </c>
      <c r="W771" s="37">
        <v>4.0</v>
      </c>
      <c r="X771" s="37" t="s">
        <v>1188</v>
      </c>
    </row>
    <row r="772" ht="22.5" customHeight="1">
      <c r="A772" s="35">
        <v>46150.55937708334</v>
      </c>
      <c r="B772" s="12" t="s">
        <v>1761</v>
      </c>
      <c r="C772" s="15" t="s">
        <v>1762</v>
      </c>
      <c r="D772" s="36"/>
      <c r="E772" s="15" t="s">
        <v>26</v>
      </c>
      <c r="F772" s="15" t="s">
        <v>126</v>
      </c>
      <c r="G772" s="15"/>
      <c r="H772" s="15" t="s">
        <v>47</v>
      </c>
      <c r="I772" s="15" t="s">
        <v>81</v>
      </c>
      <c r="J772" s="41"/>
      <c r="K772" s="37" t="str">
        <f t="array" ref="K772">IFERROR(VLOOKUP(B772, SORT('Nhật ký nộp hồ sơ '!B:D, 'Nhật ký nộp hồ sơ '!A:A, FALSE), 3, FALSE),"")</f>
        <v>Hoàn thành</v>
      </c>
      <c r="L772" s="37" t="str">
        <f t="shared" si="1"/>
        <v>Hoàn thành</v>
      </c>
      <c r="M772" s="15" t="s">
        <v>41</v>
      </c>
      <c r="N772" s="38">
        <f>IFERROR(__xludf.DUMMYFUNCTION("""COMPUTED_VALUE"""),46150.0)</f>
        <v>46150</v>
      </c>
      <c r="O772" s="38">
        <v>46153.0</v>
      </c>
      <c r="P772" s="38">
        <f>IFERROR(__xludf.DUMMYFUNCTION("IFERROR(QUERY('Nhật ký nộp hồ sơ '!A:I, ""SELECT I WHERE B = '""&amp;B772&amp;""' ORDER BY A DESC LIMIT 1"", 0))"),46153.0)</f>
        <v>46153</v>
      </c>
      <c r="Q772" s="38">
        <f t="shared" si="2"/>
        <v>46153</v>
      </c>
      <c r="R772" s="37">
        <v>1.0</v>
      </c>
      <c r="S772" s="15"/>
      <c r="T772" s="37"/>
      <c r="U772" s="36"/>
      <c r="V772" s="18" t="s">
        <v>34</v>
      </c>
      <c r="W772" s="37"/>
      <c r="X772" s="37"/>
    </row>
    <row r="773" ht="22.5" customHeight="1">
      <c r="A773" s="35">
        <v>46150.6296606713</v>
      </c>
      <c r="B773" s="12" t="s">
        <v>1763</v>
      </c>
      <c r="C773" s="15" t="s">
        <v>1764</v>
      </c>
      <c r="D773" s="36"/>
      <c r="E773" s="15" t="s">
        <v>79</v>
      </c>
      <c r="F773" s="15" t="s">
        <v>89</v>
      </c>
      <c r="G773" s="15"/>
      <c r="H773" s="15" t="s">
        <v>47</v>
      </c>
      <c r="I773" s="15" t="s">
        <v>659</v>
      </c>
      <c r="J773" s="41"/>
      <c r="K773" s="37" t="str">
        <f t="array" ref="K773">IFERROR(VLOOKUP(B773, SORT('Nhật ký nộp hồ sơ '!B:D, 'Nhật ký nộp hồ sơ '!A:A, FALSE), 3, FALSE),"")</f>
        <v>Nộp thành công - Chờ kết quả</v>
      </c>
      <c r="L773" s="37" t="str">
        <f t="shared" si="1"/>
        <v>Đã nộp</v>
      </c>
      <c r="M773" s="15" t="s">
        <v>56</v>
      </c>
      <c r="N773" s="38">
        <f>IFERROR(__xludf.DUMMYFUNCTION("""COMPUTED_VALUE"""),46150.0)</f>
        <v>46150</v>
      </c>
      <c r="O773" s="38">
        <v>46153.0</v>
      </c>
      <c r="P773" s="38">
        <f>IFERROR(__xludf.DUMMYFUNCTION("IFERROR(QUERY('Nhật ký nộp hồ sơ '!A:I, ""SELECT I WHERE B = '""&amp;B773&amp;""' ORDER BY A DESC LIMIT 1"", 0))"),46155.0)</f>
        <v>46155</v>
      </c>
      <c r="Q773" s="38" t="str">
        <f t="shared" si="2"/>
        <v/>
      </c>
      <c r="R773" s="37">
        <v>1.0</v>
      </c>
      <c r="S773" s="15"/>
      <c r="T773" s="37"/>
      <c r="U773" s="36"/>
      <c r="V773" s="18" t="s">
        <v>34</v>
      </c>
      <c r="W773" s="37"/>
      <c r="X773" s="37"/>
    </row>
    <row r="774" ht="22.5" customHeight="1">
      <c r="A774" s="35">
        <v>46150.665570173616</v>
      </c>
      <c r="B774" s="12" t="s">
        <v>1765</v>
      </c>
      <c r="C774" s="15" t="s">
        <v>1766</v>
      </c>
      <c r="D774" s="36"/>
      <c r="E774" s="15" t="s">
        <v>151</v>
      </c>
      <c r="F774" s="13" t="s">
        <v>232</v>
      </c>
      <c r="G774" s="15"/>
      <c r="H774" s="15" t="s">
        <v>28</v>
      </c>
      <c r="I774" s="15" t="s">
        <v>81</v>
      </c>
      <c r="J774" s="39" t="s">
        <v>202</v>
      </c>
      <c r="K774" s="37" t="str">
        <f t="array" ref="K774">IFERROR(VLOOKUP(B774, SORT('Nhật ký nộp hồ sơ '!B:D, 'Nhật ký nộp hồ sơ '!A:A, FALSE), 3, FALSE),"")</f>
        <v>Hoàn thành</v>
      </c>
      <c r="L774" s="37" t="str">
        <f t="shared" si="1"/>
        <v>Hoàn thành</v>
      </c>
      <c r="M774" s="15" t="s">
        <v>181</v>
      </c>
      <c r="N774" s="38">
        <f>IFERROR(__xludf.DUMMYFUNCTION("""COMPUTED_VALUE"""),46150.0)</f>
        <v>46150</v>
      </c>
      <c r="O774" s="38">
        <v>46151.0</v>
      </c>
      <c r="P774" s="38">
        <f>IFERROR(__xludf.DUMMYFUNCTION("IFERROR(QUERY('Nhật ký nộp hồ sơ '!A:I, ""SELECT I WHERE B = '""&amp;B774&amp;""' ORDER BY A DESC LIMIT 1"", 0))"),46156.0)</f>
        <v>46156</v>
      </c>
      <c r="Q774" s="38">
        <f t="shared" si="2"/>
        <v>46156</v>
      </c>
      <c r="R774" s="37">
        <v>1.0</v>
      </c>
      <c r="S774" s="15"/>
      <c r="T774" s="37"/>
      <c r="U774" s="36"/>
      <c r="V774" s="18" t="s">
        <v>34</v>
      </c>
      <c r="W774" s="37"/>
      <c r="X774" s="37"/>
    </row>
    <row r="775" ht="22.5" customHeight="1">
      <c r="A775" s="35">
        <v>46150.69628471065</v>
      </c>
      <c r="B775" s="12" t="s">
        <v>1767</v>
      </c>
      <c r="C775" s="15" t="s">
        <v>1768</v>
      </c>
      <c r="D775" s="36"/>
      <c r="E775" s="15" t="s">
        <v>53</v>
      </c>
      <c r="F775" s="15" t="s">
        <v>133</v>
      </c>
      <c r="G775" s="15" t="s">
        <v>1769</v>
      </c>
      <c r="H775" s="15" t="s">
        <v>69</v>
      </c>
      <c r="I775" s="15" t="s">
        <v>81</v>
      </c>
      <c r="J775" s="41"/>
      <c r="K775" s="37" t="str">
        <f t="array" ref="K775">IFERROR(VLOOKUP(B775, SORT('Nhật ký nộp hồ sơ '!B:D, 'Nhật ký nộp hồ sơ '!A:A, FALSE), 3, FALSE),"")</f>
        <v>Hoàn thành</v>
      </c>
      <c r="L775" s="37" t="str">
        <f t="shared" si="1"/>
        <v>Hoàn thành</v>
      </c>
      <c r="M775" s="15" t="s">
        <v>56</v>
      </c>
      <c r="N775" s="38">
        <f>IFERROR(__xludf.DUMMYFUNCTION("""COMPUTED_VALUE"""),46150.0)</f>
        <v>46150</v>
      </c>
      <c r="O775" s="38">
        <v>46153.0</v>
      </c>
      <c r="P775" s="38">
        <f>IFERROR(__xludf.DUMMYFUNCTION("IFERROR(QUERY('Nhật ký nộp hồ sơ '!A:I, ""SELECT I WHERE B = '""&amp;B775&amp;""' ORDER BY A DESC LIMIT 1"", 0))"),46170.0)</f>
        <v>46170</v>
      </c>
      <c r="Q775" s="38">
        <f t="shared" si="2"/>
        <v>46170</v>
      </c>
      <c r="R775" s="37">
        <v>0.0</v>
      </c>
      <c r="S775" s="15"/>
      <c r="T775" s="37"/>
      <c r="U775" s="36"/>
      <c r="V775" s="18" t="s">
        <v>34</v>
      </c>
      <c r="W775" s="37"/>
      <c r="X775" s="37"/>
    </row>
    <row r="776" ht="22.5" customHeight="1">
      <c r="A776" s="35">
        <v>46150.699089270835</v>
      </c>
      <c r="B776" s="12" t="s">
        <v>1770</v>
      </c>
      <c r="C776" s="15" t="s">
        <v>1771</v>
      </c>
      <c r="D776" s="36"/>
      <c r="E776" s="15" t="s">
        <v>45</v>
      </c>
      <c r="F776" s="15" t="s">
        <v>133</v>
      </c>
      <c r="G776" s="40" t="s">
        <v>1772</v>
      </c>
      <c r="H776" s="15" t="s">
        <v>69</v>
      </c>
      <c r="I776" s="15" t="s">
        <v>659</v>
      </c>
      <c r="J776" s="41"/>
      <c r="K776" s="37" t="str">
        <f t="array" ref="K776">IFERROR(VLOOKUP(B776, SORT('Nhật ký nộp hồ sơ '!B:D, 'Nhật ký nộp hồ sơ '!A:A, FALSE), 3, FALSE),"")</f>
        <v>Hoàn thành</v>
      </c>
      <c r="L776" s="37" t="str">
        <f t="shared" si="1"/>
        <v>Hoàn thành</v>
      </c>
      <c r="M776" s="15" t="s">
        <v>56</v>
      </c>
      <c r="N776" s="38">
        <f>IFERROR(__xludf.DUMMYFUNCTION("""COMPUTED_VALUE"""),46150.0)</f>
        <v>46150</v>
      </c>
      <c r="O776" s="38">
        <v>46153.0</v>
      </c>
      <c r="P776" s="38">
        <f>IFERROR(__xludf.DUMMYFUNCTION("IFERROR(QUERY('Nhật ký nộp hồ sơ '!A:I, ""SELECT I WHERE B = '""&amp;B776&amp;""' ORDER BY A DESC LIMIT 1"", 0))"),46168.0)</f>
        <v>46168</v>
      </c>
      <c r="Q776" s="38">
        <f t="shared" si="2"/>
        <v>46168</v>
      </c>
      <c r="R776" s="37">
        <v>1.0</v>
      </c>
      <c r="S776" s="15"/>
      <c r="T776" s="37"/>
      <c r="U776" s="36"/>
      <c r="V776" s="18" t="s">
        <v>34</v>
      </c>
      <c r="W776" s="37"/>
      <c r="X776" s="37"/>
    </row>
    <row r="777" ht="22.5" customHeight="1">
      <c r="A777" s="35">
        <v>46151.431318483796</v>
      </c>
      <c r="B777" s="12" t="s">
        <v>1773</v>
      </c>
      <c r="C777" s="15" t="s">
        <v>1774</v>
      </c>
      <c r="D777" s="36"/>
      <c r="E777" s="15" t="s">
        <v>62</v>
      </c>
      <c r="F777" s="15" t="s">
        <v>133</v>
      </c>
      <c r="G777" s="40" t="s">
        <v>1775</v>
      </c>
      <c r="H777" s="15" t="s">
        <v>29</v>
      </c>
      <c r="I777" s="15" t="s">
        <v>659</v>
      </c>
      <c r="J777" s="41"/>
      <c r="K777" s="37" t="str">
        <f t="array" ref="K777">IFERROR(VLOOKUP(B777, SORT('Nhật ký nộp hồ sơ '!B:D, 'Nhật ký nộp hồ sơ '!A:A, FALSE), 3, FALSE),"")</f>
        <v>Hoàn thành</v>
      </c>
      <c r="L777" s="37" t="str">
        <f t="shared" si="1"/>
        <v>Hoàn thành</v>
      </c>
      <c r="M777" s="15" t="s">
        <v>48</v>
      </c>
      <c r="N777" s="38">
        <f>IFERROR(__xludf.DUMMYFUNCTION("""COMPUTED_VALUE"""),46151.0)</f>
        <v>46151</v>
      </c>
      <c r="O777" s="38">
        <v>46154.0</v>
      </c>
      <c r="P777" s="38">
        <f>IFERROR(__xludf.DUMMYFUNCTION("IFERROR(QUERY('Nhật ký nộp hồ sơ '!A:I, ""SELECT I WHERE B = '""&amp;B777&amp;""' ORDER BY A DESC LIMIT 1"", 0))"),46165.0)</f>
        <v>46165</v>
      </c>
      <c r="Q777" s="38">
        <f t="shared" si="2"/>
        <v>46165</v>
      </c>
      <c r="R777" s="37">
        <v>2.0</v>
      </c>
      <c r="S777" s="15"/>
      <c r="T777" s="37"/>
      <c r="U777" s="36"/>
      <c r="V777" s="18" t="s">
        <v>34</v>
      </c>
      <c r="W777" s="37"/>
      <c r="X777" s="37"/>
    </row>
    <row r="778" ht="22.5" customHeight="1">
      <c r="A778" s="35">
        <v>46153.35336988426</v>
      </c>
      <c r="B778" s="12" t="s">
        <v>1776</v>
      </c>
      <c r="C778" s="15" t="s">
        <v>1768</v>
      </c>
      <c r="D778" s="36"/>
      <c r="E778" s="15" t="s">
        <v>53</v>
      </c>
      <c r="F778" s="15" t="s">
        <v>133</v>
      </c>
      <c r="G778" s="15"/>
      <c r="H778" s="15" t="s">
        <v>28</v>
      </c>
      <c r="I778" s="15" t="s">
        <v>81</v>
      </c>
      <c r="J778" s="41"/>
      <c r="K778" s="37" t="str">
        <f t="array" ref="K778">IFERROR(VLOOKUP(B778, SORT('Nhật ký nộp hồ sơ '!B:D, 'Nhật ký nộp hồ sơ '!A:A, FALSE), 3, FALSE),"")</f>
        <v>Hoàn thành</v>
      </c>
      <c r="L778" s="37" t="str">
        <f t="shared" si="1"/>
        <v>Hoàn thành</v>
      </c>
      <c r="M778" s="15" t="s">
        <v>146</v>
      </c>
      <c r="N778" s="38">
        <f>IFERROR(__xludf.DUMMYFUNCTION("""COMPUTED_VALUE"""),46153.0)</f>
        <v>46153</v>
      </c>
      <c r="O778" s="38">
        <v>46156.0</v>
      </c>
      <c r="P778" s="38">
        <f>IFERROR(__xludf.DUMMYFUNCTION("IFERROR(QUERY('Nhật ký nộp hồ sơ '!A:I, ""SELECT I WHERE B = '""&amp;B778&amp;""' ORDER BY A DESC LIMIT 1"", 0))"),46153.0)</f>
        <v>46153</v>
      </c>
      <c r="Q778" s="38">
        <f t="shared" si="2"/>
        <v>46153</v>
      </c>
      <c r="R778" s="37">
        <v>1.0</v>
      </c>
      <c r="S778" s="15"/>
      <c r="T778" s="37"/>
      <c r="U778" s="36"/>
      <c r="V778" s="18" t="s">
        <v>34</v>
      </c>
      <c r="W778" s="37"/>
      <c r="X778" s="37"/>
    </row>
    <row r="779" ht="22.5" customHeight="1">
      <c r="A779" s="35">
        <v>46153.408616608795</v>
      </c>
      <c r="B779" s="12" t="s">
        <v>1777</v>
      </c>
      <c r="C779" s="15" t="s">
        <v>1778</v>
      </c>
      <c r="D779" s="36"/>
      <c r="E779" s="15" t="s">
        <v>88</v>
      </c>
      <c r="F779" s="15" t="s">
        <v>1460</v>
      </c>
      <c r="G779" s="15" t="s">
        <v>1779</v>
      </c>
      <c r="H779" s="15" t="s">
        <v>100</v>
      </c>
      <c r="I779" s="15" t="s">
        <v>81</v>
      </c>
      <c r="J779" s="41"/>
      <c r="K779" s="37" t="str">
        <f t="array" ref="K779">IFERROR(VLOOKUP(B779, SORT('Nhật ký nộp hồ sơ '!B:D, 'Nhật ký nộp hồ sơ '!A:A, FALSE), 3, FALSE),"")</f>
        <v>Nộp thành công - Chờ kết quả</v>
      </c>
      <c r="L779" s="37" t="str">
        <f t="shared" si="1"/>
        <v>Đã nộp</v>
      </c>
      <c r="M779" s="15" t="s">
        <v>588</v>
      </c>
      <c r="N779" s="38">
        <f>IFERROR(__xludf.DUMMYFUNCTION("""COMPUTED_VALUE"""),46153.0)</f>
        <v>46153</v>
      </c>
      <c r="O779" s="38">
        <v>46156.0</v>
      </c>
      <c r="P779" s="38">
        <f>IFERROR(__xludf.DUMMYFUNCTION("IFERROR(QUERY('Nhật ký nộp hồ sơ '!A:I, ""SELECT I WHERE B = '""&amp;B779&amp;""' ORDER BY A DESC LIMIT 1"", 0))"),46153.0)</f>
        <v>46153</v>
      </c>
      <c r="Q779" s="38" t="str">
        <f t="shared" si="2"/>
        <v/>
      </c>
      <c r="R779" s="37">
        <v>1.0</v>
      </c>
      <c r="S779" s="15"/>
      <c r="T779" s="37"/>
      <c r="U779" s="36"/>
      <c r="V779" s="18" t="s">
        <v>34</v>
      </c>
      <c r="W779" s="37"/>
      <c r="X779" s="37"/>
    </row>
    <row r="780" ht="22.5" customHeight="1">
      <c r="A780" s="35">
        <v>46153.40914350694</v>
      </c>
      <c r="B780" s="12" t="s">
        <v>1780</v>
      </c>
      <c r="C780" s="15" t="s">
        <v>1781</v>
      </c>
      <c r="D780" s="36"/>
      <c r="E780" s="15" t="s">
        <v>88</v>
      </c>
      <c r="F780" s="15" t="s">
        <v>1460</v>
      </c>
      <c r="G780" s="15" t="s">
        <v>1779</v>
      </c>
      <c r="H780" s="15" t="s">
        <v>100</v>
      </c>
      <c r="I780" s="15" t="s">
        <v>81</v>
      </c>
      <c r="J780" s="41"/>
      <c r="K780" s="37" t="str">
        <f t="array" ref="K780">IFERROR(VLOOKUP(B780, SORT('Nhật ký nộp hồ sơ '!B:D, 'Nhật ký nộp hồ sơ '!A:A, FALSE), 3, FALSE),"")</f>
        <v>Nộp thành công - Chờ kết quả</v>
      </c>
      <c r="L780" s="37" t="str">
        <f t="shared" si="1"/>
        <v>Đã nộp</v>
      </c>
      <c r="M780" s="15" t="s">
        <v>588</v>
      </c>
      <c r="N780" s="38">
        <f>IFERROR(__xludf.DUMMYFUNCTION("""COMPUTED_VALUE"""),46153.0)</f>
        <v>46153</v>
      </c>
      <c r="O780" s="38">
        <v>46156.0</v>
      </c>
      <c r="P780" s="38">
        <f>IFERROR(__xludf.DUMMYFUNCTION("IFERROR(QUERY('Nhật ký nộp hồ sơ '!A:I, ""SELECT I WHERE B = '""&amp;B780&amp;""' ORDER BY A DESC LIMIT 1"", 0))"),46153.0)</f>
        <v>46153</v>
      </c>
      <c r="Q780" s="38" t="str">
        <f t="shared" si="2"/>
        <v/>
      </c>
      <c r="R780" s="37">
        <v>1.0</v>
      </c>
      <c r="S780" s="15"/>
      <c r="T780" s="37"/>
      <c r="U780" s="36"/>
      <c r="V780" s="18" t="s">
        <v>34</v>
      </c>
      <c r="W780" s="37"/>
      <c r="X780" s="37"/>
    </row>
    <row r="781" ht="22.5" customHeight="1">
      <c r="A781" s="35">
        <v>46154.408499791665</v>
      </c>
      <c r="B781" s="12" t="s">
        <v>1782</v>
      </c>
      <c r="C781" s="15" t="s">
        <v>399</v>
      </c>
      <c r="D781" s="36"/>
      <c r="E781" s="15" t="s">
        <v>151</v>
      </c>
      <c r="F781" s="13" t="s">
        <v>232</v>
      </c>
      <c r="G781" s="15"/>
      <c r="H781" s="15" t="s">
        <v>28</v>
      </c>
      <c r="I781" s="15" t="s">
        <v>81</v>
      </c>
      <c r="J781" s="39" t="s">
        <v>202</v>
      </c>
      <c r="K781" s="37" t="str">
        <f t="array" ref="K781">IFERROR(VLOOKUP(B781, SORT('Nhật ký nộp hồ sơ '!B:D, 'Nhật ký nộp hồ sơ '!A:A, FALSE), 3, FALSE),"")</f>
        <v>Hoàn thành</v>
      </c>
      <c r="L781" s="37" t="str">
        <f t="shared" si="1"/>
        <v>Hoàn thành</v>
      </c>
      <c r="M781" s="15" t="s">
        <v>41</v>
      </c>
      <c r="N781" s="38">
        <f>IFERROR(__xludf.DUMMYFUNCTION("""COMPUTED_VALUE"""),46154.0)</f>
        <v>46154</v>
      </c>
      <c r="O781" s="38">
        <v>46155.0</v>
      </c>
      <c r="P781" s="38">
        <f>IFERROR(__xludf.DUMMYFUNCTION("IFERROR(QUERY('Nhật ký nộp hồ sơ '!A:I, ""SELECT I WHERE B = '""&amp;B781&amp;""' ORDER BY A DESC LIMIT 1"", 0))"),46154.0)</f>
        <v>46154</v>
      </c>
      <c r="Q781" s="38">
        <f t="shared" si="2"/>
        <v>46154</v>
      </c>
      <c r="R781" s="37">
        <v>3.0</v>
      </c>
      <c r="S781" s="15"/>
      <c r="T781" s="37"/>
      <c r="U781" s="36"/>
      <c r="V781" s="18" t="s">
        <v>34</v>
      </c>
      <c r="W781" s="37"/>
      <c r="X781" s="37"/>
    </row>
    <row r="782" ht="22.5" customHeight="1">
      <c r="A782" s="35">
        <v>46154.462396284725</v>
      </c>
      <c r="B782" s="12" t="s">
        <v>1783</v>
      </c>
      <c r="C782" s="15" t="s">
        <v>1784</v>
      </c>
      <c r="D782" s="36"/>
      <c r="E782" s="15" t="s">
        <v>26</v>
      </c>
      <c r="F782" s="15" t="s">
        <v>133</v>
      </c>
      <c r="G782" s="15" t="s">
        <v>1785</v>
      </c>
      <c r="H782" s="15" t="s">
        <v>29</v>
      </c>
      <c r="I782" s="15" t="s">
        <v>659</v>
      </c>
      <c r="J782" s="41"/>
      <c r="K782" s="37" t="str">
        <f t="array" ref="K782">IFERROR(VLOOKUP(B782, SORT('Nhật ký nộp hồ sơ '!B:D, 'Nhật ký nộp hồ sơ '!A:A, FALSE), 3, FALSE),"")</f>
        <v>Nộp thành công - Chờ kết quả</v>
      </c>
      <c r="L782" s="37" t="str">
        <f t="shared" si="1"/>
        <v>Đã nộp</v>
      </c>
      <c r="M782" s="15" t="s">
        <v>56</v>
      </c>
      <c r="N782" s="38">
        <f>IFERROR(__xludf.DUMMYFUNCTION("""COMPUTED_VALUE"""),46154.0)</f>
        <v>46154</v>
      </c>
      <c r="O782" s="38">
        <v>46157.0</v>
      </c>
      <c r="P782" s="38">
        <f>IFERROR(__xludf.DUMMYFUNCTION("IFERROR(QUERY('Nhật ký nộp hồ sơ '!A:I, ""SELECT I WHERE B = '""&amp;B782&amp;""' ORDER BY A DESC LIMIT 1"", 0))"),46156.0)</f>
        <v>46156</v>
      </c>
      <c r="Q782" s="38" t="str">
        <f t="shared" si="2"/>
        <v/>
      </c>
      <c r="R782" s="37">
        <v>1.0</v>
      </c>
      <c r="S782" s="15" t="s">
        <v>1786</v>
      </c>
      <c r="T782" s="37"/>
      <c r="U782" s="36"/>
      <c r="V782" s="18" t="s">
        <v>34</v>
      </c>
      <c r="W782" s="37"/>
      <c r="X782" s="37"/>
    </row>
    <row r="783" ht="22.5" customHeight="1">
      <c r="A783" s="35">
        <v>46154.4630484375</v>
      </c>
      <c r="B783" s="12" t="s">
        <v>1787</v>
      </c>
      <c r="C783" s="15" t="s">
        <v>1266</v>
      </c>
      <c r="D783" s="36"/>
      <c r="E783" s="15" t="s">
        <v>53</v>
      </c>
      <c r="F783" s="15" t="s">
        <v>133</v>
      </c>
      <c r="G783" s="15"/>
      <c r="H783" s="15" t="s">
        <v>29</v>
      </c>
      <c r="I783" s="15" t="s">
        <v>81</v>
      </c>
      <c r="J783" s="41"/>
      <c r="K783" s="37" t="str">
        <f t="array" ref="K783">IFERROR(VLOOKUP(B783, SORT('Nhật ký nộp hồ sơ '!B:D, 'Nhật ký nộp hồ sơ '!A:A, FALSE), 3, FALSE),"")</f>
        <v>Hoàn thành</v>
      </c>
      <c r="L783" s="37" t="str">
        <f t="shared" si="1"/>
        <v>Hoàn thành</v>
      </c>
      <c r="M783" s="15" t="s">
        <v>56</v>
      </c>
      <c r="N783" s="38">
        <f>IFERROR(__xludf.DUMMYFUNCTION("""COMPUTED_VALUE"""),46154.0)</f>
        <v>46154</v>
      </c>
      <c r="O783" s="38">
        <v>46157.0</v>
      </c>
      <c r="P783" s="38">
        <f>IFERROR(__xludf.DUMMYFUNCTION("IFERROR(QUERY('Nhật ký nộp hồ sơ '!A:I, ""SELECT I WHERE B = '""&amp;B783&amp;""' ORDER BY A DESC LIMIT 1"", 0))"),46165.0)</f>
        <v>46165</v>
      </c>
      <c r="Q783" s="38">
        <f t="shared" si="2"/>
        <v>46165</v>
      </c>
      <c r="R783" s="37">
        <v>3.0</v>
      </c>
      <c r="S783" s="15"/>
      <c r="T783" s="37"/>
      <c r="U783" s="36"/>
      <c r="V783" s="18" t="s">
        <v>34</v>
      </c>
      <c r="W783" s="37"/>
      <c r="X783" s="37"/>
    </row>
    <row r="784" ht="22.5" customHeight="1">
      <c r="A784" s="35">
        <v>46154.49847690972</v>
      </c>
      <c r="B784" s="12" t="s">
        <v>1788</v>
      </c>
      <c r="C784" s="15" t="s">
        <v>1789</v>
      </c>
      <c r="D784" s="36"/>
      <c r="E784" s="15" t="s">
        <v>151</v>
      </c>
      <c r="F784" s="15" t="s">
        <v>133</v>
      </c>
      <c r="G784" s="15" t="s">
        <v>1790</v>
      </c>
      <c r="H784" s="15" t="s">
        <v>28</v>
      </c>
      <c r="I784" s="15" t="s">
        <v>81</v>
      </c>
      <c r="J784" s="39" t="s">
        <v>202</v>
      </c>
      <c r="K784" s="37" t="str">
        <f t="array" ref="K784">IFERROR(VLOOKUP(B784, SORT('Nhật ký nộp hồ sơ '!B:D, 'Nhật ký nộp hồ sơ '!A:A, FALSE), 3, FALSE),"")</f>
        <v>Hoàn thành</v>
      </c>
      <c r="L784" s="37" t="str">
        <f t="shared" si="1"/>
        <v>Hoàn thành</v>
      </c>
      <c r="M784" s="15" t="s">
        <v>146</v>
      </c>
      <c r="N784" s="38">
        <f>IFERROR(__xludf.DUMMYFUNCTION("""COMPUTED_VALUE"""),46154.0)</f>
        <v>46154</v>
      </c>
      <c r="O784" s="38">
        <v>46155.0</v>
      </c>
      <c r="P784" s="38">
        <f>IFERROR(__xludf.DUMMYFUNCTION("IFERROR(QUERY('Nhật ký nộp hồ sơ '!A:I, ""SELECT I WHERE B = '""&amp;B784&amp;""' ORDER BY A DESC LIMIT 1"", 0))"),46154.0)</f>
        <v>46154</v>
      </c>
      <c r="Q784" s="38">
        <f t="shared" si="2"/>
        <v>46154</v>
      </c>
      <c r="R784" s="37">
        <v>1.0</v>
      </c>
      <c r="S784" s="15"/>
      <c r="T784" s="37"/>
      <c r="U784" s="36"/>
      <c r="V784" s="18" t="s">
        <v>34</v>
      </c>
      <c r="W784" s="37"/>
      <c r="X784" s="37"/>
    </row>
    <row r="785" ht="22.5" customHeight="1">
      <c r="A785" s="35">
        <v>46154.499374004634</v>
      </c>
      <c r="B785" s="12" t="s">
        <v>1791</v>
      </c>
      <c r="C785" s="15" t="s">
        <v>1789</v>
      </c>
      <c r="D785" s="36"/>
      <c r="E785" s="15" t="s">
        <v>151</v>
      </c>
      <c r="F785" s="15" t="s">
        <v>133</v>
      </c>
      <c r="G785" s="15" t="s">
        <v>1792</v>
      </c>
      <c r="H785" s="15" t="s">
        <v>28</v>
      </c>
      <c r="I785" s="15" t="s">
        <v>81</v>
      </c>
      <c r="J785" s="39" t="s">
        <v>202</v>
      </c>
      <c r="K785" s="37" t="str">
        <f t="array" ref="K785">IFERROR(VLOOKUP(B785, SORT('Nhật ký nộp hồ sơ '!B:D, 'Nhật ký nộp hồ sơ '!A:A, FALSE), 3, FALSE),"")</f>
        <v>Hủy</v>
      </c>
      <c r="L785" s="37" t="str">
        <f t="shared" si="1"/>
        <v>ĐÃ HỦY</v>
      </c>
      <c r="M785" s="15" t="s">
        <v>56</v>
      </c>
      <c r="N785" s="38">
        <f>IFERROR(__xludf.DUMMYFUNCTION("""COMPUTED_VALUE"""),46154.0)</f>
        <v>46154</v>
      </c>
      <c r="O785" s="38">
        <v>46155.0</v>
      </c>
      <c r="P785" s="38">
        <f>IFERROR(__xludf.DUMMYFUNCTION("IFERROR(QUERY('Nhật ký nộp hồ sơ '!A:I, ""SELECT I WHERE B = '""&amp;B785&amp;""' ORDER BY A DESC LIMIT 1"", 0))"),46164.0)</f>
        <v>46164</v>
      </c>
      <c r="Q785" s="38" t="str">
        <f t="shared" si="2"/>
        <v/>
      </c>
      <c r="R785" s="37">
        <v>2.0</v>
      </c>
      <c r="S785" s="15"/>
      <c r="T785" s="37"/>
      <c r="U785" s="36"/>
      <c r="V785" s="18" t="s">
        <v>34</v>
      </c>
      <c r="W785" s="37"/>
      <c r="X785" s="37"/>
    </row>
    <row r="786" ht="22.5" customHeight="1">
      <c r="A786" s="35">
        <v>46154.68103493056</v>
      </c>
      <c r="B786" s="12" t="s">
        <v>1793</v>
      </c>
      <c r="C786" s="15" t="s">
        <v>1794</v>
      </c>
      <c r="D786" s="36"/>
      <c r="E786" s="15" t="s">
        <v>62</v>
      </c>
      <c r="F786" s="15" t="s">
        <v>133</v>
      </c>
      <c r="G786" s="40" t="s">
        <v>1795</v>
      </c>
      <c r="H786" s="15" t="s">
        <v>28</v>
      </c>
      <c r="I786" s="15" t="s">
        <v>100</v>
      </c>
      <c r="J786" s="39"/>
      <c r="K786" s="37" t="str">
        <f t="array" ref="K786">IFERROR(VLOOKUP(B786, SORT('Nhật ký nộp hồ sơ '!B:D, 'Nhật ký nộp hồ sơ '!A:A, FALSE), 3, FALSE),"")</f>
        <v>Hoàn thành</v>
      </c>
      <c r="L786" s="37" t="str">
        <f t="shared" si="1"/>
        <v>Hoàn thành</v>
      </c>
      <c r="M786" s="15" t="s">
        <v>216</v>
      </c>
      <c r="N786" s="38">
        <f>IFERROR(__xludf.DUMMYFUNCTION("""COMPUTED_VALUE"""),46154.0)</f>
        <v>46154</v>
      </c>
      <c r="O786" s="38">
        <v>46157.0</v>
      </c>
      <c r="P786" s="38">
        <f>IFERROR(__xludf.DUMMYFUNCTION("IFERROR(QUERY('Nhật ký nộp hồ sơ '!A:I, ""SELECT I WHERE B = '""&amp;B786&amp;""' ORDER BY A DESC LIMIT 1"", 0))"),46155.0)</f>
        <v>46155</v>
      </c>
      <c r="Q786" s="38">
        <f t="shared" si="2"/>
        <v>46155</v>
      </c>
      <c r="R786" s="37">
        <v>1.0</v>
      </c>
      <c r="S786" s="15"/>
      <c r="T786" s="37"/>
      <c r="U786" s="36"/>
      <c r="V786" s="18" t="s">
        <v>34</v>
      </c>
      <c r="W786" s="37">
        <v>8.0</v>
      </c>
      <c r="X786" s="37" t="s">
        <v>1188</v>
      </c>
    </row>
    <row r="787" ht="22.5" customHeight="1">
      <c r="A787" s="35">
        <v>46155.39636412037</v>
      </c>
      <c r="B787" s="12" t="s">
        <v>1796</v>
      </c>
      <c r="C787" s="15" t="s">
        <v>520</v>
      </c>
      <c r="D787" s="36"/>
      <c r="E787" s="15" t="s">
        <v>26</v>
      </c>
      <c r="F787" s="15" t="s">
        <v>440</v>
      </c>
      <c r="G787" s="15"/>
      <c r="H787" s="15" t="s">
        <v>28</v>
      </c>
      <c r="I787" s="15" t="s">
        <v>659</v>
      </c>
      <c r="J787" s="41"/>
      <c r="K787" s="37" t="str">
        <f t="array" ref="K787">IFERROR(VLOOKUP(B787, SORT('Nhật ký nộp hồ sơ '!B:D, 'Nhật ký nộp hồ sơ '!A:A, FALSE), 3, FALSE),"")</f>
        <v>Hoàn thành</v>
      </c>
      <c r="L787" s="37" t="str">
        <f t="shared" si="1"/>
        <v>Hoàn thành</v>
      </c>
      <c r="M787" s="15" t="s">
        <v>41</v>
      </c>
      <c r="N787" s="38">
        <f>IFERROR(__xludf.DUMMYFUNCTION("""COMPUTED_VALUE"""),46155.0)</f>
        <v>46155</v>
      </c>
      <c r="O787" s="38">
        <v>46158.0</v>
      </c>
      <c r="P787" s="38">
        <f>IFERROR(__xludf.DUMMYFUNCTION("IFERROR(QUERY('Nhật ký nộp hồ sơ '!A:I, ""SELECT I WHERE B = '""&amp;B787&amp;""' ORDER BY A DESC LIMIT 1"", 0))"),46164.0)</f>
        <v>46164</v>
      </c>
      <c r="Q787" s="38">
        <f t="shared" si="2"/>
        <v>46164</v>
      </c>
      <c r="R787" s="37">
        <v>0.0</v>
      </c>
      <c r="S787" s="15"/>
      <c r="T787" s="37"/>
      <c r="U787" s="36"/>
      <c r="V787" s="18" t="s">
        <v>34</v>
      </c>
      <c r="W787" s="37"/>
      <c r="X787" s="37"/>
    </row>
    <row r="788" ht="22.5" customHeight="1">
      <c r="A788" s="35">
        <v>46155.56393936343</v>
      </c>
      <c r="B788" s="12" t="s">
        <v>1797</v>
      </c>
      <c r="C788" s="15" t="s">
        <v>1771</v>
      </c>
      <c r="D788" s="36"/>
      <c r="E788" s="15" t="s">
        <v>45</v>
      </c>
      <c r="F788" s="15" t="s">
        <v>133</v>
      </c>
      <c r="G788" s="15"/>
      <c r="H788" s="15" t="s">
        <v>69</v>
      </c>
      <c r="I788" s="15" t="s">
        <v>659</v>
      </c>
      <c r="J788" s="41"/>
      <c r="K788" s="37" t="str">
        <f t="array" ref="K788">IFERROR(VLOOKUP(B788, SORT('Nhật ký nộp hồ sơ '!B:D, 'Nhật ký nộp hồ sơ '!A:A, FALSE), 3, FALSE),"")</f>
        <v>Hoàn thành</v>
      </c>
      <c r="L788" s="37" t="str">
        <f t="shared" si="1"/>
        <v>Hoàn thành</v>
      </c>
      <c r="M788" s="15" t="s">
        <v>216</v>
      </c>
      <c r="N788" s="38">
        <f>IFERROR(__xludf.DUMMYFUNCTION("""COMPUTED_VALUE"""),46155.0)</f>
        <v>46155</v>
      </c>
      <c r="O788" s="38">
        <v>46158.0</v>
      </c>
      <c r="P788" s="38">
        <f>IFERROR(__xludf.DUMMYFUNCTION("IFERROR(QUERY('Nhật ký nộp hồ sơ '!A:I, ""SELECT I WHERE B = '""&amp;B788&amp;""' ORDER BY A DESC LIMIT 1"", 0))"),46155.0)</f>
        <v>46155</v>
      </c>
      <c r="Q788" s="38">
        <f t="shared" si="2"/>
        <v>46155</v>
      </c>
      <c r="R788" s="37">
        <v>1.0</v>
      </c>
      <c r="S788" s="15"/>
      <c r="T788" s="37"/>
      <c r="U788" s="36"/>
      <c r="V788" s="18" t="s">
        <v>34</v>
      </c>
      <c r="W788" s="37"/>
      <c r="X788" s="37"/>
    </row>
    <row r="789" ht="22.5" customHeight="1">
      <c r="A789" s="35">
        <v>46155.57189752314</v>
      </c>
      <c r="B789" s="12" t="s">
        <v>1798</v>
      </c>
      <c r="C789" s="15" t="s">
        <v>1799</v>
      </c>
      <c r="D789" s="36"/>
      <c r="E789" s="15" t="s">
        <v>26</v>
      </c>
      <c r="F789" s="15" t="s">
        <v>46</v>
      </c>
      <c r="G789" s="15"/>
      <c r="H789" s="15" t="s">
        <v>69</v>
      </c>
      <c r="I789" s="15" t="s">
        <v>659</v>
      </c>
      <c r="J789" s="41"/>
      <c r="K789" s="37" t="str">
        <f t="array" ref="K789">IFERROR(VLOOKUP(B789, SORT('Nhật ký nộp hồ sơ '!B:D, 'Nhật ký nộp hồ sơ '!A:A, FALSE), 3, FALSE),"")</f>
        <v/>
      </c>
      <c r="L789" s="37" t="str">
        <f t="shared" si="1"/>
        <v>QUÁ HẠN</v>
      </c>
      <c r="M789" s="15" t="s">
        <v>48</v>
      </c>
      <c r="N789" s="38">
        <f>IFERROR(__xludf.DUMMYFUNCTION("""COMPUTED_VALUE"""),46155.0)</f>
        <v>46155</v>
      </c>
      <c r="O789" s="38">
        <v>46158.0</v>
      </c>
      <c r="P789" s="38" t="str">
        <f>IFERROR(__xludf.DUMMYFUNCTION("IFERROR(QUERY('Nhật ký nộp hồ sơ '!A:I, ""SELECT I WHERE B = '""&amp;B789&amp;""' ORDER BY A DESC LIMIT 1"", 0))"),"")</f>
        <v/>
      </c>
      <c r="Q789" s="38" t="str">
        <f t="shared" si="2"/>
        <v/>
      </c>
      <c r="R789" s="37">
        <v>2.0</v>
      </c>
      <c r="S789" s="15"/>
      <c r="T789" s="37"/>
      <c r="U789" s="36"/>
      <c r="V789" s="36"/>
      <c r="W789" s="37"/>
      <c r="X789" s="37"/>
    </row>
    <row r="790" ht="22.5" customHeight="1">
      <c r="A790" s="35">
        <v>46155.59588195602</v>
      </c>
      <c r="B790" s="12" t="s">
        <v>1800</v>
      </c>
      <c r="C790" s="15" t="s">
        <v>506</v>
      </c>
      <c r="D790" s="36"/>
      <c r="E790" s="15" t="s">
        <v>132</v>
      </c>
      <c r="F790" s="15" t="s">
        <v>440</v>
      </c>
      <c r="G790" s="15"/>
      <c r="H790" s="15" t="s">
        <v>47</v>
      </c>
      <c r="I790" s="15" t="s">
        <v>81</v>
      </c>
      <c r="J790" s="41"/>
      <c r="K790" s="37" t="str">
        <f t="array" ref="K790">IFERROR(VLOOKUP(B790, SORT('Nhật ký nộp hồ sơ '!B:D, 'Nhật ký nộp hồ sơ '!A:A, FALSE), 3, FALSE),"")</f>
        <v>Hoàn thành</v>
      </c>
      <c r="L790" s="37" t="str">
        <f t="shared" si="1"/>
        <v>Hoàn thành</v>
      </c>
      <c r="M790" s="15" t="s">
        <v>41</v>
      </c>
      <c r="N790" s="38">
        <f>IFERROR(__xludf.DUMMYFUNCTION("""COMPUTED_VALUE"""),46155.0)</f>
        <v>46155</v>
      </c>
      <c r="O790" s="38">
        <v>46158.0</v>
      </c>
      <c r="P790" s="38">
        <f>IFERROR(__xludf.DUMMYFUNCTION("IFERROR(QUERY('Nhật ký nộp hồ sơ '!A:I, ""SELECT I WHERE B = '""&amp;B790&amp;""' ORDER BY A DESC LIMIT 1"", 0))"),46156.0)</f>
        <v>46156</v>
      </c>
      <c r="Q790" s="38">
        <f t="shared" si="2"/>
        <v>46156</v>
      </c>
      <c r="R790" s="37">
        <v>1.0</v>
      </c>
      <c r="S790" s="15" t="s">
        <v>506</v>
      </c>
      <c r="T790" s="37"/>
      <c r="U790" s="36"/>
      <c r="V790" s="18" t="s">
        <v>34</v>
      </c>
      <c r="W790" s="37"/>
      <c r="X790" s="37"/>
    </row>
    <row r="791" ht="22.5" customHeight="1">
      <c r="A791" s="35">
        <v>46156.46008935185</v>
      </c>
      <c r="B791" s="12" t="s">
        <v>1801</v>
      </c>
      <c r="C791" s="15" t="s">
        <v>161</v>
      </c>
      <c r="D791" s="36"/>
      <c r="E791" s="15" t="s">
        <v>26</v>
      </c>
      <c r="F791" s="15" t="s">
        <v>162</v>
      </c>
      <c r="G791" s="15"/>
      <c r="H791" s="15" t="s">
        <v>29</v>
      </c>
      <c r="I791" s="15" t="s">
        <v>81</v>
      </c>
      <c r="J791" s="41"/>
      <c r="K791" s="37" t="str">
        <f t="array" ref="K791">IFERROR(VLOOKUP(B791, SORT('Nhật ký nộp hồ sơ '!B:D, 'Nhật ký nộp hồ sơ '!A:A, FALSE), 3, FALSE),"")</f>
        <v>Nộp thành công - Chờ kết quả</v>
      </c>
      <c r="L791" s="37" t="str">
        <f t="shared" si="1"/>
        <v>Đã nộp</v>
      </c>
      <c r="M791" s="15" t="s">
        <v>56</v>
      </c>
      <c r="N791" s="38">
        <f>IFERROR(__xludf.DUMMYFUNCTION("""COMPUTED_VALUE"""),46156.0)</f>
        <v>46156</v>
      </c>
      <c r="O791" s="38">
        <v>46159.0</v>
      </c>
      <c r="P791" s="38">
        <f>IFERROR(__xludf.DUMMYFUNCTION("IFERROR(QUERY('Nhật ký nộp hồ sơ '!A:I, ""SELECT I WHERE B = '""&amp;B791&amp;""' ORDER BY A DESC LIMIT 1"", 0))"),46170.0)</f>
        <v>46170</v>
      </c>
      <c r="Q791" s="38" t="str">
        <f t="shared" si="2"/>
        <v/>
      </c>
      <c r="R791" s="37">
        <v>1.0</v>
      </c>
      <c r="S791" s="15"/>
      <c r="T791" s="37"/>
      <c r="U791" s="36"/>
      <c r="V791" s="18" t="s">
        <v>34</v>
      </c>
      <c r="W791" s="37"/>
      <c r="X791" s="37"/>
    </row>
    <row r="792" ht="22.5" customHeight="1">
      <c r="A792" s="35">
        <v>46157.38846028935</v>
      </c>
      <c r="B792" s="12" t="s">
        <v>1802</v>
      </c>
      <c r="C792" s="15" t="s">
        <v>1803</v>
      </c>
      <c r="D792" s="36"/>
      <c r="E792" s="15" t="s">
        <v>132</v>
      </c>
      <c r="F792" s="15" t="s">
        <v>133</v>
      </c>
      <c r="G792" s="15"/>
      <c r="H792" s="15" t="s">
        <v>659</v>
      </c>
      <c r="I792" s="15" t="s">
        <v>100</v>
      </c>
      <c r="J792" s="41"/>
      <c r="K792" s="37" t="str">
        <f t="array" ref="K792">IFERROR(VLOOKUP(B792, SORT('Nhật ký nộp hồ sơ '!B:D, 'Nhật ký nộp hồ sơ '!A:A, FALSE), 3, FALSE),"")</f>
        <v>Nộp thành công - Chờ kết quả</v>
      </c>
      <c r="L792" s="37" t="str">
        <f t="shared" si="1"/>
        <v>Đã nộp</v>
      </c>
      <c r="M792" s="15" t="s">
        <v>588</v>
      </c>
      <c r="N792" s="38">
        <f>IFERROR(__xludf.DUMMYFUNCTION("""COMPUTED_VALUE"""),46157.0)</f>
        <v>46157</v>
      </c>
      <c r="O792" s="38">
        <v>46160.0</v>
      </c>
      <c r="P792" s="38">
        <f>IFERROR(__xludf.DUMMYFUNCTION("IFERROR(QUERY('Nhật ký nộp hồ sơ '!A:I, ""SELECT I WHERE B = '""&amp;B792&amp;""' ORDER BY A DESC LIMIT 1"", 0))"),46157.0)</f>
        <v>46157</v>
      </c>
      <c r="Q792" s="38" t="str">
        <f t="shared" si="2"/>
        <v/>
      </c>
      <c r="R792" s="37">
        <v>1.0</v>
      </c>
      <c r="S792" s="15"/>
      <c r="T792" s="37"/>
      <c r="U792" s="36"/>
      <c r="V792" s="18" t="s">
        <v>34</v>
      </c>
      <c r="W792" s="37"/>
      <c r="X792" s="37"/>
    </row>
    <row r="793" ht="22.5" customHeight="1">
      <c r="A793" s="35">
        <v>46157.426688125</v>
      </c>
      <c r="B793" s="12" t="s">
        <v>1804</v>
      </c>
      <c r="C793" s="15" t="s">
        <v>1805</v>
      </c>
      <c r="D793" s="36"/>
      <c r="E793" s="15" t="s">
        <v>122</v>
      </c>
      <c r="F793" s="15" t="s">
        <v>89</v>
      </c>
      <c r="G793" s="15"/>
      <c r="H793" s="15" t="s">
        <v>29</v>
      </c>
      <c r="I793" s="15" t="s">
        <v>81</v>
      </c>
      <c r="J793" s="41"/>
      <c r="K793" s="37" t="str">
        <f t="array" ref="K793">IFERROR(VLOOKUP(B793, SORT('Nhật ký nộp hồ sơ '!B:D, 'Nhật ký nộp hồ sơ '!A:A, FALSE), 3, FALSE),"")</f>
        <v>Hoàn thành</v>
      </c>
      <c r="L793" s="37" t="str">
        <f t="shared" si="1"/>
        <v>Hoàn thành</v>
      </c>
      <c r="M793" s="15" t="s">
        <v>41</v>
      </c>
      <c r="N793" s="38">
        <f>IFERROR(__xludf.DUMMYFUNCTION("""COMPUTED_VALUE"""),46157.0)</f>
        <v>46157</v>
      </c>
      <c r="O793" s="38">
        <v>46160.0</v>
      </c>
      <c r="P793" s="38">
        <f>IFERROR(__xludf.DUMMYFUNCTION("IFERROR(QUERY('Nhật ký nộp hồ sơ '!A:I, ""SELECT I WHERE B = '""&amp;B793&amp;""' ORDER BY A DESC LIMIT 1"", 0))"),46157.0)</f>
        <v>46157</v>
      </c>
      <c r="Q793" s="38">
        <f t="shared" si="2"/>
        <v>46157</v>
      </c>
      <c r="R793" s="37">
        <v>0.0</v>
      </c>
      <c r="S793" s="15"/>
      <c r="T793" s="37"/>
      <c r="U793" s="36"/>
      <c r="V793" s="18" t="s">
        <v>34</v>
      </c>
      <c r="W793" s="37"/>
      <c r="X793" s="37"/>
    </row>
    <row r="794" ht="22.5" customHeight="1">
      <c r="A794" s="35">
        <v>46157.47188622685</v>
      </c>
      <c r="B794" s="12" t="s">
        <v>1806</v>
      </c>
      <c r="C794" s="15" t="s">
        <v>1807</v>
      </c>
      <c r="D794" s="36"/>
      <c r="E794" s="15" t="s">
        <v>26</v>
      </c>
      <c r="F794" s="15" t="s">
        <v>133</v>
      </c>
      <c r="G794" s="15" t="s">
        <v>1808</v>
      </c>
      <c r="H794" s="15" t="s">
        <v>100</v>
      </c>
      <c r="I794" s="15" t="s">
        <v>81</v>
      </c>
      <c r="J794" s="41"/>
      <c r="K794" s="37" t="str">
        <f t="array" ref="K794">IFERROR(VLOOKUP(B794, SORT('Nhật ký nộp hồ sơ '!B:D, 'Nhật ký nộp hồ sơ '!A:A, FALSE), 3, FALSE),"")</f>
        <v>Nộp thành công - Chờ kết quả</v>
      </c>
      <c r="L794" s="37" t="str">
        <f t="shared" si="1"/>
        <v>Đã nộp</v>
      </c>
      <c r="M794" s="15" t="s">
        <v>588</v>
      </c>
      <c r="N794" s="38">
        <f>IFERROR(__xludf.DUMMYFUNCTION("""COMPUTED_VALUE"""),46157.0)</f>
        <v>46157</v>
      </c>
      <c r="O794" s="38">
        <v>46160.0</v>
      </c>
      <c r="P794" s="38">
        <f>IFERROR(__xludf.DUMMYFUNCTION("IFERROR(QUERY('Nhật ký nộp hồ sơ '!A:I, ""SELECT I WHERE B = '""&amp;B794&amp;""' ORDER BY A DESC LIMIT 1"", 0))"),46157.0)</f>
        <v>46157</v>
      </c>
      <c r="Q794" s="38" t="str">
        <f t="shared" si="2"/>
        <v/>
      </c>
      <c r="R794" s="37">
        <v>1.0</v>
      </c>
      <c r="S794" s="15"/>
      <c r="T794" s="37"/>
      <c r="U794" s="36"/>
      <c r="V794" s="18" t="s">
        <v>34</v>
      </c>
      <c r="W794" s="37"/>
      <c r="X794" s="37"/>
    </row>
    <row r="795" ht="22.5" customHeight="1">
      <c r="A795" s="35">
        <v>46158.44136635416</v>
      </c>
      <c r="B795" s="12" t="s">
        <v>1809</v>
      </c>
      <c r="C795" s="15" t="s">
        <v>1810</v>
      </c>
      <c r="D795" s="39" t="s">
        <v>44</v>
      </c>
      <c r="E795" s="15" t="s">
        <v>79</v>
      </c>
      <c r="F795" s="15" t="s">
        <v>481</v>
      </c>
      <c r="G795" s="15"/>
      <c r="H795" s="15" t="s">
        <v>28</v>
      </c>
      <c r="I795" s="15" t="s">
        <v>659</v>
      </c>
      <c r="J795" s="39" t="s">
        <v>202</v>
      </c>
      <c r="K795" s="37" t="str">
        <f t="array" ref="K795">IFERROR(VLOOKUP(B795, SORT('Nhật ký nộp hồ sơ '!B:D, 'Nhật ký nộp hồ sơ '!A:A, FALSE), 3, FALSE),"")</f>
        <v>Hoàn thành</v>
      </c>
      <c r="L795" s="37" t="str">
        <f t="shared" si="1"/>
        <v>Hoàn thành</v>
      </c>
      <c r="M795" s="15" t="s">
        <v>56</v>
      </c>
      <c r="N795" s="38">
        <f>IFERROR(__xludf.DUMMYFUNCTION("""COMPUTED_VALUE"""),46158.0)</f>
        <v>46158</v>
      </c>
      <c r="O795" s="38">
        <v>46159.0</v>
      </c>
      <c r="P795" s="38">
        <f>IFERROR(__xludf.DUMMYFUNCTION("IFERROR(QUERY('Nhật ký nộp hồ sơ '!A:I, ""SELECT I WHERE B = '""&amp;B795&amp;""' ORDER BY A DESC LIMIT 1"", 0))"),46184.0)</f>
        <v>46184</v>
      </c>
      <c r="Q795" s="38">
        <f t="shared" si="2"/>
        <v>46184</v>
      </c>
      <c r="R795" s="37">
        <v>2.0</v>
      </c>
      <c r="S795" s="15"/>
      <c r="T795" s="37"/>
      <c r="U795" s="36"/>
      <c r="V795" s="18" t="s">
        <v>34</v>
      </c>
      <c r="W795" s="37"/>
      <c r="X795" s="37"/>
    </row>
    <row r="796" ht="22.5" customHeight="1">
      <c r="A796" s="35">
        <v>46158.442151145835</v>
      </c>
      <c r="B796" s="12" t="s">
        <v>1811</v>
      </c>
      <c r="C796" s="15" t="s">
        <v>1810</v>
      </c>
      <c r="D796" s="36"/>
      <c r="E796" s="15" t="s">
        <v>79</v>
      </c>
      <c r="F796" s="15" t="s">
        <v>481</v>
      </c>
      <c r="G796" s="15"/>
      <c r="H796" s="15" t="s">
        <v>28</v>
      </c>
      <c r="I796" s="15" t="s">
        <v>81</v>
      </c>
      <c r="J796" s="41"/>
      <c r="K796" s="37" t="str">
        <f t="array" ref="K796">IFERROR(VLOOKUP(B796, SORT('Nhật ký nộp hồ sơ '!B:D, 'Nhật ký nộp hồ sơ '!A:A, FALSE), 3, FALSE),"")</f>
        <v>Hoàn thành</v>
      </c>
      <c r="L796" s="37" t="str">
        <f t="shared" si="1"/>
        <v>Hoàn thành</v>
      </c>
      <c r="M796" s="15" t="s">
        <v>146</v>
      </c>
      <c r="N796" s="38">
        <f>IFERROR(__xludf.DUMMYFUNCTION("""COMPUTED_VALUE"""),46158.0)</f>
        <v>46158</v>
      </c>
      <c r="O796" s="38">
        <v>46161.0</v>
      </c>
      <c r="P796" s="38">
        <f>IFERROR(__xludf.DUMMYFUNCTION("IFERROR(QUERY('Nhật ký nộp hồ sơ '!A:I, ""SELECT I WHERE B = '""&amp;B796&amp;""' ORDER BY A DESC LIMIT 1"", 0))"),46160.0)</f>
        <v>46160</v>
      </c>
      <c r="Q796" s="38">
        <f t="shared" si="2"/>
        <v>46160</v>
      </c>
      <c r="R796" s="37">
        <v>1.0</v>
      </c>
      <c r="S796" s="15"/>
      <c r="T796" s="37"/>
      <c r="U796" s="36"/>
      <c r="V796" s="18" t="s">
        <v>34</v>
      </c>
      <c r="W796" s="37"/>
      <c r="X796" s="37"/>
    </row>
    <row r="797" ht="22.5" customHeight="1">
      <c r="A797" s="35">
        <v>46158.44312026621</v>
      </c>
      <c r="B797" s="12" t="s">
        <v>1812</v>
      </c>
      <c r="C797" s="15" t="s">
        <v>1813</v>
      </c>
      <c r="D797" s="39" t="s">
        <v>44</v>
      </c>
      <c r="E797" s="15" t="s">
        <v>79</v>
      </c>
      <c r="F797" s="15" t="s">
        <v>481</v>
      </c>
      <c r="G797" s="15"/>
      <c r="H797" s="15" t="s">
        <v>28</v>
      </c>
      <c r="I797" s="15" t="s">
        <v>659</v>
      </c>
      <c r="J797" s="39" t="s">
        <v>202</v>
      </c>
      <c r="K797" s="37" t="str">
        <f t="array" ref="K797">IFERROR(VLOOKUP(B797, SORT('Nhật ký nộp hồ sơ '!B:D, 'Nhật ký nộp hồ sơ '!A:A, FALSE), 3, FALSE),"")</f>
        <v>Hoàn thành</v>
      </c>
      <c r="L797" s="37" t="str">
        <f t="shared" si="1"/>
        <v>Hoàn thành</v>
      </c>
      <c r="M797" s="15" t="s">
        <v>56</v>
      </c>
      <c r="N797" s="38">
        <f>IFERROR(__xludf.DUMMYFUNCTION("""COMPUTED_VALUE"""),46158.0)</f>
        <v>46158</v>
      </c>
      <c r="O797" s="38">
        <v>46159.0</v>
      </c>
      <c r="P797" s="38">
        <f>IFERROR(__xludf.DUMMYFUNCTION("IFERROR(QUERY('Nhật ký nộp hồ sơ '!A:I, ""SELECT I WHERE B = '""&amp;B797&amp;""' ORDER BY A DESC LIMIT 1"", 0))"),46184.0)</f>
        <v>46184</v>
      </c>
      <c r="Q797" s="38">
        <f t="shared" si="2"/>
        <v>46184</v>
      </c>
      <c r="R797" s="37">
        <v>2.0</v>
      </c>
      <c r="S797" s="15"/>
      <c r="T797" s="37"/>
      <c r="U797" s="36"/>
      <c r="V797" s="18" t="s">
        <v>34</v>
      </c>
      <c r="W797" s="37"/>
      <c r="X797" s="37"/>
    </row>
    <row r="798" ht="22.5" customHeight="1">
      <c r="A798" s="35">
        <v>46158.44367825231</v>
      </c>
      <c r="B798" s="12" t="s">
        <v>1814</v>
      </c>
      <c r="C798" s="15" t="s">
        <v>1813</v>
      </c>
      <c r="D798" s="36"/>
      <c r="E798" s="15" t="s">
        <v>79</v>
      </c>
      <c r="F798" s="15" t="s">
        <v>481</v>
      </c>
      <c r="G798" s="15"/>
      <c r="H798" s="15" t="s">
        <v>28</v>
      </c>
      <c r="I798" s="15" t="s">
        <v>81</v>
      </c>
      <c r="J798" s="41"/>
      <c r="K798" s="37" t="str">
        <f t="array" ref="K798">IFERROR(VLOOKUP(B798, SORT('Nhật ký nộp hồ sơ '!B:D, 'Nhật ký nộp hồ sơ '!A:A, FALSE), 3, FALSE),"")</f>
        <v>Hoàn thành</v>
      </c>
      <c r="L798" s="37" t="str">
        <f t="shared" si="1"/>
        <v>Hoàn thành</v>
      </c>
      <c r="M798" s="15" t="s">
        <v>146</v>
      </c>
      <c r="N798" s="38">
        <f>IFERROR(__xludf.DUMMYFUNCTION("""COMPUTED_VALUE"""),46158.0)</f>
        <v>46158</v>
      </c>
      <c r="O798" s="38">
        <v>46161.0</v>
      </c>
      <c r="P798" s="38">
        <f>IFERROR(__xludf.DUMMYFUNCTION("IFERROR(QUERY('Nhật ký nộp hồ sơ '!A:I, ""SELECT I WHERE B = '""&amp;B798&amp;""' ORDER BY A DESC LIMIT 1"", 0))"),46160.0)</f>
        <v>46160</v>
      </c>
      <c r="Q798" s="38">
        <f t="shared" si="2"/>
        <v>46160</v>
      </c>
      <c r="R798" s="37">
        <v>1.0</v>
      </c>
      <c r="S798" s="15"/>
      <c r="T798" s="37"/>
      <c r="U798" s="36"/>
      <c r="V798" s="18" t="s">
        <v>34</v>
      </c>
      <c r="W798" s="37"/>
      <c r="X798" s="37"/>
    </row>
    <row r="799" ht="22.5" customHeight="1">
      <c r="A799" s="35">
        <v>46160.68940177083</v>
      </c>
      <c r="B799" s="12" t="s">
        <v>1815</v>
      </c>
      <c r="C799" s="15" t="s">
        <v>1112</v>
      </c>
      <c r="D799" s="36"/>
      <c r="E799" s="15" t="s">
        <v>26</v>
      </c>
      <c r="F799" s="15" t="s">
        <v>414</v>
      </c>
      <c r="G799" s="15"/>
      <c r="H799" s="15" t="s">
        <v>69</v>
      </c>
      <c r="I799" s="15" t="s">
        <v>81</v>
      </c>
      <c r="J799" s="41"/>
      <c r="K799" s="37" t="str">
        <f t="array" ref="K799">IFERROR(VLOOKUP(B799, SORT('Nhật ký nộp hồ sơ '!B:D, 'Nhật ký nộp hồ sơ '!A:A, FALSE), 3, FALSE),"")</f>
        <v>Hoàn thành</v>
      </c>
      <c r="L799" s="37" t="str">
        <f t="shared" si="1"/>
        <v>Hoàn thành</v>
      </c>
      <c r="M799" s="15" t="s">
        <v>93</v>
      </c>
      <c r="N799" s="38">
        <f>IFERROR(__xludf.DUMMYFUNCTION("""COMPUTED_VALUE"""),46160.0)</f>
        <v>46160</v>
      </c>
      <c r="O799" s="38">
        <v>46163.0</v>
      </c>
      <c r="P799" s="38">
        <f>IFERROR(__xludf.DUMMYFUNCTION("IFERROR(QUERY('Nhật ký nộp hồ sơ '!A:I, ""SELECT I WHERE B = '""&amp;B799&amp;""' ORDER BY A DESC LIMIT 1"", 0))"),46169.0)</f>
        <v>46169</v>
      </c>
      <c r="Q799" s="38">
        <f t="shared" si="2"/>
        <v>46169</v>
      </c>
      <c r="R799" s="37">
        <v>1.0</v>
      </c>
      <c r="S799" s="15"/>
      <c r="T799" s="37"/>
      <c r="U799" s="36"/>
      <c r="V799" s="18" t="s">
        <v>34</v>
      </c>
      <c r="W799" s="37"/>
      <c r="X799" s="37"/>
    </row>
    <row r="800" ht="22.5" customHeight="1">
      <c r="A800" s="35">
        <v>46161.631738067124</v>
      </c>
      <c r="B800" s="12" t="s">
        <v>1816</v>
      </c>
      <c r="C800" s="15" t="s">
        <v>1817</v>
      </c>
      <c r="D800" s="36"/>
      <c r="E800" s="15" t="s">
        <v>26</v>
      </c>
      <c r="F800" s="15" t="s">
        <v>620</v>
      </c>
      <c r="G800" s="15"/>
      <c r="H800" s="15" t="s">
        <v>28</v>
      </c>
      <c r="I800" s="15" t="s">
        <v>659</v>
      </c>
      <c r="J800" s="41"/>
      <c r="K800" s="37" t="str">
        <f t="array" ref="K800">IFERROR(VLOOKUP(B800, SORT('Nhật ký nộp hồ sơ '!B:D, 'Nhật ký nộp hồ sơ '!A:A, FALSE), 3, FALSE),"")</f>
        <v>Hoàn thành</v>
      </c>
      <c r="L800" s="37" t="str">
        <f t="shared" si="1"/>
        <v>Hoàn thành</v>
      </c>
      <c r="M800" s="15" t="s">
        <v>216</v>
      </c>
      <c r="N800" s="38">
        <f>IFERROR(__xludf.DUMMYFUNCTION("""COMPUTED_VALUE"""),46161.0)</f>
        <v>46161</v>
      </c>
      <c r="O800" s="38">
        <v>46164.0</v>
      </c>
      <c r="P800" s="38">
        <f>IFERROR(__xludf.DUMMYFUNCTION("IFERROR(QUERY('Nhật ký nộp hồ sơ '!A:I, ""SELECT I WHERE B = '""&amp;B800&amp;""' ORDER BY A DESC LIMIT 1"", 0))"),46161.0)</f>
        <v>46161</v>
      </c>
      <c r="Q800" s="38">
        <f t="shared" si="2"/>
        <v>46161</v>
      </c>
      <c r="R800" s="37">
        <v>1.0</v>
      </c>
      <c r="S800" s="15"/>
      <c r="T800" s="37"/>
      <c r="U800" s="36"/>
      <c r="V800" s="18" t="s">
        <v>34</v>
      </c>
      <c r="W800" s="37">
        <v>4.0</v>
      </c>
      <c r="X800" s="37" t="s">
        <v>1188</v>
      </c>
    </row>
    <row r="801" ht="22.5" customHeight="1">
      <c r="A801" s="35">
        <v>46161.65038777778</v>
      </c>
      <c r="B801" s="12" t="s">
        <v>1818</v>
      </c>
      <c r="C801" s="15" t="s">
        <v>1819</v>
      </c>
      <c r="D801" s="36"/>
      <c r="E801" s="15" t="s">
        <v>45</v>
      </c>
      <c r="F801" s="15" t="s">
        <v>46</v>
      </c>
      <c r="G801" s="15"/>
      <c r="H801" s="15" t="s">
        <v>29</v>
      </c>
      <c r="I801" s="15" t="s">
        <v>659</v>
      </c>
      <c r="J801" s="41"/>
      <c r="K801" s="37" t="str">
        <f t="array" ref="K801">IFERROR(VLOOKUP(B801, SORT('Nhật ký nộp hồ sơ '!B:D, 'Nhật ký nộp hồ sơ '!A:A, FALSE), 3, FALSE),"")</f>
        <v/>
      </c>
      <c r="L801" s="37" t="str">
        <f t="shared" si="1"/>
        <v>QUÁ HẠN</v>
      </c>
      <c r="M801" s="15" t="s">
        <v>48</v>
      </c>
      <c r="N801" s="38">
        <f>IFERROR(__xludf.DUMMYFUNCTION("""COMPUTED_VALUE"""),46161.0)</f>
        <v>46161</v>
      </c>
      <c r="O801" s="38">
        <v>46164.0</v>
      </c>
      <c r="P801" s="38" t="str">
        <f>IFERROR(__xludf.DUMMYFUNCTION("IFERROR(QUERY('Nhật ký nộp hồ sơ '!A:I, ""SELECT I WHERE B = '""&amp;B801&amp;""' ORDER BY A DESC LIMIT 1"", 0))"),"")</f>
        <v/>
      </c>
      <c r="Q801" s="38" t="str">
        <f t="shared" si="2"/>
        <v/>
      </c>
      <c r="R801" s="37">
        <v>1.0</v>
      </c>
      <c r="S801" s="15" t="s">
        <v>1820</v>
      </c>
      <c r="T801" s="15" t="s">
        <v>1821</v>
      </c>
      <c r="U801" s="36"/>
      <c r="V801" s="36"/>
      <c r="W801" s="37"/>
      <c r="X801" s="37"/>
    </row>
    <row r="802" ht="22.5" customHeight="1">
      <c r="A802" s="35">
        <v>46161.69063662037</v>
      </c>
      <c r="B802" s="12" t="s">
        <v>1822</v>
      </c>
      <c r="C802" s="15" t="s">
        <v>1823</v>
      </c>
      <c r="D802" s="36"/>
      <c r="E802" s="15" t="s">
        <v>151</v>
      </c>
      <c r="F802" s="15" t="s">
        <v>133</v>
      </c>
      <c r="G802" s="15"/>
      <c r="H802" s="15" t="s">
        <v>659</v>
      </c>
      <c r="I802" s="15" t="s">
        <v>81</v>
      </c>
      <c r="J802" s="41"/>
      <c r="K802" s="37" t="str">
        <f t="array" ref="K802">IFERROR(VLOOKUP(B802, SORT('Nhật ký nộp hồ sơ '!B:D, 'Nhật ký nộp hồ sơ '!A:A, FALSE), 3, FALSE),"")</f>
        <v>Hoàn thành</v>
      </c>
      <c r="L802" s="37" t="str">
        <f t="shared" si="1"/>
        <v>Hoàn thành</v>
      </c>
      <c r="M802" s="15" t="s">
        <v>1506</v>
      </c>
      <c r="N802" s="38">
        <f>IFERROR(__xludf.DUMMYFUNCTION("""COMPUTED_VALUE"""),46161.0)</f>
        <v>46161</v>
      </c>
      <c r="O802" s="38">
        <v>46164.0</v>
      </c>
      <c r="P802" s="38">
        <f>IFERROR(__xludf.DUMMYFUNCTION("IFERROR(QUERY('Nhật ký nộp hồ sơ '!A:I, ""SELECT I WHERE B = '""&amp;B802&amp;""' ORDER BY A DESC LIMIT 1"", 0))"),46162.0)</f>
        <v>46162</v>
      </c>
      <c r="Q802" s="38">
        <f t="shared" si="2"/>
        <v>46162</v>
      </c>
      <c r="R802" s="37">
        <v>2.0</v>
      </c>
      <c r="S802" s="15"/>
      <c r="T802" s="15"/>
      <c r="U802" s="36"/>
      <c r="V802" s="18" t="s">
        <v>34</v>
      </c>
      <c r="W802" s="37"/>
      <c r="X802" s="37"/>
    </row>
    <row r="803" ht="22.5" customHeight="1">
      <c r="A803" s="35">
        <v>46162.62134258102</v>
      </c>
      <c r="B803" s="12" t="s">
        <v>1824</v>
      </c>
      <c r="C803" s="15" t="s">
        <v>1825</v>
      </c>
      <c r="D803" s="36"/>
      <c r="E803" s="15" t="s">
        <v>45</v>
      </c>
      <c r="F803" s="15" t="s">
        <v>68</v>
      </c>
      <c r="G803" s="15"/>
      <c r="H803" s="15" t="s">
        <v>47</v>
      </c>
      <c r="I803" s="15" t="s">
        <v>659</v>
      </c>
      <c r="J803" s="41"/>
      <c r="K803" s="37" t="str">
        <f t="array" ref="K803">IFERROR(VLOOKUP(B803, SORT('Nhật ký nộp hồ sơ '!B:D, 'Nhật ký nộp hồ sơ '!A:A, FALSE), 3, FALSE),"")</f>
        <v>Hoàn thành</v>
      </c>
      <c r="L803" s="37" t="str">
        <f t="shared" si="1"/>
        <v>Hoàn thành</v>
      </c>
      <c r="M803" s="15" t="s">
        <v>56</v>
      </c>
      <c r="N803" s="38">
        <f>IFERROR(__xludf.DUMMYFUNCTION("""COMPUTED_VALUE"""),46162.0)</f>
        <v>46162</v>
      </c>
      <c r="O803" s="38">
        <v>46165.0</v>
      </c>
      <c r="P803" s="38">
        <f>IFERROR(__xludf.DUMMYFUNCTION("IFERROR(QUERY('Nhật ký nộp hồ sơ '!A:I, ""SELECT I WHERE B = '""&amp;B803&amp;""' ORDER BY A DESC LIMIT 1"", 0))"),46175.0)</f>
        <v>46175</v>
      </c>
      <c r="Q803" s="38">
        <f t="shared" si="2"/>
        <v>46175</v>
      </c>
      <c r="R803" s="37">
        <v>1.0</v>
      </c>
      <c r="S803" s="15"/>
      <c r="T803" s="15"/>
      <c r="U803" s="36"/>
      <c r="V803" s="18" t="s">
        <v>34</v>
      </c>
      <c r="W803" s="37"/>
      <c r="X803" s="37"/>
    </row>
    <row r="804" ht="22.5" customHeight="1">
      <c r="A804" s="35">
        <v>46162.70666247685</v>
      </c>
      <c r="B804" s="12" t="s">
        <v>1826</v>
      </c>
      <c r="C804" s="15" t="s">
        <v>1439</v>
      </c>
      <c r="D804" s="36"/>
      <c r="E804" s="15" t="s">
        <v>45</v>
      </c>
      <c r="F804" s="15" t="s">
        <v>46</v>
      </c>
      <c r="G804" s="15"/>
      <c r="H804" s="15" t="s">
        <v>28</v>
      </c>
      <c r="I804" s="15" t="s">
        <v>81</v>
      </c>
      <c r="J804" s="41"/>
      <c r="K804" s="37" t="str">
        <f t="array" ref="K804">IFERROR(VLOOKUP(B804, SORT('Nhật ký nộp hồ sơ '!B:D, 'Nhật ký nộp hồ sơ '!A:A, FALSE), 3, FALSE),"")</f>
        <v>Hoàn thành</v>
      </c>
      <c r="L804" s="37" t="str">
        <f t="shared" si="1"/>
        <v>Hoàn thành</v>
      </c>
      <c r="M804" s="15" t="s">
        <v>146</v>
      </c>
      <c r="N804" s="38">
        <f>IFERROR(__xludf.DUMMYFUNCTION("""COMPUTED_VALUE"""),46162.0)</f>
        <v>46162</v>
      </c>
      <c r="O804" s="38">
        <v>46165.0</v>
      </c>
      <c r="P804" s="38">
        <f>IFERROR(__xludf.DUMMYFUNCTION("IFERROR(QUERY('Nhật ký nộp hồ sơ '!A:I, ""SELECT I WHERE B = '""&amp;B804&amp;""' ORDER BY A DESC LIMIT 1"", 0))"),46163.0)</f>
        <v>46163</v>
      </c>
      <c r="Q804" s="38">
        <f t="shared" si="2"/>
        <v>46163</v>
      </c>
      <c r="R804" s="37">
        <v>1.0</v>
      </c>
      <c r="S804" s="15"/>
      <c r="T804" s="15"/>
      <c r="U804" s="36"/>
      <c r="V804" s="18" t="s">
        <v>34</v>
      </c>
      <c r="W804" s="37"/>
      <c r="X804" s="37"/>
    </row>
    <row r="805" ht="22.5" customHeight="1">
      <c r="A805" s="35">
        <v>46163.47124083333</v>
      </c>
      <c r="B805" s="12" t="s">
        <v>1827</v>
      </c>
      <c r="C805" s="15" t="s">
        <v>1828</v>
      </c>
      <c r="D805" s="36"/>
      <c r="E805" s="15" t="s">
        <v>122</v>
      </c>
      <c r="F805" s="15" t="s">
        <v>89</v>
      </c>
      <c r="G805" s="15" t="s">
        <v>1829</v>
      </c>
      <c r="H805" s="15" t="s">
        <v>100</v>
      </c>
      <c r="I805" s="15" t="s">
        <v>81</v>
      </c>
      <c r="J805" s="41"/>
      <c r="K805" s="37" t="str">
        <f t="array" ref="K805">IFERROR(VLOOKUP(B805, SORT('Nhật ký nộp hồ sơ '!B:D, 'Nhật ký nộp hồ sơ '!A:A, FALSE), 3, FALSE),"")</f>
        <v>Nộp thành công - Chờ kết quả</v>
      </c>
      <c r="L805" s="37" t="str">
        <f t="shared" si="1"/>
        <v>Đã nộp</v>
      </c>
      <c r="M805" s="15" t="s">
        <v>82</v>
      </c>
      <c r="N805" s="38">
        <f>IFERROR(__xludf.DUMMYFUNCTION("""COMPUTED_VALUE"""),46163.0)</f>
        <v>46163</v>
      </c>
      <c r="O805" s="38">
        <v>46166.0</v>
      </c>
      <c r="P805" s="38">
        <f>IFERROR(__xludf.DUMMYFUNCTION("IFERROR(QUERY('Nhật ký nộp hồ sơ '!A:I, ""SELECT I WHERE B = '""&amp;B805&amp;""' ORDER BY A DESC LIMIT 1"", 0))"),46163.0)</f>
        <v>46163</v>
      </c>
      <c r="Q805" s="38" t="str">
        <f t="shared" si="2"/>
        <v/>
      </c>
      <c r="R805" s="37">
        <v>1.0</v>
      </c>
      <c r="S805" s="15"/>
      <c r="T805" s="15"/>
      <c r="U805" s="36"/>
      <c r="V805" s="18" t="s">
        <v>34</v>
      </c>
      <c r="W805" s="37"/>
      <c r="X805" s="37"/>
    </row>
    <row r="806" ht="22.5" customHeight="1">
      <c r="A806" s="35">
        <v>46163.64778100695</v>
      </c>
      <c r="B806" s="12" t="s">
        <v>1830</v>
      </c>
      <c r="C806" s="15" t="s">
        <v>1831</v>
      </c>
      <c r="D806" s="36"/>
      <c r="E806" s="15" t="s">
        <v>222</v>
      </c>
      <c r="F806" s="15" t="s">
        <v>246</v>
      </c>
      <c r="G806" s="15"/>
      <c r="H806" s="15" t="s">
        <v>28</v>
      </c>
      <c r="I806" s="15" t="s">
        <v>659</v>
      </c>
      <c r="J806" s="41"/>
      <c r="K806" s="37" t="str">
        <f t="array" ref="K806">IFERROR(VLOOKUP(B806, SORT('Nhật ký nộp hồ sơ '!B:D, 'Nhật ký nộp hồ sơ '!A:A, FALSE), 3, FALSE),"")</f>
        <v>Hoàn thành</v>
      </c>
      <c r="L806" s="37" t="str">
        <f t="shared" si="1"/>
        <v>Hoàn thành</v>
      </c>
      <c r="M806" s="15" t="s">
        <v>216</v>
      </c>
      <c r="N806" s="38">
        <f>IFERROR(__xludf.DUMMYFUNCTION("""COMPUTED_VALUE"""),46163.0)</f>
        <v>46163</v>
      </c>
      <c r="O806" s="38">
        <v>46166.0</v>
      </c>
      <c r="P806" s="38">
        <f>IFERROR(__xludf.DUMMYFUNCTION("IFERROR(QUERY('Nhật ký nộp hồ sơ '!A:I, ""SELECT I WHERE B = '""&amp;B806&amp;""' ORDER BY A DESC LIMIT 1"", 0))"),46163.0)</f>
        <v>46163</v>
      </c>
      <c r="Q806" s="38">
        <f t="shared" si="2"/>
        <v>46163</v>
      </c>
      <c r="R806" s="37">
        <v>1.0</v>
      </c>
      <c r="S806" s="15"/>
      <c r="T806" s="15"/>
      <c r="U806" s="36"/>
      <c r="V806" s="18" t="s">
        <v>34</v>
      </c>
      <c r="W806" s="37">
        <v>4.0</v>
      </c>
      <c r="X806" s="37" t="s">
        <v>1188</v>
      </c>
    </row>
    <row r="807" ht="22.5" customHeight="1">
      <c r="A807" s="35">
        <v>46163.64982478009</v>
      </c>
      <c r="B807" s="12" t="s">
        <v>1832</v>
      </c>
      <c r="C807" s="15" t="s">
        <v>1833</v>
      </c>
      <c r="D807" s="36"/>
      <c r="E807" s="15" t="s">
        <v>231</v>
      </c>
      <c r="F807" s="15" t="s">
        <v>133</v>
      </c>
      <c r="G807" s="15"/>
      <c r="H807" s="15" t="s">
        <v>28</v>
      </c>
      <c r="I807" s="15" t="s">
        <v>29</v>
      </c>
      <c r="J807" s="41"/>
      <c r="K807" s="37" t="str">
        <f t="array" ref="K807">IFERROR(VLOOKUP(B807, SORT('Nhật ký nộp hồ sơ '!B:D, 'Nhật ký nộp hồ sơ '!A:A, FALSE), 3, FALSE),"")</f>
        <v/>
      </c>
      <c r="L807" s="37" t="str">
        <f t="shared" si="1"/>
        <v>QUÁ HẠN</v>
      </c>
      <c r="M807" s="15" t="s">
        <v>56</v>
      </c>
      <c r="N807" s="38">
        <f>IFERROR(__xludf.DUMMYFUNCTION("""COMPUTED_VALUE"""),46163.0)</f>
        <v>46163</v>
      </c>
      <c r="O807" s="38">
        <v>46166.0</v>
      </c>
      <c r="P807" s="38" t="str">
        <f>IFERROR(__xludf.DUMMYFUNCTION("IFERROR(QUERY('Nhật ký nộp hồ sơ '!A:I, ""SELECT I WHERE B = '""&amp;B807&amp;""' ORDER BY A DESC LIMIT 1"", 0))"),"")</f>
        <v/>
      </c>
      <c r="Q807" s="38" t="str">
        <f t="shared" si="2"/>
        <v/>
      </c>
      <c r="R807" s="37">
        <v>1.0</v>
      </c>
      <c r="S807" s="15"/>
      <c r="T807" s="15"/>
      <c r="U807" s="36"/>
      <c r="V807" s="36"/>
      <c r="W807" s="37"/>
      <c r="X807" s="37"/>
    </row>
    <row r="808" ht="22.5" customHeight="1">
      <c r="A808" s="35">
        <v>46164.40642576389</v>
      </c>
      <c r="B808" s="12" t="s">
        <v>1834</v>
      </c>
      <c r="C808" s="15" t="s">
        <v>1835</v>
      </c>
      <c r="D808" s="36"/>
      <c r="E808" s="15" t="s">
        <v>26</v>
      </c>
      <c r="F808" s="15" t="s">
        <v>68</v>
      </c>
      <c r="G808" s="15"/>
      <c r="H808" s="15" t="s">
        <v>69</v>
      </c>
      <c r="I808" s="15" t="s">
        <v>659</v>
      </c>
      <c r="J808" s="41"/>
      <c r="K808" s="37" t="str">
        <f t="array" ref="K808">IFERROR(VLOOKUP(B808, SORT('Nhật ký nộp hồ sơ '!B:D, 'Nhật ký nộp hồ sơ '!A:A, FALSE), 3, FALSE),"")</f>
        <v>Hoàn thành</v>
      </c>
      <c r="L808" s="37" t="str">
        <f t="shared" si="1"/>
        <v>Hoàn thành</v>
      </c>
      <c r="M808" s="15" t="s">
        <v>216</v>
      </c>
      <c r="N808" s="38">
        <f>IFERROR(__xludf.DUMMYFUNCTION("""COMPUTED_VALUE"""),46164.0)</f>
        <v>46164</v>
      </c>
      <c r="O808" s="38">
        <v>46167.0</v>
      </c>
      <c r="P808" s="38">
        <f>IFERROR(__xludf.DUMMYFUNCTION("IFERROR(QUERY('Nhật ký nộp hồ sơ '!A:I, ""SELECT I WHERE B = '""&amp;B808&amp;""' ORDER BY A DESC LIMIT 1"", 0))"),46164.0)</f>
        <v>46164</v>
      </c>
      <c r="Q808" s="38">
        <f t="shared" si="2"/>
        <v>46164</v>
      </c>
      <c r="R808" s="37">
        <v>1.0</v>
      </c>
      <c r="S808" s="15"/>
      <c r="T808" s="15"/>
      <c r="U808" s="36"/>
      <c r="V808" s="18" t="s">
        <v>34</v>
      </c>
      <c r="W808" s="37"/>
      <c r="X808" s="37"/>
    </row>
    <row r="809" ht="22.5" customHeight="1">
      <c r="A809" s="35">
        <v>46164.45094927083</v>
      </c>
      <c r="B809" s="12" t="s">
        <v>1836</v>
      </c>
      <c r="C809" s="15" t="s">
        <v>1837</v>
      </c>
      <c r="D809" s="36"/>
      <c r="E809" s="15" t="s">
        <v>45</v>
      </c>
      <c r="F809" s="15" t="s">
        <v>68</v>
      </c>
      <c r="G809" s="15"/>
      <c r="H809" s="15" t="s">
        <v>47</v>
      </c>
      <c r="I809" s="15" t="s">
        <v>659</v>
      </c>
      <c r="J809" s="41"/>
      <c r="K809" s="37" t="str">
        <f t="array" ref="K809">IFERROR(VLOOKUP(B809, SORT('Nhật ký nộp hồ sơ '!B:D, 'Nhật ký nộp hồ sơ '!A:A, FALSE), 3, FALSE),"")</f>
        <v>Hoàn thành</v>
      </c>
      <c r="L809" s="37" t="str">
        <f t="shared" si="1"/>
        <v>Hoàn thành</v>
      </c>
      <c r="M809" s="15" t="s">
        <v>48</v>
      </c>
      <c r="N809" s="38">
        <f>IFERROR(__xludf.DUMMYFUNCTION("""COMPUTED_VALUE"""),46164.0)</f>
        <v>46164</v>
      </c>
      <c r="O809" s="38">
        <v>46167.0</v>
      </c>
      <c r="P809" s="38">
        <f>IFERROR(__xludf.DUMMYFUNCTION("IFERROR(QUERY('Nhật ký nộp hồ sơ '!A:I, ""SELECT I WHERE B = '""&amp;B809&amp;""' ORDER BY A DESC LIMIT 1"", 0))"),46189.0)</f>
        <v>46189</v>
      </c>
      <c r="Q809" s="38">
        <f t="shared" si="2"/>
        <v>46189</v>
      </c>
      <c r="R809" s="37">
        <v>1.0</v>
      </c>
      <c r="S809" s="15" t="s">
        <v>1838</v>
      </c>
      <c r="T809" s="15" t="s">
        <v>1839</v>
      </c>
      <c r="U809" s="36"/>
      <c r="V809" s="36"/>
      <c r="W809" s="37"/>
      <c r="X809" s="37"/>
    </row>
    <row r="810" ht="22.5" customHeight="1">
      <c r="A810" s="35">
        <v>46164.57903949074</v>
      </c>
      <c r="B810" s="12" t="s">
        <v>1840</v>
      </c>
      <c r="C810" s="15" t="s">
        <v>983</v>
      </c>
      <c r="D810" s="36"/>
      <c r="E810" s="15" t="s">
        <v>151</v>
      </c>
      <c r="F810" s="15" t="s">
        <v>133</v>
      </c>
      <c r="G810" s="15"/>
      <c r="H810" s="15" t="s">
        <v>29</v>
      </c>
      <c r="I810" s="15" t="s">
        <v>81</v>
      </c>
      <c r="J810" s="41"/>
      <c r="K810" s="37" t="str">
        <f t="array" ref="K810">IFERROR(VLOOKUP(B810, SORT('Nhật ký nộp hồ sơ '!B:D, 'Nhật ký nộp hồ sơ '!A:A, FALSE), 3, FALSE),"")</f>
        <v>Hoàn thành</v>
      </c>
      <c r="L810" s="37" t="str">
        <f t="shared" si="1"/>
        <v>Hoàn thành</v>
      </c>
      <c r="M810" s="15" t="s">
        <v>41</v>
      </c>
      <c r="N810" s="38">
        <f>IFERROR(__xludf.DUMMYFUNCTION("""COMPUTED_VALUE"""),46164.0)</f>
        <v>46164</v>
      </c>
      <c r="O810" s="38">
        <v>46167.0</v>
      </c>
      <c r="P810" s="38">
        <f>IFERROR(__xludf.DUMMYFUNCTION("IFERROR(QUERY('Nhật ký nộp hồ sơ '!A:I, ""SELECT I WHERE B = '""&amp;B810&amp;""' ORDER BY A DESC LIMIT 1"", 0))"),46167.0)</f>
        <v>46167</v>
      </c>
      <c r="Q810" s="38">
        <f t="shared" si="2"/>
        <v>46167</v>
      </c>
      <c r="R810" s="37">
        <v>1.0</v>
      </c>
      <c r="S810" s="15"/>
      <c r="T810" s="15"/>
      <c r="U810" s="36"/>
      <c r="V810" s="18" t="s">
        <v>34</v>
      </c>
      <c r="W810" s="37"/>
      <c r="X810" s="37"/>
    </row>
    <row r="811" ht="22.5" customHeight="1">
      <c r="A811" s="35">
        <v>46167.43499425926</v>
      </c>
      <c r="B811" s="12" t="s">
        <v>1841</v>
      </c>
      <c r="C811" s="15" t="s">
        <v>1842</v>
      </c>
      <c r="D811" s="36"/>
      <c r="E811" s="15" t="s">
        <v>88</v>
      </c>
      <c r="F811" s="15" t="s">
        <v>89</v>
      </c>
      <c r="G811" s="15"/>
      <c r="H811" s="15" t="s">
        <v>29</v>
      </c>
      <c r="I811" s="15" t="s">
        <v>659</v>
      </c>
      <c r="J811" s="41"/>
      <c r="K811" s="37" t="str">
        <f t="array" ref="K811">IFERROR(VLOOKUP(B811, SORT('Nhật ký nộp hồ sơ '!B:D, 'Nhật ký nộp hồ sơ '!A:A, FALSE), 3, FALSE),"")</f>
        <v>Nộp thành công - Chờ kết quả</v>
      </c>
      <c r="L811" s="37" t="str">
        <f t="shared" si="1"/>
        <v>Đã nộp</v>
      </c>
      <c r="M811" s="15" t="s">
        <v>48</v>
      </c>
      <c r="N811" s="38">
        <f>IFERROR(__xludf.DUMMYFUNCTION("""COMPUTED_VALUE"""),46167.0)</f>
        <v>46167</v>
      </c>
      <c r="O811" s="38">
        <v>46170.0</v>
      </c>
      <c r="P811" s="38">
        <f>IFERROR(__xludf.DUMMYFUNCTION("IFERROR(QUERY('Nhật ký nộp hồ sơ '!A:I, ""SELECT I WHERE B = '""&amp;B811&amp;""' ORDER BY A DESC LIMIT 1"", 0))"),46192.0)</f>
        <v>46192</v>
      </c>
      <c r="Q811" s="38" t="str">
        <f t="shared" si="2"/>
        <v/>
      </c>
      <c r="R811" s="37">
        <v>1.0</v>
      </c>
      <c r="S811" s="15"/>
      <c r="T811" s="15" t="s">
        <v>1843</v>
      </c>
      <c r="U811" s="36"/>
      <c r="V811" s="18" t="s">
        <v>34</v>
      </c>
      <c r="W811" s="37"/>
      <c r="X811" s="37"/>
    </row>
    <row r="812" ht="22.5" customHeight="1">
      <c r="A812" s="35">
        <v>46167.48929528936</v>
      </c>
      <c r="B812" s="12" t="s">
        <v>1844</v>
      </c>
      <c r="C812" s="15" t="s">
        <v>1833</v>
      </c>
      <c r="D812" s="36"/>
      <c r="E812" s="15" t="s">
        <v>231</v>
      </c>
      <c r="F812" s="15" t="s">
        <v>133</v>
      </c>
      <c r="G812" s="15"/>
      <c r="H812" s="15" t="s">
        <v>28</v>
      </c>
      <c r="I812" s="15" t="s">
        <v>81</v>
      </c>
      <c r="J812" s="41"/>
      <c r="K812" s="37" t="str">
        <f t="array" ref="K812">IFERROR(VLOOKUP(B812, SORT('Nhật ký nộp hồ sơ '!B:D, 'Nhật ký nộp hồ sơ '!A:A, FALSE), 3, FALSE),"")</f>
        <v>Hoàn thành</v>
      </c>
      <c r="L812" s="37" t="str">
        <f t="shared" si="1"/>
        <v>Hoàn thành</v>
      </c>
      <c r="M812" s="15" t="s">
        <v>41</v>
      </c>
      <c r="N812" s="38">
        <f>IFERROR(__xludf.DUMMYFUNCTION("""COMPUTED_VALUE"""),46167.0)</f>
        <v>46167</v>
      </c>
      <c r="O812" s="38">
        <v>46170.0</v>
      </c>
      <c r="P812" s="38">
        <f>IFERROR(__xludf.DUMMYFUNCTION("IFERROR(QUERY('Nhật ký nộp hồ sơ '!A:I, ""SELECT I WHERE B = '""&amp;B812&amp;""' ORDER BY A DESC LIMIT 1"", 0))"),46167.0)</f>
        <v>46167</v>
      </c>
      <c r="Q812" s="38">
        <f t="shared" si="2"/>
        <v>46167</v>
      </c>
      <c r="R812" s="37">
        <v>1.0</v>
      </c>
      <c r="S812" s="15"/>
      <c r="T812" s="15"/>
      <c r="U812" s="36"/>
      <c r="V812" s="18" t="s">
        <v>34</v>
      </c>
      <c r="W812" s="37"/>
      <c r="X812" s="37"/>
    </row>
    <row r="813" ht="22.5" customHeight="1">
      <c r="A813" s="35">
        <v>46167.501395625004</v>
      </c>
      <c r="B813" s="12" t="s">
        <v>1845</v>
      </c>
      <c r="C813" s="15" t="s">
        <v>1846</v>
      </c>
      <c r="D813" s="36"/>
      <c r="E813" s="15" t="s">
        <v>26</v>
      </c>
      <c r="F813" s="15" t="s">
        <v>133</v>
      </c>
      <c r="G813" s="40" t="s">
        <v>1847</v>
      </c>
      <c r="H813" s="15" t="s">
        <v>28</v>
      </c>
      <c r="I813" s="15" t="s">
        <v>659</v>
      </c>
      <c r="J813" s="39" t="s">
        <v>202</v>
      </c>
      <c r="K813" s="37" t="str">
        <f t="array" ref="K813">IFERROR(VLOOKUP(B813, SORT('Nhật ký nộp hồ sơ '!B:D, 'Nhật ký nộp hồ sơ '!A:A, FALSE), 3, FALSE),"")</f>
        <v>Hoàn thành</v>
      </c>
      <c r="L813" s="37" t="str">
        <f t="shared" si="1"/>
        <v>Hoàn thành</v>
      </c>
      <c r="M813" s="15" t="s">
        <v>41</v>
      </c>
      <c r="N813" s="38">
        <f>IFERROR(__xludf.DUMMYFUNCTION("""COMPUTED_VALUE"""),46167.0)</f>
        <v>46167</v>
      </c>
      <c r="O813" s="38">
        <v>46168.0</v>
      </c>
      <c r="P813" s="38">
        <f>IFERROR(__xludf.DUMMYFUNCTION("IFERROR(QUERY('Nhật ký nộp hồ sơ '!A:I, ""SELECT I WHERE B = '""&amp;B813&amp;""' ORDER BY A DESC LIMIT 1"", 0))"),46168.0)</f>
        <v>46168</v>
      </c>
      <c r="Q813" s="38">
        <f t="shared" si="2"/>
        <v>46168</v>
      </c>
      <c r="R813" s="37">
        <v>2.0</v>
      </c>
      <c r="S813" s="15"/>
      <c r="T813" s="15"/>
      <c r="U813" s="36"/>
      <c r="V813" s="18" t="s">
        <v>34</v>
      </c>
      <c r="W813" s="37"/>
      <c r="X813" s="37"/>
    </row>
    <row r="814" ht="22.5" customHeight="1">
      <c r="A814" s="35">
        <v>46167.50248729167</v>
      </c>
      <c r="B814" s="12" t="s">
        <v>1848</v>
      </c>
      <c r="C814" s="15" t="s">
        <v>1849</v>
      </c>
      <c r="D814" s="36"/>
      <c r="E814" s="15" t="s">
        <v>26</v>
      </c>
      <c r="F814" s="15" t="s">
        <v>133</v>
      </c>
      <c r="G814" s="40" t="s">
        <v>1847</v>
      </c>
      <c r="H814" s="15" t="s">
        <v>28</v>
      </c>
      <c r="I814" s="15" t="s">
        <v>659</v>
      </c>
      <c r="J814" s="39" t="s">
        <v>202</v>
      </c>
      <c r="K814" s="37" t="str">
        <f t="array" ref="K814">IFERROR(VLOOKUP(B814, SORT('Nhật ký nộp hồ sơ '!B:D, 'Nhật ký nộp hồ sơ '!A:A, FALSE), 3, FALSE),"")</f>
        <v>Hoàn thành</v>
      </c>
      <c r="L814" s="37" t="str">
        <f t="shared" si="1"/>
        <v>Hoàn thành</v>
      </c>
      <c r="M814" s="15" t="s">
        <v>41</v>
      </c>
      <c r="N814" s="38">
        <f>IFERROR(__xludf.DUMMYFUNCTION("""COMPUTED_VALUE"""),46167.0)</f>
        <v>46167</v>
      </c>
      <c r="O814" s="38">
        <v>46168.0</v>
      </c>
      <c r="P814" s="38">
        <f>IFERROR(__xludf.DUMMYFUNCTION("IFERROR(QUERY('Nhật ký nộp hồ sơ '!A:I, ""SELECT I WHERE B = '""&amp;B814&amp;""' ORDER BY A DESC LIMIT 1"", 0))"),46168.0)</f>
        <v>46168</v>
      </c>
      <c r="Q814" s="38">
        <f t="shared" si="2"/>
        <v>46168</v>
      </c>
      <c r="R814" s="37">
        <v>2.0</v>
      </c>
      <c r="S814" s="15"/>
      <c r="T814" s="15"/>
      <c r="U814" s="36"/>
      <c r="V814" s="18" t="s">
        <v>34</v>
      </c>
      <c r="W814" s="37"/>
      <c r="X814" s="37"/>
    </row>
    <row r="815" ht="22.5" customHeight="1">
      <c r="A815" s="35">
        <v>46167.59138895833</v>
      </c>
      <c r="B815" s="12" t="s">
        <v>1850</v>
      </c>
      <c r="C815" s="15" t="s">
        <v>1709</v>
      </c>
      <c r="D815" s="36"/>
      <c r="E815" s="15" t="s">
        <v>45</v>
      </c>
      <c r="F815" s="15" t="s">
        <v>133</v>
      </c>
      <c r="G815" s="15"/>
      <c r="H815" s="15" t="s">
        <v>69</v>
      </c>
      <c r="I815" s="15" t="s">
        <v>659</v>
      </c>
      <c r="J815" s="41"/>
      <c r="K815" s="37" t="str">
        <f t="array" ref="K815">IFERROR(VLOOKUP(B815, SORT('Nhật ký nộp hồ sơ '!B:D, 'Nhật ký nộp hồ sơ '!A:A, FALSE), 3, FALSE),"")</f>
        <v>Hoàn thành</v>
      </c>
      <c r="L815" s="37" t="str">
        <f t="shared" si="1"/>
        <v>Hoàn thành</v>
      </c>
      <c r="M815" s="15" t="s">
        <v>216</v>
      </c>
      <c r="N815" s="38">
        <f>IFERROR(__xludf.DUMMYFUNCTION("""COMPUTED_VALUE"""),46167.0)</f>
        <v>46167</v>
      </c>
      <c r="O815" s="38">
        <v>46170.0</v>
      </c>
      <c r="P815" s="38">
        <f>IFERROR(__xludf.DUMMYFUNCTION("IFERROR(QUERY('Nhật ký nộp hồ sơ '!A:I, ""SELECT I WHERE B = '""&amp;B815&amp;""' ORDER BY A DESC LIMIT 1"", 0))"),46167.0)</f>
        <v>46167</v>
      </c>
      <c r="Q815" s="38">
        <f t="shared" si="2"/>
        <v>46167</v>
      </c>
      <c r="R815" s="37">
        <v>2.0</v>
      </c>
      <c r="S815" s="15"/>
      <c r="T815" s="15"/>
      <c r="U815" s="36"/>
      <c r="V815" s="18" t="s">
        <v>34</v>
      </c>
      <c r="W815" s="37"/>
      <c r="X815" s="37"/>
    </row>
    <row r="816" ht="22.5" customHeight="1">
      <c r="A816" s="35">
        <v>46167.59263471064</v>
      </c>
      <c r="B816" s="12" t="s">
        <v>1851</v>
      </c>
      <c r="C816" s="15" t="s">
        <v>1852</v>
      </c>
      <c r="D816" s="39" t="s">
        <v>44</v>
      </c>
      <c r="E816" s="15" t="s">
        <v>26</v>
      </c>
      <c r="F816" s="15" t="s">
        <v>133</v>
      </c>
      <c r="G816" s="40" t="s">
        <v>1853</v>
      </c>
      <c r="H816" s="15" t="s">
        <v>69</v>
      </c>
      <c r="I816" s="15" t="s">
        <v>659</v>
      </c>
      <c r="J816" s="41"/>
      <c r="K816" s="37" t="str">
        <f t="array" ref="K816">IFERROR(VLOOKUP(B816, SORT('Nhật ký nộp hồ sơ '!B:D, 'Nhật ký nộp hồ sơ '!A:A, FALSE), 3, FALSE),"")</f>
        <v>Hoàn thành</v>
      </c>
      <c r="L816" s="37" t="str">
        <f t="shared" si="1"/>
        <v>Hoàn thành</v>
      </c>
      <c r="M816" s="15" t="s">
        <v>56</v>
      </c>
      <c r="N816" s="38">
        <f>IFERROR(__xludf.DUMMYFUNCTION("""COMPUTED_VALUE"""),46167.0)</f>
        <v>46167</v>
      </c>
      <c r="O816" s="38">
        <v>46170.0</v>
      </c>
      <c r="P816" s="38">
        <f>IFERROR(__xludf.DUMMYFUNCTION("IFERROR(QUERY('Nhật ký nộp hồ sơ '!A:I, ""SELECT I WHERE B = '""&amp;B816&amp;""' ORDER BY A DESC LIMIT 1"", 0))"),46176.0)</f>
        <v>46176</v>
      </c>
      <c r="Q816" s="38">
        <f t="shared" si="2"/>
        <v>46176</v>
      </c>
      <c r="R816" s="37">
        <v>0.0</v>
      </c>
      <c r="S816" s="15"/>
      <c r="T816" s="15"/>
      <c r="U816" s="36"/>
      <c r="V816" s="18" t="s">
        <v>34</v>
      </c>
      <c r="W816" s="37"/>
      <c r="X816" s="37"/>
    </row>
    <row r="817" ht="22.5" customHeight="1">
      <c r="A817" s="35">
        <v>46167.625172141205</v>
      </c>
      <c r="B817" s="12" t="s">
        <v>1854</v>
      </c>
      <c r="C817" s="15" t="s">
        <v>1855</v>
      </c>
      <c r="D817" s="36"/>
      <c r="E817" s="15" t="s">
        <v>151</v>
      </c>
      <c r="F817" s="15" t="s">
        <v>133</v>
      </c>
      <c r="G817" s="15"/>
      <c r="H817" s="15" t="s">
        <v>659</v>
      </c>
      <c r="I817" s="15" t="s">
        <v>81</v>
      </c>
      <c r="J817" s="41"/>
      <c r="K817" s="37" t="str">
        <f t="array" ref="K817">IFERROR(VLOOKUP(B817, SORT('Nhật ký nộp hồ sơ '!B:D, 'Nhật ký nộp hồ sơ '!A:A, FALSE), 3, FALSE),"")</f>
        <v>Hoàn thành</v>
      </c>
      <c r="L817" s="37" t="str">
        <f t="shared" si="1"/>
        <v>Hoàn thành</v>
      </c>
      <c r="M817" s="15" t="s">
        <v>1506</v>
      </c>
      <c r="N817" s="38">
        <f>IFERROR(__xludf.DUMMYFUNCTION("""COMPUTED_VALUE"""),46167.0)</f>
        <v>46167</v>
      </c>
      <c r="O817" s="38">
        <v>46170.0</v>
      </c>
      <c r="P817" s="38">
        <f>IFERROR(__xludf.DUMMYFUNCTION("IFERROR(QUERY('Nhật ký nộp hồ sơ '!A:I, ""SELECT I WHERE B = '""&amp;B817&amp;""' ORDER BY A DESC LIMIT 1"", 0))"),46167.0)</f>
        <v>46167</v>
      </c>
      <c r="Q817" s="38">
        <f t="shared" si="2"/>
        <v>46167</v>
      </c>
      <c r="R817" s="37">
        <v>1.0</v>
      </c>
      <c r="S817" s="15"/>
      <c r="T817" s="15"/>
      <c r="U817" s="36"/>
      <c r="V817" s="18" t="s">
        <v>34</v>
      </c>
      <c r="W817" s="37"/>
      <c r="X817" s="37"/>
    </row>
    <row r="818" ht="22.5" customHeight="1">
      <c r="A818" s="35">
        <v>46168.43734856481</v>
      </c>
      <c r="B818" s="12" t="s">
        <v>1856</v>
      </c>
      <c r="C818" s="15" t="s">
        <v>1857</v>
      </c>
      <c r="D818" s="36"/>
      <c r="E818" s="15" t="s">
        <v>151</v>
      </c>
      <c r="F818" s="15" t="s">
        <v>133</v>
      </c>
      <c r="G818" s="15" t="s">
        <v>1858</v>
      </c>
      <c r="H818" s="15" t="s">
        <v>28</v>
      </c>
      <c r="I818" s="15" t="s">
        <v>81</v>
      </c>
      <c r="J818" s="41"/>
      <c r="K818" s="37" t="str">
        <f t="array" ref="K818">IFERROR(VLOOKUP(B818, SORT('Nhật ký nộp hồ sơ '!B:D, 'Nhật ký nộp hồ sơ '!A:A, FALSE), 3, FALSE),"")</f>
        <v>Hoàn thành</v>
      </c>
      <c r="L818" s="37" t="str">
        <f t="shared" si="1"/>
        <v>Hoàn thành</v>
      </c>
      <c r="M818" s="15" t="s">
        <v>216</v>
      </c>
      <c r="N818" s="38">
        <f>IFERROR(__xludf.DUMMYFUNCTION("""COMPUTED_VALUE"""),46168.0)</f>
        <v>46168</v>
      </c>
      <c r="O818" s="38">
        <v>46171.0</v>
      </c>
      <c r="P818" s="38">
        <f>IFERROR(__xludf.DUMMYFUNCTION("IFERROR(QUERY('Nhật ký nộp hồ sơ '!A:I, ""SELECT I WHERE B = '""&amp;B818&amp;""' ORDER BY A DESC LIMIT 1"", 0))"),46168.0)</f>
        <v>46168</v>
      </c>
      <c r="Q818" s="38">
        <f t="shared" si="2"/>
        <v>46168</v>
      </c>
      <c r="R818" s="37">
        <v>1.0</v>
      </c>
      <c r="S818" s="15"/>
      <c r="T818" s="15"/>
      <c r="U818" s="36"/>
      <c r="V818" s="18" t="s">
        <v>34</v>
      </c>
      <c r="W818" s="37">
        <v>4.0</v>
      </c>
      <c r="X818" s="37" t="s">
        <v>1188</v>
      </c>
    </row>
    <row r="819" ht="22.5" customHeight="1">
      <c r="A819" s="35">
        <v>46168.43808640046</v>
      </c>
      <c r="B819" s="12" t="s">
        <v>1859</v>
      </c>
      <c r="C819" s="15" t="s">
        <v>1860</v>
      </c>
      <c r="D819" s="36"/>
      <c r="E819" s="15" t="s">
        <v>151</v>
      </c>
      <c r="F819" s="15" t="s">
        <v>133</v>
      </c>
      <c r="G819" s="15" t="s">
        <v>1861</v>
      </c>
      <c r="H819" s="15" t="s">
        <v>28</v>
      </c>
      <c r="I819" s="15" t="s">
        <v>81</v>
      </c>
      <c r="J819" s="41"/>
      <c r="K819" s="37" t="str">
        <f t="array" ref="K819">IFERROR(VLOOKUP(B819, SORT('Nhật ký nộp hồ sơ '!B:D, 'Nhật ký nộp hồ sơ '!A:A, FALSE), 3, FALSE),"")</f>
        <v>Hoàn thành</v>
      </c>
      <c r="L819" s="37" t="str">
        <f t="shared" si="1"/>
        <v>Hoàn thành</v>
      </c>
      <c r="M819" s="15" t="s">
        <v>216</v>
      </c>
      <c r="N819" s="38">
        <f>IFERROR(__xludf.DUMMYFUNCTION("""COMPUTED_VALUE"""),46168.0)</f>
        <v>46168</v>
      </c>
      <c r="O819" s="38">
        <v>46171.0</v>
      </c>
      <c r="P819" s="38">
        <f>IFERROR(__xludf.DUMMYFUNCTION("IFERROR(QUERY('Nhật ký nộp hồ sơ '!A:I, ""SELECT I WHERE B = '""&amp;B819&amp;""' ORDER BY A DESC LIMIT 1"", 0))"),46168.0)</f>
        <v>46168</v>
      </c>
      <c r="Q819" s="38">
        <f t="shared" si="2"/>
        <v>46168</v>
      </c>
      <c r="R819" s="37">
        <v>1.0</v>
      </c>
      <c r="S819" s="15"/>
      <c r="T819" s="15"/>
      <c r="U819" s="36"/>
      <c r="V819" s="18" t="s">
        <v>34</v>
      </c>
      <c r="W819" s="37">
        <v>4.0</v>
      </c>
      <c r="X819" s="37" t="s">
        <v>1188</v>
      </c>
    </row>
    <row r="820" ht="22.5" customHeight="1">
      <c r="A820" s="35">
        <v>46169.48231925926</v>
      </c>
      <c r="B820" s="12" t="s">
        <v>1862</v>
      </c>
      <c r="C820" s="15" t="s">
        <v>1863</v>
      </c>
      <c r="D820" s="36"/>
      <c r="E820" s="15" t="s">
        <v>53</v>
      </c>
      <c r="F820" s="15" t="s">
        <v>133</v>
      </c>
      <c r="G820" s="40" t="s">
        <v>1864</v>
      </c>
      <c r="H820" s="15" t="s">
        <v>28</v>
      </c>
      <c r="I820" s="15" t="s">
        <v>81</v>
      </c>
      <c r="J820" s="41"/>
      <c r="K820" s="37" t="str">
        <f t="array" ref="K820">IFERROR(VLOOKUP(B820, SORT('Nhật ký nộp hồ sơ '!B:D, 'Nhật ký nộp hồ sơ '!A:A, FALSE), 3, FALSE),"")</f>
        <v>Hoàn thành</v>
      </c>
      <c r="L820" s="37" t="str">
        <f t="shared" si="1"/>
        <v>Hoàn thành</v>
      </c>
      <c r="M820" s="15" t="s">
        <v>41</v>
      </c>
      <c r="N820" s="38">
        <f>IFERROR(__xludf.DUMMYFUNCTION("""COMPUTED_VALUE"""),46169.0)</f>
        <v>46169</v>
      </c>
      <c r="O820" s="38">
        <v>46172.0</v>
      </c>
      <c r="P820" s="38">
        <f>IFERROR(__xludf.DUMMYFUNCTION("IFERROR(QUERY('Nhật ký nộp hồ sơ '!A:I, ""SELECT I WHERE B = '""&amp;B820&amp;""' ORDER BY A DESC LIMIT 1"", 0))"),46169.0)</f>
        <v>46169</v>
      </c>
      <c r="Q820" s="38">
        <f t="shared" si="2"/>
        <v>46169</v>
      </c>
      <c r="R820" s="37">
        <v>1.0</v>
      </c>
      <c r="S820" s="15"/>
      <c r="T820" s="15"/>
      <c r="U820" s="36"/>
      <c r="V820" s="18" t="s">
        <v>34</v>
      </c>
      <c r="W820" s="37"/>
      <c r="X820" s="37"/>
    </row>
    <row r="821" ht="22.5" customHeight="1">
      <c r="A821" s="35">
        <v>46169.588415590275</v>
      </c>
      <c r="B821" s="12" t="s">
        <v>1865</v>
      </c>
      <c r="C821" s="15" t="s">
        <v>1866</v>
      </c>
      <c r="D821" s="36"/>
      <c r="E821" s="15" t="s">
        <v>26</v>
      </c>
      <c r="F821" s="15" t="s">
        <v>68</v>
      </c>
      <c r="G821" s="15"/>
      <c r="H821" s="15" t="s">
        <v>69</v>
      </c>
      <c r="I821" s="15" t="s">
        <v>659</v>
      </c>
      <c r="J821" s="41"/>
      <c r="K821" s="37" t="str">
        <f t="array" ref="K821">IFERROR(VLOOKUP(B821, SORT('Nhật ký nộp hồ sơ '!B:D, 'Nhật ký nộp hồ sơ '!A:A, FALSE), 3, FALSE),"")</f>
        <v>Hoàn thành</v>
      </c>
      <c r="L821" s="37" t="str">
        <f t="shared" si="1"/>
        <v>Hoàn thành</v>
      </c>
      <c r="M821" s="15" t="s">
        <v>216</v>
      </c>
      <c r="N821" s="38">
        <f>IFERROR(__xludf.DUMMYFUNCTION("""COMPUTED_VALUE"""),46169.0)</f>
        <v>46169</v>
      </c>
      <c r="O821" s="38">
        <v>46172.0</v>
      </c>
      <c r="P821" s="38">
        <f>IFERROR(__xludf.DUMMYFUNCTION("IFERROR(QUERY('Nhật ký nộp hồ sơ '!A:I, ""SELECT I WHERE B = '""&amp;B821&amp;""' ORDER BY A DESC LIMIT 1"", 0))"),46169.0)</f>
        <v>46169</v>
      </c>
      <c r="Q821" s="38">
        <f t="shared" si="2"/>
        <v>46169</v>
      </c>
      <c r="R821" s="37">
        <v>1.0</v>
      </c>
      <c r="S821" s="15"/>
      <c r="T821" s="15"/>
      <c r="U821" s="36"/>
      <c r="V821" s="18" t="s">
        <v>34</v>
      </c>
      <c r="W821" s="37">
        <v>4.0</v>
      </c>
      <c r="X821" s="37" t="s">
        <v>1188</v>
      </c>
    </row>
    <row r="822" ht="22.5" customHeight="1">
      <c r="A822" s="35">
        <v>46169.58950969907</v>
      </c>
      <c r="B822" s="12" t="s">
        <v>1867</v>
      </c>
      <c r="C822" s="15" t="s">
        <v>619</v>
      </c>
      <c r="D822" s="36"/>
      <c r="E822" s="15" t="s">
        <v>151</v>
      </c>
      <c r="F822" s="15" t="s">
        <v>620</v>
      </c>
      <c r="G822" s="15"/>
      <c r="H822" s="15" t="s">
        <v>69</v>
      </c>
      <c r="I822" s="15" t="s">
        <v>659</v>
      </c>
      <c r="J822" s="41"/>
      <c r="K822" s="37" t="str">
        <f t="array" ref="K822">IFERROR(VLOOKUP(B822, SORT('Nhật ký nộp hồ sơ '!B:D, 'Nhật ký nộp hồ sơ '!A:A, FALSE), 3, FALSE),"")</f>
        <v>Hoàn thành</v>
      </c>
      <c r="L822" s="37" t="str">
        <f t="shared" si="1"/>
        <v>Hoàn thành</v>
      </c>
      <c r="M822" s="15" t="s">
        <v>216</v>
      </c>
      <c r="N822" s="38">
        <f>IFERROR(__xludf.DUMMYFUNCTION("""COMPUTED_VALUE"""),46169.0)</f>
        <v>46169</v>
      </c>
      <c r="O822" s="38">
        <v>46172.0</v>
      </c>
      <c r="P822" s="38">
        <f>IFERROR(__xludf.DUMMYFUNCTION("IFERROR(QUERY('Nhật ký nộp hồ sơ '!A:I, ""SELECT I WHERE B = '""&amp;B822&amp;""' ORDER BY A DESC LIMIT 1"", 0))"),46169.0)</f>
        <v>46169</v>
      </c>
      <c r="Q822" s="38">
        <f t="shared" si="2"/>
        <v>46169</v>
      </c>
      <c r="R822" s="37">
        <v>1.0</v>
      </c>
      <c r="S822" s="15"/>
      <c r="T822" s="15"/>
      <c r="U822" s="36"/>
      <c r="V822" s="18" t="s">
        <v>34</v>
      </c>
      <c r="W822" s="37">
        <v>4.0</v>
      </c>
      <c r="X822" s="37" t="s">
        <v>1188</v>
      </c>
    </row>
    <row r="823" ht="22.5" customHeight="1">
      <c r="A823" s="35">
        <v>46169.65823758102</v>
      </c>
      <c r="B823" s="12" t="s">
        <v>1868</v>
      </c>
      <c r="C823" s="15" t="s">
        <v>1869</v>
      </c>
      <c r="D823" s="36"/>
      <c r="E823" s="15" t="s">
        <v>62</v>
      </c>
      <c r="F823" s="15" t="s">
        <v>133</v>
      </c>
      <c r="G823" s="40" t="s">
        <v>1870</v>
      </c>
      <c r="H823" s="15" t="s">
        <v>47</v>
      </c>
      <c r="I823" s="15" t="s">
        <v>29</v>
      </c>
      <c r="J823" s="39" t="s">
        <v>202</v>
      </c>
      <c r="K823" s="37" t="str">
        <f t="array" ref="K823">IFERROR(VLOOKUP(B823, SORT('Nhật ký nộp hồ sơ '!B:D, 'Nhật ký nộp hồ sơ '!A:A, FALSE), 3, FALSE),"")</f>
        <v>Hoàn thành</v>
      </c>
      <c r="L823" s="37" t="str">
        <f t="shared" si="1"/>
        <v>Hoàn thành</v>
      </c>
      <c r="M823" s="15" t="s">
        <v>41</v>
      </c>
      <c r="N823" s="38">
        <f>IFERROR(__xludf.DUMMYFUNCTION("""COMPUTED_VALUE"""),46169.0)</f>
        <v>46169</v>
      </c>
      <c r="O823" s="38">
        <v>46170.0</v>
      </c>
      <c r="P823" s="38">
        <f>IFERROR(__xludf.DUMMYFUNCTION("IFERROR(QUERY('Nhật ký nộp hồ sơ '!A:I, ""SELECT I WHERE B = '""&amp;B823&amp;""' ORDER BY A DESC LIMIT 1"", 0))"),46169.0)</f>
        <v>46169</v>
      </c>
      <c r="Q823" s="38">
        <f t="shared" si="2"/>
        <v>46169</v>
      </c>
      <c r="R823" s="37">
        <v>1.0</v>
      </c>
      <c r="S823" s="15" t="s">
        <v>1871</v>
      </c>
      <c r="T823" s="15"/>
      <c r="U823" s="36"/>
      <c r="V823" s="18" t="s">
        <v>34</v>
      </c>
      <c r="W823" s="37"/>
      <c r="X823" s="37"/>
    </row>
    <row r="824" ht="22.5" customHeight="1">
      <c r="A824" s="35">
        <v>46169.66977353009</v>
      </c>
      <c r="B824" s="12" t="s">
        <v>1872</v>
      </c>
      <c r="C824" s="15" t="s">
        <v>1873</v>
      </c>
      <c r="D824" s="36"/>
      <c r="E824" s="15" t="s">
        <v>222</v>
      </c>
      <c r="F824" s="15" t="s">
        <v>133</v>
      </c>
      <c r="G824" s="15"/>
      <c r="H824" s="15" t="s">
        <v>659</v>
      </c>
      <c r="I824" s="15" t="s">
        <v>81</v>
      </c>
      <c r="J824" s="41"/>
      <c r="K824" s="37" t="str">
        <f t="array" ref="K824">IFERROR(VLOOKUP(B824, SORT('Nhật ký nộp hồ sơ '!B:D, 'Nhật ký nộp hồ sơ '!A:A, FALSE), 3, FALSE),"")</f>
        <v>Hoàn thành</v>
      </c>
      <c r="L824" s="37" t="str">
        <f t="shared" si="1"/>
        <v>Hoàn thành</v>
      </c>
      <c r="M824" s="15" t="s">
        <v>1506</v>
      </c>
      <c r="N824" s="38">
        <f>IFERROR(__xludf.DUMMYFUNCTION("""COMPUTED_VALUE"""),46169.0)</f>
        <v>46169</v>
      </c>
      <c r="O824" s="38">
        <v>46172.0</v>
      </c>
      <c r="P824" s="38">
        <f>IFERROR(__xludf.DUMMYFUNCTION("IFERROR(QUERY('Nhật ký nộp hồ sơ '!A:I, ""SELECT I WHERE B = '""&amp;B824&amp;""' ORDER BY A DESC LIMIT 1"", 0))"),46169.0)</f>
        <v>46169</v>
      </c>
      <c r="Q824" s="38">
        <f t="shared" si="2"/>
        <v>46169</v>
      </c>
      <c r="R824" s="37">
        <v>1.0</v>
      </c>
      <c r="S824" s="15"/>
      <c r="T824" s="15"/>
      <c r="U824" s="36"/>
      <c r="V824" s="18" t="s">
        <v>34</v>
      </c>
      <c r="W824" s="37"/>
      <c r="X824" s="37"/>
    </row>
    <row r="825" ht="22.5" customHeight="1">
      <c r="A825" s="35">
        <v>46170.62971962963</v>
      </c>
      <c r="B825" s="12" t="s">
        <v>1874</v>
      </c>
      <c r="C825" s="15" t="s">
        <v>609</v>
      </c>
      <c r="D825" s="36"/>
      <c r="E825" s="15" t="s">
        <v>53</v>
      </c>
      <c r="F825" s="15" t="s">
        <v>80</v>
      </c>
      <c r="G825" s="15"/>
      <c r="H825" s="15" t="s">
        <v>47</v>
      </c>
      <c r="I825" s="15" t="s">
        <v>81</v>
      </c>
      <c r="J825" s="41"/>
      <c r="K825" s="37" t="str">
        <f t="array" ref="K825">IFERROR(VLOOKUP(B825, SORT('Nhật ký nộp hồ sơ '!B:D, 'Nhật ký nộp hồ sơ '!A:A, FALSE), 3, FALSE),"")</f>
        <v>Hoàn thành</v>
      </c>
      <c r="L825" s="37" t="str">
        <f t="shared" si="1"/>
        <v>Hoàn thành</v>
      </c>
      <c r="M825" s="15" t="s">
        <v>41</v>
      </c>
      <c r="N825" s="38">
        <f>IFERROR(__xludf.DUMMYFUNCTION("""COMPUTED_VALUE"""),46170.0)</f>
        <v>46170</v>
      </c>
      <c r="O825" s="38">
        <v>46173.0</v>
      </c>
      <c r="P825" s="38">
        <f>IFERROR(__xludf.DUMMYFUNCTION("IFERROR(QUERY('Nhật ký nộp hồ sơ '!A:I, ""SELECT I WHERE B = '""&amp;B825&amp;""' ORDER BY A DESC LIMIT 1"", 0))"),46170.0)</f>
        <v>46170</v>
      </c>
      <c r="Q825" s="38">
        <f t="shared" si="2"/>
        <v>46170</v>
      </c>
      <c r="R825" s="37">
        <v>0.0</v>
      </c>
      <c r="S825" s="15"/>
      <c r="T825" s="15"/>
      <c r="U825" s="36"/>
      <c r="V825" s="18" t="s">
        <v>34</v>
      </c>
      <c r="W825" s="37"/>
      <c r="X825" s="37"/>
    </row>
    <row r="826" ht="22.5" customHeight="1">
      <c r="A826" s="35">
        <v>46171.37785533565</v>
      </c>
      <c r="B826" s="12" t="s">
        <v>1875</v>
      </c>
      <c r="C826" s="15" t="s">
        <v>1876</v>
      </c>
      <c r="D826" s="36"/>
      <c r="E826" s="15" t="s">
        <v>122</v>
      </c>
      <c r="F826" s="15" t="s">
        <v>133</v>
      </c>
      <c r="G826" s="15"/>
      <c r="H826" s="15" t="s">
        <v>100</v>
      </c>
      <c r="I826" s="15" t="s">
        <v>81</v>
      </c>
      <c r="J826" s="41"/>
      <c r="K826" s="37" t="str">
        <f t="array" ref="K826">IFERROR(VLOOKUP(B826, SORT('Nhật ký nộp hồ sơ '!B:D, 'Nhật ký nộp hồ sơ '!A:A, FALSE), 3, FALSE),"")</f>
        <v>Nộp thành công - Chờ kết quả</v>
      </c>
      <c r="L826" s="37" t="str">
        <f t="shared" si="1"/>
        <v>Đã nộp</v>
      </c>
      <c r="M826" s="15" t="s">
        <v>588</v>
      </c>
      <c r="N826" s="38">
        <f>IFERROR(__xludf.DUMMYFUNCTION("""COMPUTED_VALUE"""),46171.0)</f>
        <v>46171</v>
      </c>
      <c r="O826" s="38">
        <v>46174.0</v>
      </c>
      <c r="P826" s="38">
        <f>IFERROR(__xludf.DUMMYFUNCTION("IFERROR(QUERY('Nhật ký nộp hồ sơ '!A:I, ""SELECT I WHERE B = '""&amp;B826&amp;""' ORDER BY A DESC LIMIT 1"", 0))"),46171.0)</f>
        <v>46171</v>
      </c>
      <c r="Q826" s="38" t="str">
        <f t="shared" si="2"/>
        <v/>
      </c>
      <c r="R826" s="37">
        <v>0.0</v>
      </c>
      <c r="S826" s="15"/>
      <c r="T826" s="15"/>
      <c r="U826" s="36"/>
      <c r="V826" s="18" t="s">
        <v>34</v>
      </c>
      <c r="W826" s="37"/>
      <c r="X826" s="37"/>
    </row>
    <row r="827" ht="22.5" customHeight="1">
      <c r="A827" s="35">
        <v>46172.4176807176</v>
      </c>
      <c r="B827" s="12" t="s">
        <v>1877</v>
      </c>
      <c r="C827" s="15" t="s">
        <v>1878</v>
      </c>
      <c r="D827" s="39" t="s">
        <v>44</v>
      </c>
      <c r="E827" s="15" t="s">
        <v>132</v>
      </c>
      <c r="F827" s="15" t="s">
        <v>1152</v>
      </c>
      <c r="G827" s="15"/>
      <c r="H827" s="15" t="s">
        <v>29</v>
      </c>
      <c r="I827" s="15" t="s">
        <v>81</v>
      </c>
      <c r="J827" s="41"/>
      <c r="K827" s="37" t="str">
        <f t="array" ref="K827">IFERROR(VLOOKUP(B827, SORT('Nhật ký nộp hồ sơ '!B:D, 'Nhật ký nộp hồ sơ '!A:A, FALSE), 3, FALSE),"")</f>
        <v>Hoàn thành</v>
      </c>
      <c r="L827" s="37" t="str">
        <f t="shared" si="1"/>
        <v>Hoàn thành</v>
      </c>
      <c r="M827" s="15" t="s">
        <v>135</v>
      </c>
      <c r="N827" s="38">
        <f>IFERROR(__xludf.DUMMYFUNCTION("""COMPUTED_VALUE"""),46172.0)</f>
        <v>46172</v>
      </c>
      <c r="O827" s="38">
        <v>46175.0</v>
      </c>
      <c r="P827" s="38">
        <f>IFERROR(__xludf.DUMMYFUNCTION("IFERROR(QUERY('Nhật ký nộp hồ sơ '!A:I, ""SELECT I WHERE B = '""&amp;B827&amp;""' ORDER BY A DESC LIMIT 1"", 0))"),46183.0)</f>
        <v>46183</v>
      </c>
      <c r="Q827" s="38">
        <f t="shared" si="2"/>
        <v>46183</v>
      </c>
      <c r="R827" s="37">
        <v>1.0</v>
      </c>
      <c r="S827" s="15"/>
      <c r="T827" s="15"/>
      <c r="U827" s="36"/>
      <c r="V827" s="36"/>
      <c r="W827" s="37"/>
      <c r="X827" s="37"/>
    </row>
    <row r="828" ht="22.5" customHeight="1">
      <c r="A828" s="35">
        <v>46172.41843247685</v>
      </c>
      <c r="B828" s="12" t="s">
        <v>1879</v>
      </c>
      <c r="C828" s="15" t="s">
        <v>1878</v>
      </c>
      <c r="D828" s="39" t="s">
        <v>44</v>
      </c>
      <c r="E828" s="15" t="s">
        <v>132</v>
      </c>
      <c r="F828" s="15" t="s">
        <v>1152</v>
      </c>
      <c r="G828" s="15"/>
      <c r="H828" s="15" t="s">
        <v>29</v>
      </c>
      <c r="I828" s="15" t="s">
        <v>81</v>
      </c>
      <c r="J828" s="41"/>
      <c r="K828" s="37" t="str">
        <f t="array" ref="K828">IFERROR(VLOOKUP(B828, SORT('Nhật ký nộp hồ sơ '!B:D, 'Nhật ký nộp hồ sơ '!A:A, FALSE), 3, FALSE),"")</f>
        <v>Hoàn thành</v>
      </c>
      <c r="L828" s="37" t="str">
        <f t="shared" si="1"/>
        <v>Hoàn thành</v>
      </c>
      <c r="M828" s="15" t="s">
        <v>135</v>
      </c>
      <c r="N828" s="38">
        <f>IFERROR(__xludf.DUMMYFUNCTION("""COMPUTED_VALUE"""),46172.0)</f>
        <v>46172</v>
      </c>
      <c r="O828" s="38">
        <v>46175.0</v>
      </c>
      <c r="P828" s="38">
        <f>IFERROR(__xludf.DUMMYFUNCTION("IFERROR(QUERY('Nhật ký nộp hồ sơ '!A:I, ""SELECT I WHERE B = '""&amp;B828&amp;""' ORDER BY A DESC LIMIT 1"", 0))"),46183.0)</f>
        <v>46183</v>
      </c>
      <c r="Q828" s="38">
        <f t="shared" si="2"/>
        <v>46183</v>
      </c>
      <c r="R828" s="37">
        <v>1.0</v>
      </c>
      <c r="S828" s="15"/>
      <c r="T828" s="15"/>
      <c r="U828" s="36"/>
      <c r="V828" s="36"/>
      <c r="W828" s="37"/>
      <c r="X828" s="37"/>
    </row>
    <row r="829" ht="22.5" customHeight="1">
      <c r="A829" s="35">
        <v>46172.53868571759</v>
      </c>
      <c r="B829" s="12" t="s">
        <v>1880</v>
      </c>
      <c r="C829" s="15" t="s">
        <v>1881</v>
      </c>
      <c r="D829" s="36"/>
      <c r="E829" s="15" t="s">
        <v>132</v>
      </c>
      <c r="F829" s="15" t="s">
        <v>133</v>
      </c>
      <c r="G829" s="15"/>
      <c r="H829" s="15" t="s">
        <v>29</v>
      </c>
      <c r="I829" s="15" t="s">
        <v>659</v>
      </c>
      <c r="J829" s="41"/>
      <c r="K829" s="37" t="str">
        <f t="array" ref="K829">IFERROR(VLOOKUP(B829, SORT('Nhật ký nộp hồ sơ '!B:D, 'Nhật ký nộp hồ sơ '!A:A, FALSE), 3, FALSE),"")</f>
        <v>Nộp thành công - Chờ kết quả</v>
      </c>
      <c r="L829" s="37" t="str">
        <f t="shared" si="1"/>
        <v>Đã nộp</v>
      </c>
      <c r="M829" s="15" t="s">
        <v>56</v>
      </c>
      <c r="N829" s="38">
        <f>IFERROR(__xludf.DUMMYFUNCTION("""COMPUTED_VALUE"""),46172.0)</f>
        <v>46172</v>
      </c>
      <c r="O829" s="38">
        <v>46175.0</v>
      </c>
      <c r="P829" s="38">
        <f>IFERROR(__xludf.DUMMYFUNCTION("IFERROR(QUERY('Nhật ký nộp hồ sơ '!A:I, ""SELECT I WHERE B = '""&amp;B829&amp;""' ORDER BY A DESC LIMIT 1"", 0))"),46189.0)</f>
        <v>46189</v>
      </c>
      <c r="Q829" s="38" t="str">
        <f t="shared" si="2"/>
        <v/>
      </c>
      <c r="R829" s="37">
        <v>0.0</v>
      </c>
      <c r="S829" s="15" t="s">
        <v>1882</v>
      </c>
      <c r="T829" s="15" t="s">
        <v>1883</v>
      </c>
      <c r="U829" s="36"/>
      <c r="V829" s="36"/>
      <c r="W829" s="37"/>
      <c r="X829" s="37"/>
    </row>
    <row r="830" ht="22.5" customHeight="1">
      <c r="A830" s="35">
        <v>46172.54021601852</v>
      </c>
      <c r="B830" s="12" t="s">
        <v>1884</v>
      </c>
      <c r="C830" s="15" t="s">
        <v>1885</v>
      </c>
      <c r="D830" s="36"/>
      <c r="E830" s="15" t="s">
        <v>45</v>
      </c>
      <c r="F830" s="15" t="s">
        <v>133</v>
      </c>
      <c r="G830" s="15"/>
      <c r="H830" s="15" t="s">
        <v>29</v>
      </c>
      <c r="I830" s="15" t="s">
        <v>659</v>
      </c>
      <c r="J830" s="41"/>
      <c r="K830" s="37" t="str">
        <f t="array" ref="K830">IFERROR(VLOOKUP(B830, SORT('Nhật ký nộp hồ sơ '!B:D, 'Nhật ký nộp hồ sơ '!A:A, FALSE), 3, FALSE),"")</f>
        <v/>
      </c>
      <c r="L830" s="37" t="str">
        <f t="shared" si="1"/>
        <v>QUÁ HẠN</v>
      </c>
      <c r="M830" s="15" t="s">
        <v>93</v>
      </c>
      <c r="N830" s="38">
        <f>IFERROR(__xludf.DUMMYFUNCTION("""COMPUTED_VALUE"""),46172.0)</f>
        <v>46172</v>
      </c>
      <c r="O830" s="38">
        <v>46175.0</v>
      </c>
      <c r="P830" s="38" t="str">
        <f>IFERROR(__xludf.DUMMYFUNCTION("IFERROR(QUERY('Nhật ký nộp hồ sơ '!A:I, ""SELECT I WHERE B = '""&amp;B830&amp;""' ORDER BY A DESC LIMIT 1"", 0))"),"")</f>
        <v/>
      </c>
      <c r="Q830" s="38" t="str">
        <f t="shared" si="2"/>
        <v/>
      </c>
      <c r="R830" s="37">
        <v>1.0</v>
      </c>
      <c r="S830" s="15" t="s">
        <v>1886</v>
      </c>
      <c r="T830" s="15" t="s">
        <v>1887</v>
      </c>
      <c r="U830" s="36"/>
      <c r="V830" s="36"/>
      <c r="W830" s="37"/>
      <c r="X830" s="37"/>
    </row>
    <row r="831" ht="22.5" customHeight="1">
      <c r="A831" s="35">
        <v>46172.54149618055</v>
      </c>
      <c r="B831" s="12" t="s">
        <v>1888</v>
      </c>
      <c r="C831" s="15" t="s">
        <v>1889</v>
      </c>
      <c r="D831" s="36"/>
      <c r="E831" s="15" t="s">
        <v>122</v>
      </c>
      <c r="F831" s="15" t="s">
        <v>89</v>
      </c>
      <c r="G831" s="15"/>
      <c r="H831" s="15" t="s">
        <v>29</v>
      </c>
      <c r="I831" s="15" t="s">
        <v>659</v>
      </c>
      <c r="J831" s="41"/>
      <c r="K831" s="37" t="str">
        <f t="array" ref="K831">IFERROR(VLOOKUP(B831, SORT('Nhật ký nộp hồ sơ '!B:D, 'Nhật ký nộp hồ sơ '!A:A, FALSE), 3, FALSE),"")</f>
        <v>Hoàn thành</v>
      </c>
      <c r="L831" s="37" t="str">
        <f t="shared" si="1"/>
        <v>Hoàn thành</v>
      </c>
      <c r="M831" s="15" t="s">
        <v>30</v>
      </c>
      <c r="N831" s="38">
        <f>IFERROR(__xludf.DUMMYFUNCTION("""COMPUTED_VALUE"""),46172.0)</f>
        <v>46172</v>
      </c>
      <c r="O831" s="38">
        <v>46175.0</v>
      </c>
      <c r="P831" s="38">
        <f>IFERROR(__xludf.DUMMYFUNCTION("IFERROR(QUERY('Nhật ký nộp hồ sơ '!A:I, ""SELECT I WHERE B = '""&amp;B831&amp;""' ORDER BY A DESC LIMIT 1"", 0))"),46174.0)</f>
        <v>46174</v>
      </c>
      <c r="Q831" s="38">
        <f t="shared" si="2"/>
        <v>46174</v>
      </c>
      <c r="R831" s="37">
        <v>1.0</v>
      </c>
      <c r="S831" s="15"/>
      <c r="T831" s="15"/>
      <c r="U831" s="36"/>
      <c r="V831" s="36"/>
      <c r="W831" s="37"/>
      <c r="X831" s="37"/>
    </row>
    <row r="832" ht="22.5" customHeight="1">
      <c r="A832" s="35">
        <v>46175.673789953704</v>
      </c>
      <c r="B832" s="12" t="s">
        <v>1890</v>
      </c>
      <c r="C832" s="15" t="s">
        <v>1891</v>
      </c>
      <c r="D832" s="36"/>
      <c r="E832" s="15" t="s">
        <v>231</v>
      </c>
      <c r="F832" s="15" t="s">
        <v>133</v>
      </c>
      <c r="G832" s="15" t="s">
        <v>1892</v>
      </c>
      <c r="H832" s="15" t="s">
        <v>28</v>
      </c>
      <c r="I832" s="15" t="s">
        <v>81</v>
      </c>
      <c r="J832" s="41"/>
      <c r="K832" s="37" t="str">
        <f t="array" ref="K832">IFERROR(VLOOKUP(B832, SORT('Nhật ký nộp hồ sơ '!B:D, 'Nhật ký nộp hồ sơ '!A:A, FALSE), 3, FALSE),"")</f>
        <v>Nộp thành công - Chờ kết quả</v>
      </c>
      <c r="L832" s="37" t="str">
        <f t="shared" si="1"/>
        <v>Đã nộp</v>
      </c>
      <c r="M832" s="15" t="s">
        <v>56</v>
      </c>
      <c r="N832" s="38">
        <f>IFERROR(__xludf.DUMMYFUNCTION("""COMPUTED_VALUE"""),46175.0)</f>
        <v>46175</v>
      </c>
      <c r="O832" s="38">
        <v>46178.0</v>
      </c>
      <c r="P832" s="38">
        <f>IFERROR(__xludf.DUMMYFUNCTION("IFERROR(QUERY('Nhật ký nộp hồ sơ '!A:I, ""SELECT I WHERE B = '""&amp;B832&amp;""' ORDER BY A DESC LIMIT 1"", 0))"),46189.0)</f>
        <v>46189</v>
      </c>
      <c r="Q832" s="38" t="str">
        <f t="shared" si="2"/>
        <v/>
      </c>
      <c r="R832" s="37">
        <v>0.0</v>
      </c>
      <c r="S832" s="15"/>
      <c r="T832" s="15"/>
      <c r="U832" s="36"/>
      <c r="V832" s="36"/>
      <c r="W832" s="37"/>
      <c r="X832" s="37"/>
    </row>
    <row r="833" ht="22.5" customHeight="1">
      <c r="A833" s="35">
        <v>46175.67659458333</v>
      </c>
      <c r="B833" s="12" t="s">
        <v>1893</v>
      </c>
      <c r="C833" s="15" t="s">
        <v>1894</v>
      </c>
      <c r="D833" s="36"/>
      <c r="E833" s="15" t="s">
        <v>222</v>
      </c>
      <c r="F833" s="15" t="s">
        <v>133</v>
      </c>
      <c r="G833" s="15" t="s">
        <v>1895</v>
      </c>
      <c r="H833" s="15" t="s">
        <v>47</v>
      </c>
      <c r="I833" s="15" t="s">
        <v>659</v>
      </c>
      <c r="J833" s="39" t="s">
        <v>202</v>
      </c>
      <c r="K833" s="37" t="str">
        <f t="array" ref="K833">IFERROR(VLOOKUP(B833, SORT('Nhật ký nộp hồ sơ '!B:D, 'Nhật ký nộp hồ sơ '!A:A, FALSE), 3, FALSE),"")</f>
        <v>Hoàn thành</v>
      </c>
      <c r="L833" s="37" t="str">
        <f t="shared" si="1"/>
        <v>Hoàn thành</v>
      </c>
      <c r="M833" s="15" t="s">
        <v>41</v>
      </c>
      <c r="N833" s="38">
        <f>IFERROR(__xludf.DUMMYFUNCTION("""COMPUTED_VALUE"""),46175.0)</f>
        <v>46175</v>
      </c>
      <c r="O833" s="38">
        <v>46176.0</v>
      </c>
      <c r="P833" s="38">
        <f>IFERROR(__xludf.DUMMYFUNCTION("IFERROR(QUERY('Nhật ký nộp hồ sơ '!A:I, ""SELECT I WHERE B = '""&amp;B833&amp;""' ORDER BY A DESC LIMIT 1"", 0))"),46175.0)</f>
        <v>46175</v>
      </c>
      <c r="Q833" s="38">
        <f t="shared" si="2"/>
        <v>46175</v>
      </c>
      <c r="R833" s="37">
        <v>0.0</v>
      </c>
      <c r="S833" s="15"/>
      <c r="T833" s="15"/>
      <c r="U833" s="36"/>
      <c r="V833" s="36"/>
      <c r="W833" s="37" t="s">
        <v>1896</v>
      </c>
      <c r="X833" s="37"/>
    </row>
    <row r="834" ht="22.5" customHeight="1">
      <c r="A834" s="35">
        <v>46177.386534317135</v>
      </c>
      <c r="B834" s="12" t="s">
        <v>1897</v>
      </c>
      <c r="C834" s="15" t="s">
        <v>1898</v>
      </c>
      <c r="D834" s="36"/>
      <c r="E834" s="15" t="s">
        <v>53</v>
      </c>
      <c r="F834" s="15" t="s">
        <v>133</v>
      </c>
      <c r="G834" s="15"/>
      <c r="H834" s="15" t="s">
        <v>29</v>
      </c>
      <c r="I834" s="15" t="s">
        <v>659</v>
      </c>
      <c r="J834" s="39" t="s">
        <v>202</v>
      </c>
      <c r="K834" s="37" t="str">
        <f t="array" ref="K834">IFERROR(VLOOKUP(B834, SORT('Nhật ký nộp hồ sơ '!B:D, 'Nhật ký nộp hồ sơ '!A:A, FALSE), 3, FALSE),"")</f>
        <v>Hoàn thành</v>
      </c>
      <c r="L834" s="37" t="str">
        <f t="shared" si="1"/>
        <v>Hoàn thành</v>
      </c>
      <c r="M834" s="15" t="s">
        <v>41</v>
      </c>
      <c r="N834" s="38">
        <f>IFERROR(__xludf.DUMMYFUNCTION("""COMPUTED_VALUE"""),46177.0)</f>
        <v>46177</v>
      </c>
      <c r="O834" s="38">
        <v>46178.0</v>
      </c>
      <c r="P834" s="38">
        <f>IFERROR(__xludf.DUMMYFUNCTION("IFERROR(QUERY('Nhật ký nộp hồ sơ '!A:I, ""SELECT I WHERE B = '""&amp;B834&amp;""' ORDER BY A DESC LIMIT 1"", 0))"),46177.0)</f>
        <v>46177</v>
      </c>
      <c r="Q834" s="38">
        <f t="shared" si="2"/>
        <v>46177</v>
      </c>
      <c r="R834" s="37">
        <v>1.0</v>
      </c>
      <c r="S834" s="15"/>
      <c r="T834" s="15"/>
      <c r="U834" s="36"/>
      <c r="V834" s="36"/>
      <c r="W834" s="37"/>
      <c r="X834" s="37"/>
    </row>
    <row r="835" ht="22.5" customHeight="1">
      <c r="A835" s="35">
        <v>46177.61798552083</v>
      </c>
      <c r="B835" s="12" t="s">
        <v>1899</v>
      </c>
      <c r="C835" s="15" t="s">
        <v>910</v>
      </c>
      <c r="D835" s="36"/>
      <c r="E835" s="15" t="s">
        <v>62</v>
      </c>
      <c r="F835" s="15" t="s">
        <v>133</v>
      </c>
      <c r="G835" s="15" t="s">
        <v>1900</v>
      </c>
      <c r="H835" s="15" t="s">
        <v>47</v>
      </c>
      <c r="I835" s="15" t="s">
        <v>659</v>
      </c>
      <c r="J835" s="41"/>
      <c r="K835" s="37" t="str">
        <f t="array" ref="K835">IFERROR(VLOOKUP(B835, SORT('Nhật ký nộp hồ sơ '!B:D, 'Nhật ký nộp hồ sơ '!A:A, FALSE), 3, FALSE),"")</f>
        <v>Hoàn thành</v>
      </c>
      <c r="L835" s="37" t="str">
        <f t="shared" si="1"/>
        <v>Hoàn thành</v>
      </c>
      <c r="M835" s="15" t="s">
        <v>41</v>
      </c>
      <c r="N835" s="38">
        <f>IFERROR(__xludf.DUMMYFUNCTION("""COMPUTED_VALUE"""),46177.0)</f>
        <v>46177</v>
      </c>
      <c r="O835" s="38">
        <v>46180.0</v>
      </c>
      <c r="P835" s="38">
        <f>IFERROR(__xludf.DUMMYFUNCTION("IFERROR(QUERY('Nhật ký nộp hồ sơ '!A:I, ""SELECT I WHERE B = '""&amp;B835&amp;""' ORDER BY A DESC LIMIT 1"", 0))"),46177.0)</f>
        <v>46177</v>
      </c>
      <c r="Q835" s="38">
        <f t="shared" si="2"/>
        <v>46177</v>
      </c>
      <c r="R835" s="37">
        <v>1.0</v>
      </c>
      <c r="S835" s="15"/>
      <c r="T835" s="15"/>
      <c r="U835" s="36"/>
      <c r="V835" s="36"/>
      <c r="W835" s="37"/>
      <c r="X835" s="37"/>
    </row>
    <row r="836" ht="22.5" customHeight="1">
      <c r="A836" s="35">
        <v>46178.64564666667</v>
      </c>
      <c r="B836" s="12" t="s">
        <v>1901</v>
      </c>
      <c r="C836" s="15" t="s">
        <v>1902</v>
      </c>
      <c r="D836" s="36"/>
      <c r="E836" s="15" t="s">
        <v>74</v>
      </c>
      <c r="F836" s="15" t="s">
        <v>133</v>
      </c>
      <c r="G836" s="15"/>
      <c r="H836" s="15" t="s">
        <v>28</v>
      </c>
      <c r="I836" s="15" t="s">
        <v>659</v>
      </c>
      <c r="J836" s="41"/>
      <c r="K836" s="37" t="str">
        <f t="array" ref="K836">IFERROR(VLOOKUP(B836, SORT('Nhật ký nộp hồ sơ '!B:D, 'Nhật ký nộp hồ sơ '!A:A, FALSE), 3, FALSE),"")</f>
        <v>Hoàn thành</v>
      </c>
      <c r="L836" s="37" t="str">
        <f t="shared" si="1"/>
        <v>Hoàn thành</v>
      </c>
      <c r="M836" s="15" t="s">
        <v>216</v>
      </c>
      <c r="N836" s="38">
        <f>IFERROR(__xludf.DUMMYFUNCTION("""COMPUTED_VALUE"""),46178.0)</f>
        <v>46178</v>
      </c>
      <c r="O836" s="38">
        <v>46181.0</v>
      </c>
      <c r="P836" s="38">
        <f>IFERROR(__xludf.DUMMYFUNCTION("IFERROR(QUERY('Nhật ký nộp hồ sơ '!A:I, ""SELECT I WHERE B = '""&amp;B836&amp;""' ORDER BY A DESC LIMIT 1"", 0))"),46182.0)</f>
        <v>46182</v>
      </c>
      <c r="Q836" s="38">
        <f t="shared" si="2"/>
        <v>46182</v>
      </c>
      <c r="R836" s="37">
        <v>1.0</v>
      </c>
      <c r="S836" s="15"/>
      <c r="T836" s="15"/>
      <c r="U836" s="36"/>
      <c r="V836" s="36"/>
      <c r="W836" s="37">
        <v>6.0</v>
      </c>
      <c r="X836" s="37" t="s">
        <v>1188</v>
      </c>
    </row>
    <row r="837" ht="22.5" customHeight="1">
      <c r="A837" s="35">
        <v>46178.64663973379</v>
      </c>
      <c r="B837" s="12" t="s">
        <v>1903</v>
      </c>
      <c r="C837" s="15" t="s">
        <v>1904</v>
      </c>
      <c r="D837" s="36"/>
      <c r="E837" s="15" t="s">
        <v>45</v>
      </c>
      <c r="F837" s="15" t="s">
        <v>69</v>
      </c>
      <c r="G837" s="15"/>
      <c r="H837" s="15" t="s">
        <v>28</v>
      </c>
      <c r="I837" s="15" t="s">
        <v>659</v>
      </c>
      <c r="J837" s="41"/>
      <c r="K837" s="37" t="str">
        <f t="array" ref="K837">IFERROR(VLOOKUP(B837, SORT('Nhật ký nộp hồ sơ '!B:D, 'Nhật ký nộp hồ sơ '!A:A, FALSE), 3, FALSE),"")</f>
        <v>Nộp thành công - Chờ kết quả</v>
      </c>
      <c r="L837" s="37" t="str">
        <f t="shared" si="1"/>
        <v>Đã nộp</v>
      </c>
      <c r="M837" s="15" t="s">
        <v>56</v>
      </c>
      <c r="N837" s="38">
        <f>IFERROR(__xludf.DUMMYFUNCTION("""COMPUTED_VALUE"""),46178.0)</f>
        <v>46178</v>
      </c>
      <c r="O837" s="38">
        <v>46181.0</v>
      </c>
      <c r="P837" s="38">
        <f>IFERROR(__xludf.DUMMYFUNCTION("IFERROR(QUERY('Nhật ký nộp hồ sơ '!A:I, ""SELECT I WHERE B = '""&amp;B837&amp;""' ORDER BY A DESC LIMIT 1"", 0))"),46182.0)</f>
        <v>46182</v>
      </c>
      <c r="Q837" s="38" t="str">
        <f t="shared" si="2"/>
        <v/>
      </c>
      <c r="R837" s="37">
        <v>1.0</v>
      </c>
      <c r="S837" s="15"/>
      <c r="T837" s="15"/>
      <c r="U837" s="36"/>
      <c r="V837" s="36"/>
      <c r="W837" s="37"/>
      <c r="X837" s="37"/>
    </row>
    <row r="838" ht="22.5" customHeight="1">
      <c r="A838" s="35">
        <v>46179.42280027778</v>
      </c>
      <c r="B838" s="12" t="s">
        <v>1905</v>
      </c>
      <c r="C838" s="15" t="s">
        <v>1906</v>
      </c>
      <c r="D838" s="36"/>
      <c r="E838" s="15" t="s">
        <v>132</v>
      </c>
      <c r="F838" s="15" t="s">
        <v>1152</v>
      </c>
      <c r="G838" s="15"/>
      <c r="H838" s="15" t="s">
        <v>28</v>
      </c>
      <c r="I838" s="15" t="s">
        <v>29</v>
      </c>
      <c r="J838" s="41"/>
      <c r="K838" s="37" t="str">
        <f t="array" ref="K838">IFERROR(VLOOKUP(B838, SORT('Nhật ký nộp hồ sơ '!B:D, 'Nhật ký nộp hồ sơ '!A:A, FALSE), 3, FALSE),"")</f>
        <v>Hoàn thành</v>
      </c>
      <c r="L838" s="37" t="str">
        <f t="shared" si="1"/>
        <v>Hoàn thành</v>
      </c>
      <c r="M838" s="15" t="s">
        <v>524</v>
      </c>
      <c r="N838" s="38">
        <f>IFERROR(__xludf.DUMMYFUNCTION("""COMPUTED_VALUE"""),46179.0)</f>
        <v>46179</v>
      </c>
      <c r="O838" s="38">
        <v>46182.0</v>
      </c>
      <c r="P838" s="38">
        <f>IFERROR(__xludf.DUMMYFUNCTION("IFERROR(QUERY('Nhật ký nộp hồ sơ '!A:I, ""SELECT I WHERE B = '""&amp;B838&amp;""' ORDER BY A DESC LIMIT 1"", 0))"),46182.0)</f>
        <v>46182</v>
      </c>
      <c r="Q838" s="38">
        <f t="shared" si="2"/>
        <v>46182</v>
      </c>
      <c r="R838" s="37">
        <v>1.0</v>
      </c>
      <c r="S838" s="15"/>
      <c r="T838" s="15"/>
      <c r="U838" s="36"/>
      <c r="V838" s="36"/>
      <c r="W838" s="37"/>
      <c r="X838" s="37"/>
    </row>
    <row r="839" ht="22.5" customHeight="1">
      <c r="A839" s="35">
        <v>46179.73457929398</v>
      </c>
      <c r="B839" s="12" t="s">
        <v>1907</v>
      </c>
      <c r="C839" s="15" t="s">
        <v>1908</v>
      </c>
      <c r="D839" s="36"/>
      <c r="E839" s="15" t="s">
        <v>79</v>
      </c>
      <c r="F839" s="15" t="s">
        <v>89</v>
      </c>
      <c r="G839" s="15"/>
      <c r="H839" s="15" t="s">
        <v>28</v>
      </c>
      <c r="I839" s="15" t="s">
        <v>659</v>
      </c>
      <c r="J839" s="41"/>
      <c r="K839" s="37" t="str">
        <f t="array" ref="K839">IFERROR(VLOOKUP(B839, SORT('Nhật ký nộp hồ sơ '!B:D, 'Nhật ký nộp hồ sơ '!A:A, FALSE), 3, FALSE),"")</f>
        <v/>
      </c>
      <c r="L839" s="37" t="str">
        <f t="shared" si="1"/>
        <v>QUÁ HẠN</v>
      </c>
      <c r="M839" s="15" t="s">
        <v>48</v>
      </c>
      <c r="N839" s="38">
        <f>IFERROR(__xludf.DUMMYFUNCTION("""COMPUTED_VALUE"""),46179.0)</f>
        <v>46179</v>
      </c>
      <c r="O839" s="38">
        <v>46182.0</v>
      </c>
      <c r="P839" s="38" t="str">
        <f>IFERROR(__xludf.DUMMYFUNCTION("IFERROR(QUERY('Nhật ký nộp hồ sơ '!A:I, ""SELECT I WHERE B = '""&amp;B839&amp;""' ORDER BY A DESC LIMIT 1"", 0))"),"")</f>
        <v/>
      </c>
      <c r="Q839" s="38" t="str">
        <f t="shared" si="2"/>
        <v/>
      </c>
      <c r="R839" s="37">
        <v>1.0</v>
      </c>
      <c r="S839" s="15"/>
      <c r="T839" s="15"/>
      <c r="U839" s="36"/>
      <c r="V839" s="36"/>
      <c r="W839" s="37"/>
      <c r="X839" s="37"/>
    </row>
    <row r="840" ht="22.5" customHeight="1">
      <c r="A840" s="35">
        <v>46181.58479622685</v>
      </c>
      <c r="B840" s="12" t="s">
        <v>1909</v>
      </c>
      <c r="C840" s="15" t="s">
        <v>1387</v>
      </c>
      <c r="D840" s="36"/>
      <c r="E840" s="15" t="s">
        <v>26</v>
      </c>
      <c r="F840" s="15" t="s">
        <v>133</v>
      </c>
      <c r="G840" s="15"/>
      <c r="H840" s="15" t="s">
        <v>47</v>
      </c>
      <c r="I840" s="15" t="s">
        <v>659</v>
      </c>
      <c r="J840" s="41"/>
      <c r="K840" s="37" t="str">
        <f t="array" ref="K840">IFERROR(VLOOKUP(B840, SORT('Nhật ký nộp hồ sơ '!B:D, 'Nhật ký nộp hồ sơ '!A:A, FALSE), 3, FALSE),"")</f>
        <v/>
      </c>
      <c r="L840" s="37" t="str">
        <f t="shared" si="1"/>
        <v>QUÁ HẠN</v>
      </c>
      <c r="M840" s="15" t="s">
        <v>181</v>
      </c>
      <c r="N840" s="38">
        <f>IFERROR(__xludf.DUMMYFUNCTION("""COMPUTED_VALUE"""),46181.0)</f>
        <v>46181</v>
      </c>
      <c r="O840" s="38">
        <v>46184.0</v>
      </c>
      <c r="P840" s="38" t="str">
        <f>IFERROR(__xludf.DUMMYFUNCTION("IFERROR(QUERY('Nhật ký nộp hồ sơ '!A:I, ""SELECT I WHERE B = '""&amp;B840&amp;""' ORDER BY A DESC LIMIT 1"", 0))"),"")</f>
        <v/>
      </c>
      <c r="Q840" s="38" t="str">
        <f t="shared" si="2"/>
        <v/>
      </c>
      <c r="R840" s="37">
        <v>1.0</v>
      </c>
      <c r="S840" s="15"/>
      <c r="T840" s="15"/>
      <c r="U840" s="36"/>
      <c r="V840" s="36"/>
      <c r="W840" s="37"/>
      <c r="X840" s="37"/>
    </row>
    <row r="841" ht="22.5" customHeight="1">
      <c r="A841" s="35">
        <v>46181.642900543986</v>
      </c>
      <c r="B841" s="12" t="s">
        <v>1910</v>
      </c>
      <c r="C841" s="15" t="s">
        <v>1904</v>
      </c>
      <c r="D841" s="36"/>
      <c r="E841" s="15" t="s">
        <v>45</v>
      </c>
      <c r="F841" s="15" t="s">
        <v>69</v>
      </c>
      <c r="G841" s="15"/>
      <c r="H841" s="15" t="s">
        <v>28</v>
      </c>
      <c r="I841" s="15" t="s">
        <v>81</v>
      </c>
      <c r="J841" s="41"/>
      <c r="K841" s="37" t="str">
        <f t="array" ref="K841">IFERROR(VLOOKUP(B841, SORT('Nhật ký nộp hồ sơ '!B:D, 'Nhật ký nộp hồ sơ '!A:A, FALSE), 3, FALSE),"")</f>
        <v>Hoàn thành</v>
      </c>
      <c r="L841" s="37" t="str">
        <f t="shared" si="1"/>
        <v>Hoàn thành</v>
      </c>
      <c r="M841" s="15" t="s">
        <v>146</v>
      </c>
      <c r="N841" s="38">
        <f>IFERROR(__xludf.DUMMYFUNCTION("""COMPUTED_VALUE"""),46181.0)</f>
        <v>46181</v>
      </c>
      <c r="O841" s="38">
        <v>46184.0</v>
      </c>
      <c r="P841" s="38">
        <f>IFERROR(__xludf.DUMMYFUNCTION("IFERROR(QUERY('Nhật ký nộp hồ sơ '!A:I, ""SELECT I WHERE B = '""&amp;B841&amp;""' ORDER BY A DESC LIMIT 1"", 0))"),46182.0)</f>
        <v>46182</v>
      </c>
      <c r="Q841" s="38">
        <f t="shared" si="2"/>
        <v>46182</v>
      </c>
      <c r="R841" s="37">
        <v>0.0</v>
      </c>
      <c r="S841" s="15"/>
      <c r="T841" s="15"/>
      <c r="U841" s="36"/>
      <c r="V841" s="36"/>
      <c r="W841" s="37"/>
      <c r="X841" s="37"/>
    </row>
    <row r="842" ht="22.5" customHeight="1">
      <c r="A842" s="35">
        <v>46181.702462534726</v>
      </c>
      <c r="B842" s="12" t="s">
        <v>1911</v>
      </c>
      <c r="C842" s="15" t="s">
        <v>1912</v>
      </c>
      <c r="D842" s="36"/>
      <c r="E842" s="15" t="s">
        <v>222</v>
      </c>
      <c r="F842" s="15" t="s">
        <v>133</v>
      </c>
      <c r="G842" s="40" t="s">
        <v>1913</v>
      </c>
      <c r="H842" s="15" t="s">
        <v>47</v>
      </c>
      <c r="I842" s="15" t="s">
        <v>659</v>
      </c>
      <c r="J842" s="39" t="s">
        <v>202</v>
      </c>
      <c r="K842" s="37" t="str">
        <f t="array" ref="K842">IFERROR(VLOOKUP(B842, SORT('Nhật ký nộp hồ sơ '!B:D, 'Nhật ký nộp hồ sơ '!A:A, FALSE), 3, FALSE),"")</f>
        <v>Hoàn thành</v>
      </c>
      <c r="L842" s="37" t="str">
        <f t="shared" si="1"/>
        <v>Hoàn thành</v>
      </c>
      <c r="M842" s="15" t="s">
        <v>30</v>
      </c>
      <c r="N842" s="38">
        <f>IFERROR(__xludf.DUMMYFUNCTION("""COMPUTED_VALUE"""),46181.0)</f>
        <v>46181</v>
      </c>
      <c r="O842" s="38">
        <v>46182.0</v>
      </c>
      <c r="P842" s="38">
        <f>IFERROR(__xludf.DUMMYFUNCTION("IFERROR(QUERY('Nhật ký nộp hồ sơ '!A:I, ""SELECT I WHERE B = '""&amp;B842&amp;""' ORDER BY A DESC LIMIT 1"", 0))"),46185.0)</f>
        <v>46185</v>
      </c>
      <c r="Q842" s="38">
        <f t="shared" si="2"/>
        <v>46185</v>
      </c>
      <c r="R842" s="37">
        <v>1.0</v>
      </c>
      <c r="S842" s="15"/>
      <c r="T842" s="15"/>
      <c r="U842" s="36"/>
      <c r="V842" s="36"/>
      <c r="W842" s="37"/>
      <c r="X842" s="37"/>
    </row>
    <row r="843" ht="22.5" customHeight="1">
      <c r="A843" s="35">
        <v>46182.717060324074</v>
      </c>
      <c r="B843" s="12" t="s">
        <v>1914</v>
      </c>
      <c r="C843" s="15" t="s">
        <v>1915</v>
      </c>
      <c r="D843" s="36"/>
      <c r="E843" s="15" t="s">
        <v>26</v>
      </c>
      <c r="F843" s="15" t="s">
        <v>133</v>
      </c>
      <c r="G843" s="40" t="s">
        <v>1916</v>
      </c>
      <c r="H843" s="15" t="s">
        <v>47</v>
      </c>
      <c r="I843" s="15" t="s">
        <v>659</v>
      </c>
      <c r="J843" s="41"/>
      <c r="K843" s="37" t="str">
        <f t="array" ref="K843">IFERROR(VLOOKUP(B843, SORT('Nhật ký nộp hồ sơ '!B:D, 'Nhật ký nộp hồ sơ '!A:A, FALSE), 3, FALSE),"")</f>
        <v/>
      </c>
      <c r="L843" s="37" t="str">
        <f t="shared" si="1"/>
        <v>QUÁ HẠN</v>
      </c>
      <c r="M843" s="15" t="s">
        <v>48</v>
      </c>
      <c r="N843" s="38">
        <f>IFERROR(__xludf.DUMMYFUNCTION("""COMPUTED_VALUE"""),46182.0)</f>
        <v>46182</v>
      </c>
      <c r="O843" s="38">
        <v>46185.0</v>
      </c>
      <c r="P843" s="38" t="str">
        <f>IFERROR(__xludf.DUMMYFUNCTION("IFERROR(QUERY('Nhật ký nộp hồ sơ '!A:I, ""SELECT I WHERE B = '""&amp;B843&amp;""' ORDER BY A DESC LIMIT 1"", 0))"),"")</f>
        <v/>
      </c>
      <c r="Q843" s="38" t="str">
        <f t="shared" si="2"/>
        <v/>
      </c>
      <c r="R843" s="37">
        <v>1.0</v>
      </c>
      <c r="S843" s="15"/>
      <c r="T843" s="15"/>
      <c r="U843" s="36"/>
      <c r="V843" s="36"/>
      <c r="W843" s="37"/>
      <c r="X843" s="37"/>
    </row>
    <row r="844" ht="22.5" customHeight="1">
      <c r="A844" s="35">
        <v>46183.37869334491</v>
      </c>
      <c r="B844" s="12" t="s">
        <v>1917</v>
      </c>
      <c r="C844" s="15" t="s">
        <v>1771</v>
      </c>
      <c r="D844" s="36"/>
      <c r="E844" s="15" t="s">
        <v>45</v>
      </c>
      <c r="F844" s="15" t="s">
        <v>133</v>
      </c>
      <c r="G844" s="15"/>
      <c r="H844" s="15" t="s">
        <v>28</v>
      </c>
      <c r="I844" s="15" t="s">
        <v>659</v>
      </c>
      <c r="J844" s="39" t="s">
        <v>202</v>
      </c>
      <c r="K844" s="37" t="str">
        <f t="array" ref="K844">IFERROR(VLOOKUP(B844, SORT('Nhật ký nộp hồ sơ '!B:D, 'Nhật ký nộp hồ sơ '!A:A, FALSE), 3, FALSE),"")</f>
        <v>Hoàn thành</v>
      </c>
      <c r="L844" s="37" t="str">
        <f t="shared" si="1"/>
        <v>Hoàn thành</v>
      </c>
      <c r="M844" s="15" t="s">
        <v>216</v>
      </c>
      <c r="N844" s="38">
        <f>IFERROR(__xludf.DUMMYFUNCTION("""COMPUTED_VALUE"""),46183.0)</f>
        <v>46183</v>
      </c>
      <c r="O844" s="38">
        <v>46184.0</v>
      </c>
      <c r="P844" s="38">
        <f>IFERROR(__xludf.DUMMYFUNCTION("IFERROR(QUERY('Nhật ký nộp hồ sơ '!A:I, ""SELECT I WHERE B = '""&amp;B844&amp;""' ORDER BY A DESC LIMIT 1"", 0))"),46183.0)</f>
        <v>46183</v>
      </c>
      <c r="Q844" s="38">
        <f t="shared" si="2"/>
        <v>46183</v>
      </c>
      <c r="R844" s="37">
        <v>1.0</v>
      </c>
      <c r="S844" s="15"/>
      <c r="T844" s="15"/>
      <c r="U844" s="36"/>
      <c r="V844" s="36"/>
      <c r="W844" s="37">
        <v>2.0</v>
      </c>
      <c r="X844" s="37" t="s">
        <v>687</v>
      </c>
    </row>
    <row r="845" ht="22.5" customHeight="1">
      <c r="A845" s="35">
        <v>46183.61042515046</v>
      </c>
      <c r="B845" s="12" t="s">
        <v>1918</v>
      </c>
      <c r="C845" s="15" t="s">
        <v>1919</v>
      </c>
      <c r="D845" s="36"/>
      <c r="E845" s="15" t="s">
        <v>26</v>
      </c>
      <c r="F845" s="15" t="s">
        <v>1683</v>
      </c>
      <c r="G845" s="15"/>
      <c r="H845" s="15" t="s">
        <v>100</v>
      </c>
      <c r="I845" s="15" t="s">
        <v>81</v>
      </c>
      <c r="J845" s="41"/>
      <c r="K845" s="37" t="str">
        <f t="array" ref="K845">IFERROR(VLOOKUP(B845, SORT('Nhật ký nộp hồ sơ '!B:D, 'Nhật ký nộp hồ sơ '!A:A, FALSE), 3, FALSE),"")</f>
        <v>Nộp thành công - Chờ kết quả</v>
      </c>
      <c r="L845" s="37" t="str">
        <f t="shared" si="1"/>
        <v>Đã nộp</v>
      </c>
      <c r="M845" s="15" t="s">
        <v>588</v>
      </c>
      <c r="N845" s="38">
        <f>IFERROR(__xludf.DUMMYFUNCTION("""COMPUTED_VALUE"""),46183.0)</f>
        <v>46183</v>
      </c>
      <c r="O845" s="38">
        <v>46186.0</v>
      </c>
      <c r="P845" s="38">
        <f>IFERROR(__xludf.DUMMYFUNCTION("IFERROR(QUERY('Nhật ký nộp hồ sơ '!A:I, ""SELECT I WHERE B = '""&amp;B845&amp;""' ORDER BY A DESC LIMIT 1"", 0))"),46183.0)</f>
        <v>46183</v>
      </c>
      <c r="Q845" s="38" t="str">
        <f t="shared" si="2"/>
        <v/>
      </c>
      <c r="R845" s="37">
        <v>1.0</v>
      </c>
      <c r="S845" s="15"/>
      <c r="T845" s="15"/>
      <c r="U845" s="36"/>
      <c r="V845" s="36"/>
      <c r="W845" s="37"/>
      <c r="X845" s="37"/>
    </row>
    <row r="846" ht="22.5" customHeight="1">
      <c r="A846" s="35">
        <v>46183.71020204861</v>
      </c>
      <c r="B846" s="12" t="s">
        <v>1920</v>
      </c>
      <c r="C846" s="15" t="s">
        <v>1921</v>
      </c>
      <c r="D846" s="36"/>
      <c r="E846" s="15" t="s">
        <v>45</v>
      </c>
      <c r="F846" s="15" t="s">
        <v>46</v>
      </c>
      <c r="G846" s="15"/>
      <c r="H846" s="15" t="s">
        <v>29</v>
      </c>
      <c r="I846" s="15" t="s">
        <v>659</v>
      </c>
      <c r="J846" s="41"/>
      <c r="K846" s="37" t="str">
        <f t="array" ref="K846">IFERROR(VLOOKUP(B846, SORT('Nhật ký nộp hồ sơ '!B:D, 'Nhật ký nộp hồ sơ '!A:A, FALSE), 3, FALSE),"")</f>
        <v/>
      </c>
      <c r="L846" s="37" t="str">
        <f t="shared" si="1"/>
        <v>QUÁ HẠN</v>
      </c>
      <c r="M846" s="15" t="s">
        <v>48</v>
      </c>
      <c r="N846" s="38">
        <f>IFERROR(__xludf.DUMMYFUNCTION("""COMPUTED_VALUE"""),46183.0)</f>
        <v>46183</v>
      </c>
      <c r="O846" s="38">
        <v>46186.0</v>
      </c>
      <c r="P846" s="38" t="str">
        <f>IFERROR(__xludf.DUMMYFUNCTION("IFERROR(QUERY('Nhật ký nộp hồ sơ '!A:I, ""SELECT I WHERE B = '""&amp;B846&amp;""' ORDER BY A DESC LIMIT 1"", 0))"),"")</f>
        <v/>
      </c>
      <c r="Q846" s="38" t="str">
        <f t="shared" si="2"/>
        <v/>
      </c>
      <c r="R846" s="37">
        <v>1.0</v>
      </c>
      <c r="S846" s="15" t="s">
        <v>1922</v>
      </c>
      <c r="T846" s="15"/>
      <c r="U846" s="36"/>
      <c r="V846" s="36"/>
      <c r="W846" s="37"/>
      <c r="X846" s="37"/>
    </row>
    <row r="847" ht="22.5" customHeight="1">
      <c r="A847" s="35">
        <v>46183.711085891206</v>
      </c>
      <c r="B847" s="12" t="s">
        <v>1923</v>
      </c>
      <c r="C847" s="15" t="s">
        <v>976</v>
      </c>
      <c r="D847" s="36"/>
      <c r="E847" s="15" t="s">
        <v>45</v>
      </c>
      <c r="F847" s="15" t="s">
        <v>46</v>
      </c>
      <c r="G847" s="15"/>
      <c r="H847" s="15" t="s">
        <v>29</v>
      </c>
      <c r="I847" s="15" t="s">
        <v>659</v>
      </c>
      <c r="J847" s="41"/>
      <c r="K847" s="37" t="str">
        <f t="array" ref="K847">IFERROR(VLOOKUP(B847, SORT('Nhật ký nộp hồ sơ '!B:D, 'Nhật ký nộp hồ sơ '!A:A, FALSE), 3, FALSE),"")</f>
        <v/>
      </c>
      <c r="L847" s="37" t="str">
        <f t="shared" si="1"/>
        <v>QUÁ HẠN</v>
      </c>
      <c r="M847" s="15" t="s">
        <v>48</v>
      </c>
      <c r="N847" s="38">
        <f>IFERROR(__xludf.DUMMYFUNCTION("""COMPUTED_VALUE"""),46183.0)</f>
        <v>46183</v>
      </c>
      <c r="O847" s="38">
        <v>46186.0</v>
      </c>
      <c r="P847" s="38" t="str">
        <f>IFERROR(__xludf.DUMMYFUNCTION("IFERROR(QUERY('Nhật ký nộp hồ sơ '!A:I, ""SELECT I WHERE B = '""&amp;B847&amp;""' ORDER BY A DESC LIMIT 1"", 0))"),"")</f>
        <v/>
      </c>
      <c r="Q847" s="38" t="str">
        <f t="shared" si="2"/>
        <v/>
      </c>
      <c r="R847" s="37">
        <v>1.0</v>
      </c>
      <c r="S847" s="15" t="s">
        <v>1924</v>
      </c>
      <c r="T847" s="15"/>
      <c r="U847" s="36"/>
      <c r="V847" s="36"/>
      <c r="W847" s="37"/>
      <c r="X847" s="37"/>
    </row>
    <row r="848" ht="22.5" customHeight="1">
      <c r="A848" s="35">
        <v>46184.46182793981</v>
      </c>
      <c r="B848" s="12" t="s">
        <v>1925</v>
      </c>
      <c r="C848" s="15" t="s">
        <v>1926</v>
      </c>
      <c r="D848" s="36"/>
      <c r="E848" s="15" t="s">
        <v>74</v>
      </c>
      <c r="F848" s="15" t="s">
        <v>133</v>
      </c>
      <c r="G848" s="15"/>
      <c r="H848" s="15" t="s">
        <v>659</v>
      </c>
      <c r="I848" s="15" t="s">
        <v>81</v>
      </c>
      <c r="J848" s="41"/>
      <c r="K848" s="37" t="str">
        <f t="array" ref="K848">IFERROR(VLOOKUP(B848, SORT('Nhật ký nộp hồ sơ '!B:D, 'Nhật ký nộp hồ sơ '!A:A, FALSE), 3, FALSE),"")</f>
        <v>Hoàn thành</v>
      </c>
      <c r="L848" s="37" t="str">
        <f t="shared" si="1"/>
        <v>Hoàn thành</v>
      </c>
      <c r="M848" s="15" t="s">
        <v>41</v>
      </c>
      <c r="N848" s="38">
        <f>IFERROR(__xludf.DUMMYFUNCTION("""COMPUTED_VALUE"""),46184.0)</f>
        <v>46184</v>
      </c>
      <c r="O848" s="38">
        <v>46187.0</v>
      </c>
      <c r="P848" s="38">
        <f>IFERROR(__xludf.DUMMYFUNCTION("IFERROR(QUERY('Nhật ký nộp hồ sơ '!A:I, ""SELECT I WHERE B = '""&amp;B848&amp;""' ORDER BY A DESC LIMIT 1"", 0))"),46184.0)</f>
        <v>46184</v>
      </c>
      <c r="Q848" s="38">
        <f t="shared" si="2"/>
        <v>46184</v>
      </c>
      <c r="R848" s="37">
        <v>1.0</v>
      </c>
      <c r="S848" s="15"/>
      <c r="T848" s="15"/>
      <c r="U848" s="36"/>
      <c r="V848" s="36"/>
      <c r="W848" s="37"/>
      <c r="X848" s="37"/>
    </row>
    <row r="849" ht="22.5" customHeight="1">
      <c r="A849" s="35">
        <v>46185.510226493054</v>
      </c>
      <c r="B849" s="12" t="s">
        <v>1927</v>
      </c>
      <c r="C849" s="15" t="s">
        <v>1928</v>
      </c>
      <c r="D849" s="36"/>
      <c r="E849" s="15" t="s">
        <v>26</v>
      </c>
      <c r="F849" s="15" t="s">
        <v>133</v>
      </c>
      <c r="G849" s="15" t="s">
        <v>1929</v>
      </c>
      <c r="H849" s="15" t="s">
        <v>47</v>
      </c>
      <c r="I849" s="15" t="s">
        <v>81</v>
      </c>
      <c r="J849" s="41"/>
      <c r="K849" s="37" t="str">
        <f t="array" ref="K849">IFERROR(VLOOKUP(B849, SORT('Nhật ký nộp hồ sơ '!B:D, 'Nhật ký nộp hồ sơ '!A:A, FALSE), 3, FALSE),"")</f>
        <v>Hoàn thành</v>
      </c>
      <c r="L849" s="37" t="str">
        <f t="shared" si="1"/>
        <v>Hoàn thành</v>
      </c>
      <c r="M849" s="15" t="s">
        <v>41</v>
      </c>
      <c r="N849" s="38">
        <f>IFERROR(__xludf.DUMMYFUNCTION("""COMPUTED_VALUE"""),46185.0)</f>
        <v>46185</v>
      </c>
      <c r="O849" s="38">
        <v>46188.0</v>
      </c>
      <c r="P849" s="38">
        <f>IFERROR(__xludf.DUMMYFUNCTION("IFERROR(QUERY('Nhật ký nộp hồ sơ '!A:I, ""SELECT I WHERE B = '""&amp;B849&amp;""' ORDER BY A DESC LIMIT 1"", 0))"),46185.0)</f>
        <v>46185</v>
      </c>
      <c r="Q849" s="38">
        <f t="shared" si="2"/>
        <v>46185</v>
      </c>
      <c r="R849" s="37">
        <v>1.0</v>
      </c>
      <c r="S849" s="15"/>
      <c r="T849" s="15"/>
      <c r="U849" s="36"/>
      <c r="V849" s="36"/>
      <c r="W849" s="37"/>
      <c r="X849" s="37"/>
    </row>
    <row r="850" ht="22.5" customHeight="1">
      <c r="A850" s="35">
        <v>46186.33439449074</v>
      </c>
      <c r="B850" s="12" t="s">
        <v>1930</v>
      </c>
      <c r="C850" s="15" t="s">
        <v>1931</v>
      </c>
      <c r="D850" s="36"/>
      <c r="E850" s="15" t="s">
        <v>74</v>
      </c>
      <c r="F850" s="15" t="s">
        <v>133</v>
      </c>
      <c r="G850" s="15"/>
      <c r="H850" s="15" t="s">
        <v>29</v>
      </c>
      <c r="I850" s="15" t="s">
        <v>659</v>
      </c>
      <c r="J850" s="41"/>
      <c r="K850" s="37" t="str">
        <f t="array" ref="K850">IFERROR(VLOOKUP(B850, SORT('Nhật ký nộp hồ sơ '!B:D, 'Nhật ký nộp hồ sơ '!A:A, FALSE), 3, FALSE),"")</f>
        <v>Nộp thành công - Chờ kết quả</v>
      </c>
      <c r="L850" s="37" t="str">
        <f t="shared" si="1"/>
        <v>Đã nộp</v>
      </c>
      <c r="M850" s="15" t="s">
        <v>56</v>
      </c>
      <c r="N850" s="38">
        <f>IFERROR(__xludf.DUMMYFUNCTION("""COMPUTED_VALUE"""),46186.0)</f>
        <v>46186</v>
      </c>
      <c r="O850" s="38">
        <v>46189.0</v>
      </c>
      <c r="P850" s="38">
        <f>IFERROR(__xludf.DUMMYFUNCTION("IFERROR(QUERY('Nhật ký nộp hồ sơ '!A:I, ""SELECT I WHERE B = '""&amp;B850&amp;""' ORDER BY A DESC LIMIT 1"", 0))"),46189.0)</f>
        <v>46189</v>
      </c>
      <c r="Q850" s="38" t="str">
        <f t="shared" si="2"/>
        <v/>
      </c>
      <c r="R850" s="37">
        <v>1.0</v>
      </c>
      <c r="S850" s="15"/>
      <c r="T850" s="15"/>
      <c r="U850" s="36"/>
      <c r="V850" s="36"/>
      <c r="W850" s="37"/>
      <c r="X850" s="37"/>
    </row>
    <row r="851" ht="22.5" customHeight="1">
      <c r="A851" s="35">
        <v>46186.33574740741</v>
      </c>
      <c r="B851" s="12" t="s">
        <v>1932</v>
      </c>
      <c r="C851" s="15" t="s">
        <v>1933</v>
      </c>
      <c r="D851" s="36"/>
      <c r="E851" s="15" t="s">
        <v>26</v>
      </c>
      <c r="F851" s="15" t="s">
        <v>620</v>
      </c>
      <c r="G851" s="15"/>
      <c r="H851" s="15" t="s">
        <v>29</v>
      </c>
      <c r="I851" s="15" t="s">
        <v>659</v>
      </c>
      <c r="J851" s="41"/>
      <c r="K851" s="37" t="str">
        <f t="array" ref="K851">IFERROR(VLOOKUP(B851, SORT('Nhật ký nộp hồ sơ '!B:D, 'Nhật ký nộp hồ sơ '!A:A, FALSE), 3, FALSE),"")</f>
        <v>Hoàn thành</v>
      </c>
      <c r="L851" s="37" t="str">
        <f t="shared" si="1"/>
        <v>Hoàn thành</v>
      </c>
      <c r="M851" s="15" t="s">
        <v>216</v>
      </c>
      <c r="N851" s="38">
        <f>IFERROR(__xludf.DUMMYFUNCTION("""COMPUTED_VALUE"""),46186.0)</f>
        <v>46186</v>
      </c>
      <c r="O851" s="38">
        <v>46189.0</v>
      </c>
      <c r="P851" s="38">
        <f>IFERROR(__xludf.DUMMYFUNCTION("IFERROR(QUERY('Nhật ký nộp hồ sơ '!A:I, ""SELECT I WHERE B = '""&amp;B851&amp;""' ORDER BY A DESC LIMIT 1"", 0))"),46188.0)</f>
        <v>46188</v>
      </c>
      <c r="Q851" s="38">
        <f t="shared" si="2"/>
        <v>46188</v>
      </c>
      <c r="R851" s="37">
        <v>1.0</v>
      </c>
      <c r="S851" s="15"/>
      <c r="T851" s="15"/>
      <c r="U851" s="36"/>
      <c r="V851" s="36"/>
      <c r="W851" s="37" t="s">
        <v>1934</v>
      </c>
      <c r="X851" s="37" t="s">
        <v>1188</v>
      </c>
    </row>
    <row r="852" ht="22.5" customHeight="1">
      <c r="A852" s="35">
        <v>46186.33652059028</v>
      </c>
      <c r="B852" s="12" t="s">
        <v>1935</v>
      </c>
      <c r="C852" s="15" t="s">
        <v>472</v>
      </c>
      <c r="D852" s="36"/>
      <c r="E852" s="15" t="s">
        <v>26</v>
      </c>
      <c r="F852" s="15" t="s">
        <v>29</v>
      </c>
      <c r="G852" s="15"/>
      <c r="H852" s="15" t="s">
        <v>29</v>
      </c>
      <c r="I852" s="15" t="s">
        <v>659</v>
      </c>
      <c r="J852" s="41"/>
      <c r="K852" s="37" t="str">
        <f t="array" ref="K852">IFERROR(VLOOKUP(B852, SORT('Nhật ký nộp hồ sơ '!B:D, 'Nhật ký nộp hồ sơ '!A:A, FALSE), 3, FALSE),"")</f>
        <v>Hoàn thành</v>
      </c>
      <c r="L852" s="37" t="str">
        <f t="shared" si="1"/>
        <v>Hoàn thành</v>
      </c>
      <c r="M852" s="15" t="s">
        <v>216</v>
      </c>
      <c r="N852" s="38">
        <f>IFERROR(__xludf.DUMMYFUNCTION("""COMPUTED_VALUE"""),46186.0)</f>
        <v>46186</v>
      </c>
      <c r="O852" s="38">
        <v>46189.0</v>
      </c>
      <c r="P852" s="38">
        <f>IFERROR(__xludf.DUMMYFUNCTION("IFERROR(QUERY('Nhật ký nộp hồ sơ '!A:I, ""SELECT I WHERE B = '""&amp;B852&amp;""' ORDER BY A DESC LIMIT 1"", 0))"),46188.0)</f>
        <v>46188</v>
      </c>
      <c r="Q852" s="38">
        <f t="shared" si="2"/>
        <v>46188</v>
      </c>
      <c r="R852" s="37">
        <v>1.0</v>
      </c>
      <c r="S852" s="15"/>
      <c r="T852" s="15"/>
      <c r="U852" s="36"/>
      <c r="V852" s="36"/>
      <c r="W852" s="37"/>
      <c r="X852" s="37" t="s">
        <v>1188</v>
      </c>
    </row>
    <row r="853" ht="22.5" customHeight="1">
      <c r="A853" s="35">
        <v>46188.58330907408</v>
      </c>
      <c r="B853" s="12" t="s">
        <v>1936</v>
      </c>
      <c r="C853" s="15" t="s">
        <v>1937</v>
      </c>
      <c r="D853" s="36"/>
      <c r="E853" s="15" t="s">
        <v>26</v>
      </c>
      <c r="F853" s="15" t="s">
        <v>1683</v>
      </c>
      <c r="G853" s="15" t="s">
        <v>1938</v>
      </c>
      <c r="H853" s="15" t="s">
        <v>100</v>
      </c>
      <c r="I853" s="15" t="s">
        <v>81</v>
      </c>
      <c r="J853" s="41"/>
      <c r="K853" s="37" t="str">
        <f t="array" ref="K853">IFERROR(VLOOKUP(B853, SORT('Nhật ký nộp hồ sơ '!B:D, 'Nhật ký nộp hồ sơ '!A:A, FALSE), 3, FALSE),"")</f>
        <v>Nộp thành công - Chờ kết quả</v>
      </c>
      <c r="L853" s="37" t="str">
        <f t="shared" si="1"/>
        <v>Đã nộp</v>
      </c>
      <c r="M853" s="15" t="s">
        <v>588</v>
      </c>
      <c r="N853" s="38">
        <f>IFERROR(__xludf.DUMMYFUNCTION("""COMPUTED_VALUE"""),46188.0)</f>
        <v>46188</v>
      </c>
      <c r="O853" s="38">
        <v>46191.0</v>
      </c>
      <c r="P853" s="38">
        <f>IFERROR(__xludf.DUMMYFUNCTION("IFERROR(QUERY('Nhật ký nộp hồ sơ '!A:I, ""SELECT I WHERE B = '""&amp;B853&amp;""' ORDER BY A DESC LIMIT 1"", 0))"),46188.0)</f>
        <v>46188</v>
      </c>
      <c r="Q853" s="38" t="str">
        <f t="shared" si="2"/>
        <v/>
      </c>
      <c r="R853" s="37">
        <v>1.0</v>
      </c>
      <c r="S853" s="15"/>
      <c r="T853" s="15"/>
      <c r="U853" s="36"/>
      <c r="V853" s="36"/>
      <c r="W853" s="37"/>
      <c r="X853" s="37"/>
    </row>
    <row r="854" ht="22.5" customHeight="1">
      <c r="A854" s="35">
        <v>46188.58492787037</v>
      </c>
      <c r="B854" s="12" t="s">
        <v>1939</v>
      </c>
      <c r="C854" s="15" t="s">
        <v>1940</v>
      </c>
      <c r="D854" s="36"/>
      <c r="E854" s="15" t="s">
        <v>122</v>
      </c>
      <c r="F854" s="15" t="s">
        <v>89</v>
      </c>
      <c r="G854" s="15" t="s">
        <v>1675</v>
      </c>
      <c r="H854" s="15" t="s">
        <v>100</v>
      </c>
      <c r="I854" s="15" t="s">
        <v>81</v>
      </c>
      <c r="J854" s="41"/>
      <c r="K854" s="37" t="str">
        <f t="array" ref="K854">IFERROR(VLOOKUP(B854, SORT('Nhật ký nộp hồ sơ '!B:D, 'Nhật ký nộp hồ sơ '!A:A, FALSE), 3, FALSE),"")</f>
        <v>Nộp thành công - Chờ kết quả</v>
      </c>
      <c r="L854" s="37" t="str">
        <f t="shared" si="1"/>
        <v>Đã nộp</v>
      </c>
      <c r="M854" s="15" t="s">
        <v>588</v>
      </c>
      <c r="N854" s="38">
        <f>IFERROR(__xludf.DUMMYFUNCTION("""COMPUTED_VALUE"""),46188.0)</f>
        <v>46188</v>
      </c>
      <c r="O854" s="38">
        <v>46191.0</v>
      </c>
      <c r="P854" s="38">
        <f>IFERROR(__xludf.DUMMYFUNCTION("IFERROR(QUERY('Nhật ký nộp hồ sơ '!A:I, ""SELECT I WHERE B = '""&amp;B854&amp;""' ORDER BY A DESC LIMIT 1"", 0))"),46188.0)</f>
        <v>46188</v>
      </c>
      <c r="Q854" s="38" t="str">
        <f t="shared" si="2"/>
        <v/>
      </c>
      <c r="R854" s="37">
        <v>1.0</v>
      </c>
      <c r="S854" s="15"/>
      <c r="T854" s="15"/>
      <c r="U854" s="36"/>
      <c r="V854" s="36"/>
      <c r="W854" s="37"/>
      <c r="X854" s="37"/>
    </row>
    <row r="855" ht="22.5" customHeight="1">
      <c r="A855" s="35">
        <v>46188.586128229166</v>
      </c>
      <c r="B855" s="12" t="s">
        <v>1941</v>
      </c>
      <c r="C855" s="15" t="s">
        <v>1942</v>
      </c>
      <c r="D855" s="36"/>
      <c r="E855" s="15" t="s">
        <v>26</v>
      </c>
      <c r="F855" s="15" t="s">
        <v>414</v>
      </c>
      <c r="G855" s="15" t="s">
        <v>1943</v>
      </c>
      <c r="H855" s="15" t="s">
        <v>100</v>
      </c>
      <c r="I855" s="15" t="s">
        <v>81</v>
      </c>
      <c r="J855" s="41"/>
      <c r="K855" s="37" t="str">
        <f t="array" ref="K855">IFERROR(VLOOKUP(B855, SORT('Nhật ký nộp hồ sơ '!B:D, 'Nhật ký nộp hồ sơ '!A:A, FALSE), 3, FALSE),"")</f>
        <v/>
      </c>
      <c r="L855" s="37" t="str">
        <f t="shared" si="1"/>
        <v>QUÁ HẠN</v>
      </c>
      <c r="M855" s="15" t="s">
        <v>588</v>
      </c>
      <c r="N855" s="38">
        <f>IFERROR(__xludf.DUMMYFUNCTION("""COMPUTED_VALUE"""),46188.0)</f>
        <v>46188</v>
      </c>
      <c r="O855" s="38">
        <v>46191.0</v>
      </c>
      <c r="P855" s="38" t="str">
        <f>IFERROR(__xludf.DUMMYFUNCTION("IFERROR(QUERY('Nhật ký nộp hồ sơ '!A:I, ""SELECT I WHERE B = '""&amp;B855&amp;""' ORDER BY A DESC LIMIT 1"", 0))"),"")</f>
        <v/>
      </c>
      <c r="Q855" s="38" t="str">
        <f t="shared" si="2"/>
        <v/>
      </c>
      <c r="R855" s="37">
        <v>1.0</v>
      </c>
      <c r="S855" s="15"/>
      <c r="T855" s="15"/>
      <c r="U855" s="36"/>
      <c r="V855" s="36"/>
      <c r="W855" s="37"/>
      <c r="X855" s="37"/>
    </row>
    <row r="856" ht="22.5" customHeight="1">
      <c r="A856" s="35">
        <v>46188.587765613425</v>
      </c>
      <c r="B856" s="12" t="s">
        <v>1944</v>
      </c>
      <c r="C856" s="15" t="s">
        <v>1945</v>
      </c>
      <c r="D856" s="36"/>
      <c r="E856" s="15" t="s">
        <v>122</v>
      </c>
      <c r="F856" s="15" t="s">
        <v>133</v>
      </c>
      <c r="G856" s="15"/>
      <c r="H856" s="15" t="s">
        <v>100</v>
      </c>
      <c r="I856" s="15" t="s">
        <v>81</v>
      </c>
      <c r="J856" s="41"/>
      <c r="K856" s="37" t="str">
        <f t="array" ref="K856">IFERROR(VLOOKUP(B856, SORT('Nhật ký nộp hồ sơ '!B:D, 'Nhật ký nộp hồ sơ '!A:A, FALSE), 3, FALSE),"")</f>
        <v>Nộp thành công - Chờ kết quả</v>
      </c>
      <c r="L856" s="37" t="str">
        <f t="shared" si="1"/>
        <v>Đã nộp</v>
      </c>
      <c r="M856" s="15" t="s">
        <v>588</v>
      </c>
      <c r="N856" s="38">
        <f>IFERROR(__xludf.DUMMYFUNCTION("""COMPUTED_VALUE"""),46188.0)</f>
        <v>46188</v>
      </c>
      <c r="O856" s="38">
        <v>46191.0</v>
      </c>
      <c r="P856" s="38">
        <f>IFERROR(__xludf.DUMMYFUNCTION("IFERROR(QUERY('Nhật ký nộp hồ sơ '!A:I, ""SELECT I WHERE B = '""&amp;B856&amp;""' ORDER BY A DESC LIMIT 1"", 0))"),46188.0)</f>
        <v>46188</v>
      </c>
      <c r="Q856" s="38" t="str">
        <f t="shared" si="2"/>
        <v/>
      </c>
      <c r="R856" s="37">
        <v>1.0</v>
      </c>
      <c r="S856" s="15"/>
      <c r="T856" s="15"/>
      <c r="U856" s="36"/>
      <c r="V856" s="36"/>
      <c r="W856" s="37"/>
      <c r="X856" s="37"/>
    </row>
    <row r="857" ht="22.5" customHeight="1">
      <c r="A857" s="35">
        <v>46188.618718854166</v>
      </c>
      <c r="B857" s="12" t="s">
        <v>1946</v>
      </c>
      <c r="C857" s="15" t="s">
        <v>1906</v>
      </c>
      <c r="D857" s="36"/>
      <c r="E857" s="15" t="s">
        <v>132</v>
      </c>
      <c r="F857" s="15" t="s">
        <v>1152</v>
      </c>
      <c r="G857" s="15"/>
      <c r="H857" s="15" t="s">
        <v>47</v>
      </c>
      <c r="I857" s="15" t="s">
        <v>659</v>
      </c>
      <c r="J857" s="41"/>
      <c r="K857" s="37" t="str">
        <f t="array" ref="K857">IFERROR(VLOOKUP(B857, SORT('Nhật ký nộp hồ sơ '!B:D, 'Nhật ký nộp hồ sơ '!A:A, FALSE), 3, FALSE),"")</f>
        <v>Nộp thành công - Chờ kết quả</v>
      </c>
      <c r="L857" s="37" t="str">
        <f t="shared" si="1"/>
        <v>Đã nộp</v>
      </c>
      <c r="M857" s="15" t="s">
        <v>93</v>
      </c>
      <c r="N857" s="38">
        <f>IFERROR(__xludf.DUMMYFUNCTION("""COMPUTED_VALUE"""),46188.0)</f>
        <v>46188</v>
      </c>
      <c r="O857" s="38">
        <v>46191.0</v>
      </c>
      <c r="P857" s="38">
        <f>IFERROR(__xludf.DUMMYFUNCTION("IFERROR(QUERY('Nhật ký nộp hồ sơ '!A:I, ""SELECT I WHERE B = '""&amp;B857&amp;""' ORDER BY A DESC LIMIT 1"", 0))"),46190.0)</f>
        <v>46190</v>
      </c>
      <c r="Q857" s="38" t="str">
        <f t="shared" si="2"/>
        <v/>
      </c>
      <c r="R857" s="37">
        <v>1.0</v>
      </c>
      <c r="S857" s="15"/>
      <c r="T857" s="15"/>
      <c r="U857" s="36"/>
      <c r="V857" s="36"/>
      <c r="W857" s="37"/>
      <c r="X857" s="37"/>
    </row>
    <row r="858" ht="22.5" customHeight="1">
      <c r="A858" s="35">
        <v>46188.7218730787</v>
      </c>
      <c r="B858" s="12" t="s">
        <v>1947</v>
      </c>
      <c r="C858" s="15" t="s">
        <v>1948</v>
      </c>
      <c r="D858" s="36"/>
      <c r="E858" s="15" t="s">
        <v>222</v>
      </c>
      <c r="F858" s="15" t="s">
        <v>1622</v>
      </c>
      <c r="G858" s="15"/>
      <c r="H858" s="15" t="s">
        <v>659</v>
      </c>
      <c r="I858" s="15" t="s">
        <v>81</v>
      </c>
      <c r="J858" s="41"/>
      <c r="K858" s="37" t="str">
        <f t="array" ref="K858">IFERROR(VLOOKUP(B858, SORT('Nhật ký nộp hồ sơ '!B:D, 'Nhật ký nộp hồ sơ '!A:A, FALSE), 3, FALSE),"")</f>
        <v>Hoàn thành</v>
      </c>
      <c r="L858" s="37" t="str">
        <f t="shared" si="1"/>
        <v>Hoàn thành</v>
      </c>
      <c r="M858" s="15" t="s">
        <v>588</v>
      </c>
      <c r="N858" s="38">
        <f>IFERROR(__xludf.DUMMYFUNCTION("""COMPUTED_VALUE"""),46188.0)</f>
        <v>46188</v>
      </c>
      <c r="O858" s="38">
        <v>46191.0</v>
      </c>
      <c r="P858" s="38">
        <f>IFERROR(__xludf.DUMMYFUNCTION("IFERROR(QUERY('Nhật ký nộp hồ sơ '!A:I, ""SELECT I WHERE B = '""&amp;B858&amp;""' ORDER BY A DESC LIMIT 1"", 0))"),46192.0)</f>
        <v>46192</v>
      </c>
      <c r="Q858" s="38">
        <f t="shared" si="2"/>
        <v>46192</v>
      </c>
      <c r="R858" s="37">
        <v>1.0</v>
      </c>
      <c r="S858" s="15"/>
      <c r="T858" s="15"/>
      <c r="U858" s="36"/>
      <c r="V858" s="36"/>
      <c r="W858" s="37"/>
      <c r="X858" s="37"/>
    </row>
    <row r="859" ht="22.5" customHeight="1">
      <c r="A859" s="35">
        <v>46188.730236620366</v>
      </c>
      <c r="B859" s="12" t="s">
        <v>1949</v>
      </c>
      <c r="C859" s="15" t="s">
        <v>1950</v>
      </c>
      <c r="D859" s="36"/>
      <c r="E859" s="15" t="s">
        <v>26</v>
      </c>
      <c r="F859" s="15" t="s">
        <v>133</v>
      </c>
      <c r="G859" s="15" t="s">
        <v>1258</v>
      </c>
      <c r="H859" s="15" t="s">
        <v>47</v>
      </c>
      <c r="I859" s="15" t="s">
        <v>81</v>
      </c>
      <c r="J859" s="41"/>
      <c r="K859" s="37" t="str">
        <f t="array" ref="K859">IFERROR(VLOOKUP(B859, SORT('Nhật ký nộp hồ sơ '!B:D, 'Nhật ký nộp hồ sơ '!A:A, FALSE), 3, FALSE),"")</f>
        <v>Nộp thành công - Chờ kết quả</v>
      </c>
      <c r="L859" s="37" t="str">
        <f t="shared" si="1"/>
        <v>Đã nộp</v>
      </c>
      <c r="M859" s="15" t="s">
        <v>82</v>
      </c>
      <c r="N859" s="38">
        <f>IFERROR(__xludf.DUMMYFUNCTION("""COMPUTED_VALUE"""),46188.0)</f>
        <v>46188</v>
      </c>
      <c r="O859" s="38">
        <v>46191.0</v>
      </c>
      <c r="P859" s="38">
        <f>IFERROR(__xludf.DUMMYFUNCTION("IFERROR(QUERY('Nhật ký nộp hồ sơ '!A:I, ""SELECT I WHERE B = '""&amp;B859&amp;""' ORDER BY A DESC LIMIT 1"", 0))"),46189.0)</f>
        <v>46189</v>
      </c>
      <c r="Q859" s="38" t="str">
        <f t="shared" si="2"/>
        <v/>
      </c>
      <c r="R859" s="37">
        <v>0.0</v>
      </c>
      <c r="S859" s="15"/>
      <c r="T859" s="15"/>
      <c r="U859" s="36"/>
      <c r="V859" s="36"/>
      <c r="W859" s="37"/>
      <c r="X859" s="37"/>
    </row>
    <row r="860" ht="22.5" customHeight="1">
      <c r="A860" s="35">
        <v>46188.75082422454</v>
      </c>
      <c r="B860" s="12" t="s">
        <v>1951</v>
      </c>
      <c r="C860" s="15" t="s">
        <v>1952</v>
      </c>
      <c r="D860" s="36"/>
      <c r="E860" s="15" t="s">
        <v>74</v>
      </c>
      <c r="F860" s="15" t="s">
        <v>133</v>
      </c>
      <c r="G860" s="15"/>
      <c r="H860" s="15" t="s">
        <v>29</v>
      </c>
      <c r="I860" s="15" t="s">
        <v>659</v>
      </c>
      <c r="J860" s="41"/>
      <c r="K860" s="37" t="str">
        <f t="array" ref="K860">IFERROR(VLOOKUP(B860, SORT('Nhật ký nộp hồ sơ '!B:D, 'Nhật ký nộp hồ sơ '!A:A, FALSE), 3, FALSE),"")</f>
        <v>Hoàn thành</v>
      </c>
      <c r="L860" s="37" t="str">
        <f t="shared" si="1"/>
        <v>Hoàn thành</v>
      </c>
      <c r="M860" s="15" t="s">
        <v>216</v>
      </c>
      <c r="N860" s="38">
        <f>IFERROR(__xludf.DUMMYFUNCTION("""COMPUTED_VALUE"""),46188.0)</f>
        <v>46188</v>
      </c>
      <c r="O860" s="38">
        <v>46191.0</v>
      </c>
      <c r="P860" s="38">
        <f>IFERROR(__xludf.DUMMYFUNCTION("IFERROR(QUERY('Nhật ký nộp hồ sơ '!A:I, ""SELECT I WHERE B = '""&amp;B860&amp;""' ORDER BY A DESC LIMIT 1"", 0))"),46189.0)</f>
        <v>46189</v>
      </c>
      <c r="Q860" s="38">
        <f t="shared" si="2"/>
        <v>46189</v>
      </c>
      <c r="R860" s="37">
        <v>0.0</v>
      </c>
      <c r="S860" s="15"/>
      <c r="T860" s="15"/>
      <c r="U860" s="36"/>
      <c r="V860" s="36"/>
      <c r="W860" s="37">
        <v>4.0</v>
      </c>
      <c r="X860" s="37" t="s">
        <v>687</v>
      </c>
    </row>
    <row r="861" ht="22.5" customHeight="1">
      <c r="A861" s="35">
        <v>46188.75153497685</v>
      </c>
      <c r="B861" s="12" t="s">
        <v>1953</v>
      </c>
      <c r="C861" s="15" t="s">
        <v>810</v>
      </c>
      <c r="D861" s="36"/>
      <c r="E861" s="15" t="s">
        <v>26</v>
      </c>
      <c r="F861" s="15" t="s">
        <v>133</v>
      </c>
      <c r="G861" s="15"/>
      <c r="H861" s="15" t="s">
        <v>29</v>
      </c>
      <c r="I861" s="15" t="s">
        <v>659</v>
      </c>
      <c r="J861" s="41"/>
      <c r="K861" s="37" t="str">
        <f t="array" ref="K861">IFERROR(VLOOKUP(B861, SORT('Nhật ký nộp hồ sơ '!B:D, 'Nhật ký nộp hồ sơ '!A:A, FALSE), 3, FALSE),"")</f>
        <v>Hoàn thành</v>
      </c>
      <c r="L861" s="37" t="str">
        <f t="shared" si="1"/>
        <v>Hoàn thành</v>
      </c>
      <c r="M861" s="15" t="s">
        <v>216</v>
      </c>
      <c r="N861" s="38">
        <f>IFERROR(__xludf.DUMMYFUNCTION("""COMPUTED_VALUE"""),46188.0)</f>
        <v>46188</v>
      </c>
      <c r="O861" s="38">
        <v>46191.0</v>
      </c>
      <c r="P861" s="38">
        <f>IFERROR(__xludf.DUMMYFUNCTION("IFERROR(QUERY('Nhật ký nộp hồ sơ '!A:I, ""SELECT I WHERE B = '""&amp;B861&amp;""' ORDER BY A DESC LIMIT 1"", 0))"),46189.0)</f>
        <v>46189</v>
      </c>
      <c r="Q861" s="38">
        <f t="shared" si="2"/>
        <v>46189</v>
      </c>
      <c r="R861" s="37">
        <v>1.0</v>
      </c>
      <c r="S861" s="15"/>
      <c r="T861" s="15"/>
      <c r="U861" s="36"/>
      <c r="V861" s="36"/>
      <c r="W861" s="37">
        <v>8.0</v>
      </c>
      <c r="X861" s="37" t="s">
        <v>1188</v>
      </c>
    </row>
    <row r="862" ht="22.5" customHeight="1">
      <c r="A862" s="35">
        <v>46188.75212329861</v>
      </c>
      <c r="B862" s="12" t="s">
        <v>1954</v>
      </c>
      <c r="C862" s="15" t="s">
        <v>1648</v>
      </c>
      <c r="D862" s="36"/>
      <c r="E862" s="15" t="s">
        <v>151</v>
      </c>
      <c r="F862" s="15" t="s">
        <v>133</v>
      </c>
      <c r="G862" s="15"/>
      <c r="H862" s="15" t="s">
        <v>29</v>
      </c>
      <c r="I862" s="15" t="s">
        <v>659</v>
      </c>
      <c r="J862" s="41"/>
      <c r="K862" s="37" t="str">
        <f t="array" ref="K862">IFERROR(VLOOKUP(B862, SORT('Nhật ký nộp hồ sơ '!B:D, 'Nhật ký nộp hồ sơ '!A:A, FALSE), 3, FALSE),"")</f>
        <v>Hoàn thành</v>
      </c>
      <c r="L862" s="37" t="str">
        <f t="shared" si="1"/>
        <v>Hoàn thành</v>
      </c>
      <c r="M862" s="15" t="s">
        <v>216</v>
      </c>
      <c r="N862" s="38">
        <f>IFERROR(__xludf.DUMMYFUNCTION("""COMPUTED_VALUE"""),46188.0)</f>
        <v>46188</v>
      </c>
      <c r="O862" s="38">
        <v>46191.0</v>
      </c>
      <c r="P862" s="38">
        <f>IFERROR(__xludf.DUMMYFUNCTION("IFERROR(QUERY('Nhật ký nộp hồ sơ '!A:I, ""SELECT I WHERE B = '""&amp;B862&amp;""' ORDER BY A DESC LIMIT 1"", 0))"),46189.0)</f>
        <v>46189</v>
      </c>
      <c r="Q862" s="38">
        <f t="shared" si="2"/>
        <v>46189</v>
      </c>
      <c r="R862" s="37">
        <v>1.0</v>
      </c>
      <c r="S862" s="15"/>
      <c r="T862" s="15"/>
      <c r="U862" s="36"/>
      <c r="V862" s="36"/>
      <c r="W862" s="37">
        <v>3.0</v>
      </c>
      <c r="X862" s="37" t="s">
        <v>687</v>
      </c>
    </row>
    <row r="863" ht="22.5" customHeight="1">
      <c r="A863" s="35">
        <v>46188.75380847222</v>
      </c>
      <c r="B863" s="12" t="s">
        <v>1955</v>
      </c>
      <c r="C863" s="15" t="s">
        <v>1956</v>
      </c>
      <c r="D863" s="36"/>
      <c r="E863" s="15" t="s">
        <v>231</v>
      </c>
      <c r="F863" s="15" t="s">
        <v>481</v>
      </c>
      <c r="G863" s="15"/>
      <c r="H863" s="15" t="s">
        <v>29</v>
      </c>
      <c r="I863" s="15" t="s">
        <v>659</v>
      </c>
      <c r="J863" s="41"/>
      <c r="K863" s="37" t="str">
        <f t="array" ref="K863">IFERROR(VLOOKUP(B863, SORT('Nhật ký nộp hồ sơ '!B:D, 'Nhật ký nộp hồ sơ '!A:A, FALSE), 3, FALSE),"")</f>
        <v>Hoàn thành</v>
      </c>
      <c r="L863" s="37" t="str">
        <f t="shared" si="1"/>
        <v>Hoàn thành</v>
      </c>
      <c r="M863" s="15" t="s">
        <v>216</v>
      </c>
      <c r="N863" s="38">
        <f>IFERROR(__xludf.DUMMYFUNCTION("""COMPUTED_VALUE"""),46188.0)</f>
        <v>46188</v>
      </c>
      <c r="O863" s="38">
        <v>46191.0</v>
      </c>
      <c r="P863" s="38">
        <f>IFERROR(__xludf.DUMMYFUNCTION("IFERROR(QUERY('Nhật ký nộp hồ sơ '!A:I, ""SELECT I WHERE B = '""&amp;B863&amp;""' ORDER BY A DESC LIMIT 1"", 0))"),46189.0)</f>
        <v>46189</v>
      </c>
      <c r="Q863" s="38">
        <f t="shared" si="2"/>
        <v>46189</v>
      </c>
      <c r="R863" s="37">
        <v>1.0</v>
      </c>
      <c r="S863" s="15" t="s">
        <v>1957</v>
      </c>
      <c r="T863" s="15"/>
      <c r="U863" s="36"/>
      <c r="V863" s="36"/>
      <c r="W863" s="37">
        <v>4.0</v>
      </c>
      <c r="X863" s="37" t="s">
        <v>687</v>
      </c>
    </row>
    <row r="864" ht="22.5" customHeight="1">
      <c r="A864" s="35">
        <v>46188.755579375</v>
      </c>
      <c r="B864" s="12" t="s">
        <v>1958</v>
      </c>
      <c r="C864" s="15" t="s">
        <v>1959</v>
      </c>
      <c r="D864" s="36"/>
      <c r="E864" s="15" t="s">
        <v>53</v>
      </c>
      <c r="F864" s="15" t="s">
        <v>133</v>
      </c>
      <c r="G864" s="15"/>
      <c r="H864" s="15" t="s">
        <v>29</v>
      </c>
      <c r="I864" s="15" t="s">
        <v>659</v>
      </c>
      <c r="J864" s="41"/>
      <c r="K864" s="37" t="str">
        <f t="array" ref="K864">IFERROR(VLOOKUP(B864, SORT('Nhật ký nộp hồ sơ '!B:D, 'Nhật ký nộp hồ sơ '!A:A, FALSE), 3, FALSE),"")</f>
        <v>Nộp thành công - Chờ kết quả</v>
      </c>
      <c r="L864" s="37" t="str">
        <f t="shared" si="1"/>
        <v>Đã nộp</v>
      </c>
      <c r="M864" s="15" t="s">
        <v>56</v>
      </c>
      <c r="N864" s="38">
        <f>IFERROR(__xludf.DUMMYFUNCTION("""COMPUTED_VALUE"""),46188.0)</f>
        <v>46188</v>
      </c>
      <c r="O864" s="38">
        <v>46191.0</v>
      </c>
      <c r="P864" s="38">
        <f>IFERROR(__xludf.DUMMYFUNCTION("IFERROR(QUERY('Nhật ký nộp hồ sơ '!A:I, ""SELECT I WHERE B = '""&amp;B864&amp;""' ORDER BY A DESC LIMIT 1"", 0))"),46191.0)</f>
        <v>46191</v>
      </c>
      <c r="Q864" s="38" t="str">
        <f t="shared" si="2"/>
        <v/>
      </c>
      <c r="R864" s="37">
        <v>1.0</v>
      </c>
      <c r="S864" s="15"/>
      <c r="T864" s="15"/>
      <c r="U864" s="36"/>
      <c r="V864" s="36"/>
      <c r="W864" s="37"/>
      <c r="X864" s="37"/>
    </row>
    <row r="865" ht="22.5" customHeight="1">
      <c r="A865" s="35">
        <v>46189.44845087963</v>
      </c>
      <c r="B865" s="12" t="s">
        <v>1960</v>
      </c>
      <c r="C865" s="15" t="s">
        <v>1771</v>
      </c>
      <c r="D865" s="36"/>
      <c r="E865" s="15" t="s">
        <v>45</v>
      </c>
      <c r="F865" s="15" t="s">
        <v>133</v>
      </c>
      <c r="G865" s="40" t="s">
        <v>1772</v>
      </c>
      <c r="H865" s="15" t="s">
        <v>69</v>
      </c>
      <c r="I865" s="15" t="s">
        <v>81</v>
      </c>
      <c r="J865" s="41"/>
      <c r="K865" s="37" t="str">
        <f t="array" ref="K865">IFERROR(VLOOKUP(B865, SORT('Nhật ký nộp hồ sơ '!B:D, 'Nhật ký nộp hồ sơ '!A:A, FALSE), 3, FALSE),"")</f>
        <v>Hoàn thành</v>
      </c>
      <c r="L865" s="37" t="str">
        <f t="shared" si="1"/>
        <v>Hoàn thành</v>
      </c>
      <c r="M865" s="15" t="s">
        <v>135</v>
      </c>
      <c r="N865" s="38">
        <f>IFERROR(__xludf.DUMMYFUNCTION("""COMPUTED_VALUE"""),46189.0)</f>
        <v>46189</v>
      </c>
      <c r="O865" s="38">
        <v>46192.0</v>
      </c>
      <c r="P865" s="38">
        <f>IFERROR(__xludf.DUMMYFUNCTION("IFERROR(QUERY('Nhật ký nộp hồ sơ '!A:I, ""SELECT I WHERE B = '""&amp;B865&amp;""' ORDER BY A DESC LIMIT 1"", 0))"),46189.0)</f>
        <v>46189</v>
      </c>
      <c r="Q865" s="38">
        <f t="shared" si="2"/>
        <v>46189</v>
      </c>
      <c r="R865" s="37">
        <v>1.0</v>
      </c>
      <c r="S865" s="15" t="s">
        <v>1961</v>
      </c>
      <c r="T865" s="15"/>
      <c r="U865" s="36"/>
      <c r="V865" s="36"/>
      <c r="W865" s="37"/>
      <c r="X865" s="37"/>
    </row>
    <row r="866" ht="22.5" customHeight="1">
      <c r="A866" s="35">
        <v>46189.44911011574</v>
      </c>
      <c r="B866" s="12" t="s">
        <v>1962</v>
      </c>
      <c r="C866" s="15" t="s">
        <v>1771</v>
      </c>
      <c r="D866" s="36"/>
      <c r="E866" s="15" t="s">
        <v>45</v>
      </c>
      <c r="F866" s="15" t="s">
        <v>133</v>
      </c>
      <c r="G866" s="40" t="s">
        <v>1772</v>
      </c>
      <c r="H866" s="15" t="s">
        <v>69</v>
      </c>
      <c r="I866" s="15" t="s">
        <v>81</v>
      </c>
      <c r="J866" s="41"/>
      <c r="K866" s="37" t="str">
        <f t="array" ref="K866">IFERROR(VLOOKUP(B866, SORT('Nhật ký nộp hồ sơ '!B:D, 'Nhật ký nộp hồ sơ '!A:A, FALSE), 3, FALSE),"")</f>
        <v>Hoàn thành</v>
      </c>
      <c r="L866" s="37" t="str">
        <f t="shared" si="1"/>
        <v>Hoàn thành</v>
      </c>
      <c r="M866" s="15" t="s">
        <v>135</v>
      </c>
      <c r="N866" s="38">
        <f>IFERROR(__xludf.DUMMYFUNCTION("""COMPUTED_VALUE"""),46189.0)</f>
        <v>46189</v>
      </c>
      <c r="O866" s="38">
        <v>46192.0</v>
      </c>
      <c r="P866" s="38">
        <f>IFERROR(__xludf.DUMMYFUNCTION("IFERROR(QUERY('Nhật ký nộp hồ sơ '!A:I, ""SELECT I WHERE B = '""&amp;B866&amp;""' ORDER BY A DESC LIMIT 1"", 0))"),46189.0)</f>
        <v>46189</v>
      </c>
      <c r="Q866" s="38">
        <f t="shared" si="2"/>
        <v>46189</v>
      </c>
      <c r="R866" s="37">
        <v>1.0</v>
      </c>
      <c r="S866" s="15" t="s">
        <v>1961</v>
      </c>
      <c r="T866" s="15"/>
      <c r="U866" s="36"/>
      <c r="V866" s="36"/>
      <c r="W866" s="37"/>
      <c r="X866" s="37"/>
    </row>
    <row r="867" ht="22.5" customHeight="1">
      <c r="A867" s="35">
        <v>46189.47977679398</v>
      </c>
      <c r="B867" s="12" t="s">
        <v>1963</v>
      </c>
      <c r="C867" s="15" t="s">
        <v>1964</v>
      </c>
      <c r="D867" s="36"/>
      <c r="E867" s="15" t="s">
        <v>26</v>
      </c>
      <c r="F867" s="15" t="s">
        <v>133</v>
      </c>
      <c r="G867" s="15"/>
      <c r="H867" s="15" t="s">
        <v>28</v>
      </c>
      <c r="I867" s="15" t="s">
        <v>81</v>
      </c>
      <c r="J867" s="41"/>
      <c r="K867" s="37" t="str">
        <f t="array" ref="K867">IFERROR(VLOOKUP(B867, SORT('Nhật ký nộp hồ sơ '!B:D, 'Nhật ký nộp hồ sơ '!A:A, FALSE), 3, FALSE),"")</f>
        <v>Hoàn thành</v>
      </c>
      <c r="L867" s="37" t="str">
        <f t="shared" si="1"/>
        <v>Hoàn thành</v>
      </c>
      <c r="M867" s="15" t="s">
        <v>146</v>
      </c>
      <c r="N867" s="38">
        <f>IFERROR(__xludf.DUMMYFUNCTION("""COMPUTED_VALUE"""),46189.0)</f>
        <v>46189</v>
      </c>
      <c r="O867" s="38">
        <v>46192.0</v>
      </c>
      <c r="P867" s="38">
        <f>IFERROR(__xludf.DUMMYFUNCTION("IFERROR(QUERY('Nhật ký nộp hồ sơ '!A:I, ""SELECT I WHERE B = '""&amp;B867&amp;""' ORDER BY A DESC LIMIT 1"", 0))"),46189.0)</f>
        <v>46189</v>
      </c>
      <c r="Q867" s="38">
        <f t="shared" si="2"/>
        <v>46189</v>
      </c>
      <c r="R867" s="37">
        <v>1.0</v>
      </c>
      <c r="S867" s="15" t="s">
        <v>1965</v>
      </c>
      <c r="T867" s="15"/>
      <c r="U867" s="36"/>
      <c r="V867" s="36"/>
      <c r="W867" s="37"/>
      <c r="X867" s="37"/>
    </row>
    <row r="868" ht="22.5" customHeight="1">
      <c r="A868" s="35">
        <v>46189.48131451389</v>
      </c>
      <c r="B868" s="12" t="s">
        <v>1966</v>
      </c>
      <c r="C868" s="15" t="s">
        <v>1956</v>
      </c>
      <c r="D868" s="36"/>
      <c r="E868" s="15" t="s">
        <v>231</v>
      </c>
      <c r="F868" s="15" t="s">
        <v>133</v>
      </c>
      <c r="G868" s="15"/>
      <c r="H868" s="15" t="s">
        <v>28</v>
      </c>
      <c r="I868" s="15" t="s">
        <v>81</v>
      </c>
      <c r="J868" s="41"/>
      <c r="K868" s="37" t="str">
        <f t="array" ref="K868">IFERROR(VLOOKUP(B868, SORT('Nhật ký nộp hồ sơ '!B:D, 'Nhật ký nộp hồ sơ '!A:A, FALSE), 3, FALSE),"")</f>
        <v>Hoàn thành</v>
      </c>
      <c r="L868" s="37" t="str">
        <f t="shared" si="1"/>
        <v>Hoàn thành</v>
      </c>
      <c r="M868" s="15" t="s">
        <v>146</v>
      </c>
      <c r="N868" s="38">
        <f>IFERROR(__xludf.DUMMYFUNCTION("""COMPUTED_VALUE"""),46189.0)</f>
        <v>46189</v>
      </c>
      <c r="O868" s="38">
        <v>46192.0</v>
      </c>
      <c r="P868" s="38">
        <f>IFERROR(__xludf.DUMMYFUNCTION("IFERROR(QUERY('Nhật ký nộp hồ sơ '!A:I, ""SELECT I WHERE B = '""&amp;B868&amp;""' ORDER BY A DESC LIMIT 1"", 0))"),46189.0)</f>
        <v>46189</v>
      </c>
      <c r="Q868" s="38">
        <f t="shared" si="2"/>
        <v>46189</v>
      </c>
      <c r="R868" s="37">
        <v>1.0</v>
      </c>
      <c r="S868" s="15" t="s">
        <v>1967</v>
      </c>
      <c r="T868" s="15"/>
      <c r="U868" s="36"/>
      <c r="V868" s="36"/>
      <c r="W868" s="37"/>
      <c r="X868" s="37"/>
    </row>
    <row r="869" ht="22.5" customHeight="1">
      <c r="A869" s="35">
        <v>46189.68606092593</v>
      </c>
      <c r="B869" s="12" t="s">
        <v>1968</v>
      </c>
      <c r="C869" s="15" t="s">
        <v>719</v>
      </c>
      <c r="D869" s="36"/>
      <c r="E869" s="15" t="s">
        <v>45</v>
      </c>
      <c r="F869" s="15" t="s">
        <v>133</v>
      </c>
      <c r="G869" s="15"/>
      <c r="H869" s="15" t="s">
        <v>28</v>
      </c>
      <c r="I869" s="15" t="s">
        <v>659</v>
      </c>
      <c r="J869" s="41"/>
      <c r="K869" s="37" t="str">
        <f t="array" ref="K869">IFERROR(VLOOKUP(B869, SORT('Nhật ký nộp hồ sơ '!B:D, 'Nhật ký nộp hồ sơ '!A:A, FALSE), 3, FALSE),"")</f>
        <v>Hoàn thành</v>
      </c>
      <c r="L869" s="37" t="str">
        <f t="shared" si="1"/>
        <v>Hoàn thành</v>
      </c>
      <c r="M869" s="15" t="s">
        <v>216</v>
      </c>
      <c r="N869" s="38">
        <f>IFERROR(__xludf.DUMMYFUNCTION("""COMPUTED_VALUE"""),46189.0)</f>
        <v>46189</v>
      </c>
      <c r="O869" s="38">
        <v>46192.0</v>
      </c>
      <c r="P869" s="38">
        <f>IFERROR(__xludf.DUMMYFUNCTION("IFERROR(QUERY('Nhật ký nộp hồ sơ '!A:I, ""SELECT I WHERE B = '""&amp;B869&amp;""' ORDER BY A DESC LIMIT 1"", 0))"),46190.0)</f>
        <v>46190</v>
      </c>
      <c r="Q869" s="38">
        <f t="shared" si="2"/>
        <v>46190</v>
      </c>
      <c r="R869" s="37">
        <v>1.0</v>
      </c>
      <c r="S869" s="15"/>
      <c r="T869" s="15"/>
      <c r="U869" s="36"/>
      <c r="V869" s="36"/>
      <c r="W869" s="37"/>
      <c r="X869" s="37" t="s">
        <v>1188</v>
      </c>
    </row>
    <row r="870" ht="22.5" customHeight="1">
      <c r="A870" s="35">
        <v>46189.68710009259</v>
      </c>
      <c r="B870" s="12" t="s">
        <v>1969</v>
      </c>
      <c r="C870" s="15" t="s">
        <v>1970</v>
      </c>
      <c r="D870" s="36"/>
      <c r="E870" s="15" t="s">
        <v>26</v>
      </c>
      <c r="F870" s="15" t="s">
        <v>133</v>
      </c>
      <c r="G870" s="15"/>
      <c r="H870" s="15" t="s">
        <v>28</v>
      </c>
      <c r="I870" s="15" t="s">
        <v>659</v>
      </c>
      <c r="J870" s="41"/>
      <c r="K870" s="37" t="str">
        <f t="array" ref="K870">IFERROR(VLOOKUP(B870, SORT('Nhật ký nộp hồ sơ '!B:D, 'Nhật ký nộp hồ sơ '!A:A, FALSE), 3, FALSE),"")</f>
        <v>Hoàn thành</v>
      </c>
      <c r="L870" s="37" t="str">
        <f t="shared" si="1"/>
        <v>Hoàn thành</v>
      </c>
      <c r="M870" s="15" t="s">
        <v>216</v>
      </c>
      <c r="N870" s="38">
        <f>IFERROR(__xludf.DUMMYFUNCTION("""COMPUTED_VALUE"""),46189.0)</f>
        <v>46189</v>
      </c>
      <c r="O870" s="38">
        <v>46192.0</v>
      </c>
      <c r="P870" s="38">
        <f>IFERROR(__xludf.DUMMYFUNCTION("IFERROR(QUERY('Nhật ký nộp hồ sơ '!A:I, ""SELECT I WHERE B = '""&amp;B870&amp;""' ORDER BY A DESC LIMIT 1"", 0))"),46190.0)</f>
        <v>46190</v>
      </c>
      <c r="Q870" s="38">
        <f t="shared" si="2"/>
        <v>46190</v>
      </c>
      <c r="R870" s="37">
        <v>1.0</v>
      </c>
      <c r="S870" s="15"/>
      <c r="T870" s="15"/>
      <c r="U870" s="36"/>
      <c r="V870" s="36"/>
      <c r="W870" s="37">
        <v>3.0</v>
      </c>
      <c r="X870" s="37" t="s">
        <v>687</v>
      </c>
    </row>
    <row r="871" ht="22.5" customHeight="1">
      <c r="A871" s="35">
        <v>46189.70584451389</v>
      </c>
      <c r="B871" s="12" t="s">
        <v>1971</v>
      </c>
      <c r="C871" s="15" t="s">
        <v>1972</v>
      </c>
      <c r="D871" s="36"/>
      <c r="E871" s="15" t="s">
        <v>26</v>
      </c>
      <c r="F871" s="15" t="s">
        <v>133</v>
      </c>
      <c r="G871" s="15"/>
      <c r="H871" s="15" t="s">
        <v>659</v>
      </c>
      <c r="I871" s="15" t="s">
        <v>81</v>
      </c>
      <c r="J871" s="41"/>
      <c r="K871" s="37" t="str">
        <f t="array" ref="K871">IFERROR(VLOOKUP(B871, SORT('Nhật ký nộp hồ sơ '!B:D, 'Nhật ký nộp hồ sơ '!A:A, FALSE), 3, FALSE),"")</f>
        <v>Nộp thành công - Chờ kết quả</v>
      </c>
      <c r="L871" s="37" t="str">
        <f t="shared" si="1"/>
        <v>Đã nộp</v>
      </c>
      <c r="M871" s="15" t="s">
        <v>82</v>
      </c>
      <c r="N871" s="38">
        <f>IFERROR(__xludf.DUMMYFUNCTION("""COMPUTED_VALUE"""),46189.0)</f>
        <v>46189</v>
      </c>
      <c r="O871" s="38">
        <v>46192.0</v>
      </c>
      <c r="P871" s="38">
        <f>IFERROR(__xludf.DUMMYFUNCTION("IFERROR(QUERY('Nhật ký nộp hồ sơ '!A:I, ""SELECT I WHERE B = '""&amp;B871&amp;""' ORDER BY A DESC LIMIT 1"", 0))"),46190.0)</f>
        <v>46190</v>
      </c>
      <c r="Q871" s="38" t="str">
        <f t="shared" si="2"/>
        <v/>
      </c>
      <c r="R871" s="37">
        <v>0.0</v>
      </c>
      <c r="S871" s="15"/>
      <c r="T871" s="15"/>
      <c r="U871" s="36"/>
      <c r="V871" s="36"/>
      <c r="W871" s="37"/>
      <c r="X871" s="37"/>
    </row>
    <row r="872" ht="22.5" customHeight="1">
      <c r="A872" s="35">
        <v>46189.718004305556</v>
      </c>
      <c r="B872" s="12" t="s">
        <v>1973</v>
      </c>
      <c r="C872" s="15" t="s">
        <v>1974</v>
      </c>
      <c r="D872" s="36"/>
      <c r="E872" s="15" t="s">
        <v>222</v>
      </c>
      <c r="F872" s="15" t="s">
        <v>133</v>
      </c>
      <c r="G872" s="40" t="s">
        <v>1975</v>
      </c>
      <c r="H872" s="15" t="s">
        <v>47</v>
      </c>
      <c r="I872" s="15" t="s">
        <v>659</v>
      </c>
      <c r="J872" s="39" t="s">
        <v>202</v>
      </c>
      <c r="K872" s="37" t="str">
        <f t="array" ref="K872">IFERROR(VLOOKUP(B872, SORT('Nhật ký nộp hồ sơ '!B:D, 'Nhật ký nộp hồ sơ '!A:A, FALSE), 3, FALSE),"")</f>
        <v>Hoàn thành</v>
      </c>
      <c r="L872" s="37" t="str">
        <f t="shared" si="1"/>
        <v>Hoàn thành</v>
      </c>
      <c r="M872" s="15" t="s">
        <v>48</v>
      </c>
      <c r="N872" s="38">
        <f>IFERROR(__xludf.DUMMYFUNCTION("""COMPUTED_VALUE"""),46189.0)</f>
        <v>46189</v>
      </c>
      <c r="O872" s="38">
        <v>46190.0</v>
      </c>
      <c r="P872" s="38">
        <f>IFERROR(__xludf.DUMMYFUNCTION("IFERROR(QUERY('Nhật ký nộp hồ sơ '!A:I, ""SELECT I WHERE B = '""&amp;B872&amp;""' ORDER BY A DESC LIMIT 1"", 0))"),46190.0)</f>
        <v>46190</v>
      </c>
      <c r="Q872" s="38">
        <f t="shared" si="2"/>
        <v>46190</v>
      </c>
      <c r="R872" s="37" t="s">
        <v>1976</v>
      </c>
      <c r="S872" s="15"/>
      <c r="T872" s="15"/>
      <c r="U872" s="36"/>
      <c r="V872" s="36"/>
      <c r="W872" s="37"/>
      <c r="X872" s="37"/>
    </row>
    <row r="873" ht="22.5" customHeight="1">
      <c r="A873" s="35">
        <v>46189.75430763889</v>
      </c>
      <c r="B873" s="12" t="s">
        <v>1977</v>
      </c>
      <c r="C873" s="15" t="s">
        <v>1978</v>
      </c>
      <c r="D873" s="36"/>
      <c r="E873" s="15" t="s">
        <v>74</v>
      </c>
      <c r="F873" s="15" t="s">
        <v>89</v>
      </c>
      <c r="G873" s="15"/>
      <c r="H873" s="15" t="s">
        <v>47</v>
      </c>
      <c r="I873" s="15" t="s">
        <v>659</v>
      </c>
      <c r="J873" s="41"/>
      <c r="K873" s="37" t="str">
        <f t="array" ref="K873">IFERROR(VLOOKUP(B873, SORT('Nhật ký nộp hồ sơ '!B:D, 'Nhật ký nộp hồ sơ '!A:A, FALSE), 3, FALSE),"")</f>
        <v/>
      </c>
      <c r="L873" s="37" t="str">
        <f t="shared" si="1"/>
        <v>QUÁ HẠN</v>
      </c>
      <c r="M873" s="15" t="s">
        <v>56</v>
      </c>
      <c r="N873" s="38">
        <f>IFERROR(__xludf.DUMMYFUNCTION("""COMPUTED_VALUE"""),46189.0)</f>
        <v>46189</v>
      </c>
      <c r="O873" s="38">
        <v>46192.0</v>
      </c>
      <c r="P873" s="38" t="str">
        <f>IFERROR(__xludf.DUMMYFUNCTION("IFERROR(QUERY('Nhật ký nộp hồ sơ '!A:I, ""SELECT I WHERE B = '""&amp;B873&amp;""' ORDER BY A DESC LIMIT 1"", 0))"),"")</f>
        <v/>
      </c>
      <c r="Q873" s="38" t="str">
        <f t="shared" si="2"/>
        <v/>
      </c>
      <c r="R873" s="37" t="s">
        <v>1976</v>
      </c>
      <c r="S873" s="15" t="s">
        <v>1979</v>
      </c>
      <c r="T873" s="15"/>
      <c r="U873" s="36"/>
      <c r="V873" s="36"/>
      <c r="W873" s="37"/>
      <c r="X873" s="37"/>
    </row>
    <row r="874" ht="22.5" customHeight="1">
      <c r="A874" s="35">
        <v>46189.75485834491</v>
      </c>
      <c r="B874" s="12" t="s">
        <v>1980</v>
      </c>
      <c r="C874" s="15" t="s">
        <v>1981</v>
      </c>
      <c r="D874" s="36"/>
      <c r="E874" s="15" t="s">
        <v>74</v>
      </c>
      <c r="F874" s="15" t="s">
        <v>89</v>
      </c>
      <c r="G874" s="15"/>
      <c r="H874" s="15" t="s">
        <v>47</v>
      </c>
      <c r="I874" s="15" t="s">
        <v>659</v>
      </c>
      <c r="J874" s="41"/>
      <c r="K874" s="37" t="str">
        <f t="array" ref="K874">IFERROR(VLOOKUP(B874, SORT('Nhật ký nộp hồ sơ '!B:D, 'Nhật ký nộp hồ sơ '!A:A, FALSE), 3, FALSE),"")</f>
        <v/>
      </c>
      <c r="L874" s="37" t="str">
        <f t="shared" si="1"/>
        <v>QUÁ HẠN</v>
      </c>
      <c r="M874" s="15" t="s">
        <v>56</v>
      </c>
      <c r="N874" s="38">
        <f>IFERROR(__xludf.DUMMYFUNCTION("""COMPUTED_VALUE"""),46189.0)</f>
        <v>46189</v>
      </c>
      <c r="O874" s="38">
        <v>46192.0</v>
      </c>
      <c r="P874" s="38" t="str">
        <f>IFERROR(__xludf.DUMMYFUNCTION("IFERROR(QUERY('Nhật ký nộp hồ sơ '!A:I, ""SELECT I WHERE B = '""&amp;B874&amp;""' ORDER BY A DESC LIMIT 1"", 0))"),"")</f>
        <v/>
      </c>
      <c r="Q874" s="38" t="str">
        <f t="shared" si="2"/>
        <v/>
      </c>
      <c r="R874" s="37" t="s">
        <v>1976</v>
      </c>
      <c r="S874" s="15" t="s">
        <v>1979</v>
      </c>
      <c r="T874" s="15"/>
      <c r="U874" s="36"/>
      <c r="V874" s="36"/>
      <c r="W874" s="37"/>
      <c r="X874" s="37"/>
    </row>
    <row r="875" ht="22.5" customHeight="1">
      <c r="A875" s="35">
        <v>46190.480678391206</v>
      </c>
      <c r="B875" s="12" t="s">
        <v>1982</v>
      </c>
      <c r="C875" s="15" t="s">
        <v>1983</v>
      </c>
      <c r="D875" s="36"/>
      <c r="E875" s="15" t="s">
        <v>151</v>
      </c>
      <c r="F875" s="15" t="s">
        <v>481</v>
      </c>
      <c r="G875" s="15"/>
      <c r="H875" s="15" t="s">
        <v>47</v>
      </c>
      <c r="I875" s="15" t="s">
        <v>100</v>
      </c>
      <c r="J875" s="41"/>
      <c r="K875" s="37" t="str">
        <f t="array" ref="K875">IFERROR(VLOOKUP(B875, SORT('Nhật ký nộp hồ sơ '!B:D, 'Nhật ký nộp hồ sơ '!A:A, FALSE), 3, FALSE),"")</f>
        <v>Nộp thành công - Chờ kết quả</v>
      </c>
      <c r="L875" s="37" t="str">
        <f t="shared" si="1"/>
        <v>Đã nộp</v>
      </c>
      <c r="M875" s="15" t="s">
        <v>56</v>
      </c>
      <c r="N875" s="38">
        <f>IFERROR(__xludf.DUMMYFUNCTION("""COMPUTED_VALUE"""),46190.0)</f>
        <v>46190</v>
      </c>
      <c r="O875" s="38">
        <v>46193.0</v>
      </c>
      <c r="P875" s="38">
        <f>IFERROR(__xludf.DUMMYFUNCTION("IFERROR(QUERY('Nhật ký nộp hồ sơ '!A:I, ""SELECT I WHERE B = '""&amp;B875&amp;""' ORDER BY A DESC LIMIT 1"", 0))"),46191.0)</f>
        <v>46191</v>
      </c>
      <c r="Q875" s="38" t="str">
        <f t="shared" si="2"/>
        <v/>
      </c>
      <c r="R875" s="37" t="s">
        <v>1976</v>
      </c>
      <c r="S875" s="15" t="s">
        <v>1984</v>
      </c>
      <c r="T875" s="15"/>
      <c r="U875" s="36"/>
      <c r="V875" s="36"/>
      <c r="W875" s="37"/>
      <c r="X875" s="37"/>
    </row>
    <row r="876" ht="22.5" customHeight="1">
      <c r="A876" s="35">
        <v>46190.67302599537</v>
      </c>
      <c r="B876" s="12" t="s">
        <v>1985</v>
      </c>
      <c r="C876" s="15" t="s">
        <v>1986</v>
      </c>
      <c r="D876" s="36"/>
      <c r="E876" s="15" t="s">
        <v>151</v>
      </c>
      <c r="F876" s="15" t="s">
        <v>481</v>
      </c>
      <c r="G876" s="15"/>
      <c r="H876" s="15" t="s">
        <v>28</v>
      </c>
      <c r="I876" s="15" t="s">
        <v>659</v>
      </c>
      <c r="J876" s="41"/>
      <c r="K876" s="37" t="str">
        <f t="array" ref="K876">IFERROR(VLOOKUP(B876, SORT('Nhật ký nộp hồ sơ '!B:D, 'Nhật ký nộp hồ sơ '!A:A, FALSE), 3, FALSE),"")</f>
        <v>Hoàn thành</v>
      </c>
      <c r="L876" s="37" t="str">
        <f t="shared" si="1"/>
        <v>Hoàn thành</v>
      </c>
      <c r="M876" s="15" t="s">
        <v>216</v>
      </c>
      <c r="N876" s="38">
        <f>IFERROR(__xludf.DUMMYFUNCTION("""COMPUTED_VALUE"""),46190.0)</f>
        <v>46190</v>
      </c>
      <c r="O876" s="38">
        <v>46193.0</v>
      </c>
      <c r="P876" s="38">
        <f>IFERROR(__xludf.DUMMYFUNCTION("IFERROR(QUERY('Nhật ký nộp hồ sơ '!A:I, ""SELECT I WHERE B = '""&amp;B876&amp;""' ORDER BY A DESC LIMIT 1"", 0))"),46191.0)</f>
        <v>46191</v>
      </c>
      <c r="Q876" s="38">
        <f t="shared" si="2"/>
        <v>46191</v>
      </c>
      <c r="R876" s="37" t="s">
        <v>1976</v>
      </c>
      <c r="S876" s="15"/>
      <c r="T876" s="15"/>
      <c r="U876" s="36"/>
      <c r="V876" s="36"/>
      <c r="W876" s="37">
        <v>4.0</v>
      </c>
      <c r="X876" s="37" t="s">
        <v>687</v>
      </c>
    </row>
    <row r="877" ht="22.5" customHeight="1">
      <c r="A877" s="35">
        <v>46190.673484259256</v>
      </c>
      <c r="B877" s="12" t="s">
        <v>1987</v>
      </c>
      <c r="C877" s="15" t="s">
        <v>1988</v>
      </c>
      <c r="D877" s="36"/>
      <c r="E877" s="15" t="s">
        <v>151</v>
      </c>
      <c r="F877" s="15" t="s">
        <v>481</v>
      </c>
      <c r="G877" s="15"/>
      <c r="H877" s="15" t="s">
        <v>28</v>
      </c>
      <c r="I877" s="15" t="s">
        <v>81</v>
      </c>
      <c r="J877" s="41"/>
      <c r="K877" s="37" t="str">
        <f t="array" ref="K877">IFERROR(VLOOKUP(B877, SORT('Nhật ký nộp hồ sơ '!B:D, 'Nhật ký nộp hồ sơ '!A:A, FALSE), 3, FALSE),"")</f>
        <v>Hoàn thành</v>
      </c>
      <c r="L877" s="37" t="str">
        <f t="shared" si="1"/>
        <v>Hoàn thành</v>
      </c>
      <c r="M877" s="15" t="s">
        <v>146</v>
      </c>
      <c r="N877" s="38">
        <f>IFERROR(__xludf.DUMMYFUNCTION("""COMPUTED_VALUE"""),46190.0)</f>
        <v>46190</v>
      </c>
      <c r="O877" s="38">
        <v>46193.0</v>
      </c>
      <c r="P877" s="38">
        <f>IFERROR(__xludf.DUMMYFUNCTION("IFERROR(QUERY('Nhật ký nộp hồ sơ '!A:I, ""SELECT I WHERE B = '""&amp;B877&amp;""' ORDER BY A DESC LIMIT 1"", 0))"),46191.0)</f>
        <v>46191</v>
      </c>
      <c r="Q877" s="38">
        <f t="shared" si="2"/>
        <v>46191</v>
      </c>
      <c r="R877" s="37" t="s">
        <v>1976</v>
      </c>
      <c r="S877" s="15"/>
      <c r="T877" s="15"/>
      <c r="U877" s="36"/>
      <c r="V877" s="36"/>
      <c r="W877" s="37"/>
      <c r="X877" s="37"/>
    </row>
    <row r="878" ht="22.5" customHeight="1">
      <c r="A878" s="35">
        <v>46190.69548270833</v>
      </c>
      <c r="B878" s="12" t="s">
        <v>1989</v>
      </c>
      <c r="C878" s="15" t="s">
        <v>1990</v>
      </c>
      <c r="D878" s="36"/>
      <c r="E878" s="15" t="s">
        <v>45</v>
      </c>
      <c r="F878" s="15" t="s">
        <v>191</v>
      </c>
      <c r="G878" s="15"/>
      <c r="H878" s="15" t="s">
        <v>29</v>
      </c>
      <c r="I878" s="15" t="s">
        <v>659</v>
      </c>
      <c r="J878" s="41"/>
      <c r="K878" s="37" t="str">
        <f t="array" ref="K878">IFERROR(VLOOKUP(B878, SORT('Nhật ký nộp hồ sơ '!B:D, 'Nhật ký nộp hồ sơ '!A:A, FALSE), 3, FALSE),"")</f>
        <v>Hoàn thành</v>
      </c>
      <c r="L878" s="37" t="str">
        <f t="shared" si="1"/>
        <v>Hoàn thành</v>
      </c>
      <c r="M878" s="15" t="s">
        <v>48</v>
      </c>
      <c r="N878" s="38">
        <f>IFERROR(__xludf.DUMMYFUNCTION("""COMPUTED_VALUE"""),46190.0)</f>
        <v>46190</v>
      </c>
      <c r="O878" s="38">
        <v>46193.0</v>
      </c>
      <c r="P878" s="38">
        <f>IFERROR(__xludf.DUMMYFUNCTION("IFERROR(QUERY('Nhật ký nộp hồ sơ '!A:I, ""SELECT I WHERE B = '""&amp;B878&amp;""' ORDER BY A DESC LIMIT 1"", 0))"),46192.0)</f>
        <v>46192</v>
      </c>
      <c r="Q878" s="38">
        <f t="shared" si="2"/>
        <v>46192</v>
      </c>
      <c r="R878" s="37" t="s">
        <v>1976</v>
      </c>
      <c r="S878" s="15" t="s">
        <v>1991</v>
      </c>
      <c r="T878" s="15"/>
      <c r="U878" s="36"/>
      <c r="V878" s="36"/>
      <c r="W878" s="37"/>
      <c r="X878" s="37"/>
    </row>
    <row r="879" ht="22.5" customHeight="1">
      <c r="A879" s="35">
        <v>46191.36604300926</v>
      </c>
      <c r="B879" s="12" t="s">
        <v>1992</v>
      </c>
      <c r="C879" s="15" t="s">
        <v>1993</v>
      </c>
      <c r="D879" s="36"/>
      <c r="E879" s="15" t="s">
        <v>88</v>
      </c>
      <c r="F879" s="15" t="s">
        <v>133</v>
      </c>
      <c r="G879" s="40" t="s">
        <v>1994</v>
      </c>
      <c r="H879" s="15" t="s">
        <v>47</v>
      </c>
      <c r="I879" s="15" t="s">
        <v>100</v>
      </c>
      <c r="J879" s="41"/>
      <c r="K879" s="37" t="str">
        <f t="array" ref="K879">IFERROR(VLOOKUP(B879, SORT('Nhật ký nộp hồ sơ '!B:D, 'Nhật ký nộp hồ sơ '!A:A, FALSE), 3, FALSE),"")</f>
        <v>Hoàn thành</v>
      </c>
      <c r="L879" s="37" t="str">
        <f t="shared" si="1"/>
        <v>Hoàn thành</v>
      </c>
      <c r="M879" s="15" t="s">
        <v>41</v>
      </c>
      <c r="N879" s="38">
        <f>IFERROR(__xludf.DUMMYFUNCTION("""COMPUTED_VALUE"""),46191.0)</f>
        <v>46191</v>
      </c>
      <c r="O879" s="38">
        <v>46194.0</v>
      </c>
      <c r="P879" s="38">
        <f>IFERROR(__xludf.DUMMYFUNCTION("IFERROR(QUERY('Nhật ký nộp hồ sơ '!A:I, ""SELECT I WHERE B = '""&amp;B879&amp;""' ORDER BY A DESC LIMIT 1"", 0))"),46191.0)</f>
        <v>46191</v>
      </c>
      <c r="Q879" s="38">
        <f t="shared" si="2"/>
        <v>46191</v>
      </c>
      <c r="R879" s="37" t="s">
        <v>1976</v>
      </c>
      <c r="S879" s="15" t="s">
        <v>1995</v>
      </c>
      <c r="T879" s="15"/>
      <c r="U879" s="36"/>
      <c r="V879" s="36"/>
      <c r="W879" s="37"/>
      <c r="X879" s="37"/>
    </row>
    <row r="880" ht="22.5" customHeight="1">
      <c r="A880" s="35">
        <v>46191.58414112269</v>
      </c>
      <c r="B880" s="12" t="s">
        <v>1996</v>
      </c>
      <c r="C880" s="15" t="s">
        <v>1997</v>
      </c>
      <c r="D880" s="36"/>
      <c r="E880" s="15" t="s">
        <v>53</v>
      </c>
      <c r="F880" s="15" t="s">
        <v>133</v>
      </c>
      <c r="G880" s="15" t="s">
        <v>1998</v>
      </c>
      <c r="H880" s="15" t="s">
        <v>29</v>
      </c>
      <c r="I880" s="15" t="s">
        <v>659</v>
      </c>
      <c r="J880" s="41"/>
      <c r="K880" s="37" t="str">
        <f t="array" ref="K880">IFERROR(VLOOKUP(B880, SORT('Nhật ký nộp hồ sơ '!B:D, 'Nhật ký nộp hồ sơ '!A:A, FALSE), 3, FALSE),"")</f>
        <v>Hoàn thành</v>
      </c>
      <c r="L880" s="37" t="str">
        <f t="shared" si="1"/>
        <v>Hoàn thành</v>
      </c>
      <c r="M880" s="15" t="s">
        <v>216</v>
      </c>
      <c r="N880" s="38">
        <f>IFERROR(__xludf.DUMMYFUNCTION("""COMPUTED_VALUE"""),46191.0)</f>
        <v>46191</v>
      </c>
      <c r="O880" s="38">
        <v>46194.0</v>
      </c>
      <c r="P880" s="38">
        <f>IFERROR(__xludf.DUMMYFUNCTION("IFERROR(QUERY('Nhật ký nộp hồ sơ '!A:I, ""SELECT I WHERE B = '""&amp;B880&amp;""' ORDER BY A DESC LIMIT 1"", 0))"),46191.0)</f>
        <v>46191</v>
      </c>
      <c r="Q880" s="38">
        <f t="shared" si="2"/>
        <v>46191</v>
      </c>
      <c r="R880" s="37" t="s">
        <v>1976</v>
      </c>
      <c r="S880" s="15"/>
      <c r="T880" s="15"/>
      <c r="U880" s="36"/>
      <c r="V880" s="36"/>
      <c r="W880" s="37">
        <v>4.0</v>
      </c>
      <c r="X880" s="37" t="s">
        <v>687</v>
      </c>
    </row>
    <row r="881" ht="22.5" customHeight="1">
      <c r="A881" s="35">
        <v>46191.610299699074</v>
      </c>
      <c r="B881" s="12" t="s">
        <v>1999</v>
      </c>
      <c r="C881" s="15" t="s">
        <v>1650</v>
      </c>
      <c r="D881" s="36"/>
      <c r="E881" s="15" t="s">
        <v>45</v>
      </c>
      <c r="F881" s="15" t="s">
        <v>46</v>
      </c>
      <c r="G881" s="15"/>
      <c r="H881" s="15" t="s">
        <v>47</v>
      </c>
      <c r="I881" s="15" t="s">
        <v>81</v>
      </c>
      <c r="J881" s="41"/>
      <c r="K881" s="37" t="str">
        <f t="array" ref="K881">IFERROR(VLOOKUP(B881, SORT('Nhật ký nộp hồ sơ '!B:D, 'Nhật ký nộp hồ sơ '!A:A, FALSE), 3, FALSE),"")</f>
        <v>Nộp thành công - Chờ kết quả</v>
      </c>
      <c r="L881" s="37" t="str">
        <f t="shared" si="1"/>
        <v>Đã nộp</v>
      </c>
      <c r="M881" s="15" t="s">
        <v>82</v>
      </c>
      <c r="N881" s="38">
        <f>IFERROR(__xludf.DUMMYFUNCTION("""COMPUTED_VALUE"""),46191.0)</f>
        <v>46191</v>
      </c>
      <c r="O881" s="38">
        <v>46194.0</v>
      </c>
      <c r="P881" s="38">
        <f>IFERROR(__xludf.DUMMYFUNCTION("IFERROR(QUERY('Nhật ký nộp hồ sơ '!A:I, ""SELECT I WHERE B = '""&amp;B881&amp;""' ORDER BY A DESC LIMIT 1"", 0))"),46192.0)</f>
        <v>46192</v>
      </c>
      <c r="Q881" s="38" t="str">
        <f t="shared" si="2"/>
        <v/>
      </c>
      <c r="R881" s="37" t="s">
        <v>1976</v>
      </c>
      <c r="S881" s="15"/>
      <c r="T881" s="15"/>
      <c r="U881" s="36"/>
      <c r="V881" s="36"/>
      <c r="W881" s="37"/>
      <c r="X881" s="37"/>
    </row>
    <row r="882" ht="22.5" customHeight="1">
      <c r="A882" s="35">
        <v>46191.70940278935</v>
      </c>
      <c r="B882" s="12" t="s">
        <v>2000</v>
      </c>
      <c r="C882" s="15" t="s">
        <v>2001</v>
      </c>
      <c r="D882" s="36"/>
      <c r="E882" s="15" t="s">
        <v>53</v>
      </c>
      <c r="F882" s="15" t="s">
        <v>133</v>
      </c>
      <c r="G882" s="15"/>
      <c r="H882" s="15" t="s">
        <v>29</v>
      </c>
      <c r="I882" s="15" t="s">
        <v>81</v>
      </c>
      <c r="J882" s="41"/>
      <c r="K882" s="37" t="str">
        <f t="array" ref="K882">IFERROR(VLOOKUP(B882, SORT('Nhật ký nộp hồ sơ '!B:D, 'Nhật ký nộp hồ sơ '!A:A, FALSE), 3, FALSE),"")</f>
        <v>Hoàn thành</v>
      </c>
      <c r="L882" s="37" t="str">
        <f t="shared" si="1"/>
        <v>Hoàn thành</v>
      </c>
      <c r="M882" s="15" t="s">
        <v>1506</v>
      </c>
      <c r="N882" s="38">
        <f>IFERROR(__xludf.DUMMYFUNCTION("""COMPUTED_VALUE"""),46191.0)</f>
        <v>46191</v>
      </c>
      <c r="O882" s="38">
        <v>46194.0</v>
      </c>
      <c r="P882" s="38">
        <f>IFERROR(__xludf.DUMMYFUNCTION("IFERROR(QUERY('Nhật ký nộp hồ sơ '!A:I, ""SELECT I WHERE B = '""&amp;B882&amp;""' ORDER BY A DESC LIMIT 1"", 0))"),46192.0)</f>
        <v>46192</v>
      </c>
      <c r="Q882" s="38">
        <f t="shared" si="2"/>
        <v>46192</v>
      </c>
      <c r="R882" s="37" t="s">
        <v>1976</v>
      </c>
      <c r="S882" s="15" t="s">
        <v>2002</v>
      </c>
      <c r="T882" s="15"/>
      <c r="U882" s="36"/>
      <c r="V882" s="36"/>
      <c r="W882" s="37"/>
      <c r="X882" s="37"/>
    </row>
    <row r="883" ht="22.5" customHeight="1">
      <c r="A883" s="35">
        <v>46192.504076550926</v>
      </c>
      <c r="B883" s="12" t="s">
        <v>2003</v>
      </c>
      <c r="C883" s="15" t="s">
        <v>1543</v>
      </c>
      <c r="D883" s="36"/>
      <c r="E883" s="15" t="s">
        <v>62</v>
      </c>
      <c r="F883" s="15" t="s">
        <v>133</v>
      </c>
      <c r="G883" s="15"/>
      <c r="H883" s="15" t="s">
        <v>29</v>
      </c>
      <c r="I883" s="15" t="s">
        <v>81</v>
      </c>
      <c r="J883" s="41"/>
      <c r="K883" s="37" t="str">
        <f t="array" ref="K883">IFERROR(VLOOKUP(B883, SORT('Nhật ký nộp hồ sơ '!B:D, 'Nhật ký nộp hồ sơ '!A:A, FALSE), 3, FALSE),"")</f>
        <v>Hoàn thành</v>
      </c>
      <c r="L883" s="37" t="str">
        <f t="shared" si="1"/>
        <v>Hoàn thành</v>
      </c>
      <c r="M883" s="15" t="s">
        <v>524</v>
      </c>
      <c r="N883" s="38">
        <f>IFERROR(__xludf.DUMMYFUNCTION("""COMPUTED_VALUE"""),46192.0)</f>
        <v>46192</v>
      </c>
      <c r="O883" s="38">
        <v>46195.0</v>
      </c>
      <c r="P883" s="38">
        <f>IFERROR(__xludf.DUMMYFUNCTION("IFERROR(QUERY('Nhật ký nộp hồ sơ '!A:I, ""SELECT I WHERE B = '""&amp;B883&amp;""' ORDER BY A DESC LIMIT 1"", 0))"),46192.0)</f>
        <v>46192</v>
      </c>
      <c r="Q883" s="38">
        <f t="shared" si="2"/>
        <v>46192</v>
      </c>
      <c r="R883" s="37" t="s">
        <v>1976</v>
      </c>
      <c r="S883" s="15" t="s">
        <v>2004</v>
      </c>
      <c r="T883" s="15"/>
      <c r="U883" s="36"/>
      <c r="V883" s="36"/>
      <c r="W883" s="37"/>
      <c r="X883" s="37"/>
    </row>
    <row r="884" ht="22.5" customHeight="1">
      <c r="A884" s="35">
        <v>46192.65540887731</v>
      </c>
      <c r="B884" s="12" t="s">
        <v>2005</v>
      </c>
      <c r="C884" s="15" t="s">
        <v>2006</v>
      </c>
      <c r="D884" s="36"/>
      <c r="E884" s="15" t="s">
        <v>231</v>
      </c>
      <c r="F884" s="15" t="s">
        <v>133</v>
      </c>
      <c r="G884" s="40" t="s">
        <v>1994</v>
      </c>
      <c r="H884" s="15" t="s">
        <v>47</v>
      </c>
      <c r="I884" s="15" t="s">
        <v>81</v>
      </c>
      <c r="J884" s="41"/>
      <c r="K884" s="37" t="str">
        <f t="array" ref="K884">IFERROR(VLOOKUP(B884, SORT('Nhật ký nộp hồ sơ '!B:D, 'Nhật ký nộp hồ sơ '!A:A, FALSE), 3, FALSE),"")</f>
        <v>Hoàn thành</v>
      </c>
      <c r="L884" s="37" t="str">
        <f t="shared" si="1"/>
        <v>Hoàn thành</v>
      </c>
      <c r="M884" s="15" t="s">
        <v>41</v>
      </c>
      <c r="N884" s="38">
        <f>IFERROR(__xludf.DUMMYFUNCTION("""COMPUTED_VALUE"""),46192.0)</f>
        <v>46192</v>
      </c>
      <c r="O884" s="38">
        <v>46195.0</v>
      </c>
      <c r="P884" s="38">
        <f>IFERROR(__xludf.DUMMYFUNCTION("IFERROR(QUERY('Nhật ký nộp hồ sơ '!A:I, ""SELECT I WHERE B = '""&amp;B884&amp;""' ORDER BY A DESC LIMIT 1"", 0))"),46192.0)</f>
        <v>46192</v>
      </c>
      <c r="Q884" s="38">
        <f t="shared" si="2"/>
        <v>46192</v>
      </c>
      <c r="R884" s="37" t="s">
        <v>1976</v>
      </c>
      <c r="S884" s="15"/>
      <c r="T884" s="15"/>
      <c r="U884" s="36"/>
      <c r="V884" s="36"/>
      <c r="W884" s="37"/>
      <c r="X884" s="37"/>
    </row>
    <row r="885" ht="22.5" customHeight="1">
      <c r="A885" s="35">
        <v>46196.51705337963</v>
      </c>
      <c r="B885" s="12" t="s">
        <v>2007</v>
      </c>
      <c r="C885" s="15" t="s">
        <v>2008</v>
      </c>
      <c r="D885" s="36"/>
      <c r="E885" s="15" t="s">
        <v>222</v>
      </c>
      <c r="F885" s="15" t="s">
        <v>133</v>
      </c>
      <c r="G885" s="15"/>
      <c r="H885" s="15" t="s">
        <v>28</v>
      </c>
      <c r="I885" s="15" t="s">
        <v>659</v>
      </c>
      <c r="J885" s="41"/>
      <c r="K885" s="37" t="str">
        <f t="array" ref="K885">IFERROR(VLOOKUP(B885, SORT('Nhật ký nộp hồ sơ '!B:D, 'Nhật ký nộp hồ sơ '!A:A, FALSE), 3, FALSE),"")</f>
        <v/>
      </c>
      <c r="L885" s="37" t="str">
        <f t="shared" si="1"/>
        <v>Trong hạn</v>
      </c>
      <c r="M885" s="15" t="s">
        <v>216</v>
      </c>
      <c r="N885" s="38">
        <f>IFERROR(__xludf.DUMMYFUNCTION("""COMPUTED_VALUE"""),46196.0)</f>
        <v>46196</v>
      </c>
      <c r="O885" s="38">
        <v>46199.0</v>
      </c>
      <c r="P885" s="38" t="str">
        <f>IFERROR(__xludf.DUMMYFUNCTION("IFERROR(QUERY('Nhật ký nộp hồ sơ '!A:I, ""SELECT I WHERE B = '""&amp;B885&amp;""' ORDER BY A DESC LIMIT 1"", 0))"),"")</f>
        <v/>
      </c>
      <c r="Q885" s="38" t="str">
        <f t="shared" si="2"/>
        <v/>
      </c>
      <c r="R885" s="37" t="s">
        <v>1976</v>
      </c>
      <c r="S885" s="15"/>
      <c r="T885" s="15"/>
      <c r="U885" s="36"/>
      <c r="V885" s="36"/>
      <c r="W885" s="37">
        <v>8.0</v>
      </c>
      <c r="X885" s="37" t="s">
        <v>1188</v>
      </c>
    </row>
    <row r="886" ht="22.5" hidden="1" customHeight="1">
      <c r="A886" s="27"/>
      <c r="B886" s="34"/>
      <c r="C886" s="27"/>
      <c r="D886" s="28"/>
      <c r="E886" s="27"/>
      <c r="F886" s="16"/>
      <c r="G886" s="27"/>
      <c r="H886" s="27"/>
      <c r="I886" s="27"/>
      <c r="J886" s="28"/>
      <c r="K886" s="16" t="str">
        <f t="array" ref="K886">IFERROR(VLOOKUP(B886, SORT('Nhật ký nộp hồ sơ '!B:D, 'Nhật ký nộp hồ sơ '!A:A, FALSE), 3, FALSE),"")</f>
        <v/>
      </c>
      <c r="L886" s="16" t="str">
        <f t="shared" si="1"/>
        <v/>
      </c>
      <c r="M886" s="27"/>
      <c r="N886" s="17" t="str">
        <f>IFERROR(__xludf.DUMMYFUNCTION("""COMPUTED_VALUE"""),"")</f>
        <v/>
      </c>
      <c r="O886" s="38" t="s">
        <v>1976</v>
      </c>
      <c r="P886" s="38" t="str">
        <f>IFERROR(__xludf.DUMMYFUNCTION("IFERROR(QUERY('Nhật ký nộp hồ sơ '!A:I, ""SELECT I WHERE B = '""&amp;B886&amp;""' ORDER BY A DESC LIMIT 1"", 0))"),"")</f>
        <v/>
      </c>
      <c r="Q886" s="17" t="str">
        <f t="shared" si="2"/>
        <v/>
      </c>
      <c r="R886" s="37" t="s">
        <v>1976</v>
      </c>
      <c r="S886" s="21"/>
      <c r="T886" s="21"/>
      <c r="U886" s="28"/>
      <c r="V886" s="28"/>
      <c r="W886" s="21"/>
      <c r="X886" s="21"/>
    </row>
    <row r="887" ht="22.5" hidden="1" customHeight="1">
      <c r="A887" s="37"/>
      <c r="B887" s="34"/>
      <c r="C887" s="34"/>
      <c r="D887" s="28"/>
      <c r="E887" s="37"/>
      <c r="F887" s="37"/>
      <c r="G887" s="27"/>
      <c r="H887" s="27"/>
      <c r="I887" s="27"/>
      <c r="J887" s="28"/>
      <c r="K887" s="16" t="str">
        <f t="array" ref="K887">IFERROR(VLOOKUP(B887, SORT('Nhật ký nộp hồ sơ '!B:D, 'Nhật ký nộp hồ sơ '!A:A, FALSE), 3, FALSE),"")</f>
        <v/>
      </c>
      <c r="L887" s="16" t="str">
        <f t="shared" si="1"/>
        <v/>
      </c>
      <c r="M887" s="27"/>
      <c r="N887" s="17" t="str">
        <f>IFERROR(__xludf.DUMMYFUNCTION("""COMPUTED_VALUE"""),"")</f>
        <v/>
      </c>
      <c r="O887" s="17" t="s">
        <v>1976</v>
      </c>
      <c r="P887" s="38" t="str">
        <f>IFERROR(__xludf.DUMMYFUNCTION("IFERROR(QUERY('Nhật ký nộp hồ sơ '!A:I, ""SELECT I WHERE B = '""&amp;B887&amp;""' ORDER BY A DESC LIMIT 1"", 0))"),"")</f>
        <v/>
      </c>
      <c r="Q887" s="17" t="str">
        <f t="shared" si="2"/>
        <v/>
      </c>
      <c r="R887" s="16" t="s">
        <v>1976</v>
      </c>
      <c r="S887" s="21"/>
      <c r="T887" s="21"/>
      <c r="U887" s="28"/>
      <c r="V887" s="28"/>
      <c r="W887" s="21"/>
      <c r="X887" s="21"/>
    </row>
    <row r="888" ht="22.5" hidden="1" customHeight="1">
      <c r="A888" s="27"/>
      <c r="B888" s="34"/>
      <c r="C888" s="27"/>
      <c r="D888" s="28"/>
      <c r="E888" s="27"/>
      <c r="F888" s="37"/>
      <c r="G888" s="27"/>
      <c r="H888" s="37"/>
      <c r="I888" s="27"/>
      <c r="J888" s="28"/>
      <c r="K888" s="16" t="str">
        <f t="array" ref="K888">IFERROR(VLOOKUP(B888, SORT('Nhật ký nộp hồ sơ '!B:D, 'Nhật ký nộp hồ sơ '!A:A, FALSE), 3, FALSE),"")</f>
        <v/>
      </c>
      <c r="L888" s="16" t="str">
        <f t="shared" si="1"/>
        <v/>
      </c>
      <c r="M888" s="27"/>
      <c r="N888" s="17" t="str">
        <f>IFERROR(__xludf.DUMMYFUNCTION("""COMPUTED_VALUE"""),"")</f>
        <v/>
      </c>
      <c r="O888" s="17" t="s">
        <v>1976</v>
      </c>
      <c r="P888" s="17" t="str">
        <f>IFERROR(__xludf.DUMMYFUNCTION("IFERROR(QUERY('Nhật ký nộp hồ sơ '!A:I, ""SELECT I WHERE B = '""&amp;B888&amp;""' ORDER BY A DESC LIMIT 1"", 0))"),"")</f>
        <v/>
      </c>
      <c r="Q888" s="17" t="str">
        <f t="shared" si="2"/>
        <v/>
      </c>
      <c r="R888" s="16" t="s">
        <v>1976</v>
      </c>
      <c r="S888" s="21"/>
      <c r="T888" s="21"/>
      <c r="U888" s="28"/>
      <c r="V888" s="28"/>
      <c r="W888" s="21"/>
      <c r="X888" s="21"/>
    </row>
    <row r="889" ht="22.5" hidden="1" customHeight="1">
      <c r="A889" s="25"/>
      <c r="B889" s="34"/>
      <c r="C889" s="27"/>
      <c r="D889" s="28"/>
      <c r="E889" s="27"/>
      <c r="F889" s="27"/>
      <c r="G889" s="27"/>
      <c r="H889" s="27"/>
      <c r="I889" s="27"/>
      <c r="J889" s="28"/>
      <c r="K889" s="16" t="str">
        <f t="array" ref="K889">IFERROR(VLOOKUP(B889, SORT('Nhật ký nộp hồ sơ '!B:D, 'Nhật ký nộp hồ sơ '!A:A, FALSE), 3, FALSE),"")</f>
        <v/>
      </c>
      <c r="L889" s="16" t="str">
        <f t="shared" si="1"/>
        <v/>
      </c>
      <c r="M889" s="27"/>
      <c r="N889" s="17" t="str">
        <f>IFERROR(__xludf.DUMMYFUNCTION("""COMPUTED_VALUE"""),"")</f>
        <v/>
      </c>
      <c r="O889" s="17" t="s">
        <v>1976</v>
      </c>
      <c r="P889" s="17" t="str">
        <f>IFERROR(__xludf.DUMMYFUNCTION("IFERROR(QUERY('Nhật ký nộp hồ sơ '!A:I, ""SELECT I WHERE B = '""&amp;B889&amp;""' ORDER BY A DESC LIMIT 1"", 0))"),"")</f>
        <v/>
      </c>
      <c r="Q889" s="17" t="str">
        <f t="shared" si="2"/>
        <v/>
      </c>
      <c r="R889" s="16" t="s">
        <v>1976</v>
      </c>
      <c r="S889" s="21"/>
      <c r="T889" s="21"/>
      <c r="U889" s="28"/>
      <c r="V889" s="28"/>
      <c r="W889" s="21"/>
      <c r="X889" s="21"/>
    </row>
    <row r="890" ht="22.5" hidden="1" customHeight="1">
      <c r="A890" s="25"/>
      <c r="B890" s="34"/>
      <c r="C890" s="27"/>
      <c r="D890" s="28"/>
      <c r="E890" s="27"/>
      <c r="F890" s="27"/>
      <c r="G890" s="27"/>
      <c r="H890" s="27"/>
      <c r="I890" s="27"/>
      <c r="J890" s="28"/>
      <c r="K890" s="16" t="str">
        <f t="array" ref="K890">IFERROR(VLOOKUP(B890, SORT('Nhật ký nộp hồ sơ '!B:D, 'Nhật ký nộp hồ sơ '!A:A, FALSE), 3, FALSE),"")</f>
        <v/>
      </c>
      <c r="L890" s="16" t="str">
        <f t="shared" si="1"/>
        <v/>
      </c>
      <c r="M890" s="27"/>
      <c r="N890" s="17" t="str">
        <f>IFERROR(__xludf.DUMMYFUNCTION("""COMPUTED_VALUE"""),"")</f>
        <v/>
      </c>
      <c r="O890" s="17" t="s">
        <v>1976</v>
      </c>
      <c r="P890" s="17" t="str">
        <f>IFERROR(__xludf.DUMMYFUNCTION("IFERROR(QUERY('Nhật ký nộp hồ sơ '!A:I, ""SELECT I WHERE B = '""&amp;B890&amp;""' ORDER BY A DESC LIMIT 1"", 0))"),"")</f>
        <v/>
      </c>
      <c r="Q890" s="17" t="str">
        <f t="shared" si="2"/>
        <v/>
      </c>
      <c r="R890" s="16" t="s">
        <v>1976</v>
      </c>
      <c r="S890" s="21"/>
      <c r="T890" s="21"/>
      <c r="U890" s="28"/>
      <c r="V890" s="28"/>
      <c r="W890" s="21"/>
      <c r="X890" s="21"/>
    </row>
    <row r="891" ht="22.5" hidden="1" customHeight="1">
      <c r="A891" s="25"/>
      <c r="B891" s="34"/>
      <c r="C891" s="27"/>
      <c r="D891" s="28"/>
      <c r="E891" s="27"/>
      <c r="F891" s="27"/>
      <c r="G891" s="27"/>
      <c r="H891" s="27"/>
      <c r="I891" s="27"/>
      <c r="J891" s="28"/>
      <c r="K891" s="16" t="str">
        <f t="array" ref="K891">IFERROR(VLOOKUP(B891, SORT('Nhật ký nộp hồ sơ '!B:D, 'Nhật ký nộp hồ sơ '!A:A, FALSE), 3, FALSE),"")</f>
        <v/>
      </c>
      <c r="L891" s="16" t="str">
        <f t="shared" si="1"/>
        <v/>
      </c>
      <c r="M891" s="27"/>
      <c r="N891" s="17" t="str">
        <f>IFERROR(__xludf.DUMMYFUNCTION("""COMPUTED_VALUE"""),"")</f>
        <v/>
      </c>
      <c r="O891" s="17" t="s">
        <v>1976</v>
      </c>
      <c r="P891" s="17" t="str">
        <f>IFERROR(__xludf.DUMMYFUNCTION("IFERROR(QUERY('Nhật ký nộp hồ sơ '!A:I, ""SELECT I WHERE B = '""&amp;B891&amp;""' ORDER BY A DESC LIMIT 1"", 0))"),"")</f>
        <v/>
      </c>
      <c r="Q891" s="17" t="str">
        <f t="shared" si="2"/>
        <v/>
      </c>
      <c r="R891" s="16" t="s">
        <v>1976</v>
      </c>
      <c r="S891" s="21"/>
      <c r="T891" s="21"/>
      <c r="U891" s="28"/>
      <c r="V891" s="28"/>
      <c r="W891" s="21"/>
      <c r="X891" s="21"/>
    </row>
    <row r="892" ht="22.5" hidden="1" customHeight="1">
      <c r="A892" s="25"/>
      <c r="B892" s="34"/>
      <c r="C892" s="27"/>
      <c r="D892" s="28"/>
      <c r="E892" s="27"/>
      <c r="F892" s="27"/>
      <c r="G892" s="27"/>
      <c r="H892" s="27"/>
      <c r="I892" s="27"/>
      <c r="J892" s="28"/>
      <c r="K892" s="16" t="str">
        <f t="array" ref="K892">IFERROR(VLOOKUP(B892, SORT('Nhật ký nộp hồ sơ '!B:D, 'Nhật ký nộp hồ sơ '!A:A, FALSE), 3, FALSE),"")</f>
        <v/>
      </c>
      <c r="L892" s="16" t="str">
        <f t="shared" si="1"/>
        <v/>
      </c>
      <c r="M892" s="27"/>
      <c r="N892" s="17" t="str">
        <f>IFERROR(__xludf.DUMMYFUNCTION("""COMPUTED_VALUE"""),"")</f>
        <v/>
      </c>
      <c r="O892" s="17" t="s">
        <v>1976</v>
      </c>
      <c r="P892" s="17" t="str">
        <f>IFERROR(__xludf.DUMMYFUNCTION("IFERROR(QUERY('Nhật ký nộp hồ sơ '!A:I, ""SELECT I WHERE B = '""&amp;B892&amp;""' ORDER BY A DESC LIMIT 1"", 0))"),"")</f>
        <v/>
      </c>
      <c r="Q892" s="17" t="str">
        <f t="shared" si="2"/>
        <v/>
      </c>
      <c r="R892" s="16" t="s">
        <v>1976</v>
      </c>
      <c r="S892" s="21"/>
      <c r="T892" s="21"/>
      <c r="U892" s="28"/>
      <c r="V892" s="28"/>
      <c r="W892" s="21"/>
      <c r="X892" s="21"/>
    </row>
    <row r="893" ht="22.5" hidden="1" customHeight="1">
      <c r="A893" s="25"/>
      <c r="B893" s="34"/>
      <c r="C893" s="27"/>
      <c r="D893" s="28"/>
      <c r="E893" s="27"/>
      <c r="F893" s="27"/>
      <c r="G893" s="27"/>
      <c r="H893" s="27"/>
      <c r="I893" s="27"/>
      <c r="J893" s="28"/>
      <c r="K893" s="16" t="str">
        <f t="array" ref="K893">IFERROR(VLOOKUP(B893, SORT('Nhật ký nộp hồ sơ '!B:D, 'Nhật ký nộp hồ sơ '!A:A, FALSE), 3, FALSE),"")</f>
        <v/>
      </c>
      <c r="L893" s="16" t="str">
        <f t="shared" si="1"/>
        <v/>
      </c>
      <c r="M893" s="27"/>
      <c r="N893" s="17" t="str">
        <f>IFERROR(__xludf.DUMMYFUNCTION("""COMPUTED_VALUE"""),"")</f>
        <v/>
      </c>
      <c r="O893" s="17" t="s">
        <v>1976</v>
      </c>
      <c r="P893" s="17" t="str">
        <f>IFERROR(__xludf.DUMMYFUNCTION("IFERROR(QUERY('Nhật ký nộp hồ sơ '!A:I, ""SELECT I WHERE B = '""&amp;B893&amp;""' ORDER BY A DESC LIMIT 1"", 0))"),"")</f>
        <v/>
      </c>
      <c r="Q893" s="17" t="str">
        <f t="shared" si="2"/>
        <v/>
      </c>
      <c r="R893" s="16" t="s">
        <v>1976</v>
      </c>
      <c r="S893" s="21"/>
      <c r="T893" s="21"/>
      <c r="U893" s="28"/>
      <c r="V893" s="28"/>
      <c r="W893" s="21"/>
      <c r="X893" s="21"/>
    </row>
    <row r="894" ht="22.5" hidden="1" customHeight="1">
      <c r="A894" s="25"/>
      <c r="B894" s="34"/>
      <c r="C894" s="27"/>
      <c r="D894" s="28"/>
      <c r="E894" s="27"/>
      <c r="F894" s="27"/>
      <c r="G894" s="27"/>
      <c r="H894" s="27"/>
      <c r="I894" s="27"/>
      <c r="J894" s="28"/>
      <c r="K894" s="16" t="str">
        <f t="array" ref="K894">IFERROR(VLOOKUP(B894, SORT('Nhật ký nộp hồ sơ '!B:D, 'Nhật ký nộp hồ sơ '!A:A, FALSE), 3, FALSE),"")</f>
        <v/>
      </c>
      <c r="L894" s="16" t="str">
        <f t="shared" si="1"/>
        <v/>
      </c>
      <c r="M894" s="27"/>
      <c r="N894" s="17" t="str">
        <f>IFERROR(__xludf.DUMMYFUNCTION("""COMPUTED_VALUE"""),"")</f>
        <v/>
      </c>
      <c r="O894" s="17" t="s">
        <v>1976</v>
      </c>
      <c r="P894" s="17" t="str">
        <f>IFERROR(__xludf.DUMMYFUNCTION("IFERROR(QUERY('Nhật ký nộp hồ sơ '!A:I, ""SELECT I WHERE B = '""&amp;B894&amp;""' ORDER BY A DESC LIMIT 1"", 0))"),"")</f>
        <v/>
      </c>
      <c r="Q894" s="17" t="str">
        <f t="shared" si="2"/>
        <v/>
      </c>
      <c r="R894" s="16" t="s">
        <v>1976</v>
      </c>
      <c r="S894" s="21"/>
      <c r="T894" s="21"/>
      <c r="U894" s="28"/>
      <c r="V894" s="28"/>
      <c r="W894" s="21"/>
      <c r="X894" s="21"/>
    </row>
    <row r="895" ht="22.5" hidden="1" customHeight="1">
      <c r="A895" s="25"/>
      <c r="B895" s="34"/>
      <c r="C895" s="27"/>
      <c r="D895" s="28"/>
      <c r="E895" s="27"/>
      <c r="F895" s="27"/>
      <c r="G895" s="27"/>
      <c r="H895" s="27"/>
      <c r="I895" s="27"/>
      <c r="J895" s="28"/>
      <c r="K895" s="16" t="str">
        <f t="array" ref="K895">IFERROR(VLOOKUP(B895, SORT('Nhật ký nộp hồ sơ '!B:D, 'Nhật ký nộp hồ sơ '!A:A, FALSE), 3, FALSE),"")</f>
        <v/>
      </c>
      <c r="L895" s="16" t="str">
        <f t="shared" si="1"/>
        <v/>
      </c>
      <c r="M895" s="27"/>
      <c r="N895" s="17" t="str">
        <f>IFERROR(__xludf.DUMMYFUNCTION("""COMPUTED_VALUE"""),"")</f>
        <v/>
      </c>
      <c r="O895" s="17" t="s">
        <v>1976</v>
      </c>
      <c r="P895" s="17" t="str">
        <f>IFERROR(__xludf.DUMMYFUNCTION("IFERROR(QUERY('Nhật ký nộp hồ sơ '!A:I, ""SELECT I WHERE B = '""&amp;B895&amp;""' ORDER BY A DESC LIMIT 1"", 0))"),"")</f>
        <v/>
      </c>
      <c r="Q895" s="17" t="str">
        <f t="shared" si="2"/>
        <v/>
      </c>
      <c r="R895" s="16" t="s">
        <v>1976</v>
      </c>
      <c r="S895" s="21"/>
      <c r="T895" s="21"/>
      <c r="U895" s="28"/>
      <c r="V895" s="28"/>
      <c r="W895" s="21"/>
      <c r="X895" s="21"/>
    </row>
    <row r="896" ht="22.5" hidden="1" customHeight="1">
      <c r="A896" s="25"/>
      <c r="B896" s="34"/>
      <c r="C896" s="27"/>
      <c r="D896" s="28"/>
      <c r="E896" s="27"/>
      <c r="F896" s="27"/>
      <c r="G896" s="27"/>
      <c r="H896" s="27"/>
      <c r="I896" s="27"/>
      <c r="J896" s="28"/>
      <c r="K896" s="16" t="str">
        <f t="array" ref="K896">IFERROR(VLOOKUP(B896, SORT('Nhật ký nộp hồ sơ '!B:D, 'Nhật ký nộp hồ sơ '!A:A, FALSE), 3, FALSE),"")</f>
        <v/>
      </c>
      <c r="L896" s="16" t="str">
        <f t="shared" si="1"/>
        <v/>
      </c>
      <c r="M896" s="27"/>
      <c r="N896" s="17" t="str">
        <f>IFERROR(__xludf.DUMMYFUNCTION("""COMPUTED_VALUE"""),"")</f>
        <v/>
      </c>
      <c r="O896" s="17" t="s">
        <v>1976</v>
      </c>
      <c r="P896" s="17" t="str">
        <f>IFERROR(__xludf.DUMMYFUNCTION("IFERROR(QUERY('Nhật ký nộp hồ sơ '!A:I, ""SELECT I WHERE B = '""&amp;B896&amp;""' ORDER BY A DESC LIMIT 1"", 0))"),"")</f>
        <v/>
      </c>
      <c r="Q896" s="17" t="str">
        <f t="shared" si="2"/>
        <v/>
      </c>
      <c r="R896" s="16" t="s">
        <v>1976</v>
      </c>
      <c r="S896" s="21"/>
      <c r="T896" s="21"/>
      <c r="U896" s="28"/>
      <c r="V896" s="28"/>
      <c r="W896" s="21"/>
      <c r="X896" s="21"/>
    </row>
    <row r="897" ht="22.5" hidden="1" customHeight="1">
      <c r="A897" s="25"/>
      <c r="B897" s="34"/>
      <c r="C897" s="27"/>
      <c r="D897" s="28"/>
      <c r="E897" s="27"/>
      <c r="F897" s="27"/>
      <c r="G897" s="27"/>
      <c r="H897" s="27"/>
      <c r="I897" s="27"/>
      <c r="J897" s="28"/>
      <c r="K897" s="16" t="str">
        <f t="array" ref="K897">IFERROR(VLOOKUP(B897, SORT('Nhật ký nộp hồ sơ '!B:D, 'Nhật ký nộp hồ sơ '!A:A, FALSE), 3, FALSE),"")</f>
        <v/>
      </c>
      <c r="L897" s="16" t="str">
        <f t="shared" si="1"/>
        <v/>
      </c>
      <c r="M897" s="27"/>
      <c r="N897" s="17" t="str">
        <f>IFERROR(__xludf.DUMMYFUNCTION("""COMPUTED_VALUE"""),"")</f>
        <v/>
      </c>
      <c r="O897" s="17" t="s">
        <v>1976</v>
      </c>
      <c r="P897" s="17" t="str">
        <f>IFERROR(__xludf.DUMMYFUNCTION("IFERROR(QUERY('Nhật ký nộp hồ sơ '!A:I, ""SELECT I WHERE B = '""&amp;B897&amp;""' ORDER BY A DESC LIMIT 1"", 0))"),"")</f>
        <v/>
      </c>
      <c r="Q897" s="17" t="str">
        <f t="shared" si="2"/>
        <v/>
      </c>
      <c r="R897" s="16" t="s">
        <v>1976</v>
      </c>
      <c r="S897" s="21"/>
      <c r="T897" s="21"/>
      <c r="U897" s="28"/>
      <c r="V897" s="28"/>
      <c r="W897" s="21"/>
      <c r="X897" s="21"/>
    </row>
    <row r="898" ht="22.5" hidden="1" customHeight="1">
      <c r="A898" s="25"/>
      <c r="B898" s="34"/>
      <c r="C898" s="27"/>
      <c r="D898" s="28"/>
      <c r="E898" s="27"/>
      <c r="F898" s="27"/>
      <c r="G898" s="27"/>
      <c r="H898" s="27"/>
      <c r="I898" s="27"/>
      <c r="J898" s="28"/>
      <c r="K898" s="16" t="str">
        <f t="array" ref="K898">IFERROR(VLOOKUP(B898, SORT('Nhật ký nộp hồ sơ '!B:D, 'Nhật ký nộp hồ sơ '!A:A, FALSE), 3, FALSE),"")</f>
        <v/>
      </c>
      <c r="L898" s="16" t="str">
        <f t="shared" si="1"/>
        <v/>
      </c>
      <c r="M898" s="27"/>
      <c r="N898" s="17" t="str">
        <f>IFERROR(__xludf.DUMMYFUNCTION("""COMPUTED_VALUE"""),"")</f>
        <v/>
      </c>
      <c r="O898" s="17" t="s">
        <v>1976</v>
      </c>
      <c r="P898" s="17" t="str">
        <f>IFERROR(__xludf.DUMMYFUNCTION("IFERROR(QUERY('Nhật ký nộp hồ sơ '!A:I, ""SELECT I WHERE B = '""&amp;B898&amp;""' ORDER BY A DESC LIMIT 1"", 0))"),"")</f>
        <v/>
      </c>
      <c r="Q898" s="17" t="str">
        <f t="shared" si="2"/>
        <v/>
      </c>
      <c r="R898" s="16" t="s">
        <v>1976</v>
      </c>
      <c r="S898" s="21"/>
      <c r="T898" s="21"/>
      <c r="U898" s="28"/>
      <c r="V898" s="28"/>
      <c r="W898" s="21"/>
      <c r="X898" s="21"/>
    </row>
    <row r="899" ht="22.5" hidden="1" customHeight="1">
      <c r="A899" s="25"/>
      <c r="B899" s="34"/>
      <c r="C899" s="27"/>
      <c r="D899" s="28"/>
      <c r="E899" s="27"/>
      <c r="F899" s="27"/>
      <c r="G899" s="27"/>
      <c r="H899" s="27"/>
      <c r="I899" s="27"/>
      <c r="J899" s="28"/>
      <c r="K899" s="16" t="str">
        <f t="array" ref="K899">IFERROR(VLOOKUP(B899, SORT('Nhật ký nộp hồ sơ '!B:D, 'Nhật ký nộp hồ sơ '!A:A, FALSE), 3, FALSE),"")</f>
        <v/>
      </c>
      <c r="L899" s="16" t="str">
        <f t="shared" si="1"/>
        <v/>
      </c>
      <c r="M899" s="27"/>
      <c r="N899" s="17" t="str">
        <f>IFERROR(__xludf.DUMMYFUNCTION("""COMPUTED_VALUE"""),"")</f>
        <v/>
      </c>
      <c r="O899" s="17" t="s">
        <v>1976</v>
      </c>
      <c r="P899" s="17" t="str">
        <f>IFERROR(__xludf.DUMMYFUNCTION("IFERROR(QUERY('Nhật ký nộp hồ sơ '!A:I, ""SELECT I WHERE B = '""&amp;B899&amp;""' ORDER BY A DESC LIMIT 1"", 0))"),"")</f>
        <v/>
      </c>
      <c r="Q899" s="17" t="str">
        <f t="shared" si="2"/>
        <v/>
      </c>
      <c r="R899" s="16" t="s">
        <v>1976</v>
      </c>
      <c r="S899" s="21"/>
      <c r="T899" s="21"/>
      <c r="U899" s="28"/>
      <c r="V899" s="28"/>
      <c r="W899" s="21"/>
      <c r="X899" s="21"/>
    </row>
    <row r="900" ht="22.5" hidden="1" customHeight="1">
      <c r="A900" s="25"/>
      <c r="B900" s="34"/>
      <c r="C900" s="27"/>
      <c r="D900" s="28"/>
      <c r="E900" s="27"/>
      <c r="F900" s="27"/>
      <c r="G900" s="27"/>
      <c r="H900" s="27"/>
      <c r="I900" s="27"/>
      <c r="J900" s="28"/>
      <c r="K900" s="16" t="str">
        <f t="array" ref="K900">IFERROR(VLOOKUP(B900, SORT('Nhật ký nộp hồ sơ '!B:D, 'Nhật ký nộp hồ sơ '!A:A, FALSE), 3, FALSE),"")</f>
        <v/>
      </c>
      <c r="L900" s="16" t="str">
        <f t="shared" si="1"/>
        <v/>
      </c>
      <c r="M900" s="27"/>
      <c r="N900" s="17" t="str">
        <f>IFERROR(__xludf.DUMMYFUNCTION("""COMPUTED_VALUE"""),"")</f>
        <v/>
      </c>
      <c r="O900" s="17" t="s">
        <v>1976</v>
      </c>
      <c r="P900" s="17" t="str">
        <f>IFERROR(__xludf.DUMMYFUNCTION("IFERROR(QUERY('Nhật ký nộp hồ sơ '!A:I, ""SELECT I WHERE B = '""&amp;B900&amp;""' ORDER BY A DESC LIMIT 1"", 0))"),"")</f>
        <v/>
      </c>
      <c r="Q900" s="17" t="str">
        <f t="shared" si="2"/>
        <v/>
      </c>
      <c r="R900" s="16" t="s">
        <v>1976</v>
      </c>
      <c r="S900" s="21"/>
      <c r="T900" s="21"/>
      <c r="U900" s="28"/>
      <c r="V900" s="28"/>
      <c r="W900" s="21"/>
      <c r="X900" s="21"/>
    </row>
    <row r="901" ht="22.5" hidden="1" customHeight="1">
      <c r="A901" s="25"/>
      <c r="B901" s="34"/>
      <c r="C901" s="27"/>
      <c r="D901" s="28"/>
      <c r="E901" s="27"/>
      <c r="F901" s="27"/>
      <c r="G901" s="27"/>
      <c r="H901" s="27"/>
      <c r="I901" s="27"/>
      <c r="J901" s="28"/>
      <c r="K901" s="16" t="str">
        <f t="array" ref="K901">IFERROR(VLOOKUP(B901, SORT('Nhật ký nộp hồ sơ '!B:D, 'Nhật ký nộp hồ sơ '!A:A, FALSE), 3, FALSE),"")</f>
        <v/>
      </c>
      <c r="L901" s="16" t="str">
        <f t="shared" si="1"/>
        <v/>
      </c>
      <c r="M901" s="27"/>
      <c r="N901" s="17" t="str">
        <f>IFERROR(__xludf.DUMMYFUNCTION("""COMPUTED_VALUE"""),"")</f>
        <v/>
      </c>
      <c r="O901" s="17" t="s">
        <v>1976</v>
      </c>
      <c r="P901" s="17" t="str">
        <f>IFERROR(__xludf.DUMMYFUNCTION("IFERROR(QUERY('Nhật ký nộp hồ sơ '!A:I, ""SELECT I WHERE B = '""&amp;B901&amp;""' ORDER BY A DESC LIMIT 1"", 0))"),"")</f>
        <v/>
      </c>
      <c r="Q901" s="17" t="str">
        <f t="shared" si="2"/>
        <v/>
      </c>
      <c r="R901" s="16" t="s">
        <v>1976</v>
      </c>
      <c r="S901" s="21"/>
      <c r="T901" s="21"/>
      <c r="U901" s="28"/>
      <c r="V901" s="28"/>
      <c r="W901" s="21"/>
      <c r="X901" s="21"/>
    </row>
    <row r="902" ht="22.5" hidden="1" customHeight="1">
      <c r="A902" s="25"/>
      <c r="B902" s="34"/>
      <c r="C902" s="27"/>
      <c r="D902" s="28"/>
      <c r="E902" s="27"/>
      <c r="F902" s="27"/>
      <c r="G902" s="27"/>
      <c r="H902" s="27"/>
      <c r="I902" s="27"/>
      <c r="J902" s="28"/>
      <c r="K902" s="16" t="str">
        <f t="array" ref="K902">IFERROR(VLOOKUP(B902, SORT('Nhật ký nộp hồ sơ '!B:D, 'Nhật ký nộp hồ sơ '!A:A, FALSE), 3, FALSE),"")</f>
        <v/>
      </c>
      <c r="L902" s="16" t="str">
        <f t="shared" si="1"/>
        <v/>
      </c>
      <c r="M902" s="27"/>
      <c r="N902" s="17" t="str">
        <f>IFERROR(__xludf.DUMMYFUNCTION("""COMPUTED_VALUE"""),"")</f>
        <v/>
      </c>
      <c r="O902" s="17" t="s">
        <v>1976</v>
      </c>
      <c r="P902" s="17" t="str">
        <f>IFERROR(__xludf.DUMMYFUNCTION("IFERROR(QUERY('Nhật ký nộp hồ sơ '!A:I, ""SELECT I WHERE B = '""&amp;B902&amp;""' ORDER BY A DESC LIMIT 1"", 0))"),"")</f>
        <v/>
      </c>
      <c r="Q902" s="17" t="str">
        <f t="shared" si="2"/>
        <v/>
      </c>
      <c r="R902" s="16" t="s">
        <v>1976</v>
      </c>
      <c r="S902" s="21"/>
      <c r="T902" s="21"/>
      <c r="U902" s="28"/>
      <c r="V902" s="28"/>
      <c r="W902" s="21"/>
      <c r="X902" s="21"/>
    </row>
    <row r="903" ht="22.5" hidden="1" customHeight="1">
      <c r="A903" s="25"/>
      <c r="B903" s="34"/>
      <c r="C903" s="27"/>
      <c r="D903" s="28"/>
      <c r="E903" s="27"/>
      <c r="F903" s="27"/>
      <c r="G903" s="27"/>
      <c r="H903" s="27"/>
      <c r="I903" s="27"/>
      <c r="J903" s="28"/>
      <c r="K903" s="16" t="str">
        <f t="array" ref="K903">IFERROR(VLOOKUP(B903, SORT('Nhật ký nộp hồ sơ '!B:D, 'Nhật ký nộp hồ sơ '!A:A, FALSE), 3, FALSE),"")</f>
        <v/>
      </c>
      <c r="L903" s="16" t="str">
        <f t="shared" si="1"/>
        <v/>
      </c>
      <c r="M903" s="27"/>
      <c r="N903" s="17" t="str">
        <f>IFERROR(__xludf.DUMMYFUNCTION("""COMPUTED_VALUE"""),"")</f>
        <v/>
      </c>
      <c r="O903" s="17" t="s">
        <v>1976</v>
      </c>
      <c r="P903" s="17" t="str">
        <f>IFERROR(__xludf.DUMMYFUNCTION("IFERROR(QUERY('Nhật ký nộp hồ sơ '!A:I, ""SELECT I WHERE B = '""&amp;B903&amp;""' ORDER BY A DESC LIMIT 1"", 0))"),"")</f>
        <v/>
      </c>
      <c r="Q903" s="17" t="str">
        <f t="shared" si="2"/>
        <v/>
      </c>
      <c r="R903" s="16" t="s">
        <v>1976</v>
      </c>
      <c r="S903" s="21"/>
      <c r="T903" s="21"/>
      <c r="U903" s="28"/>
      <c r="V903" s="28"/>
      <c r="W903" s="21"/>
      <c r="X903" s="21"/>
    </row>
    <row r="904" ht="22.5" hidden="1" customHeight="1">
      <c r="A904" s="25"/>
      <c r="B904" s="34"/>
      <c r="C904" s="27"/>
      <c r="D904" s="28"/>
      <c r="E904" s="27"/>
      <c r="F904" s="27"/>
      <c r="G904" s="27"/>
      <c r="H904" s="27"/>
      <c r="I904" s="27"/>
      <c r="J904" s="28"/>
      <c r="K904" s="16" t="str">
        <f t="array" ref="K904">IFERROR(VLOOKUP(B904, SORT('Nhật ký nộp hồ sơ '!B:D, 'Nhật ký nộp hồ sơ '!A:A, FALSE), 3, FALSE),"")</f>
        <v/>
      </c>
      <c r="L904" s="16" t="str">
        <f t="shared" si="1"/>
        <v/>
      </c>
      <c r="M904" s="27"/>
      <c r="N904" s="17" t="str">
        <f>IFERROR(__xludf.DUMMYFUNCTION("""COMPUTED_VALUE"""),"")</f>
        <v/>
      </c>
      <c r="O904" s="17" t="s">
        <v>1976</v>
      </c>
      <c r="P904" s="17" t="str">
        <f>IFERROR(__xludf.DUMMYFUNCTION("IFERROR(QUERY('Nhật ký nộp hồ sơ '!A:I, ""SELECT I WHERE B = '""&amp;B904&amp;""' ORDER BY A DESC LIMIT 1"", 0))"),"")</f>
        <v/>
      </c>
      <c r="Q904" s="17" t="str">
        <f t="shared" si="2"/>
        <v/>
      </c>
      <c r="R904" s="16" t="s">
        <v>1976</v>
      </c>
      <c r="S904" s="21"/>
      <c r="T904" s="21"/>
      <c r="U904" s="28"/>
      <c r="V904" s="28"/>
      <c r="W904" s="21"/>
      <c r="X904" s="21"/>
    </row>
    <row r="905" ht="22.5" hidden="1" customHeight="1">
      <c r="A905" s="25"/>
      <c r="B905" s="34"/>
      <c r="C905" s="27"/>
      <c r="D905" s="28"/>
      <c r="E905" s="27"/>
      <c r="F905" s="27"/>
      <c r="G905" s="27"/>
      <c r="H905" s="27"/>
      <c r="I905" s="27"/>
      <c r="J905" s="28"/>
      <c r="K905" s="16" t="str">
        <f t="array" ref="K905">IFERROR(VLOOKUP(B905, SORT('Nhật ký nộp hồ sơ '!B:D, 'Nhật ký nộp hồ sơ '!A:A, FALSE), 3, FALSE),"")</f>
        <v/>
      </c>
      <c r="L905" s="16" t="str">
        <f t="shared" si="1"/>
        <v/>
      </c>
      <c r="M905" s="27"/>
      <c r="N905" s="22" t="str">
        <f>IFERROR(__xludf.DUMMYFUNCTION("""COMPUTED_VALUE"""),"")</f>
        <v/>
      </c>
      <c r="O905" s="22" t="s">
        <v>1976</v>
      </c>
      <c r="P905" s="17" t="str">
        <f>IFERROR(__xludf.DUMMYFUNCTION("IFERROR(QUERY('Nhật ký nộp hồ sơ '!A:I, ""SELECT I WHERE B = '""&amp;B905&amp;""' ORDER BY A DESC LIMIT 1"", 0))"),"")</f>
        <v/>
      </c>
      <c r="Q905" s="17" t="str">
        <f t="shared" si="2"/>
        <v/>
      </c>
      <c r="R905" s="16" t="s">
        <v>1976</v>
      </c>
      <c r="S905" s="21"/>
      <c r="T905" s="21"/>
      <c r="U905" s="28"/>
      <c r="V905" s="28"/>
      <c r="W905" s="21"/>
      <c r="X905" s="21"/>
    </row>
    <row r="906" ht="22.5" hidden="1" customHeight="1">
      <c r="A906" s="25"/>
      <c r="B906" s="34"/>
      <c r="C906" s="27"/>
      <c r="D906" s="28"/>
      <c r="E906" s="27"/>
      <c r="F906" s="27"/>
      <c r="G906" s="27"/>
      <c r="H906" s="27"/>
      <c r="I906" s="27"/>
      <c r="J906" s="28"/>
      <c r="K906" s="16" t="str">
        <f t="array" ref="K906">IFERROR(VLOOKUP(B906, SORT('Nhật ký nộp hồ sơ '!B:D, 'Nhật ký nộp hồ sơ '!A:A, FALSE), 3, FALSE),"")</f>
        <v/>
      </c>
      <c r="L906" s="16" t="str">
        <f t="shared" si="1"/>
        <v/>
      </c>
      <c r="M906" s="27"/>
      <c r="N906" s="22" t="str">
        <f>IFERROR(__xludf.DUMMYFUNCTION("""COMPUTED_VALUE"""),"")</f>
        <v/>
      </c>
      <c r="O906" s="22" t="s">
        <v>1976</v>
      </c>
      <c r="P906" s="22" t="str">
        <f>IFERROR(__xludf.DUMMYFUNCTION("IFERROR(QUERY('Nhật ký nộp hồ sơ '!A:I, ""SELECT I WHERE B = '""&amp;B905&amp;""' ORDER BY A DESC LIMIT 1"", 0))"),"")</f>
        <v/>
      </c>
      <c r="Q906" s="17" t="str">
        <f t="shared" si="2"/>
        <v/>
      </c>
      <c r="R906" s="16" t="s">
        <v>1976</v>
      </c>
      <c r="S906" s="21"/>
      <c r="T906" s="21"/>
      <c r="U906" s="28"/>
      <c r="V906" s="28"/>
      <c r="W906" s="21"/>
      <c r="X906" s="21"/>
    </row>
    <row r="907" ht="22.5" hidden="1" customHeight="1">
      <c r="A907" s="25"/>
      <c r="B907" s="34"/>
      <c r="C907" s="27"/>
      <c r="D907" s="28"/>
      <c r="E907" s="27"/>
      <c r="F907" s="27"/>
      <c r="G907" s="27"/>
      <c r="H907" s="27"/>
      <c r="I907" s="27"/>
      <c r="J907" s="28"/>
      <c r="K907" s="16" t="str">
        <f t="array" ref="K907">IFERROR(VLOOKUP(B907, SORT('Nhật ký nộp hồ sơ '!B:D, 'Nhật ký nộp hồ sơ '!A:A, FALSE), 3, FALSE),"")</f>
        <v/>
      </c>
      <c r="L907" s="16" t="str">
        <f t="shared" si="1"/>
        <v/>
      </c>
      <c r="M907" s="27"/>
      <c r="N907" s="22" t="str">
        <f>IFERROR(__xludf.DUMMYFUNCTION("""COMPUTED_VALUE"""),"")</f>
        <v/>
      </c>
      <c r="O907" s="22" t="s">
        <v>1976</v>
      </c>
      <c r="P907" s="22" t="str">
        <f>IFERROR(__xludf.DUMMYFUNCTION("IFERROR(QUERY('Nhật ký nộp hồ sơ '!A:I, ""SELECT I WHERE B = '""&amp;B906&amp;""' ORDER BY A DESC LIMIT 1"", 0))"),"")</f>
        <v/>
      </c>
      <c r="Q907" s="17" t="str">
        <f t="shared" si="2"/>
        <v/>
      </c>
      <c r="R907" s="16" t="s">
        <v>1976</v>
      </c>
      <c r="S907" s="21"/>
      <c r="T907" s="21"/>
      <c r="U907" s="28"/>
      <c r="V907" s="28"/>
      <c r="W907" s="21"/>
      <c r="X907" s="21"/>
    </row>
    <row r="908" ht="22.5" hidden="1" customHeight="1">
      <c r="A908" s="25"/>
      <c r="B908" s="34"/>
      <c r="C908" s="27"/>
      <c r="D908" s="28"/>
      <c r="E908" s="27"/>
      <c r="F908" s="27"/>
      <c r="G908" s="27"/>
      <c r="H908" s="27"/>
      <c r="I908" s="27"/>
      <c r="J908" s="28"/>
      <c r="K908" s="16" t="str">
        <f t="array" ref="K908">IFERROR(VLOOKUP(B908, SORT('Nhật ký nộp hồ sơ '!B:D, 'Nhật ký nộp hồ sơ '!A:A, FALSE), 3, FALSE),"")</f>
        <v/>
      </c>
      <c r="L908" s="16" t="str">
        <f t="shared" si="1"/>
        <v/>
      </c>
      <c r="M908" s="27"/>
      <c r="N908" s="22" t="str">
        <f>IFERROR(__xludf.DUMMYFUNCTION("""COMPUTED_VALUE"""),"")</f>
        <v/>
      </c>
      <c r="O908" s="22" t="s">
        <v>1976</v>
      </c>
      <c r="P908" s="22" t="str">
        <f>IFERROR(__xludf.DUMMYFUNCTION("IFERROR(QUERY('Nhật ký nộp hồ sơ '!A:I, ""SELECT I WHERE B = '""&amp;B907&amp;""' ORDER BY A DESC LIMIT 1"", 0))"),"")</f>
        <v/>
      </c>
      <c r="Q908" s="17" t="str">
        <f t="shared" si="2"/>
        <v/>
      </c>
      <c r="R908" s="16" t="s">
        <v>1976</v>
      </c>
      <c r="S908" s="21"/>
      <c r="T908" s="21"/>
      <c r="U908" s="28"/>
      <c r="V908" s="28"/>
      <c r="W908" s="21"/>
      <c r="X908" s="21"/>
    </row>
    <row r="909" ht="22.5" hidden="1" customHeight="1">
      <c r="A909" s="25"/>
      <c r="B909" s="34"/>
      <c r="C909" s="27"/>
      <c r="D909" s="28"/>
      <c r="E909" s="27"/>
      <c r="F909" s="27"/>
      <c r="G909" s="27"/>
      <c r="H909" s="27"/>
      <c r="I909" s="27"/>
      <c r="J909" s="28"/>
      <c r="K909" s="16" t="str">
        <f t="array" ref="K909">IFERROR(VLOOKUP(B909, SORT('Nhật ký nộp hồ sơ '!B:D, 'Nhật ký nộp hồ sơ '!A:A, FALSE), 3, FALSE),"")</f>
        <v/>
      </c>
      <c r="L909" s="16" t="str">
        <f t="shared" si="1"/>
        <v/>
      </c>
      <c r="M909" s="27"/>
      <c r="N909" s="22" t="str">
        <f>IFERROR(__xludf.DUMMYFUNCTION("""COMPUTED_VALUE"""),"")</f>
        <v/>
      </c>
      <c r="O909" s="22" t="s">
        <v>1976</v>
      </c>
      <c r="P909" s="22" t="str">
        <f>IFERROR(__xludf.DUMMYFUNCTION("IFERROR(QUERY('Nhật ký nộp hồ sơ '!A:I, ""SELECT I WHERE B = '""&amp;B908&amp;""' ORDER BY A DESC LIMIT 1"", 0))"),"")</f>
        <v/>
      </c>
      <c r="Q909" s="17" t="str">
        <f t="shared" si="2"/>
        <v/>
      </c>
      <c r="R909" s="16" t="s">
        <v>1976</v>
      </c>
      <c r="S909" s="21"/>
      <c r="T909" s="21"/>
      <c r="U909" s="28"/>
      <c r="V909" s="28"/>
      <c r="W909" s="21"/>
      <c r="X909" s="21"/>
    </row>
    <row r="910" ht="22.5" hidden="1" customHeight="1">
      <c r="A910" s="25"/>
      <c r="B910" s="34"/>
      <c r="C910" s="27"/>
      <c r="D910" s="28"/>
      <c r="E910" s="27"/>
      <c r="F910" s="27"/>
      <c r="G910" s="27"/>
      <c r="H910" s="27"/>
      <c r="I910" s="27"/>
      <c r="J910" s="28"/>
      <c r="K910" s="16" t="str">
        <f t="array" ref="K910">IFERROR(VLOOKUP(B910, SORT('Nhật ký nộp hồ sơ '!B:D, 'Nhật ký nộp hồ sơ '!A:A, FALSE), 3, FALSE),"")</f>
        <v/>
      </c>
      <c r="L910" s="16" t="str">
        <f t="shared" si="1"/>
        <v/>
      </c>
      <c r="M910" s="27"/>
      <c r="N910" s="22" t="str">
        <f>IFERROR(__xludf.DUMMYFUNCTION("""COMPUTED_VALUE"""),"")</f>
        <v/>
      </c>
      <c r="O910" s="22" t="s">
        <v>1976</v>
      </c>
      <c r="P910" s="22" t="str">
        <f>IFERROR(__xludf.DUMMYFUNCTION("IFERROR(QUERY('Nhật ký nộp hồ sơ '!A:I, ""SELECT I WHERE B = '""&amp;B909&amp;""' ORDER BY A DESC LIMIT 1"", 0))"),"")</f>
        <v/>
      </c>
      <c r="Q910" s="17" t="str">
        <f t="shared" si="2"/>
        <v/>
      </c>
      <c r="R910" s="16" t="s">
        <v>1976</v>
      </c>
      <c r="S910" s="21"/>
      <c r="T910" s="21"/>
      <c r="U910" s="28"/>
      <c r="V910" s="28"/>
      <c r="W910" s="21"/>
      <c r="X910" s="21"/>
    </row>
    <row r="911" ht="22.5" hidden="1" customHeight="1">
      <c r="A911" s="25"/>
      <c r="B911" s="34"/>
      <c r="C911" s="27"/>
      <c r="D911" s="28"/>
      <c r="E911" s="27"/>
      <c r="F911" s="27"/>
      <c r="G911" s="27"/>
      <c r="H911" s="27"/>
      <c r="I911" s="27"/>
      <c r="J911" s="28"/>
      <c r="K911" s="16" t="str">
        <f t="array" ref="K911">IFERROR(VLOOKUP(B911, SORT('Nhật ký nộp hồ sơ '!B:D, 'Nhật ký nộp hồ sơ '!A:A, FALSE), 3, FALSE),"")</f>
        <v/>
      </c>
      <c r="L911" s="16" t="str">
        <f t="shared" si="1"/>
        <v/>
      </c>
      <c r="M911" s="27"/>
      <c r="N911" s="22" t="str">
        <f>IFERROR(__xludf.DUMMYFUNCTION("""COMPUTED_VALUE"""),"")</f>
        <v/>
      </c>
      <c r="O911" s="22" t="s">
        <v>1976</v>
      </c>
      <c r="P911" s="22" t="str">
        <f>IFERROR(__xludf.DUMMYFUNCTION("IFERROR(QUERY('Nhật ký nộp hồ sơ '!A:I, ""SELECT I WHERE B = '""&amp;B910&amp;""' ORDER BY A DESC LIMIT 1"", 0))"),"")</f>
        <v/>
      </c>
      <c r="Q911" s="17" t="str">
        <f t="shared" si="2"/>
        <v/>
      </c>
      <c r="R911" s="16" t="s">
        <v>1976</v>
      </c>
      <c r="S911" s="21"/>
      <c r="T911" s="21"/>
      <c r="U911" s="28"/>
      <c r="V911" s="28"/>
      <c r="W911" s="21"/>
      <c r="X911" s="21"/>
    </row>
    <row r="912" ht="22.5" hidden="1" customHeight="1">
      <c r="A912" s="25"/>
      <c r="B912" s="34"/>
      <c r="C912" s="27"/>
      <c r="D912" s="28"/>
      <c r="E912" s="27"/>
      <c r="F912" s="27"/>
      <c r="G912" s="27"/>
      <c r="H912" s="27"/>
      <c r="I912" s="27"/>
      <c r="J912" s="28"/>
      <c r="K912" s="16" t="str">
        <f t="array" ref="K912">IFERROR(VLOOKUP(B912, SORT('Nhật ký nộp hồ sơ '!B:D, 'Nhật ký nộp hồ sơ '!A:A, FALSE), 3, FALSE),"")</f>
        <v/>
      </c>
      <c r="L912" s="16" t="str">
        <f t="shared" si="1"/>
        <v/>
      </c>
      <c r="M912" s="27"/>
      <c r="N912" s="22" t="str">
        <f>IFERROR(__xludf.DUMMYFUNCTION("""COMPUTED_VALUE"""),"")</f>
        <v/>
      </c>
      <c r="O912" s="22" t="s">
        <v>1976</v>
      </c>
      <c r="P912" s="22" t="str">
        <f>IFERROR(__xludf.DUMMYFUNCTION("IFERROR(QUERY('Nhật ký nộp hồ sơ '!A:I, ""SELECT I WHERE B = '""&amp;B911&amp;""' ORDER BY A DESC LIMIT 1"", 0))"),"")</f>
        <v/>
      </c>
      <c r="Q912" s="17" t="str">
        <f t="shared" si="2"/>
        <v/>
      </c>
      <c r="R912" s="16" t="s">
        <v>1976</v>
      </c>
      <c r="S912" s="21"/>
      <c r="T912" s="21"/>
      <c r="U912" s="28"/>
      <c r="V912" s="28"/>
      <c r="W912" s="21"/>
      <c r="X912" s="21"/>
    </row>
    <row r="913" ht="22.5" hidden="1" customHeight="1">
      <c r="A913" s="25"/>
      <c r="B913" s="34"/>
      <c r="C913" s="27"/>
      <c r="D913" s="28"/>
      <c r="E913" s="27"/>
      <c r="F913" s="27"/>
      <c r="G913" s="27"/>
      <c r="H913" s="27"/>
      <c r="I913" s="27"/>
      <c r="J913" s="28"/>
      <c r="K913" s="16" t="str">
        <f t="array" ref="K913">IFERROR(VLOOKUP(B913, SORT('Nhật ký nộp hồ sơ '!B:D, 'Nhật ký nộp hồ sơ '!A:A, FALSE), 3, FALSE),"")</f>
        <v/>
      </c>
      <c r="L913" s="16" t="str">
        <f t="shared" si="1"/>
        <v/>
      </c>
      <c r="M913" s="27"/>
      <c r="N913" s="22" t="str">
        <f>IFERROR(__xludf.DUMMYFUNCTION("""COMPUTED_VALUE"""),"")</f>
        <v/>
      </c>
      <c r="O913" s="22" t="s">
        <v>1976</v>
      </c>
      <c r="P913" s="22" t="str">
        <f>IFERROR(__xludf.DUMMYFUNCTION("IFERROR(QUERY('Nhật ký nộp hồ sơ '!A:I, ""SELECT I WHERE B = '""&amp;B912&amp;""' ORDER BY A DESC LIMIT 1"", 0))"),"")</f>
        <v/>
      </c>
      <c r="Q913" s="17" t="str">
        <f t="shared" si="2"/>
        <v/>
      </c>
      <c r="R913" s="16" t="s">
        <v>1976</v>
      </c>
      <c r="S913" s="21"/>
      <c r="T913" s="21"/>
      <c r="U913" s="28"/>
      <c r="V913" s="28"/>
      <c r="W913" s="21"/>
      <c r="X913" s="21"/>
    </row>
    <row r="914" ht="22.5" hidden="1" customHeight="1">
      <c r="A914" s="25"/>
      <c r="B914" s="34"/>
      <c r="C914" s="27"/>
      <c r="D914" s="28"/>
      <c r="E914" s="27"/>
      <c r="F914" s="27"/>
      <c r="G914" s="27"/>
      <c r="H914" s="27"/>
      <c r="I914" s="27"/>
      <c r="J914" s="28"/>
      <c r="K914" s="16" t="str">
        <f t="array" ref="K914">IFERROR(VLOOKUP(B914, SORT('Nhật ký nộp hồ sơ '!B:D, 'Nhật ký nộp hồ sơ '!A:A, FALSE), 3, FALSE),"")</f>
        <v/>
      </c>
      <c r="L914" s="16" t="str">
        <f t="shared" si="1"/>
        <v/>
      </c>
      <c r="M914" s="27"/>
      <c r="N914" s="22" t="str">
        <f>IFERROR(__xludf.DUMMYFUNCTION("""COMPUTED_VALUE"""),"")</f>
        <v/>
      </c>
      <c r="O914" s="22" t="s">
        <v>1976</v>
      </c>
      <c r="P914" s="22" t="str">
        <f>IFERROR(__xludf.DUMMYFUNCTION("IFERROR(QUERY('Nhật ký nộp hồ sơ '!A:I, ""SELECT I WHERE B = '""&amp;B913&amp;""' ORDER BY A DESC LIMIT 1"", 0))"),"")</f>
        <v/>
      </c>
      <c r="Q914" s="17" t="str">
        <f t="shared" si="2"/>
        <v/>
      </c>
      <c r="R914" s="16" t="s">
        <v>1976</v>
      </c>
      <c r="S914" s="21"/>
      <c r="T914" s="21"/>
      <c r="U914" s="28"/>
      <c r="V914" s="28"/>
      <c r="W914" s="21"/>
      <c r="X914" s="21"/>
    </row>
    <row r="915" ht="22.5" hidden="1" customHeight="1">
      <c r="A915" s="25"/>
      <c r="B915" s="34"/>
      <c r="C915" s="27"/>
      <c r="D915" s="28"/>
      <c r="E915" s="27"/>
      <c r="F915" s="27"/>
      <c r="G915" s="27"/>
      <c r="H915" s="27"/>
      <c r="I915" s="27"/>
      <c r="J915" s="28"/>
      <c r="K915" s="16" t="str">
        <f t="array" ref="K915">IFERROR(VLOOKUP(B915, SORT('Nhật ký nộp hồ sơ '!B:D, 'Nhật ký nộp hồ sơ '!A:A, FALSE), 3, FALSE),"")</f>
        <v/>
      </c>
      <c r="L915" s="16" t="str">
        <f t="shared" si="1"/>
        <v/>
      </c>
      <c r="M915" s="27"/>
      <c r="N915" s="22" t="str">
        <f>IFERROR(__xludf.DUMMYFUNCTION("""COMPUTED_VALUE"""),"")</f>
        <v/>
      </c>
      <c r="O915" s="22" t="s">
        <v>1976</v>
      </c>
      <c r="P915" s="22" t="str">
        <f>IFERROR(__xludf.DUMMYFUNCTION("IFERROR(QUERY('Nhật ký nộp hồ sơ '!A:I, ""SELECT I WHERE B = '""&amp;B914&amp;""' ORDER BY A DESC LIMIT 1"", 0))"),"")</f>
        <v/>
      </c>
      <c r="Q915" s="17" t="str">
        <f t="shared" si="2"/>
        <v/>
      </c>
      <c r="R915" s="16" t="s">
        <v>1976</v>
      </c>
      <c r="S915" s="21"/>
      <c r="T915" s="21"/>
      <c r="U915" s="28"/>
      <c r="V915" s="28"/>
      <c r="W915" s="21"/>
      <c r="X915" s="21"/>
    </row>
    <row r="916" ht="22.5" hidden="1" customHeight="1">
      <c r="A916" s="25"/>
      <c r="B916" s="34"/>
      <c r="C916" s="27"/>
      <c r="D916" s="28"/>
      <c r="E916" s="27"/>
      <c r="F916" s="27"/>
      <c r="G916" s="27"/>
      <c r="H916" s="27"/>
      <c r="I916" s="27"/>
      <c r="J916" s="28"/>
      <c r="K916" s="16" t="str">
        <f t="array" ref="K916">IFERROR(VLOOKUP(B916, SORT('Nhật ký nộp hồ sơ '!B:D, 'Nhật ký nộp hồ sơ '!A:A, FALSE), 3, FALSE),"")</f>
        <v/>
      </c>
      <c r="L916" s="16" t="str">
        <f t="shared" si="1"/>
        <v/>
      </c>
      <c r="M916" s="27"/>
      <c r="N916" s="22" t="str">
        <f>IFERROR(__xludf.DUMMYFUNCTION("""COMPUTED_VALUE"""),"")</f>
        <v/>
      </c>
      <c r="O916" s="22" t="s">
        <v>1976</v>
      </c>
      <c r="P916" s="22" t="str">
        <f>IFERROR(__xludf.DUMMYFUNCTION("IFERROR(QUERY('Nhật ký nộp hồ sơ '!A:I, ""SELECT I WHERE B = '""&amp;B915&amp;""' ORDER BY A DESC LIMIT 1"", 0))"),"")</f>
        <v/>
      </c>
      <c r="Q916" s="17" t="str">
        <f t="shared" si="2"/>
        <v/>
      </c>
      <c r="R916" s="16" t="s">
        <v>1976</v>
      </c>
      <c r="S916" s="21"/>
      <c r="T916" s="21"/>
      <c r="U916" s="28"/>
      <c r="V916" s="28"/>
      <c r="W916" s="21"/>
      <c r="X916" s="21"/>
    </row>
    <row r="917" ht="22.5" hidden="1" customHeight="1">
      <c r="A917" s="25"/>
      <c r="B917" s="34"/>
      <c r="C917" s="27"/>
      <c r="D917" s="28"/>
      <c r="E917" s="27"/>
      <c r="F917" s="27"/>
      <c r="G917" s="27"/>
      <c r="H917" s="27"/>
      <c r="I917" s="27"/>
      <c r="J917" s="28"/>
      <c r="K917" s="16" t="str">
        <f t="array" ref="K917">IFERROR(VLOOKUP(B917, SORT('Nhật ký nộp hồ sơ '!B:D, 'Nhật ký nộp hồ sơ '!A:A, FALSE), 3, FALSE),"")</f>
        <v/>
      </c>
      <c r="L917" s="16" t="str">
        <f t="shared" si="1"/>
        <v/>
      </c>
      <c r="M917" s="27"/>
      <c r="N917" s="22" t="str">
        <f>IFERROR(__xludf.DUMMYFUNCTION("""COMPUTED_VALUE"""),"")</f>
        <v/>
      </c>
      <c r="O917" s="22" t="s">
        <v>1976</v>
      </c>
      <c r="P917" s="22" t="str">
        <f>IFERROR(__xludf.DUMMYFUNCTION("IFERROR(QUERY('Nhật ký nộp hồ sơ '!A:I, ""SELECT I WHERE B = '""&amp;B916&amp;""' ORDER BY A DESC LIMIT 1"", 0))"),"")</f>
        <v/>
      </c>
      <c r="Q917" s="17" t="str">
        <f t="shared" si="2"/>
        <v/>
      </c>
      <c r="R917" s="16" t="s">
        <v>1976</v>
      </c>
      <c r="S917" s="21"/>
      <c r="T917" s="21"/>
      <c r="U917" s="28"/>
      <c r="V917" s="28"/>
      <c r="W917" s="21"/>
      <c r="X917" s="21"/>
    </row>
    <row r="918" ht="22.5" hidden="1" customHeight="1">
      <c r="A918" s="25"/>
      <c r="B918" s="34"/>
      <c r="C918" s="27"/>
      <c r="D918" s="28"/>
      <c r="E918" s="27"/>
      <c r="F918" s="27"/>
      <c r="G918" s="27"/>
      <c r="H918" s="27"/>
      <c r="I918" s="27"/>
      <c r="J918" s="28"/>
      <c r="K918" s="16" t="str">
        <f t="array" ref="K918">IFERROR(VLOOKUP(B918, SORT('Nhật ký nộp hồ sơ '!B:D, 'Nhật ký nộp hồ sơ '!A:A, FALSE), 3, FALSE),"")</f>
        <v/>
      </c>
      <c r="L918" s="16" t="str">
        <f t="shared" si="1"/>
        <v/>
      </c>
      <c r="M918" s="27"/>
      <c r="N918" s="22" t="str">
        <f>IFERROR(__xludf.DUMMYFUNCTION("""COMPUTED_VALUE"""),"")</f>
        <v/>
      </c>
      <c r="O918" s="22" t="s">
        <v>1976</v>
      </c>
      <c r="P918" s="22" t="str">
        <f>IFERROR(__xludf.DUMMYFUNCTION("IFERROR(QUERY('Nhật ký nộp hồ sơ '!A:I, ""SELECT I WHERE B = '""&amp;B917&amp;""' ORDER BY A DESC LIMIT 1"", 0))"),"")</f>
        <v/>
      </c>
      <c r="Q918" s="17" t="str">
        <f t="shared" si="2"/>
        <v/>
      </c>
      <c r="R918" s="16" t="s">
        <v>1976</v>
      </c>
      <c r="S918" s="21"/>
      <c r="T918" s="21"/>
      <c r="U918" s="28"/>
      <c r="V918" s="28"/>
      <c r="W918" s="21"/>
      <c r="X918" s="21"/>
    </row>
    <row r="919" ht="22.5" hidden="1" customHeight="1">
      <c r="A919" s="25"/>
      <c r="B919" s="34"/>
      <c r="C919" s="27"/>
      <c r="D919" s="28"/>
      <c r="E919" s="27"/>
      <c r="F919" s="27"/>
      <c r="G919" s="27"/>
      <c r="H919" s="27"/>
      <c r="I919" s="27"/>
      <c r="J919" s="28"/>
      <c r="K919" s="16" t="str">
        <f t="array" ref="K919">IFERROR(VLOOKUP(B919, SORT('Nhật ký nộp hồ sơ '!B:D, 'Nhật ký nộp hồ sơ '!A:A, FALSE), 3, FALSE),"")</f>
        <v/>
      </c>
      <c r="L919" s="16" t="str">
        <f t="shared" si="1"/>
        <v/>
      </c>
      <c r="M919" s="27"/>
      <c r="N919" s="22" t="str">
        <f>IFERROR(__xludf.DUMMYFUNCTION("""COMPUTED_VALUE"""),"")</f>
        <v/>
      </c>
      <c r="O919" s="22" t="s">
        <v>1976</v>
      </c>
      <c r="P919" s="22" t="str">
        <f>IFERROR(__xludf.DUMMYFUNCTION("IFERROR(QUERY('Nhật ký nộp hồ sơ '!A:I, ""SELECT I WHERE B = '""&amp;B918&amp;""' ORDER BY A DESC LIMIT 1"", 0))"),"")</f>
        <v/>
      </c>
      <c r="Q919" s="17" t="str">
        <f t="shared" si="2"/>
        <v/>
      </c>
      <c r="R919" s="16" t="s">
        <v>1976</v>
      </c>
      <c r="S919" s="21"/>
      <c r="T919" s="21"/>
      <c r="U919" s="28"/>
      <c r="V919" s="28"/>
      <c r="W919" s="21"/>
      <c r="X919" s="21"/>
    </row>
    <row r="920" ht="22.5" hidden="1" customHeight="1">
      <c r="A920" s="25"/>
      <c r="B920" s="34"/>
      <c r="C920" s="27"/>
      <c r="D920" s="28"/>
      <c r="E920" s="27"/>
      <c r="F920" s="27"/>
      <c r="G920" s="27"/>
      <c r="H920" s="27"/>
      <c r="I920" s="27"/>
      <c r="J920" s="28"/>
      <c r="K920" s="16" t="str">
        <f t="array" ref="K920">IFERROR(VLOOKUP(B920, SORT('Nhật ký nộp hồ sơ '!B:D, 'Nhật ký nộp hồ sơ '!A:A, FALSE), 3, FALSE),"")</f>
        <v/>
      </c>
      <c r="L920" s="16" t="str">
        <f t="shared" si="1"/>
        <v/>
      </c>
      <c r="M920" s="27"/>
      <c r="N920" s="22" t="str">
        <f>IFERROR(__xludf.DUMMYFUNCTION("""COMPUTED_VALUE"""),"")</f>
        <v/>
      </c>
      <c r="O920" s="22" t="s">
        <v>1976</v>
      </c>
      <c r="P920" s="22" t="str">
        <f>IFERROR(__xludf.DUMMYFUNCTION("IFERROR(QUERY('Nhật ký nộp hồ sơ '!A:I, ""SELECT I WHERE B = '""&amp;B919&amp;""' ORDER BY A DESC LIMIT 1"", 0))"),"")</f>
        <v/>
      </c>
      <c r="Q920" s="17" t="str">
        <f t="shared" si="2"/>
        <v/>
      </c>
      <c r="R920" s="16" t="s">
        <v>1976</v>
      </c>
      <c r="S920" s="21"/>
      <c r="T920" s="21"/>
      <c r="U920" s="28"/>
      <c r="V920" s="28"/>
      <c r="W920" s="21"/>
      <c r="X920" s="21"/>
    </row>
    <row r="921" ht="22.5" hidden="1" customHeight="1">
      <c r="A921" s="25"/>
      <c r="B921" s="34"/>
      <c r="C921" s="27"/>
      <c r="D921" s="28"/>
      <c r="E921" s="27"/>
      <c r="F921" s="27"/>
      <c r="G921" s="27"/>
      <c r="H921" s="27"/>
      <c r="I921" s="27"/>
      <c r="J921" s="28"/>
      <c r="K921" s="16" t="str">
        <f t="array" ref="K921">IFERROR(VLOOKUP(B921, SORT('Nhật ký nộp hồ sơ '!B:D, 'Nhật ký nộp hồ sơ '!A:A, FALSE), 3, FALSE),"")</f>
        <v/>
      </c>
      <c r="L921" s="16" t="str">
        <f t="shared" si="1"/>
        <v/>
      </c>
      <c r="M921" s="27"/>
      <c r="N921" s="22" t="str">
        <f>IFERROR(__xludf.DUMMYFUNCTION("""COMPUTED_VALUE"""),"")</f>
        <v/>
      </c>
      <c r="O921" s="22" t="s">
        <v>1976</v>
      </c>
      <c r="P921" s="22" t="str">
        <f>IFERROR(__xludf.DUMMYFUNCTION("IFERROR(QUERY('Nhật ký nộp hồ sơ '!A:I, ""SELECT I WHERE B = '""&amp;B920&amp;""' ORDER BY A DESC LIMIT 1"", 0))"),"")</f>
        <v/>
      </c>
      <c r="Q921" s="17" t="str">
        <f t="shared" si="2"/>
        <v/>
      </c>
      <c r="R921" s="16" t="s">
        <v>1976</v>
      </c>
      <c r="S921" s="21"/>
      <c r="T921" s="21"/>
      <c r="U921" s="28"/>
      <c r="V921" s="28"/>
      <c r="W921" s="21"/>
      <c r="X921" s="21"/>
    </row>
    <row r="922" ht="22.5" hidden="1" customHeight="1">
      <c r="A922" s="25"/>
      <c r="B922" s="34"/>
      <c r="C922" s="27"/>
      <c r="D922" s="28"/>
      <c r="E922" s="27"/>
      <c r="F922" s="27"/>
      <c r="G922" s="27"/>
      <c r="H922" s="27"/>
      <c r="I922" s="27"/>
      <c r="J922" s="28"/>
      <c r="K922" s="16" t="str">
        <f t="array" ref="K922">IFERROR(VLOOKUP(B922, SORT('Nhật ký nộp hồ sơ '!B:D, 'Nhật ký nộp hồ sơ '!A:A, FALSE), 3, FALSE),"")</f>
        <v/>
      </c>
      <c r="L922" s="16" t="str">
        <f t="shared" si="1"/>
        <v/>
      </c>
      <c r="M922" s="27"/>
      <c r="N922" s="22" t="str">
        <f>IFERROR(__xludf.DUMMYFUNCTION("""COMPUTED_VALUE"""),"")</f>
        <v/>
      </c>
      <c r="O922" s="22" t="s">
        <v>1976</v>
      </c>
      <c r="P922" s="22" t="str">
        <f>IFERROR(__xludf.DUMMYFUNCTION("IFERROR(QUERY('Nhật ký nộp hồ sơ '!A:I, ""SELECT I WHERE B = '""&amp;B921&amp;""' ORDER BY A DESC LIMIT 1"", 0))"),"")</f>
        <v/>
      </c>
      <c r="Q922" s="17" t="str">
        <f t="shared" si="2"/>
        <v/>
      </c>
      <c r="R922" s="16" t="s">
        <v>1976</v>
      </c>
      <c r="S922" s="21"/>
      <c r="T922" s="21"/>
      <c r="U922" s="28"/>
      <c r="V922" s="28"/>
      <c r="W922" s="21"/>
      <c r="X922" s="21"/>
    </row>
    <row r="923" ht="22.5" hidden="1" customHeight="1">
      <c r="A923" s="25"/>
      <c r="B923" s="34"/>
      <c r="C923" s="27"/>
      <c r="D923" s="28"/>
      <c r="E923" s="27"/>
      <c r="F923" s="27"/>
      <c r="G923" s="27"/>
      <c r="H923" s="27"/>
      <c r="I923" s="27"/>
      <c r="J923" s="28"/>
      <c r="K923" s="16" t="str">
        <f t="array" ref="K923">IFERROR(VLOOKUP(B923, SORT('Nhật ký nộp hồ sơ '!B:D, 'Nhật ký nộp hồ sơ '!A:A, FALSE), 3, FALSE),"")</f>
        <v/>
      </c>
      <c r="L923" s="16" t="str">
        <f t="shared" si="1"/>
        <v/>
      </c>
      <c r="M923" s="27"/>
      <c r="N923" s="22" t="str">
        <f>IFERROR(__xludf.DUMMYFUNCTION("""COMPUTED_VALUE"""),"")</f>
        <v/>
      </c>
      <c r="O923" s="22" t="s">
        <v>1976</v>
      </c>
      <c r="P923" s="22" t="str">
        <f>IFERROR(__xludf.DUMMYFUNCTION("IFERROR(QUERY('Nhật ký nộp hồ sơ '!A:I, ""SELECT I WHERE B = '""&amp;B922&amp;""' ORDER BY A DESC LIMIT 1"", 0))"),"")</f>
        <v/>
      </c>
      <c r="Q923" s="17" t="str">
        <f t="shared" si="2"/>
        <v/>
      </c>
      <c r="R923" s="16" t="s">
        <v>1976</v>
      </c>
      <c r="S923" s="21"/>
      <c r="T923" s="21"/>
      <c r="U923" s="28"/>
      <c r="V923" s="28"/>
      <c r="W923" s="21"/>
      <c r="X923" s="21"/>
    </row>
    <row r="924" ht="22.5" hidden="1" customHeight="1">
      <c r="A924" s="25"/>
      <c r="B924" s="34"/>
      <c r="C924" s="27"/>
      <c r="D924" s="28"/>
      <c r="E924" s="27"/>
      <c r="F924" s="27"/>
      <c r="G924" s="27"/>
      <c r="H924" s="27"/>
      <c r="I924" s="27"/>
      <c r="J924" s="28"/>
      <c r="K924" s="16" t="str">
        <f t="array" ref="K924">IFERROR(VLOOKUP(B924, SORT('Nhật ký nộp hồ sơ '!B:D, 'Nhật ký nộp hồ sơ '!A:A, FALSE), 3, FALSE),"")</f>
        <v/>
      </c>
      <c r="L924" s="16" t="str">
        <f t="shared" si="1"/>
        <v/>
      </c>
      <c r="M924" s="27"/>
      <c r="N924" s="22" t="str">
        <f>IFERROR(__xludf.DUMMYFUNCTION("""COMPUTED_VALUE"""),"")</f>
        <v/>
      </c>
      <c r="O924" s="22" t="s">
        <v>1976</v>
      </c>
      <c r="P924" s="22" t="str">
        <f>IFERROR(__xludf.DUMMYFUNCTION("IFERROR(QUERY('Nhật ký nộp hồ sơ '!A:I, ""SELECT I WHERE B = '""&amp;B923&amp;""' ORDER BY A DESC LIMIT 1"", 0))"),"")</f>
        <v/>
      </c>
      <c r="Q924" s="17" t="str">
        <f t="shared" si="2"/>
        <v/>
      </c>
      <c r="R924" s="16" t="s">
        <v>1976</v>
      </c>
      <c r="S924" s="21"/>
      <c r="T924" s="21"/>
      <c r="U924" s="28"/>
      <c r="V924" s="28"/>
      <c r="W924" s="21"/>
      <c r="X924" s="21"/>
    </row>
    <row r="925" ht="22.5" hidden="1" customHeight="1">
      <c r="A925" s="25"/>
      <c r="B925" s="43"/>
      <c r="C925" s="27"/>
      <c r="D925" s="28"/>
      <c r="E925" s="27"/>
      <c r="F925" s="27"/>
      <c r="G925" s="27"/>
      <c r="H925" s="27"/>
      <c r="I925" s="27"/>
      <c r="J925" s="28"/>
      <c r="K925" s="16" t="str">
        <f t="array" ref="K925">IFERROR(VLOOKUP(B925, SORT('Nhật ký nộp hồ sơ '!B:D, 'Nhật ký nộp hồ sơ '!A:A, FALSE), 3, FALSE),"")</f>
        <v/>
      </c>
      <c r="L925" s="16" t="str">
        <f t="shared" si="1"/>
        <v/>
      </c>
      <c r="M925" s="27"/>
      <c r="N925" s="22" t="str">
        <f>IFERROR(__xludf.DUMMYFUNCTION("""COMPUTED_VALUE"""),"")</f>
        <v/>
      </c>
      <c r="O925" s="22" t="s">
        <v>1976</v>
      </c>
      <c r="P925" s="22" t="str">
        <f>IFERROR(__xludf.DUMMYFUNCTION("IFERROR(QUERY('Nhật ký nộp hồ sơ '!A:I, ""SELECT I WHERE B = '""&amp;B924&amp;""' ORDER BY A DESC LIMIT 1"", 0))"),"")</f>
        <v/>
      </c>
      <c r="Q925" s="17" t="str">
        <f t="shared" si="2"/>
        <v/>
      </c>
      <c r="R925" s="16" t="s">
        <v>1976</v>
      </c>
      <c r="S925" s="21"/>
      <c r="T925" s="21"/>
      <c r="U925" s="28"/>
      <c r="V925" s="28"/>
      <c r="W925" s="21"/>
      <c r="X925" s="21"/>
    </row>
    <row r="926" ht="22.5" hidden="1" customHeight="1">
      <c r="A926" s="25"/>
      <c r="B926" s="44"/>
      <c r="C926" s="27"/>
      <c r="D926" s="28"/>
      <c r="E926" s="27"/>
      <c r="F926" s="27"/>
      <c r="G926" s="27"/>
      <c r="H926" s="27"/>
      <c r="I926" s="27"/>
      <c r="J926" s="28"/>
      <c r="K926" s="16" t="str">
        <f t="array" ref="K926">IFERROR(VLOOKUP(B926, SORT('Nhật ký nộp hồ sơ '!B:D, 'Nhật ký nộp hồ sơ '!A:A, FALSE), 3, FALSE),"")</f>
        <v/>
      </c>
      <c r="L926" s="21" t="str">
        <f t="shared" si="1"/>
        <v/>
      </c>
      <c r="M926" s="27"/>
      <c r="N926" s="22" t="str">
        <f>IFERROR(__xludf.DUMMYFUNCTION("""COMPUTED_VALUE"""),"")</f>
        <v/>
      </c>
      <c r="O926" s="22" t="s">
        <v>1976</v>
      </c>
      <c r="P926" s="22" t="str">
        <f>IFERROR(__xludf.DUMMYFUNCTION("IFERROR(QUERY('Nhật ký nộp hồ sơ '!A:I, ""SELECT I WHERE B = '""&amp;B925&amp;""' ORDER BY A DESC LIMIT 1"", 0))"),"")</f>
        <v/>
      </c>
      <c r="Q926" s="17" t="str">
        <f t="shared" si="2"/>
        <v/>
      </c>
      <c r="R926" s="16" t="s">
        <v>1976</v>
      </c>
      <c r="S926" s="21"/>
      <c r="T926" s="21"/>
      <c r="U926" s="28"/>
      <c r="V926" s="28"/>
      <c r="W926" s="21"/>
      <c r="X926" s="21"/>
    </row>
    <row r="927" ht="22.5" hidden="1" customHeight="1">
      <c r="A927" s="25"/>
      <c r="B927" s="44"/>
      <c r="C927" s="27"/>
      <c r="D927" s="28"/>
      <c r="E927" s="27"/>
      <c r="F927" s="27"/>
      <c r="G927" s="27"/>
      <c r="H927" s="27"/>
      <c r="I927" s="27"/>
      <c r="J927" s="28"/>
      <c r="K927" s="16" t="str">
        <f t="array" ref="K927">IFERROR(VLOOKUP(B927, SORT('Nhật ký nộp hồ sơ '!B:D, 'Nhật ký nộp hồ sơ '!A:A, FALSE), 3, FALSE),"")</f>
        <v/>
      </c>
      <c r="L927" s="21" t="str">
        <f t="shared" si="1"/>
        <v/>
      </c>
      <c r="M927" s="27"/>
      <c r="N927" s="22" t="str">
        <f>IFERROR(__xludf.DUMMYFUNCTION("""COMPUTED_VALUE"""),"")</f>
        <v/>
      </c>
      <c r="O927" s="22" t="s">
        <v>1976</v>
      </c>
      <c r="P927" s="22" t="str">
        <f>IFERROR(__xludf.DUMMYFUNCTION("IFERROR(QUERY('Nhật ký nộp hồ sơ '!A:I, ""SELECT I WHERE B = '""&amp;B926&amp;""' ORDER BY A DESC LIMIT 1"", 0))"),"")</f>
        <v/>
      </c>
      <c r="Q927" s="17" t="str">
        <f t="shared" si="2"/>
        <v/>
      </c>
      <c r="R927" s="16" t="s">
        <v>1976</v>
      </c>
      <c r="S927" s="21"/>
      <c r="T927" s="21"/>
      <c r="U927" s="28"/>
      <c r="V927" s="28"/>
      <c r="W927" s="21"/>
      <c r="X927" s="21"/>
    </row>
    <row r="928" ht="22.5" hidden="1" customHeight="1">
      <c r="A928" s="25"/>
      <c r="B928" s="44"/>
      <c r="C928" s="27"/>
      <c r="D928" s="28"/>
      <c r="E928" s="27"/>
      <c r="F928" s="27"/>
      <c r="G928" s="27"/>
      <c r="H928" s="27"/>
      <c r="I928" s="27"/>
      <c r="J928" s="28"/>
      <c r="K928" s="16" t="str">
        <f t="array" ref="K928">IFERROR(VLOOKUP(B928, SORT('Nhật ký nộp hồ sơ '!B:D, 'Nhật ký nộp hồ sơ '!A:A, FALSE), 3, FALSE),"")</f>
        <v/>
      </c>
      <c r="L928" s="21" t="str">
        <f t="shared" si="1"/>
        <v/>
      </c>
      <c r="M928" s="27"/>
      <c r="N928" s="22" t="str">
        <f>IFERROR(__xludf.DUMMYFUNCTION("""COMPUTED_VALUE"""),"")</f>
        <v/>
      </c>
      <c r="O928" s="22" t="s">
        <v>1976</v>
      </c>
      <c r="P928" s="22" t="str">
        <f>IFERROR(__xludf.DUMMYFUNCTION("IFERROR(QUERY('Nhật ký nộp hồ sơ '!A:I, ""SELECT I WHERE B = '""&amp;B927&amp;""' ORDER BY A DESC LIMIT 1"", 0))"),"")</f>
        <v/>
      </c>
      <c r="Q928" s="17" t="str">
        <f t="shared" si="2"/>
        <v/>
      </c>
      <c r="R928" s="16" t="s">
        <v>1976</v>
      </c>
      <c r="S928" s="21"/>
      <c r="T928" s="21"/>
      <c r="U928" s="28"/>
      <c r="V928" s="28"/>
      <c r="W928" s="21"/>
      <c r="X928" s="21"/>
    </row>
    <row r="929" ht="22.5" hidden="1" customHeight="1">
      <c r="A929" s="25"/>
      <c r="B929" s="44"/>
      <c r="C929" s="27"/>
      <c r="D929" s="28"/>
      <c r="E929" s="27"/>
      <c r="F929" s="27"/>
      <c r="G929" s="27"/>
      <c r="H929" s="27"/>
      <c r="I929" s="27"/>
      <c r="J929" s="28"/>
      <c r="K929" s="16" t="str">
        <f t="array" ref="K929">IFERROR(VLOOKUP(B929, SORT('Nhật ký nộp hồ sơ '!B:D, 'Nhật ký nộp hồ sơ '!A:A, FALSE), 3, FALSE),"")</f>
        <v/>
      </c>
      <c r="L929" s="21" t="str">
        <f t="shared" si="1"/>
        <v/>
      </c>
      <c r="M929" s="27"/>
      <c r="N929" s="22" t="str">
        <f>IFERROR(__xludf.DUMMYFUNCTION("""COMPUTED_VALUE"""),"")</f>
        <v/>
      </c>
      <c r="O929" s="22" t="s">
        <v>1976</v>
      </c>
      <c r="P929" s="22" t="str">
        <f>IFERROR(__xludf.DUMMYFUNCTION("IFERROR(QUERY('Nhật ký nộp hồ sơ '!A:I, ""SELECT I WHERE B = '""&amp;B928&amp;""' ORDER BY A DESC LIMIT 1"", 0))"),"")</f>
        <v/>
      </c>
      <c r="Q929" s="17" t="str">
        <f t="shared" si="2"/>
        <v/>
      </c>
      <c r="R929" s="16" t="s">
        <v>1976</v>
      </c>
      <c r="S929" s="21"/>
      <c r="T929" s="21"/>
      <c r="U929" s="28"/>
      <c r="V929" s="28"/>
      <c r="W929" s="21"/>
      <c r="X929" s="21"/>
    </row>
    <row r="930" ht="22.5" hidden="1" customHeight="1">
      <c r="A930" s="25"/>
      <c r="B930" s="44"/>
      <c r="C930" s="27"/>
      <c r="D930" s="28"/>
      <c r="E930" s="27"/>
      <c r="F930" s="27"/>
      <c r="G930" s="27"/>
      <c r="H930" s="27"/>
      <c r="I930" s="27"/>
      <c r="J930" s="28"/>
      <c r="K930" s="16" t="str">
        <f t="array" ref="K930">IFERROR(VLOOKUP(B930, SORT('Nhật ký nộp hồ sơ '!B:D, 'Nhật ký nộp hồ sơ '!A:A, FALSE), 3, FALSE),"")</f>
        <v/>
      </c>
      <c r="L930" s="21" t="str">
        <f t="shared" si="1"/>
        <v/>
      </c>
      <c r="M930" s="27"/>
      <c r="N930" s="22" t="str">
        <f>IFERROR(__xludf.DUMMYFUNCTION("""COMPUTED_VALUE"""),"")</f>
        <v/>
      </c>
      <c r="O930" s="22" t="s">
        <v>1976</v>
      </c>
      <c r="P930" s="22" t="str">
        <f>IFERROR(__xludf.DUMMYFUNCTION("IFERROR(QUERY('Nhật ký nộp hồ sơ '!A:I, ""SELECT I WHERE B = '""&amp;B929&amp;""' ORDER BY A DESC LIMIT 1"", 0))"),"")</f>
        <v/>
      </c>
      <c r="Q930" s="17" t="str">
        <f t="shared" si="2"/>
        <v/>
      </c>
      <c r="R930" s="16" t="s">
        <v>1976</v>
      </c>
      <c r="S930" s="21"/>
      <c r="T930" s="21"/>
      <c r="U930" s="28"/>
      <c r="V930" s="28"/>
      <c r="W930" s="21"/>
      <c r="X930" s="21"/>
    </row>
    <row r="931" ht="22.5" hidden="1" customHeight="1">
      <c r="A931" s="25"/>
      <c r="B931" s="44"/>
      <c r="C931" s="27"/>
      <c r="D931" s="28"/>
      <c r="E931" s="27"/>
      <c r="F931" s="27"/>
      <c r="G931" s="27"/>
      <c r="H931" s="27"/>
      <c r="I931" s="27"/>
      <c r="J931" s="28"/>
      <c r="K931" s="16" t="str">
        <f t="array" ref="K931">IFERROR(VLOOKUP(B931, SORT('Nhật ký nộp hồ sơ '!B:D, 'Nhật ký nộp hồ sơ '!A:A, FALSE), 3, FALSE),"")</f>
        <v/>
      </c>
      <c r="L931" s="21" t="str">
        <f t="shared" si="1"/>
        <v/>
      </c>
      <c r="M931" s="27"/>
      <c r="N931" s="22" t="str">
        <f>IFERROR(__xludf.DUMMYFUNCTION("""COMPUTED_VALUE"""),"")</f>
        <v/>
      </c>
      <c r="O931" s="22" t="s">
        <v>1976</v>
      </c>
      <c r="P931" s="22" t="str">
        <f>IFERROR(__xludf.DUMMYFUNCTION("IFERROR(QUERY('Nhật ký nộp hồ sơ '!A:I, ""SELECT I WHERE B = '""&amp;B930&amp;""' ORDER BY A DESC LIMIT 1"", 0))"),"")</f>
        <v/>
      </c>
      <c r="Q931" s="17" t="str">
        <f t="shared" si="2"/>
        <v/>
      </c>
      <c r="R931" s="16" t="s">
        <v>1976</v>
      </c>
      <c r="S931" s="21"/>
      <c r="T931" s="21"/>
      <c r="U931" s="28"/>
      <c r="V931" s="28"/>
      <c r="W931" s="21"/>
      <c r="X931" s="21"/>
    </row>
    <row r="932" ht="22.5" hidden="1" customHeight="1">
      <c r="A932" s="25"/>
      <c r="B932" s="44"/>
      <c r="C932" s="27"/>
      <c r="D932" s="28"/>
      <c r="E932" s="27"/>
      <c r="F932" s="27"/>
      <c r="G932" s="27"/>
      <c r="H932" s="27"/>
      <c r="I932" s="27"/>
      <c r="J932" s="28"/>
      <c r="K932" s="21" t="str">
        <f t="array" ref="K932">IFERROR(VLOOKUP(B932, SORT('Nhật ký nộp hồ sơ '!B:D, 'Nhật ký nộp hồ sơ '!A:A, FALSE), 3, FALSE),"")</f>
        <v/>
      </c>
      <c r="L932" s="21" t="str">
        <f t="shared" si="1"/>
        <v/>
      </c>
      <c r="M932" s="27"/>
      <c r="N932" s="22" t="str">
        <f>IFERROR(__xludf.DUMMYFUNCTION("""COMPUTED_VALUE"""),"")</f>
        <v/>
      </c>
      <c r="O932" s="22" t="s">
        <v>1976</v>
      </c>
      <c r="P932" s="22" t="str">
        <f>IFERROR(__xludf.DUMMYFUNCTION("IFERROR(QUERY('Nhật ký nộp hồ sơ '!A:I, ""SELECT I WHERE B = '""&amp;B931&amp;""' ORDER BY A DESC LIMIT 1"", 0))"),"")</f>
        <v/>
      </c>
      <c r="Q932" s="17" t="str">
        <f t="shared" si="2"/>
        <v/>
      </c>
      <c r="R932" s="16" t="s">
        <v>1976</v>
      </c>
      <c r="S932" s="21"/>
      <c r="T932" s="21"/>
      <c r="U932" s="28"/>
      <c r="V932" s="28"/>
      <c r="W932" s="21"/>
      <c r="X932" s="21"/>
    </row>
    <row r="933" ht="22.5" hidden="1" customHeight="1">
      <c r="A933" s="25"/>
      <c r="B933" s="44"/>
      <c r="C933" s="27"/>
      <c r="D933" s="28"/>
      <c r="E933" s="27"/>
      <c r="F933" s="27"/>
      <c r="G933" s="27"/>
      <c r="H933" s="27"/>
      <c r="I933" s="27"/>
      <c r="J933" s="28"/>
      <c r="K933" s="21" t="str">
        <f t="array" ref="K933">IFERROR(VLOOKUP(B933, SORT('Nhật ký nộp hồ sơ '!B:D, 'Nhật ký nộp hồ sơ '!A:A, FALSE), 3, FALSE),"")</f>
        <v/>
      </c>
      <c r="L933" s="21" t="str">
        <f t="shared" si="1"/>
        <v/>
      </c>
      <c r="M933" s="27"/>
      <c r="N933" s="22" t="str">
        <f>IFERROR(__xludf.DUMMYFUNCTION("""COMPUTED_VALUE"""),"")</f>
        <v/>
      </c>
      <c r="O933" s="22" t="s">
        <v>1976</v>
      </c>
      <c r="P933" s="22" t="str">
        <f>IFERROR(__xludf.DUMMYFUNCTION("IFERROR(QUERY('Nhật ký nộp hồ sơ '!A:I, ""SELECT I WHERE B = '""&amp;B932&amp;""' ORDER BY A DESC LIMIT 1"", 0))"),"")</f>
        <v/>
      </c>
      <c r="Q933" s="17" t="str">
        <f t="shared" si="2"/>
        <v/>
      </c>
      <c r="R933" s="16" t="s">
        <v>1976</v>
      </c>
      <c r="S933" s="21"/>
      <c r="T933" s="21"/>
      <c r="U933" s="28"/>
      <c r="V933" s="28"/>
      <c r="W933" s="21"/>
      <c r="X933" s="21"/>
    </row>
    <row r="934" ht="22.5" hidden="1" customHeight="1">
      <c r="A934" s="25"/>
      <c r="B934" s="44"/>
      <c r="C934" s="27"/>
      <c r="D934" s="28"/>
      <c r="E934" s="27"/>
      <c r="F934" s="27"/>
      <c r="G934" s="27"/>
      <c r="H934" s="27"/>
      <c r="I934" s="27"/>
      <c r="J934" s="28"/>
      <c r="K934" s="21" t="str">
        <f t="array" ref="K934">IFERROR(VLOOKUP(B934, SORT('Nhật ký nộp hồ sơ '!B:D, 'Nhật ký nộp hồ sơ '!A:A, FALSE), 3, FALSE),"")</f>
        <v/>
      </c>
      <c r="L934" s="21" t="str">
        <f t="shared" si="1"/>
        <v/>
      </c>
      <c r="M934" s="27"/>
      <c r="N934" s="22" t="str">
        <f>IFERROR(__xludf.DUMMYFUNCTION("""COMPUTED_VALUE"""),"")</f>
        <v/>
      </c>
      <c r="O934" s="22" t="s">
        <v>1976</v>
      </c>
      <c r="P934" s="22" t="str">
        <f>IFERROR(__xludf.DUMMYFUNCTION("IFERROR(QUERY('Nhật ký nộp hồ sơ '!A:I, ""SELECT I WHERE B = '""&amp;B933&amp;""' ORDER BY A DESC LIMIT 1"", 0))"),"")</f>
        <v/>
      </c>
      <c r="Q934" s="22" t="str">
        <f t="shared" si="2"/>
        <v/>
      </c>
      <c r="R934" s="16" t="s">
        <v>1976</v>
      </c>
      <c r="S934" s="21"/>
      <c r="T934" s="21"/>
      <c r="U934" s="28"/>
      <c r="V934" s="28"/>
      <c r="W934" s="21"/>
      <c r="X934" s="21"/>
    </row>
    <row r="935" ht="22.5" hidden="1" customHeight="1">
      <c r="A935" s="25"/>
      <c r="B935" s="44"/>
      <c r="C935" s="27"/>
      <c r="D935" s="28"/>
      <c r="E935" s="27"/>
      <c r="F935" s="27"/>
      <c r="G935" s="27"/>
      <c r="H935" s="27"/>
      <c r="I935" s="27"/>
      <c r="J935" s="28"/>
      <c r="K935" s="21" t="str">
        <f t="array" ref="K935">IFERROR(VLOOKUP(B935, SORT('Nhật ký nộp hồ sơ '!B:D, 'Nhật ký nộp hồ sơ '!A:A, FALSE), 3, FALSE),"")</f>
        <v/>
      </c>
      <c r="L935" s="21" t="str">
        <f t="shared" si="1"/>
        <v/>
      </c>
      <c r="M935" s="27"/>
      <c r="N935" s="22" t="str">
        <f>IFERROR(__xludf.DUMMYFUNCTION("""COMPUTED_VALUE"""),"")</f>
        <v/>
      </c>
      <c r="O935" s="22" t="s">
        <v>1976</v>
      </c>
      <c r="P935" s="22" t="str">
        <f>IFERROR(__xludf.DUMMYFUNCTION("IFERROR(QUERY('Nhật ký nộp hồ sơ '!A:I, ""SELECT I WHERE B = '""&amp;B934&amp;""' ORDER BY A DESC LIMIT 1"", 0))"),"")</f>
        <v/>
      </c>
      <c r="Q935" s="22" t="str">
        <f t="shared" si="2"/>
        <v/>
      </c>
      <c r="R935" s="16" t="s">
        <v>1976</v>
      </c>
      <c r="S935" s="21"/>
      <c r="T935" s="21"/>
      <c r="U935" s="28"/>
      <c r="V935" s="28"/>
      <c r="W935" s="21"/>
      <c r="X935" s="21"/>
    </row>
    <row r="936" ht="22.5" hidden="1" customHeight="1">
      <c r="A936" s="25"/>
      <c r="B936" s="44"/>
      <c r="C936" s="27"/>
      <c r="D936" s="28"/>
      <c r="E936" s="27"/>
      <c r="F936" s="27"/>
      <c r="G936" s="27"/>
      <c r="H936" s="27"/>
      <c r="I936" s="27"/>
      <c r="J936" s="28"/>
      <c r="K936" s="21" t="str">
        <f t="array" ref="K936">IFERROR(VLOOKUP(B936, SORT('Nhật ký nộp hồ sơ '!B:D, 'Nhật ký nộp hồ sơ '!A:A, FALSE), 3, FALSE),"")</f>
        <v/>
      </c>
      <c r="L936" s="21" t="str">
        <f t="shared" si="1"/>
        <v/>
      </c>
      <c r="M936" s="27"/>
      <c r="N936" s="22" t="str">
        <f>IFERROR(__xludf.DUMMYFUNCTION("""COMPUTED_VALUE"""),"")</f>
        <v/>
      </c>
      <c r="O936" s="22" t="s">
        <v>1976</v>
      </c>
      <c r="P936" s="22" t="str">
        <f>IFERROR(__xludf.DUMMYFUNCTION("IFERROR(QUERY('Nhật ký nộp hồ sơ '!A:I, ""SELECT I WHERE B = '""&amp;B935&amp;""' ORDER BY A DESC LIMIT 1"", 0))"),"")</f>
        <v/>
      </c>
      <c r="Q936" s="22" t="str">
        <f t="shared" si="2"/>
        <v/>
      </c>
      <c r="R936" s="16" t="s">
        <v>1976</v>
      </c>
      <c r="S936" s="21"/>
      <c r="T936" s="21"/>
      <c r="U936" s="28"/>
      <c r="V936" s="28"/>
      <c r="W936" s="21"/>
      <c r="X936" s="21"/>
    </row>
    <row r="937" ht="22.5" hidden="1" customHeight="1">
      <c r="A937" s="25"/>
      <c r="B937" s="44"/>
      <c r="C937" s="27"/>
      <c r="D937" s="28"/>
      <c r="E937" s="27"/>
      <c r="F937" s="27"/>
      <c r="G937" s="27"/>
      <c r="H937" s="27"/>
      <c r="I937" s="27"/>
      <c r="J937" s="28"/>
      <c r="K937" s="21" t="str">
        <f t="array" ref="K937">IFERROR(VLOOKUP(B937, SORT('Nhật ký nộp hồ sơ '!B:D, 'Nhật ký nộp hồ sơ '!A:A, FALSE), 3, FALSE),"")</f>
        <v/>
      </c>
      <c r="L937" s="21" t="str">
        <f t="shared" si="1"/>
        <v/>
      </c>
      <c r="M937" s="27"/>
      <c r="N937" s="22" t="str">
        <f>IFERROR(__xludf.DUMMYFUNCTION("""COMPUTED_VALUE"""),"")</f>
        <v/>
      </c>
      <c r="O937" s="22" t="s">
        <v>1976</v>
      </c>
      <c r="P937" s="22" t="str">
        <f>IFERROR(__xludf.DUMMYFUNCTION("IFERROR(QUERY('Nhật ký nộp hồ sơ '!A:I, ""SELECT I WHERE B = '""&amp;B936&amp;""' ORDER BY A DESC LIMIT 1"", 0))"),"")</f>
        <v/>
      </c>
      <c r="Q937" s="22" t="str">
        <f t="shared" si="2"/>
        <v/>
      </c>
      <c r="R937" s="16" t="s">
        <v>1976</v>
      </c>
      <c r="S937" s="21"/>
      <c r="T937" s="21"/>
      <c r="U937" s="28"/>
      <c r="V937" s="28"/>
      <c r="W937" s="21"/>
      <c r="X937" s="21"/>
    </row>
    <row r="938" ht="22.5" hidden="1" customHeight="1">
      <c r="A938" s="25"/>
      <c r="B938" s="44"/>
      <c r="C938" s="27"/>
      <c r="D938" s="28"/>
      <c r="E938" s="27"/>
      <c r="F938" s="27"/>
      <c r="G938" s="27"/>
      <c r="H938" s="27"/>
      <c r="I938" s="27"/>
      <c r="J938" s="28"/>
      <c r="K938" s="21" t="str">
        <f t="array" ref="K938">IFERROR(VLOOKUP(B938, SORT('Nhật ký nộp hồ sơ '!B:D, 'Nhật ký nộp hồ sơ '!A:A, FALSE), 3, FALSE),"")</f>
        <v/>
      </c>
      <c r="L938" s="21" t="str">
        <f t="shared" si="1"/>
        <v/>
      </c>
      <c r="M938" s="27"/>
      <c r="N938" s="22" t="str">
        <f>IFERROR(__xludf.DUMMYFUNCTION("""COMPUTED_VALUE"""),"")</f>
        <v/>
      </c>
      <c r="O938" s="22" t="s">
        <v>1976</v>
      </c>
      <c r="P938" s="22" t="str">
        <f>IFERROR(__xludf.DUMMYFUNCTION("IFERROR(QUERY('Nhật ký nộp hồ sơ '!A:I, ""SELECT I WHERE B = '""&amp;B937&amp;""' ORDER BY A DESC LIMIT 1"", 0))"),"")</f>
        <v/>
      </c>
      <c r="Q938" s="22" t="str">
        <f t="shared" si="2"/>
        <v/>
      </c>
      <c r="R938" s="16" t="s">
        <v>1976</v>
      </c>
      <c r="S938" s="21"/>
      <c r="T938" s="21"/>
      <c r="U938" s="28"/>
      <c r="V938" s="28"/>
      <c r="W938" s="21"/>
      <c r="X938" s="21"/>
    </row>
    <row r="939" ht="22.5" hidden="1" customHeight="1">
      <c r="A939" s="25"/>
      <c r="B939" s="44"/>
      <c r="C939" s="27"/>
      <c r="D939" s="28"/>
      <c r="E939" s="27"/>
      <c r="F939" s="27"/>
      <c r="G939" s="27"/>
      <c r="H939" s="27"/>
      <c r="I939" s="27"/>
      <c r="J939" s="28"/>
      <c r="K939" s="21" t="str">
        <f t="array" ref="K939">IFERROR(VLOOKUP(B939, SORT('Nhật ký nộp hồ sơ '!B:D, 'Nhật ký nộp hồ sơ '!A:A, FALSE), 3, FALSE),"")</f>
        <v/>
      </c>
      <c r="L939" s="21" t="str">
        <f t="shared" si="1"/>
        <v/>
      </c>
      <c r="M939" s="27"/>
      <c r="N939" s="22" t="str">
        <f>IFERROR(__xludf.DUMMYFUNCTION("""COMPUTED_VALUE"""),"")</f>
        <v/>
      </c>
      <c r="O939" s="22" t="s">
        <v>1976</v>
      </c>
      <c r="P939" s="22" t="str">
        <f>IFERROR(__xludf.DUMMYFUNCTION("IFERROR(QUERY('Nhật ký nộp hồ sơ '!A:I, ""SELECT I WHERE B = '""&amp;B938&amp;""' ORDER BY A DESC LIMIT 1"", 0))"),"")</f>
        <v/>
      </c>
      <c r="Q939" s="22" t="str">
        <f t="shared" si="2"/>
        <v/>
      </c>
      <c r="R939" s="16" t="s">
        <v>1976</v>
      </c>
      <c r="S939" s="21"/>
      <c r="T939" s="21"/>
      <c r="U939" s="28"/>
      <c r="V939" s="28"/>
      <c r="W939" s="21"/>
      <c r="X939" s="21"/>
    </row>
    <row r="940" ht="22.5" hidden="1" customHeight="1">
      <c r="A940" s="25"/>
      <c r="B940" s="44"/>
      <c r="C940" s="27"/>
      <c r="D940" s="28"/>
      <c r="E940" s="27"/>
      <c r="F940" s="27"/>
      <c r="G940" s="27"/>
      <c r="H940" s="27"/>
      <c r="I940" s="27"/>
      <c r="J940" s="28"/>
      <c r="K940" s="21" t="str">
        <f t="array" ref="K940">IFERROR(VLOOKUP(B940, SORT('Nhật ký nộp hồ sơ '!B:D, 'Nhật ký nộp hồ sơ '!A:A, FALSE), 3, FALSE),"")</f>
        <v/>
      </c>
      <c r="L940" s="21" t="str">
        <f t="shared" si="1"/>
        <v/>
      </c>
      <c r="M940" s="27"/>
      <c r="N940" s="22" t="str">
        <f>IFERROR(__xludf.DUMMYFUNCTION("""COMPUTED_VALUE"""),"")</f>
        <v/>
      </c>
      <c r="O940" s="22" t="s">
        <v>1976</v>
      </c>
      <c r="P940" s="22" t="str">
        <f>IFERROR(__xludf.DUMMYFUNCTION("IFERROR(QUERY('Nhật ký nộp hồ sơ '!A:I, ""SELECT I WHERE B = '""&amp;B939&amp;""' ORDER BY A DESC LIMIT 1"", 0))"),"")</f>
        <v/>
      </c>
      <c r="Q940" s="22" t="str">
        <f t="shared" si="2"/>
        <v/>
      </c>
      <c r="R940" s="16" t="s">
        <v>1976</v>
      </c>
      <c r="S940" s="21"/>
      <c r="T940" s="21"/>
      <c r="U940" s="28"/>
      <c r="V940" s="28"/>
      <c r="W940" s="21"/>
      <c r="X940" s="21"/>
    </row>
    <row r="941" ht="22.5" hidden="1" customHeight="1">
      <c r="A941" s="25"/>
      <c r="B941" s="44"/>
      <c r="C941" s="27"/>
      <c r="D941" s="28"/>
      <c r="E941" s="27"/>
      <c r="F941" s="27"/>
      <c r="G941" s="27"/>
      <c r="H941" s="27"/>
      <c r="I941" s="27"/>
      <c r="J941" s="28"/>
      <c r="K941" s="21" t="str">
        <f t="array" ref="K941">IFERROR(VLOOKUP(B941, SORT('Nhật ký nộp hồ sơ '!B:D, 'Nhật ký nộp hồ sơ '!A:A, FALSE), 3, FALSE),"")</f>
        <v/>
      </c>
      <c r="L941" s="21" t="str">
        <f t="shared" si="1"/>
        <v/>
      </c>
      <c r="M941" s="27"/>
      <c r="N941" s="22" t="str">
        <f>IFERROR(__xludf.DUMMYFUNCTION("""COMPUTED_VALUE"""),"")</f>
        <v/>
      </c>
      <c r="O941" s="22" t="s">
        <v>1976</v>
      </c>
      <c r="P941" s="22" t="str">
        <f>IFERROR(__xludf.DUMMYFUNCTION("IFERROR(QUERY('Nhật ký nộp hồ sơ '!A:I, ""SELECT I WHERE B = '""&amp;B940&amp;""' ORDER BY A DESC LIMIT 1"", 0))"),"")</f>
        <v/>
      </c>
      <c r="Q941" s="22" t="str">
        <f t="shared" si="2"/>
        <v/>
      </c>
      <c r="R941" s="16" t="s">
        <v>1976</v>
      </c>
      <c r="S941" s="21"/>
      <c r="T941" s="21"/>
      <c r="U941" s="28"/>
      <c r="V941" s="28"/>
      <c r="W941" s="21"/>
      <c r="X941" s="21"/>
    </row>
    <row r="942" ht="22.5" hidden="1" customHeight="1">
      <c r="A942" s="25"/>
      <c r="B942" s="44"/>
      <c r="C942" s="27"/>
      <c r="D942" s="28"/>
      <c r="E942" s="27"/>
      <c r="F942" s="27"/>
      <c r="G942" s="27"/>
      <c r="H942" s="27"/>
      <c r="I942" s="27"/>
      <c r="J942" s="28"/>
      <c r="K942" s="21" t="str">
        <f t="array" ref="K942">IFERROR(VLOOKUP(B942, SORT('Nhật ký nộp hồ sơ '!B:D, 'Nhật ký nộp hồ sơ '!A:A, FALSE), 3, FALSE),"")</f>
        <v/>
      </c>
      <c r="L942" s="21" t="str">
        <f t="shared" si="1"/>
        <v/>
      </c>
      <c r="M942" s="27"/>
      <c r="N942" s="22" t="str">
        <f>IFERROR(__xludf.DUMMYFUNCTION("""COMPUTED_VALUE"""),"")</f>
        <v/>
      </c>
      <c r="O942" s="22" t="s">
        <v>1976</v>
      </c>
      <c r="P942" s="22" t="str">
        <f>IFERROR(__xludf.DUMMYFUNCTION("IFERROR(QUERY('Nhật ký nộp hồ sơ '!A:I, ""SELECT I WHERE B = '""&amp;B941&amp;""' ORDER BY A DESC LIMIT 1"", 0))"),"")</f>
        <v/>
      </c>
      <c r="Q942" s="22" t="str">
        <f t="shared" si="2"/>
        <v/>
      </c>
      <c r="R942" s="16" t="s">
        <v>1976</v>
      </c>
      <c r="S942" s="21"/>
      <c r="T942" s="21"/>
      <c r="U942" s="28"/>
      <c r="V942" s="28"/>
      <c r="W942" s="21"/>
      <c r="X942" s="21"/>
    </row>
    <row r="943" ht="22.5" hidden="1" customHeight="1">
      <c r="A943" s="25"/>
      <c r="B943" s="44"/>
      <c r="C943" s="27"/>
      <c r="D943" s="28"/>
      <c r="E943" s="27"/>
      <c r="F943" s="27"/>
      <c r="G943" s="27"/>
      <c r="H943" s="27"/>
      <c r="I943" s="27"/>
      <c r="J943" s="28"/>
      <c r="K943" s="21" t="str">
        <f t="array" ref="K943">IFERROR(VLOOKUP(B943, SORT('Nhật ký nộp hồ sơ '!B:D, 'Nhật ký nộp hồ sơ '!A:A, FALSE), 3, FALSE),"")</f>
        <v/>
      </c>
      <c r="L943" s="21" t="str">
        <f t="shared" si="1"/>
        <v/>
      </c>
      <c r="M943" s="27"/>
      <c r="N943" s="22" t="str">
        <f>IFERROR(__xludf.DUMMYFUNCTION("""COMPUTED_VALUE"""),"")</f>
        <v/>
      </c>
      <c r="O943" s="22" t="s">
        <v>1976</v>
      </c>
      <c r="P943" s="22" t="str">
        <f>IFERROR(__xludf.DUMMYFUNCTION("IFERROR(QUERY('Nhật ký nộp hồ sơ '!A:I, ""SELECT I WHERE B = '""&amp;B942&amp;""' ORDER BY A DESC LIMIT 1"", 0))"),"")</f>
        <v/>
      </c>
      <c r="Q943" s="22" t="str">
        <f t="shared" si="2"/>
        <v/>
      </c>
      <c r="R943" s="16" t="s">
        <v>1976</v>
      </c>
      <c r="S943" s="21"/>
      <c r="T943" s="21"/>
      <c r="U943" s="28"/>
      <c r="V943" s="28"/>
      <c r="W943" s="21"/>
      <c r="X943" s="21"/>
    </row>
    <row r="944" ht="22.5" hidden="1" customHeight="1">
      <c r="A944" s="25"/>
      <c r="B944" s="44"/>
      <c r="C944" s="27"/>
      <c r="D944" s="28"/>
      <c r="E944" s="27"/>
      <c r="F944" s="27"/>
      <c r="G944" s="27"/>
      <c r="H944" s="27"/>
      <c r="I944" s="27"/>
      <c r="J944" s="28"/>
      <c r="K944" s="21" t="str">
        <f t="array" ref="K944">IFERROR(VLOOKUP(B944, SORT('Nhật ký nộp hồ sơ '!B:D, 'Nhật ký nộp hồ sơ '!A:A, FALSE), 3, FALSE),"")</f>
        <v/>
      </c>
      <c r="L944" s="21" t="str">
        <f t="shared" si="1"/>
        <v/>
      </c>
      <c r="M944" s="27"/>
      <c r="N944" s="22" t="str">
        <f>IFERROR(__xludf.DUMMYFUNCTION("""COMPUTED_VALUE"""),"")</f>
        <v/>
      </c>
      <c r="O944" s="22" t="s">
        <v>1976</v>
      </c>
      <c r="P944" s="22" t="str">
        <f>IFERROR(__xludf.DUMMYFUNCTION("IFERROR(QUERY('Nhật ký nộp hồ sơ '!A:I, ""SELECT I WHERE B = '""&amp;B943&amp;""' ORDER BY A DESC LIMIT 1"", 0))"),"")</f>
        <v/>
      </c>
      <c r="Q944" s="22" t="str">
        <f t="shared" si="2"/>
        <v/>
      </c>
      <c r="R944" s="16" t="s">
        <v>1976</v>
      </c>
      <c r="S944" s="21"/>
      <c r="T944" s="21"/>
      <c r="U944" s="28"/>
      <c r="V944" s="28"/>
      <c r="W944" s="21"/>
      <c r="X944" s="21"/>
    </row>
    <row r="945" ht="22.5" hidden="1" customHeight="1">
      <c r="A945" s="25"/>
      <c r="B945" s="44"/>
      <c r="C945" s="27"/>
      <c r="D945" s="28"/>
      <c r="E945" s="27"/>
      <c r="F945" s="27"/>
      <c r="G945" s="27"/>
      <c r="H945" s="27"/>
      <c r="I945" s="27"/>
      <c r="J945" s="28"/>
      <c r="K945" s="21" t="str">
        <f t="array" ref="K945">IFERROR(VLOOKUP(B945, SORT('Nhật ký nộp hồ sơ '!B:D, 'Nhật ký nộp hồ sơ '!A:A, FALSE), 3, FALSE),"")</f>
        <v/>
      </c>
      <c r="L945" s="21" t="str">
        <f t="shared" si="1"/>
        <v/>
      </c>
      <c r="M945" s="27"/>
      <c r="N945" s="22" t="str">
        <f>IFERROR(__xludf.DUMMYFUNCTION("""COMPUTED_VALUE"""),"")</f>
        <v/>
      </c>
      <c r="O945" s="22" t="s">
        <v>1976</v>
      </c>
      <c r="P945" s="22" t="str">
        <f>IFERROR(__xludf.DUMMYFUNCTION("IFERROR(QUERY('Nhật ký nộp hồ sơ '!A:I, ""SELECT I WHERE B = '""&amp;B944&amp;""' ORDER BY A DESC LIMIT 1"", 0))"),"")</f>
        <v/>
      </c>
      <c r="Q945" s="22" t="str">
        <f t="shared" si="2"/>
        <v/>
      </c>
      <c r="R945" s="16" t="s">
        <v>1976</v>
      </c>
      <c r="S945" s="21"/>
      <c r="T945" s="21"/>
      <c r="U945" s="28"/>
      <c r="V945" s="28"/>
      <c r="W945" s="21"/>
      <c r="X945" s="21"/>
    </row>
    <row r="946" ht="22.5" hidden="1" customHeight="1">
      <c r="A946" s="25"/>
      <c r="B946" s="44"/>
      <c r="C946" s="27"/>
      <c r="D946" s="28"/>
      <c r="E946" s="27"/>
      <c r="F946" s="27"/>
      <c r="G946" s="27"/>
      <c r="H946" s="27"/>
      <c r="I946" s="27"/>
      <c r="J946" s="28"/>
      <c r="K946" s="21" t="str">
        <f t="array" ref="K946">IFERROR(VLOOKUP(B946, SORT('Nhật ký nộp hồ sơ '!B:D, 'Nhật ký nộp hồ sơ '!A:A, FALSE), 3, FALSE),"")</f>
        <v/>
      </c>
      <c r="L946" s="21" t="str">
        <f t="shared" si="1"/>
        <v/>
      </c>
      <c r="M946" s="27"/>
      <c r="N946" s="22" t="str">
        <f>IFERROR(__xludf.DUMMYFUNCTION("""COMPUTED_VALUE"""),"")</f>
        <v/>
      </c>
      <c r="O946" s="22" t="s">
        <v>1976</v>
      </c>
      <c r="P946" s="22" t="str">
        <f>IFERROR(__xludf.DUMMYFUNCTION("IFERROR(QUERY('Nhật ký nộp hồ sơ '!A:I, ""SELECT I WHERE B = '""&amp;B945&amp;""' ORDER BY A DESC LIMIT 1"", 0))"),"")</f>
        <v/>
      </c>
      <c r="Q946" s="22" t="str">
        <f t="shared" si="2"/>
        <v/>
      </c>
      <c r="R946" s="16" t="s">
        <v>1976</v>
      </c>
      <c r="S946" s="21"/>
      <c r="T946" s="21"/>
      <c r="U946" s="28"/>
      <c r="V946" s="28"/>
      <c r="W946" s="21"/>
      <c r="X946" s="21"/>
    </row>
    <row r="947" ht="22.5" hidden="1" customHeight="1">
      <c r="A947" s="25"/>
      <c r="B947" s="44"/>
      <c r="C947" s="27"/>
      <c r="D947" s="28"/>
      <c r="E947" s="27"/>
      <c r="F947" s="27"/>
      <c r="G947" s="27"/>
      <c r="H947" s="27"/>
      <c r="I947" s="27"/>
      <c r="J947" s="28"/>
      <c r="K947" s="21" t="str">
        <f t="array" ref="K947">IFERROR(VLOOKUP(B947, SORT('Nhật ký nộp hồ sơ '!B:D, 'Nhật ký nộp hồ sơ '!A:A, FALSE), 3, FALSE),"")</f>
        <v/>
      </c>
      <c r="L947" s="21" t="str">
        <f t="shared" si="1"/>
        <v/>
      </c>
      <c r="M947" s="27"/>
      <c r="N947" s="22" t="str">
        <f>IFERROR(__xludf.DUMMYFUNCTION("""COMPUTED_VALUE"""),"")</f>
        <v/>
      </c>
      <c r="O947" s="22" t="s">
        <v>1976</v>
      </c>
      <c r="P947" s="22" t="str">
        <f>IFERROR(__xludf.DUMMYFUNCTION("IFERROR(QUERY('Nhật ký nộp hồ sơ '!A:I, ""SELECT I WHERE B = '""&amp;B946&amp;""' ORDER BY A DESC LIMIT 1"", 0))"),"")</f>
        <v/>
      </c>
      <c r="Q947" s="22" t="str">
        <f t="shared" si="2"/>
        <v/>
      </c>
      <c r="R947" s="16" t="s">
        <v>1976</v>
      </c>
      <c r="S947" s="21"/>
      <c r="T947" s="21"/>
      <c r="U947" s="28"/>
      <c r="V947" s="28"/>
      <c r="W947" s="21"/>
      <c r="X947" s="21"/>
    </row>
    <row r="948" ht="22.5" hidden="1" customHeight="1">
      <c r="A948" s="25"/>
      <c r="B948" s="44"/>
      <c r="C948" s="27"/>
      <c r="D948" s="28"/>
      <c r="E948" s="27"/>
      <c r="F948" s="27"/>
      <c r="G948" s="27"/>
      <c r="H948" s="27"/>
      <c r="I948" s="27"/>
      <c r="J948" s="28"/>
      <c r="K948" s="21" t="str">
        <f t="array" ref="K948">IFERROR(VLOOKUP(B948, SORT('Nhật ký nộp hồ sơ '!B:D, 'Nhật ký nộp hồ sơ '!A:A, FALSE), 3, FALSE),"")</f>
        <v/>
      </c>
      <c r="L948" s="21" t="str">
        <f t="shared" si="1"/>
        <v/>
      </c>
      <c r="M948" s="27"/>
      <c r="N948" s="22" t="str">
        <f>IFERROR(__xludf.DUMMYFUNCTION("""COMPUTED_VALUE"""),"")</f>
        <v/>
      </c>
      <c r="O948" s="22" t="s">
        <v>1976</v>
      </c>
      <c r="P948" s="22" t="str">
        <f>IFERROR(__xludf.DUMMYFUNCTION("IFERROR(QUERY('Nhật ký nộp hồ sơ '!A:I, ""SELECT I WHERE B = '""&amp;B947&amp;""' ORDER BY A DESC LIMIT 1"", 0))"),"")</f>
        <v/>
      </c>
      <c r="Q948" s="22" t="str">
        <f t="shared" si="2"/>
        <v/>
      </c>
      <c r="R948" s="16" t="s">
        <v>1976</v>
      </c>
      <c r="S948" s="21"/>
      <c r="T948" s="21"/>
      <c r="U948" s="28"/>
      <c r="V948" s="28"/>
      <c r="W948" s="21"/>
      <c r="X948" s="21"/>
    </row>
    <row r="949" ht="22.5" hidden="1" customHeight="1">
      <c r="A949" s="25"/>
      <c r="B949" s="44"/>
      <c r="C949" s="27"/>
      <c r="D949" s="28"/>
      <c r="E949" s="27"/>
      <c r="F949" s="27"/>
      <c r="G949" s="27"/>
      <c r="H949" s="27"/>
      <c r="I949" s="27"/>
      <c r="J949" s="28"/>
      <c r="K949" s="21" t="str">
        <f t="array" ref="K949">IFERROR(VLOOKUP(B949, SORT('Nhật ký nộp hồ sơ '!B:D, 'Nhật ký nộp hồ sơ '!A:A, FALSE), 3, FALSE),"")</f>
        <v/>
      </c>
      <c r="L949" s="21" t="str">
        <f t="shared" si="1"/>
        <v/>
      </c>
      <c r="M949" s="27"/>
      <c r="N949" s="22" t="str">
        <f>IFERROR(__xludf.DUMMYFUNCTION("""COMPUTED_VALUE"""),"")</f>
        <v/>
      </c>
      <c r="O949" s="22" t="s">
        <v>1976</v>
      </c>
      <c r="P949" s="22" t="str">
        <f>IFERROR(__xludf.DUMMYFUNCTION("IFERROR(QUERY('Nhật ký nộp hồ sơ '!A:I, ""SELECT I WHERE B = '""&amp;B948&amp;""' ORDER BY A DESC LIMIT 1"", 0))"),"")</f>
        <v/>
      </c>
      <c r="Q949" s="22" t="str">
        <f t="shared" si="2"/>
        <v/>
      </c>
      <c r="R949" s="16" t="s">
        <v>1976</v>
      </c>
      <c r="S949" s="21"/>
      <c r="T949" s="21"/>
      <c r="U949" s="28"/>
      <c r="V949" s="28"/>
      <c r="W949" s="21"/>
      <c r="X949" s="21"/>
    </row>
    <row r="950" ht="22.5" hidden="1" customHeight="1">
      <c r="A950" s="25"/>
      <c r="B950" s="44"/>
      <c r="C950" s="27"/>
      <c r="D950" s="28"/>
      <c r="E950" s="27"/>
      <c r="F950" s="27"/>
      <c r="G950" s="27"/>
      <c r="H950" s="27"/>
      <c r="I950" s="27"/>
      <c r="J950" s="28"/>
      <c r="K950" s="21" t="str">
        <f t="array" ref="K950">IFERROR(VLOOKUP(B950, SORT('Nhật ký nộp hồ sơ '!B:D, 'Nhật ký nộp hồ sơ '!A:A, FALSE), 3, FALSE),"")</f>
        <v/>
      </c>
      <c r="L950" s="21" t="str">
        <f t="shared" si="1"/>
        <v/>
      </c>
      <c r="M950" s="27"/>
      <c r="N950" s="22" t="str">
        <f>IFERROR(__xludf.DUMMYFUNCTION("""COMPUTED_VALUE"""),"")</f>
        <v/>
      </c>
      <c r="O950" s="22" t="s">
        <v>1976</v>
      </c>
      <c r="P950" s="22" t="str">
        <f>IFERROR(__xludf.DUMMYFUNCTION("IFERROR(QUERY('Nhật ký nộp hồ sơ '!A:I, ""SELECT I WHERE B = '""&amp;B949&amp;""' ORDER BY A DESC LIMIT 1"", 0))"),"")</f>
        <v/>
      </c>
      <c r="Q950" s="22" t="str">
        <f t="shared" si="2"/>
        <v/>
      </c>
      <c r="R950" s="16" t="s">
        <v>1976</v>
      </c>
      <c r="S950" s="21"/>
      <c r="T950" s="21"/>
      <c r="U950" s="28"/>
      <c r="V950" s="28"/>
      <c r="W950" s="21"/>
      <c r="X950" s="21"/>
    </row>
    <row r="951" ht="22.5" hidden="1" customHeight="1">
      <c r="A951" s="25"/>
      <c r="B951" s="44"/>
      <c r="C951" s="27"/>
      <c r="D951" s="28"/>
      <c r="E951" s="27"/>
      <c r="F951" s="27"/>
      <c r="G951" s="27"/>
      <c r="H951" s="27"/>
      <c r="I951" s="27"/>
      <c r="J951" s="28"/>
      <c r="K951" s="21" t="str">
        <f t="array" ref="K951">IFERROR(VLOOKUP(B951, SORT('Nhật ký nộp hồ sơ '!B:D, 'Nhật ký nộp hồ sơ '!A:A, FALSE), 3, FALSE),"")</f>
        <v/>
      </c>
      <c r="L951" s="21" t="str">
        <f t="shared" si="1"/>
        <v/>
      </c>
      <c r="M951" s="27"/>
      <c r="N951" s="22" t="str">
        <f>IFERROR(__xludf.DUMMYFUNCTION("""COMPUTED_VALUE"""),"")</f>
        <v/>
      </c>
      <c r="O951" s="22" t="s">
        <v>1976</v>
      </c>
      <c r="P951" s="22" t="str">
        <f>IFERROR(__xludf.DUMMYFUNCTION("IFERROR(QUERY('Nhật ký nộp hồ sơ '!A:I, ""SELECT I WHERE B = '""&amp;B950&amp;""' ORDER BY A DESC LIMIT 1"", 0))"),"")</f>
        <v/>
      </c>
      <c r="Q951" s="22" t="str">
        <f t="shared" si="2"/>
        <v/>
      </c>
      <c r="R951" s="16" t="s">
        <v>1976</v>
      </c>
      <c r="S951" s="21"/>
      <c r="T951" s="21"/>
      <c r="U951" s="28"/>
      <c r="V951" s="28"/>
      <c r="W951" s="21"/>
      <c r="X951" s="21"/>
    </row>
    <row r="952" ht="22.5" hidden="1" customHeight="1">
      <c r="A952" s="25"/>
      <c r="B952" s="44"/>
      <c r="C952" s="27"/>
      <c r="D952" s="28"/>
      <c r="E952" s="27"/>
      <c r="F952" s="27"/>
      <c r="G952" s="27"/>
      <c r="H952" s="27"/>
      <c r="I952" s="27"/>
      <c r="J952" s="28"/>
      <c r="K952" s="37" t="str">
        <f t="array" ref="K952">IFERROR(VLOOKUP(B952, SORT('Nhật ký nộp hồ sơ '!B:D, 'Nhật ký nộp hồ sơ '!A:A, FALSE), 3, FALSE),"")</f>
        <v/>
      </c>
      <c r="L952" s="21" t="str">
        <f t="shared" si="1"/>
        <v/>
      </c>
      <c r="M952" s="27"/>
      <c r="N952" s="22" t="str">
        <f>IFERROR(__xludf.DUMMYFUNCTION("""COMPUTED_VALUE"""),"")</f>
        <v/>
      </c>
      <c r="O952" s="22" t="s">
        <v>1976</v>
      </c>
      <c r="P952" s="22" t="str">
        <f>IFERROR(__xludf.DUMMYFUNCTION("IFERROR(QUERY('Nhật ký nộp hồ sơ '!A:I, ""SELECT I WHERE B = '""&amp;B951&amp;""' ORDER BY A DESC LIMIT 1"", 0))"),"")</f>
        <v/>
      </c>
      <c r="Q952" s="22" t="str">
        <f t="shared" si="2"/>
        <v/>
      </c>
      <c r="R952" s="21" t="s">
        <v>1976</v>
      </c>
      <c r="S952" s="21"/>
      <c r="T952" s="21"/>
      <c r="U952" s="28"/>
      <c r="V952" s="28"/>
      <c r="W952" s="21"/>
      <c r="X952" s="21"/>
    </row>
    <row r="953" ht="22.5" hidden="1" customHeight="1">
      <c r="A953" s="25"/>
      <c r="B953" s="44"/>
      <c r="C953" s="27"/>
      <c r="D953" s="28"/>
      <c r="E953" s="27"/>
      <c r="F953" s="27"/>
      <c r="G953" s="27"/>
      <c r="H953" s="27"/>
      <c r="I953" s="27"/>
      <c r="J953" s="28"/>
      <c r="K953" s="37" t="str">
        <f t="array" ref="K953">IFERROR(VLOOKUP(B953, SORT('Nhật ký nộp hồ sơ '!B:D, 'Nhật ký nộp hồ sơ '!A:A, FALSE), 3, FALSE),"")</f>
        <v/>
      </c>
      <c r="L953" s="21" t="str">
        <f t="shared" si="1"/>
        <v/>
      </c>
      <c r="M953" s="27"/>
      <c r="N953" s="22" t="str">
        <f>IFERROR(__xludf.DUMMYFUNCTION("""COMPUTED_VALUE"""),"")</f>
        <v/>
      </c>
      <c r="O953" s="22" t="s">
        <v>1976</v>
      </c>
      <c r="P953" s="22" t="str">
        <f>IFERROR(__xludf.DUMMYFUNCTION("IFERROR(QUERY('Nhật ký nộp hồ sơ '!A:I, ""SELECT I WHERE B = '""&amp;B952&amp;""' ORDER BY A DESC LIMIT 1"", 0))"),"")</f>
        <v/>
      </c>
      <c r="Q953" s="22" t="str">
        <f t="shared" si="2"/>
        <v/>
      </c>
      <c r="R953" s="21" t="s">
        <v>1976</v>
      </c>
      <c r="S953" s="21"/>
      <c r="T953" s="21"/>
      <c r="U953" s="28"/>
      <c r="V953" s="28"/>
      <c r="W953" s="21"/>
      <c r="X953" s="21"/>
    </row>
    <row r="954" ht="22.5" hidden="1" customHeight="1">
      <c r="A954" s="25"/>
      <c r="B954" s="44"/>
      <c r="C954" s="27"/>
      <c r="D954" s="28"/>
      <c r="E954" s="27"/>
      <c r="F954" s="27"/>
      <c r="G954" s="27"/>
      <c r="H954" s="27"/>
      <c r="I954" s="27"/>
      <c r="J954" s="28"/>
      <c r="K954" s="37" t="str">
        <f t="array" ref="K954">IFERROR(VLOOKUP(B954, SORT('Nhật ký nộp hồ sơ '!B:D, 'Nhật ký nộp hồ sơ '!A:A, FALSE), 3, FALSE),"")</f>
        <v/>
      </c>
      <c r="L954" s="21" t="str">
        <f t="shared" si="1"/>
        <v/>
      </c>
      <c r="M954" s="27"/>
      <c r="N954" s="22" t="str">
        <f>IFERROR(__xludf.DUMMYFUNCTION("""COMPUTED_VALUE"""),"")</f>
        <v/>
      </c>
      <c r="O954" s="22" t="s">
        <v>1976</v>
      </c>
      <c r="P954" s="22" t="str">
        <f>IFERROR(__xludf.DUMMYFUNCTION("IFERROR(QUERY('Nhật ký nộp hồ sơ '!A:I, ""SELECT I WHERE B = '""&amp;B953&amp;""' ORDER BY A DESC LIMIT 1"", 0))"),"")</f>
        <v/>
      </c>
      <c r="Q954" s="22" t="str">
        <f t="shared" si="2"/>
        <v/>
      </c>
      <c r="R954" s="21" t="s">
        <v>1976</v>
      </c>
      <c r="S954" s="21"/>
      <c r="T954" s="21"/>
      <c r="U954" s="28"/>
      <c r="V954" s="28"/>
      <c r="W954" s="21"/>
      <c r="X954" s="21"/>
    </row>
    <row r="955" ht="22.5" hidden="1" customHeight="1">
      <c r="A955" s="25"/>
      <c r="B955" s="44"/>
      <c r="C955" s="27"/>
      <c r="D955" s="28"/>
      <c r="E955" s="27"/>
      <c r="F955" s="27"/>
      <c r="G955" s="27"/>
      <c r="H955" s="27"/>
      <c r="I955" s="27"/>
      <c r="J955" s="28"/>
      <c r="K955" s="37" t="str">
        <f t="array" ref="K955">IFERROR(VLOOKUP(B955, SORT('Nhật ký nộp hồ sơ '!B:D, 'Nhật ký nộp hồ sơ '!A:A, FALSE), 3, FALSE),"")</f>
        <v/>
      </c>
      <c r="L955" s="21" t="str">
        <f t="shared" si="1"/>
        <v/>
      </c>
      <c r="M955" s="27"/>
      <c r="N955" s="22" t="str">
        <f>IFERROR(__xludf.DUMMYFUNCTION("""COMPUTED_VALUE"""),"")</f>
        <v/>
      </c>
      <c r="O955" s="22" t="s">
        <v>1976</v>
      </c>
      <c r="P955" s="22" t="str">
        <f>IFERROR(__xludf.DUMMYFUNCTION("IFERROR(QUERY('Nhật ký nộp hồ sơ '!A:I, ""SELECT I WHERE B = '""&amp;B954&amp;""' ORDER BY A DESC LIMIT 1"", 0))"),"")</f>
        <v/>
      </c>
      <c r="Q955" s="22" t="str">
        <f t="shared" si="2"/>
        <v/>
      </c>
      <c r="R955" s="21" t="s">
        <v>1976</v>
      </c>
      <c r="S955" s="21"/>
      <c r="T955" s="21"/>
      <c r="U955" s="28"/>
      <c r="V955" s="28"/>
      <c r="W955" s="21"/>
      <c r="X955" s="21"/>
    </row>
    <row r="956">
      <c r="B956" s="45"/>
      <c r="N956" s="46" t="str">
        <f>IFERROR(__xludf.DUMMYFUNCTION("""COMPUTED_VALUE"""),"")</f>
        <v/>
      </c>
      <c r="O956" s="46" t="s">
        <v>1976</v>
      </c>
      <c r="P956" s="47"/>
      <c r="Q956" s="47"/>
      <c r="R956" s="48" t="s">
        <v>1976</v>
      </c>
    </row>
    <row r="957">
      <c r="B957" s="45"/>
      <c r="N957" s="46" t="str">
        <f>IFERROR(__xludf.DUMMYFUNCTION("""COMPUTED_VALUE"""),"")</f>
        <v/>
      </c>
      <c r="O957" s="46" t="s">
        <v>1976</v>
      </c>
      <c r="P957" s="47"/>
      <c r="Q957" s="47"/>
      <c r="R957" s="48" t="s">
        <v>1976</v>
      </c>
    </row>
    <row r="958">
      <c r="B958" s="45"/>
      <c r="N958" s="46" t="str">
        <f>IFERROR(__xludf.DUMMYFUNCTION("""COMPUTED_VALUE"""),"")</f>
        <v/>
      </c>
      <c r="O958" s="46" t="s">
        <v>1976</v>
      </c>
      <c r="P958" s="47"/>
      <c r="Q958" s="47"/>
      <c r="R958" s="48" t="s">
        <v>1976</v>
      </c>
    </row>
    <row r="959">
      <c r="B959" s="45"/>
      <c r="N959" s="46" t="str">
        <f>IFERROR(__xludf.DUMMYFUNCTION("""COMPUTED_VALUE"""),"")</f>
        <v/>
      </c>
      <c r="O959" s="46" t="s">
        <v>1976</v>
      </c>
      <c r="P959" s="47"/>
      <c r="Q959" s="47"/>
      <c r="R959" s="48" t="s">
        <v>1976</v>
      </c>
    </row>
    <row r="960">
      <c r="B960" s="45"/>
      <c r="N960" s="46" t="str">
        <f>IFERROR(__xludf.DUMMYFUNCTION("""COMPUTED_VALUE"""),"")</f>
        <v/>
      </c>
      <c r="O960" s="46" t="s">
        <v>1976</v>
      </c>
      <c r="P960" s="47"/>
      <c r="Q960" s="47"/>
      <c r="R960" s="48" t="s">
        <v>1976</v>
      </c>
    </row>
    <row r="961">
      <c r="B961" s="45"/>
      <c r="N961" s="46" t="str">
        <f>IFERROR(__xludf.DUMMYFUNCTION("""COMPUTED_VALUE"""),"")</f>
        <v/>
      </c>
      <c r="O961" s="46" t="s">
        <v>1976</v>
      </c>
      <c r="P961" s="47"/>
      <c r="Q961" s="47"/>
      <c r="R961" s="48" t="s">
        <v>1976</v>
      </c>
    </row>
    <row r="962">
      <c r="B962" s="45"/>
      <c r="N962" s="46" t="str">
        <f>IFERROR(__xludf.DUMMYFUNCTION("""COMPUTED_VALUE"""),"")</f>
        <v/>
      </c>
      <c r="O962" s="46" t="s">
        <v>1976</v>
      </c>
      <c r="P962" s="47"/>
      <c r="Q962" s="47"/>
      <c r="R962" s="48" t="s">
        <v>1976</v>
      </c>
    </row>
    <row r="963">
      <c r="B963" s="45"/>
      <c r="N963" s="46" t="str">
        <f>IFERROR(__xludf.DUMMYFUNCTION("""COMPUTED_VALUE"""),"")</f>
        <v/>
      </c>
      <c r="O963" s="46" t="s">
        <v>1976</v>
      </c>
      <c r="P963" s="47"/>
      <c r="Q963" s="47"/>
      <c r="R963" s="48" t="s">
        <v>1976</v>
      </c>
    </row>
    <row r="964">
      <c r="B964" s="45"/>
      <c r="N964" s="46" t="str">
        <f>IFERROR(__xludf.DUMMYFUNCTION("""COMPUTED_VALUE"""),"")</f>
        <v/>
      </c>
      <c r="O964" s="46" t="s">
        <v>1976</v>
      </c>
      <c r="P964" s="47"/>
      <c r="Q964" s="47"/>
      <c r="R964" s="48" t="s">
        <v>1976</v>
      </c>
    </row>
    <row r="965">
      <c r="B965" s="45"/>
      <c r="N965" s="46" t="str">
        <f>IFERROR(__xludf.DUMMYFUNCTION("""COMPUTED_VALUE"""),"")</f>
        <v/>
      </c>
      <c r="O965" s="46" t="s">
        <v>1976</v>
      </c>
      <c r="P965" s="47"/>
      <c r="Q965" s="47"/>
      <c r="R965" s="48" t="s">
        <v>1976</v>
      </c>
    </row>
    <row r="966">
      <c r="B966" s="45"/>
      <c r="N966" s="46" t="str">
        <f>IFERROR(__xludf.DUMMYFUNCTION("""COMPUTED_VALUE"""),"")</f>
        <v/>
      </c>
      <c r="O966" s="46" t="s">
        <v>1976</v>
      </c>
      <c r="P966" s="47"/>
      <c r="Q966" s="47"/>
      <c r="R966" s="48" t="s">
        <v>1976</v>
      </c>
    </row>
    <row r="967">
      <c r="B967" s="45"/>
      <c r="N967" s="46" t="str">
        <f>IFERROR(__xludf.DUMMYFUNCTION("""COMPUTED_VALUE"""),"")</f>
        <v/>
      </c>
      <c r="O967" s="46" t="s">
        <v>1976</v>
      </c>
      <c r="P967" s="47"/>
      <c r="Q967" s="47"/>
      <c r="R967" s="48" t="s">
        <v>1976</v>
      </c>
    </row>
    <row r="968">
      <c r="B968" s="45"/>
      <c r="N968" s="46" t="str">
        <f>IFERROR(__xludf.DUMMYFUNCTION("""COMPUTED_VALUE"""),"")</f>
        <v/>
      </c>
      <c r="O968" s="46" t="s">
        <v>1976</v>
      </c>
      <c r="P968" s="47"/>
      <c r="Q968" s="47"/>
      <c r="R968" s="48" t="s">
        <v>1976</v>
      </c>
    </row>
    <row r="969">
      <c r="B969" s="45"/>
      <c r="N969" s="46" t="str">
        <f>IFERROR(__xludf.DUMMYFUNCTION("""COMPUTED_VALUE"""),"")</f>
        <v/>
      </c>
      <c r="O969" s="46" t="s">
        <v>1976</v>
      </c>
      <c r="P969" s="47"/>
      <c r="Q969" s="47"/>
      <c r="R969" s="48" t="s">
        <v>1976</v>
      </c>
    </row>
    <row r="970">
      <c r="B970" s="45"/>
      <c r="N970" s="46" t="str">
        <f>IFERROR(__xludf.DUMMYFUNCTION("""COMPUTED_VALUE"""),"")</f>
        <v/>
      </c>
      <c r="O970" s="46" t="s">
        <v>1976</v>
      </c>
      <c r="P970" s="47"/>
      <c r="Q970" s="47"/>
      <c r="R970" s="48" t="s">
        <v>1976</v>
      </c>
    </row>
    <row r="971">
      <c r="B971" s="45"/>
      <c r="N971" s="46" t="str">
        <f>IFERROR(__xludf.DUMMYFUNCTION("""COMPUTED_VALUE"""),"")</f>
        <v/>
      </c>
      <c r="O971" s="46" t="s">
        <v>1976</v>
      </c>
      <c r="P971" s="47"/>
      <c r="Q971" s="47"/>
      <c r="R971" s="48" t="s">
        <v>1976</v>
      </c>
    </row>
    <row r="972">
      <c r="B972" s="45"/>
      <c r="N972" s="46" t="str">
        <f>IFERROR(__xludf.DUMMYFUNCTION("""COMPUTED_VALUE"""),"")</f>
        <v/>
      </c>
      <c r="O972" s="46" t="s">
        <v>1976</v>
      </c>
      <c r="P972" s="47"/>
      <c r="Q972" s="47"/>
      <c r="R972" s="48" t="s">
        <v>1976</v>
      </c>
    </row>
    <row r="973">
      <c r="B973" s="45"/>
      <c r="N973" s="46" t="str">
        <f>IFERROR(__xludf.DUMMYFUNCTION("""COMPUTED_VALUE"""),"")</f>
        <v/>
      </c>
      <c r="O973" s="46" t="s">
        <v>1976</v>
      </c>
      <c r="P973" s="47"/>
      <c r="Q973" s="47"/>
      <c r="R973" s="48" t="s">
        <v>1976</v>
      </c>
    </row>
    <row r="974">
      <c r="B974" s="45"/>
      <c r="N974" s="46" t="str">
        <f>IFERROR(__xludf.DUMMYFUNCTION("""COMPUTED_VALUE"""),"")</f>
        <v/>
      </c>
      <c r="O974" s="46" t="s">
        <v>1976</v>
      </c>
      <c r="P974" s="47"/>
      <c r="Q974" s="47"/>
      <c r="R974" s="48" t="s">
        <v>1976</v>
      </c>
    </row>
    <row r="975">
      <c r="B975" s="45"/>
      <c r="N975" s="46" t="str">
        <f>IFERROR(__xludf.DUMMYFUNCTION("""COMPUTED_VALUE"""),"")</f>
        <v/>
      </c>
      <c r="O975" s="46" t="s">
        <v>1976</v>
      </c>
      <c r="P975" s="47"/>
      <c r="Q975" s="47"/>
      <c r="R975" s="48" t="s">
        <v>1976</v>
      </c>
    </row>
    <row r="976">
      <c r="B976" s="45"/>
      <c r="N976" s="46" t="str">
        <f>IFERROR(__xludf.DUMMYFUNCTION("""COMPUTED_VALUE"""),"")</f>
        <v/>
      </c>
      <c r="O976" s="46" t="s">
        <v>1976</v>
      </c>
      <c r="P976" s="47"/>
      <c r="Q976" s="47"/>
      <c r="R976" s="48" t="s">
        <v>1976</v>
      </c>
    </row>
    <row r="977">
      <c r="B977" s="45"/>
      <c r="N977" s="46" t="str">
        <f>IFERROR(__xludf.DUMMYFUNCTION("""COMPUTED_VALUE"""),"")</f>
        <v/>
      </c>
      <c r="O977" s="46" t="s">
        <v>1976</v>
      </c>
      <c r="P977" s="47"/>
      <c r="Q977" s="47"/>
      <c r="R977" s="48" t="s">
        <v>1976</v>
      </c>
    </row>
    <row r="978">
      <c r="B978" s="45"/>
      <c r="N978" s="46" t="str">
        <f>IFERROR(__xludf.DUMMYFUNCTION("""COMPUTED_VALUE"""),"")</f>
        <v/>
      </c>
      <c r="O978" s="46" t="s">
        <v>1976</v>
      </c>
      <c r="P978" s="47"/>
      <c r="Q978" s="47"/>
      <c r="R978" s="48" t="s">
        <v>1976</v>
      </c>
    </row>
    <row r="979">
      <c r="B979" s="45"/>
      <c r="N979" s="46" t="str">
        <f>IFERROR(__xludf.DUMMYFUNCTION("""COMPUTED_VALUE"""),"")</f>
        <v/>
      </c>
      <c r="O979" s="46" t="s">
        <v>1976</v>
      </c>
      <c r="P979" s="47"/>
      <c r="Q979" s="47"/>
      <c r="R979" s="48" t="s">
        <v>1976</v>
      </c>
    </row>
    <row r="980">
      <c r="B980" s="45"/>
      <c r="N980" s="46" t="str">
        <f>IFERROR(__xludf.DUMMYFUNCTION("""COMPUTED_VALUE"""),"")</f>
        <v/>
      </c>
      <c r="O980" s="46" t="s">
        <v>1976</v>
      </c>
      <c r="P980" s="47"/>
      <c r="Q980" s="47"/>
      <c r="R980" s="48" t="s">
        <v>1976</v>
      </c>
    </row>
    <row r="981">
      <c r="B981" s="45"/>
      <c r="N981" s="46" t="str">
        <f>IFERROR(__xludf.DUMMYFUNCTION("""COMPUTED_VALUE"""),"")</f>
        <v/>
      </c>
      <c r="O981" s="46" t="s">
        <v>1976</v>
      </c>
      <c r="P981" s="47"/>
      <c r="Q981" s="47"/>
      <c r="R981" s="48" t="s">
        <v>1976</v>
      </c>
    </row>
    <row r="982">
      <c r="B982" s="45"/>
      <c r="N982" s="46" t="str">
        <f>IFERROR(__xludf.DUMMYFUNCTION("""COMPUTED_VALUE"""),"")</f>
        <v/>
      </c>
      <c r="O982" s="46" t="s">
        <v>1976</v>
      </c>
      <c r="P982" s="47"/>
      <c r="Q982" s="47"/>
      <c r="R982" s="48" t="s">
        <v>1976</v>
      </c>
    </row>
    <row r="983">
      <c r="B983" s="45"/>
      <c r="N983" s="46" t="str">
        <f>IFERROR(__xludf.DUMMYFUNCTION("""COMPUTED_VALUE"""),"")</f>
        <v/>
      </c>
      <c r="O983" s="46" t="s">
        <v>1976</v>
      </c>
      <c r="P983" s="47"/>
      <c r="Q983" s="47"/>
      <c r="R983" s="48" t="s">
        <v>1976</v>
      </c>
    </row>
    <row r="984">
      <c r="B984" s="45"/>
      <c r="N984" s="46" t="str">
        <f>IFERROR(__xludf.DUMMYFUNCTION("""COMPUTED_VALUE"""),"")</f>
        <v/>
      </c>
      <c r="O984" s="46" t="s">
        <v>1976</v>
      </c>
      <c r="P984" s="47"/>
      <c r="Q984" s="47"/>
      <c r="R984" s="48" t="s">
        <v>1976</v>
      </c>
    </row>
    <row r="985">
      <c r="B985" s="45"/>
      <c r="N985" s="46" t="str">
        <f>IFERROR(__xludf.DUMMYFUNCTION("""COMPUTED_VALUE"""),"")</f>
        <v/>
      </c>
      <c r="O985" s="46" t="s">
        <v>1976</v>
      </c>
      <c r="P985" s="47"/>
      <c r="Q985" s="47"/>
      <c r="R985" s="48" t="s">
        <v>1976</v>
      </c>
    </row>
    <row r="986">
      <c r="B986" s="45"/>
      <c r="N986" s="46" t="str">
        <f>IFERROR(__xludf.DUMMYFUNCTION("""COMPUTED_VALUE"""),"")</f>
        <v/>
      </c>
      <c r="O986" s="46" t="s">
        <v>1976</v>
      </c>
      <c r="P986" s="47"/>
      <c r="Q986" s="47"/>
      <c r="R986" s="48" t="s">
        <v>1976</v>
      </c>
    </row>
    <row r="987">
      <c r="B987" s="45"/>
      <c r="N987" s="46" t="str">
        <f>IFERROR(__xludf.DUMMYFUNCTION("""COMPUTED_VALUE"""),"")</f>
        <v/>
      </c>
      <c r="O987" s="46" t="s">
        <v>1976</v>
      </c>
      <c r="P987" s="47"/>
      <c r="Q987" s="47"/>
      <c r="R987" s="48" t="s">
        <v>1976</v>
      </c>
    </row>
    <row r="988">
      <c r="B988" s="45"/>
      <c r="N988" s="46" t="str">
        <f>IFERROR(__xludf.DUMMYFUNCTION("""COMPUTED_VALUE"""),"")</f>
        <v/>
      </c>
      <c r="O988" s="46" t="s">
        <v>1976</v>
      </c>
      <c r="P988" s="47"/>
      <c r="Q988" s="47"/>
      <c r="R988" s="48" t="s">
        <v>1976</v>
      </c>
    </row>
    <row r="989">
      <c r="B989" s="45"/>
      <c r="N989" s="46" t="str">
        <f>IFERROR(__xludf.DUMMYFUNCTION("""COMPUTED_VALUE"""),"")</f>
        <v/>
      </c>
      <c r="O989" s="46" t="s">
        <v>1976</v>
      </c>
      <c r="P989" s="47"/>
      <c r="Q989" s="47"/>
      <c r="R989" s="48" t="s">
        <v>1976</v>
      </c>
    </row>
    <row r="990">
      <c r="B990" s="45"/>
      <c r="N990" s="46" t="str">
        <f>IFERROR(__xludf.DUMMYFUNCTION("""COMPUTED_VALUE"""),"")</f>
        <v/>
      </c>
      <c r="O990" s="46" t="s">
        <v>1976</v>
      </c>
      <c r="P990" s="47"/>
      <c r="Q990" s="47"/>
      <c r="R990" s="48" t="s">
        <v>1976</v>
      </c>
    </row>
    <row r="991">
      <c r="B991" s="45"/>
      <c r="N991" s="46" t="str">
        <f>IFERROR(__xludf.DUMMYFUNCTION("""COMPUTED_VALUE"""),"")</f>
        <v/>
      </c>
      <c r="O991" s="46" t="s">
        <v>1976</v>
      </c>
      <c r="P991" s="47"/>
      <c r="Q991" s="47"/>
      <c r="R991" s="48" t="s">
        <v>1976</v>
      </c>
    </row>
    <row r="992">
      <c r="B992" s="45"/>
      <c r="N992" s="46" t="str">
        <f>IFERROR(__xludf.DUMMYFUNCTION("""COMPUTED_VALUE"""),"")</f>
        <v/>
      </c>
      <c r="O992" s="46" t="s">
        <v>1976</v>
      </c>
      <c r="P992" s="47"/>
      <c r="Q992" s="47"/>
      <c r="R992" s="48" t="s">
        <v>1976</v>
      </c>
    </row>
    <row r="993">
      <c r="B993" s="45"/>
      <c r="N993" s="46" t="str">
        <f>IFERROR(__xludf.DUMMYFUNCTION("""COMPUTED_VALUE"""),"")</f>
        <v/>
      </c>
      <c r="O993" s="46" t="s">
        <v>1976</v>
      </c>
      <c r="P993" s="47"/>
      <c r="Q993" s="47"/>
      <c r="R993" s="48" t="s">
        <v>1976</v>
      </c>
    </row>
    <row r="994">
      <c r="B994" s="45"/>
      <c r="N994" s="46" t="str">
        <f>IFERROR(__xludf.DUMMYFUNCTION("""COMPUTED_VALUE"""),"")</f>
        <v/>
      </c>
      <c r="O994" s="46" t="s">
        <v>1976</v>
      </c>
      <c r="P994" s="47"/>
      <c r="Q994" s="47"/>
      <c r="R994" s="48" t="s">
        <v>1976</v>
      </c>
    </row>
    <row r="995">
      <c r="B995" s="45"/>
      <c r="N995" s="46" t="str">
        <f>IFERROR(__xludf.DUMMYFUNCTION("""COMPUTED_VALUE"""),"")</f>
        <v/>
      </c>
      <c r="O995" s="46" t="s">
        <v>1976</v>
      </c>
      <c r="P995" s="47"/>
      <c r="Q995" s="47"/>
      <c r="R995" s="48" t="s">
        <v>1976</v>
      </c>
    </row>
    <row r="996">
      <c r="B996" s="45"/>
      <c r="N996" s="46" t="str">
        <f>IFERROR(__xludf.DUMMYFUNCTION("""COMPUTED_VALUE"""),"")</f>
        <v/>
      </c>
      <c r="O996" s="46" t="s">
        <v>1976</v>
      </c>
      <c r="P996" s="47"/>
      <c r="Q996" s="47"/>
      <c r="R996" s="48" t="s">
        <v>1976</v>
      </c>
    </row>
    <row r="997">
      <c r="B997" s="45"/>
      <c r="N997" s="46" t="str">
        <f>IFERROR(__xludf.DUMMYFUNCTION("""COMPUTED_VALUE"""),"")</f>
        <v/>
      </c>
      <c r="O997" s="46" t="s">
        <v>1976</v>
      </c>
      <c r="P997" s="47"/>
      <c r="Q997" s="47"/>
      <c r="R997" s="48" t="s">
        <v>1976</v>
      </c>
    </row>
    <row r="998">
      <c r="B998" s="45"/>
      <c r="N998" s="46" t="str">
        <f>IFERROR(__xludf.DUMMYFUNCTION("""COMPUTED_VALUE"""),"")</f>
        <v/>
      </c>
      <c r="O998" s="46" t="s">
        <v>1976</v>
      </c>
      <c r="P998" s="47"/>
      <c r="Q998" s="47"/>
      <c r="R998" s="48" t="s">
        <v>1976</v>
      </c>
    </row>
    <row r="999">
      <c r="B999" s="45"/>
      <c r="N999" s="46" t="str">
        <f>IFERROR(__xludf.DUMMYFUNCTION("""COMPUTED_VALUE"""),"")</f>
        <v/>
      </c>
      <c r="O999" s="46" t="s">
        <v>1976</v>
      </c>
      <c r="P999" s="47"/>
      <c r="Q999" s="47"/>
      <c r="R999" s="48" t="s">
        <v>1976</v>
      </c>
    </row>
    <row r="1000">
      <c r="B1000" s="45"/>
      <c r="N1000" s="46" t="str">
        <f>IFERROR(__xludf.DUMMYFUNCTION("""COMPUTED_VALUE"""),"")</f>
        <v/>
      </c>
      <c r="O1000" s="46" t="s">
        <v>1976</v>
      </c>
      <c r="P1000" s="47"/>
      <c r="Q1000" s="47"/>
      <c r="R1000" s="48" t="s">
        <v>1976</v>
      </c>
    </row>
    <row r="1001">
      <c r="B1001" s="45"/>
      <c r="N1001" s="46" t="str">
        <f>IFERROR(__xludf.DUMMYFUNCTION("""COMPUTED_VALUE"""),"")</f>
        <v/>
      </c>
      <c r="O1001" s="46" t="s">
        <v>1976</v>
      </c>
      <c r="P1001" s="47"/>
      <c r="Q1001" s="47"/>
      <c r="R1001" s="48" t="s">
        <v>1976</v>
      </c>
    </row>
    <row r="1002">
      <c r="B1002" s="45"/>
      <c r="N1002" s="46" t="str">
        <f>IFERROR(__xludf.DUMMYFUNCTION("""COMPUTED_VALUE"""),"")</f>
        <v/>
      </c>
      <c r="O1002" s="46" t="s">
        <v>1976</v>
      </c>
      <c r="P1002" s="47"/>
      <c r="Q1002" s="47"/>
      <c r="R1002" s="48" t="s">
        <v>1976</v>
      </c>
    </row>
    <row r="1003">
      <c r="B1003" s="45"/>
      <c r="N1003" s="46" t="str">
        <f>IFERROR(__xludf.DUMMYFUNCTION("""COMPUTED_VALUE"""),"")</f>
        <v/>
      </c>
      <c r="O1003" s="46" t="s">
        <v>1976</v>
      </c>
      <c r="P1003" s="47"/>
      <c r="Q1003" s="47"/>
      <c r="R1003" s="48" t="s">
        <v>1976</v>
      </c>
    </row>
    <row r="1004">
      <c r="B1004" s="45"/>
      <c r="N1004" s="46" t="str">
        <f>IFERROR(__xludf.DUMMYFUNCTION("""COMPUTED_VALUE"""),"")</f>
        <v/>
      </c>
      <c r="O1004" s="46" t="s">
        <v>1976</v>
      </c>
      <c r="P1004" s="47"/>
      <c r="Q1004" s="47"/>
      <c r="R1004" s="48" t="s">
        <v>1976</v>
      </c>
    </row>
    <row r="1005">
      <c r="B1005" s="45"/>
      <c r="N1005" s="46" t="str">
        <f>IFERROR(__xludf.DUMMYFUNCTION("""COMPUTED_VALUE"""),"")</f>
        <v/>
      </c>
      <c r="O1005" s="46" t="s">
        <v>1976</v>
      </c>
      <c r="P1005" s="47"/>
      <c r="Q1005" s="47"/>
      <c r="R1005" s="48" t="s">
        <v>1976</v>
      </c>
    </row>
    <row r="1006">
      <c r="B1006" s="45"/>
      <c r="N1006" s="46" t="str">
        <f>IFERROR(__xludf.DUMMYFUNCTION("""COMPUTED_VALUE"""),"")</f>
        <v/>
      </c>
      <c r="O1006" s="46" t="s">
        <v>1976</v>
      </c>
      <c r="P1006" s="47"/>
      <c r="Q1006" s="47"/>
      <c r="R1006" s="48" t="s">
        <v>1976</v>
      </c>
    </row>
    <row r="1007">
      <c r="B1007" s="45"/>
      <c r="N1007" s="46" t="str">
        <f>IFERROR(__xludf.DUMMYFUNCTION("""COMPUTED_VALUE"""),"")</f>
        <v/>
      </c>
      <c r="O1007" s="46" t="s">
        <v>1976</v>
      </c>
      <c r="P1007" s="47"/>
      <c r="Q1007" s="47"/>
      <c r="R1007" s="48" t="s">
        <v>1976</v>
      </c>
    </row>
    <row r="1008">
      <c r="B1008" s="45"/>
      <c r="N1008" s="46" t="str">
        <f>IFERROR(__xludf.DUMMYFUNCTION("""COMPUTED_VALUE"""),"")</f>
        <v/>
      </c>
      <c r="O1008" s="46" t="s">
        <v>1976</v>
      </c>
      <c r="P1008" s="47"/>
      <c r="Q1008" s="47"/>
      <c r="R1008" s="48" t="s">
        <v>1976</v>
      </c>
    </row>
    <row r="1009">
      <c r="B1009" s="45"/>
      <c r="N1009" s="46" t="str">
        <f>IFERROR(__xludf.DUMMYFUNCTION("""COMPUTED_VALUE"""),"")</f>
        <v/>
      </c>
      <c r="O1009" s="46" t="s">
        <v>1976</v>
      </c>
      <c r="P1009" s="47"/>
      <c r="Q1009" s="47"/>
      <c r="R1009" s="48" t="s">
        <v>1976</v>
      </c>
    </row>
    <row r="1010">
      <c r="B1010" s="45"/>
      <c r="N1010" s="46" t="str">
        <f>IFERROR(__xludf.DUMMYFUNCTION("""COMPUTED_VALUE"""),"")</f>
        <v/>
      </c>
      <c r="O1010" s="46" t="s">
        <v>1976</v>
      </c>
      <c r="P1010" s="47"/>
      <c r="Q1010" s="47"/>
      <c r="R1010" s="48" t="s">
        <v>1976</v>
      </c>
    </row>
    <row r="1011">
      <c r="B1011" s="45"/>
      <c r="N1011" s="46" t="str">
        <f>IFERROR(__xludf.DUMMYFUNCTION("""COMPUTED_VALUE"""),"")</f>
        <v/>
      </c>
      <c r="O1011" s="46" t="s">
        <v>1976</v>
      </c>
      <c r="P1011" s="47"/>
      <c r="Q1011" s="47"/>
      <c r="R1011" s="48" t="s">
        <v>1976</v>
      </c>
    </row>
    <row r="1012">
      <c r="B1012" s="45"/>
      <c r="N1012" s="46" t="str">
        <f>IFERROR(__xludf.DUMMYFUNCTION("""COMPUTED_VALUE"""),"")</f>
        <v/>
      </c>
      <c r="O1012" s="46" t="s">
        <v>1976</v>
      </c>
      <c r="P1012" s="47"/>
      <c r="Q1012" s="47"/>
      <c r="R1012" s="48" t="s">
        <v>1976</v>
      </c>
    </row>
    <row r="1013">
      <c r="B1013" s="45"/>
      <c r="N1013" s="46" t="str">
        <f>IFERROR(__xludf.DUMMYFUNCTION("""COMPUTED_VALUE"""),"")</f>
        <v/>
      </c>
      <c r="O1013" s="46" t="s">
        <v>1976</v>
      </c>
      <c r="P1013" s="47"/>
      <c r="Q1013" s="47"/>
      <c r="R1013" s="48" t="s">
        <v>1976</v>
      </c>
    </row>
    <row r="1014">
      <c r="B1014" s="45"/>
      <c r="N1014" s="46" t="str">
        <f>IFERROR(__xludf.DUMMYFUNCTION("""COMPUTED_VALUE"""),"")</f>
        <v/>
      </c>
      <c r="O1014" s="46" t="s">
        <v>1976</v>
      </c>
      <c r="P1014" s="47"/>
      <c r="Q1014" s="47"/>
      <c r="R1014" s="48" t="s">
        <v>1976</v>
      </c>
    </row>
    <row r="1015">
      <c r="B1015" s="45"/>
      <c r="N1015" s="46" t="str">
        <f>IFERROR(__xludf.DUMMYFUNCTION("""COMPUTED_VALUE"""),"")</f>
        <v/>
      </c>
      <c r="O1015" s="46" t="s">
        <v>1976</v>
      </c>
      <c r="P1015" s="47"/>
      <c r="Q1015" s="47"/>
      <c r="R1015" s="48" t="s">
        <v>1976</v>
      </c>
    </row>
    <row r="1016">
      <c r="B1016" s="45"/>
      <c r="N1016" s="46" t="str">
        <f>IFERROR(__xludf.DUMMYFUNCTION("""COMPUTED_VALUE"""),"")</f>
        <v/>
      </c>
      <c r="O1016" s="46" t="s">
        <v>1976</v>
      </c>
      <c r="P1016" s="47"/>
      <c r="Q1016" s="47"/>
      <c r="R1016" s="48" t="s">
        <v>1976</v>
      </c>
    </row>
    <row r="1017">
      <c r="B1017" s="45"/>
      <c r="N1017" s="46" t="str">
        <f>IFERROR(__xludf.DUMMYFUNCTION("""COMPUTED_VALUE"""),"")</f>
        <v/>
      </c>
      <c r="O1017" s="46" t="s">
        <v>1976</v>
      </c>
      <c r="P1017" s="47"/>
      <c r="Q1017" s="47"/>
      <c r="R1017" s="48" t="s">
        <v>1976</v>
      </c>
    </row>
    <row r="1018">
      <c r="B1018" s="45"/>
      <c r="N1018" s="46" t="str">
        <f>IFERROR(__xludf.DUMMYFUNCTION("""COMPUTED_VALUE"""),"")</f>
        <v/>
      </c>
      <c r="O1018" s="46" t="s">
        <v>1976</v>
      </c>
      <c r="P1018" s="47"/>
      <c r="Q1018" s="47"/>
      <c r="R1018" s="48" t="s">
        <v>1976</v>
      </c>
    </row>
    <row r="1019">
      <c r="B1019" s="45"/>
      <c r="N1019" s="46" t="str">
        <f>IFERROR(__xludf.DUMMYFUNCTION("""COMPUTED_VALUE"""),"")</f>
        <v/>
      </c>
      <c r="O1019" s="46" t="s">
        <v>1976</v>
      </c>
      <c r="P1019" s="47"/>
      <c r="Q1019" s="47"/>
      <c r="R1019" s="48" t="s">
        <v>1976</v>
      </c>
    </row>
    <row r="1020">
      <c r="B1020" s="45"/>
      <c r="N1020" s="46" t="str">
        <f>IFERROR(__xludf.DUMMYFUNCTION("""COMPUTED_VALUE"""),"")</f>
        <v/>
      </c>
      <c r="O1020" s="46" t="s">
        <v>1976</v>
      </c>
      <c r="P1020" s="47"/>
      <c r="Q1020" s="47"/>
      <c r="R1020" s="48" t="s">
        <v>1976</v>
      </c>
    </row>
    <row r="1021">
      <c r="B1021" s="45"/>
      <c r="N1021" s="46" t="str">
        <f>IFERROR(__xludf.DUMMYFUNCTION("""COMPUTED_VALUE"""),"")</f>
        <v/>
      </c>
      <c r="O1021" s="46" t="s">
        <v>1976</v>
      </c>
      <c r="P1021" s="47"/>
      <c r="Q1021" s="47"/>
      <c r="R1021" s="48" t="s">
        <v>1976</v>
      </c>
    </row>
    <row r="1022">
      <c r="B1022" s="45"/>
      <c r="N1022" s="46" t="str">
        <f>IFERROR(__xludf.DUMMYFUNCTION("""COMPUTED_VALUE"""),"")</f>
        <v/>
      </c>
      <c r="O1022" s="46" t="s">
        <v>1976</v>
      </c>
      <c r="P1022" s="47"/>
      <c r="Q1022" s="47"/>
      <c r="R1022" s="48" t="s">
        <v>1976</v>
      </c>
    </row>
    <row r="1023">
      <c r="B1023" s="45"/>
      <c r="N1023" s="46" t="str">
        <f>IFERROR(__xludf.DUMMYFUNCTION("""COMPUTED_VALUE"""),"")</f>
        <v/>
      </c>
      <c r="O1023" s="46" t="s">
        <v>1976</v>
      </c>
      <c r="P1023" s="47"/>
      <c r="Q1023" s="47"/>
      <c r="R1023" s="48" t="s">
        <v>1976</v>
      </c>
    </row>
    <row r="1024">
      <c r="B1024" s="45"/>
      <c r="N1024" s="46" t="str">
        <f>IFERROR(__xludf.DUMMYFUNCTION("""COMPUTED_VALUE"""),"")</f>
        <v/>
      </c>
      <c r="O1024" s="46" t="s">
        <v>1976</v>
      </c>
      <c r="P1024" s="47"/>
      <c r="Q1024" s="47"/>
      <c r="R1024" s="48" t="s">
        <v>1976</v>
      </c>
    </row>
    <row r="1025">
      <c r="B1025" s="45"/>
      <c r="N1025" s="46" t="str">
        <f>IFERROR(__xludf.DUMMYFUNCTION("""COMPUTED_VALUE"""),"")</f>
        <v/>
      </c>
      <c r="O1025" s="46" t="s">
        <v>1976</v>
      </c>
      <c r="P1025" s="47"/>
      <c r="Q1025" s="47"/>
      <c r="R1025" s="48" t="s">
        <v>1976</v>
      </c>
    </row>
    <row r="1026">
      <c r="B1026" s="45"/>
      <c r="N1026" s="46" t="str">
        <f>IFERROR(__xludf.DUMMYFUNCTION("""COMPUTED_VALUE"""),"")</f>
        <v/>
      </c>
      <c r="O1026" s="46" t="s">
        <v>1976</v>
      </c>
      <c r="P1026" s="47"/>
      <c r="Q1026" s="47"/>
      <c r="R1026" s="48" t="s">
        <v>1976</v>
      </c>
    </row>
    <row r="1027">
      <c r="B1027" s="45"/>
      <c r="N1027" s="46" t="str">
        <f>IFERROR(__xludf.DUMMYFUNCTION("""COMPUTED_VALUE"""),"")</f>
        <v/>
      </c>
      <c r="O1027" s="46" t="s">
        <v>1976</v>
      </c>
      <c r="P1027" s="47"/>
      <c r="Q1027" s="47"/>
      <c r="R1027" s="48" t="s">
        <v>1976</v>
      </c>
    </row>
    <row r="1028">
      <c r="B1028" s="45"/>
      <c r="N1028" s="46" t="str">
        <f>IFERROR(__xludf.DUMMYFUNCTION("""COMPUTED_VALUE"""),"")</f>
        <v/>
      </c>
      <c r="O1028" s="46" t="s">
        <v>1976</v>
      </c>
      <c r="P1028" s="47"/>
      <c r="Q1028" s="47"/>
      <c r="R1028" s="48" t="s">
        <v>1976</v>
      </c>
    </row>
    <row r="1029">
      <c r="B1029" s="45"/>
      <c r="N1029" s="46" t="str">
        <f>IFERROR(__xludf.DUMMYFUNCTION("""COMPUTED_VALUE"""),"")</f>
        <v/>
      </c>
      <c r="O1029" s="46" t="s">
        <v>1976</v>
      </c>
      <c r="P1029" s="47"/>
      <c r="Q1029" s="47"/>
      <c r="R1029" s="48" t="s">
        <v>1976</v>
      </c>
    </row>
    <row r="1030">
      <c r="B1030" s="45"/>
      <c r="N1030" s="46" t="str">
        <f>IFERROR(__xludf.DUMMYFUNCTION("""COMPUTED_VALUE"""),"")</f>
        <v/>
      </c>
      <c r="O1030" s="46" t="s">
        <v>1976</v>
      </c>
      <c r="P1030" s="47"/>
      <c r="Q1030" s="47"/>
      <c r="R1030" s="48" t="s">
        <v>1976</v>
      </c>
    </row>
    <row r="1031">
      <c r="B1031" s="45"/>
      <c r="N1031" s="46" t="str">
        <f>IFERROR(__xludf.DUMMYFUNCTION("""COMPUTED_VALUE"""),"")</f>
        <v/>
      </c>
      <c r="O1031" s="46" t="s">
        <v>1976</v>
      </c>
      <c r="P1031" s="47"/>
      <c r="Q1031" s="47"/>
      <c r="R1031" s="48" t="s">
        <v>1976</v>
      </c>
    </row>
    <row r="1032">
      <c r="B1032" s="45"/>
      <c r="N1032" s="46" t="str">
        <f>IFERROR(__xludf.DUMMYFUNCTION("""COMPUTED_VALUE"""),"")</f>
        <v/>
      </c>
      <c r="O1032" s="46" t="s">
        <v>1976</v>
      </c>
      <c r="P1032" s="47"/>
      <c r="Q1032" s="47"/>
      <c r="R1032" s="48" t="s">
        <v>1976</v>
      </c>
    </row>
    <row r="1033">
      <c r="B1033" s="45"/>
      <c r="N1033" s="46" t="str">
        <f>IFERROR(__xludf.DUMMYFUNCTION("""COMPUTED_VALUE"""),"")</f>
        <v/>
      </c>
      <c r="O1033" s="46" t="s">
        <v>1976</v>
      </c>
      <c r="P1033" s="47"/>
      <c r="Q1033" s="47"/>
      <c r="R1033" s="48" t="s">
        <v>1976</v>
      </c>
    </row>
    <row r="1034">
      <c r="B1034" s="45"/>
      <c r="N1034" s="46" t="str">
        <f>IFERROR(__xludf.DUMMYFUNCTION("""COMPUTED_VALUE"""),"")</f>
        <v/>
      </c>
      <c r="O1034" s="46" t="s">
        <v>1976</v>
      </c>
      <c r="P1034" s="47"/>
      <c r="Q1034" s="47"/>
      <c r="R1034" s="48" t="s">
        <v>1976</v>
      </c>
    </row>
    <row r="1035">
      <c r="B1035" s="45"/>
      <c r="N1035" s="46" t="str">
        <f>IFERROR(__xludf.DUMMYFUNCTION("""COMPUTED_VALUE"""),"")</f>
        <v/>
      </c>
      <c r="O1035" s="46" t="s">
        <v>1976</v>
      </c>
      <c r="P1035" s="47"/>
      <c r="Q1035" s="47"/>
      <c r="R1035" s="48" t="s">
        <v>1976</v>
      </c>
    </row>
    <row r="1036">
      <c r="B1036" s="45"/>
      <c r="N1036" s="46" t="str">
        <f>IFERROR(__xludf.DUMMYFUNCTION("""COMPUTED_VALUE"""),"")</f>
        <v/>
      </c>
      <c r="O1036" s="46" t="s">
        <v>1976</v>
      </c>
      <c r="P1036" s="47"/>
      <c r="Q1036" s="47"/>
      <c r="R1036" s="48" t="s">
        <v>1976</v>
      </c>
    </row>
    <row r="1037">
      <c r="B1037" s="45"/>
      <c r="N1037" s="46" t="str">
        <f>IFERROR(__xludf.DUMMYFUNCTION("""COMPUTED_VALUE"""),"")</f>
        <v/>
      </c>
      <c r="O1037" s="46" t="s">
        <v>1976</v>
      </c>
      <c r="P1037" s="47"/>
      <c r="Q1037" s="47"/>
      <c r="R1037" s="48" t="s">
        <v>1976</v>
      </c>
    </row>
    <row r="1038">
      <c r="B1038" s="45"/>
      <c r="N1038" s="46" t="str">
        <f>IFERROR(__xludf.DUMMYFUNCTION("""COMPUTED_VALUE"""),"")</f>
        <v/>
      </c>
      <c r="O1038" s="46" t="s">
        <v>1976</v>
      </c>
      <c r="P1038" s="47"/>
      <c r="Q1038" s="47"/>
      <c r="R1038" s="48" t="s">
        <v>1976</v>
      </c>
    </row>
    <row r="1039">
      <c r="B1039" s="45"/>
      <c r="N1039" s="46" t="str">
        <f>IFERROR(__xludf.DUMMYFUNCTION("""COMPUTED_VALUE"""),"")</f>
        <v/>
      </c>
      <c r="O1039" s="46" t="s">
        <v>1976</v>
      </c>
      <c r="P1039" s="47"/>
      <c r="Q1039" s="47"/>
      <c r="R1039" s="48" t="s">
        <v>1976</v>
      </c>
    </row>
    <row r="1040">
      <c r="B1040" s="45"/>
      <c r="N1040" s="46" t="str">
        <f>IFERROR(__xludf.DUMMYFUNCTION("""COMPUTED_VALUE"""),"")</f>
        <v/>
      </c>
      <c r="O1040" s="46" t="s">
        <v>1976</v>
      </c>
      <c r="P1040" s="47"/>
      <c r="Q1040" s="47"/>
      <c r="R1040" s="48" t="s">
        <v>1976</v>
      </c>
    </row>
    <row r="1041">
      <c r="B1041" s="45"/>
      <c r="N1041" s="46" t="str">
        <f>IFERROR(__xludf.DUMMYFUNCTION("""COMPUTED_VALUE"""),"")</f>
        <v/>
      </c>
      <c r="O1041" s="46" t="s">
        <v>1976</v>
      </c>
      <c r="P1041" s="47"/>
      <c r="Q1041" s="47"/>
      <c r="R1041" s="48" t="s">
        <v>1976</v>
      </c>
    </row>
    <row r="1042">
      <c r="B1042" s="45"/>
      <c r="N1042" s="46" t="str">
        <f>IFERROR(__xludf.DUMMYFUNCTION("""COMPUTED_VALUE"""),"")</f>
        <v/>
      </c>
      <c r="O1042" s="46" t="s">
        <v>1976</v>
      </c>
      <c r="P1042" s="47"/>
      <c r="Q1042" s="47"/>
      <c r="R1042" s="48" t="s">
        <v>1976</v>
      </c>
    </row>
    <row r="1043">
      <c r="B1043" s="45"/>
      <c r="N1043" s="46" t="str">
        <f>IFERROR(__xludf.DUMMYFUNCTION("""COMPUTED_VALUE"""),"")</f>
        <v/>
      </c>
      <c r="O1043" s="46" t="s">
        <v>1976</v>
      </c>
      <c r="P1043" s="47"/>
      <c r="Q1043" s="47"/>
      <c r="R1043" s="48" t="s">
        <v>1976</v>
      </c>
    </row>
    <row r="1044">
      <c r="B1044" s="45"/>
      <c r="N1044" s="46" t="str">
        <f>IFERROR(__xludf.DUMMYFUNCTION("""COMPUTED_VALUE"""),"")</f>
        <v/>
      </c>
      <c r="O1044" s="46" t="s">
        <v>1976</v>
      </c>
      <c r="P1044" s="47"/>
      <c r="Q1044" s="47"/>
      <c r="R1044" s="48" t="s">
        <v>1976</v>
      </c>
    </row>
    <row r="1045">
      <c r="B1045" s="45"/>
      <c r="N1045" s="46" t="str">
        <f>IFERROR(__xludf.DUMMYFUNCTION("""COMPUTED_VALUE"""),"")</f>
        <v/>
      </c>
      <c r="O1045" s="46" t="s">
        <v>1976</v>
      </c>
      <c r="P1045" s="47"/>
      <c r="Q1045" s="47"/>
      <c r="R1045" s="48" t="s">
        <v>1976</v>
      </c>
    </row>
    <row r="1046">
      <c r="B1046" s="45"/>
      <c r="N1046" s="46" t="str">
        <f>IFERROR(__xludf.DUMMYFUNCTION("""COMPUTED_VALUE"""),"")</f>
        <v/>
      </c>
      <c r="O1046" s="46" t="s">
        <v>1976</v>
      </c>
      <c r="P1046" s="47"/>
      <c r="Q1046" s="47"/>
      <c r="R1046" s="48" t="s">
        <v>1976</v>
      </c>
    </row>
    <row r="1047">
      <c r="B1047" s="45"/>
      <c r="N1047" s="46" t="str">
        <f>IFERROR(__xludf.DUMMYFUNCTION("""COMPUTED_VALUE"""),"")</f>
        <v/>
      </c>
      <c r="O1047" s="46" t="s">
        <v>1976</v>
      </c>
      <c r="P1047" s="47"/>
      <c r="Q1047" s="47"/>
      <c r="R1047" s="48" t="s">
        <v>1976</v>
      </c>
    </row>
    <row r="1048">
      <c r="B1048" s="45"/>
      <c r="N1048" s="46" t="str">
        <f>IFERROR(__xludf.DUMMYFUNCTION("""COMPUTED_VALUE"""),"")</f>
        <v/>
      </c>
      <c r="O1048" s="46" t="s">
        <v>1976</v>
      </c>
      <c r="P1048" s="47"/>
      <c r="Q1048" s="47"/>
      <c r="R1048" s="48" t="s">
        <v>1976</v>
      </c>
    </row>
    <row r="1049">
      <c r="B1049" s="45"/>
      <c r="N1049" s="46" t="str">
        <f>IFERROR(__xludf.DUMMYFUNCTION("""COMPUTED_VALUE"""),"")</f>
        <v/>
      </c>
      <c r="O1049" s="46" t="s">
        <v>1976</v>
      </c>
      <c r="P1049" s="47"/>
      <c r="Q1049" s="47"/>
      <c r="R1049" s="48" t="s">
        <v>1976</v>
      </c>
    </row>
    <row r="1050">
      <c r="B1050" s="45"/>
      <c r="N1050" s="46" t="str">
        <f>IFERROR(__xludf.DUMMYFUNCTION("""COMPUTED_VALUE"""),"")</f>
        <v/>
      </c>
      <c r="O1050" s="46" t="s">
        <v>1976</v>
      </c>
      <c r="P1050" s="47"/>
      <c r="Q1050" s="47"/>
      <c r="R1050" s="48" t="s">
        <v>1976</v>
      </c>
    </row>
    <row r="1051">
      <c r="B1051" s="45"/>
      <c r="N1051" s="46" t="str">
        <f>IFERROR(__xludf.DUMMYFUNCTION("""COMPUTED_VALUE"""),"")</f>
        <v/>
      </c>
      <c r="O1051" s="46" t="s">
        <v>1976</v>
      </c>
      <c r="P1051" s="47"/>
      <c r="Q1051" s="47"/>
      <c r="R1051" s="48" t="s">
        <v>1976</v>
      </c>
    </row>
    <row r="1052">
      <c r="B1052" s="45"/>
      <c r="N1052" s="46" t="str">
        <f>IFERROR(__xludf.DUMMYFUNCTION("""COMPUTED_VALUE"""),"")</f>
        <v/>
      </c>
      <c r="O1052" s="46" t="s">
        <v>1976</v>
      </c>
      <c r="P1052" s="47"/>
      <c r="Q1052" s="47"/>
      <c r="R1052" s="48" t="s">
        <v>1976</v>
      </c>
    </row>
    <row r="1053">
      <c r="B1053" s="45"/>
      <c r="N1053" s="46" t="str">
        <f>IFERROR(__xludf.DUMMYFUNCTION("""COMPUTED_VALUE"""),"")</f>
        <v/>
      </c>
      <c r="O1053" s="46" t="s">
        <v>1976</v>
      </c>
      <c r="P1053" s="47"/>
      <c r="Q1053" s="47"/>
      <c r="R1053" s="48" t="s">
        <v>1976</v>
      </c>
    </row>
    <row r="1054">
      <c r="B1054" s="45"/>
      <c r="N1054" s="46" t="str">
        <f>IFERROR(__xludf.DUMMYFUNCTION("""COMPUTED_VALUE"""),"")</f>
        <v/>
      </c>
      <c r="O1054" s="46" t="s">
        <v>1976</v>
      </c>
      <c r="P1054" s="47"/>
      <c r="Q1054" s="47"/>
      <c r="R1054" s="48" t="s">
        <v>1976</v>
      </c>
    </row>
    <row r="1055">
      <c r="B1055" s="45"/>
      <c r="N1055" s="46" t="str">
        <f>IFERROR(__xludf.DUMMYFUNCTION("""COMPUTED_VALUE"""),"")</f>
        <v/>
      </c>
      <c r="O1055" s="46" t="s">
        <v>1976</v>
      </c>
      <c r="P1055" s="47"/>
      <c r="Q1055" s="47"/>
      <c r="R1055" s="48" t="s">
        <v>1976</v>
      </c>
    </row>
    <row r="1056">
      <c r="B1056" s="45"/>
      <c r="N1056" s="46" t="str">
        <f>IFERROR(__xludf.DUMMYFUNCTION("""COMPUTED_VALUE"""),"")</f>
        <v/>
      </c>
      <c r="O1056" s="46" t="s">
        <v>1976</v>
      </c>
      <c r="P1056" s="47"/>
      <c r="Q1056" s="47"/>
      <c r="R1056" s="48" t="s">
        <v>1976</v>
      </c>
    </row>
    <row r="1057">
      <c r="B1057" s="45"/>
      <c r="N1057" s="46" t="str">
        <f>IFERROR(__xludf.DUMMYFUNCTION("""COMPUTED_VALUE"""),"")</f>
        <v/>
      </c>
      <c r="O1057" s="46" t="s">
        <v>1976</v>
      </c>
      <c r="P1057" s="47"/>
      <c r="Q1057" s="47"/>
      <c r="R1057" s="48" t="s">
        <v>1976</v>
      </c>
    </row>
    <row r="1058">
      <c r="B1058" s="45"/>
      <c r="N1058" s="46" t="str">
        <f>IFERROR(__xludf.DUMMYFUNCTION("""COMPUTED_VALUE"""),"")</f>
        <v/>
      </c>
      <c r="O1058" s="46" t="s">
        <v>1976</v>
      </c>
      <c r="P1058" s="47"/>
      <c r="Q1058" s="47"/>
      <c r="R1058" s="48" t="s">
        <v>1976</v>
      </c>
    </row>
    <row r="1059">
      <c r="B1059" s="45"/>
      <c r="N1059" s="46" t="str">
        <f>IFERROR(__xludf.DUMMYFUNCTION("""COMPUTED_VALUE"""),"")</f>
        <v/>
      </c>
      <c r="O1059" s="46" t="s">
        <v>1976</v>
      </c>
      <c r="P1059" s="47"/>
      <c r="Q1059" s="47"/>
      <c r="R1059" s="48" t="s">
        <v>1976</v>
      </c>
    </row>
    <row r="1060">
      <c r="B1060" s="45"/>
      <c r="N1060" s="46" t="str">
        <f>IFERROR(__xludf.DUMMYFUNCTION("""COMPUTED_VALUE"""),"")</f>
        <v/>
      </c>
      <c r="O1060" s="46" t="s">
        <v>1976</v>
      </c>
      <c r="P1060" s="47"/>
      <c r="Q1060" s="47"/>
      <c r="R1060" s="48" t="s">
        <v>1976</v>
      </c>
    </row>
    <row r="1061">
      <c r="B1061" s="45"/>
      <c r="N1061" s="46" t="str">
        <f>IFERROR(__xludf.DUMMYFUNCTION("""COMPUTED_VALUE"""),"")</f>
        <v/>
      </c>
      <c r="O1061" s="46" t="s">
        <v>1976</v>
      </c>
      <c r="P1061" s="47"/>
      <c r="Q1061" s="47"/>
      <c r="R1061" s="48" t="s">
        <v>1976</v>
      </c>
    </row>
    <row r="1062">
      <c r="B1062" s="45"/>
      <c r="N1062" s="46" t="str">
        <f>IFERROR(__xludf.DUMMYFUNCTION("""COMPUTED_VALUE"""),"")</f>
        <v/>
      </c>
      <c r="O1062" s="46" t="s">
        <v>1976</v>
      </c>
      <c r="P1062" s="47"/>
      <c r="Q1062" s="47"/>
      <c r="R1062" s="48" t="s">
        <v>1976</v>
      </c>
    </row>
    <row r="1063">
      <c r="B1063" s="45"/>
      <c r="N1063" s="46" t="str">
        <f>IFERROR(__xludf.DUMMYFUNCTION("""COMPUTED_VALUE"""),"")</f>
        <v/>
      </c>
      <c r="O1063" s="46" t="s">
        <v>1976</v>
      </c>
      <c r="P1063" s="47"/>
      <c r="Q1063" s="47"/>
      <c r="R1063" s="48" t="s">
        <v>1976</v>
      </c>
    </row>
    <row r="1064">
      <c r="B1064" s="45"/>
      <c r="N1064" s="46" t="str">
        <f>IFERROR(__xludf.DUMMYFUNCTION("""COMPUTED_VALUE"""),"")</f>
        <v/>
      </c>
      <c r="O1064" s="46" t="s">
        <v>1976</v>
      </c>
      <c r="P1064" s="47"/>
      <c r="Q1064" s="47"/>
      <c r="R1064" s="48" t="s">
        <v>1976</v>
      </c>
    </row>
    <row r="1065">
      <c r="B1065" s="45"/>
      <c r="N1065" s="46" t="str">
        <f>IFERROR(__xludf.DUMMYFUNCTION("""COMPUTED_VALUE"""),"")</f>
        <v/>
      </c>
      <c r="O1065" s="46" t="s">
        <v>1976</v>
      </c>
      <c r="P1065" s="47"/>
      <c r="Q1065" s="47"/>
      <c r="R1065" s="48" t="s">
        <v>1976</v>
      </c>
    </row>
    <row r="1066">
      <c r="B1066" s="45"/>
      <c r="N1066" s="46" t="str">
        <f>IFERROR(__xludf.DUMMYFUNCTION("""COMPUTED_VALUE"""),"")</f>
        <v/>
      </c>
      <c r="O1066" s="46" t="s">
        <v>1976</v>
      </c>
      <c r="P1066" s="47"/>
      <c r="Q1066" s="47"/>
      <c r="R1066" s="48" t="s">
        <v>1976</v>
      </c>
    </row>
    <row r="1067">
      <c r="B1067" s="45"/>
      <c r="N1067" s="46" t="str">
        <f>IFERROR(__xludf.DUMMYFUNCTION("""COMPUTED_VALUE"""),"")</f>
        <v/>
      </c>
      <c r="O1067" s="46" t="s">
        <v>1976</v>
      </c>
      <c r="P1067" s="47"/>
      <c r="Q1067" s="47"/>
      <c r="R1067" s="48" t="s">
        <v>1976</v>
      </c>
    </row>
    <row r="1068">
      <c r="B1068" s="45"/>
      <c r="N1068" s="46" t="str">
        <f>IFERROR(__xludf.DUMMYFUNCTION("""COMPUTED_VALUE"""),"")</f>
        <v/>
      </c>
      <c r="O1068" s="46" t="s">
        <v>1976</v>
      </c>
      <c r="P1068" s="47"/>
      <c r="Q1068" s="47"/>
      <c r="R1068" s="48" t="s">
        <v>1976</v>
      </c>
    </row>
    <row r="1069">
      <c r="B1069" s="45"/>
      <c r="N1069" s="46" t="str">
        <f>IFERROR(__xludf.DUMMYFUNCTION("""COMPUTED_VALUE"""),"")</f>
        <v/>
      </c>
      <c r="O1069" s="46" t="s">
        <v>1976</v>
      </c>
      <c r="P1069" s="47"/>
      <c r="Q1069" s="47"/>
      <c r="R1069" s="48" t="s">
        <v>1976</v>
      </c>
    </row>
    <row r="1070">
      <c r="B1070" s="45"/>
      <c r="N1070" s="46" t="str">
        <f>IFERROR(__xludf.DUMMYFUNCTION("""COMPUTED_VALUE"""),"")</f>
        <v/>
      </c>
      <c r="O1070" s="46" t="s">
        <v>1976</v>
      </c>
      <c r="P1070" s="47"/>
      <c r="Q1070" s="47"/>
      <c r="R1070" s="48" t="s">
        <v>1976</v>
      </c>
    </row>
    <row r="1071">
      <c r="B1071" s="45"/>
      <c r="N1071" s="46" t="str">
        <f>IFERROR(__xludf.DUMMYFUNCTION("""COMPUTED_VALUE"""),"")</f>
        <v/>
      </c>
      <c r="O1071" s="46" t="s">
        <v>1976</v>
      </c>
      <c r="P1071" s="47"/>
      <c r="Q1071" s="47"/>
      <c r="R1071" s="48" t="s">
        <v>1976</v>
      </c>
    </row>
    <row r="1072">
      <c r="B1072" s="45"/>
      <c r="N1072" s="46" t="str">
        <f>IFERROR(__xludf.DUMMYFUNCTION("""COMPUTED_VALUE"""),"")</f>
        <v/>
      </c>
      <c r="O1072" s="46" t="s">
        <v>1976</v>
      </c>
      <c r="P1072" s="47"/>
      <c r="Q1072" s="47"/>
      <c r="R1072" s="48" t="s">
        <v>1976</v>
      </c>
    </row>
    <row r="1073">
      <c r="B1073" s="45"/>
      <c r="N1073" s="46" t="str">
        <f>IFERROR(__xludf.DUMMYFUNCTION("""COMPUTED_VALUE"""),"")</f>
        <v/>
      </c>
      <c r="O1073" s="46" t="s">
        <v>1976</v>
      </c>
      <c r="P1073" s="47"/>
      <c r="Q1073" s="47"/>
      <c r="R1073" s="48" t="s">
        <v>1976</v>
      </c>
    </row>
    <row r="1074">
      <c r="B1074" s="45"/>
      <c r="N1074" s="46" t="str">
        <f>IFERROR(__xludf.DUMMYFUNCTION("""COMPUTED_VALUE"""),"")</f>
        <v/>
      </c>
      <c r="O1074" s="46" t="s">
        <v>1976</v>
      </c>
      <c r="P1074" s="47"/>
      <c r="Q1074" s="47"/>
      <c r="R1074" s="48" t="s">
        <v>1976</v>
      </c>
    </row>
    <row r="1075">
      <c r="B1075" s="45"/>
      <c r="N1075" s="46" t="str">
        <f>IFERROR(__xludf.DUMMYFUNCTION("""COMPUTED_VALUE"""),"")</f>
        <v/>
      </c>
      <c r="O1075" s="46" t="s">
        <v>1976</v>
      </c>
      <c r="P1075" s="47"/>
      <c r="Q1075" s="47"/>
      <c r="R1075" s="48" t="s">
        <v>1976</v>
      </c>
    </row>
    <row r="1076">
      <c r="B1076" s="45"/>
      <c r="N1076" s="46" t="str">
        <f>IFERROR(__xludf.DUMMYFUNCTION("""COMPUTED_VALUE"""),"")</f>
        <v/>
      </c>
      <c r="O1076" s="46" t="s">
        <v>1976</v>
      </c>
      <c r="P1076" s="47"/>
      <c r="Q1076" s="47"/>
      <c r="R1076" s="48" t="s">
        <v>1976</v>
      </c>
    </row>
    <row r="1077">
      <c r="B1077" s="45"/>
      <c r="N1077" s="46" t="str">
        <f>IFERROR(__xludf.DUMMYFUNCTION("""COMPUTED_VALUE"""),"")</f>
        <v/>
      </c>
      <c r="O1077" s="46" t="s">
        <v>1976</v>
      </c>
      <c r="P1077" s="47"/>
      <c r="Q1077" s="47"/>
      <c r="R1077" s="48" t="s">
        <v>1976</v>
      </c>
    </row>
    <row r="1078">
      <c r="B1078" s="45"/>
      <c r="N1078" s="46" t="str">
        <f>IFERROR(__xludf.DUMMYFUNCTION("""COMPUTED_VALUE"""),"")</f>
        <v/>
      </c>
      <c r="O1078" s="46" t="s">
        <v>1976</v>
      </c>
      <c r="P1078" s="47"/>
      <c r="Q1078" s="47"/>
      <c r="R1078" s="48" t="s">
        <v>1976</v>
      </c>
    </row>
    <row r="1079">
      <c r="B1079" s="45"/>
      <c r="N1079" s="46" t="str">
        <f>IFERROR(__xludf.DUMMYFUNCTION("""COMPUTED_VALUE"""),"")</f>
        <v/>
      </c>
      <c r="O1079" s="46" t="s">
        <v>1976</v>
      </c>
      <c r="P1079" s="47"/>
      <c r="Q1079" s="47"/>
      <c r="R1079" s="48" t="s">
        <v>1976</v>
      </c>
    </row>
    <row r="1080">
      <c r="B1080" s="45"/>
      <c r="N1080" s="46" t="str">
        <f>IFERROR(__xludf.DUMMYFUNCTION("""COMPUTED_VALUE"""),"")</f>
        <v/>
      </c>
      <c r="O1080" s="46" t="s">
        <v>1976</v>
      </c>
      <c r="P1080" s="47"/>
      <c r="Q1080" s="47"/>
      <c r="R1080" s="48" t="s">
        <v>1976</v>
      </c>
    </row>
    <row r="1081">
      <c r="B1081" s="45"/>
      <c r="N1081" s="46" t="str">
        <f>IFERROR(__xludf.DUMMYFUNCTION("""COMPUTED_VALUE"""),"")</f>
        <v/>
      </c>
      <c r="O1081" s="46" t="s">
        <v>1976</v>
      </c>
      <c r="P1081" s="47"/>
      <c r="Q1081" s="47"/>
      <c r="R1081" s="48" t="s">
        <v>1976</v>
      </c>
    </row>
    <row r="1082">
      <c r="B1082" s="45"/>
      <c r="N1082" s="46" t="str">
        <f>IFERROR(__xludf.DUMMYFUNCTION("""COMPUTED_VALUE"""),"")</f>
        <v/>
      </c>
      <c r="O1082" s="46" t="s">
        <v>1976</v>
      </c>
      <c r="P1082" s="47"/>
      <c r="Q1082" s="47"/>
      <c r="R1082" s="48" t="s">
        <v>1976</v>
      </c>
    </row>
    <row r="1083">
      <c r="B1083" s="45"/>
      <c r="N1083" s="46" t="str">
        <f>IFERROR(__xludf.DUMMYFUNCTION("""COMPUTED_VALUE"""),"")</f>
        <v/>
      </c>
      <c r="O1083" s="46" t="s">
        <v>1976</v>
      </c>
      <c r="P1083" s="47"/>
      <c r="Q1083" s="47"/>
      <c r="R1083" s="48" t="s">
        <v>1976</v>
      </c>
    </row>
    <row r="1084">
      <c r="B1084" s="45"/>
      <c r="N1084" s="46" t="str">
        <f>IFERROR(__xludf.DUMMYFUNCTION("""COMPUTED_VALUE"""),"")</f>
        <v/>
      </c>
      <c r="O1084" s="46" t="s">
        <v>1976</v>
      </c>
      <c r="P1084" s="47"/>
      <c r="Q1084" s="47"/>
      <c r="R1084" s="48" t="s">
        <v>1976</v>
      </c>
    </row>
    <row r="1085">
      <c r="B1085" s="45"/>
      <c r="N1085" s="46" t="str">
        <f>IFERROR(__xludf.DUMMYFUNCTION("""COMPUTED_VALUE"""),"")</f>
        <v/>
      </c>
      <c r="O1085" s="46" t="s">
        <v>1976</v>
      </c>
      <c r="P1085" s="47"/>
      <c r="Q1085" s="47"/>
      <c r="R1085" s="48" t="s">
        <v>1976</v>
      </c>
    </row>
    <row r="1086">
      <c r="B1086" s="45"/>
      <c r="N1086" s="46" t="str">
        <f>IFERROR(__xludf.DUMMYFUNCTION("""COMPUTED_VALUE"""),"")</f>
        <v/>
      </c>
      <c r="O1086" s="46" t="s">
        <v>1976</v>
      </c>
      <c r="P1086" s="47"/>
      <c r="Q1086" s="47"/>
      <c r="R1086" s="48" t="s">
        <v>1976</v>
      </c>
    </row>
    <row r="1087">
      <c r="B1087" s="45"/>
      <c r="N1087" s="46" t="str">
        <f>IFERROR(__xludf.DUMMYFUNCTION("""COMPUTED_VALUE"""),"")</f>
        <v/>
      </c>
      <c r="O1087" s="46" t="s">
        <v>1976</v>
      </c>
      <c r="P1087" s="47"/>
      <c r="Q1087" s="47"/>
      <c r="R1087" s="48" t="s">
        <v>1976</v>
      </c>
    </row>
    <row r="1088">
      <c r="B1088" s="45"/>
      <c r="N1088" s="46" t="str">
        <f>IFERROR(__xludf.DUMMYFUNCTION("""COMPUTED_VALUE"""),"")</f>
        <v/>
      </c>
      <c r="O1088" s="46" t="s">
        <v>1976</v>
      </c>
      <c r="P1088" s="47"/>
      <c r="Q1088" s="47"/>
      <c r="R1088" s="48" t="s">
        <v>1976</v>
      </c>
    </row>
    <row r="1089">
      <c r="B1089" s="45"/>
      <c r="N1089" s="46" t="str">
        <f>IFERROR(__xludf.DUMMYFUNCTION("""COMPUTED_VALUE"""),"")</f>
        <v/>
      </c>
      <c r="O1089" s="46" t="s">
        <v>1976</v>
      </c>
      <c r="P1089" s="47"/>
      <c r="Q1089" s="47"/>
      <c r="R1089" s="48" t="s">
        <v>1976</v>
      </c>
    </row>
    <row r="1090">
      <c r="B1090" s="45"/>
      <c r="N1090" s="46" t="str">
        <f>IFERROR(__xludf.DUMMYFUNCTION("""COMPUTED_VALUE"""),"")</f>
        <v/>
      </c>
      <c r="O1090" s="46" t="s">
        <v>1976</v>
      </c>
      <c r="P1090" s="47"/>
      <c r="Q1090" s="47"/>
      <c r="R1090" s="48" t="s">
        <v>1976</v>
      </c>
    </row>
    <row r="1091">
      <c r="B1091" s="45"/>
      <c r="N1091" s="46" t="str">
        <f>IFERROR(__xludf.DUMMYFUNCTION("""COMPUTED_VALUE"""),"")</f>
        <v/>
      </c>
      <c r="O1091" s="46" t="s">
        <v>1976</v>
      </c>
      <c r="P1091" s="47"/>
      <c r="Q1091" s="47"/>
      <c r="R1091" s="48" t="s">
        <v>1976</v>
      </c>
    </row>
    <row r="1092">
      <c r="B1092" s="45"/>
      <c r="N1092" s="46" t="str">
        <f>IFERROR(__xludf.DUMMYFUNCTION("""COMPUTED_VALUE"""),"")</f>
        <v/>
      </c>
      <c r="O1092" s="46" t="s">
        <v>1976</v>
      </c>
      <c r="P1092" s="47"/>
      <c r="Q1092" s="47"/>
      <c r="R1092" s="48" t="s">
        <v>1976</v>
      </c>
    </row>
    <row r="1093">
      <c r="B1093" s="45"/>
      <c r="N1093" s="46" t="str">
        <f>IFERROR(__xludf.DUMMYFUNCTION("""COMPUTED_VALUE"""),"")</f>
        <v/>
      </c>
      <c r="O1093" s="46" t="s">
        <v>1976</v>
      </c>
      <c r="P1093" s="47"/>
      <c r="Q1093" s="47"/>
      <c r="R1093" s="48" t="s">
        <v>1976</v>
      </c>
    </row>
    <row r="1094">
      <c r="B1094" s="45"/>
      <c r="N1094" s="46" t="str">
        <f>IFERROR(__xludf.DUMMYFUNCTION("""COMPUTED_VALUE"""),"")</f>
        <v/>
      </c>
      <c r="O1094" s="46" t="s">
        <v>1976</v>
      </c>
      <c r="P1094" s="47"/>
      <c r="Q1094" s="47"/>
      <c r="R1094" s="48" t="s">
        <v>1976</v>
      </c>
    </row>
    <row r="1095">
      <c r="B1095" s="45"/>
      <c r="N1095" s="46" t="str">
        <f>IFERROR(__xludf.DUMMYFUNCTION("""COMPUTED_VALUE"""),"")</f>
        <v/>
      </c>
      <c r="O1095" s="46" t="s">
        <v>1976</v>
      </c>
      <c r="P1095" s="47"/>
      <c r="Q1095" s="47"/>
      <c r="R1095" s="48" t="s">
        <v>1976</v>
      </c>
    </row>
    <row r="1096">
      <c r="B1096" s="45"/>
      <c r="N1096" s="46" t="str">
        <f>IFERROR(__xludf.DUMMYFUNCTION("""COMPUTED_VALUE"""),"")</f>
        <v/>
      </c>
      <c r="O1096" s="46" t="s">
        <v>1976</v>
      </c>
      <c r="P1096" s="47"/>
      <c r="Q1096" s="47"/>
      <c r="R1096" s="48" t="s">
        <v>1976</v>
      </c>
    </row>
    <row r="1097">
      <c r="B1097" s="45"/>
      <c r="N1097" s="46" t="str">
        <f>IFERROR(__xludf.DUMMYFUNCTION("""COMPUTED_VALUE"""),"")</f>
        <v/>
      </c>
      <c r="O1097" s="46" t="s">
        <v>1976</v>
      </c>
      <c r="P1097" s="47"/>
      <c r="Q1097" s="47"/>
      <c r="R1097" s="48" t="s">
        <v>1976</v>
      </c>
    </row>
    <row r="1098">
      <c r="B1098" s="45"/>
      <c r="N1098" s="46" t="str">
        <f>IFERROR(__xludf.DUMMYFUNCTION("""COMPUTED_VALUE"""),"")</f>
        <v/>
      </c>
      <c r="O1098" s="46" t="s">
        <v>1976</v>
      </c>
      <c r="P1098" s="47"/>
      <c r="Q1098" s="47"/>
      <c r="R1098" s="48" t="s">
        <v>1976</v>
      </c>
    </row>
    <row r="1099">
      <c r="B1099" s="45"/>
      <c r="N1099" s="46" t="str">
        <f>IFERROR(__xludf.DUMMYFUNCTION("""COMPUTED_VALUE"""),"")</f>
        <v/>
      </c>
      <c r="O1099" s="46" t="s">
        <v>1976</v>
      </c>
      <c r="P1099" s="47"/>
      <c r="Q1099" s="47"/>
      <c r="R1099" s="48" t="s">
        <v>1976</v>
      </c>
    </row>
    <row r="1100">
      <c r="B1100" s="45"/>
      <c r="N1100" s="46" t="str">
        <f>IFERROR(__xludf.DUMMYFUNCTION("""COMPUTED_VALUE"""),"")</f>
        <v/>
      </c>
      <c r="O1100" s="46" t="s">
        <v>1976</v>
      </c>
      <c r="P1100" s="47"/>
      <c r="Q1100" s="47"/>
      <c r="R1100" s="48" t="s">
        <v>1976</v>
      </c>
    </row>
    <row r="1101">
      <c r="B1101" s="45"/>
      <c r="N1101" s="46" t="str">
        <f>IFERROR(__xludf.DUMMYFUNCTION("""COMPUTED_VALUE"""),"")</f>
        <v/>
      </c>
      <c r="O1101" s="46" t="s">
        <v>1976</v>
      </c>
      <c r="P1101" s="47"/>
      <c r="Q1101" s="47"/>
      <c r="R1101" s="48" t="s">
        <v>1976</v>
      </c>
    </row>
    <row r="1102">
      <c r="B1102" s="45"/>
      <c r="N1102" s="46" t="str">
        <f>IFERROR(__xludf.DUMMYFUNCTION("""COMPUTED_VALUE"""),"")</f>
        <v/>
      </c>
      <c r="O1102" s="46" t="s">
        <v>1976</v>
      </c>
      <c r="P1102" s="47"/>
      <c r="Q1102" s="47"/>
      <c r="R1102" s="48" t="s">
        <v>1976</v>
      </c>
    </row>
    <row r="1103">
      <c r="B1103" s="45"/>
      <c r="N1103" s="46" t="str">
        <f>IFERROR(__xludf.DUMMYFUNCTION("""COMPUTED_VALUE"""),"")</f>
        <v/>
      </c>
      <c r="O1103" s="46" t="s">
        <v>1976</v>
      </c>
      <c r="P1103" s="47"/>
      <c r="Q1103" s="47"/>
      <c r="R1103" s="48" t="s">
        <v>1976</v>
      </c>
    </row>
    <row r="1104">
      <c r="B1104" s="45"/>
      <c r="N1104" s="46" t="str">
        <f>IFERROR(__xludf.DUMMYFUNCTION("""COMPUTED_VALUE"""),"")</f>
        <v/>
      </c>
      <c r="O1104" s="46" t="s">
        <v>1976</v>
      </c>
      <c r="P1104" s="47"/>
      <c r="Q1104" s="47"/>
      <c r="R1104" s="48" t="s">
        <v>1976</v>
      </c>
    </row>
    <row r="1105">
      <c r="B1105" s="45"/>
      <c r="N1105" s="46" t="str">
        <f>IFERROR(__xludf.DUMMYFUNCTION("""COMPUTED_VALUE"""),"")</f>
        <v/>
      </c>
      <c r="O1105" s="46" t="s">
        <v>1976</v>
      </c>
      <c r="P1105" s="47"/>
      <c r="Q1105" s="47"/>
      <c r="R1105" s="48" t="s">
        <v>1976</v>
      </c>
    </row>
    <row r="1106">
      <c r="B1106" s="45"/>
      <c r="N1106" s="46" t="str">
        <f>IFERROR(__xludf.DUMMYFUNCTION("""COMPUTED_VALUE"""),"")</f>
        <v/>
      </c>
      <c r="O1106" s="46" t="s">
        <v>1976</v>
      </c>
      <c r="P1106" s="47"/>
      <c r="Q1106" s="47"/>
      <c r="R1106" s="48" t="s">
        <v>1976</v>
      </c>
    </row>
    <row r="1107">
      <c r="B1107" s="45"/>
      <c r="N1107" s="46" t="str">
        <f>IFERROR(__xludf.DUMMYFUNCTION("""COMPUTED_VALUE"""),"")</f>
        <v/>
      </c>
      <c r="O1107" s="46" t="s">
        <v>1976</v>
      </c>
      <c r="P1107" s="47"/>
      <c r="Q1107" s="47"/>
      <c r="R1107" s="48" t="s">
        <v>1976</v>
      </c>
    </row>
    <row r="1108">
      <c r="B1108" s="45"/>
      <c r="N1108" s="46" t="str">
        <f>IFERROR(__xludf.DUMMYFUNCTION("""COMPUTED_VALUE"""),"")</f>
        <v/>
      </c>
      <c r="O1108" s="46" t="s">
        <v>1976</v>
      </c>
      <c r="P1108" s="47"/>
      <c r="Q1108" s="47"/>
      <c r="R1108" s="48" t="s">
        <v>1976</v>
      </c>
    </row>
    <row r="1109">
      <c r="B1109" s="45"/>
      <c r="N1109" s="46" t="str">
        <f>IFERROR(__xludf.DUMMYFUNCTION("""COMPUTED_VALUE"""),"")</f>
        <v/>
      </c>
      <c r="O1109" s="46" t="s">
        <v>1976</v>
      </c>
      <c r="P1109" s="47"/>
      <c r="Q1109" s="47"/>
      <c r="R1109" s="48" t="s">
        <v>1976</v>
      </c>
    </row>
    <row r="1110">
      <c r="B1110" s="45"/>
      <c r="N1110" s="46" t="str">
        <f>IFERROR(__xludf.DUMMYFUNCTION("""COMPUTED_VALUE"""),"")</f>
        <v/>
      </c>
      <c r="O1110" s="46" t="s">
        <v>1976</v>
      </c>
      <c r="P1110" s="47"/>
      <c r="Q1110" s="47"/>
      <c r="R1110" s="48" t="s">
        <v>1976</v>
      </c>
    </row>
    <row r="1111">
      <c r="B1111" s="45"/>
      <c r="N1111" s="46" t="str">
        <f>IFERROR(__xludf.DUMMYFUNCTION("""COMPUTED_VALUE"""),"")</f>
        <v/>
      </c>
      <c r="O1111" s="46" t="s">
        <v>1976</v>
      </c>
      <c r="P1111" s="47"/>
      <c r="Q1111" s="47"/>
      <c r="R1111" s="48" t="s">
        <v>1976</v>
      </c>
    </row>
    <row r="1112">
      <c r="B1112" s="45"/>
      <c r="N1112" s="46" t="str">
        <f>IFERROR(__xludf.DUMMYFUNCTION("""COMPUTED_VALUE"""),"")</f>
        <v/>
      </c>
      <c r="O1112" s="46" t="s">
        <v>1976</v>
      </c>
      <c r="P1112" s="47"/>
      <c r="Q1112" s="47"/>
      <c r="R1112" s="48" t="s">
        <v>1976</v>
      </c>
    </row>
    <row r="1113">
      <c r="B1113" s="45"/>
      <c r="N1113" s="46" t="str">
        <f>IFERROR(__xludf.DUMMYFUNCTION("""COMPUTED_VALUE"""),"")</f>
        <v/>
      </c>
      <c r="O1113" s="46" t="s">
        <v>1976</v>
      </c>
      <c r="P1113" s="47"/>
      <c r="Q1113" s="47"/>
      <c r="R1113" s="48" t="s">
        <v>1976</v>
      </c>
    </row>
    <row r="1114">
      <c r="B1114" s="45"/>
      <c r="N1114" s="46" t="str">
        <f>IFERROR(__xludf.DUMMYFUNCTION("""COMPUTED_VALUE"""),"")</f>
        <v/>
      </c>
      <c r="O1114" s="46" t="s">
        <v>1976</v>
      </c>
      <c r="P1114" s="47"/>
      <c r="Q1114" s="47"/>
      <c r="R1114" s="48" t="s">
        <v>1976</v>
      </c>
    </row>
    <row r="1115">
      <c r="B1115" s="45"/>
      <c r="N1115" s="46" t="str">
        <f>IFERROR(__xludf.DUMMYFUNCTION("""COMPUTED_VALUE"""),"")</f>
        <v/>
      </c>
      <c r="O1115" s="46" t="s">
        <v>1976</v>
      </c>
      <c r="P1115" s="47"/>
      <c r="Q1115" s="47"/>
      <c r="R1115" s="48" t="s">
        <v>1976</v>
      </c>
    </row>
    <row r="1116">
      <c r="B1116" s="45"/>
      <c r="N1116" s="46" t="str">
        <f>IFERROR(__xludf.DUMMYFUNCTION("""COMPUTED_VALUE"""),"")</f>
        <v/>
      </c>
      <c r="O1116" s="46" t="s">
        <v>1976</v>
      </c>
      <c r="P1116" s="47"/>
      <c r="Q1116" s="47"/>
      <c r="R1116" s="48" t="s">
        <v>1976</v>
      </c>
    </row>
    <row r="1117">
      <c r="B1117" s="45"/>
      <c r="N1117" s="46" t="str">
        <f>IFERROR(__xludf.DUMMYFUNCTION("""COMPUTED_VALUE"""),"")</f>
        <v/>
      </c>
      <c r="O1117" s="46" t="s">
        <v>1976</v>
      </c>
      <c r="P1117" s="47"/>
      <c r="Q1117" s="47"/>
      <c r="R1117" s="48" t="s">
        <v>1976</v>
      </c>
    </row>
    <row r="1118">
      <c r="B1118" s="45"/>
      <c r="N1118" s="46" t="str">
        <f>IFERROR(__xludf.DUMMYFUNCTION("""COMPUTED_VALUE"""),"")</f>
        <v/>
      </c>
      <c r="O1118" s="46" t="s">
        <v>1976</v>
      </c>
      <c r="P1118" s="47"/>
      <c r="Q1118" s="47"/>
      <c r="R1118" s="48" t="s">
        <v>1976</v>
      </c>
    </row>
    <row r="1119">
      <c r="B1119" s="45"/>
      <c r="N1119" s="46" t="str">
        <f>IFERROR(__xludf.DUMMYFUNCTION("""COMPUTED_VALUE"""),"")</f>
        <v/>
      </c>
      <c r="O1119" s="46" t="s">
        <v>1976</v>
      </c>
      <c r="P1119" s="47"/>
      <c r="Q1119" s="47"/>
      <c r="R1119" s="48" t="s">
        <v>1976</v>
      </c>
    </row>
    <row r="1120">
      <c r="B1120" s="45"/>
      <c r="N1120" s="46" t="str">
        <f>IFERROR(__xludf.DUMMYFUNCTION("""COMPUTED_VALUE"""),"")</f>
        <v/>
      </c>
      <c r="O1120" s="46" t="s">
        <v>1976</v>
      </c>
      <c r="P1120" s="47"/>
      <c r="Q1120" s="47"/>
      <c r="R1120" s="48" t="s">
        <v>1976</v>
      </c>
    </row>
    <row r="1121">
      <c r="B1121" s="45"/>
      <c r="N1121" s="46" t="str">
        <f>IFERROR(__xludf.DUMMYFUNCTION("""COMPUTED_VALUE"""),"")</f>
        <v/>
      </c>
      <c r="O1121" s="46" t="s">
        <v>1976</v>
      </c>
      <c r="P1121" s="47"/>
      <c r="Q1121" s="47"/>
      <c r="R1121" s="48" t="s">
        <v>1976</v>
      </c>
    </row>
    <row r="1122">
      <c r="B1122" s="45"/>
      <c r="N1122" s="46" t="str">
        <f>IFERROR(__xludf.DUMMYFUNCTION("""COMPUTED_VALUE"""),"")</f>
        <v/>
      </c>
      <c r="O1122" s="46" t="s">
        <v>1976</v>
      </c>
      <c r="P1122" s="47"/>
      <c r="Q1122" s="47"/>
      <c r="R1122" s="48" t="s">
        <v>1976</v>
      </c>
    </row>
    <row r="1123">
      <c r="B1123" s="45"/>
      <c r="N1123" s="46" t="str">
        <f>IFERROR(__xludf.DUMMYFUNCTION("""COMPUTED_VALUE"""),"")</f>
        <v/>
      </c>
      <c r="O1123" s="46" t="s">
        <v>1976</v>
      </c>
      <c r="P1123" s="47"/>
      <c r="Q1123" s="47"/>
      <c r="R1123" s="48" t="s">
        <v>1976</v>
      </c>
    </row>
    <row r="1124">
      <c r="B1124" s="45"/>
      <c r="N1124" s="46" t="str">
        <f>IFERROR(__xludf.DUMMYFUNCTION("""COMPUTED_VALUE"""),"")</f>
        <v/>
      </c>
      <c r="O1124" s="46" t="s">
        <v>1976</v>
      </c>
      <c r="P1124" s="47"/>
      <c r="Q1124" s="47"/>
      <c r="R1124" s="48" t="s">
        <v>1976</v>
      </c>
    </row>
    <row r="1125">
      <c r="B1125" s="45"/>
      <c r="N1125" s="46" t="str">
        <f>IFERROR(__xludf.DUMMYFUNCTION("""COMPUTED_VALUE"""),"")</f>
        <v/>
      </c>
      <c r="O1125" s="46" t="s">
        <v>1976</v>
      </c>
      <c r="P1125" s="47"/>
      <c r="Q1125" s="47"/>
      <c r="R1125" s="48" t="s">
        <v>1976</v>
      </c>
    </row>
    <row r="1126">
      <c r="B1126" s="45"/>
      <c r="N1126" s="46" t="str">
        <f>IFERROR(__xludf.DUMMYFUNCTION("""COMPUTED_VALUE"""),"")</f>
        <v/>
      </c>
      <c r="O1126" s="46" t="s">
        <v>1976</v>
      </c>
      <c r="P1126" s="47"/>
      <c r="Q1126" s="47"/>
      <c r="R1126" s="48" t="s">
        <v>1976</v>
      </c>
    </row>
    <row r="1127">
      <c r="B1127" s="45"/>
      <c r="N1127" s="46" t="str">
        <f>IFERROR(__xludf.DUMMYFUNCTION("""COMPUTED_VALUE"""),"")</f>
        <v/>
      </c>
      <c r="O1127" s="46" t="s">
        <v>1976</v>
      </c>
      <c r="P1127" s="47"/>
      <c r="Q1127" s="47"/>
      <c r="R1127" s="48" t="s">
        <v>1976</v>
      </c>
    </row>
    <row r="1128">
      <c r="B1128" s="45"/>
      <c r="N1128" s="46" t="str">
        <f>IFERROR(__xludf.DUMMYFUNCTION("""COMPUTED_VALUE"""),"")</f>
        <v/>
      </c>
      <c r="O1128" s="46" t="s">
        <v>1976</v>
      </c>
      <c r="P1128" s="47"/>
      <c r="Q1128" s="47"/>
      <c r="R1128" s="48" t="s">
        <v>1976</v>
      </c>
    </row>
    <row r="1129">
      <c r="B1129" s="45"/>
      <c r="N1129" s="46" t="str">
        <f>IFERROR(__xludf.DUMMYFUNCTION("""COMPUTED_VALUE"""),"")</f>
        <v/>
      </c>
      <c r="O1129" s="46" t="s">
        <v>1976</v>
      </c>
      <c r="P1129" s="47"/>
      <c r="Q1129" s="47"/>
      <c r="R1129" s="48" t="s">
        <v>1976</v>
      </c>
    </row>
    <row r="1130">
      <c r="B1130" s="45"/>
      <c r="N1130" s="46" t="str">
        <f>IFERROR(__xludf.DUMMYFUNCTION("""COMPUTED_VALUE"""),"")</f>
        <v/>
      </c>
      <c r="O1130" s="46" t="s">
        <v>1976</v>
      </c>
      <c r="P1130" s="47"/>
      <c r="Q1130" s="47"/>
      <c r="R1130" s="48" t="s">
        <v>1976</v>
      </c>
    </row>
    <row r="1131">
      <c r="B1131" s="45"/>
      <c r="N1131" s="46" t="str">
        <f>IFERROR(__xludf.DUMMYFUNCTION("""COMPUTED_VALUE"""),"")</f>
        <v/>
      </c>
      <c r="O1131" s="46" t="s">
        <v>1976</v>
      </c>
      <c r="P1131" s="47"/>
      <c r="Q1131" s="47"/>
      <c r="R1131" s="48" t="s">
        <v>1976</v>
      </c>
    </row>
    <row r="1132">
      <c r="B1132" s="45"/>
      <c r="N1132" s="46" t="str">
        <f>IFERROR(__xludf.DUMMYFUNCTION("""COMPUTED_VALUE"""),"")</f>
        <v/>
      </c>
      <c r="O1132" s="46" t="s">
        <v>1976</v>
      </c>
      <c r="P1132" s="47"/>
      <c r="Q1132" s="47"/>
      <c r="R1132" s="48" t="s">
        <v>1976</v>
      </c>
    </row>
    <row r="1133">
      <c r="B1133" s="45"/>
      <c r="N1133" s="46" t="str">
        <f>IFERROR(__xludf.DUMMYFUNCTION("""COMPUTED_VALUE"""),"")</f>
        <v/>
      </c>
      <c r="O1133" s="46" t="s">
        <v>1976</v>
      </c>
      <c r="P1133" s="47"/>
      <c r="Q1133" s="47"/>
      <c r="R1133" s="48" t="s">
        <v>1976</v>
      </c>
    </row>
    <row r="1134">
      <c r="B1134" s="45"/>
      <c r="N1134" s="46" t="str">
        <f>IFERROR(__xludf.DUMMYFUNCTION("""COMPUTED_VALUE"""),"")</f>
        <v/>
      </c>
      <c r="O1134" s="46" t="s">
        <v>1976</v>
      </c>
      <c r="P1134" s="47"/>
      <c r="Q1134" s="47"/>
      <c r="R1134" s="48" t="s">
        <v>1976</v>
      </c>
    </row>
    <row r="1135">
      <c r="B1135" s="45"/>
      <c r="N1135" s="46" t="str">
        <f>IFERROR(__xludf.DUMMYFUNCTION("""COMPUTED_VALUE"""),"")</f>
        <v/>
      </c>
      <c r="O1135" s="46" t="s">
        <v>1976</v>
      </c>
      <c r="P1135" s="47"/>
      <c r="Q1135" s="47"/>
      <c r="R1135" s="48" t="s">
        <v>1976</v>
      </c>
    </row>
    <row r="1136">
      <c r="B1136" s="45"/>
      <c r="N1136" s="46" t="str">
        <f>IFERROR(__xludf.DUMMYFUNCTION("""COMPUTED_VALUE"""),"")</f>
        <v/>
      </c>
      <c r="O1136" s="46" t="s">
        <v>1976</v>
      </c>
      <c r="P1136" s="47"/>
      <c r="Q1136" s="47"/>
      <c r="R1136" s="48" t="s">
        <v>1976</v>
      </c>
    </row>
    <row r="1137">
      <c r="B1137" s="45"/>
      <c r="N1137" s="46" t="str">
        <f>IFERROR(__xludf.DUMMYFUNCTION("""COMPUTED_VALUE"""),"")</f>
        <v/>
      </c>
      <c r="O1137" s="46" t="s">
        <v>1976</v>
      </c>
      <c r="P1137" s="47"/>
      <c r="Q1137" s="47"/>
      <c r="R1137" s="48" t="s">
        <v>1976</v>
      </c>
    </row>
    <row r="1138">
      <c r="B1138" s="45"/>
      <c r="N1138" s="46" t="str">
        <f>IFERROR(__xludf.DUMMYFUNCTION("""COMPUTED_VALUE"""),"")</f>
        <v/>
      </c>
      <c r="O1138" s="46" t="s">
        <v>1976</v>
      </c>
      <c r="P1138" s="47"/>
      <c r="Q1138" s="47"/>
      <c r="R1138" s="48" t="s">
        <v>1976</v>
      </c>
    </row>
    <row r="1139">
      <c r="B1139" s="45"/>
      <c r="N1139" s="46" t="str">
        <f>IFERROR(__xludf.DUMMYFUNCTION("""COMPUTED_VALUE"""),"")</f>
        <v/>
      </c>
      <c r="O1139" s="46" t="s">
        <v>1976</v>
      </c>
      <c r="P1139" s="47"/>
      <c r="Q1139" s="47"/>
      <c r="R1139" s="48" t="s">
        <v>1976</v>
      </c>
    </row>
    <row r="1140">
      <c r="B1140" s="45"/>
      <c r="N1140" s="46" t="str">
        <f>IFERROR(__xludf.DUMMYFUNCTION("""COMPUTED_VALUE"""),"")</f>
        <v/>
      </c>
      <c r="O1140" s="46" t="s">
        <v>1976</v>
      </c>
      <c r="P1140" s="47"/>
      <c r="Q1140" s="47"/>
      <c r="R1140" s="48" t="s">
        <v>1976</v>
      </c>
    </row>
    <row r="1141">
      <c r="B1141" s="45"/>
      <c r="N1141" s="46" t="str">
        <f>IFERROR(__xludf.DUMMYFUNCTION("""COMPUTED_VALUE"""),"")</f>
        <v/>
      </c>
      <c r="O1141" s="46" t="s">
        <v>1976</v>
      </c>
      <c r="P1141" s="47"/>
      <c r="Q1141" s="47"/>
      <c r="R1141" s="48" t="s">
        <v>1976</v>
      </c>
    </row>
    <row r="1142">
      <c r="B1142" s="45"/>
      <c r="N1142" s="46" t="str">
        <f>IFERROR(__xludf.DUMMYFUNCTION("""COMPUTED_VALUE"""),"")</f>
        <v/>
      </c>
      <c r="O1142" s="46" t="s">
        <v>1976</v>
      </c>
      <c r="P1142" s="47"/>
      <c r="Q1142" s="47"/>
      <c r="R1142" s="48" t="s">
        <v>1976</v>
      </c>
    </row>
    <row r="1143">
      <c r="B1143" s="45"/>
      <c r="N1143" s="46" t="str">
        <f>IFERROR(__xludf.DUMMYFUNCTION("""COMPUTED_VALUE"""),"")</f>
        <v/>
      </c>
      <c r="O1143" s="46" t="s">
        <v>1976</v>
      </c>
      <c r="P1143" s="47"/>
      <c r="Q1143" s="47"/>
      <c r="R1143" s="48" t="s">
        <v>1976</v>
      </c>
    </row>
    <row r="1144">
      <c r="B1144" s="45"/>
      <c r="N1144" s="46" t="str">
        <f>IFERROR(__xludf.DUMMYFUNCTION("""COMPUTED_VALUE"""),"")</f>
        <v/>
      </c>
      <c r="O1144" s="46" t="s">
        <v>1976</v>
      </c>
      <c r="P1144" s="47"/>
      <c r="Q1144" s="47"/>
      <c r="R1144" s="48" t="s">
        <v>1976</v>
      </c>
    </row>
    <row r="1145">
      <c r="B1145" s="45"/>
      <c r="N1145" s="46" t="str">
        <f>IFERROR(__xludf.DUMMYFUNCTION("""COMPUTED_VALUE"""),"")</f>
        <v/>
      </c>
      <c r="O1145" s="46" t="s">
        <v>1976</v>
      </c>
      <c r="P1145" s="47"/>
      <c r="Q1145" s="47"/>
      <c r="R1145" s="48" t="s">
        <v>1976</v>
      </c>
    </row>
    <row r="1146">
      <c r="B1146" s="45"/>
      <c r="N1146" s="46" t="str">
        <f>IFERROR(__xludf.DUMMYFUNCTION("""COMPUTED_VALUE"""),"")</f>
        <v/>
      </c>
      <c r="O1146" s="46" t="s">
        <v>1976</v>
      </c>
      <c r="P1146" s="47"/>
      <c r="Q1146" s="47"/>
      <c r="R1146" s="48" t="s">
        <v>1976</v>
      </c>
    </row>
    <row r="1147">
      <c r="B1147" s="45"/>
      <c r="N1147" s="46" t="str">
        <f>IFERROR(__xludf.DUMMYFUNCTION("""COMPUTED_VALUE"""),"")</f>
        <v/>
      </c>
      <c r="O1147" s="46" t="s">
        <v>1976</v>
      </c>
      <c r="P1147" s="47"/>
      <c r="Q1147" s="47"/>
      <c r="R1147" s="48" t="s">
        <v>1976</v>
      </c>
    </row>
    <row r="1148">
      <c r="B1148" s="45"/>
      <c r="N1148" s="46" t="str">
        <f>IFERROR(__xludf.DUMMYFUNCTION("""COMPUTED_VALUE"""),"")</f>
        <v/>
      </c>
      <c r="O1148" s="46" t="s">
        <v>1976</v>
      </c>
      <c r="P1148" s="47"/>
      <c r="Q1148" s="47"/>
      <c r="R1148" s="48" t="s">
        <v>1976</v>
      </c>
    </row>
    <row r="1149">
      <c r="B1149" s="45"/>
      <c r="N1149" s="46" t="str">
        <f>IFERROR(__xludf.DUMMYFUNCTION("""COMPUTED_VALUE"""),"")</f>
        <v/>
      </c>
      <c r="O1149" s="46" t="s">
        <v>1976</v>
      </c>
      <c r="P1149" s="47"/>
      <c r="Q1149" s="47"/>
      <c r="R1149" s="48" t="s">
        <v>1976</v>
      </c>
    </row>
    <row r="1150">
      <c r="B1150" s="45"/>
      <c r="N1150" s="46" t="str">
        <f>IFERROR(__xludf.DUMMYFUNCTION("""COMPUTED_VALUE"""),"")</f>
        <v/>
      </c>
      <c r="O1150" s="46" t="s">
        <v>1976</v>
      </c>
      <c r="P1150" s="47"/>
      <c r="Q1150" s="47"/>
      <c r="R1150" s="48" t="s">
        <v>1976</v>
      </c>
    </row>
    <row r="1151">
      <c r="B1151" s="45"/>
      <c r="N1151" s="46" t="str">
        <f>IFERROR(__xludf.DUMMYFUNCTION("""COMPUTED_VALUE"""),"")</f>
        <v/>
      </c>
      <c r="O1151" s="46" t="s">
        <v>1976</v>
      </c>
      <c r="P1151" s="47"/>
      <c r="Q1151" s="47"/>
      <c r="R1151" s="48" t="s">
        <v>1976</v>
      </c>
    </row>
    <row r="1152">
      <c r="B1152" s="45"/>
      <c r="N1152" s="46" t="str">
        <f>IFERROR(__xludf.DUMMYFUNCTION("""COMPUTED_VALUE"""),"")</f>
        <v/>
      </c>
      <c r="O1152" s="46" t="s">
        <v>1976</v>
      </c>
      <c r="P1152" s="47"/>
      <c r="Q1152" s="47"/>
      <c r="R1152" s="48" t="s">
        <v>1976</v>
      </c>
    </row>
    <row r="1153">
      <c r="B1153" s="45"/>
      <c r="N1153" s="46" t="str">
        <f>IFERROR(__xludf.DUMMYFUNCTION("""COMPUTED_VALUE"""),"")</f>
        <v/>
      </c>
      <c r="O1153" s="46" t="s">
        <v>1976</v>
      </c>
      <c r="P1153" s="47"/>
      <c r="Q1153" s="47"/>
      <c r="R1153" s="48" t="s">
        <v>1976</v>
      </c>
    </row>
    <row r="1154">
      <c r="B1154" s="45"/>
      <c r="N1154" s="46" t="str">
        <f>IFERROR(__xludf.DUMMYFUNCTION("""COMPUTED_VALUE"""),"")</f>
        <v/>
      </c>
      <c r="O1154" s="46" t="s">
        <v>1976</v>
      </c>
      <c r="P1154" s="47"/>
      <c r="Q1154" s="47"/>
      <c r="R1154" s="48" t="s">
        <v>1976</v>
      </c>
    </row>
    <row r="1155">
      <c r="B1155" s="45"/>
      <c r="N1155" s="46" t="str">
        <f>IFERROR(__xludf.DUMMYFUNCTION("""COMPUTED_VALUE"""),"")</f>
        <v/>
      </c>
      <c r="O1155" s="46" t="s">
        <v>1976</v>
      </c>
      <c r="P1155" s="47"/>
      <c r="Q1155" s="47"/>
      <c r="R1155" s="48" t="s">
        <v>1976</v>
      </c>
    </row>
    <row r="1156">
      <c r="B1156" s="45"/>
      <c r="N1156" s="46" t="str">
        <f>IFERROR(__xludf.DUMMYFUNCTION("""COMPUTED_VALUE"""),"")</f>
        <v/>
      </c>
      <c r="O1156" s="46" t="s">
        <v>1976</v>
      </c>
      <c r="P1156" s="47"/>
      <c r="Q1156" s="47"/>
      <c r="R1156" s="48" t="s">
        <v>1976</v>
      </c>
    </row>
    <row r="1157">
      <c r="B1157" s="45"/>
      <c r="N1157" s="46" t="str">
        <f>IFERROR(__xludf.DUMMYFUNCTION("""COMPUTED_VALUE"""),"")</f>
        <v/>
      </c>
      <c r="O1157" s="46" t="s">
        <v>1976</v>
      </c>
      <c r="P1157" s="47"/>
      <c r="Q1157" s="47"/>
      <c r="R1157" s="48" t="s">
        <v>1976</v>
      </c>
    </row>
    <row r="1158">
      <c r="B1158" s="45"/>
      <c r="N1158" s="46" t="str">
        <f>IFERROR(__xludf.DUMMYFUNCTION("""COMPUTED_VALUE"""),"")</f>
        <v/>
      </c>
      <c r="O1158" s="46" t="s">
        <v>1976</v>
      </c>
      <c r="P1158" s="47"/>
      <c r="Q1158" s="47"/>
      <c r="R1158" s="48" t="s">
        <v>1976</v>
      </c>
    </row>
    <row r="1159">
      <c r="B1159" s="45"/>
      <c r="N1159" s="46" t="str">
        <f>IFERROR(__xludf.DUMMYFUNCTION("""COMPUTED_VALUE"""),"")</f>
        <v/>
      </c>
      <c r="O1159" s="46" t="s">
        <v>1976</v>
      </c>
      <c r="P1159" s="47"/>
      <c r="Q1159" s="47"/>
      <c r="R1159" s="48" t="s">
        <v>1976</v>
      </c>
    </row>
    <row r="1160">
      <c r="B1160" s="45"/>
      <c r="N1160" s="46" t="str">
        <f>IFERROR(__xludf.DUMMYFUNCTION("""COMPUTED_VALUE"""),"")</f>
        <v/>
      </c>
      <c r="O1160" s="46" t="s">
        <v>1976</v>
      </c>
      <c r="P1160" s="47"/>
      <c r="Q1160" s="47"/>
      <c r="R1160" s="48" t="s">
        <v>1976</v>
      </c>
    </row>
    <row r="1161">
      <c r="B1161" s="45"/>
      <c r="N1161" s="46" t="str">
        <f>IFERROR(__xludf.DUMMYFUNCTION("""COMPUTED_VALUE"""),"")</f>
        <v/>
      </c>
      <c r="O1161" s="46" t="s">
        <v>1976</v>
      </c>
      <c r="P1161" s="47"/>
      <c r="Q1161" s="47"/>
      <c r="R1161" s="48" t="s">
        <v>1976</v>
      </c>
    </row>
    <row r="1162">
      <c r="B1162" s="45"/>
      <c r="N1162" s="46" t="str">
        <f>IFERROR(__xludf.DUMMYFUNCTION("""COMPUTED_VALUE"""),"")</f>
        <v/>
      </c>
      <c r="O1162" s="46" t="s">
        <v>1976</v>
      </c>
      <c r="P1162" s="47"/>
      <c r="Q1162" s="47"/>
      <c r="R1162" s="48" t="s">
        <v>1976</v>
      </c>
    </row>
    <row r="1163">
      <c r="B1163" s="45"/>
      <c r="N1163" s="46" t="str">
        <f>IFERROR(__xludf.DUMMYFUNCTION("""COMPUTED_VALUE"""),"")</f>
        <v/>
      </c>
      <c r="O1163" s="46" t="s">
        <v>1976</v>
      </c>
      <c r="P1163" s="47"/>
      <c r="Q1163" s="47"/>
      <c r="R1163" s="48" t="s">
        <v>1976</v>
      </c>
    </row>
    <row r="1164">
      <c r="B1164" s="45"/>
      <c r="N1164" s="46" t="str">
        <f>IFERROR(__xludf.DUMMYFUNCTION("""COMPUTED_VALUE"""),"")</f>
        <v/>
      </c>
      <c r="O1164" s="46" t="s">
        <v>1976</v>
      </c>
      <c r="P1164" s="47"/>
      <c r="Q1164" s="47"/>
      <c r="R1164" s="48" t="s">
        <v>1976</v>
      </c>
    </row>
    <row r="1165">
      <c r="B1165" s="45"/>
      <c r="N1165" s="46" t="str">
        <f>IFERROR(__xludf.DUMMYFUNCTION("""COMPUTED_VALUE"""),"")</f>
        <v/>
      </c>
      <c r="O1165" s="46" t="s">
        <v>1976</v>
      </c>
      <c r="P1165" s="47"/>
      <c r="Q1165" s="47"/>
      <c r="R1165" s="48" t="s">
        <v>1976</v>
      </c>
    </row>
    <row r="1166">
      <c r="B1166" s="45"/>
      <c r="N1166" s="46" t="str">
        <f>IFERROR(__xludf.DUMMYFUNCTION("""COMPUTED_VALUE"""),"")</f>
        <v/>
      </c>
      <c r="O1166" s="46" t="s">
        <v>1976</v>
      </c>
      <c r="P1166" s="47"/>
      <c r="Q1166" s="47"/>
      <c r="R1166" s="48" t="s">
        <v>1976</v>
      </c>
    </row>
    <row r="1167">
      <c r="B1167" s="45"/>
      <c r="N1167" s="46" t="str">
        <f>IFERROR(__xludf.DUMMYFUNCTION("""COMPUTED_VALUE"""),"")</f>
        <v/>
      </c>
      <c r="O1167" s="46" t="s">
        <v>1976</v>
      </c>
      <c r="P1167" s="47"/>
      <c r="Q1167" s="47"/>
      <c r="R1167" s="48" t="s">
        <v>1976</v>
      </c>
    </row>
    <row r="1168">
      <c r="B1168" s="45"/>
      <c r="N1168" s="46" t="str">
        <f>IFERROR(__xludf.DUMMYFUNCTION("""COMPUTED_VALUE"""),"")</f>
        <v/>
      </c>
      <c r="O1168" s="46" t="s">
        <v>1976</v>
      </c>
      <c r="P1168" s="47"/>
      <c r="Q1168" s="47"/>
      <c r="R1168" s="48" t="s">
        <v>1976</v>
      </c>
    </row>
    <row r="1169">
      <c r="B1169" s="45"/>
      <c r="N1169" s="46" t="str">
        <f>IFERROR(__xludf.DUMMYFUNCTION("""COMPUTED_VALUE"""),"")</f>
        <v/>
      </c>
      <c r="O1169" s="46" t="s">
        <v>1976</v>
      </c>
      <c r="P1169" s="47"/>
      <c r="Q1169" s="47"/>
      <c r="R1169" s="48" t="s">
        <v>1976</v>
      </c>
    </row>
    <row r="1170">
      <c r="B1170" s="45"/>
      <c r="N1170" s="46" t="str">
        <f>IFERROR(__xludf.DUMMYFUNCTION("""COMPUTED_VALUE"""),"")</f>
        <v/>
      </c>
      <c r="O1170" s="46" t="s">
        <v>1976</v>
      </c>
      <c r="P1170" s="47"/>
      <c r="Q1170" s="47"/>
      <c r="R1170" s="48" t="s">
        <v>1976</v>
      </c>
    </row>
    <row r="1171">
      <c r="B1171" s="45"/>
      <c r="N1171" s="46" t="str">
        <f>IFERROR(__xludf.DUMMYFUNCTION("""COMPUTED_VALUE"""),"")</f>
        <v/>
      </c>
      <c r="O1171" s="46" t="s">
        <v>1976</v>
      </c>
      <c r="P1171" s="47"/>
      <c r="Q1171" s="47"/>
      <c r="R1171" s="48" t="s">
        <v>1976</v>
      </c>
    </row>
    <row r="1172">
      <c r="B1172" s="45"/>
      <c r="N1172" s="46" t="str">
        <f>IFERROR(__xludf.DUMMYFUNCTION("""COMPUTED_VALUE"""),"")</f>
        <v/>
      </c>
      <c r="O1172" s="46" t="s">
        <v>1976</v>
      </c>
      <c r="P1172" s="47"/>
      <c r="Q1172" s="47"/>
      <c r="R1172" s="48" t="s">
        <v>1976</v>
      </c>
    </row>
    <row r="1173">
      <c r="B1173" s="45"/>
      <c r="N1173" s="46" t="str">
        <f>IFERROR(__xludf.DUMMYFUNCTION("""COMPUTED_VALUE"""),"")</f>
        <v/>
      </c>
      <c r="O1173" s="46" t="s">
        <v>1976</v>
      </c>
      <c r="P1173" s="47"/>
      <c r="Q1173" s="47"/>
      <c r="R1173" s="48" t="s">
        <v>1976</v>
      </c>
    </row>
    <row r="1174">
      <c r="B1174" s="45"/>
      <c r="N1174" s="46" t="str">
        <f>IFERROR(__xludf.DUMMYFUNCTION("""COMPUTED_VALUE"""),"")</f>
        <v/>
      </c>
      <c r="O1174" s="46" t="s">
        <v>1976</v>
      </c>
      <c r="P1174" s="47"/>
      <c r="Q1174" s="47"/>
      <c r="R1174" s="48" t="s">
        <v>1976</v>
      </c>
    </row>
    <row r="1175">
      <c r="B1175" s="45"/>
      <c r="N1175" s="46" t="str">
        <f>IFERROR(__xludf.DUMMYFUNCTION("""COMPUTED_VALUE"""),"")</f>
        <v/>
      </c>
      <c r="O1175" s="46" t="s">
        <v>1976</v>
      </c>
      <c r="P1175" s="47"/>
      <c r="Q1175" s="47"/>
      <c r="R1175" s="48" t="s">
        <v>1976</v>
      </c>
    </row>
    <row r="1176">
      <c r="B1176" s="45"/>
      <c r="N1176" s="46" t="str">
        <f>IFERROR(__xludf.DUMMYFUNCTION("""COMPUTED_VALUE"""),"")</f>
        <v/>
      </c>
      <c r="O1176" s="46" t="s">
        <v>1976</v>
      </c>
      <c r="P1176" s="47"/>
      <c r="Q1176" s="47"/>
      <c r="R1176" s="48" t="s">
        <v>1976</v>
      </c>
    </row>
    <row r="1177">
      <c r="B1177" s="45"/>
      <c r="N1177" s="46" t="str">
        <f>IFERROR(__xludf.DUMMYFUNCTION("""COMPUTED_VALUE"""),"")</f>
        <v/>
      </c>
      <c r="O1177" s="46" t="s">
        <v>1976</v>
      </c>
      <c r="P1177" s="47"/>
      <c r="Q1177" s="47"/>
      <c r="R1177" s="48" t="s">
        <v>1976</v>
      </c>
    </row>
    <row r="1178">
      <c r="B1178" s="45"/>
      <c r="N1178" s="46" t="str">
        <f>IFERROR(__xludf.DUMMYFUNCTION("""COMPUTED_VALUE"""),"")</f>
        <v/>
      </c>
      <c r="O1178" s="46" t="s">
        <v>1976</v>
      </c>
      <c r="P1178" s="47"/>
      <c r="Q1178" s="47"/>
      <c r="R1178" s="48" t="s">
        <v>1976</v>
      </c>
    </row>
    <row r="1179">
      <c r="B1179" s="45"/>
      <c r="N1179" s="46" t="str">
        <f>IFERROR(__xludf.DUMMYFUNCTION("""COMPUTED_VALUE"""),"")</f>
        <v/>
      </c>
      <c r="O1179" s="46" t="s">
        <v>1976</v>
      </c>
      <c r="P1179" s="47"/>
      <c r="Q1179" s="47"/>
      <c r="R1179" s="48" t="s">
        <v>1976</v>
      </c>
    </row>
    <row r="1180">
      <c r="B1180" s="45"/>
      <c r="N1180" s="46" t="str">
        <f>IFERROR(__xludf.DUMMYFUNCTION("""COMPUTED_VALUE"""),"")</f>
        <v/>
      </c>
      <c r="O1180" s="46" t="s">
        <v>1976</v>
      </c>
      <c r="P1180" s="47"/>
      <c r="Q1180" s="47"/>
      <c r="R1180" s="48" t="s">
        <v>1976</v>
      </c>
    </row>
    <row r="1181">
      <c r="B1181" s="45"/>
      <c r="N1181" s="46" t="str">
        <f>IFERROR(__xludf.DUMMYFUNCTION("""COMPUTED_VALUE"""),"")</f>
        <v/>
      </c>
      <c r="O1181" s="46" t="s">
        <v>1976</v>
      </c>
      <c r="P1181" s="47"/>
      <c r="Q1181" s="47"/>
      <c r="R1181" s="48" t="s">
        <v>1976</v>
      </c>
    </row>
    <row r="1182">
      <c r="B1182" s="45"/>
      <c r="N1182" s="46" t="str">
        <f>IFERROR(__xludf.DUMMYFUNCTION("""COMPUTED_VALUE"""),"")</f>
        <v/>
      </c>
      <c r="O1182" s="46" t="s">
        <v>1976</v>
      </c>
      <c r="P1182" s="47"/>
      <c r="Q1182" s="47"/>
      <c r="R1182" s="48" t="s">
        <v>1976</v>
      </c>
    </row>
    <row r="1183">
      <c r="B1183" s="45"/>
      <c r="N1183" s="46" t="str">
        <f>IFERROR(__xludf.DUMMYFUNCTION("""COMPUTED_VALUE"""),"")</f>
        <v/>
      </c>
      <c r="O1183" s="46" t="s">
        <v>1976</v>
      </c>
      <c r="P1183" s="47"/>
      <c r="Q1183" s="47"/>
      <c r="R1183" s="48" t="s">
        <v>1976</v>
      </c>
    </row>
    <row r="1184">
      <c r="B1184" s="45"/>
      <c r="N1184" s="46" t="str">
        <f>IFERROR(__xludf.DUMMYFUNCTION("""COMPUTED_VALUE"""),"")</f>
        <v/>
      </c>
      <c r="O1184" s="46" t="s">
        <v>1976</v>
      </c>
      <c r="P1184" s="47"/>
      <c r="Q1184" s="47"/>
      <c r="R1184" s="48" t="s">
        <v>1976</v>
      </c>
    </row>
    <row r="1185">
      <c r="B1185" s="45"/>
      <c r="N1185" s="46" t="str">
        <f>IFERROR(__xludf.DUMMYFUNCTION("""COMPUTED_VALUE"""),"")</f>
        <v/>
      </c>
      <c r="O1185" s="46" t="s">
        <v>1976</v>
      </c>
      <c r="P1185" s="47"/>
      <c r="Q1185" s="47"/>
      <c r="R1185" s="48" t="s">
        <v>1976</v>
      </c>
    </row>
    <row r="1186">
      <c r="B1186" s="45"/>
      <c r="N1186" s="46" t="str">
        <f>IFERROR(__xludf.DUMMYFUNCTION("""COMPUTED_VALUE"""),"")</f>
        <v/>
      </c>
      <c r="O1186" s="46" t="s">
        <v>1976</v>
      </c>
      <c r="P1186" s="47"/>
      <c r="Q1186" s="47"/>
      <c r="R1186" s="48" t="s">
        <v>1976</v>
      </c>
    </row>
    <row r="1187">
      <c r="B1187" s="45"/>
      <c r="N1187" s="46" t="str">
        <f>IFERROR(__xludf.DUMMYFUNCTION("""COMPUTED_VALUE"""),"")</f>
        <v/>
      </c>
      <c r="O1187" s="46" t="s">
        <v>1976</v>
      </c>
      <c r="P1187" s="47"/>
      <c r="Q1187" s="47"/>
      <c r="R1187" s="48" t="s">
        <v>1976</v>
      </c>
    </row>
    <row r="1188">
      <c r="B1188" s="45"/>
      <c r="N1188" s="46" t="str">
        <f>IFERROR(__xludf.DUMMYFUNCTION("""COMPUTED_VALUE"""),"")</f>
        <v/>
      </c>
      <c r="O1188" s="46" t="s">
        <v>1976</v>
      </c>
      <c r="P1188" s="47"/>
      <c r="Q1188" s="47"/>
      <c r="R1188" s="48" t="s">
        <v>1976</v>
      </c>
    </row>
    <row r="1189">
      <c r="B1189" s="45"/>
      <c r="N1189" s="46" t="str">
        <f>IFERROR(__xludf.DUMMYFUNCTION("""COMPUTED_VALUE"""),"")</f>
        <v/>
      </c>
      <c r="O1189" s="46" t="s">
        <v>1976</v>
      </c>
      <c r="P1189" s="47"/>
      <c r="Q1189" s="47"/>
      <c r="R1189" s="48" t="s">
        <v>1976</v>
      </c>
    </row>
    <row r="1190">
      <c r="B1190" s="45"/>
      <c r="N1190" s="46" t="str">
        <f>IFERROR(__xludf.DUMMYFUNCTION("""COMPUTED_VALUE"""),"")</f>
        <v/>
      </c>
      <c r="O1190" s="46" t="s">
        <v>1976</v>
      </c>
      <c r="P1190" s="47"/>
      <c r="Q1190" s="47"/>
      <c r="R1190" s="48" t="s">
        <v>1976</v>
      </c>
    </row>
    <row r="1191">
      <c r="B1191" s="45"/>
      <c r="N1191" s="46" t="str">
        <f>IFERROR(__xludf.DUMMYFUNCTION("""COMPUTED_VALUE"""),"")</f>
        <v/>
      </c>
      <c r="O1191" s="46" t="s">
        <v>1976</v>
      </c>
      <c r="P1191" s="47"/>
      <c r="Q1191" s="47"/>
      <c r="R1191" s="48" t="s">
        <v>1976</v>
      </c>
    </row>
    <row r="1192">
      <c r="B1192" s="45"/>
      <c r="N1192" s="46" t="str">
        <f>IFERROR(__xludf.DUMMYFUNCTION("""COMPUTED_VALUE"""),"")</f>
        <v/>
      </c>
      <c r="O1192" s="46" t="s">
        <v>1976</v>
      </c>
      <c r="P1192" s="47"/>
      <c r="Q1192" s="47"/>
      <c r="R1192" s="48" t="s">
        <v>1976</v>
      </c>
    </row>
    <row r="1193">
      <c r="B1193" s="45"/>
      <c r="N1193" s="46" t="str">
        <f>IFERROR(__xludf.DUMMYFUNCTION("""COMPUTED_VALUE"""),"")</f>
        <v/>
      </c>
      <c r="O1193" s="46" t="s">
        <v>1976</v>
      </c>
      <c r="P1193" s="47"/>
      <c r="Q1193" s="47"/>
      <c r="R1193" s="48" t="s">
        <v>1976</v>
      </c>
    </row>
    <row r="1194">
      <c r="B1194" s="45"/>
      <c r="N1194" s="46" t="str">
        <f>IFERROR(__xludf.DUMMYFUNCTION("""COMPUTED_VALUE"""),"")</f>
        <v/>
      </c>
      <c r="O1194" s="46" t="s">
        <v>1976</v>
      </c>
      <c r="P1194" s="47"/>
      <c r="Q1194" s="47"/>
      <c r="R1194" s="48" t="s">
        <v>1976</v>
      </c>
    </row>
    <row r="1195">
      <c r="B1195" s="45"/>
      <c r="N1195" s="46" t="str">
        <f>IFERROR(__xludf.DUMMYFUNCTION("""COMPUTED_VALUE"""),"")</f>
        <v/>
      </c>
      <c r="O1195" s="46" t="s">
        <v>1976</v>
      </c>
      <c r="P1195" s="47"/>
      <c r="Q1195" s="47"/>
      <c r="R1195" s="48" t="s">
        <v>1976</v>
      </c>
    </row>
    <row r="1196">
      <c r="B1196" s="45"/>
      <c r="N1196" s="46" t="str">
        <f>IFERROR(__xludf.DUMMYFUNCTION("""COMPUTED_VALUE"""),"")</f>
        <v/>
      </c>
      <c r="O1196" s="46" t="s">
        <v>1976</v>
      </c>
      <c r="P1196" s="47"/>
      <c r="Q1196" s="47"/>
      <c r="R1196" s="48" t="s">
        <v>1976</v>
      </c>
    </row>
    <row r="1197">
      <c r="B1197" s="45"/>
      <c r="N1197" s="46" t="str">
        <f>IFERROR(__xludf.DUMMYFUNCTION("""COMPUTED_VALUE"""),"")</f>
        <v/>
      </c>
      <c r="O1197" s="46" t="s">
        <v>1976</v>
      </c>
      <c r="P1197" s="47"/>
      <c r="Q1197" s="47"/>
      <c r="R1197" s="48" t="s">
        <v>1976</v>
      </c>
    </row>
    <row r="1198">
      <c r="B1198" s="45"/>
      <c r="N1198" s="46" t="str">
        <f>IFERROR(__xludf.DUMMYFUNCTION("""COMPUTED_VALUE"""),"")</f>
        <v/>
      </c>
      <c r="O1198" s="46" t="s">
        <v>1976</v>
      </c>
      <c r="P1198" s="47"/>
      <c r="Q1198" s="47"/>
      <c r="R1198" s="48" t="s">
        <v>1976</v>
      </c>
    </row>
    <row r="1199">
      <c r="B1199" s="45"/>
      <c r="N1199" s="46" t="str">
        <f>IFERROR(__xludf.DUMMYFUNCTION("""COMPUTED_VALUE"""),"")</f>
        <v/>
      </c>
      <c r="O1199" s="46" t="s">
        <v>1976</v>
      </c>
      <c r="P1199" s="47"/>
      <c r="Q1199" s="47"/>
      <c r="R1199" s="48" t="s">
        <v>1976</v>
      </c>
    </row>
    <row r="1200">
      <c r="B1200" s="45"/>
      <c r="N1200" s="46" t="str">
        <f>IFERROR(__xludf.DUMMYFUNCTION("""COMPUTED_VALUE"""),"")</f>
        <v/>
      </c>
      <c r="O1200" s="46" t="s">
        <v>1976</v>
      </c>
      <c r="P1200" s="47"/>
      <c r="Q1200" s="47"/>
      <c r="R1200" s="48" t="s">
        <v>1976</v>
      </c>
    </row>
    <row r="1201">
      <c r="B1201" s="45"/>
      <c r="N1201" s="46" t="str">
        <f>IFERROR(__xludf.DUMMYFUNCTION("""COMPUTED_VALUE"""),"")</f>
        <v/>
      </c>
      <c r="O1201" s="46" t="s">
        <v>1976</v>
      </c>
      <c r="P1201" s="47"/>
      <c r="Q1201" s="47"/>
      <c r="R1201" s="48" t="s">
        <v>1976</v>
      </c>
    </row>
    <row r="1202">
      <c r="B1202" s="45"/>
      <c r="N1202" s="46" t="str">
        <f>IFERROR(__xludf.DUMMYFUNCTION("""COMPUTED_VALUE"""),"")</f>
        <v/>
      </c>
      <c r="O1202" s="46" t="s">
        <v>1976</v>
      </c>
      <c r="P1202" s="47"/>
      <c r="Q1202" s="47"/>
      <c r="R1202" s="48" t="s">
        <v>1976</v>
      </c>
    </row>
    <row r="1203">
      <c r="B1203" s="45"/>
      <c r="N1203" s="46" t="str">
        <f>IFERROR(__xludf.DUMMYFUNCTION("""COMPUTED_VALUE"""),"")</f>
        <v/>
      </c>
      <c r="O1203" s="46" t="s">
        <v>1976</v>
      </c>
      <c r="P1203" s="47"/>
      <c r="Q1203" s="47"/>
      <c r="R1203" s="48" t="s">
        <v>1976</v>
      </c>
    </row>
    <row r="1204">
      <c r="B1204" s="45"/>
      <c r="N1204" s="46" t="str">
        <f>IFERROR(__xludf.DUMMYFUNCTION("""COMPUTED_VALUE"""),"")</f>
        <v/>
      </c>
      <c r="O1204" s="46" t="s">
        <v>1976</v>
      </c>
      <c r="P1204" s="47"/>
      <c r="Q1204" s="47"/>
      <c r="R1204" s="48" t="s">
        <v>1976</v>
      </c>
    </row>
    <row r="1205">
      <c r="B1205" s="45"/>
      <c r="N1205" s="46" t="str">
        <f>IFERROR(__xludf.DUMMYFUNCTION("""COMPUTED_VALUE"""),"")</f>
        <v/>
      </c>
      <c r="O1205" s="46" t="s">
        <v>1976</v>
      </c>
      <c r="P1205" s="47"/>
      <c r="Q1205" s="47"/>
      <c r="R1205" s="48" t="s">
        <v>1976</v>
      </c>
    </row>
    <row r="1206">
      <c r="B1206" s="45"/>
      <c r="N1206" s="46" t="str">
        <f>IFERROR(__xludf.DUMMYFUNCTION("""COMPUTED_VALUE"""),"")</f>
        <v/>
      </c>
      <c r="O1206" s="46" t="s">
        <v>1976</v>
      </c>
      <c r="P1206" s="47"/>
      <c r="Q1206" s="47"/>
      <c r="R1206" s="48" t="s">
        <v>1976</v>
      </c>
    </row>
    <row r="1207">
      <c r="B1207" s="45"/>
      <c r="N1207" s="46" t="str">
        <f>IFERROR(__xludf.DUMMYFUNCTION("""COMPUTED_VALUE"""),"")</f>
        <v/>
      </c>
      <c r="O1207" s="46" t="s">
        <v>1976</v>
      </c>
      <c r="P1207" s="47"/>
      <c r="Q1207" s="47"/>
      <c r="R1207" s="48" t="s">
        <v>1976</v>
      </c>
    </row>
    <row r="1208">
      <c r="B1208" s="45"/>
      <c r="N1208" s="46" t="str">
        <f>IFERROR(__xludf.DUMMYFUNCTION("""COMPUTED_VALUE"""),"")</f>
        <v/>
      </c>
      <c r="O1208" s="46" t="s">
        <v>1976</v>
      </c>
      <c r="P1208" s="47"/>
      <c r="Q1208" s="47"/>
      <c r="R1208" s="48" t="s">
        <v>1976</v>
      </c>
    </row>
    <row r="1209">
      <c r="B1209" s="45"/>
      <c r="N1209" s="46" t="str">
        <f>IFERROR(__xludf.DUMMYFUNCTION("""COMPUTED_VALUE"""),"")</f>
        <v/>
      </c>
      <c r="O1209" s="46" t="s">
        <v>1976</v>
      </c>
      <c r="P1209" s="47"/>
      <c r="Q1209" s="47"/>
      <c r="R1209" s="48" t="s">
        <v>1976</v>
      </c>
    </row>
    <row r="1210">
      <c r="B1210" s="45"/>
      <c r="N1210" s="46" t="str">
        <f>IFERROR(__xludf.DUMMYFUNCTION("""COMPUTED_VALUE"""),"")</f>
        <v/>
      </c>
      <c r="O1210" s="46" t="s">
        <v>1976</v>
      </c>
      <c r="P1210" s="47"/>
      <c r="Q1210" s="47"/>
      <c r="R1210" s="48" t="s">
        <v>1976</v>
      </c>
    </row>
    <row r="1211">
      <c r="B1211" s="45"/>
      <c r="N1211" s="46" t="str">
        <f>IFERROR(__xludf.DUMMYFUNCTION("""COMPUTED_VALUE"""),"")</f>
        <v/>
      </c>
      <c r="O1211" s="46" t="s">
        <v>1976</v>
      </c>
      <c r="P1211" s="47"/>
      <c r="Q1211" s="47"/>
      <c r="R1211" s="48" t="s">
        <v>1976</v>
      </c>
    </row>
    <row r="1212">
      <c r="B1212" s="45"/>
      <c r="N1212" s="46" t="str">
        <f>IFERROR(__xludf.DUMMYFUNCTION("""COMPUTED_VALUE"""),"")</f>
        <v/>
      </c>
      <c r="O1212" s="46" t="s">
        <v>1976</v>
      </c>
      <c r="P1212" s="47"/>
      <c r="Q1212" s="47"/>
      <c r="R1212" s="48" t="s">
        <v>1976</v>
      </c>
    </row>
    <row r="1213">
      <c r="B1213" s="45"/>
      <c r="N1213" s="46" t="str">
        <f>IFERROR(__xludf.DUMMYFUNCTION("""COMPUTED_VALUE"""),"")</f>
        <v/>
      </c>
      <c r="O1213" s="46" t="s">
        <v>1976</v>
      </c>
      <c r="P1213" s="47"/>
      <c r="Q1213" s="47"/>
      <c r="R1213" s="48" t="s">
        <v>1976</v>
      </c>
    </row>
    <row r="1214">
      <c r="B1214" s="45"/>
      <c r="N1214" s="46" t="str">
        <f>IFERROR(__xludf.DUMMYFUNCTION("""COMPUTED_VALUE"""),"")</f>
        <v/>
      </c>
      <c r="O1214" s="46" t="s">
        <v>1976</v>
      </c>
      <c r="P1214" s="47"/>
      <c r="Q1214" s="47"/>
      <c r="R1214" s="48" t="s">
        <v>1976</v>
      </c>
    </row>
    <row r="1215">
      <c r="B1215" s="45"/>
      <c r="N1215" s="46" t="str">
        <f>IFERROR(__xludf.DUMMYFUNCTION("""COMPUTED_VALUE"""),"")</f>
        <v/>
      </c>
      <c r="O1215" s="46" t="s">
        <v>1976</v>
      </c>
      <c r="P1215" s="47"/>
      <c r="Q1215" s="47"/>
      <c r="R1215" s="48" t="s">
        <v>1976</v>
      </c>
    </row>
    <row r="1216">
      <c r="B1216" s="45"/>
      <c r="N1216" s="46" t="str">
        <f>IFERROR(__xludf.DUMMYFUNCTION("""COMPUTED_VALUE"""),"")</f>
        <v/>
      </c>
      <c r="O1216" s="46" t="s">
        <v>1976</v>
      </c>
      <c r="P1216" s="47"/>
      <c r="Q1216" s="47"/>
      <c r="R1216" s="48" t="s">
        <v>1976</v>
      </c>
    </row>
    <row r="1217">
      <c r="B1217" s="45"/>
      <c r="N1217" s="46" t="str">
        <f>IFERROR(__xludf.DUMMYFUNCTION("""COMPUTED_VALUE"""),"")</f>
        <v/>
      </c>
      <c r="O1217" s="46" t="s">
        <v>1976</v>
      </c>
      <c r="P1217" s="47"/>
      <c r="Q1217" s="47"/>
      <c r="R1217" s="48" t="s">
        <v>1976</v>
      </c>
    </row>
    <row r="1218">
      <c r="B1218" s="45"/>
      <c r="N1218" s="46" t="str">
        <f>IFERROR(__xludf.DUMMYFUNCTION("""COMPUTED_VALUE"""),"")</f>
        <v/>
      </c>
      <c r="O1218" s="46" t="s">
        <v>1976</v>
      </c>
      <c r="P1218" s="47"/>
      <c r="Q1218" s="47"/>
      <c r="R1218" s="48" t="s">
        <v>1976</v>
      </c>
    </row>
    <row r="1219">
      <c r="B1219" s="45"/>
      <c r="N1219" s="46" t="str">
        <f>IFERROR(__xludf.DUMMYFUNCTION("""COMPUTED_VALUE"""),"")</f>
        <v/>
      </c>
      <c r="O1219" s="46" t="s">
        <v>1976</v>
      </c>
      <c r="P1219" s="47"/>
      <c r="Q1219" s="47"/>
      <c r="R1219" s="48" t="s">
        <v>1976</v>
      </c>
    </row>
    <row r="1220">
      <c r="B1220" s="45"/>
      <c r="N1220" s="46" t="str">
        <f>IFERROR(__xludf.DUMMYFUNCTION("""COMPUTED_VALUE"""),"")</f>
        <v/>
      </c>
      <c r="O1220" s="46" t="s">
        <v>1976</v>
      </c>
      <c r="P1220" s="47"/>
      <c r="Q1220" s="47"/>
      <c r="R1220" s="48" t="s">
        <v>1976</v>
      </c>
    </row>
    <row r="1221">
      <c r="B1221" s="45"/>
      <c r="N1221" s="46" t="str">
        <f>IFERROR(__xludf.DUMMYFUNCTION("""COMPUTED_VALUE"""),"")</f>
        <v/>
      </c>
      <c r="O1221" s="46" t="s">
        <v>1976</v>
      </c>
      <c r="P1221" s="47"/>
      <c r="Q1221" s="47"/>
      <c r="R1221" s="48" t="s">
        <v>1976</v>
      </c>
    </row>
    <row r="1222">
      <c r="B1222" s="45"/>
      <c r="N1222" s="46" t="str">
        <f>IFERROR(__xludf.DUMMYFUNCTION("""COMPUTED_VALUE"""),"")</f>
        <v/>
      </c>
      <c r="O1222" s="46" t="s">
        <v>1976</v>
      </c>
      <c r="P1222" s="47"/>
      <c r="Q1222" s="47"/>
      <c r="R1222" s="48" t="s">
        <v>1976</v>
      </c>
    </row>
    <row r="1223">
      <c r="B1223" s="45"/>
      <c r="N1223" s="46" t="str">
        <f>IFERROR(__xludf.DUMMYFUNCTION("""COMPUTED_VALUE"""),"")</f>
        <v/>
      </c>
      <c r="O1223" s="46" t="s">
        <v>1976</v>
      </c>
      <c r="P1223" s="47"/>
      <c r="Q1223" s="47"/>
      <c r="R1223" s="48" t="s">
        <v>1976</v>
      </c>
    </row>
    <row r="1224">
      <c r="B1224" s="45"/>
      <c r="N1224" s="46" t="str">
        <f>IFERROR(__xludf.DUMMYFUNCTION("""COMPUTED_VALUE"""),"")</f>
        <v/>
      </c>
      <c r="O1224" s="46" t="s">
        <v>1976</v>
      </c>
      <c r="P1224" s="47"/>
      <c r="Q1224" s="47"/>
      <c r="R1224" s="48" t="s">
        <v>1976</v>
      </c>
    </row>
    <row r="1225">
      <c r="B1225" s="45"/>
      <c r="N1225" s="46" t="str">
        <f>IFERROR(__xludf.DUMMYFUNCTION("""COMPUTED_VALUE"""),"")</f>
        <v/>
      </c>
      <c r="O1225" s="46" t="s">
        <v>1976</v>
      </c>
      <c r="P1225" s="47"/>
      <c r="Q1225" s="47"/>
      <c r="R1225" s="48" t="s">
        <v>1976</v>
      </c>
    </row>
    <row r="1226">
      <c r="B1226" s="45"/>
      <c r="N1226" s="46" t="str">
        <f>IFERROR(__xludf.DUMMYFUNCTION("""COMPUTED_VALUE"""),"")</f>
        <v/>
      </c>
      <c r="O1226" s="46" t="s">
        <v>1976</v>
      </c>
      <c r="P1226" s="47"/>
      <c r="Q1226" s="47"/>
      <c r="R1226" s="48" t="s">
        <v>1976</v>
      </c>
    </row>
    <row r="1227">
      <c r="B1227" s="45"/>
      <c r="N1227" s="46" t="str">
        <f>IFERROR(__xludf.DUMMYFUNCTION("""COMPUTED_VALUE"""),"")</f>
        <v/>
      </c>
      <c r="O1227" s="46" t="s">
        <v>1976</v>
      </c>
      <c r="P1227" s="47"/>
      <c r="Q1227" s="47"/>
      <c r="R1227" s="48" t="s">
        <v>1976</v>
      </c>
    </row>
    <row r="1228">
      <c r="B1228" s="45"/>
      <c r="N1228" s="46" t="str">
        <f>IFERROR(__xludf.DUMMYFUNCTION("""COMPUTED_VALUE"""),"")</f>
        <v/>
      </c>
      <c r="O1228" s="46" t="s">
        <v>1976</v>
      </c>
      <c r="P1228" s="47"/>
      <c r="Q1228" s="47"/>
      <c r="R1228" s="48" t="s">
        <v>1976</v>
      </c>
    </row>
    <row r="1229">
      <c r="B1229" s="45"/>
      <c r="N1229" s="46" t="str">
        <f>IFERROR(__xludf.DUMMYFUNCTION("""COMPUTED_VALUE"""),"")</f>
        <v/>
      </c>
      <c r="O1229" s="46" t="s">
        <v>1976</v>
      </c>
      <c r="P1229" s="47"/>
      <c r="Q1229" s="47"/>
      <c r="R1229" s="48" t="s">
        <v>1976</v>
      </c>
    </row>
    <row r="1230">
      <c r="B1230" s="45"/>
      <c r="N1230" s="46" t="str">
        <f>IFERROR(__xludf.DUMMYFUNCTION("""COMPUTED_VALUE"""),"")</f>
        <v/>
      </c>
      <c r="O1230" s="46" t="s">
        <v>1976</v>
      </c>
      <c r="P1230" s="47"/>
      <c r="Q1230" s="47"/>
      <c r="R1230" s="48" t="s">
        <v>1976</v>
      </c>
    </row>
    <row r="1231">
      <c r="B1231" s="45"/>
      <c r="N1231" s="46" t="str">
        <f>IFERROR(__xludf.DUMMYFUNCTION("""COMPUTED_VALUE"""),"")</f>
        <v/>
      </c>
      <c r="O1231" s="46" t="s">
        <v>1976</v>
      </c>
      <c r="P1231" s="47"/>
      <c r="Q1231" s="47"/>
      <c r="R1231" s="48" t="s">
        <v>1976</v>
      </c>
    </row>
    <row r="1232">
      <c r="B1232" s="45"/>
      <c r="N1232" s="46" t="str">
        <f>IFERROR(__xludf.DUMMYFUNCTION("""COMPUTED_VALUE"""),"")</f>
        <v/>
      </c>
      <c r="O1232" s="46" t="s">
        <v>1976</v>
      </c>
      <c r="P1232" s="47"/>
      <c r="Q1232" s="47"/>
      <c r="R1232" s="48" t="s">
        <v>1976</v>
      </c>
    </row>
    <row r="1233">
      <c r="B1233" s="45"/>
      <c r="N1233" s="46" t="str">
        <f>IFERROR(__xludf.DUMMYFUNCTION("""COMPUTED_VALUE"""),"")</f>
        <v/>
      </c>
      <c r="O1233" s="46" t="s">
        <v>1976</v>
      </c>
      <c r="P1233" s="47"/>
      <c r="Q1233" s="47"/>
      <c r="R1233" s="48" t="s">
        <v>1976</v>
      </c>
    </row>
    <row r="1234">
      <c r="B1234" s="45"/>
      <c r="N1234" s="46" t="str">
        <f>IFERROR(__xludf.DUMMYFUNCTION("""COMPUTED_VALUE"""),"")</f>
        <v/>
      </c>
      <c r="O1234" s="46" t="s">
        <v>1976</v>
      </c>
      <c r="P1234" s="47"/>
      <c r="Q1234" s="47"/>
      <c r="R1234" s="48" t="s">
        <v>1976</v>
      </c>
    </row>
    <row r="1235">
      <c r="B1235" s="45"/>
      <c r="N1235" s="46" t="str">
        <f>IFERROR(__xludf.DUMMYFUNCTION("""COMPUTED_VALUE"""),"")</f>
        <v/>
      </c>
      <c r="O1235" s="46" t="s">
        <v>1976</v>
      </c>
      <c r="P1235" s="47"/>
      <c r="Q1235" s="47"/>
      <c r="R1235" s="48" t="s">
        <v>1976</v>
      </c>
    </row>
    <row r="1236">
      <c r="B1236" s="45"/>
      <c r="N1236" s="46" t="str">
        <f>IFERROR(__xludf.DUMMYFUNCTION("""COMPUTED_VALUE"""),"")</f>
        <v/>
      </c>
      <c r="O1236" s="46" t="s">
        <v>1976</v>
      </c>
      <c r="P1236" s="47"/>
      <c r="Q1236" s="47"/>
      <c r="R1236" s="48" t="s">
        <v>1976</v>
      </c>
    </row>
    <row r="1237">
      <c r="B1237" s="45"/>
      <c r="N1237" s="46" t="str">
        <f>IFERROR(__xludf.DUMMYFUNCTION("""COMPUTED_VALUE"""),"")</f>
        <v/>
      </c>
      <c r="O1237" s="46" t="s">
        <v>1976</v>
      </c>
      <c r="P1237" s="47"/>
      <c r="Q1237" s="47"/>
      <c r="R1237" s="48" t="s">
        <v>1976</v>
      </c>
    </row>
    <row r="1238">
      <c r="B1238" s="45"/>
      <c r="N1238" s="46" t="str">
        <f>IFERROR(__xludf.DUMMYFUNCTION("""COMPUTED_VALUE"""),"")</f>
        <v/>
      </c>
      <c r="O1238" s="46" t="s">
        <v>1976</v>
      </c>
      <c r="P1238" s="47"/>
      <c r="Q1238" s="47"/>
      <c r="R1238" s="48" t="s">
        <v>1976</v>
      </c>
    </row>
    <row r="1239">
      <c r="B1239" s="45"/>
      <c r="N1239" s="46" t="str">
        <f>IFERROR(__xludf.DUMMYFUNCTION("""COMPUTED_VALUE"""),"")</f>
        <v/>
      </c>
      <c r="O1239" s="46" t="s">
        <v>1976</v>
      </c>
      <c r="P1239" s="47"/>
      <c r="Q1239" s="47"/>
      <c r="R1239" s="48" t="s">
        <v>1976</v>
      </c>
    </row>
    <row r="1240">
      <c r="B1240" s="45"/>
      <c r="N1240" s="46" t="str">
        <f>IFERROR(__xludf.DUMMYFUNCTION("""COMPUTED_VALUE"""),"")</f>
        <v/>
      </c>
      <c r="O1240" s="46" t="s">
        <v>1976</v>
      </c>
      <c r="P1240" s="47"/>
      <c r="Q1240" s="47"/>
      <c r="R1240" s="48" t="s">
        <v>1976</v>
      </c>
    </row>
    <row r="1241">
      <c r="B1241" s="45"/>
      <c r="N1241" s="46" t="str">
        <f>IFERROR(__xludf.DUMMYFUNCTION("""COMPUTED_VALUE"""),"")</f>
        <v/>
      </c>
      <c r="O1241" s="46" t="s">
        <v>1976</v>
      </c>
      <c r="P1241" s="47"/>
      <c r="Q1241" s="47"/>
      <c r="R1241" s="48" t="s">
        <v>1976</v>
      </c>
    </row>
    <row r="1242">
      <c r="B1242" s="45"/>
      <c r="N1242" s="46" t="str">
        <f>IFERROR(__xludf.DUMMYFUNCTION("""COMPUTED_VALUE"""),"")</f>
        <v/>
      </c>
      <c r="O1242" s="46" t="s">
        <v>1976</v>
      </c>
      <c r="P1242" s="47"/>
      <c r="Q1242" s="47"/>
      <c r="R1242" s="48" t="s">
        <v>1976</v>
      </c>
    </row>
    <row r="1243">
      <c r="B1243" s="45"/>
      <c r="N1243" s="46" t="str">
        <f>IFERROR(__xludf.DUMMYFUNCTION("""COMPUTED_VALUE"""),"")</f>
        <v/>
      </c>
      <c r="O1243" s="46" t="s">
        <v>1976</v>
      </c>
      <c r="P1243" s="47"/>
      <c r="Q1243" s="47"/>
      <c r="R1243" s="48" t="s">
        <v>1976</v>
      </c>
    </row>
    <row r="1244">
      <c r="B1244" s="45"/>
      <c r="N1244" s="46" t="str">
        <f>IFERROR(__xludf.DUMMYFUNCTION("""COMPUTED_VALUE"""),"")</f>
        <v/>
      </c>
      <c r="O1244" s="46" t="s">
        <v>1976</v>
      </c>
      <c r="P1244" s="47"/>
      <c r="Q1244" s="47"/>
      <c r="R1244" s="48" t="s">
        <v>1976</v>
      </c>
    </row>
    <row r="1245">
      <c r="B1245" s="45"/>
      <c r="N1245" s="46" t="str">
        <f>IFERROR(__xludf.DUMMYFUNCTION("""COMPUTED_VALUE"""),"")</f>
        <v/>
      </c>
      <c r="O1245" s="46" t="s">
        <v>1976</v>
      </c>
      <c r="P1245" s="47"/>
      <c r="Q1245" s="47"/>
      <c r="R1245" s="48" t="s">
        <v>1976</v>
      </c>
    </row>
    <row r="1246">
      <c r="B1246" s="45"/>
      <c r="N1246" s="46" t="str">
        <f>IFERROR(__xludf.DUMMYFUNCTION("""COMPUTED_VALUE"""),"")</f>
        <v/>
      </c>
      <c r="O1246" s="46" t="s">
        <v>1976</v>
      </c>
      <c r="P1246" s="47"/>
      <c r="Q1246" s="47"/>
      <c r="R1246" s="48" t="s">
        <v>1976</v>
      </c>
    </row>
    <row r="1247">
      <c r="B1247" s="45"/>
      <c r="N1247" s="46" t="str">
        <f>IFERROR(__xludf.DUMMYFUNCTION("""COMPUTED_VALUE"""),"")</f>
        <v/>
      </c>
      <c r="O1247" s="46" t="s">
        <v>1976</v>
      </c>
      <c r="P1247" s="47"/>
      <c r="Q1247" s="47"/>
      <c r="R1247" s="48" t="s">
        <v>1976</v>
      </c>
    </row>
    <row r="1248">
      <c r="B1248" s="45"/>
      <c r="N1248" s="46" t="str">
        <f>IFERROR(__xludf.DUMMYFUNCTION("""COMPUTED_VALUE"""),"")</f>
        <v/>
      </c>
      <c r="O1248" s="46" t="s">
        <v>1976</v>
      </c>
      <c r="P1248" s="47"/>
      <c r="Q1248" s="47"/>
      <c r="R1248" s="48" t="s">
        <v>1976</v>
      </c>
    </row>
    <row r="1249">
      <c r="B1249" s="45"/>
      <c r="N1249" s="46" t="str">
        <f>IFERROR(__xludf.DUMMYFUNCTION("""COMPUTED_VALUE"""),"")</f>
        <v/>
      </c>
      <c r="O1249" s="46" t="s">
        <v>1976</v>
      </c>
      <c r="P1249" s="47"/>
      <c r="Q1249" s="47"/>
      <c r="R1249" s="48" t="s">
        <v>1976</v>
      </c>
    </row>
    <row r="1250">
      <c r="B1250" s="45"/>
      <c r="N1250" s="46" t="str">
        <f>IFERROR(__xludf.DUMMYFUNCTION("""COMPUTED_VALUE"""),"")</f>
        <v/>
      </c>
      <c r="O1250" s="46" t="s">
        <v>1976</v>
      </c>
      <c r="P1250" s="47"/>
      <c r="Q1250" s="47"/>
      <c r="R1250" s="48" t="s">
        <v>1976</v>
      </c>
    </row>
    <row r="1251">
      <c r="B1251" s="45"/>
      <c r="N1251" s="46" t="str">
        <f>IFERROR(__xludf.DUMMYFUNCTION("""COMPUTED_VALUE"""),"")</f>
        <v/>
      </c>
      <c r="O1251" s="46" t="s">
        <v>1976</v>
      </c>
      <c r="P1251" s="47"/>
      <c r="Q1251" s="47"/>
      <c r="R1251" s="48" t="s">
        <v>1976</v>
      </c>
    </row>
    <row r="1252">
      <c r="B1252" s="45"/>
      <c r="N1252" s="46" t="str">
        <f>IFERROR(__xludf.DUMMYFUNCTION("""COMPUTED_VALUE"""),"")</f>
        <v/>
      </c>
      <c r="O1252" s="46" t="s">
        <v>1976</v>
      </c>
      <c r="P1252" s="47"/>
      <c r="Q1252" s="47"/>
      <c r="R1252" s="48" t="s">
        <v>1976</v>
      </c>
    </row>
    <row r="1253">
      <c r="B1253" s="45"/>
      <c r="N1253" s="46" t="str">
        <f>IFERROR(__xludf.DUMMYFUNCTION("""COMPUTED_VALUE"""),"")</f>
        <v/>
      </c>
      <c r="O1253" s="46" t="s">
        <v>1976</v>
      </c>
      <c r="P1253" s="47"/>
      <c r="Q1253" s="47"/>
      <c r="R1253" s="48" t="s">
        <v>1976</v>
      </c>
    </row>
    <row r="1254">
      <c r="B1254" s="45"/>
      <c r="N1254" s="46" t="str">
        <f>IFERROR(__xludf.DUMMYFUNCTION("""COMPUTED_VALUE"""),"")</f>
        <v/>
      </c>
      <c r="O1254" s="46" t="s">
        <v>1976</v>
      </c>
      <c r="P1254" s="47"/>
      <c r="Q1254" s="47"/>
      <c r="R1254" s="48" t="s">
        <v>1976</v>
      </c>
    </row>
    <row r="1255">
      <c r="B1255" s="45"/>
      <c r="N1255" s="46" t="str">
        <f>IFERROR(__xludf.DUMMYFUNCTION("""COMPUTED_VALUE"""),"")</f>
        <v/>
      </c>
      <c r="O1255" s="46" t="s">
        <v>1976</v>
      </c>
      <c r="P1255" s="47"/>
      <c r="Q1255" s="47"/>
      <c r="R1255" s="48" t="s">
        <v>1976</v>
      </c>
    </row>
    <row r="1256">
      <c r="B1256" s="45"/>
      <c r="N1256" s="46" t="str">
        <f>IFERROR(__xludf.DUMMYFUNCTION("""COMPUTED_VALUE"""),"")</f>
        <v/>
      </c>
      <c r="O1256" s="46" t="s">
        <v>1976</v>
      </c>
      <c r="P1256" s="47"/>
      <c r="Q1256" s="47"/>
      <c r="R1256" s="48" t="s">
        <v>1976</v>
      </c>
    </row>
    <row r="1257">
      <c r="B1257" s="45"/>
      <c r="N1257" s="46" t="str">
        <f>IFERROR(__xludf.DUMMYFUNCTION("""COMPUTED_VALUE"""),"")</f>
        <v/>
      </c>
      <c r="O1257" s="46" t="s">
        <v>1976</v>
      </c>
      <c r="P1257" s="47"/>
      <c r="Q1257" s="47"/>
      <c r="R1257" s="48" t="s">
        <v>1976</v>
      </c>
    </row>
    <row r="1258">
      <c r="B1258" s="45"/>
      <c r="N1258" s="46" t="str">
        <f>IFERROR(__xludf.DUMMYFUNCTION("""COMPUTED_VALUE"""),"")</f>
        <v/>
      </c>
      <c r="O1258" s="46" t="s">
        <v>1976</v>
      </c>
      <c r="P1258" s="47"/>
      <c r="Q1258" s="47"/>
      <c r="R1258" s="48" t="s">
        <v>1976</v>
      </c>
    </row>
    <row r="1259">
      <c r="B1259" s="45"/>
      <c r="N1259" s="46" t="str">
        <f>IFERROR(__xludf.DUMMYFUNCTION("""COMPUTED_VALUE"""),"")</f>
        <v/>
      </c>
      <c r="O1259" s="46" t="s">
        <v>1976</v>
      </c>
      <c r="P1259" s="47"/>
      <c r="Q1259" s="47"/>
      <c r="R1259" s="48" t="s">
        <v>1976</v>
      </c>
    </row>
    <row r="1260">
      <c r="B1260" s="45"/>
      <c r="N1260" s="46" t="str">
        <f>IFERROR(__xludf.DUMMYFUNCTION("""COMPUTED_VALUE"""),"")</f>
        <v/>
      </c>
      <c r="O1260" s="46" t="s">
        <v>1976</v>
      </c>
      <c r="P1260" s="47"/>
      <c r="Q1260" s="47"/>
      <c r="R1260" s="48" t="s">
        <v>1976</v>
      </c>
    </row>
    <row r="1261">
      <c r="B1261" s="45"/>
      <c r="N1261" s="46" t="str">
        <f>IFERROR(__xludf.DUMMYFUNCTION("""COMPUTED_VALUE"""),"")</f>
        <v/>
      </c>
      <c r="O1261" s="46" t="s">
        <v>1976</v>
      </c>
      <c r="P1261" s="47"/>
      <c r="Q1261" s="47"/>
      <c r="R1261" s="48" t="s">
        <v>1976</v>
      </c>
    </row>
    <row r="1262">
      <c r="B1262" s="45"/>
      <c r="N1262" s="46" t="str">
        <f>IFERROR(__xludf.DUMMYFUNCTION("""COMPUTED_VALUE"""),"")</f>
        <v/>
      </c>
      <c r="O1262" s="46" t="s">
        <v>1976</v>
      </c>
      <c r="P1262" s="47"/>
      <c r="Q1262" s="47"/>
      <c r="R1262" s="48" t="s">
        <v>1976</v>
      </c>
    </row>
    <row r="1263">
      <c r="B1263" s="45"/>
      <c r="N1263" s="46" t="str">
        <f>IFERROR(__xludf.DUMMYFUNCTION("""COMPUTED_VALUE"""),"")</f>
        <v/>
      </c>
      <c r="O1263" s="46" t="s">
        <v>1976</v>
      </c>
      <c r="P1263" s="47"/>
      <c r="Q1263" s="47"/>
      <c r="R1263" s="48" t="s">
        <v>1976</v>
      </c>
    </row>
    <row r="1264">
      <c r="B1264" s="45"/>
      <c r="N1264" s="46" t="str">
        <f>IFERROR(__xludf.DUMMYFUNCTION("""COMPUTED_VALUE"""),"")</f>
        <v/>
      </c>
      <c r="O1264" s="46" t="s">
        <v>1976</v>
      </c>
      <c r="P1264" s="47"/>
      <c r="Q1264" s="47"/>
      <c r="R1264" s="48" t="s">
        <v>1976</v>
      </c>
    </row>
    <row r="1265">
      <c r="B1265" s="45"/>
      <c r="N1265" s="46" t="str">
        <f>IFERROR(__xludf.DUMMYFUNCTION("""COMPUTED_VALUE"""),"")</f>
        <v/>
      </c>
      <c r="O1265" s="46" t="s">
        <v>1976</v>
      </c>
      <c r="P1265" s="47"/>
      <c r="Q1265" s="47"/>
      <c r="R1265" s="48" t="s">
        <v>1976</v>
      </c>
    </row>
    <row r="1266">
      <c r="B1266" s="45"/>
      <c r="N1266" s="46" t="str">
        <f>IFERROR(__xludf.DUMMYFUNCTION("""COMPUTED_VALUE"""),"")</f>
        <v/>
      </c>
      <c r="O1266" s="46" t="s">
        <v>1976</v>
      </c>
      <c r="P1266" s="47"/>
      <c r="Q1266" s="47"/>
      <c r="R1266" s="48" t="s">
        <v>1976</v>
      </c>
    </row>
    <row r="1267">
      <c r="B1267" s="45"/>
      <c r="N1267" s="46" t="str">
        <f>IFERROR(__xludf.DUMMYFUNCTION("""COMPUTED_VALUE"""),"")</f>
        <v/>
      </c>
      <c r="O1267" s="46" t="s">
        <v>1976</v>
      </c>
      <c r="P1267" s="47"/>
      <c r="Q1267" s="47"/>
      <c r="R1267" s="48" t="s">
        <v>1976</v>
      </c>
    </row>
    <row r="1268">
      <c r="B1268" s="45"/>
      <c r="N1268" s="46" t="str">
        <f>IFERROR(__xludf.DUMMYFUNCTION("""COMPUTED_VALUE"""),"")</f>
        <v/>
      </c>
      <c r="O1268" s="46" t="s">
        <v>1976</v>
      </c>
      <c r="P1268" s="47"/>
      <c r="Q1268" s="47"/>
      <c r="R1268" s="48" t="s">
        <v>1976</v>
      </c>
    </row>
    <row r="1269">
      <c r="B1269" s="45"/>
      <c r="N1269" s="46" t="str">
        <f>IFERROR(__xludf.DUMMYFUNCTION("""COMPUTED_VALUE"""),"")</f>
        <v/>
      </c>
      <c r="O1269" s="46" t="s">
        <v>1976</v>
      </c>
      <c r="P1269" s="47"/>
      <c r="Q1269" s="47"/>
      <c r="R1269" s="48" t="s">
        <v>1976</v>
      </c>
    </row>
    <row r="1270">
      <c r="B1270" s="45"/>
      <c r="N1270" s="46" t="str">
        <f>IFERROR(__xludf.DUMMYFUNCTION("""COMPUTED_VALUE"""),"")</f>
        <v/>
      </c>
      <c r="O1270" s="46" t="s">
        <v>1976</v>
      </c>
      <c r="P1270" s="47"/>
      <c r="Q1270" s="47"/>
      <c r="R1270" s="48" t="s">
        <v>1976</v>
      </c>
    </row>
    <row r="1271">
      <c r="B1271" s="45"/>
      <c r="N1271" s="46" t="str">
        <f>IFERROR(__xludf.DUMMYFUNCTION("""COMPUTED_VALUE"""),"")</f>
        <v/>
      </c>
      <c r="O1271" s="46" t="s">
        <v>1976</v>
      </c>
      <c r="P1271" s="47"/>
      <c r="Q1271" s="47"/>
      <c r="R1271" s="48" t="s">
        <v>1976</v>
      </c>
    </row>
    <row r="1272">
      <c r="B1272" s="45"/>
      <c r="N1272" s="46" t="str">
        <f>IFERROR(__xludf.DUMMYFUNCTION("""COMPUTED_VALUE"""),"")</f>
        <v/>
      </c>
      <c r="O1272" s="46" t="s">
        <v>1976</v>
      </c>
      <c r="P1272" s="47"/>
      <c r="Q1272" s="47"/>
      <c r="R1272" s="48" t="s">
        <v>1976</v>
      </c>
    </row>
    <row r="1273">
      <c r="B1273" s="45"/>
      <c r="N1273" s="46" t="str">
        <f>IFERROR(__xludf.DUMMYFUNCTION("""COMPUTED_VALUE"""),"")</f>
        <v/>
      </c>
      <c r="O1273" s="46" t="s">
        <v>1976</v>
      </c>
      <c r="P1273" s="47"/>
      <c r="Q1273" s="47"/>
      <c r="R1273" s="48" t="s">
        <v>1976</v>
      </c>
    </row>
    <row r="1274">
      <c r="B1274" s="45"/>
      <c r="N1274" s="46" t="str">
        <f>IFERROR(__xludf.DUMMYFUNCTION("""COMPUTED_VALUE"""),"")</f>
        <v/>
      </c>
      <c r="O1274" s="46" t="s">
        <v>1976</v>
      </c>
      <c r="P1274" s="47"/>
      <c r="Q1274" s="47"/>
      <c r="R1274" s="48" t="s">
        <v>1976</v>
      </c>
    </row>
    <row r="1275">
      <c r="B1275" s="45"/>
      <c r="N1275" s="46" t="str">
        <f>IFERROR(__xludf.DUMMYFUNCTION("""COMPUTED_VALUE"""),"")</f>
        <v/>
      </c>
      <c r="O1275" s="46" t="s">
        <v>1976</v>
      </c>
      <c r="P1275" s="47"/>
      <c r="Q1275" s="47"/>
      <c r="R1275" s="48" t="s">
        <v>1976</v>
      </c>
    </row>
    <row r="1276">
      <c r="B1276" s="45"/>
      <c r="N1276" s="46" t="str">
        <f>IFERROR(__xludf.DUMMYFUNCTION("""COMPUTED_VALUE"""),"")</f>
        <v/>
      </c>
      <c r="O1276" s="46" t="s">
        <v>1976</v>
      </c>
      <c r="P1276" s="47"/>
      <c r="Q1276" s="47"/>
      <c r="R1276" s="48" t="s">
        <v>1976</v>
      </c>
    </row>
    <row r="1277">
      <c r="B1277" s="45"/>
      <c r="N1277" s="46" t="str">
        <f>IFERROR(__xludf.DUMMYFUNCTION("""COMPUTED_VALUE"""),"")</f>
        <v/>
      </c>
      <c r="O1277" s="46" t="s">
        <v>1976</v>
      </c>
      <c r="P1277" s="47"/>
      <c r="Q1277" s="47"/>
      <c r="R1277" s="48" t="s">
        <v>1976</v>
      </c>
    </row>
    <row r="1278">
      <c r="B1278" s="45"/>
      <c r="N1278" s="46" t="str">
        <f>IFERROR(__xludf.DUMMYFUNCTION("""COMPUTED_VALUE"""),"")</f>
        <v/>
      </c>
      <c r="O1278" s="46" t="s">
        <v>1976</v>
      </c>
      <c r="P1278" s="47"/>
      <c r="Q1278" s="47"/>
      <c r="R1278" s="48" t="s">
        <v>1976</v>
      </c>
    </row>
    <row r="1279">
      <c r="B1279" s="45"/>
      <c r="N1279" s="46" t="str">
        <f>IFERROR(__xludf.DUMMYFUNCTION("""COMPUTED_VALUE"""),"")</f>
        <v/>
      </c>
      <c r="O1279" s="46" t="s">
        <v>1976</v>
      </c>
      <c r="P1279" s="47"/>
      <c r="Q1279" s="47"/>
      <c r="R1279" s="48" t="s">
        <v>1976</v>
      </c>
    </row>
    <row r="1280">
      <c r="B1280" s="45"/>
      <c r="N1280" s="46" t="str">
        <f>IFERROR(__xludf.DUMMYFUNCTION("""COMPUTED_VALUE"""),"")</f>
        <v/>
      </c>
      <c r="O1280" s="46" t="s">
        <v>1976</v>
      </c>
      <c r="P1280" s="47"/>
      <c r="Q1280" s="47"/>
      <c r="R1280" s="48" t="s">
        <v>1976</v>
      </c>
    </row>
    <row r="1281">
      <c r="B1281" s="45"/>
      <c r="N1281" s="46" t="str">
        <f>IFERROR(__xludf.DUMMYFUNCTION("""COMPUTED_VALUE"""),"")</f>
        <v/>
      </c>
      <c r="O1281" s="46" t="s">
        <v>1976</v>
      </c>
      <c r="P1281" s="47"/>
      <c r="Q1281" s="47"/>
      <c r="R1281" s="48" t="s">
        <v>1976</v>
      </c>
    </row>
    <row r="1282">
      <c r="B1282" s="45"/>
      <c r="N1282" s="46" t="str">
        <f>IFERROR(__xludf.DUMMYFUNCTION("""COMPUTED_VALUE"""),"")</f>
        <v/>
      </c>
      <c r="O1282" s="46" t="s">
        <v>1976</v>
      </c>
      <c r="P1282" s="47"/>
      <c r="Q1282" s="47"/>
      <c r="R1282" s="48" t="s">
        <v>1976</v>
      </c>
    </row>
    <row r="1283">
      <c r="B1283" s="45"/>
      <c r="N1283" s="46" t="str">
        <f>IFERROR(__xludf.DUMMYFUNCTION("""COMPUTED_VALUE"""),"")</f>
        <v/>
      </c>
      <c r="O1283" s="46" t="s">
        <v>1976</v>
      </c>
      <c r="P1283" s="47"/>
      <c r="Q1283" s="47"/>
      <c r="R1283" s="48" t="s">
        <v>1976</v>
      </c>
    </row>
    <row r="1284">
      <c r="B1284" s="45"/>
      <c r="N1284" s="46" t="str">
        <f>IFERROR(__xludf.DUMMYFUNCTION("""COMPUTED_VALUE"""),"")</f>
        <v/>
      </c>
      <c r="O1284" s="46" t="s">
        <v>1976</v>
      </c>
      <c r="P1284" s="47"/>
      <c r="Q1284" s="47"/>
      <c r="R1284" s="48" t="s">
        <v>1976</v>
      </c>
    </row>
    <row r="1285">
      <c r="B1285" s="45"/>
      <c r="N1285" s="46" t="str">
        <f>IFERROR(__xludf.DUMMYFUNCTION("""COMPUTED_VALUE"""),"")</f>
        <v/>
      </c>
      <c r="O1285" s="46" t="s">
        <v>1976</v>
      </c>
      <c r="P1285" s="47"/>
      <c r="Q1285" s="47"/>
      <c r="R1285" s="48" t="s">
        <v>1976</v>
      </c>
    </row>
    <row r="1286">
      <c r="B1286" s="45"/>
      <c r="N1286" s="46" t="str">
        <f>IFERROR(__xludf.DUMMYFUNCTION("""COMPUTED_VALUE"""),"")</f>
        <v/>
      </c>
      <c r="O1286" s="46" t="s">
        <v>1976</v>
      </c>
      <c r="P1286" s="47"/>
      <c r="Q1286" s="47"/>
      <c r="R1286" s="48" t="s">
        <v>1976</v>
      </c>
    </row>
    <row r="1287">
      <c r="B1287" s="45"/>
      <c r="N1287" s="46" t="str">
        <f>IFERROR(__xludf.DUMMYFUNCTION("""COMPUTED_VALUE"""),"")</f>
        <v/>
      </c>
      <c r="O1287" s="46" t="s">
        <v>1976</v>
      </c>
      <c r="P1287" s="47"/>
      <c r="Q1287" s="47"/>
      <c r="R1287" s="48" t="s">
        <v>1976</v>
      </c>
    </row>
    <row r="1288">
      <c r="B1288" s="45"/>
      <c r="N1288" s="46" t="str">
        <f>IFERROR(__xludf.DUMMYFUNCTION("""COMPUTED_VALUE"""),"")</f>
        <v/>
      </c>
      <c r="O1288" s="46" t="s">
        <v>1976</v>
      </c>
      <c r="P1288" s="47"/>
      <c r="Q1288" s="47"/>
      <c r="R1288" s="48" t="s">
        <v>1976</v>
      </c>
    </row>
    <row r="1289">
      <c r="B1289" s="45"/>
      <c r="N1289" s="46" t="str">
        <f>IFERROR(__xludf.DUMMYFUNCTION("""COMPUTED_VALUE"""),"")</f>
        <v/>
      </c>
      <c r="O1289" s="46" t="s">
        <v>1976</v>
      </c>
      <c r="P1289" s="47"/>
      <c r="Q1289" s="47"/>
      <c r="R1289" s="48" t="s">
        <v>1976</v>
      </c>
    </row>
    <row r="1290">
      <c r="B1290" s="45"/>
      <c r="N1290" s="46" t="str">
        <f>IFERROR(__xludf.DUMMYFUNCTION("""COMPUTED_VALUE"""),"")</f>
        <v/>
      </c>
      <c r="O1290" s="46" t="s">
        <v>1976</v>
      </c>
      <c r="P1290" s="47"/>
      <c r="Q1290" s="47"/>
      <c r="R1290" s="48" t="s">
        <v>1976</v>
      </c>
    </row>
    <row r="1291">
      <c r="B1291" s="45"/>
      <c r="N1291" s="46" t="str">
        <f>IFERROR(__xludf.DUMMYFUNCTION("""COMPUTED_VALUE"""),"")</f>
        <v/>
      </c>
      <c r="O1291" s="46" t="s">
        <v>1976</v>
      </c>
      <c r="P1291" s="47"/>
      <c r="Q1291" s="47"/>
      <c r="R1291" s="48" t="s">
        <v>1976</v>
      </c>
    </row>
    <row r="1292">
      <c r="B1292" s="45"/>
      <c r="N1292" s="46" t="str">
        <f>IFERROR(__xludf.DUMMYFUNCTION("""COMPUTED_VALUE"""),"")</f>
        <v/>
      </c>
      <c r="O1292" s="46" t="s">
        <v>1976</v>
      </c>
      <c r="P1292" s="47"/>
      <c r="Q1292" s="47"/>
      <c r="R1292" s="48" t="s">
        <v>1976</v>
      </c>
    </row>
    <row r="1293">
      <c r="B1293" s="45"/>
      <c r="N1293" s="46" t="str">
        <f>IFERROR(__xludf.DUMMYFUNCTION("""COMPUTED_VALUE"""),"")</f>
        <v/>
      </c>
      <c r="O1293" s="46" t="s">
        <v>1976</v>
      </c>
      <c r="P1293" s="47"/>
      <c r="Q1293" s="47"/>
      <c r="R1293" s="48" t="s">
        <v>1976</v>
      </c>
    </row>
    <row r="1294">
      <c r="B1294" s="45"/>
      <c r="N1294" s="46" t="str">
        <f>IFERROR(__xludf.DUMMYFUNCTION("""COMPUTED_VALUE"""),"")</f>
        <v/>
      </c>
      <c r="O1294" s="46" t="s">
        <v>1976</v>
      </c>
      <c r="P1294" s="47"/>
      <c r="Q1294" s="47"/>
      <c r="R1294" s="48" t="s">
        <v>1976</v>
      </c>
    </row>
    <row r="1295">
      <c r="B1295" s="45"/>
      <c r="N1295" s="46" t="str">
        <f>IFERROR(__xludf.DUMMYFUNCTION("""COMPUTED_VALUE"""),"")</f>
        <v/>
      </c>
      <c r="O1295" s="46" t="s">
        <v>1976</v>
      </c>
      <c r="P1295" s="47"/>
      <c r="Q1295" s="47"/>
      <c r="R1295" s="48" t="s">
        <v>1976</v>
      </c>
    </row>
    <row r="1296">
      <c r="B1296" s="45"/>
      <c r="N1296" s="46" t="str">
        <f>IFERROR(__xludf.DUMMYFUNCTION("""COMPUTED_VALUE"""),"")</f>
        <v/>
      </c>
      <c r="O1296" s="46" t="s">
        <v>1976</v>
      </c>
      <c r="P1296" s="47"/>
      <c r="Q1296" s="47"/>
      <c r="R1296" s="48" t="s">
        <v>1976</v>
      </c>
    </row>
    <row r="1297">
      <c r="B1297" s="45"/>
      <c r="N1297" s="46" t="str">
        <f>IFERROR(__xludf.DUMMYFUNCTION("""COMPUTED_VALUE"""),"")</f>
        <v/>
      </c>
      <c r="O1297" s="46" t="s">
        <v>1976</v>
      </c>
      <c r="P1297" s="47"/>
      <c r="Q1297" s="47"/>
      <c r="R1297" s="48" t="s">
        <v>1976</v>
      </c>
    </row>
    <row r="1298">
      <c r="B1298" s="45"/>
      <c r="N1298" s="46" t="str">
        <f>IFERROR(__xludf.DUMMYFUNCTION("""COMPUTED_VALUE"""),"")</f>
        <v/>
      </c>
      <c r="O1298" s="46" t="s">
        <v>1976</v>
      </c>
      <c r="P1298" s="47"/>
      <c r="Q1298" s="47"/>
      <c r="R1298" s="48" t="s">
        <v>1976</v>
      </c>
    </row>
    <row r="1299">
      <c r="B1299" s="45"/>
      <c r="N1299" s="46" t="str">
        <f>IFERROR(__xludf.DUMMYFUNCTION("""COMPUTED_VALUE"""),"")</f>
        <v/>
      </c>
      <c r="O1299" s="46" t="s">
        <v>1976</v>
      </c>
      <c r="P1299" s="47"/>
      <c r="Q1299" s="47"/>
      <c r="R1299" s="48" t="s">
        <v>1976</v>
      </c>
    </row>
    <row r="1300">
      <c r="B1300" s="45"/>
      <c r="N1300" s="46" t="str">
        <f>IFERROR(__xludf.DUMMYFUNCTION("""COMPUTED_VALUE"""),"")</f>
        <v/>
      </c>
      <c r="O1300" s="46" t="s">
        <v>1976</v>
      </c>
      <c r="P1300" s="47"/>
      <c r="Q1300" s="47"/>
      <c r="R1300" s="48" t="s">
        <v>1976</v>
      </c>
    </row>
    <row r="1301">
      <c r="B1301" s="45"/>
      <c r="N1301" s="46" t="str">
        <f>IFERROR(__xludf.DUMMYFUNCTION("""COMPUTED_VALUE"""),"")</f>
        <v/>
      </c>
      <c r="O1301" s="46" t="s">
        <v>1976</v>
      </c>
      <c r="P1301" s="47"/>
      <c r="Q1301" s="47"/>
      <c r="R1301" s="48" t="s">
        <v>1976</v>
      </c>
    </row>
    <row r="1302">
      <c r="B1302" s="45"/>
      <c r="N1302" s="46" t="str">
        <f>IFERROR(__xludf.DUMMYFUNCTION("""COMPUTED_VALUE"""),"")</f>
        <v/>
      </c>
      <c r="O1302" s="46" t="s">
        <v>1976</v>
      </c>
      <c r="P1302" s="47"/>
      <c r="Q1302" s="47"/>
      <c r="R1302" s="48" t="s">
        <v>1976</v>
      </c>
    </row>
    <row r="1303">
      <c r="B1303" s="45"/>
      <c r="N1303" s="46" t="str">
        <f>IFERROR(__xludf.DUMMYFUNCTION("""COMPUTED_VALUE"""),"")</f>
        <v/>
      </c>
      <c r="O1303" s="46" t="s">
        <v>1976</v>
      </c>
      <c r="P1303" s="47"/>
      <c r="Q1303" s="47"/>
      <c r="R1303" s="48" t="s">
        <v>1976</v>
      </c>
    </row>
    <row r="1304">
      <c r="B1304" s="45"/>
      <c r="N1304" s="46" t="str">
        <f>IFERROR(__xludf.DUMMYFUNCTION("""COMPUTED_VALUE"""),"")</f>
        <v/>
      </c>
      <c r="O1304" s="46" t="s">
        <v>1976</v>
      </c>
      <c r="P1304" s="47"/>
      <c r="Q1304" s="47"/>
      <c r="R1304" s="48" t="s">
        <v>1976</v>
      </c>
    </row>
    <row r="1305">
      <c r="B1305" s="45"/>
      <c r="N1305" s="46" t="str">
        <f>IFERROR(__xludf.DUMMYFUNCTION("""COMPUTED_VALUE"""),"")</f>
        <v/>
      </c>
      <c r="O1305" s="46" t="s">
        <v>1976</v>
      </c>
      <c r="P1305" s="47"/>
      <c r="Q1305" s="47"/>
      <c r="R1305" s="48" t="s">
        <v>1976</v>
      </c>
    </row>
    <row r="1306">
      <c r="B1306" s="45"/>
      <c r="N1306" s="46" t="str">
        <f>IFERROR(__xludf.DUMMYFUNCTION("""COMPUTED_VALUE"""),"")</f>
        <v/>
      </c>
      <c r="O1306" s="46" t="s">
        <v>1976</v>
      </c>
      <c r="P1306" s="47"/>
      <c r="Q1306" s="47"/>
      <c r="R1306" s="48" t="s">
        <v>1976</v>
      </c>
    </row>
    <row r="1307">
      <c r="B1307" s="45"/>
      <c r="N1307" s="46" t="str">
        <f>IFERROR(__xludf.DUMMYFUNCTION("""COMPUTED_VALUE"""),"")</f>
        <v/>
      </c>
      <c r="O1307" s="46" t="s">
        <v>1976</v>
      </c>
      <c r="P1307" s="47"/>
      <c r="Q1307" s="47"/>
      <c r="R1307" s="48" t="s">
        <v>1976</v>
      </c>
    </row>
    <row r="1308">
      <c r="B1308" s="45"/>
      <c r="N1308" s="46" t="str">
        <f>IFERROR(__xludf.DUMMYFUNCTION("""COMPUTED_VALUE"""),"")</f>
        <v/>
      </c>
      <c r="O1308" s="46" t="s">
        <v>1976</v>
      </c>
      <c r="P1308" s="47"/>
      <c r="Q1308" s="47"/>
      <c r="R1308" s="48" t="s">
        <v>1976</v>
      </c>
    </row>
    <row r="1309">
      <c r="B1309" s="45"/>
      <c r="N1309" s="46" t="str">
        <f>IFERROR(__xludf.DUMMYFUNCTION("""COMPUTED_VALUE"""),"")</f>
        <v/>
      </c>
      <c r="O1309" s="46" t="s">
        <v>1976</v>
      </c>
      <c r="P1309" s="47"/>
      <c r="Q1309" s="47"/>
      <c r="R1309" s="48" t="s">
        <v>1976</v>
      </c>
    </row>
    <row r="1310">
      <c r="B1310" s="45"/>
      <c r="N1310" s="46" t="str">
        <f>IFERROR(__xludf.DUMMYFUNCTION("""COMPUTED_VALUE"""),"")</f>
        <v/>
      </c>
      <c r="O1310" s="46" t="s">
        <v>1976</v>
      </c>
      <c r="P1310" s="47"/>
      <c r="Q1310" s="47"/>
      <c r="R1310" s="48" t="s">
        <v>1976</v>
      </c>
    </row>
    <row r="1311">
      <c r="B1311" s="45"/>
      <c r="N1311" s="46" t="str">
        <f>IFERROR(__xludf.DUMMYFUNCTION("""COMPUTED_VALUE"""),"")</f>
        <v/>
      </c>
      <c r="O1311" s="46" t="s">
        <v>1976</v>
      </c>
      <c r="P1311" s="47"/>
      <c r="Q1311" s="47"/>
      <c r="R1311" s="48" t="s">
        <v>1976</v>
      </c>
    </row>
    <row r="1312">
      <c r="B1312" s="45"/>
      <c r="N1312" s="46" t="str">
        <f>IFERROR(__xludf.DUMMYFUNCTION("""COMPUTED_VALUE"""),"")</f>
        <v/>
      </c>
      <c r="O1312" s="46" t="s">
        <v>1976</v>
      </c>
      <c r="P1312" s="47"/>
      <c r="Q1312" s="47"/>
      <c r="R1312" s="48" t="s">
        <v>1976</v>
      </c>
    </row>
    <row r="1313">
      <c r="B1313" s="45"/>
      <c r="N1313" s="46" t="str">
        <f>IFERROR(__xludf.DUMMYFUNCTION("""COMPUTED_VALUE"""),"")</f>
        <v/>
      </c>
      <c r="O1313" s="46" t="s">
        <v>1976</v>
      </c>
      <c r="P1313" s="47"/>
      <c r="Q1313" s="47"/>
      <c r="R1313" s="48" t="s">
        <v>1976</v>
      </c>
    </row>
    <row r="1314">
      <c r="B1314" s="45"/>
      <c r="N1314" s="46" t="str">
        <f>IFERROR(__xludf.DUMMYFUNCTION("""COMPUTED_VALUE"""),"")</f>
        <v/>
      </c>
      <c r="O1314" s="46" t="s">
        <v>1976</v>
      </c>
      <c r="P1314" s="47"/>
      <c r="Q1314" s="47"/>
      <c r="R1314" s="48" t="s">
        <v>1976</v>
      </c>
    </row>
    <row r="1315">
      <c r="B1315" s="45"/>
      <c r="N1315" s="46" t="str">
        <f>IFERROR(__xludf.DUMMYFUNCTION("""COMPUTED_VALUE"""),"")</f>
        <v/>
      </c>
      <c r="O1315" s="46" t="s">
        <v>1976</v>
      </c>
      <c r="P1315" s="47"/>
      <c r="Q1315" s="47"/>
      <c r="R1315" s="48" t="s">
        <v>1976</v>
      </c>
    </row>
    <row r="1316">
      <c r="B1316" s="45"/>
      <c r="N1316" s="46" t="str">
        <f>IFERROR(__xludf.DUMMYFUNCTION("""COMPUTED_VALUE"""),"")</f>
        <v/>
      </c>
      <c r="O1316" s="46" t="s">
        <v>1976</v>
      </c>
      <c r="P1316" s="47"/>
      <c r="Q1316" s="47"/>
      <c r="R1316" s="48" t="s">
        <v>1976</v>
      </c>
    </row>
    <row r="1317">
      <c r="B1317" s="45"/>
      <c r="N1317" s="46" t="str">
        <f>IFERROR(__xludf.DUMMYFUNCTION("""COMPUTED_VALUE"""),"")</f>
        <v/>
      </c>
      <c r="O1317" s="46" t="s">
        <v>1976</v>
      </c>
      <c r="P1317" s="47"/>
      <c r="Q1317" s="47"/>
      <c r="R1317" s="48" t="s">
        <v>1976</v>
      </c>
    </row>
    <row r="1318">
      <c r="B1318" s="45"/>
      <c r="N1318" s="46" t="str">
        <f>IFERROR(__xludf.DUMMYFUNCTION("""COMPUTED_VALUE"""),"")</f>
        <v/>
      </c>
      <c r="O1318" s="46" t="s">
        <v>1976</v>
      </c>
      <c r="P1318" s="47"/>
      <c r="Q1318" s="47"/>
      <c r="R1318" s="48" t="s">
        <v>1976</v>
      </c>
    </row>
    <row r="1319">
      <c r="B1319" s="45"/>
      <c r="N1319" s="46" t="str">
        <f>IFERROR(__xludf.DUMMYFUNCTION("""COMPUTED_VALUE"""),"")</f>
        <v/>
      </c>
      <c r="O1319" s="46" t="s">
        <v>1976</v>
      </c>
      <c r="P1319" s="47"/>
      <c r="Q1319" s="47"/>
      <c r="R1319" s="48" t="s">
        <v>1976</v>
      </c>
    </row>
    <row r="1320">
      <c r="B1320" s="45"/>
      <c r="N1320" s="46" t="str">
        <f>IFERROR(__xludf.DUMMYFUNCTION("""COMPUTED_VALUE"""),"")</f>
        <v/>
      </c>
      <c r="O1320" s="46" t="s">
        <v>1976</v>
      </c>
      <c r="P1320" s="47"/>
      <c r="Q1320" s="47"/>
      <c r="R1320" s="48" t="s">
        <v>1976</v>
      </c>
    </row>
    <row r="1321">
      <c r="B1321" s="45"/>
      <c r="N1321" s="46" t="str">
        <f>IFERROR(__xludf.DUMMYFUNCTION("""COMPUTED_VALUE"""),"")</f>
        <v/>
      </c>
      <c r="O1321" s="46" t="s">
        <v>1976</v>
      </c>
      <c r="P1321" s="47"/>
      <c r="Q1321" s="47"/>
      <c r="R1321" s="48" t="s">
        <v>1976</v>
      </c>
    </row>
    <row r="1322">
      <c r="B1322" s="45"/>
      <c r="N1322" s="46" t="str">
        <f>IFERROR(__xludf.DUMMYFUNCTION("""COMPUTED_VALUE"""),"")</f>
        <v/>
      </c>
      <c r="O1322" s="46" t="s">
        <v>1976</v>
      </c>
      <c r="P1322" s="47"/>
      <c r="Q1322" s="47"/>
      <c r="R1322" s="48" t="s">
        <v>1976</v>
      </c>
    </row>
    <row r="1323">
      <c r="B1323" s="45"/>
      <c r="N1323" s="46" t="str">
        <f>IFERROR(__xludf.DUMMYFUNCTION("""COMPUTED_VALUE"""),"")</f>
        <v/>
      </c>
      <c r="O1323" s="46" t="s">
        <v>1976</v>
      </c>
      <c r="P1323" s="47"/>
      <c r="Q1323" s="47"/>
      <c r="R1323" s="48" t="s">
        <v>1976</v>
      </c>
    </row>
    <row r="1324">
      <c r="B1324" s="45"/>
      <c r="N1324" s="46" t="str">
        <f>IFERROR(__xludf.DUMMYFUNCTION("""COMPUTED_VALUE"""),"")</f>
        <v/>
      </c>
      <c r="O1324" s="46" t="s">
        <v>1976</v>
      </c>
      <c r="P1324" s="47"/>
      <c r="Q1324" s="47"/>
      <c r="R1324" s="48" t="s">
        <v>1976</v>
      </c>
    </row>
    <row r="1325">
      <c r="B1325" s="45"/>
      <c r="N1325" s="46" t="str">
        <f>IFERROR(__xludf.DUMMYFUNCTION("""COMPUTED_VALUE"""),"")</f>
        <v/>
      </c>
      <c r="O1325" s="46" t="s">
        <v>1976</v>
      </c>
      <c r="P1325" s="47"/>
      <c r="Q1325" s="47"/>
      <c r="R1325" s="48" t="s">
        <v>1976</v>
      </c>
    </row>
    <row r="1326">
      <c r="B1326" s="45"/>
      <c r="N1326" s="46" t="str">
        <f>IFERROR(__xludf.DUMMYFUNCTION("""COMPUTED_VALUE"""),"")</f>
        <v/>
      </c>
      <c r="O1326" s="46" t="s">
        <v>1976</v>
      </c>
      <c r="P1326" s="47"/>
      <c r="Q1326" s="47"/>
      <c r="R1326" s="48" t="s">
        <v>1976</v>
      </c>
    </row>
    <row r="1327">
      <c r="B1327" s="45"/>
      <c r="N1327" s="46" t="str">
        <f>IFERROR(__xludf.DUMMYFUNCTION("""COMPUTED_VALUE"""),"")</f>
        <v/>
      </c>
      <c r="O1327" s="46" t="s">
        <v>1976</v>
      </c>
      <c r="P1327" s="47"/>
      <c r="Q1327" s="47"/>
      <c r="R1327" s="48" t="s">
        <v>1976</v>
      </c>
    </row>
    <row r="1328">
      <c r="B1328" s="45"/>
      <c r="N1328" s="46" t="str">
        <f>IFERROR(__xludf.DUMMYFUNCTION("""COMPUTED_VALUE"""),"")</f>
        <v/>
      </c>
      <c r="O1328" s="46" t="s">
        <v>1976</v>
      </c>
      <c r="P1328" s="47"/>
      <c r="Q1328" s="47"/>
      <c r="R1328" s="48" t="s">
        <v>1976</v>
      </c>
    </row>
    <row r="1329">
      <c r="B1329" s="45"/>
      <c r="N1329" s="46" t="str">
        <f>IFERROR(__xludf.DUMMYFUNCTION("""COMPUTED_VALUE"""),"")</f>
        <v/>
      </c>
      <c r="O1329" s="46" t="s">
        <v>1976</v>
      </c>
      <c r="P1329" s="47"/>
      <c r="Q1329" s="47"/>
      <c r="R1329" s="48" t="s">
        <v>1976</v>
      </c>
    </row>
    <row r="1330">
      <c r="B1330" s="45"/>
      <c r="N1330" s="46" t="str">
        <f>IFERROR(__xludf.DUMMYFUNCTION("""COMPUTED_VALUE"""),"")</f>
        <v/>
      </c>
      <c r="O1330" s="46" t="s">
        <v>1976</v>
      </c>
      <c r="P1330" s="47"/>
      <c r="Q1330" s="47"/>
      <c r="R1330" s="48" t="s">
        <v>1976</v>
      </c>
    </row>
    <row r="1331">
      <c r="B1331" s="45"/>
      <c r="N1331" s="46" t="str">
        <f>IFERROR(__xludf.DUMMYFUNCTION("""COMPUTED_VALUE"""),"")</f>
        <v/>
      </c>
      <c r="O1331" s="46" t="s">
        <v>1976</v>
      </c>
      <c r="P1331" s="47"/>
      <c r="Q1331" s="47"/>
      <c r="R1331" s="48" t="s">
        <v>1976</v>
      </c>
    </row>
    <row r="1332">
      <c r="B1332" s="45"/>
      <c r="N1332" s="46" t="str">
        <f>IFERROR(__xludf.DUMMYFUNCTION("""COMPUTED_VALUE"""),"")</f>
        <v/>
      </c>
      <c r="O1332" s="46" t="s">
        <v>1976</v>
      </c>
      <c r="P1332" s="47"/>
      <c r="Q1332" s="47"/>
      <c r="R1332" s="48" t="s">
        <v>1976</v>
      </c>
    </row>
    <row r="1333">
      <c r="B1333" s="45"/>
      <c r="N1333" s="46" t="str">
        <f>IFERROR(__xludf.DUMMYFUNCTION("""COMPUTED_VALUE"""),"")</f>
        <v/>
      </c>
      <c r="O1333" s="46" t="s">
        <v>1976</v>
      </c>
      <c r="P1333" s="47"/>
      <c r="Q1333" s="47"/>
      <c r="R1333" s="48" t="s">
        <v>1976</v>
      </c>
    </row>
    <row r="1334">
      <c r="B1334" s="45"/>
      <c r="N1334" s="46" t="str">
        <f>IFERROR(__xludf.DUMMYFUNCTION("""COMPUTED_VALUE"""),"")</f>
        <v/>
      </c>
      <c r="O1334" s="46" t="s">
        <v>1976</v>
      </c>
      <c r="P1334" s="47"/>
      <c r="Q1334" s="47"/>
      <c r="R1334" s="48" t="s">
        <v>1976</v>
      </c>
    </row>
    <row r="1335">
      <c r="B1335" s="45"/>
      <c r="N1335" s="46" t="str">
        <f>IFERROR(__xludf.DUMMYFUNCTION("""COMPUTED_VALUE"""),"")</f>
        <v/>
      </c>
      <c r="O1335" s="46" t="s">
        <v>1976</v>
      </c>
      <c r="P1335" s="47"/>
      <c r="Q1335" s="47"/>
      <c r="R1335" s="48" t="s">
        <v>1976</v>
      </c>
    </row>
    <row r="1336">
      <c r="B1336" s="45"/>
      <c r="N1336" s="46" t="str">
        <f>IFERROR(__xludf.DUMMYFUNCTION("""COMPUTED_VALUE"""),"")</f>
        <v/>
      </c>
      <c r="O1336" s="46" t="s">
        <v>1976</v>
      </c>
      <c r="P1336" s="47"/>
      <c r="Q1336" s="47"/>
      <c r="R1336" s="48" t="s">
        <v>1976</v>
      </c>
    </row>
    <row r="1337">
      <c r="B1337" s="45"/>
      <c r="N1337" s="46" t="str">
        <f>IFERROR(__xludf.DUMMYFUNCTION("""COMPUTED_VALUE"""),"")</f>
        <v/>
      </c>
      <c r="O1337" s="46" t="s">
        <v>1976</v>
      </c>
      <c r="P1337" s="47"/>
      <c r="Q1337" s="47"/>
      <c r="R1337" s="48" t="s">
        <v>1976</v>
      </c>
    </row>
    <row r="1338">
      <c r="B1338" s="45"/>
      <c r="N1338" s="46" t="str">
        <f>IFERROR(__xludf.DUMMYFUNCTION("""COMPUTED_VALUE"""),"")</f>
        <v/>
      </c>
      <c r="O1338" s="46" t="s">
        <v>1976</v>
      </c>
      <c r="P1338" s="47"/>
      <c r="Q1338" s="47"/>
      <c r="R1338" s="48" t="s">
        <v>1976</v>
      </c>
    </row>
    <row r="1339">
      <c r="B1339" s="45"/>
      <c r="N1339" s="46" t="str">
        <f>IFERROR(__xludf.DUMMYFUNCTION("""COMPUTED_VALUE"""),"")</f>
        <v/>
      </c>
      <c r="O1339" s="46" t="s">
        <v>1976</v>
      </c>
      <c r="P1339" s="47"/>
      <c r="Q1339" s="47"/>
      <c r="R1339" s="48" t="s">
        <v>1976</v>
      </c>
    </row>
    <row r="1340">
      <c r="B1340" s="45"/>
      <c r="N1340" s="46" t="str">
        <f>IFERROR(__xludf.DUMMYFUNCTION("""COMPUTED_VALUE"""),"")</f>
        <v/>
      </c>
      <c r="O1340" s="46" t="s">
        <v>1976</v>
      </c>
      <c r="P1340" s="47"/>
      <c r="Q1340" s="47"/>
      <c r="R1340" s="48" t="s">
        <v>1976</v>
      </c>
    </row>
    <row r="1341">
      <c r="B1341" s="45"/>
      <c r="N1341" s="46" t="str">
        <f>IFERROR(__xludf.DUMMYFUNCTION("""COMPUTED_VALUE"""),"")</f>
        <v/>
      </c>
      <c r="O1341" s="46" t="s">
        <v>1976</v>
      </c>
      <c r="P1341" s="47"/>
      <c r="Q1341" s="47"/>
      <c r="R1341" s="48" t="s">
        <v>1976</v>
      </c>
    </row>
    <row r="1342">
      <c r="B1342" s="45"/>
      <c r="N1342" s="46" t="str">
        <f>IFERROR(__xludf.DUMMYFUNCTION("""COMPUTED_VALUE"""),"")</f>
        <v/>
      </c>
      <c r="O1342" s="46" t="s">
        <v>1976</v>
      </c>
      <c r="P1342" s="47"/>
      <c r="Q1342" s="47"/>
      <c r="R1342" s="48" t="s">
        <v>1976</v>
      </c>
    </row>
    <row r="1343">
      <c r="B1343" s="45"/>
      <c r="N1343" s="46" t="str">
        <f>IFERROR(__xludf.DUMMYFUNCTION("""COMPUTED_VALUE"""),"")</f>
        <v/>
      </c>
      <c r="O1343" s="46" t="s">
        <v>1976</v>
      </c>
      <c r="P1343" s="47"/>
      <c r="Q1343" s="47"/>
      <c r="R1343" s="48" t="s">
        <v>1976</v>
      </c>
    </row>
    <row r="1344">
      <c r="B1344" s="45"/>
      <c r="N1344" s="46" t="str">
        <f>IFERROR(__xludf.DUMMYFUNCTION("""COMPUTED_VALUE"""),"")</f>
        <v/>
      </c>
      <c r="O1344" s="46" t="s">
        <v>1976</v>
      </c>
      <c r="P1344" s="47"/>
      <c r="Q1344" s="47"/>
      <c r="R1344" s="48" t="s">
        <v>1976</v>
      </c>
    </row>
    <row r="1345">
      <c r="B1345" s="45"/>
      <c r="N1345" s="46" t="str">
        <f>IFERROR(__xludf.DUMMYFUNCTION("""COMPUTED_VALUE"""),"")</f>
        <v/>
      </c>
      <c r="O1345" s="46" t="s">
        <v>1976</v>
      </c>
      <c r="P1345" s="47"/>
      <c r="Q1345" s="47"/>
      <c r="R1345" s="48" t="s">
        <v>1976</v>
      </c>
    </row>
    <row r="1346">
      <c r="B1346" s="45"/>
      <c r="N1346" s="46" t="str">
        <f>IFERROR(__xludf.DUMMYFUNCTION("""COMPUTED_VALUE"""),"")</f>
        <v/>
      </c>
      <c r="O1346" s="46" t="s">
        <v>1976</v>
      </c>
      <c r="P1346" s="47"/>
      <c r="Q1346" s="47"/>
      <c r="R1346" s="48" t="s">
        <v>1976</v>
      </c>
    </row>
    <row r="1347">
      <c r="B1347" s="45"/>
      <c r="N1347" s="46" t="str">
        <f>IFERROR(__xludf.DUMMYFUNCTION("""COMPUTED_VALUE"""),"")</f>
        <v/>
      </c>
      <c r="O1347" s="46" t="s">
        <v>1976</v>
      </c>
      <c r="P1347" s="47"/>
      <c r="Q1347" s="47"/>
      <c r="R1347" s="48" t="s">
        <v>1976</v>
      </c>
    </row>
    <row r="1348">
      <c r="B1348" s="45"/>
      <c r="N1348" s="46" t="str">
        <f>IFERROR(__xludf.DUMMYFUNCTION("""COMPUTED_VALUE"""),"")</f>
        <v/>
      </c>
      <c r="O1348" s="46" t="s">
        <v>1976</v>
      </c>
      <c r="P1348" s="47"/>
      <c r="Q1348" s="47"/>
      <c r="R1348" s="48" t="s">
        <v>1976</v>
      </c>
    </row>
    <row r="1349">
      <c r="B1349" s="45"/>
      <c r="N1349" s="46" t="str">
        <f>IFERROR(__xludf.DUMMYFUNCTION("""COMPUTED_VALUE"""),"")</f>
        <v/>
      </c>
      <c r="O1349" s="46" t="s">
        <v>1976</v>
      </c>
      <c r="P1349" s="47"/>
      <c r="Q1349" s="47"/>
      <c r="R1349" s="48" t="s">
        <v>1976</v>
      </c>
    </row>
    <row r="1350">
      <c r="B1350" s="45"/>
      <c r="N1350" s="46" t="str">
        <f>IFERROR(__xludf.DUMMYFUNCTION("""COMPUTED_VALUE"""),"")</f>
        <v/>
      </c>
      <c r="O1350" s="46" t="s">
        <v>1976</v>
      </c>
      <c r="P1350" s="47"/>
      <c r="Q1350" s="47"/>
      <c r="R1350" s="48" t="s">
        <v>1976</v>
      </c>
    </row>
    <row r="1351">
      <c r="B1351" s="45"/>
      <c r="N1351" s="46" t="str">
        <f>IFERROR(__xludf.DUMMYFUNCTION("""COMPUTED_VALUE"""),"")</f>
        <v/>
      </c>
      <c r="O1351" s="46" t="s">
        <v>1976</v>
      </c>
      <c r="P1351" s="47"/>
      <c r="Q1351" s="47"/>
      <c r="R1351" s="48" t="s">
        <v>1976</v>
      </c>
    </row>
    <row r="1352">
      <c r="B1352" s="45"/>
      <c r="N1352" s="46" t="str">
        <f>IFERROR(__xludf.DUMMYFUNCTION("""COMPUTED_VALUE"""),"")</f>
        <v/>
      </c>
      <c r="O1352" s="46" t="s">
        <v>1976</v>
      </c>
      <c r="P1352" s="47"/>
      <c r="Q1352" s="47"/>
      <c r="R1352" s="48" t="s">
        <v>1976</v>
      </c>
    </row>
    <row r="1353">
      <c r="B1353" s="45"/>
      <c r="N1353" s="46" t="str">
        <f>IFERROR(__xludf.DUMMYFUNCTION("""COMPUTED_VALUE"""),"")</f>
        <v/>
      </c>
      <c r="O1353" s="46" t="s">
        <v>1976</v>
      </c>
      <c r="P1353" s="47"/>
      <c r="Q1353" s="47"/>
      <c r="R1353" s="48" t="s">
        <v>1976</v>
      </c>
    </row>
    <row r="1354">
      <c r="B1354" s="45"/>
      <c r="N1354" s="46" t="str">
        <f>IFERROR(__xludf.DUMMYFUNCTION("""COMPUTED_VALUE"""),"")</f>
        <v/>
      </c>
      <c r="O1354" s="46" t="s">
        <v>1976</v>
      </c>
      <c r="P1354" s="47"/>
      <c r="Q1354" s="47"/>
      <c r="R1354" s="48" t="s">
        <v>1976</v>
      </c>
    </row>
    <row r="1355">
      <c r="B1355" s="45"/>
      <c r="N1355" s="46" t="str">
        <f>IFERROR(__xludf.DUMMYFUNCTION("""COMPUTED_VALUE"""),"")</f>
        <v/>
      </c>
      <c r="O1355" s="46" t="s">
        <v>1976</v>
      </c>
      <c r="P1355" s="47"/>
      <c r="Q1355" s="47"/>
      <c r="R1355" s="48" t="s">
        <v>1976</v>
      </c>
    </row>
    <row r="1356">
      <c r="B1356" s="45"/>
      <c r="N1356" s="46" t="str">
        <f>IFERROR(__xludf.DUMMYFUNCTION("""COMPUTED_VALUE"""),"")</f>
        <v/>
      </c>
      <c r="O1356" s="46" t="s">
        <v>1976</v>
      </c>
      <c r="P1356" s="47"/>
      <c r="Q1356" s="47"/>
      <c r="R1356" s="48" t="s">
        <v>1976</v>
      </c>
    </row>
    <row r="1357">
      <c r="B1357" s="45"/>
      <c r="N1357" s="46" t="str">
        <f>IFERROR(__xludf.DUMMYFUNCTION("""COMPUTED_VALUE"""),"")</f>
        <v/>
      </c>
      <c r="O1357" s="46" t="s">
        <v>1976</v>
      </c>
      <c r="P1357" s="47"/>
      <c r="Q1357" s="47"/>
      <c r="R1357" s="48" t="s">
        <v>1976</v>
      </c>
    </row>
    <row r="1358">
      <c r="B1358" s="45"/>
      <c r="N1358" s="46" t="str">
        <f>IFERROR(__xludf.DUMMYFUNCTION("""COMPUTED_VALUE"""),"")</f>
        <v/>
      </c>
      <c r="O1358" s="46" t="s">
        <v>1976</v>
      </c>
      <c r="P1358" s="47"/>
      <c r="Q1358" s="47"/>
      <c r="R1358" s="48" t="s">
        <v>1976</v>
      </c>
    </row>
    <row r="1359">
      <c r="B1359" s="45"/>
      <c r="N1359" s="46" t="str">
        <f>IFERROR(__xludf.DUMMYFUNCTION("""COMPUTED_VALUE"""),"")</f>
        <v/>
      </c>
      <c r="O1359" s="46" t="s">
        <v>1976</v>
      </c>
      <c r="P1359" s="47"/>
      <c r="Q1359" s="47"/>
      <c r="R1359" s="48" t="s">
        <v>1976</v>
      </c>
    </row>
    <row r="1360">
      <c r="B1360" s="45"/>
      <c r="N1360" s="46" t="str">
        <f>IFERROR(__xludf.DUMMYFUNCTION("""COMPUTED_VALUE"""),"")</f>
        <v/>
      </c>
      <c r="O1360" s="46" t="s">
        <v>1976</v>
      </c>
      <c r="P1360" s="47"/>
      <c r="Q1360" s="47"/>
      <c r="R1360" s="48" t="s">
        <v>1976</v>
      </c>
    </row>
    <row r="1361">
      <c r="B1361" s="45"/>
      <c r="N1361" s="46" t="str">
        <f>IFERROR(__xludf.DUMMYFUNCTION("""COMPUTED_VALUE"""),"")</f>
        <v/>
      </c>
      <c r="O1361" s="46" t="s">
        <v>1976</v>
      </c>
      <c r="P1361" s="47"/>
      <c r="Q1361" s="47"/>
      <c r="R1361" s="48" t="s">
        <v>1976</v>
      </c>
    </row>
    <row r="1362">
      <c r="B1362" s="45"/>
      <c r="N1362" s="46" t="str">
        <f>IFERROR(__xludf.DUMMYFUNCTION("""COMPUTED_VALUE"""),"")</f>
        <v/>
      </c>
      <c r="O1362" s="46" t="s">
        <v>1976</v>
      </c>
      <c r="P1362" s="47"/>
      <c r="Q1362" s="47"/>
      <c r="R1362" s="48" t="s">
        <v>1976</v>
      </c>
    </row>
    <row r="1363">
      <c r="B1363" s="45"/>
      <c r="N1363" s="46" t="str">
        <f>IFERROR(__xludf.DUMMYFUNCTION("""COMPUTED_VALUE"""),"")</f>
        <v/>
      </c>
      <c r="O1363" s="46" t="s">
        <v>1976</v>
      </c>
      <c r="P1363" s="47"/>
      <c r="Q1363" s="47"/>
      <c r="R1363" s="48" t="s">
        <v>1976</v>
      </c>
    </row>
    <row r="1364">
      <c r="B1364" s="45"/>
      <c r="N1364" s="46" t="str">
        <f>IFERROR(__xludf.DUMMYFUNCTION("""COMPUTED_VALUE"""),"")</f>
        <v/>
      </c>
      <c r="O1364" s="46" t="s">
        <v>1976</v>
      </c>
      <c r="P1364" s="47"/>
      <c r="Q1364" s="47"/>
      <c r="R1364" s="48" t="s">
        <v>1976</v>
      </c>
    </row>
    <row r="1365">
      <c r="B1365" s="45"/>
      <c r="N1365" s="46" t="str">
        <f>IFERROR(__xludf.DUMMYFUNCTION("""COMPUTED_VALUE"""),"")</f>
        <v/>
      </c>
      <c r="O1365" s="46" t="s">
        <v>1976</v>
      </c>
      <c r="P1365" s="47"/>
      <c r="Q1365" s="47"/>
      <c r="R1365" s="48" t="s">
        <v>1976</v>
      </c>
    </row>
    <row r="1366">
      <c r="B1366" s="45"/>
      <c r="N1366" s="46" t="str">
        <f>IFERROR(__xludf.DUMMYFUNCTION("""COMPUTED_VALUE"""),"")</f>
        <v/>
      </c>
      <c r="O1366" s="46" t="s">
        <v>1976</v>
      </c>
      <c r="P1366" s="47"/>
      <c r="Q1366" s="47"/>
      <c r="R1366" s="48" t="s">
        <v>1976</v>
      </c>
    </row>
    <row r="1367">
      <c r="B1367" s="45"/>
      <c r="N1367" s="46" t="str">
        <f>IFERROR(__xludf.DUMMYFUNCTION("""COMPUTED_VALUE"""),"")</f>
        <v/>
      </c>
      <c r="O1367" s="46" t="s">
        <v>1976</v>
      </c>
      <c r="P1367" s="47"/>
      <c r="Q1367" s="47"/>
      <c r="R1367" s="48" t="s">
        <v>1976</v>
      </c>
    </row>
    <row r="1368">
      <c r="B1368" s="45"/>
      <c r="N1368" s="46" t="str">
        <f>IFERROR(__xludf.DUMMYFUNCTION("""COMPUTED_VALUE"""),"")</f>
        <v/>
      </c>
      <c r="O1368" s="46" t="s">
        <v>1976</v>
      </c>
      <c r="P1368" s="47"/>
      <c r="Q1368" s="47"/>
      <c r="R1368" s="48" t="s">
        <v>1976</v>
      </c>
    </row>
    <row r="1369">
      <c r="B1369" s="45"/>
      <c r="N1369" s="46" t="str">
        <f>IFERROR(__xludf.DUMMYFUNCTION("""COMPUTED_VALUE"""),"")</f>
        <v/>
      </c>
      <c r="O1369" s="46" t="s">
        <v>1976</v>
      </c>
      <c r="P1369" s="47"/>
      <c r="Q1369" s="47"/>
      <c r="R1369" s="48" t="s">
        <v>1976</v>
      </c>
    </row>
    <row r="1370">
      <c r="B1370" s="45"/>
      <c r="N1370" s="46" t="str">
        <f>IFERROR(__xludf.DUMMYFUNCTION("""COMPUTED_VALUE"""),"")</f>
        <v/>
      </c>
      <c r="O1370" s="46" t="s">
        <v>1976</v>
      </c>
      <c r="P1370" s="47"/>
      <c r="Q1370" s="47"/>
      <c r="R1370" s="48" t="s">
        <v>1976</v>
      </c>
    </row>
    <row r="1371">
      <c r="B1371" s="45"/>
      <c r="N1371" s="46" t="str">
        <f>IFERROR(__xludf.DUMMYFUNCTION("""COMPUTED_VALUE"""),"")</f>
        <v/>
      </c>
      <c r="O1371" s="46" t="s">
        <v>1976</v>
      </c>
      <c r="P1371" s="47"/>
      <c r="Q1371" s="47"/>
      <c r="R1371" s="48" t="s">
        <v>1976</v>
      </c>
    </row>
    <row r="1372">
      <c r="B1372" s="45"/>
      <c r="N1372" s="46" t="str">
        <f>IFERROR(__xludf.DUMMYFUNCTION("""COMPUTED_VALUE"""),"")</f>
        <v/>
      </c>
      <c r="O1372" s="46" t="s">
        <v>1976</v>
      </c>
      <c r="P1372" s="47"/>
      <c r="Q1372" s="47"/>
      <c r="R1372" s="48" t="s">
        <v>1976</v>
      </c>
    </row>
    <row r="1373">
      <c r="B1373" s="45"/>
      <c r="N1373" s="46" t="str">
        <f>IFERROR(__xludf.DUMMYFUNCTION("""COMPUTED_VALUE"""),"")</f>
        <v/>
      </c>
      <c r="O1373" s="46" t="s">
        <v>1976</v>
      </c>
      <c r="P1373" s="47"/>
      <c r="Q1373" s="47"/>
      <c r="R1373" s="48" t="s">
        <v>1976</v>
      </c>
    </row>
    <row r="1374">
      <c r="B1374" s="45"/>
      <c r="N1374" s="46" t="str">
        <f>IFERROR(__xludf.DUMMYFUNCTION("""COMPUTED_VALUE"""),"")</f>
        <v/>
      </c>
      <c r="O1374" s="46" t="s">
        <v>1976</v>
      </c>
      <c r="P1374" s="47"/>
      <c r="Q1374" s="47"/>
      <c r="R1374" s="48" t="s">
        <v>1976</v>
      </c>
    </row>
    <row r="1375">
      <c r="B1375" s="45"/>
      <c r="N1375" s="46" t="str">
        <f>IFERROR(__xludf.DUMMYFUNCTION("""COMPUTED_VALUE"""),"")</f>
        <v/>
      </c>
      <c r="O1375" s="46" t="s">
        <v>1976</v>
      </c>
      <c r="P1375" s="47"/>
      <c r="Q1375" s="47"/>
      <c r="R1375" s="48" t="s">
        <v>1976</v>
      </c>
    </row>
    <row r="1376">
      <c r="B1376" s="45"/>
      <c r="N1376" s="46" t="str">
        <f>IFERROR(__xludf.DUMMYFUNCTION("""COMPUTED_VALUE"""),"")</f>
        <v/>
      </c>
      <c r="O1376" s="46" t="s">
        <v>1976</v>
      </c>
      <c r="P1376" s="47"/>
      <c r="Q1376" s="47"/>
      <c r="R1376" s="48" t="s">
        <v>1976</v>
      </c>
    </row>
    <row r="1377">
      <c r="B1377" s="45"/>
      <c r="N1377" s="46" t="str">
        <f>IFERROR(__xludf.DUMMYFUNCTION("""COMPUTED_VALUE"""),"")</f>
        <v/>
      </c>
      <c r="O1377" s="46" t="s">
        <v>1976</v>
      </c>
      <c r="P1377" s="47"/>
      <c r="Q1377" s="47"/>
      <c r="R1377" s="48" t="s">
        <v>1976</v>
      </c>
    </row>
    <row r="1378">
      <c r="B1378" s="45"/>
      <c r="N1378" s="46" t="str">
        <f>IFERROR(__xludf.DUMMYFUNCTION("""COMPUTED_VALUE"""),"")</f>
        <v/>
      </c>
      <c r="O1378" s="46" t="s">
        <v>1976</v>
      </c>
      <c r="P1378" s="47"/>
      <c r="Q1378" s="47"/>
      <c r="R1378" s="48" t="s">
        <v>1976</v>
      </c>
    </row>
    <row r="1379">
      <c r="B1379" s="45"/>
      <c r="N1379" s="46" t="str">
        <f>IFERROR(__xludf.DUMMYFUNCTION("""COMPUTED_VALUE"""),"")</f>
        <v/>
      </c>
      <c r="O1379" s="46" t="s">
        <v>1976</v>
      </c>
      <c r="P1379" s="47"/>
      <c r="Q1379" s="47"/>
      <c r="R1379" s="48" t="s">
        <v>1976</v>
      </c>
    </row>
    <row r="1380">
      <c r="B1380" s="45"/>
      <c r="N1380" s="46" t="str">
        <f>IFERROR(__xludf.DUMMYFUNCTION("""COMPUTED_VALUE"""),"")</f>
        <v/>
      </c>
      <c r="O1380" s="46" t="s">
        <v>1976</v>
      </c>
      <c r="P1380" s="47"/>
      <c r="Q1380" s="47"/>
      <c r="R1380" s="48" t="s">
        <v>1976</v>
      </c>
    </row>
    <row r="1381">
      <c r="B1381" s="45"/>
      <c r="N1381" s="46" t="str">
        <f>IFERROR(__xludf.DUMMYFUNCTION("""COMPUTED_VALUE"""),"")</f>
        <v/>
      </c>
      <c r="O1381" s="46" t="s">
        <v>1976</v>
      </c>
      <c r="P1381" s="47"/>
      <c r="Q1381" s="47"/>
      <c r="R1381" s="48" t="s">
        <v>1976</v>
      </c>
    </row>
    <row r="1382">
      <c r="B1382" s="45"/>
      <c r="N1382" s="46" t="str">
        <f>IFERROR(__xludf.DUMMYFUNCTION("""COMPUTED_VALUE"""),"")</f>
        <v/>
      </c>
      <c r="O1382" s="46" t="s">
        <v>1976</v>
      </c>
      <c r="P1382" s="47"/>
      <c r="Q1382" s="47"/>
      <c r="R1382" s="48" t="s">
        <v>1976</v>
      </c>
    </row>
    <row r="1383">
      <c r="B1383" s="45"/>
      <c r="N1383" s="46" t="str">
        <f>IFERROR(__xludf.DUMMYFUNCTION("""COMPUTED_VALUE"""),"")</f>
        <v/>
      </c>
      <c r="O1383" s="46" t="s">
        <v>1976</v>
      </c>
      <c r="P1383" s="47"/>
      <c r="Q1383" s="47"/>
      <c r="R1383" s="48" t="s">
        <v>1976</v>
      </c>
    </row>
    <row r="1384">
      <c r="B1384" s="45"/>
      <c r="N1384" s="46" t="str">
        <f>IFERROR(__xludf.DUMMYFUNCTION("""COMPUTED_VALUE"""),"")</f>
        <v/>
      </c>
      <c r="O1384" s="46" t="s">
        <v>1976</v>
      </c>
      <c r="P1384" s="47"/>
      <c r="Q1384" s="47"/>
      <c r="R1384" s="48" t="s">
        <v>1976</v>
      </c>
    </row>
    <row r="1385">
      <c r="B1385" s="45"/>
      <c r="N1385" s="46" t="str">
        <f>IFERROR(__xludf.DUMMYFUNCTION("""COMPUTED_VALUE"""),"")</f>
        <v/>
      </c>
      <c r="O1385" s="46" t="s">
        <v>1976</v>
      </c>
      <c r="P1385" s="47"/>
      <c r="Q1385" s="47"/>
      <c r="R1385" s="48" t="s">
        <v>1976</v>
      </c>
    </row>
    <row r="1386">
      <c r="B1386" s="45"/>
      <c r="N1386" s="46" t="str">
        <f>IFERROR(__xludf.DUMMYFUNCTION("""COMPUTED_VALUE"""),"")</f>
        <v/>
      </c>
      <c r="O1386" s="46" t="s">
        <v>1976</v>
      </c>
      <c r="P1386" s="47"/>
      <c r="Q1386" s="47"/>
      <c r="R1386" s="48" t="s">
        <v>1976</v>
      </c>
    </row>
    <row r="1387">
      <c r="B1387" s="45"/>
      <c r="N1387" s="46" t="str">
        <f>IFERROR(__xludf.DUMMYFUNCTION("""COMPUTED_VALUE"""),"")</f>
        <v/>
      </c>
      <c r="O1387" s="46" t="s">
        <v>1976</v>
      </c>
      <c r="P1387" s="47"/>
      <c r="Q1387" s="47"/>
      <c r="R1387" s="48" t="s">
        <v>1976</v>
      </c>
    </row>
    <row r="1388">
      <c r="B1388" s="45"/>
      <c r="N1388" s="46" t="str">
        <f>IFERROR(__xludf.DUMMYFUNCTION("""COMPUTED_VALUE"""),"")</f>
        <v/>
      </c>
      <c r="O1388" s="46" t="s">
        <v>1976</v>
      </c>
      <c r="P1388" s="47"/>
      <c r="Q1388" s="47"/>
      <c r="R1388" s="48" t="s">
        <v>1976</v>
      </c>
    </row>
    <row r="1389">
      <c r="B1389" s="45"/>
      <c r="N1389" s="46" t="str">
        <f>IFERROR(__xludf.DUMMYFUNCTION("""COMPUTED_VALUE"""),"")</f>
        <v/>
      </c>
      <c r="O1389" s="46" t="s">
        <v>1976</v>
      </c>
      <c r="P1389" s="47"/>
      <c r="Q1389" s="47"/>
      <c r="R1389" s="48" t="s">
        <v>1976</v>
      </c>
    </row>
    <row r="1390">
      <c r="B1390" s="45"/>
      <c r="N1390" s="46" t="str">
        <f>IFERROR(__xludf.DUMMYFUNCTION("""COMPUTED_VALUE"""),"")</f>
        <v/>
      </c>
      <c r="O1390" s="46" t="s">
        <v>1976</v>
      </c>
      <c r="P1390" s="47"/>
      <c r="Q1390" s="47"/>
      <c r="R1390" s="48" t="s">
        <v>1976</v>
      </c>
    </row>
    <row r="1391">
      <c r="B1391" s="45"/>
      <c r="N1391" s="46" t="str">
        <f>IFERROR(__xludf.DUMMYFUNCTION("""COMPUTED_VALUE"""),"")</f>
        <v/>
      </c>
      <c r="O1391" s="46" t="s">
        <v>1976</v>
      </c>
      <c r="P1391" s="47"/>
      <c r="Q1391" s="47"/>
      <c r="R1391" s="48" t="s">
        <v>1976</v>
      </c>
    </row>
    <row r="1392">
      <c r="B1392" s="45"/>
      <c r="N1392" s="46" t="str">
        <f>IFERROR(__xludf.DUMMYFUNCTION("""COMPUTED_VALUE"""),"")</f>
        <v/>
      </c>
      <c r="O1392" s="46" t="s">
        <v>1976</v>
      </c>
      <c r="P1392" s="47"/>
      <c r="Q1392" s="47"/>
      <c r="R1392" s="48" t="s">
        <v>1976</v>
      </c>
    </row>
    <row r="1393">
      <c r="B1393" s="45"/>
      <c r="N1393" s="46" t="str">
        <f>IFERROR(__xludf.DUMMYFUNCTION("""COMPUTED_VALUE"""),"")</f>
        <v/>
      </c>
      <c r="O1393" s="46" t="s">
        <v>1976</v>
      </c>
      <c r="P1393" s="47"/>
      <c r="Q1393" s="47"/>
      <c r="R1393" s="48" t="s">
        <v>1976</v>
      </c>
    </row>
    <row r="1394">
      <c r="B1394" s="45"/>
      <c r="N1394" s="46" t="str">
        <f>IFERROR(__xludf.DUMMYFUNCTION("""COMPUTED_VALUE"""),"")</f>
        <v/>
      </c>
      <c r="O1394" s="46" t="s">
        <v>1976</v>
      </c>
      <c r="P1394" s="47"/>
      <c r="Q1394" s="47"/>
      <c r="R1394" s="48" t="s">
        <v>1976</v>
      </c>
    </row>
    <row r="1395">
      <c r="B1395" s="45"/>
      <c r="N1395" s="46" t="str">
        <f>IFERROR(__xludf.DUMMYFUNCTION("""COMPUTED_VALUE"""),"")</f>
        <v/>
      </c>
      <c r="O1395" s="46" t="s">
        <v>1976</v>
      </c>
      <c r="P1395" s="47"/>
      <c r="Q1395" s="47"/>
      <c r="R1395" s="48" t="s">
        <v>1976</v>
      </c>
    </row>
    <row r="1396">
      <c r="B1396" s="45"/>
      <c r="N1396" s="46" t="str">
        <f>IFERROR(__xludf.DUMMYFUNCTION("""COMPUTED_VALUE"""),"")</f>
        <v/>
      </c>
      <c r="O1396" s="46" t="s">
        <v>1976</v>
      </c>
      <c r="P1396" s="47"/>
      <c r="Q1396" s="47"/>
      <c r="R1396" s="48" t="s">
        <v>1976</v>
      </c>
    </row>
    <row r="1397">
      <c r="B1397" s="45"/>
      <c r="N1397" s="46" t="str">
        <f>IFERROR(__xludf.DUMMYFUNCTION("""COMPUTED_VALUE"""),"")</f>
        <v/>
      </c>
      <c r="O1397" s="46" t="s">
        <v>1976</v>
      </c>
      <c r="P1397" s="47"/>
      <c r="Q1397" s="47"/>
      <c r="R1397" s="48" t="s">
        <v>1976</v>
      </c>
    </row>
    <row r="1398">
      <c r="B1398" s="45"/>
      <c r="N1398" s="46" t="str">
        <f>IFERROR(__xludf.DUMMYFUNCTION("""COMPUTED_VALUE"""),"")</f>
        <v/>
      </c>
      <c r="O1398" s="46" t="s">
        <v>1976</v>
      </c>
      <c r="P1398" s="47"/>
      <c r="Q1398" s="47"/>
      <c r="R1398" s="48" t="s">
        <v>1976</v>
      </c>
    </row>
    <row r="1399">
      <c r="B1399" s="45"/>
      <c r="N1399" s="46" t="str">
        <f>IFERROR(__xludf.DUMMYFUNCTION("""COMPUTED_VALUE"""),"")</f>
        <v/>
      </c>
      <c r="O1399" s="46" t="s">
        <v>1976</v>
      </c>
      <c r="P1399" s="47"/>
      <c r="Q1399" s="47"/>
      <c r="R1399" s="48" t="s">
        <v>1976</v>
      </c>
    </row>
    <row r="1400">
      <c r="B1400" s="45"/>
      <c r="N1400" s="46" t="str">
        <f>IFERROR(__xludf.DUMMYFUNCTION("""COMPUTED_VALUE"""),"")</f>
        <v/>
      </c>
      <c r="O1400" s="46" t="s">
        <v>1976</v>
      </c>
      <c r="P1400" s="47"/>
      <c r="Q1400" s="47"/>
      <c r="R1400" s="48" t="s">
        <v>1976</v>
      </c>
    </row>
    <row r="1401">
      <c r="B1401" s="45"/>
      <c r="N1401" s="46" t="str">
        <f>IFERROR(__xludf.DUMMYFUNCTION("""COMPUTED_VALUE"""),"")</f>
        <v/>
      </c>
      <c r="O1401" s="46" t="s">
        <v>1976</v>
      </c>
      <c r="P1401" s="47"/>
      <c r="Q1401" s="47"/>
      <c r="R1401" s="48" t="s">
        <v>1976</v>
      </c>
    </row>
    <row r="1402">
      <c r="B1402" s="45"/>
      <c r="N1402" s="46" t="str">
        <f>IFERROR(__xludf.DUMMYFUNCTION("""COMPUTED_VALUE"""),"")</f>
        <v/>
      </c>
      <c r="O1402" s="46" t="s">
        <v>1976</v>
      </c>
      <c r="P1402" s="47"/>
      <c r="Q1402" s="47"/>
      <c r="R1402" s="48" t="s">
        <v>1976</v>
      </c>
    </row>
    <row r="1403">
      <c r="B1403" s="45"/>
      <c r="N1403" s="46" t="str">
        <f>IFERROR(__xludf.DUMMYFUNCTION("""COMPUTED_VALUE"""),"")</f>
        <v/>
      </c>
      <c r="O1403" s="46" t="s">
        <v>1976</v>
      </c>
      <c r="P1403" s="47"/>
      <c r="Q1403" s="47"/>
      <c r="R1403" s="48" t="s">
        <v>1976</v>
      </c>
    </row>
    <row r="1404">
      <c r="B1404" s="45"/>
      <c r="N1404" s="46" t="str">
        <f>IFERROR(__xludf.DUMMYFUNCTION("""COMPUTED_VALUE"""),"")</f>
        <v/>
      </c>
      <c r="O1404" s="46" t="s">
        <v>1976</v>
      </c>
      <c r="P1404" s="47"/>
      <c r="Q1404" s="47"/>
      <c r="R1404" s="48" t="s">
        <v>1976</v>
      </c>
    </row>
    <row r="1405">
      <c r="B1405" s="45"/>
      <c r="N1405" s="46" t="str">
        <f>IFERROR(__xludf.DUMMYFUNCTION("""COMPUTED_VALUE"""),"")</f>
        <v/>
      </c>
      <c r="O1405" s="46" t="s">
        <v>1976</v>
      </c>
      <c r="P1405" s="47"/>
      <c r="Q1405" s="47"/>
      <c r="R1405" s="48" t="s">
        <v>1976</v>
      </c>
    </row>
    <row r="1406">
      <c r="B1406" s="45"/>
      <c r="N1406" s="46" t="str">
        <f>IFERROR(__xludf.DUMMYFUNCTION("""COMPUTED_VALUE"""),"")</f>
        <v/>
      </c>
      <c r="O1406" s="46" t="s">
        <v>1976</v>
      </c>
      <c r="P1406" s="47"/>
      <c r="Q1406" s="47"/>
      <c r="R1406" s="48" t="s">
        <v>1976</v>
      </c>
    </row>
    <row r="1407">
      <c r="B1407" s="45"/>
      <c r="N1407" s="46" t="str">
        <f>IFERROR(__xludf.DUMMYFUNCTION("""COMPUTED_VALUE"""),"")</f>
        <v/>
      </c>
      <c r="O1407" s="46" t="s">
        <v>1976</v>
      </c>
      <c r="P1407" s="47"/>
      <c r="Q1407" s="47"/>
      <c r="R1407" s="48" t="s">
        <v>1976</v>
      </c>
    </row>
    <row r="1408">
      <c r="B1408" s="45"/>
      <c r="N1408" s="46" t="str">
        <f>IFERROR(__xludf.DUMMYFUNCTION("""COMPUTED_VALUE"""),"")</f>
        <v/>
      </c>
      <c r="O1408" s="46" t="s">
        <v>1976</v>
      </c>
      <c r="P1408" s="47"/>
      <c r="Q1408" s="47"/>
      <c r="R1408" s="48" t="s">
        <v>1976</v>
      </c>
    </row>
    <row r="1409">
      <c r="B1409" s="45"/>
      <c r="N1409" s="46" t="str">
        <f>IFERROR(__xludf.DUMMYFUNCTION("""COMPUTED_VALUE"""),"")</f>
        <v/>
      </c>
      <c r="O1409" s="46" t="s">
        <v>1976</v>
      </c>
      <c r="P1409" s="47"/>
      <c r="Q1409" s="47"/>
      <c r="R1409" s="48" t="s">
        <v>1976</v>
      </c>
    </row>
    <row r="1410">
      <c r="B1410" s="45"/>
      <c r="N1410" s="46" t="str">
        <f>IFERROR(__xludf.DUMMYFUNCTION("""COMPUTED_VALUE"""),"")</f>
        <v/>
      </c>
      <c r="O1410" s="46" t="s">
        <v>1976</v>
      </c>
      <c r="P1410" s="47"/>
      <c r="Q1410" s="47"/>
      <c r="R1410" s="48" t="s">
        <v>1976</v>
      </c>
    </row>
    <row r="1411">
      <c r="B1411" s="45"/>
      <c r="N1411" s="46" t="str">
        <f>IFERROR(__xludf.DUMMYFUNCTION("""COMPUTED_VALUE"""),"")</f>
        <v/>
      </c>
      <c r="O1411" s="46" t="s">
        <v>1976</v>
      </c>
      <c r="P1411" s="47"/>
      <c r="Q1411" s="47"/>
      <c r="R1411" s="48" t="s">
        <v>1976</v>
      </c>
    </row>
    <row r="1412">
      <c r="B1412" s="45"/>
      <c r="N1412" s="46" t="str">
        <f>IFERROR(__xludf.DUMMYFUNCTION("""COMPUTED_VALUE"""),"")</f>
        <v/>
      </c>
      <c r="O1412" s="46" t="s">
        <v>1976</v>
      </c>
      <c r="P1412" s="47"/>
      <c r="Q1412" s="47"/>
      <c r="R1412" s="48" t="s">
        <v>1976</v>
      </c>
    </row>
    <row r="1413">
      <c r="B1413" s="45"/>
      <c r="N1413" s="46" t="str">
        <f>IFERROR(__xludf.DUMMYFUNCTION("""COMPUTED_VALUE"""),"")</f>
        <v/>
      </c>
      <c r="O1413" s="46" t="s">
        <v>1976</v>
      </c>
      <c r="P1413" s="47"/>
      <c r="Q1413" s="47"/>
      <c r="R1413" s="48" t="s">
        <v>1976</v>
      </c>
    </row>
    <row r="1414">
      <c r="B1414" s="45"/>
      <c r="N1414" s="46" t="str">
        <f>IFERROR(__xludf.DUMMYFUNCTION("""COMPUTED_VALUE"""),"")</f>
        <v/>
      </c>
      <c r="O1414" s="46" t="s">
        <v>1976</v>
      </c>
      <c r="P1414" s="47"/>
      <c r="Q1414" s="47"/>
      <c r="R1414" s="48" t="s">
        <v>1976</v>
      </c>
    </row>
    <row r="1415">
      <c r="B1415" s="45"/>
      <c r="N1415" s="46" t="str">
        <f>IFERROR(__xludf.DUMMYFUNCTION("""COMPUTED_VALUE"""),"")</f>
        <v/>
      </c>
      <c r="O1415" s="46" t="s">
        <v>1976</v>
      </c>
      <c r="P1415" s="47"/>
      <c r="Q1415" s="47"/>
      <c r="R1415" s="48" t="s">
        <v>1976</v>
      </c>
    </row>
    <row r="1416">
      <c r="B1416" s="45"/>
      <c r="N1416" s="46" t="str">
        <f>IFERROR(__xludf.DUMMYFUNCTION("""COMPUTED_VALUE"""),"")</f>
        <v/>
      </c>
      <c r="O1416" s="46" t="s">
        <v>1976</v>
      </c>
      <c r="P1416" s="47"/>
      <c r="Q1416" s="47"/>
      <c r="R1416" s="48" t="s">
        <v>1976</v>
      </c>
    </row>
    <row r="1417">
      <c r="B1417" s="45"/>
      <c r="N1417" s="46" t="str">
        <f>IFERROR(__xludf.DUMMYFUNCTION("""COMPUTED_VALUE"""),"")</f>
        <v/>
      </c>
      <c r="O1417" s="46" t="s">
        <v>1976</v>
      </c>
      <c r="P1417" s="47"/>
      <c r="Q1417" s="47"/>
      <c r="R1417" s="48" t="s">
        <v>1976</v>
      </c>
    </row>
    <row r="1418">
      <c r="B1418" s="45"/>
      <c r="N1418" s="46" t="str">
        <f>IFERROR(__xludf.DUMMYFUNCTION("""COMPUTED_VALUE"""),"")</f>
        <v/>
      </c>
      <c r="O1418" s="46" t="s">
        <v>1976</v>
      </c>
      <c r="P1418" s="47"/>
      <c r="Q1418" s="47"/>
      <c r="R1418" s="48" t="s">
        <v>1976</v>
      </c>
    </row>
    <row r="1419">
      <c r="B1419" s="45"/>
      <c r="N1419" s="46" t="str">
        <f>IFERROR(__xludf.DUMMYFUNCTION("""COMPUTED_VALUE"""),"")</f>
        <v/>
      </c>
      <c r="O1419" s="46" t="s">
        <v>1976</v>
      </c>
      <c r="P1419" s="47"/>
      <c r="Q1419" s="47"/>
      <c r="R1419" s="48" t="s">
        <v>1976</v>
      </c>
    </row>
    <row r="1420">
      <c r="B1420" s="45"/>
      <c r="N1420" s="46" t="str">
        <f>IFERROR(__xludf.DUMMYFUNCTION("""COMPUTED_VALUE"""),"")</f>
        <v/>
      </c>
      <c r="O1420" s="46" t="s">
        <v>1976</v>
      </c>
      <c r="P1420" s="47"/>
      <c r="Q1420" s="47"/>
      <c r="R1420" s="48" t="s">
        <v>1976</v>
      </c>
    </row>
    <row r="1421">
      <c r="B1421" s="45"/>
      <c r="N1421" s="46" t="str">
        <f>IFERROR(__xludf.DUMMYFUNCTION("""COMPUTED_VALUE"""),"")</f>
        <v/>
      </c>
      <c r="O1421" s="46" t="s">
        <v>1976</v>
      </c>
      <c r="P1421" s="47"/>
      <c r="Q1421" s="47"/>
      <c r="R1421" s="48" t="s">
        <v>1976</v>
      </c>
    </row>
    <row r="1422">
      <c r="B1422" s="45"/>
      <c r="N1422" s="46" t="str">
        <f>IFERROR(__xludf.DUMMYFUNCTION("""COMPUTED_VALUE"""),"")</f>
        <v/>
      </c>
      <c r="O1422" s="46" t="s">
        <v>1976</v>
      </c>
      <c r="P1422" s="47"/>
      <c r="Q1422" s="47"/>
      <c r="R1422" s="48" t="s">
        <v>1976</v>
      </c>
    </row>
    <row r="1423">
      <c r="B1423" s="45"/>
      <c r="N1423" s="46" t="str">
        <f>IFERROR(__xludf.DUMMYFUNCTION("""COMPUTED_VALUE"""),"")</f>
        <v/>
      </c>
      <c r="O1423" s="46" t="s">
        <v>1976</v>
      </c>
      <c r="P1423" s="47"/>
      <c r="Q1423" s="47"/>
      <c r="R1423" s="48" t="s">
        <v>1976</v>
      </c>
    </row>
    <row r="1424">
      <c r="B1424" s="45"/>
      <c r="N1424" s="46" t="str">
        <f>IFERROR(__xludf.DUMMYFUNCTION("""COMPUTED_VALUE"""),"")</f>
        <v/>
      </c>
      <c r="O1424" s="46" t="s">
        <v>1976</v>
      </c>
      <c r="P1424" s="47"/>
      <c r="Q1424" s="47"/>
      <c r="R1424" s="48" t="s">
        <v>1976</v>
      </c>
    </row>
    <row r="1425">
      <c r="B1425" s="45"/>
      <c r="N1425" s="46" t="str">
        <f>IFERROR(__xludf.DUMMYFUNCTION("""COMPUTED_VALUE"""),"")</f>
        <v/>
      </c>
      <c r="O1425" s="46" t="s">
        <v>1976</v>
      </c>
      <c r="P1425" s="47"/>
      <c r="Q1425" s="47"/>
      <c r="R1425" s="48" t="s">
        <v>1976</v>
      </c>
    </row>
    <row r="1426">
      <c r="B1426" s="45"/>
      <c r="N1426" s="46" t="str">
        <f>IFERROR(__xludf.DUMMYFUNCTION("""COMPUTED_VALUE"""),"")</f>
        <v/>
      </c>
      <c r="O1426" s="46" t="s">
        <v>1976</v>
      </c>
      <c r="P1426" s="47"/>
      <c r="Q1426" s="47"/>
      <c r="R1426" s="48" t="s">
        <v>1976</v>
      </c>
    </row>
    <row r="1427">
      <c r="B1427" s="45"/>
      <c r="N1427" s="46" t="str">
        <f>IFERROR(__xludf.DUMMYFUNCTION("""COMPUTED_VALUE"""),"")</f>
        <v/>
      </c>
      <c r="O1427" s="46" t="s">
        <v>1976</v>
      </c>
      <c r="P1427" s="47"/>
      <c r="Q1427" s="47"/>
      <c r="R1427" s="48" t="s">
        <v>1976</v>
      </c>
    </row>
    <row r="1428">
      <c r="B1428" s="45"/>
      <c r="N1428" s="46" t="str">
        <f>IFERROR(__xludf.DUMMYFUNCTION("""COMPUTED_VALUE"""),"")</f>
        <v/>
      </c>
      <c r="O1428" s="46" t="s">
        <v>1976</v>
      </c>
      <c r="P1428" s="47"/>
      <c r="Q1428" s="47"/>
      <c r="R1428" s="48" t="s">
        <v>1976</v>
      </c>
    </row>
    <row r="1429">
      <c r="B1429" s="45"/>
      <c r="N1429" s="46" t="str">
        <f>IFERROR(__xludf.DUMMYFUNCTION("""COMPUTED_VALUE"""),"")</f>
        <v/>
      </c>
      <c r="O1429" s="46" t="s">
        <v>1976</v>
      </c>
      <c r="P1429" s="47"/>
      <c r="Q1429" s="47"/>
      <c r="R1429" s="48" t="s">
        <v>1976</v>
      </c>
    </row>
    <row r="1430">
      <c r="B1430" s="45"/>
      <c r="N1430" s="46" t="str">
        <f>IFERROR(__xludf.DUMMYFUNCTION("""COMPUTED_VALUE"""),"")</f>
        <v/>
      </c>
      <c r="O1430" s="46" t="s">
        <v>1976</v>
      </c>
      <c r="P1430" s="47"/>
      <c r="Q1430" s="47"/>
      <c r="R1430" s="48" t="s">
        <v>1976</v>
      </c>
    </row>
    <row r="1431">
      <c r="B1431" s="45"/>
      <c r="N1431" s="46" t="str">
        <f>IFERROR(__xludf.DUMMYFUNCTION("""COMPUTED_VALUE"""),"")</f>
        <v/>
      </c>
      <c r="O1431" s="46" t="s">
        <v>1976</v>
      </c>
      <c r="P1431" s="47"/>
      <c r="Q1431" s="47"/>
      <c r="R1431" s="48" t="s">
        <v>1976</v>
      </c>
    </row>
    <row r="1432">
      <c r="B1432" s="45"/>
      <c r="N1432" s="46" t="str">
        <f>IFERROR(__xludf.DUMMYFUNCTION("""COMPUTED_VALUE"""),"")</f>
        <v/>
      </c>
      <c r="O1432" s="46" t="s">
        <v>1976</v>
      </c>
      <c r="P1432" s="47"/>
      <c r="Q1432" s="47"/>
      <c r="R1432" s="48" t="s">
        <v>1976</v>
      </c>
    </row>
    <row r="1433">
      <c r="B1433" s="45"/>
      <c r="N1433" s="46" t="str">
        <f>IFERROR(__xludf.DUMMYFUNCTION("""COMPUTED_VALUE"""),"")</f>
        <v/>
      </c>
      <c r="O1433" s="46" t="s">
        <v>1976</v>
      </c>
      <c r="P1433" s="47"/>
      <c r="Q1433" s="47"/>
      <c r="R1433" s="48" t="s">
        <v>1976</v>
      </c>
    </row>
    <row r="1434">
      <c r="B1434" s="45"/>
      <c r="N1434" s="46" t="str">
        <f>IFERROR(__xludf.DUMMYFUNCTION("""COMPUTED_VALUE"""),"")</f>
        <v/>
      </c>
      <c r="O1434" s="46" t="s">
        <v>1976</v>
      </c>
      <c r="P1434" s="47"/>
      <c r="Q1434" s="47"/>
      <c r="R1434" s="48" t="s">
        <v>1976</v>
      </c>
    </row>
    <row r="1435">
      <c r="B1435" s="45"/>
      <c r="N1435" s="46" t="str">
        <f>IFERROR(__xludf.DUMMYFUNCTION("""COMPUTED_VALUE"""),"")</f>
        <v/>
      </c>
      <c r="O1435" s="46" t="s">
        <v>1976</v>
      </c>
      <c r="P1435" s="47"/>
      <c r="Q1435" s="47"/>
      <c r="R1435" s="48" t="s">
        <v>1976</v>
      </c>
    </row>
    <row r="1436">
      <c r="B1436" s="45"/>
      <c r="N1436" s="46" t="str">
        <f>IFERROR(__xludf.DUMMYFUNCTION("""COMPUTED_VALUE"""),"")</f>
        <v/>
      </c>
      <c r="O1436" s="46" t="s">
        <v>1976</v>
      </c>
      <c r="P1436" s="47"/>
      <c r="Q1436" s="47"/>
      <c r="R1436" s="48" t="s">
        <v>1976</v>
      </c>
    </row>
    <row r="1437">
      <c r="B1437" s="45"/>
      <c r="N1437" s="46" t="str">
        <f>IFERROR(__xludf.DUMMYFUNCTION("""COMPUTED_VALUE"""),"")</f>
        <v/>
      </c>
      <c r="O1437" s="46" t="s">
        <v>1976</v>
      </c>
      <c r="P1437" s="47"/>
      <c r="Q1437" s="47"/>
      <c r="R1437" s="48" t="s">
        <v>1976</v>
      </c>
    </row>
    <row r="1438">
      <c r="B1438" s="45"/>
      <c r="N1438" s="46" t="str">
        <f>IFERROR(__xludf.DUMMYFUNCTION("""COMPUTED_VALUE"""),"")</f>
        <v/>
      </c>
      <c r="O1438" s="46" t="s">
        <v>1976</v>
      </c>
      <c r="P1438" s="47"/>
      <c r="Q1438" s="47"/>
      <c r="R1438" s="48" t="s">
        <v>1976</v>
      </c>
    </row>
    <row r="1439">
      <c r="B1439" s="45"/>
      <c r="N1439" s="46" t="str">
        <f>IFERROR(__xludf.DUMMYFUNCTION("""COMPUTED_VALUE"""),"")</f>
        <v/>
      </c>
      <c r="O1439" s="46" t="s">
        <v>1976</v>
      </c>
      <c r="P1439" s="47"/>
      <c r="Q1439" s="47"/>
      <c r="R1439" s="48" t="s">
        <v>1976</v>
      </c>
    </row>
    <row r="1440">
      <c r="B1440" s="45"/>
      <c r="N1440" s="46" t="str">
        <f>IFERROR(__xludf.DUMMYFUNCTION("""COMPUTED_VALUE"""),"")</f>
        <v/>
      </c>
      <c r="O1440" s="46" t="s">
        <v>1976</v>
      </c>
      <c r="P1440" s="47"/>
      <c r="Q1440" s="47"/>
      <c r="R1440" s="48" t="s">
        <v>1976</v>
      </c>
    </row>
    <row r="1441">
      <c r="B1441" s="45"/>
      <c r="N1441" s="46" t="str">
        <f>IFERROR(__xludf.DUMMYFUNCTION("""COMPUTED_VALUE"""),"")</f>
        <v/>
      </c>
      <c r="O1441" s="46" t="s">
        <v>1976</v>
      </c>
      <c r="P1441" s="47"/>
      <c r="Q1441" s="47"/>
      <c r="R1441" s="48" t="s">
        <v>1976</v>
      </c>
    </row>
    <row r="1442">
      <c r="B1442" s="45"/>
      <c r="N1442" s="46" t="str">
        <f>IFERROR(__xludf.DUMMYFUNCTION("""COMPUTED_VALUE"""),"")</f>
        <v/>
      </c>
      <c r="O1442" s="46" t="s">
        <v>1976</v>
      </c>
      <c r="P1442" s="47"/>
      <c r="Q1442" s="47"/>
      <c r="R1442" s="48" t="s">
        <v>1976</v>
      </c>
    </row>
    <row r="1443">
      <c r="B1443" s="45"/>
      <c r="N1443" s="46" t="str">
        <f>IFERROR(__xludf.DUMMYFUNCTION("""COMPUTED_VALUE"""),"")</f>
        <v/>
      </c>
      <c r="O1443" s="46" t="s">
        <v>1976</v>
      </c>
      <c r="P1443" s="47"/>
      <c r="Q1443" s="47"/>
      <c r="R1443" s="48" t="s">
        <v>1976</v>
      </c>
    </row>
    <row r="1444">
      <c r="B1444" s="45"/>
      <c r="N1444" s="46" t="str">
        <f>IFERROR(__xludf.DUMMYFUNCTION("""COMPUTED_VALUE"""),"")</f>
        <v/>
      </c>
      <c r="O1444" s="46" t="s">
        <v>1976</v>
      </c>
      <c r="P1444" s="47"/>
      <c r="Q1444" s="47"/>
      <c r="R1444" s="48" t="s">
        <v>1976</v>
      </c>
    </row>
    <row r="1445">
      <c r="B1445" s="45"/>
      <c r="N1445" s="46" t="str">
        <f>IFERROR(__xludf.DUMMYFUNCTION("""COMPUTED_VALUE"""),"")</f>
        <v/>
      </c>
      <c r="O1445" s="46" t="s">
        <v>1976</v>
      </c>
      <c r="P1445" s="47"/>
      <c r="Q1445" s="47"/>
      <c r="R1445" s="48" t="s">
        <v>1976</v>
      </c>
    </row>
    <row r="1446">
      <c r="B1446" s="45"/>
      <c r="N1446" s="46" t="str">
        <f>IFERROR(__xludf.DUMMYFUNCTION("""COMPUTED_VALUE"""),"")</f>
        <v/>
      </c>
      <c r="O1446" s="46" t="s">
        <v>1976</v>
      </c>
      <c r="P1446" s="47"/>
      <c r="Q1446" s="47"/>
      <c r="R1446" s="48" t="s">
        <v>1976</v>
      </c>
    </row>
    <row r="1447">
      <c r="B1447" s="45"/>
      <c r="N1447" s="46" t="str">
        <f>IFERROR(__xludf.DUMMYFUNCTION("""COMPUTED_VALUE"""),"")</f>
        <v/>
      </c>
      <c r="O1447" s="46" t="s">
        <v>1976</v>
      </c>
      <c r="P1447" s="47"/>
      <c r="Q1447" s="47"/>
      <c r="R1447" s="48" t="s">
        <v>1976</v>
      </c>
    </row>
    <row r="1448">
      <c r="B1448" s="45"/>
      <c r="N1448" s="46" t="str">
        <f>IFERROR(__xludf.DUMMYFUNCTION("""COMPUTED_VALUE"""),"")</f>
        <v/>
      </c>
      <c r="O1448" s="46" t="s">
        <v>1976</v>
      </c>
      <c r="P1448" s="47"/>
      <c r="Q1448" s="47"/>
      <c r="R1448" s="48" t="s">
        <v>1976</v>
      </c>
    </row>
    <row r="1449">
      <c r="B1449" s="45"/>
      <c r="N1449" s="46" t="str">
        <f>IFERROR(__xludf.DUMMYFUNCTION("""COMPUTED_VALUE"""),"")</f>
        <v/>
      </c>
      <c r="O1449" s="46" t="s">
        <v>1976</v>
      </c>
      <c r="P1449" s="47"/>
      <c r="Q1449" s="47"/>
      <c r="R1449" s="48" t="s">
        <v>1976</v>
      </c>
    </row>
    <row r="1450">
      <c r="B1450" s="45"/>
      <c r="N1450" s="46" t="str">
        <f>IFERROR(__xludf.DUMMYFUNCTION("""COMPUTED_VALUE"""),"")</f>
        <v/>
      </c>
      <c r="O1450" s="46" t="s">
        <v>1976</v>
      </c>
      <c r="P1450" s="47"/>
      <c r="Q1450" s="47"/>
      <c r="R1450" s="48" t="s">
        <v>1976</v>
      </c>
    </row>
    <row r="1451">
      <c r="B1451" s="45"/>
      <c r="N1451" s="46" t="str">
        <f>IFERROR(__xludf.DUMMYFUNCTION("""COMPUTED_VALUE"""),"")</f>
        <v/>
      </c>
      <c r="O1451" s="46" t="s">
        <v>1976</v>
      </c>
      <c r="P1451" s="47"/>
      <c r="Q1451" s="47"/>
      <c r="R1451" s="48" t="s">
        <v>1976</v>
      </c>
    </row>
    <row r="1452">
      <c r="B1452" s="45"/>
      <c r="N1452" s="46" t="str">
        <f>IFERROR(__xludf.DUMMYFUNCTION("""COMPUTED_VALUE"""),"")</f>
        <v/>
      </c>
      <c r="O1452" s="46" t="s">
        <v>1976</v>
      </c>
      <c r="P1452" s="47"/>
      <c r="Q1452" s="47"/>
      <c r="R1452" s="48" t="s">
        <v>1976</v>
      </c>
    </row>
    <row r="1453">
      <c r="B1453" s="45"/>
      <c r="N1453" s="46" t="str">
        <f>IFERROR(__xludf.DUMMYFUNCTION("""COMPUTED_VALUE"""),"")</f>
        <v/>
      </c>
      <c r="O1453" s="46" t="s">
        <v>1976</v>
      </c>
      <c r="P1453" s="47"/>
      <c r="Q1453" s="47"/>
      <c r="R1453" s="48" t="s">
        <v>1976</v>
      </c>
    </row>
    <row r="1454">
      <c r="B1454" s="45"/>
      <c r="N1454" s="46" t="str">
        <f>IFERROR(__xludf.DUMMYFUNCTION("""COMPUTED_VALUE"""),"")</f>
        <v/>
      </c>
      <c r="O1454" s="46" t="s">
        <v>1976</v>
      </c>
      <c r="P1454" s="47"/>
      <c r="Q1454" s="47"/>
      <c r="R1454" s="48" t="s">
        <v>1976</v>
      </c>
    </row>
    <row r="1455">
      <c r="B1455" s="45"/>
      <c r="N1455" s="46" t="str">
        <f>IFERROR(__xludf.DUMMYFUNCTION("""COMPUTED_VALUE"""),"")</f>
        <v/>
      </c>
      <c r="O1455" s="46" t="s">
        <v>1976</v>
      </c>
      <c r="P1455" s="47"/>
      <c r="Q1455" s="47"/>
      <c r="R1455" s="48" t="s">
        <v>1976</v>
      </c>
    </row>
    <row r="1456">
      <c r="B1456" s="45"/>
      <c r="N1456" s="46" t="str">
        <f>IFERROR(__xludf.DUMMYFUNCTION("""COMPUTED_VALUE"""),"")</f>
        <v/>
      </c>
      <c r="O1456" s="46" t="s">
        <v>1976</v>
      </c>
      <c r="P1456" s="47"/>
      <c r="Q1456" s="47"/>
      <c r="R1456" s="48" t="s">
        <v>1976</v>
      </c>
    </row>
    <row r="1457">
      <c r="B1457" s="45"/>
      <c r="N1457" s="46" t="str">
        <f>IFERROR(__xludf.DUMMYFUNCTION("""COMPUTED_VALUE"""),"")</f>
        <v/>
      </c>
      <c r="O1457" s="46" t="s">
        <v>1976</v>
      </c>
      <c r="P1457" s="47"/>
      <c r="Q1457" s="47"/>
      <c r="R1457" s="48" t="s">
        <v>1976</v>
      </c>
    </row>
    <row r="1458">
      <c r="B1458" s="45"/>
      <c r="N1458" s="46" t="str">
        <f>IFERROR(__xludf.DUMMYFUNCTION("""COMPUTED_VALUE"""),"")</f>
        <v/>
      </c>
      <c r="O1458" s="46" t="s">
        <v>1976</v>
      </c>
      <c r="P1458" s="47"/>
      <c r="Q1458" s="47"/>
      <c r="R1458" s="48" t="s">
        <v>1976</v>
      </c>
    </row>
    <row r="1459">
      <c r="B1459" s="45"/>
      <c r="N1459" s="46" t="str">
        <f>IFERROR(__xludf.DUMMYFUNCTION("""COMPUTED_VALUE"""),"")</f>
        <v/>
      </c>
      <c r="O1459" s="46" t="s">
        <v>1976</v>
      </c>
      <c r="P1459" s="47"/>
      <c r="Q1459" s="47"/>
      <c r="R1459" s="48" t="s">
        <v>1976</v>
      </c>
    </row>
    <row r="1460">
      <c r="B1460" s="45"/>
      <c r="N1460" s="46" t="str">
        <f>IFERROR(__xludf.DUMMYFUNCTION("""COMPUTED_VALUE"""),"")</f>
        <v/>
      </c>
      <c r="O1460" s="46" t="s">
        <v>1976</v>
      </c>
      <c r="P1460" s="47"/>
      <c r="Q1460" s="47"/>
      <c r="R1460" s="48" t="s">
        <v>1976</v>
      </c>
    </row>
    <row r="1461">
      <c r="B1461" s="45"/>
      <c r="N1461" s="46" t="str">
        <f>IFERROR(__xludf.DUMMYFUNCTION("""COMPUTED_VALUE"""),"")</f>
        <v/>
      </c>
      <c r="O1461" s="46" t="s">
        <v>1976</v>
      </c>
      <c r="P1461" s="47"/>
      <c r="Q1461" s="47"/>
      <c r="R1461" s="48" t="s">
        <v>1976</v>
      </c>
    </row>
    <row r="1462">
      <c r="B1462" s="45"/>
      <c r="N1462" s="46" t="str">
        <f>IFERROR(__xludf.DUMMYFUNCTION("""COMPUTED_VALUE"""),"")</f>
        <v/>
      </c>
      <c r="O1462" s="46" t="s">
        <v>1976</v>
      </c>
      <c r="P1462" s="47"/>
      <c r="Q1462" s="47"/>
      <c r="R1462" s="48" t="s">
        <v>1976</v>
      </c>
    </row>
    <row r="1463">
      <c r="B1463" s="45"/>
      <c r="N1463" s="46" t="str">
        <f>IFERROR(__xludf.DUMMYFUNCTION("""COMPUTED_VALUE"""),"")</f>
        <v/>
      </c>
      <c r="O1463" s="46" t="s">
        <v>1976</v>
      </c>
      <c r="P1463" s="47"/>
      <c r="Q1463" s="47"/>
      <c r="R1463" s="48" t="s">
        <v>1976</v>
      </c>
    </row>
    <row r="1464">
      <c r="B1464" s="45"/>
      <c r="N1464" s="46" t="str">
        <f>IFERROR(__xludf.DUMMYFUNCTION("""COMPUTED_VALUE"""),"")</f>
        <v/>
      </c>
      <c r="O1464" s="46" t="s">
        <v>1976</v>
      </c>
      <c r="P1464" s="47"/>
      <c r="Q1464" s="47"/>
      <c r="R1464" s="48" t="s">
        <v>1976</v>
      </c>
    </row>
    <row r="1465">
      <c r="B1465" s="45"/>
      <c r="N1465" s="46" t="str">
        <f>IFERROR(__xludf.DUMMYFUNCTION("""COMPUTED_VALUE"""),"")</f>
        <v/>
      </c>
      <c r="O1465" s="46" t="s">
        <v>1976</v>
      </c>
      <c r="P1465" s="47"/>
      <c r="Q1465" s="47"/>
      <c r="R1465" s="48" t="s">
        <v>1976</v>
      </c>
    </row>
    <row r="1466">
      <c r="B1466" s="45"/>
      <c r="N1466" s="46" t="str">
        <f>IFERROR(__xludf.DUMMYFUNCTION("""COMPUTED_VALUE"""),"")</f>
        <v/>
      </c>
      <c r="O1466" s="46" t="s">
        <v>1976</v>
      </c>
      <c r="P1466" s="47"/>
      <c r="Q1466" s="47"/>
      <c r="R1466" s="48" t="s">
        <v>1976</v>
      </c>
    </row>
    <row r="1467">
      <c r="B1467" s="45"/>
      <c r="N1467" s="46" t="str">
        <f>IFERROR(__xludf.DUMMYFUNCTION("""COMPUTED_VALUE"""),"")</f>
        <v/>
      </c>
      <c r="O1467" s="46" t="s">
        <v>1976</v>
      </c>
      <c r="P1467" s="47"/>
      <c r="Q1467" s="47"/>
      <c r="R1467" s="48" t="s">
        <v>1976</v>
      </c>
    </row>
    <row r="1468">
      <c r="B1468" s="45"/>
      <c r="N1468" s="46" t="str">
        <f>IFERROR(__xludf.DUMMYFUNCTION("""COMPUTED_VALUE"""),"")</f>
        <v/>
      </c>
      <c r="O1468" s="46" t="s">
        <v>1976</v>
      </c>
      <c r="P1468" s="47"/>
      <c r="Q1468" s="47"/>
      <c r="R1468" s="48" t="s">
        <v>1976</v>
      </c>
    </row>
    <row r="1469">
      <c r="B1469" s="45"/>
      <c r="N1469" s="46" t="str">
        <f>IFERROR(__xludf.DUMMYFUNCTION("""COMPUTED_VALUE"""),"")</f>
        <v/>
      </c>
      <c r="O1469" s="46" t="s">
        <v>1976</v>
      </c>
      <c r="P1469" s="47"/>
      <c r="Q1469" s="47"/>
      <c r="R1469" s="48" t="s">
        <v>1976</v>
      </c>
    </row>
    <row r="1470">
      <c r="B1470" s="45"/>
      <c r="N1470" s="46" t="str">
        <f>IFERROR(__xludf.DUMMYFUNCTION("""COMPUTED_VALUE"""),"")</f>
        <v/>
      </c>
      <c r="O1470" s="46" t="s">
        <v>1976</v>
      </c>
      <c r="P1470" s="47"/>
      <c r="Q1470" s="47"/>
      <c r="R1470" s="48" t="s">
        <v>1976</v>
      </c>
    </row>
    <row r="1471">
      <c r="B1471" s="45"/>
      <c r="N1471" s="46" t="str">
        <f>IFERROR(__xludf.DUMMYFUNCTION("""COMPUTED_VALUE"""),"")</f>
        <v/>
      </c>
      <c r="O1471" s="46" t="s">
        <v>1976</v>
      </c>
      <c r="P1471" s="47"/>
      <c r="Q1471" s="47"/>
      <c r="R1471" s="48" t="s">
        <v>1976</v>
      </c>
    </row>
    <row r="1472">
      <c r="B1472" s="45"/>
      <c r="N1472" s="46" t="str">
        <f>IFERROR(__xludf.DUMMYFUNCTION("""COMPUTED_VALUE"""),"")</f>
        <v/>
      </c>
      <c r="O1472" s="46" t="s">
        <v>1976</v>
      </c>
      <c r="P1472" s="47"/>
      <c r="Q1472" s="47"/>
      <c r="R1472" s="48" t="s">
        <v>1976</v>
      </c>
    </row>
    <row r="1473">
      <c r="B1473" s="45"/>
      <c r="N1473" s="46" t="str">
        <f>IFERROR(__xludf.DUMMYFUNCTION("""COMPUTED_VALUE"""),"")</f>
        <v/>
      </c>
      <c r="O1473" s="46" t="s">
        <v>1976</v>
      </c>
      <c r="P1473" s="47"/>
      <c r="Q1473" s="47"/>
      <c r="R1473" s="48" t="s">
        <v>1976</v>
      </c>
    </row>
    <row r="1474">
      <c r="B1474" s="45"/>
      <c r="N1474" s="46" t="str">
        <f>IFERROR(__xludf.DUMMYFUNCTION("""COMPUTED_VALUE"""),"")</f>
        <v/>
      </c>
      <c r="O1474" s="46" t="s">
        <v>1976</v>
      </c>
      <c r="P1474" s="47"/>
      <c r="Q1474" s="47"/>
      <c r="R1474" s="48" t="s">
        <v>1976</v>
      </c>
    </row>
    <row r="1475">
      <c r="B1475" s="45"/>
      <c r="N1475" s="46" t="str">
        <f>IFERROR(__xludf.DUMMYFUNCTION("""COMPUTED_VALUE"""),"")</f>
        <v/>
      </c>
      <c r="O1475" s="46" t="s">
        <v>1976</v>
      </c>
      <c r="P1475" s="47"/>
      <c r="Q1475" s="47"/>
      <c r="R1475" s="48" t="s">
        <v>1976</v>
      </c>
    </row>
    <row r="1476">
      <c r="B1476" s="45"/>
      <c r="N1476" s="46" t="str">
        <f>IFERROR(__xludf.DUMMYFUNCTION("""COMPUTED_VALUE"""),"")</f>
        <v/>
      </c>
      <c r="O1476" s="46" t="s">
        <v>1976</v>
      </c>
      <c r="P1476" s="47"/>
      <c r="Q1476" s="47"/>
      <c r="R1476" s="48" t="s">
        <v>1976</v>
      </c>
    </row>
    <row r="1477">
      <c r="B1477" s="45"/>
      <c r="N1477" s="46" t="str">
        <f>IFERROR(__xludf.DUMMYFUNCTION("""COMPUTED_VALUE"""),"")</f>
        <v/>
      </c>
      <c r="O1477" s="46" t="s">
        <v>1976</v>
      </c>
      <c r="P1477" s="47"/>
      <c r="Q1477" s="47"/>
      <c r="R1477" s="48" t="s">
        <v>1976</v>
      </c>
    </row>
    <row r="1478">
      <c r="B1478" s="45"/>
      <c r="N1478" s="46" t="str">
        <f>IFERROR(__xludf.DUMMYFUNCTION("""COMPUTED_VALUE"""),"")</f>
        <v/>
      </c>
      <c r="O1478" s="46" t="s">
        <v>1976</v>
      </c>
      <c r="P1478" s="47"/>
      <c r="Q1478" s="47"/>
      <c r="R1478" s="48" t="s">
        <v>1976</v>
      </c>
    </row>
    <row r="1479">
      <c r="B1479" s="45"/>
      <c r="N1479" s="46" t="str">
        <f>IFERROR(__xludf.DUMMYFUNCTION("""COMPUTED_VALUE"""),"")</f>
        <v/>
      </c>
      <c r="O1479" s="46" t="s">
        <v>1976</v>
      </c>
      <c r="P1479" s="47"/>
      <c r="Q1479" s="47"/>
      <c r="R1479" s="48" t="s">
        <v>1976</v>
      </c>
    </row>
    <row r="1480">
      <c r="B1480" s="45"/>
      <c r="N1480" s="46" t="str">
        <f>IFERROR(__xludf.DUMMYFUNCTION("""COMPUTED_VALUE"""),"")</f>
        <v/>
      </c>
      <c r="O1480" s="46" t="s">
        <v>1976</v>
      </c>
      <c r="P1480" s="47"/>
      <c r="Q1480" s="47"/>
      <c r="R1480" s="48" t="s">
        <v>1976</v>
      </c>
    </row>
    <row r="1481">
      <c r="B1481" s="45"/>
      <c r="N1481" s="46" t="str">
        <f>IFERROR(__xludf.DUMMYFUNCTION("""COMPUTED_VALUE"""),"")</f>
        <v/>
      </c>
      <c r="O1481" s="46" t="s">
        <v>1976</v>
      </c>
      <c r="P1481" s="47"/>
      <c r="Q1481" s="47"/>
      <c r="R1481" s="48" t="s">
        <v>1976</v>
      </c>
    </row>
    <row r="1482">
      <c r="B1482" s="45"/>
      <c r="N1482" s="46" t="str">
        <f>IFERROR(__xludf.DUMMYFUNCTION("""COMPUTED_VALUE"""),"")</f>
        <v/>
      </c>
      <c r="O1482" s="46" t="s">
        <v>1976</v>
      </c>
      <c r="P1482" s="47"/>
      <c r="Q1482" s="47"/>
      <c r="R1482" s="48" t="s">
        <v>1976</v>
      </c>
    </row>
    <row r="1483">
      <c r="B1483" s="45"/>
      <c r="N1483" s="46" t="str">
        <f>IFERROR(__xludf.DUMMYFUNCTION("""COMPUTED_VALUE"""),"")</f>
        <v/>
      </c>
      <c r="O1483" s="46" t="s">
        <v>1976</v>
      </c>
      <c r="P1483" s="47"/>
      <c r="Q1483" s="47"/>
      <c r="R1483" s="48" t="s">
        <v>1976</v>
      </c>
    </row>
    <row r="1484">
      <c r="B1484" s="45"/>
      <c r="N1484" s="46" t="str">
        <f>IFERROR(__xludf.DUMMYFUNCTION("""COMPUTED_VALUE"""),"")</f>
        <v/>
      </c>
      <c r="O1484" s="46" t="s">
        <v>1976</v>
      </c>
      <c r="P1484" s="47"/>
      <c r="Q1484" s="47"/>
      <c r="R1484" s="48" t="s">
        <v>1976</v>
      </c>
    </row>
    <row r="1485">
      <c r="B1485" s="45"/>
      <c r="N1485" s="46" t="str">
        <f>IFERROR(__xludf.DUMMYFUNCTION("""COMPUTED_VALUE"""),"")</f>
        <v/>
      </c>
      <c r="O1485" s="46" t="s">
        <v>1976</v>
      </c>
      <c r="P1485" s="47"/>
      <c r="Q1485" s="47"/>
      <c r="R1485" s="48" t="s">
        <v>1976</v>
      </c>
    </row>
    <row r="1486">
      <c r="B1486" s="45"/>
      <c r="N1486" s="46" t="str">
        <f>IFERROR(__xludf.DUMMYFUNCTION("""COMPUTED_VALUE"""),"")</f>
        <v/>
      </c>
      <c r="O1486" s="46" t="s">
        <v>1976</v>
      </c>
      <c r="P1486" s="47"/>
      <c r="Q1486" s="47"/>
      <c r="R1486" s="48" t="s">
        <v>1976</v>
      </c>
    </row>
    <row r="1487">
      <c r="B1487" s="45"/>
      <c r="N1487" s="46" t="str">
        <f>IFERROR(__xludf.DUMMYFUNCTION("""COMPUTED_VALUE"""),"")</f>
        <v/>
      </c>
      <c r="O1487" s="46" t="s">
        <v>1976</v>
      </c>
      <c r="P1487" s="47"/>
      <c r="Q1487" s="47"/>
      <c r="R1487" s="48" t="s">
        <v>1976</v>
      </c>
    </row>
    <row r="1488">
      <c r="B1488" s="45"/>
      <c r="N1488" s="46" t="str">
        <f>IFERROR(__xludf.DUMMYFUNCTION("""COMPUTED_VALUE"""),"")</f>
        <v/>
      </c>
      <c r="O1488" s="46" t="s">
        <v>1976</v>
      </c>
      <c r="P1488" s="47"/>
      <c r="Q1488" s="47"/>
      <c r="R1488" s="48" t="s">
        <v>1976</v>
      </c>
    </row>
    <row r="1489">
      <c r="B1489" s="45"/>
      <c r="N1489" s="46" t="str">
        <f>IFERROR(__xludf.DUMMYFUNCTION("""COMPUTED_VALUE"""),"")</f>
        <v/>
      </c>
      <c r="O1489" s="46" t="s">
        <v>1976</v>
      </c>
      <c r="P1489" s="47"/>
      <c r="Q1489" s="47"/>
      <c r="R1489" s="48" t="s">
        <v>1976</v>
      </c>
    </row>
    <row r="1490">
      <c r="B1490" s="45"/>
      <c r="N1490" s="46" t="str">
        <f>IFERROR(__xludf.DUMMYFUNCTION("""COMPUTED_VALUE"""),"")</f>
        <v/>
      </c>
      <c r="O1490" s="46" t="s">
        <v>1976</v>
      </c>
      <c r="P1490" s="47"/>
      <c r="Q1490" s="47"/>
      <c r="R1490" s="48" t="s">
        <v>1976</v>
      </c>
    </row>
    <row r="1491">
      <c r="B1491" s="45"/>
      <c r="N1491" s="46" t="str">
        <f>IFERROR(__xludf.DUMMYFUNCTION("""COMPUTED_VALUE"""),"")</f>
        <v/>
      </c>
      <c r="O1491" s="46" t="s">
        <v>1976</v>
      </c>
      <c r="P1491" s="47"/>
      <c r="Q1491" s="47"/>
      <c r="R1491" s="48" t="s">
        <v>1976</v>
      </c>
    </row>
    <row r="1492">
      <c r="B1492" s="45"/>
      <c r="N1492" s="46" t="str">
        <f>IFERROR(__xludf.DUMMYFUNCTION("""COMPUTED_VALUE"""),"")</f>
        <v/>
      </c>
      <c r="O1492" s="46" t="s">
        <v>1976</v>
      </c>
      <c r="P1492" s="47"/>
      <c r="Q1492" s="47"/>
      <c r="R1492" s="48" t="s">
        <v>1976</v>
      </c>
    </row>
    <row r="1493">
      <c r="B1493" s="45"/>
      <c r="N1493" s="46" t="str">
        <f>IFERROR(__xludf.DUMMYFUNCTION("""COMPUTED_VALUE"""),"")</f>
        <v/>
      </c>
      <c r="O1493" s="46" t="s">
        <v>1976</v>
      </c>
      <c r="P1493" s="47"/>
      <c r="Q1493" s="47"/>
      <c r="R1493" s="48" t="s">
        <v>1976</v>
      </c>
    </row>
    <row r="1494">
      <c r="B1494" s="45"/>
      <c r="N1494" s="46" t="str">
        <f>IFERROR(__xludf.DUMMYFUNCTION("""COMPUTED_VALUE"""),"")</f>
        <v/>
      </c>
      <c r="O1494" s="46" t="s">
        <v>1976</v>
      </c>
      <c r="P1494" s="47"/>
      <c r="Q1494" s="47"/>
      <c r="R1494" s="48" t="s">
        <v>1976</v>
      </c>
    </row>
    <row r="1495">
      <c r="B1495" s="45"/>
      <c r="N1495" s="46" t="str">
        <f>IFERROR(__xludf.DUMMYFUNCTION("""COMPUTED_VALUE"""),"")</f>
        <v/>
      </c>
      <c r="O1495" s="46" t="s">
        <v>1976</v>
      </c>
      <c r="P1495" s="47"/>
      <c r="Q1495" s="47"/>
      <c r="R1495" s="48" t="s">
        <v>1976</v>
      </c>
    </row>
    <row r="1496">
      <c r="B1496" s="45"/>
      <c r="N1496" s="46" t="str">
        <f>IFERROR(__xludf.DUMMYFUNCTION("""COMPUTED_VALUE"""),"")</f>
        <v/>
      </c>
      <c r="O1496" s="46" t="s">
        <v>1976</v>
      </c>
      <c r="P1496" s="47"/>
      <c r="Q1496" s="47"/>
      <c r="R1496" s="48" t="s">
        <v>1976</v>
      </c>
    </row>
    <row r="1497">
      <c r="B1497" s="45"/>
      <c r="N1497" s="46" t="str">
        <f>IFERROR(__xludf.DUMMYFUNCTION("""COMPUTED_VALUE"""),"")</f>
        <v/>
      </c>
      <c r="O1497" s="46" t="s">
        <v>1976</v>
      </c>
      <c r="P1497" s="47"/>
      <c r="Q1497" s="47"/>
      <c r="R1497" s="48" t="s">
        <v>1976</v>
      </c>
    </row>
    <row r="1498">
      <c r="B1498" s="45"/>
      <c r="N1498" s="46" t="str">
        <f>IFERROR(__xludf.DUMMYFUNCTION("""COMPUTED_VALUE"""),"")</f>
        <v/>
      </c>
      <c r="O1498" s="46" t="s">
        <v>1976</v>
      </c>
      <c r="P1498" s="47"/>
      <c r="Q1498" s="47"/>
      <c r="R1498" s="48" t="s">
        <v>1976</v>
      </c>
    </row>
    <row r="1499">
      <c r="B1499" s="45"/>
      <c r="N1499" s="46" t="str">
        <f>IFERROR(__xludf.DUMMYFUNCTION("""COMPUTED_VALUE"""),"")</f>
        <v/>
      </c>
      <c r="O1499" s="46" t="s">
        <v>1976</v>
      </c>
      <c r="P1499" s="47"/>
      <c r="Q1499" s="47"/>
      <c r="R1499" s="48" t="s">
        <v>1976</v>
      </c>
    </row>
    <row r="1500">
      <c r="B1500" s="45"/>
      <c r="N1500" s="46" t="str">
        <f>IFERROR(__xludf.DUMMYFUNCTION("""COMPUTED_VALUE"""),"")</f>
        <v/>
      </c>
      <c r="O1500" s="46" t="s">
        <v>1976</v>
      </c>
      <c r="P1500" s="47"/>
      <c r="Q1500" s="47"/>
      <c r="R1500" s="48" t="s">
        <v>1976</v>
      </c>
    </row>
    <row r="1501">
      <c r="B1501" s="45"/>
      <c r="N1501" s="46" t="str">
        <f>IFERROR(__xludf.DUMMYFUNCTION("""COMPUTED_VALUE"""),"")</f>
        <v/>
      </c>
      <c r="O1501" s="46" t="s">
        <v>1976</v>
      </c>
      <c r="P1501" s="47"/>
      <c r="Q1501" s="47"/>
      <c r="R1501" s="48" t="s">
        <v>1976</v>
      </c>
    </row>
    <row r="1502">
      <c r="B1502" s="45"/>
      <c r="N1502" s="46" t="str">
        <f>IFERROR(__xludf.DUMMYFUNCTION("""COMPUTED_VALUE"""),"")</f>
        <v/>
      </c>
      <c r="O1502" s="46" t="s">
        <v>1976</v>
      </c>
      <c r="P1502" s="47"/>
      <c r="Q1502" s="47"/>
      <c r="R1502" s="48" t="s">
        <v>1976</v>
      </c>
    </row>
    <row r="1503">
      <c r="B1503" s="45"/>
      <c r="N1503" s="46" t="str">
        <f>IFERROR(__xludf.DUMMYFUNCTION("""COMPUTED_VALUE"""),"")</f>
        <v/>
      </c>
      <c r="O1503" s="46" t="s">
        <v>1976</v>
      </c>
      <c r="P1503" s="47"/>
      <c r="Q1503" s="47"/>
      <c r="R1503" s="48" t="s">
        <v>1976</v>
      </c>
    </row>
    <row r="1504">
      <c r="B1504" s="45"/>
      <c r="N1504" s="46" t="str">
        <f>IFERROR(__xludf.DUMMYFUNCTION("""COMPUTED_VALUE"""),"")</f>
        <v/>
      </c>
      <c r="O1504" s="46" t="s">
        <v>1976</v>
      </c>
      <c r="P1504" s="47"/>
      <c r="Q1504" s="47"/>
      <c r="R1504" s="48" t="s">
        <v>1976</v>
      </c>
    </row>
    <row r="1505">
      <c r="B1505" s="45"/>
      <c r="N1505" s="46" t="str">
        <f>IFERROR(__xludf.DUMMYFUNCTION("""COMPUTED_VALUE"""),"")</f>
        <v/>
      </c>
      <c r="O1505" s="46" t="s">
        <v>1976</v>
      </c>
      <c r="P1505" s="47"/>
      <c r="Q1505" s="47"/>
      <c r="R1505" s="48" t="s">
        <v>1976</v>
      </c>
    </row>
    <row r="1506">
      <c r="B1506" s="45"/>
      <c r="N1506" s="46" t="str">
        <f>IFERROR(__xludf.DUMMYFUNCTION("""COMPUTED_VALUE"""),"")</f>
        <v/>
      </c>
      <c r="O1506" s="46" t="s">
        <v>1976</v>
      </c>
      <c r="P1506" s="47"/>
      <c r="Q1506" s="47"/>
      <c r="R1506" s="48" t="s">
        <v>1976</v>
      </c>
    </row>
    <row r="1507">
      <c r="B1507" s="45"/>
      <c r="N1507" s="46" t="str">
        <f>IFERROR(__xludf.DUMMYFUNCTION("""COMPUTED_VALUE"""),"")</f>
        <v/>
      </c>
      <c r="O1507" s="46" t="s">
        <v>1976</v>
      </c>
      <c r="P1507" s="47"/>
      <c r="Q1507" s="47"/>
      <c r="R1507" s="48" t="s">
        <v>1976</v>
      </c>
    </row>
    <row r="1508">
      <c r="B1508" s="45"/>
      <c r="N1508" s="46" t="str">
        <f>IFERROR(__xludf.DUMMYFUNCTION("""COMPUTED_VALUE"""),"")</f>
        <v/>
      </c>
      <c r="O1508" s="46" t="s">
        <v>1976</v>
      </c>
      <c r="P1508" s="47"/>
      <c r="Q1508" s="47"/>
      <c r="R1508" s="48" t="s">
        <v>1976</v>
      </c>
    </row>
    <row r="1509">
      <c r="B1509" s="45"/>
      <c r="N1509" s="46" t="str">
        <f>IFERROR(__xludf.DUMMYFUNCTION("""COMPUTED_VALUE"""),"")</f>
        <v/>
      </c>
      <c r="O1509" s="46" t="s">
        <v>1976</v>
      </c>
      <c r="P1509" s="47"/>
      <c r="Q1509" s="47"/>
      <c r="R1509" s="48" t="s">
        <v>1976</v>
      </c>
    </row>
    <row r="1510">
      <c r="B1510" s="45"/>
      <c r="N1510" s="46" t="str">
        <f>IFERROR(__xludf.DUMMYFUNCTION("""COMPUTED_VALUE"""),"")</f>
        <v/>
      </c>
      <c r="O1510" s="46" t="s">
        <v>1976</v>
      </c>
      <c r="P1510" s="47"/>
      <c r="Q1510" s="47"/>
      <c r="R1510" s="48" t="s">
        <v>1976</v>
      </c>
    </row>
    <row r="1511">
      <c r="B1511" s="45"/>
      <c r="N1511" s="46" t="str">
        <f>IFERROR(__xludf.DUMMYFUNCTION("""COMPUTED_VALUE"""),"")</f>
        <v/>
      </c>
      <c r="O1511" s="46" t="s">
        <v>1976</v>
      </c>
      <c r="P1511" s="47"/>
      <c r="Q1511" s="47"/>
      <c r="R1511" s="48" t="s">
        <v>1976</v>
      </c>
    </row>
    <row r="1512">
      <c r="B1512" s="45"/>
      <c r="N1512" s="46" t="str">
        <f>IFERROR(__xludf.DUMMYFUNCTION("""COMPUTED_VALUE"""),"")</f>
        <v/>
      </c>
      <c r="O1512" s="46" t="s">
        <v>1976</v>
      </c>
      <c r="P1512" s="47"/>
      <c r="Q1512" s="47"/>
      <c r="R1512" s="48" t="s">
        <v>1976</v>
      </c>
    </row>
    <row r="1513">
      <c r="B1513" s="45"/>
      <c r="N1513" s="46" t="str">
        <f>IFERROR(__xludf.DUMMYFUNCTION("""COMPUTED_VALUE"""),"")</f>
        <v/>
      </c>
      <c r="O1513" s="46" t="s">
        <v>1976</v>
      </c>
      <c r="P1513" s="47"/>
      <c r="Q1513" s="47"/>
      <c r="R1513" s="48" t="s">
        <v>1976</v>
      </c>
    </row>
    <row r="1514">
      <c r="B1514" s="45"/>
      <c r="N1514" s="46" t="str">
        <f>IFERROR(__xludf.DUMMYFUNCTION("""COMPUTED_VALUE"""),"")</f>
        <v/>
      </c>
      <c r="O1514" s="46" t="s">
        <v>1976</v>
      </c>
      <c r="P1514" s="47"/>
      <c r="Q1514" s="47"/>
      <c r="R1514" s="48" t="s">
        <v>1976</v>
      </c>
    </row>
    <row r="1515">
      <c r="B1515" s="45"/>
      <c r="N1515" s="46" t="str">
        <f>IFERROR(__xludf.DUMMYFUNCTION("""COMPUTED_VALUE"""),"")</f>
        <v/>
      </c>
      <c r="O1515" s="46" t="s">
        <v>1976</v>
      </c>
      <c r="P1515" s="47"/>
      <c r="Q1515" s="47"/>
      <c r="R1515" s="48" t="s">
        <v>1976</v>
      </c>
    </row>
    <row r="1516">
      <c r="B1516" s="45"/>
      <c r="N1516" s="46" t="str">
        <f>IFERROR(__xludf.DUMMYFUNCTION("""COMPUTED_VALUE"""),"")</f>
        <v/>
      </c>
      <c r="O1516" s="46" t="s">
        <v>1976</v>
      </c>
      <c r="P1516" s="47"/>
      <c r="Q1516" s="47"/>
      <c r="R1516" s="48" t="s">
        <v>1976</v>
      </c>
    </row>
    <row r="1517">
      <c r="B1517" s="45"/>
      <c r="N1517" s="46" t="str">
        <f>IFERROR(__xludf.DUMMYFUNCTION("""COMPUTED_VALUE"""),"")</f>
        <v/>
      </c>
      <c r="O1517" s="46" t="s">
        <v>1976</v>
      </c>
      <c r="P1517" s="47"/>
      <c r="Q1517" s="47"/>
      <c r="R1517" s="48" t="s">
        <v>1976</v>
      </c>
    </row>
    <row r="1518">
      <c r="B1518" s="45"/>
      <c r="N1518" s="46" t="str">
        <f>IFERROR(__xludf.DUMMYFUNCTION("""COMPUTED_VALUE"""),"")</f>
        <v/>
      </c>
      <c r="O1518" s="46" t="s">
        <v>1976</v>
      </c>
      <c r="P1518" s="47"/>
      <c r="Q1518" s="47"/>
      <c r="R1518" s="48" t="s">
        <v>1976</v>
      </c>
    </row>
    <row r="1519">
      <c r="B1519" s="45"/>
      <c r="N1519" s="46" t="str">
        <f>IFERROR(__xludf.DUMMYFUNCTION("""COMPUTED_VALUE"""),"")</f>
        <v/>
      </c>
      <c r="O1519" s="46" t="s">
        <v>1976</v>
      </c>
      <c r="P1519" s="47"/>
      <c r="Q1519" s="47"/>
      <c r="R1519" s="48" t="s">
        <v>1976</v>
      </c>
    </row>
    <row r="1520">
      <c r="B1520" s="45"/>
      <c r="N1520" s="46" t="str">
        <f>IFERROR(__xludf.DUMMYFUNCTION("""COMPUTED_VALUE"""),"")</f>
        <v/>
      </c>
      <c r="O1520" s="46" t="s">
        <v>1976</v>
      </c>
      <c r="P1520" s="47"/>
      <c r="Q1520" s="47"/>
      <c r="R1520" s="48" t="s">
        <v>1976</v>
      </c>
    </row>
    <row r="1521">
      <c r="B1521" s="45"/>
      <c r="N1521" s="46" t="str">
        <f>IFERROR(__xludf.DUMMYFUNCTION("""COMPUTED_VALUE"""),"")</f>
        <v/>
      </c>
      <c r="O1521" s="46" t="s">
        <v>1976</v>
      </c>
      <c r="P1521" s="47"/>
      <c r="Q1521" s="47"/>
      <c r="R1521" s="48" t="s">
        <v>1976</v>
      </c>
    </row>
    <row r="1522">
      <c r="B1522" s="45"/>
      <c r="N1522" s="46" t="str">
        <f>IFERROR(__xludf.DUMMYFUNCTION("""COMPUTED_VALUE"""),"")</f>
        <v/>
      </c>
      <c r="O1522" s="46" t="s">
        <v>1976</v>
      </c>
      <c r="P1522" s="47"/>
      <c r="Q1522" s="47"/>
      <c r="R1522" s="48" t="s">
        <v>1976</v>
      </c>
    </row>
    <row r="1523">
      <c r="B1523" s="45"/>
      <c r="N1523" s="46" t="str">
        <f>IFERROR(__xludf.DUMMYFUNCTION("""COMPUTED_VALUE"""),"")</f>
        <v/>
      </c>
      <c r="O1523" s="46" t="s">
        <v>1976</v>
      </c>
      <c r="P1523" s="47"/>
      <c r="Q1523" s="47"/>
      <c r="R1523" s="48" t="s">
        <v>1976</v>
      </c>
    </row>
    <row r="1524">
      <c r="B1524" s="45"/>
      <c r="N1524" s="46" t="str">
        <f>IFERROR(__xludf.DUMMYFUNCTION("""COMPUTED_VALUE"""),"")</f>
        <v/>
      </c>
      <c r="O1524" s="46" t="s">
        <v>1976</v>
      </c>
      <c r="P1524" s="47"/>
      <c r="Q1524" s="47"/>
      <c r="R1524" s="48" t="s">
        <v>1976</v>
      </c>
    </row>
    <row r="1525">
      <c r="B1525" s="45"/>
      <c r="N1525" s="46" t="str">
        <f>IFERROR(__xludf.DUMMYFUNCTION("""COMPUTED_VALUE"""),"")</f>
        <v/>
      </c>
      <c r="O1525" s="46" t="s">
        <v>1976</v>
      </c>
      <c r="P1525" s="47"/>
      <c r="Q1525" s="47"/>
      <c r="R1525" s="48" t="s">
        <v>1976</v>
      </c>
    </row>
    <row r="1526">
      <c r="B1526" s="45"/>
      <c r="N1526" s="46" t="str">
        <f>IFERROR(__xludf.DUMMYFUNCTION("""COMPUTED_VALUE"""),"")</f>
        <v/>
      </c>
      <c r="O1526" s="46" t="s">
        <v>1976</v>
      </c>
      <c r="P1526" s="47"/>
      <c r="Q1526" s="47"/>
      <c r="R1526" s="48" t="s">
        <v>1976</v>
      </c>
    </row>
    <row r="1527">
      <c r="B1527" s="45"/>
      <c r="N1527" s="46" t="str">
        <f>IFERROR(__xludf.DUMMYFUNCTION("""COMPUTED_VALUE"""),"")</f>
        <v/>
      </c>
      <c r="O1527" s="46" t="s">
        <v>1976</v>
      </c>
      <c r="P1527" s="47"/>
      <c r="Q1527" s="47"/>
      <c r="R1527" s="48" t="s">
        <v>1976</v>
      </c>
    </row>
    <row r="1528">
      <c r="B1528" s="45"/>
      <c r="N1528" s="46" t="str">
        <f>IFERROR(__xludf.DUMMYFUNCTION("""COMPUTED_VALUE"""),"")</f>
        <v/>
      </c>
      <c r="O1528" s="46" t="s">
        <v>1976</v>
      </c>
      <c r="P1528" s="47"/>
      <c r="Q1528" s="47"/>
      <c r="R1528" s="48" t="s">
        <v>1976</v>
      </c>
    </row>
    <row r="1529">
      <c r="B1529" s="45"/>
      <c r="N1529" s="46" t="str">
        <f>IFERROR(__xludf.DUMMYFUNCTION("""COMPUTED_VALUE"""),"")</f>
        <v/>
      </c>
      <c r="O1529" s="46" t="s">
        <v>1976</v>
      </c>
      <c r="P1529" s="47"/>
      <c r="Q1529" s="47"/>
      <c r="R1529" s="48" t="s">
        <v>1976</v>
      </c>
    </row>
    <row r="1530">
      <c r="B1530" s="45"/>
      <c r="N1530" s="46" t="str">
        <f>IFERROR(__xludf.DUMMYFUNCTION("""COMPUTED_VALUE"""),"")</f>
        <v/>
      </c>
      <c r="O1530" s="46" t="s">
        <v>1976</v>
      </c>
      <c r="P1530" s="47"/>
      <c r="Q1530" s="47"/>
      <c r="R1530" s="48" t="s">
        <v>1976</v>
      </c>
    </row>
    <row r="1531">
      <c r="B1531" s="45"/>
      <c r="N1531" s="46" t="str">
        <f>IFERROR(__xludf.DUMMYFUNCTION("""COMPUTED_VALUE"""),"")</f>
        <v/>
      </c>
      <c r="O1531" s="46" t="s">
        <v>1976</v>
      </c>
      <c r="P1531" s="47"/>
      <c r="Q1531" s="47"/>
      <c r="R1531" s="48" t="s">
        <v>1976</v>
      </c>
    </row>
    <row r="1532">
      <c r="B1532" s="45"/>
      <c r="N1532" s="46" t="str">
        <f>IFERROR(__xludf.DUMMYFUNCTION("""COMPUTED_VALUE"""),"")</f>
        <v/>
      </c>
      <c r="O1532" s="46" t="s">
        <v>1976</v>
      </c>
      <c r="P1532" s="47"/>
      <c r="Q1532" s="47"/>
      <c r="R1532" s="48" t="s">
        <v>1976</v>
      </c>
    </row>
    <row r="1533">
      <c r="B1533" s="45"/>
      <c r="N1533" s="46" t="str">
        <f>IFERROR(__xludf.DUMMYFUNCTION("""COMPUTED_VALUE"""),"")</f>
        <v/>
      </c>
      <c r="O1533" s="46" t="s">
        <v>1976</v>
      </c>
      <c r="P1533" s="47"/>
      <c r="Q1533" s="47"/>
      <c r="R1533" s="48" t="s">
        <v>1976</v>
      </c>
    </row>
    <row r="1534">
      <c r="B1534" s="45"/>
      <c r="N1534" s="46" t="str">
        <f>IFERROR(__xludf.DUMMYFUNCTION("""COMPUTED_VALUE"""),"")</f>
        <v/>
      </c>
      <c r="O1534" s="46" t="s">
        <v>1976</v>
      </c>
      <c r="P1534" s="47"/>
      <c r="Q1534" s="47"/>
      <c r="R1534" s="48" t="s">
        <v>1976</v>
      </c>
    </row>
    <row r="1535">
      <c r="B1535" s="45"/>
      <c r="N1535" s="46" t="str">
        <f>IFERROR(__xludf.DUMMYFUNCTION("""COMPUTED_VALUE"""),"")</f>
        <v/>
      </c>
      <c r="O1535" s="46" t="s">
        <v>1976</v>
      </c>
      <c r="P1535" s="47"/>
      <c r="Q1535" s="47"/>
      <c r="R1535" s="48" t="s">
        <v>1976</v>
      </c>
    </row>
    <row r="1536">
      <c r="B1536" s="45"/>
      <c r="N1536" s="46" t="str">
        <f>IFERROR(__xludf.DUMMYFUNCTION("""COMPUTED_VALUE"""),"")</f>
        <v/>
      </c>
      <c r="O1536" s="46" t="s">
        <v>1976</v>
      </c>
      <c r="P1536" s="47"/>
      <c r="Q1536" s="47"/>
      <c r="R1536" s="48" t="s">
        <v>1976</v>
      </c>
    </row>
    <row r="1537">
      <c r="B1537" s="45"/>
      <c r="N1537" s="46" t="str">
        <f>IFERROR(__xludf.DUMMYFUNCTION("""COMPUTED_VALUE"""),"")</f>
        <v/>
      </c>
      <c r="O1537" s="46" t="s">
        <v>1976</v>
      </c>
      <c r="P1537" s="47"/>
      <c r="Q1537" s="47"/>
      <c r="R1537" s="48" t="s">
        <v>1976</v>
      </c>
    </row>
    <row r="1538">
      <c r="B1538" s="45"/>
      <c r="N1538" s="46" t="str">
        <f>IFERROR(__xludf.DUMMYFUNCTION("""COMPUTED_VALUE"""),"")</f>
        <v/>
      </c>
      <c r="O1538" s="46" t="s">
        <v>1976</v>
      </c>
      <c r="P1538" s="47"/>
      <c r="Q1538" s="47"/>
      <c r="R1538" s="48" t="s">
        <v>1976</v>
      </c>
    </row>
    <row r="1539">
      <c r="B1539" s="45"/>
      <c r="N1539" s="46" t="str">
        <f>IFERROR(__xludf.DUMMYFUNCTION("""COMPUTED_VALUE"""),"")</f>
        <v/>
      </c>
      <c r="O1539" s="46" t="s">
        <v>1976</v>
      </c>
      <c r="P1539" s="47"/>
      <c r="Q1539" s="47"/>
      <c r="R1539" s="48" t="s">
        <v>1976</v>
      </c>
    </row>
    <row r="1540">
      <c r="B1540" s="45"/>
      <c r="N1540" s="46" t="str">
        <f>IFERROR(__xludf.DUMMYFUNCTION("""COMPUTED_VALUE"""),"")</f>
        <v/>
      </c>
      <c r="O1540" s="46" t="s">
        <v>1976</v>
      </c>
      <c r="P1540" s="47"/>
      <c r="Q1540" s="47"/>
      <c r="R1540" s="48" t="s">
        <v>1976</v>
      </c>
    </row>
    <row r="1541">
      <c r="B1541" s="45"/>
      <c r="N1541" s="46" t="str">
        <f>IFERROR(__xludf.DUMMYFUNCTION("""COMPUTED_VALUE"""),"")</f>
        <v/>
      </c>
      <c r="O1541" s="46" t="s">
        <v>1976</v>
      </c>
      <c r="P1541" s="47"/>
      <c r="Q1541" s="47"/>
      <c r="R1541" s="48" t="s">
        <v>1976</v>
      </c>
    </row>
    <row r="1542">
      <c r="B1542" s="45"/>
      <c r="N1542" s="46" t="str">
        <f>IFERROR(__xludf.DUMMYFUNCTION("""COMPUTED_VALUE"""),"")</f>
        <v/>
      </c>
      <c r="O1542" s="46" t="s">
        <v>1976</v>
      </c>
      <c r="P1542" s="47"/>
      <c r="Q1542" s="47"/>
      <c r="R1542" s="48" t="s">
        <v>1976</v>
      </c>
    </row>
    <row r="1543">
      <c r="B1543" s="45"/>
      <c r="N1543" s="46" t="str">
        <f>IFERROR(__xludf.DUMMYFUNCTION("""COMPUTED_VALUE"""),"")</f>
        <v/>
      </c>
      <c r="O1543" s="46" t="s">
        <v>1976</v>
      </c>
      <c r="P1543" s="47"/>
      <c r="Q1543" s="47"/>
      <c r="R1543" s="48" t="s">
        <v>1976</v>
      </c>
    </row>
    <row r="1544">
      <c r="B1544" s="45"/>
      <c r="N1544" s="46" t="str">
        <f>IFERROR(__xludf.DUMMYFUNCTION("""COMPUTED_VALUE"""),"")</f>
        <v/>
      </c>
      <c r="O1544" s="46" t="s">
        <v>1976</v>
      </c>
      <c r="P1544" s="47"/>
      <c r="Q1544" s="47"/>
      <c r="R1544" s="48" t="s">
        <v>1976</v>
      </c>
    </row>
    <row r="1545">
      <c r="B1545" s="45"/>
      <c r="N1545" s="46" t="str">
        <f>IFERROR(__xludf.DUMMYFUNCTION("""COMPUTED_VALUE"""),"")</f>
        <v/>
      </c>
      <c r="O1545" s="46" t="s">
        <v>1976</v>
      </c>
      <c r="P1545" s="47"/>
      <c r="Q1545" s="47"/>
      <c r="R1545" s="48" t="s">
        <v>1976</v>
      </c>
    </row>
    <row r="1546">
      <c r="B1546" s="45"/>
      <c r="N1546" s="46" t="str">
        <f>IFERROR(__xludf.DUMMYFUNCTION("""COMPUTED_VALUE"""),"")</f>
        <v/>
      </c>
      <c r="O1546" s="46" t="s">
        <v>1976</v>
      </c>
      <c r="P1546" s="47"/>
      <c r="Q1546" s="47"/>
      <c r="R1546" s="48" t="s">
        <v>1976</v>
      </c>
    </row>
    <row r="1547">
      <c r="B1547" s="45"/>
      <c r="N1547" s="46" t="str">
        <f>IFERROR(__xludf.DUMMYFUNCTION("""COMPUTED_VALUE"""),"")</f>
        <v/>
      </c>
      <c r="O1547" s="46" t="s">
        <v>1976</v>
      </c>
      <c r="P1547" s="47"/>
      <c r="Q1547" s="47"/>
      <c r="R1547" s="48" t="s">
        <v>1976</v>
      </c>
    </row>
    <row r="1548">
      <c r="B1548" s="45"/>
      <c r="N1548" s="46" t="str">
        <f>IFERROR(__xludf.DUMMYFUNCTION("""COMPUTED_VALUE"""),"")</f>
        <v/>
      </c>
      <c r="O1548" s="46" t="s">
        <v>1976</v>
      </c>
      <c r="P1548" s="47"/>
      <c r="Q1548" s="47"/>
      <c r="R1548" s="48" t="s">
        <v>1976</v>
      </c>
    </row>
    <row r="1549">
      <c r="B1549" s="45"/>
      <c r="N1549" s="46" t="str">
        <f>IFERROR(__xludf.DUMMYFUNCTION("""COMPUTED_VALUE"""),"")</f>
        <v/>
      </c>
      <c r="O1549" s="46" t="s">
        <v>1976</v>
      </c>
      <c r="P1549" s="47"/>
      <c r="Q1549" s="47"/>
      <c r="R1549" s="48" t="s">
        <v>1976</v>
      </c>
    </row>
    <row r="1550">
      <c r="B1550" s="45"/>
      <c r="N1550" s="46" t="str">
        <f>IFERROR(__xludf.DUMMYFUNCTION("""COMPUTED_VALUE"""),"")</f>
        <v/>
      </c>
      <c r="O1550" s="46" t="s">
        <v>1976</v>
      </c>
      <c r="P1550" s="47"/>
      <c r="Q1550" s="47"/>
      <c r="R1550" s="48" t="s">
        <v>1976</v>
      </c>
    </row>
    <row r="1551">
      <c r="B1551" s="45"/>
      <c r="N1551" s="46" t="str">
        <f>IFERROR(__xludf.DUMMYFUNCTION("""COMPUTED_VALUE"""),"")</f>
        <v/>
      </c>
      <c r="O1551" s="46" t="s">
        <v>1976</v>
      </c>
      <c r="P1551" s="47"/>
      <c r="Q1551" s="47"/>
      <c r="R1551" s="48" t="s">
        <v>1976</v>
      </c>
    </row>
    <row r="1552">
      <c r="B1552" s="45"/>
      <c r="N1552" s="46" t="str">
        <f>IFERROR(__xludf.DUMMYFUNCTION("""COMPUTED_VALUE"""),"")</f>
        <v/>
      </c>
      <c r="O1552" s="46" t="s">
        <v>1976</v>
      </c>
      <c r="P1552" s="47"/>
      <c r="Q1552" s="47"/>
      <c r="R1552" s="48" t="s">
        <v>1976</v>
      </c>
    </row>
    <row r="1553">
      <c r="B1553" s="45"/>
      <c r="N1553" s="46" t="str">
        <f>IFERROR(__xludf.DUMMYFUNCTION("""COMPUTED_VALUE"""),"")</f>
        <v/>
      </c>
      <c r="O1553" s="46" t="s">
        <v>1976</v>
      </c>
      <c r="P1553" s="47"/>
      <c r="Q1553" s="47"/>
      <c r="R1553" s="48" t="s">
        <v>1976</v>
      </c>
    </row>
    <row r="1554">
      <c r="B1554" s="45"/>
      <c r="N1554" s="46" t="str">
        <f>IFERROR(__xludf.DUMMYFUNCTION("""COMPUTED_VALUE"""),"")</f>
        <v/>
      </c>
      <c r="O1554" s="46" t="s">
        <v>1976</v>
      </c>
      <c r="P1554" s="47"/>
      <c r="Q1554" s="47"/>
      <c r="R1554" s="48" t="s">
        <v>1976</v>
      </c>
    </row>
    <row r="1555">
      <c r="B1555" s="45"/>
      <c r="N1555" s="46" t="str">
        <f>IFERROR(__xludf.DUMMYFUNCTION("""COMPUTED_VALUE"""),"")</f>
        <v/>
      </c>
      <c r="O1555" s="46" t="s">
        <v>1976</v>
      </c>
      <c r="P1555" s="47"/>
      <c r="Q1555" s="47"/>
      <c r="R1555" s="48" t="s">
        <v>1976</v>
      </c>
    </row>
    <row r="1556">
      <c r="B1556" s="45"/>
      <c r="N1556" s="46" t="str">
        <f>IFERROR(__xludf.DUMMYFUNCTION("""COMPUTED_VALUE"""),"")</f>
        <v/>
      </c>
      <c r="O1556" s="46" t="s">
        <v>1976</v>
      </c>
      <c r="P1556" s="47"/>
      <c r="Q1556" s="47"/>
      <c r="R1556" s="48" t="s">
        <v>1976</v>
      </c>
    </row>
    <row r="1557">
      <c r="B1557" s="45"/>
      <c r="N1557" s="46" t="str">
        <f>IFERROR(__xludf.DUMMYFUNCTION("""COMPUTED_VALUE"""),"")</f>
        <v/>
      </c>
      <c r="O1557" s="46" t="s">
        <v>1976</v>
      </c>
      <c r="P1557" s="47"/>
      <c r="Q1557" s="47"/>
      <c r="R1557" s="48" t="s">
        <v>1976</v>
      </c>
    </row>
    <row r="1558">
      <c r="B1558" s="45"/>
      <c r="N1558" s="46" t="str">
        <f>IFERROR(__xludf.DUMMYFUNCTION("""COMPUTED_VALUE"""),"")</f>
        <v/>
      </c>
      <c r="O1558" s="46" t="s">
        <v>1976</v>
      </c>
      <c r="P1558" s="47"/>
      <c r="Q1558" s="47"/>
      <c r="R1558" s="48" t="s">
        <v>1976</v>
      </c>
    </row>
    <row r="1559">
      <c r="B1559" s="45"/>
      <c r="N1559" s="46" t="str">
        <f>IFERROR(__xludf.DUMMYFUNCTION("""COMPUTED_VALUE"""),"")</f>
        <v/>
      </c>
      <c r="O1559" s="46" t="s">
        <v>1976</v>
      </c>
      <c r="P1559" s="47"/>
      <c r="Q1559" s="47"/>
      <c r="R1559" s="48" t="s">
        <v>1976</v>
      </c>
    </row>
    <row r="1560">
      <c r="B1560" s="45"/>
      <c r="N1560" s="46" t="str">
        <f>IFERROR(__xludf.DUMMYFUNCTION("""COMPUTED_VALUE"""),"")</f>
        <v/>
      </c>
      <c r="O1560" s="46" t="s">
        <v>1976</v>
      </c>
      <c r="P1560" s="47"/>
      <c r="Q1560" s="47"/>
      <c r="R1560" s="48" t="s">
        <v>1976</v>
      </c>
    </row>
    <row r="1561">
      <c r="B1561" s="45"/>
      <c r="N1561" s="46" t="str">
        <f>IFERROR(__xludf.DUMMYFUNCTION("""COMPUTED_VALUE"""),"")</f>
        <v/>
      </c>
      <c r="O1561" s="46" t="s">
        <v>1976</v>
      </c>
      <c r="P1561" s="47"/>
      <c r="Q1561" s="47"/>
      <c r="R1561" s="48" t="s">
        <v>1976</v>
      </c>
    </row>
    <row r="1562">
      <c r="B1562" s="45"/>
      <c r="N1562" s="46" t="str">
        <f>IFERROR(__xludf.DUMMYFUNCTION("""COMPUTED_VALUE"""),"")</f>
        <v/>
      </c>
      <c r="O1562" s="46" t="s">
        <v>1976</v>
      </c>
      <c r="P1562" s="47"/>
      <c r="Q1562" s="47"/>
      <c r="R1562" s="48" t="s">
        <v>1976</v>
      </c>
    </row>
    <row r="1563">
      <c r="B1563" s="45"/>
      <c r="N1563" s="46" t="str">
        <f>IFERROR(__xludf.DUMMYFUNCTION("""COMPUTED_VALUE"""),"")</f>
        <v/>
      </c>
      <c r="O1563" s="46" t="s">
        <v>1976</v>
      </c>
      <c r="P1563" s="47"/>
      <c r="Q1563" s="47"/>
      <c r="R1563" s="48" t="s">
        <v>1976</v>
      </c>
    </row>
    <row r="1564">
      <c r="B1564" s="45"/>
      <c r="N1564" s="46" t="str">
        <f>IFERROR(__xludf.DUMMYFUNCTION("""COMPUTED_VALUE"""),"")</f>
        <v/>
      </c>
      <c r="O1564" s="46" t="s">
        <v>1976</v>
      </c>
      <c r="P1564" s="47"/>
      <c r="Q1564" s="47"/>
      <c r="R1564" s="48" t="s">
        <v>1976</v>
      </c>
    </row>
    <row r="1565">
      <c r="B1565" s="45"/>
      <c r="N1565" s="46" t="str">
        <f>IFERROR(__xludf.DUMMYFUNCTION("""COMPUTED_VALUE"""),"")</f>
        <v/>
      </c>
      <c r="O1565" s="46" t="s">
        <v>1976</v>
      </c>
      <c r="P1565" s="47"/>
      <c r="Q1565" s="47"/>
      <c r="R1565" s="48" t="s">
        <v>1976</v>
      </c>
    </row>
    <row r="1566">
      <c r="B1566" s="45"/>
      <c r="N1566" s="46" t="str">
        <f>IFERROR(__xludf.DUMMYFUNCTION("""COMPUTED_VALUE"""),"")</f>
        <v/>
      </c>
      <c r="O1566" s="46" t="s">
        <v>1976</v>
      </c>
      <c r="P1566" s="47"/>
      <c r="Q1566" s="47"/>
      <c r="R1566" s="48" t="s">
        <v>1976</v>
      </c>
    </row>
    <row r="1567">
      <c r="B1567" s="45"/>
      <c r="N1567" s="46" t="str">
        <f>IFERROR(__xludf.DUMMYFUNCTION("""COMPUTED_VALUE"""),"")</f>
        <v/>
      </c>
      <c r="O1567" s="46" t="s">
        <v>1976</v>
      </c>
      <c r="P1567" s="47"/>
      <c r="Q1567" s="47"/>
      <c r="R1567" s="48" t="s">
        <v>1976</v>
      </c>
    </row>
    <row r="1568">
      <c r="B1568" s="45"/>
      <c r="N1568" s="46" t="str">
        <f>IFERROR(__xludf.DUMMYFUNCTION("""COMPUTED_VALUE"""),"")</f>
        <v/>
      </c>
      <c r="O1568" s="46" t="s">
        <v>1976</v>
      </c>
      <c r="P1568" s="47"/>
      <c r="Q1568" s="47"/>
      <c r="R1568" s="48" t="s">
        <v>1976</v>
      </c>
    </row>
    <row r="1569">
      <c r="B1569" s="45"/>
      <c r="N1569" s="46" t="str">
        <f>IFERROR(__xludf.DUMMYFUNCTION("""COMPUTED_VALUE"""),"")</f>
        <v/>
      </c>
      <c r="O1569" s="46" t="s">
        <v>1976</v>
      </c>
      <c r="P1569" s="47"/>
      <c r="Q1569" s="47"/>
      <c r="R1569" s="48" t="s">
        <v>1976</v>
      </c>
    </row>
    <row r="1570">
      <c r="B1570" s="45"/>
      <c r="N1570" s="46" t="str">
        <f>IFERROR(__xludf.DUMMYFUNCTION("""COMPUTED_VALUE"""),"")</f>
        <v/>
      </c>
      <c r="O1570" s="46" t="s">
        <v>1976</v>
      </c>
      <c r="P1570" s="47"/>
      <c r="Q1570" s="47"/>
      <c r="R1570" s="48" t="s">
        <v>1976</v>
      </c>
    </row>
    <row r="1571">
      <c r="B1571" s="45"/>
      <c r="N1571" s="46" t="str">
        <f>IFERROR(__xludf.DUMMYFUNCTION("""COMPUTED_VALUE"""),"")</f>
        <v/>
      </c>
      <c r="O1571" s="46" t="s">
        <v>1976</v>
      </c>
      <c r="P1571" s="47"/>
      <c r="Q1571" s="47"/>
      <c r="R1571" s="48" t="s">
        <v>1976</v>
      </c>
    </row>
    <row r="1572">
      <c r="B1572" s="45"/>
      <c r="N1572" s="46" t="str">
        <f>IFERROR(__xludf.DUMMYFUNCTION("""COMPUTED_VALUE"""),"")</f>
        <v/>
      </c>
      <c r="O1572" s="46" t="s">
        <v>1976</v>
      </c>
      <c r="P1572" s="47"/>
      <c r="Q1572" s="47"/>
      <c r="R1572" s="48" t="s">
        <v>1976</v>
      </c>
    </row>
    <row r="1573">
      <c r="B1573" s="45"/>
      <c r="N1573" s="46" t="str">
        <f>IFERROR(__xludf.DUMMYFUNCTION("""COMPUTED_VALUE"""),"")</f>
        <v/>
      </c>
      <c r="O1573" s="46" t="s">
        <v>1976</v>
      </c>
      <c r="P1573" s="47"/>
      <c r="Q1573" s="47"/>
      <c r="R1573" s="48" t="s">
        <v>1976</v>
      </c>
    </row>
    <row r="1574">
      <c r="B1574" s="45"/>
      <c r="N1574" s="46" t="str">
        <f>IFERROR(__xludf.DUMMYFUNCTION("""COMPUTED_VALUE"""),"")</f>
        <v/>
      </c>
      <c r="O1574" s="46" t="s">
        <v>1976</v>
      </c>
      <c r="P1574" s="47"/>
      <c r="Q1574" s="47"/>
      <c r="R1574" s="48" t="s">
        <v>1976</v>
      </c>
    </row>
    <row r="1575">
      <c r="B1575" s="45"/>
      <c r="N1575" s="46" t="str">
        <f>IFERROR(__xludf.DUMMYFUNCTION("""COMPUTED_VALUE"""),"")</f>
        <v/>
      </c>
      <c r="O1575" s="46" t="s">
        <v>1976</v>
      </c>
      <c r="P1575" s="47"/>
      <c r="Q1575" s="47"/>
      <c r="R1575" s="48" t="s">
        <v>1976</v>
      </c>
    </row>
    <row r="1576">
      <c r="B1576" s="45"/>
      <c r="N1576" s="46" t="str">
        <f>IFERROR(__xludf.DUMMYFUNCTION("""COMPUTED_VALUE"""),"")</f>
        <v/>
      </c>
      <c r="O1576" s="46" t="s">
        <v>1976</v>
      </c>
      <c r="P1576" s="47"/>
      <c r="Q1576" s="47"/>
      <c r="R1576" s="48" t="s">
        <v>1976</v>
      </c>
    </row>
    <row r="1577">
      <c r="B1577" s="45"/>
      <c r="N1577" s="46" t="str">
        <f>IFERROR(__xludf.DUMMYFUNCTION("""COMPUTED_VALUE"""),"")</f>
        <v/>
      </c>
      <c r="O1577" s="46" t="s">
        <v>1976</v>
      </c>
      <c r="P1577" s="47"/>
      <c r="Q1577" s="47"/>
      <c r="R1577" s="48" t="s">
        <v>1976</v>
      </c>
    </row>
    <row r="1578">
      <c r="B1578" s="45"/>
      <c r="N1578" s="46" t="str">
        <f>IFERROR(__xludf.DUMMYFUNCTION("""COMPUTED_VALUE"""),"")</f>
        <v/>
      </c>
      <c r="O1578" s="46" t="s">
        <v>1976</v>
      </c>
      <c r="P1578" s="47"/>
      <c r="Q1578" s="47"/>
      <c r="R1578" s="48" t="s">
        <v>1976</v>
      </c>
    </row>
    <row r="1579">
      <c r="B1579" s="45"/>
      <c r="N1579" s="46" t="str">
        <f>IFERROR(__xludf.DUMMYFUNCTION("""COMPUTED_VALUE"""),"")</f>
        <v/>
      </c>
      <c r="O1579" s="46" t="s">
        <v>1976</v>
      </c>
      <c r="P1579" s="47"/>
      <c r="Q1579" s="47"/>
      <c r="R1579" s="48" t="s">
        <v>1976</v>
      </c>
    </row>
    <row r="1580">
      <c r="B1580" s="45"/>
      <c r="N1580" s="46" t="str">
        <f>IFERROR(__xludf.DUMMYFUNCTION("""COMPUTED_VALUE"""),"")</f>
        <v/>
      </c>
      <c r="O1580" s="46" t="s">
        <v>1976</v>
      </c>
      <c r="P1580" s="47"/>
      <c r="Q1580" s="47"/>
      <c r="R1580" s="48" t="s">
        <v>1976</v>
      </c>
    </row>
    <row r="1581">
      <c r="B1581" s="45"/>
      <c r="N1581" s="46" t="str">
        <f>IFERROR(__xludf.DUMMYFUNCTION("""COMPUTED_VALUE"""),"")</f>
        <v/>
      </c>
      <c r="O1581" s="46" t="s">
        <v>1976</v>
      </c>
      <c r="P1581" s="47"/>
      <c r="Q1581" s="47"/>
      <c r="R1581" s="48" t="s">
        <v>1976</v>
      </c>
    </row>
    <row r="1582">
      <c r="B1582" s="45"/>
      <c r="N1582" s="46" t="str">
        <f>IFERROR(__xludf.DUMMYFUNCTION("""COMPUTED_VALUE"""),"")</f>
        <v/>
      </c>
      <c r="O1582" s="46" t="s">
        <v>1976</v>
      </c>
      <c r="P1582" s="47"/>
      <c r="Q1582" s="47"/>
      <c r="R1582" s="48" t="s">
        <v>1976</v>
      </c>
    </row>
    <row r="1583">
      <c r="B1583" s="45"/>
      <c r="N1583" s="46" t="str">
        <f>IFERROR(__xludf.DUMMYFUNCTION("""COMPUTED_VALUE"""),"")</f>
        <v/>
      </c>
      <c r="O1583" s="46" t="s">
        <v>1976</v>
      </c>
      <c r="P1583" s="47"/>
      <c r="Q1583" s="47"/>
      <c r="R1583" s="48" t="s">
        <v>1976</v>
      </c>
    </row>
    <row r="1584">
      <c r="B1584" s="45"/>
      <c r="N1584" s="46" t="str">
        <f>IFERROR(__xludf.DUMMYFUNCTION("""COMPUTED_VALUE"""),"")</f>
        <v/>
      </c>
      <c r="O1584" s="46" t="s">
        <v>1976</v>
      </c>
      <c r="P1584" s="47"/>
      <c r="Q1584" s="47"/>
      <c r="R1584" s="48" t="s">
        <v>1976</v>
      </c>
    </row>
    <row r="1585">
      <c r="B1585" s="45"/>
      <c r="N1585" s="46" t="str">
        <f>IFERROR(__xludf.DUMMYFUNCTION("""COMPUTED_VALUE"""),"")</f>
        <v/>
      </c>
      <c r="O1585" s="46" t="s">
        <v>1976</v>
      </c>
      <c r="P1585" s="47"/>
      <c r="Q1585" s="47"/>
      <c r="R1585" s="48" t="s">
        <v>1976</v>
      </c>
    </row>
    <row r="1586">
      <c r="B1586" s="45"/>
      <c r="N1586" s="46" t="str">
        <f>IFERROR(__xludf.DUMMYFUNCTION("""COMPUTED_VALUE"""),"")</f>
        <v/>
      </c>
      <c r="O1586" s="46" t="s">
        <v>1976</v>
      </c>
      <c r="P1586" s="47"/>
      <c r="Q1586" s="47"/>
      <c r="R1586" s="48" t="s">
        <v>1976</v>
      </c>
    </row>
    <row r="1587">
      <c r="B1587" s="45"/>
      <c r="N1587" s="46" t="str">
        <f>IFERROR(__xludf.DUMMYFUNCTION("""COMPUTED_VALUE"""),"")</f>
        <v/>
      </c>
      <c r="O1587" s="46" t="s">
        <v>1976</v>
      </c>
      <c r="P1587" s="47"/>
      <c r="Q1587" s="47"/>
      <c r="R1587" s="48" t="s">
        <v>1976</v>
      </c>
    </row>
    <row r="1588">
      <c r="B1588" s="45"/>
      <c r="N1588" s="46" t="str">
        <f>IFERROR(__xludf.DUMMYFUNCTION("""COMPUTED_VALUE"""),"")</f>
        <v/>
      </c>
      <c r="O1588" s="46" t="s">
        <v>1976</v>
      </c>
      <c r="P1588" s="47"/>
      <c r="Q1588" s="47"/>
      <c r="R1588" s="48" t="s">
        <v>1976</v>
      </c>
    </row>
    <row r="1589">
      <c r="B1589" s="45"/>
      <c r="N1589" s="46" t="str">
        <f>IFERROR(__xludf.DUMMYFUNCTION("""COMPUTED_VALUE"""),"")</f>
        <v/>
      </c>
      <c r="O1589" s="46" t="s">
        <v>1976</v>
      </c>
      <c r="P1589" s="47"/>
      <c r="Q1589" s="47"/>
      <c r="R1589" s="48" t="s">
        <v>1976</v>
      </c>
    </row>
    <row r="1590">
      <c r="B1590" s="45"/>
      <c r="N1590" s="46" t="str">
        <f>IFERROR(__xludf.DUMMYFUNCTION("""COMPUTED_VALUE"""),"")</f>
        <v/>
      </c>
      <c r="O1590" s="46" t="s">
        <v>1976</v>
      </c>
      <c r="P1590" s="47"/>
      <c r="Q1590" s="47"/>
      <c r="R1590" s="48" t="s">
        <v>1976</v>
      </c>
    </row>
    <row r="1591">
      <c r="B1591" s="45"/>
      <c r="N1591" s="46" t="str">
        <f>IFERROR(__xludf.DUMMYFUNCTION("""COMPUTED_VALUE"""),"")</f>
        <v/>
      </c>
      <c r="O1591" s="46" t="s">
        <v>1976</v>
      </c>
      <c r="P1591" s="47"/>
      <c r="Q1591" s="47"/>
      <c r="R1591" s="48" t="s">
        <v>1976</v>
      </c>
    </row>
    <row r="1592">
      <c r="B1592" s="45"/>
      <c r="N1592" s="46" t="str">
        <f>IFERROR(__xludf.DUMMYFUNCTION("""COMPUTED_VALUE"""),"")</f>
        <v/>
      </c>
      <c r="O1592" s="46" t="s">
        <v>1976</v>
      </c>
      <c r="P1592" s="47"/>
      <c r="Q1592" s="47"/>
      <c r="R1592" s="48" t="s">
        <v>1976</v>
      </c>
    </row>
    <row r="1593">
      <c r="B1593" s="45"/>
      <c r="N1593" s="46" t="str">
        <f>IFERROR(__xludf.DUMMYFUNCTION("""COMPUTED_VALUE"""),"")</f>
        <v/>
      </c>
      <c r="O1593" s="46" t="s">
        <v>1976</v>
      </c>
      <c r="P1593" s="47"/>
      <c r="Q1593" s="47"/>
      <c r="R1593" s="48" t="s">
        <v>1976</v>
      </c>
    </row>
    <row r="1594">
      <c r="B1594" s="45"/>
      <c r="N1594" s="46" t="str">
        <f>IFERROR(__xludf.DUMMYFUNCTION("""COMPUTED_VALUE"""),"")</f>
        <v/>
      </c>
      <c r="O1594" s="46" t="s">
        <v>1976</v>
      </c>
      <c r="P1594" s="47"/>
      <c r="Q1594" s="47"/>
      <c r="R1594" s="48" t="s">
        <v>1976</v>
      </c>
    </row>
    <row r="1595">
      <c r="B1595" s="45"/>
      <c r="N1595" s="46" t="str">
        <f>IFERROR(__xludf.DUMMYFUNCTION("""COMPUTED_VALUE"""),"")</f>
        <v/>
      </c>
      <c r="O1595" s="46" t="s">
        <v>1976</v>
      </c>
      <c r="P1595" s="47"/>
      <c r="Q1595" s="47"/>
      <c r="R1595" s="48" t="s">
        <v>1976</v>
      </c>
    </row>
    <row r="1596">
      <c r="B1596" s="45"/>
      <c r="N1596" s="46" t="str">
        <f>IFERROR(__xludf.DUMMYFUNCTION("""COMPUTED_VALUE"""),"")</f>
        <v/>
      </c>
      <c r="O1596" s="46" t="s">
        <v>1976</v>
      </c>
      <c r="P1596" s="47"/>
      <c r="Q1596" s="47"/>
      <c r="R1596" s="48" t="s">
        <v>1976</v>
      </c>
    </row>
    <row r="1597">
      <c r="B1597" s="45"/>
      <c r="N1597" s="46" t="str">
        <f>IFERROR(__xludf.DUMMYFUNCTION("""COMPUTED_VALUE"""),"")</f>
        <v/>
      </c>
      <c r="O1597" s="46" t="s">
        <v>1976</v>
      </c>
      <c r="P1597" s="47"/>
      <c r="Q1597" s="47"/>
      <c r="R1597" s="48" t="s">
        <v>1976</v>
      </c>
    </row>
    <row r="1598">
      <c r="B1598" s="45"/>
      <c r="N1598" s="46" t="str">
        <f>IFERROR(__xludf.DUMMYFUNCTION("""COMPUTED_VALUE"""),"")</f>
        <v/>
      </c>
      <c r="O1598" s="46" t="s">
        <v>1976</v>
      </c>
      <c r="P1598" s="47"/>
      <c r="Q1598" s="47"/>
      <c r="R1598" s="48" t="s">
        <v>1976</v>
      </c>
    </row>
    <row r="1599">
      <c r="B1599" s="45"/>
      <c r="N1599" s="46" t="str">
        <f>IFERROR(__xludf.DUMMYFUNCTION("""COMPUTED_VALUE"""),"")</f>
        <v/>
      </c>
      <c r="O1599" s="46" t="s">
        <v>1976</v>
      </c>
      <c r="P1599" s="47"/>
      <c r="Q1599" s="47"/>
      <c r="R1599" s="48" t="s">
        <v>1976</v>
      </c>
    </row>
    <row r="1600">
      <c r="B1600" s="45"/>
      <c r="N1600" s="46" t="str">
        <f>IFERROR(__xludf.DUMMYFUNCTION("""COMPUTED_VALUE"""),"")</f>
        <v/>
      </c>
      <c r="O1600" s="46" t="s">
        <v>1976</v>
      </c>
      <c r="P1600" s="47"/>
      <c r="Q1600" s="47"/>
      <c r="R1600" s="48" t="s">
        <v>1976</v>
      </c>
    </row>
    <row r="1601">
      <c r="B1601" s="45"/>
      <c r="N1601" s="46" t="str">
        <f>IFERROR(__xludf.DUMMYFUNCTION("""COMPUTED_VALUE"""),"")</f>
        <v/>
      </c>
      <c r="O1601" s="46" t="s">
        <v>1976</v>
      </c>
      <c r="P1601" s="47"/>
      <c r="Q1601" s="47"/>
      <c r="R1601" s="48" t="s">
        <v>1976</v>
      </c>
    </row>
    <row r="1602">
      <c r="B1602" s="45"/>
      <c r="N1602" s="46" t="str">
        <f>IFERROR(__xludf.DUMMYFUNCTION("""COMPUTED_VALUE"""),"")</f>
        <v/>
      </c>
      <c r="O1602" s="46" t="s">
        <v>1976</v>
      </c>
      <c r="P1602" s="47"/>
      <c r="Q1602" s="47"/>
      <c r="R1602" s="48" t="s">
        <v>1976</v>
      </c>
    </row>
    <row r="1603">
      <c r="B1603" s="45"/>
      <c r="N1603" s="46" t="str">
        <f>IFERROR(__xludf.DUMMYFUNCTION("""COMPUTED_VALUE"""),"")</f>
        <v/>
      </c>
      <c r="O1603" s="46" t="s">
        <v>1976</v>
      </c>
      <c r="P1603" s="47"/>
      <c r="Q1603" s="47"/>
      <c r="R1603" s="48" t="s">
        <v>1976</v>
      </c>
    </row>
    <row r="1604">
      <c r="B1604" s="45"/>
      <c r="N1604" s="46" t="str">
        <f>IFERROR(__xludf.DUMMYFUNCTION("""COMPUTED_VALUE"""),"")</f>
        <v/>
      </c>
      <c r="O1604" s="46" t="s">
        <v>1976</v>
      </c>
      <c r="P1604" s="47"/>
      <c r="Q1604" s="47"/>
      <c r="R1604" s="48" t="s">
        <v>1976</v>
      </c>
    </row>
    <row r="1605">
      <c r="B1605" s="45"/>
      <c r="N1605" s="46" t="str">
        <f>IFERROR(__xludf.DUMMYFUNCTION("""COMPUTED_VALUE"""),"")</f>
        <v/>
      </c>
      <c r="O1605" s="46" t="s">
        <v>1976</v>
      </c>
      <c r="P1605" s="47"/>
      <c r="Q1605" s="47"/>
      <c r="R1605" s="48" t="s">
        <v>1976</v>
      </c>
    </row>
    <row r="1606">
      <c r="B1606" s="45"/>
      <c r="N1606" s="46" t="str">
        <f>IFERROR(__xludf.DUMMYFUNCTION("""COMPUTED_VALUE"""),"")</f>
        <v/>
      </c>
      <c r="O1606" s="46" t="s">
        <v>1976</v>
      </c>
      <c r="P1606" s="47"/>
      <c r="Q1606" s="47"/>
      <c r="R1606" s="48" t="s">
        <v>1976</v>
      </c>
    </row>
    <row r="1607">
      <c r="B1607" s="45"/>
      <c r="N1607" s="46" t="str">
        <f>IFERROR(__xludf.DUMMYFUNCTION("""COMPUTED_VALUE"""),"")</f>
        <v/>
      </c>
      <c r="O1607" s="46" t="s">
        <v>1976</v>
      </c>
      <c r="P1607" s="47"/>
      <c r="Q1607" s="47"/>
      <c r="R1607" s="48" t="s">
        <v>1976</v>
      </c>
    </row>
    <row r="1608">
      <c r="B1608" s="45"/>
      <c r="N1608" s="46" t="str">
        <f>IFERROR(__xludf.DUMMYFUNCTION("""COMPUTED_VALUE"""),"")</f>
        <v/>
      </c>
      <c r="O1608" s="46" t="s">
        <v>1976</v>
      </c>
      <c r="P1608" s="47"/>
      <c r="Q1608" s="47"/>
      <c r="R1608" s="48" t="s">
        <v>1976</v>
      </c>
    </row>
    <row r="1609">
      <c r="B1609" s="45"/>
      <c r="N1609" s="46" t="str">
        <f>IFERROR(__xludf.DUMMYFUNCTION("""COMPUTED_VALUE"""),"")</f>
        <v/>
      </c>
      <c r="O1609" s="46" t="s">
        <v>1976</v>
      </c>
      <c r="P1609" s="47"/>
      <c r="Q1609" s="47"/>
      <c r="R1609" s="48" t="s">
        <v>1976</v>
      </c>
    </row>
    <row r="1610">
      <c r="B1610" s="45"/>
      <c r="N1610" s="46" t="str">
        <f>IFERROR(__xludf.DUMMYFUNCTION("""COMPUTED_VALUE"""),"")</f>
        <v/>
      </c>
      <c r="O1610" s="46" t="s">
        <v>1976</v>
      </c>
      <c r="P1610" s="47"/>
      <c r="Q1610" s="47"/>
      <c r="R1610" s="48" t="s">
        <v>1976</v>
      </c>
    </row>
    <row r="1611">
      <c r="B1611" s="45"/>
      <c r="N1611" s="46" t="str">
        <f>IFERROR(__xludf.DUMMYFUNCTION("""COMPUTED_VALUE"""),"")</f>
        <v/>
      </c>
      <c r="O1611" s="46" t="s">
        <v>1976</v>
      </c>
      <c r="P1611" s="47"/>
      <c r="Q1611" s="47"/>
      <c r="R1611" s="48" t="s">
        <v>1976</v>
      </c>
    </row>
    <row r="1612">
      <c r="B1612" s="45"/>
      <c r="N1612" s="46" t="str">
        <f>IFERROR(__xludf.DUMMYFUNCTION("""COMPUTED_VALUE"""),"")</f>
        <v/>
      </c>
      <c r="O1612" s="46" t="s">
        <v>1976</v>
      </c>
      <c r="P1612" s="47"/>
      <c r="Q1612" s="47"/>
      <c r="R1612" s="48" t="s">
        <v>1976</v>
      </c>
    </row>
    <row r="1613">
      <c r="B1613" s="45"/>
      <c r="N1613" s="46" t="str">
        <f>IFERROR(__xludf.DUMMYFUNCTION("""COMPUTED_VALUE"""),"")</f>
        <v/>
      </c>
      <c r="O1613" s="46" t="s">
        <v>1976</v>
      </c>
      <c r="P1613" s="47"/>
      <c r="Q1613" s="47"/>
      <c r="R1613" s="48" t="s">
        <v>1976</v>
      </c>
    </row>
    <row r="1614">
      <c r="B1614" s="45"/>
      <c r="N1614" s="46" t="str">
        <f>IFERROR(__xludf.DUMMYFUNCTION("""COMPUTED_VALUE"""),"")</f>
        <v/>
      </c>
      <c r="O1614" s="46" t="s">
        <v>1976</v>
      </c>
      <c r="P1614" s="47"/>
      <c r="Q1614" s="47"/>
      <c r="R1614" s="48" t="s">
        <v>1976</v>
      </c>
    </row>
    <row r="1615">
      <c r="B1615" s="45"/>
      <c r="N1615" s="46" t="str">
        <f>IFERROR(__xludf.DUMMYFUNCTION("""COMPUTED_VALUE"""),"")</f>
        <v/>
      </c>
      <c r="O1615" s="46" t="s">
        <v>1976</v>
      </c>
      <c r="P1615" s="47"/>
      <c r="Q1615" s="47"/>
      <c r="R1615" s="48" t="s">
        <v>1976</v>
      </c>
    </row>
    <row r="1616">
      <c r="B1616" s="45"/>
      <c r="N1616" s="46" t="str">
        <f>IFERROR(__xludf.DUMMYFUNCTION("""COMPUTED_VALUE"""),"")</f>
        <v/>
      </c>
      <c r="O1616" s="46" t="s">
        <v>1976</v>
      </c>
      <c r="P1616" s="47"/>
      <c r="Q1616" s="47"/>
      <c r="R1616" s="48" t="s">
        <v>1976</v>
      </c>
    </row>
    <row r="1617">
      <c r="B1617" s="45"/>
      <c r="N1617" s="46" t="str">
        <f>IFERROR(__xludf.DUMMYFUNCTION("""COMPUTED_VALUE"""),"")</f>
        <v/>
      </c>
      <c r="O1617" s="46" t="s">
        <v>1976</v>
      </c>
      <c r="P1617" s="47"/>
      <c r="Q1617" s="47"/>
      <c r="R1617" s="48" t="s">
        <v>1976</v>
      </c>
    </row>
    <row r="1618">
      <c r="B1618" s="45"/>
      <c r="N1618" s="46" t="str">
        <f>IFERROR(__xludf.DUMMYFUNCTION("""COMPUTED_VALUE"""),"")</f>
        <v/>
      </c>
      <c r="O1618" s="46" t="s">
        <v>1976</v>
      </c>
      <c r="P1618" s="47"/>
      <c r="Q1618" s="47"/>
      <c r="R1618" s="48" t="s">
        <v>1976</v>
      </c>
    </row>
    <row r="1619">
      <c r="B1619" s="45"/>
      <c r="N1619" s="46" t="str">
        <f>IFERROR(__xludf.DUMMYFUNCTION("""COMPUTED_VALUE"""),"")</f>
        <v/>
      </c>
      <c r="O1619" s="46" t="s">
        <v>1976</v>
      </c>
      <c r="P1619" s="47"/>
      <c r="Q1619" s="47"/>
      <c r="R1619" s="48" t="s">
        <v>1976</v>
      </c>
    </row>
    <row r="1620">
      <c r="B1620" s="45"/>
      <c r="N1620" s="46" t="str">
        <f>IFERROR(__xludf.DUMMYFUNCTION("""COMPUTED_VALUE"""),"")</f>
        <v/>
      </c>
      <c r="O1620" s="46" t="s">
        <v>1976</v>
      </c>
      <c r="P1620" s="47"/>
      <c r="Q1620" s="47"/>
      <c r="R1620" s="48" t="s">
        <v>1976</v>
      </c>
    </row>
    <row r="1621">
      <c r="B1621" s="45"/>
      <c r="N1621" s="46" t="str">
        <f>IFERROR(__xludf.DUMMYFUNCTION("""COMPUTED_VALUE"""),"")</f>
        <v/>
      </c>
      <c r="O1621" s="46" t="s">
        <v>1976</v>
      </c>
      <c r="P1621" s="47"/>
      <c r="Q1621" s="47"/>
      <c r="R1621" s="48" t="s">
        <v>1976</v>
      </c>
    </row>
    <row r="1622">
      <c r="B1622" s="45"/>
      <c r="N1622" s="46" t="str">
        <f>IFERROR(__xludf.DUMMYFUNCTION("""COMPUTED_VALUE"""),"")</f>
        <v/>
      </c>
      <c r="O1622" s="46" t="s">
        <v>1976</v>
      </c>
      <c r="P1622" s="47"/>
      <c r="Q1622" s="47"/>
      <c r="R1622" s="48" t="s">
        <v>1976</v>
      </c>
    </row>
    <row r="1623">
      <c r="B1623" s="45"/>
      <c r="N1623" s="46" t="str">
        <f>IFERROR(__xludf.DUMMYFUNCTION("""COMPUTED_VALUE"""),"")</f>
        <v/>
      </c>
      <c r="O1623" s="46" t="s">
        <v>1976</v>
      </c>
      <c r="P1623" s="47"/>
      <c r="Q1623" s="47"/>
      <c r="R1623" s="48" t="s">
        <v>1976</v>
      </c>
    </row>
    <row r="1624">
      <c r="B1624" s="45"/>
      <c r="N1624" s="46" t="str">
        <f>IFERROR(__xludf.DUMMYFUNCTION("""COMPUTED_VALUE"""),"")</f>
        <v/>
      </c>
      <c r="O1624" s="46" t="s">
        <v>1976</v>
      </c>
      <c r="P1624" s="47"/>
      <c r="Q1624" s="47"/>
      <c r="R1624" s="48" t="s">
        <v>1976</v>
      </c>
    </row>
    <row r="1625">
      <c r="B1625" s="45"/>
      <c r="N1625" s="46" t="str">
        <f>IFERROR(__xludf.DUMMYFUNCTION("""COMPUTED_VALUE"""),"")</f>
        <v/>
      </c>
      <c r="O1625" s="46" t="s">
        <v>1976</v>
      </c>
      <c r="P1625" s="47"/>
      <c r="Q1625" s="47"/>
      <c r="R1625" s="48" t="s">
        <v>1976</v>
      </c>
    </row>
    <row r="1626">
      <c r="B1626" s="45"/>
      <c r="N1626" s="46" t="str">
        <f>IFERROR(__xludf.DUMMYFUNCTION("""COMPUTED_VALUE"""),"")</f>
        <v/>
      </c>
      <c r="O1626" s="46" t="s">
        <v>1976</v>
      </c>
      <c r="P1626" s="47"/>
      <c r="Q1626" s="47"/>
      <c r="R1626" s="48" t="s">
        <v>1976</v>
      </c>
    </row>
    <row r="1627">
      <c r="B1627" s="45"/>
      <c r="N1627" s="46" t="str">
        <f>IFERROR(__xludf.DUMMYFUNCTION("""COMPUTED_VALUE"""),"")</f>
        <v/>
      </c>
      <c r="O1627" s="46" t="s">
        <v>1976</v>
      </c>
      <c r="P1627" s="47"/>
      <c r="Q1627" s="47"/>
      <c r="R1627" s="48" t="s">
        <v>1976</v>
      </c>
    </row>
    <row r="1628">
      <c r="B1628" s="45"/>
      <c r="N1628" s="46" t="str">
        <f>IFERROR(__xludf.DUMMYFUNCTION("""COMPUTED_VALUE"""),"")</f>
        <v/>
      </c>
      <c r="O1628" s="46" t="s">
        <v>1976</v>
      </c>
      <c r="P1628" s="47"/>
      <c r="Q1628" s="47"/>
      <c r="R1628" s="48" t="s">
        <v>1976</v>
      </c>
    </row>
    <row r="1629">
      <c r="B1629" s="45"/>
      <c r="N1629" s="46" t="str">
        <f>IFERROR(__xludf.DUMMYFUNCTION("""COMPUTED_VALUE"""),"")</f>
        <v/>
      </c>
      <c r="O1629" s="46" t="s">
        <v>1976</v>
      </c>
      <c r="P1629" s="47"/>
      <c r="Q1629" s="47"/>
      <c r="R1629" s="48" t="s">
        <v>1976</v>
      </c>
    </row>
    <row r="1630">
      <c r="B1630" s="45"/>
      <c r="N1630" s="46" t="str">
        <f>IFERROR(__xludf.DUMMYFUNCTION("""COMPUTED_VALUE"""),"")</f>
        <v/>
      </c>
      <c r="O1630" s="46" t="s">
        <v>1976</v>
      </c>
      <c r="P1630" s="47"/>
      <c r="Q1630" s="47"/>
      <c r="R1630" s="48" t="s">
        <v>1976</v>
      </c>
    </row>
    <row r="1631">
      <c r="B1631" s="45"/>
      <c r="N1631" s="46" t="str">
        <f>IFERROR(__xludf.DUMMYFUNCTION("""COMPUTED_VALUE"""),"")</f>
        <v/>
      </c>
      <c r="O1631" s="46" t="s">
        <v>1976</v>
      </c>
      <c r="P1631" s="47"/>
      <c r="Q1631" s="47"/>
      <c r="R1631" s="48" t="s">
        <v>1976</v>
      </c>
    </row>
    <row r="1632">
      <c r="B1632" s="45"/>
      <c r="N1632" s="46" t="str">
        <f>IFERROR(__xludf.DUMMYFUNCTION("""COMPUTED_VALUE"""),"")</f>
        <v/>
      </c>
      <c r="O1632" s="46" t="s">
        <v>1976</v>
      </c>
      <c r="P1632" s="47"/>
      <c r="Q1632" s="47"/>
      <c r="R1632" s="48" t="s">
        <v>1976</v>
      </c>
    </row>
    <row r="1633">
      <c r="B1633" s="45"/>
      <c r="N1633" s="46" t="str">
        <f>IFERROR(__xludf.DUMMYFUNCTION("""COMPUTED_VALUE"""),"")</f>
        <v/>
      </c>
      <c r="O1633" s="46" t="s">
        <v>1976</v>
      </c>
      <c r="P1633" s="47"/>
      <c r="Q1633" s="47"/>
      <c r="R1633" s="48" t="s">
        <v>1976</v>
      </c>
    </row>
    <row r="1634">
      <c r="B1634" s="45"/>
      <c r="N1634" s="46" t="str">
        <f>IFERROR(__xludf.DUMMYFUNCTION("""COMPUTED_VALUE"""),"")</f>
        <v/>
      </c>
      <c r="O1634" s="46" t="s">
        <v>1976</v>
      </c>
      <c r="P1634" s="47"/>
      <c r="Q1634" s="47"/>
      <c r="R1634" s="48" t="s">
        <v>1976</v>
      </c>
    </row>
    <row r="1635">
      <c r="B1635" s="45"/>
      <c r="N1635" s="46" t="str">
        <f>IFERROR(__xludf.DUMMYFUNCTION("""COMPUTED_VALUE"""),"")</f>
        <v/>
      </c>
      <c r="O1635" s="46" t="s">
        <v>1976</v>
      </c>
      <c r="P1635" s="47"/>
      <c r="Q1635" s="47"/>
      <c r="R1635" s="48" t="s">
        <v>1976</v>
      </c>
    </row>
    <row r="1636">
      <c r="B1636" s="45"/>
      <c r="N1636" s="46" t="str">
        <f>IFERROR(__xludf.DUMMYFUNCTION("""COMPUTED_VALUE"""),"")</f>
        <v/>
      </c>
      <c r="O1636" s="46" t="s">
        <v>1976</v>
      </c>
      <c r="P1636" s="47"/>
      <c r="Q1636" s="47"/>
      <c r="R1636" s="48" t="s">
        <v>1976</v>
      </c>
    </row>
    <row r="1637">
      <c r="B1637" s="45"/>
      <c r="N1637" s="46" t="str">
        <f>IFERROR(__xludf.DUMMYFUNCTION("""COMPUTED_VALUE"""),"")</f>
        <v/>
      </c>
      <c r="O1637" s="46" t="s">
        <v>1976</v>
      </c>
      <c r="P1637" s="47"/>
      <c r="Q1637" s="47"/>
      <c r="R1637" s="48" t="s">
        <v>1976</v>
      </c>
    </row>
    <row r="1638">
      <c r="B1638" s="45"/>
      <c r="N1638" s="46" t="str">
        <f>IFERROR(__xludf.DUMMYFUNCTION("""COMPUTED_VALUE"""),"")</f>
        <v/>
      </c>
      <c r="O1638" s="46" t="s">
        <v>1976</v>
      </c>
      <c r="P1638" s="47"/>
      <c r="Q1638" s="47"/>
      <c r="R1638" s="48" t="s">
        <v>1976</v>
      </c>
    </row>
    <row r="1639">
      <c r="B1639" s="45"/>
      <c r="N1639" s="46" t="str">
        <f>IFERROR(__xludf.DUMMYFUNCTION("""COMPUTED_VALUE"""),"")</f>
        <v/>
      </c>
      <c r="O1639" s="46" t="s">
        <v>1976</v>
      </c>
      <c r="P1639" s="47"/>
      <c r="Q1639" s="47"/>
      <c r="R1639" s="48" t="s">
        <v>1976</v>
      </c>
    </row>
    <row r="1640">
      <c r="B1640" s="45"/>
      <c r="N1640" s="46" t="str">
        <f>IFERROR(__xludf.DUMMYFUNCTION("""COMPUTED_VALUE"""),"")</f>
        <v/>
      </c>
      <c r="O1640" s="46" t="s">
        <v>1976</v>
      </c>
      <c r="P1640" s="47"/>
      <c r="Q1640" s="47"/>
      <c r="R1640" s="48" t="s">
        <v>1976</v>
      </c>
    </row>
    <row r="1641">
      <c r="B1641" s="45"/>
      <c r="N1641" s="46" t="str">
        <f>IFERROR(__xludf.DUMMYFUNCTION("""COMPUTED_VALUE"""),"")</f>
        <v/>
      </c>
      <c r="O1641" s="46" t="s">
        <v>1976</v>
      </c>
      <c r="P1641" s="47"/>
      <c r="Q1641" s="47"/>
      <c r="R1641" s="48" t="s">
        <v>1976</v>
      </c>
    </row>
    <row r="1642">
      <c r="B1642" s="45"/>
      <c r="N1642" s="46" t="str">
        <f>IFERROR(__xludf.DUMMYFUNCTION("""COMPUTED_VALUE"""),"")</f>
        <v/>
      </c>
      <c r="O1642" s="46" t="s">
        <v>1976</v>
      </c>
      <c r="P1642" s="47"/>
      <c r="Q1642" s="47"/>
      <c r="R1642" s="48" t="s">
        <v>1976</v>
      </c>
    </row>
    <row r="1643">
      <c r="B1643" s="45"/>
      <c r="N1643" s="46" t="str">
        <f>IFERROR(__xludf.DUMMYFUNCTION("""COMPUTED_VALUE"""),"")</f>
        <v/>
      </c>
      <c r="O1643" s="46" t="s">
        <v>1976</v>
      </c>
      <c r="P1643" s="47"/>
      <c r="Q1643" s="47"/>
      <c r="R1643" s="48" t="s">
        <v>1976</v>
      </c>
    </row>
    <row r="1644">
      <c r="B1644" s="45"/>
      <c r="N1644" s="46" t="str">
        <f>IFERROR(__xludf.DUMMYFUNCTION("""COMPUTED_VALUE"""),"")</f>
        <v/>
      </c>
      <c r="O1644" s="46" t="s">
        <v>1976</v>
      </c>
      <c r="P1644" s="47"/>
      <c r="Q1644" s="47"/>
      <c r="R1644" s="48" t="s">
        <v>1976</v>
      </c>
    </row>
    <row r="1645">
      <c r="B1645" s="45"/>
      <c r="N1645" s="46" t="str">
        <f>IFERROR(__xludf.DUMMYFUNCTION("""COMPUTED_VALUE"""),"")</f>
        <v/>
      </c>
      <c r="O1645" s="46" t="s">
        <v>1976</v>
      </c>
      <c r="P1645" s="47"/>
      <c r="Q1645" s="47"/>
      <c r="R1645" s="48" t="s">
        <v>1976</v>
      </c>
    </row>
    <row r="1646">
      <c r="B1646" s="45"/>
      <c r="N1646" s="46" t="str">
        <f>IFERROR(__xludf.DUMMYFUNCTION("""COMPUTED_VALUE"""),"")</f>
        <v/>
      </c>
      <c r="O1646" s="46" t="s">
        <v>1976</v>
      </c>
      <c r="P1646" s="47"/>
      <c r="Q1646" s="47"/>
      <c r="R1646" s="48" t="s">
        <v>1976</v>
      </c>
    </row>
    <row r="1647">
      <c r="B1647" s="45"/>
      <c r="N1647" s="46" t="str">
        <f>IFERROR(__xludf.DUMMYFUNCTION("""COMPUTED_VALUE"""),"")</f>
        <v/>
      </c>
      <c r="O1647" s="46" t="s">
        <v>1976</v>
      </c>
      <c r="P1647" s="47"/>
      <c r="Q1647" s="47"/>
      <c r="R1647" s="48" t="s">
        <v>1976</v>
      </c>
    </row>
    <row r="1648">
      <c r="B1648" s="45"/>
      <c r="N1648" s="46" t="str">
        <f>IFERROR(__xludf.DUMMYFUNCTION("""COMPUTED_VALUE"""),"")</f>
        <v/>
      </c>
      <c r="O1648" s="46" t="s">
        <v>1976</v>
      </c>
      <c r="P1648" s="47"/>
      <c r="Q1648" s="47"/>
      <c r="R1648" s="48" t="s">
        <v>1976</v>
      </c>
    </row>
    <row r="1649">
      <c r="B1649" s="45"/>
      <c r="N1649" s="46" t="str">
        <f>IFERROR(__xludf.DUMMYFUNCTION("""COMPUTED_VALUE"""),"")</f>
        <v/>
      </c>
      <c r="O1649" s="46" t="s">
        <v>1976</v>
      </c>
      <c r="P1649" s="47"/>
      <c r="Q1649" s="47"/>
      <c r="R1649" s="48" t="s">
        <v>1976</v>
      </c>
    </row>
    <row r="1650">
      <c r="B1650" s="45"/>
      <c r="N1650" s="46" t="str">
        <f>IFERROR(__xludf.DUMMYFUNCTION("""COMPUTED_VALUE"""),"")</f>
        <v/>
      </c>
      <c r="O1650" s="46" t="s">
        <v>1976</v>
      </c>
      <c r="P1650" s="47"/>
      <c r="Q1650" s="47"/>
      <c r="R1650" s="48" t="s">
        <v>1976</v>
      </c>
    </row>
    <row r="1651">
      <c r="B1651" s="45"/>
      <c r="N1651" s="46" t="str">
        <f>IFERROR(__xludf.DUMMYFUNCTION("""COMPUTED_VALUE"""),"")</f>
        <v/>
      </c>
      <c r="O1651" s="46" t="s">
        <v>1976</v>
      </c>
      <c r="P1651" s="47"/>
      <c r="Q1651" s="47"/>
      <c r="R1651" s="48" t="s">
        <v>1976</v>
      </c>
    </row>
    <row r="1652">
      <c r="B1652" s="45"/>
      <c r="N1652" s="46" t="str">
        <f>IFERROR(__xludf.DUMMYFUNCTION("""COMPUTED_VALUE"""),"")</f>
        <v/>
      </c>
      <c r="O1652" s="46" t="s">
        <v>1976</v>
      </c>
      <c r="P1652" s="47"/>
      <c r="Q1652" s="47"/>
      <c r="R1652" s="48" t="s">
        <v>1976</v>
      </c>
    </row>
    <row r="1653">
      <c r="B1653" s="45"/>
      <c r="N1653" s="46" t="str">
        <f>IFERROR(__xludf.DUMMYFUNCTION("""COMPUTED_VALUE"""),"")</f>
        <v/>
      </c>
      <c r="O1653" s="46" t="s">
        <v>1976</v>
      </c>
      <c r="P1653" s="47"/>
      <c r="Q1653" s="47"/>
      <c r="R1653" s="48" t="s">
        <v>1976</v>
      </c>
    </row>
    <row r="1654">
      <c r="B1654" s="45"/>
      <c r="N1654" s="46" t="str">
        <f>IFERROR(__xludf.DUMMYFUNCTION("""COMPUTED_VALUE"""),"")</f>
        <v/>
      </c>
      <c r="O1654" s="46" t="s">
        <v>1976</v>
      </c>
      <c r="P1654" s="47"/>
      <c r="Q1654" s="47"/>
      <c r="R1654" s="48" t="s">
        <v>1976</v>
      </c>
    </row>
    <row r="1655">
      <c r="B1655" s="45"/>
      <c r="N1655" s="46" t="str">
        <f>IFERROR(__xludf.DUMMYFUNCTION("""COMPUTED_VALUE"""),"")</f>
        <v/>
      </c>
      <c r="O1655" s="46" t="s">
        <v>1976</v>
      </c>
      <c r="P1655" s="47"/>
      <c r="Q1655" s="47"/>
      <c r="R1655" s="48" t="s">
        <v>1976</v>
      </c>
    </row>
    <row r="1656">
      <c r="B1656" s="45"/>
      <c r="N1656" s="46" t="str">
        <f>IFERROR(__xludf.DUMMYFUNCTION("""COMPUTED_VALUE"""),"")</f>
        <v/>
      </c>
      <c r="O1656" s="46" t="s">
        <v>1976</v>
      </c>
      <c r="P1656" s="47"/>
      <c r="Q1656" s="47"/>
      <c r="R1656" s="48" t="s">
        <v>1976</v>
      </c>
    </row>
    <row r="1657">
      <c r="B1657" s="45"/>
      <c r="N1657" s="46" t="str">
        <f>IFERROR(__xludf.DUMMYFUNCTION("""COMPUTED_VALUE"""),"")</f>
        <v/>
      </c>
      <c r="O1657" s="46" t="s">
        <v>1976</v>
      </c>
      <c r="P1657" s="47"/>
      <c r="Q1657" s="47"/>
      <c r="R1657" s="48" t="s">
        <v>1976</v>
      </c>
    </row>
    <row r="1658">
      <c r="B1658" s="45"/>
      <c r="N1658" s="46" t="str">
        <f>IFERROR(__xludf.DUMMYFUNCTION("""COMPUTED_VALUE"""),"")</f>
        <v/>
      </c>
      <c r="O1658" s="46" t="s">
        <v>1976</v>
      </c>
      <c r="P1658" s="47"/>
      <c r="Q1658" s="47"/>
      <c r="R1658" s="48" t="s">
        <v>1976</v>
      </c>
    </row>
    <row r="1659">
      <c r="B1659" s="45"/>
      <c r="N1659" s="46" t="str">
        <f>IFERROR(__xludf.DUMMYFUNCTION("""COMPUTED_VALUE"""),"")</f>
        <v/>
      </c>
      <c r="O1659" s="46" t="s">
        <v>1976</v>
      </c>
      <c r="P1659" s="47"/>
      <c r="Q1659" s="47"/>
      <c r="R1659" s="48" t="s">
        <v>1976</v>
      </c>
    </row>
    <row r="1660">
      <c r="B1660" s="45"/>
      <c r="N1660" s="46" t="str">
        <f>IFERROR(__xludf.DUMMYFUNCTION("""COMPUTED_VALUE"""),"")</f>
        <v/>
      </c>
      <c r="O1660" s="46" t="s">
        <v>1976</v>
      </c>
      <c r="P1660" s="47"/>
      <c r="Q1660" s="47"/>
      <c r="R1660" s="48" t="s">
        <v>1976</v>
      </c>
    </row>
    <row r="1661">
      <c r="B1661" s="45"/>
      <c r="N1661" s="46" t="str">
        <f>IFERROR(__xludf.DUMMYFUNCTION("""COMPUTED_VALUE"""),"")</f>
        <v/>
      </c>
      <c r="O1661" s="46" t="s">
        <v>1976</v>
      </c>
      <c r="P1661" s="47"/>
      <c r="Q1661" s="47"/>
      <c r="R1661" s="48" t="s">
        <v>1976</v>
      </c>
    </row>
    <row r="1662">
      <c r="B1662" s="45"/>
      <c r="N1662" s="46" t="str">
        <f>IFERROR(__xludf.DUMMYFUNCTION("""COMPUTED_VALUE"""),"")</f>
        <v/>
      </c>
      <c r="O1662" s="46" t="s">
        <v>1976</v>
      </c>
      <c r="P1662" s="47"/>
      <c r="Q1662" s="47"/>
      <c r="R1662" s="48" t="s">
        <v>1976</v>
      </c>
    </row>
    <row r="1663">
      <c r="B1663" s="45"/>
      <c r="N1663" s="46" t="str">
        <f>IFERROR(__xludf.DUMMYFUNCTION("""COMPUTED_VALUE"""),"")</f>
        <v/>
      </c>
      <c r="O1663" s="46" t="s">
        <v>1976</v>
      </c>
      <c r="P1663" s="47"/>
      <c r="Q1663" s="47"/>
      <c r="R1663" s="48" t="s">
        <v>1976</v>
      </c>
    </row>
    <row r="1664">
      <c r="B1664" s="45"/>
      <c r="N1664" s="46" t="str">
        <f>IFERROR(__xludf.DUMMYFUNCTION("""COMPUTED_VALUE"""),"")</f>
        <v/>
      </c>
      <c r="O1664" s="46" t="s">
        <v>1976</v>
      </c>
      <c r="P1664" s="47"/>
      <c r="Q1664" s="47"/>
      <c r="R1664" s="48" t="s">
        <v>1976</v>
      </c>
    </row>
    <row r="1665">
      <c r="B1665" s="45"/>
      <c r="N1665" s="46" t="str">
        <f>IFERROR(__xludf.DUMMYFUNCTION("""COMPUTED_VALUE"""),"")</f>
        <v/>
      </c>
      <c r="O1665" s="46" t="s">
        <v>1976</v>
      </c>
      <c r="P1665" s="47"/>
      <c r="Q1665" s="47"/>
      <c r="R1665" s="48" t="s">
        <v>1976</v>
      </c>
    </row>
    <row r="1666">
      <c r="B1666" s="45"/>
      <c r="N1666" s="46" t="str">
        <f>IFERROR(__xludf.DUMMYFUNCTION("""COMPUTED_VALUE"""),"")</f>
        <v/>
      </c>
      <c r="O1666" s="46" t="s">
        <v>1976</v>
      </c>
      <c r="P1666" s="47"/>
      <c r="Q1666" s="47"/>
      <c r="R1666" s="48" t="s">
        <v>1976</v>
      </c>
    </row>
    <row r="1667">
      <c r="B1667" s="45"/>
      <c r="N1667" s="46" t="str">
        <f>IFERROR(__xludf.DUMMYFUNCTION("""COMPUTED_VALUE"""),"")</f>
        <v/>
      </c>
      <c r="O1667" s="46" t="s">
        <v>1976</v>
      </c>
      <c r="P1667" s="47"/>
      <c r="Q1667" s="47"/>
      <c r="R1667" s="48" t="s">
        <v>1976</v>
      </c>
    </row>
    <row r="1668">
      <c r="B1668" s="45"/>
      <c r="N1668" s="46" t="str">
        <f>IFERROR(__xludf.DUMMYFUNCTION("""COMPUTED_VALUE"""),"")</f>
        <v/>
      </c>
      <c r="O1668" s="46" t="s">
        <v>1976</v>
      </c>
      <c r="P1668" s="47"/>
      <c r="Q1668" s="47"/>
      <c r="R1668" s="48" t="s">
        <v>1976</v>
      </c>
    </row>
    <row r="1669">
      <c r="B1669" s="45"/>
      <c r="N1669" s="46" t="str">
        <f>IFERROR(__xludf.DUMMYFUNCTION("""COMPUTED_VALUE"""),"")</f>
        <v/>
      </c>
      <c r="O1669" s="46" t="s">
        <v>1976</v>
      </c>
      <c r="P1669" s="47"/>
      <c r="Q1669" s="47"/>
      <c r="R1669" s="48" t="s">
        <v>1976</v>
      </c>
    </row>
    <row r="1670">
      <c r="B1670" s="45"/>
      <c r="N1670" s="46" t="str">
        <f>IFERROR(__xludf.DUMMYFUNCTION("""COMPUTED_VALUE"""),"")</f>
        <v/>
      </c>
      <c r="O1670" s="46" t="s">
        <v>1976</v>
      </c>
      <c r="P1670" s="47"/>
      <c r="Q1670" s="47"/>
      <c r="R1670" s="48" t="s">
        <v>1976</v>
      </c>
    </row>
    <row r="1671">
      <c r="B1671" s="45"/>
      <c r="N1671" s="46" t="str">
        <f>IFERROR(__xludf.DUMMYFUNCTION("""COMPUTED_VALUE"""),"")</f>
        <v/>
      </c>
      <c r="O1671" s="46" t="s">
        <v>1976</v>
      </c>
      <c r="P1671" s="47"/>
      <c r="Q1671" s="47"/>
      <c r="R1671" s="48" t="s">
        <v>1976</v>
      </c>
    </row>
    <row r="1672">
      <c r="B1672" s="45"/>
      <c r="N1672" s="46" t="str">
        <f>IFERROR(__xludf.DUMMYFUNCTION("""COMPUTED_VALUE"""),"")</f>
        <v/>
      </c>
      <c r="O1672" s="46" t="s">
        <v>1976</v>
      </c>
      <c r="P1672" s="47"/>
      <c r="Q1672" s="47"/>
      <c r="R1672" s="48" t="s">
        <v>1976</v>
      </c>
    </row>
    <row r="1673">
      <c r="B1673" s="45"/>
      <c r="N1673" s="46" t="str">
        <f>IFERROR(__xludf.DUMMYFUNCTION("""COMPUTED_VALUE"""),"")</f>
        <v/>
      </c>
      <c r="O1673" s="46" t="s">
        <v>1976</v>
      </c>
      <c r="P1673" s="47"/>
      <c r="Q1673" s="47"/>
      <c r="R1673" s="48" t="s">
        <v>1976</v>
      </c>
    </row>
    <row r="1674">
      <c r="B1674" s="45"/>
      <c r="N1674" s="46" t="str">
        <f>IFERROR(__xludf.DUMMYFUNCTION("""COMPUTED_VALUE"""),"")</f>
        <v/>
      </c>
      <c r="O1674" s="46" t="s">
        <v>1976</v>
      </c>
      <c r="P1674" s="47"/>
      <c r="Q1674" s="47"/>
      <c r="R1674" s="48" t="s">
        <v>1976</v>
      </c>
    </row>
    <row r="1675">
      <c r="B1675" s="45"/>
      <c r="N1675" s="46" t="str">
        <f>IFERROR(__xludf.DUMMYFUNCTION("""COMPUTED_VALUE"""),"")</f>
        <v/>
      </c>
      <c r="O1675" s="46" t="s">
        <v>1976</v>
      </c>
      <c r="P1675" s="47"/>
      <c r="Q1675" s="47"/>
      <c r="R1675" s="48" t="s">
        <v>1976</v>
      </c>
    </row>
    <row r="1676">
      <c r="B1676" s="45"/>
      <c r="N1676" s="46" t="str">
        <f>IFERROR(__xludf.DUMMYFUNCTION("""COMPUTED_VALUE"""),"")</f>
        <v/>
      </c>
      <c r="O1676" s="46" t="s">
        <v>1976</v>
      </c>
      <c r="P1676" s="47"/>
      <c r="Q1676" s="47"/>
      <c r="R1676" s="48" t="s">
        <v>1976</v>
      </c>
    </row>
    <row r="1677">
      <c r="B1677" s="45"/>
      <c r="N1677" s="46" t="str">
        <f>IFERROR(__xludf.DUMMYFUNCTION("""COMPUTED_VALUE"""),"")</f>
        <v/>
      </c>
      <c r="O1677" s="46" t="s">
        <v>1976</v>
      </c>
      <c r="P1677" s="47"/>
      <c r="Q1677" s="47"/>
      <c r="R1677" s="48" t="s">
        <v>1976</v>
      </c>
    </row>
    <row r="1678">
      <c r="B1678" s="45"/>
      <c r="N1678" s="46" t="str">
        <f>IFERROR(__xludf.DUMMYFUNCTION("""COMPUTED_VALUE"""),"")</f>
        <v/>
      </c>
      <c r="O1678" s="46" t="s">
        <v>1976</v>
      </c>
      <c r="P1678" s="47"/>
      <c r="Q1678" s="47"/>
      <c r="R1678" s="48" t="s">
        <v>1976</v>
      </c>
    </row>
    <row r="1679">
      <c r="B1679" s="45"/>
      <c r="N1679" s="46" t="str">
        <f>IFERROR(__xludf.DUMMYFUNCTION("""COMPUTED_VALUE"""),"")</f>
        <v/>
      </c>
      <c r="O1679" s="46" t="s">
        <v>1976</v>
      </c>
      <c r="P1679" s="47"/>
      <c r="Q1679" s="47"/>
      <c r="R1679" s="48" t="s">
        <v>1976</v>
      </c>
    </row>
    <row r="1680">
      <c r="B1680" s="45"/>
      <c r="N1680" s="46" t="str">
        <f>IFERROR(__xludf.DUMMYFUNCTION("""COMPUTED_VALUE"""),"")</f>
        <v/>
      </c>
      <c r="O1680" s="46" t="s">
        <v>1976</v>
      </c>
      <c r="P1680" s="47"/>
      <c r="Q1680" s="47"/>
      <c r="R1680" s="48" t="s">
        <v>1976</v>
      </c>
    </row>
    <row r="1681">
      <c r="B1681" s="45"/>
      <c r="N1681" s="46" t="str">
        <f>IFERROR(__xludf.DUMMYFUNCTION("""COMPUTED_VALUE"""),"")</f>
        <v/>
      </c>
      <c r="O1681" s="46" t="s">
        <v>1976</v>
      </c>
      <c r="P1681" s="47"/>
      <c r="Q1681" s="47"/>
      <c r="R1681" s="48" t="s">
        <v>1976</v>
      </c>
    </row>
    <row r="1682">
      <c r="B1682" s="45"/>
      <c r="N1682" s="46" t="str">
        <f>IFERROR(__xludf.DUMMYFUNCTION("""COMPUTED_VALUE"""),"")</f>
        <v/>
      </c>
      <c r="O1682" s="46" t="s">
        <v>1976</v>
      </c>
      <c r="P1682" s="47"/>
      <c r="Q1682" s="47"/>
      <c r="R1682" s="48" t="s">
        <v>1976</v>
      </c>
    </row>
    <row r="1683">
      <c r="B1683" s="45"/>
      <c r="N1683" s="46" t="str">
        <f>IFERROR(__xludf.DUMMYFUNCTION("""COMPUTED_VALUE"""),"")</f>
        <v/>
      </c>
      <c r="O1683" s="46" t="s">
        <v>1976</v>
      </c>
      <c r="P1683" s="47"/>
      <c r="Q1683" s="47"/>
      <c r="R1683" s="48" t="s">
        <v>1976</v>
      </c>
    </row>
    <row r="1684">
      <c r="B1684" s="45"/>
      <c r="N1684" s="46" t="str">
        <f>IFERROR(__xludf.DUMMYFUNCTION("""COMPUTED_VALUE"""),"")</f>
        <v/>
      </c>
      <c r="O1684" s="46" t="s">
        <v>1976</v>
      </c>
      <c r="P1684" s="47"/>
      <c r="Q1684" s="47"/>
      <c r="R1684" s="48" t="s">
        <v>1976</v>
      </c>
    </row>
    <row r="1685">
      <c r="B1685" s="45"/>
      <c r="N1685" s="46" t="str">
        <f>IFERROR(__xludf.DUMMYFUNCTION("""COMPUTED_VALUE"""),"")</f>
        <v/>
      </c>
      <c r="O1685" s="46" t="s">
        <v>1976</v>
      </c>
      <c r="P1685" s="47"/>
      <c r="Q1685" s="47"/>
      <c r="R1685" s="48" t="s">
        <v>1976</v>
      </c>
    </row>
    <row r="1686">
      <c r="B1686" s="45"/>
      <c r="N1686" s="46" t="str">
        <f>IFERROR(__xludf.DUMMYFUNCTION("""COMPUTED_VALUE"""),"")</f>
        <v/>
      </c>
      <c r="O1686" s="46" t="s">
        <v>1976</v>
      </c>
      <c r="P1686" s="47"/>
      <c r="Q1686" s="47"/>
      <c r="R1686" s="48" t="s">
        <v>1976</v>
      </c>
    </row>
    <row r="1687">
      <c r="B1687" s="45"/>
      <c r="N1687" s="46" t="str">
        <f>IFERROR(__xludf.DUMMYFUNCTION("""COMPUTED_VALUE"""),"")</f>
        <v/>
      </c>
      <c r="O1687" s="46" t="s">
        <v>1976</v>
      </c>
      <c r="P1687" s="47"/>
      <c r="Q1687" s="47"/>
      <c r="R1687" s="48" t="s">
        <v>1976</v>
      </c>
    </row>
    <row r="1688">
      <c r="B1688" s="45"/>
      <c r="N1688" s="46" t="str">
        <f>IFERROR(__xludf.DUMMYFUNCTION("""COMPUTED_VALUE"""),"")</f>
        <v/>
      </c>
      <c r="O1688" s="46" t="s">
        <v>1976</v>
      </c>
      <c r="P1688" s="47"/>
      <c r="Q1688" s="47"/>
      <c r="R1688" s="48" t="s">
        <v>1976</v>
      </c>
    </row>
    <row r="1689">
      <c r="B1689" s="45"/>
      <c r="N1689" s="46" t="str">
        <f>IFERROR(__xludf.DUMMYFUNCTION("""COMPUTED_VALUE"""),"")</f>
        <v/>
      </c>
      <c r="O1689" s="46" t="s">
        <v>1976</v>
      </c>
      <c r="P1689" s="47"/>
      <c r="Q1689" s="47"/>
      <c r="R1689" s="48" t="s">
        <v>1976</v>
      </c>
    </row>
    <row r="1690">
      <c r="B1690" s="45"/>
      <c r="N1690" s="46" t="str">
        <f>IFERROR(__xludf.DUMMYFUNCTION("""COMPUTED_VALUE"""),"")</f>
        <v/>
      </c>
      <c r="O1690" s="46" t="s">
        <v>1976</v>
      </c>
      <c r="P1690" s="47"/>
      <c r="Q1690" s="47"/>
      <c r="R1690" s="48" t="s">
        <v>1976</v>
      </c>
    </row>
    <row r="1691">
      <c r="B1691" s="45"/>
      <c r="N1691" s="46" t="str">
        <f>IFERROR(__xludf.DUMMYFUNCTION("""COMPUTED_VALUE"""),"")</f>
        <v/>
      </c>
      <c r="O1691" s="46" t="s">
        <v>1976</v>
      </c>
      <c r="P1691" s="47"/>
      <c r="Q1691" s="47"/>
      <c r="R1691" s="48" t="s">
        <v>1976</v>
      </c>
    </row>
    <row r="1692">
      <c r="B1692" s="45"/>
      <c r="N1692" s="46" t="str">
        <f>IFERROR(__xludf.DUMMYFUNCTION("""COMPUTED_VALUE"""),"")</f>
        <v/>
      </c>
      <c r="O1692" s="46" t="s">
        <v>1976</v>
      </c>
      <c r="P1692" s="47"/>
      <c r="Q1692" s="47"/>
      <c r="R1692" s="48" t="s">
        <v>1976</v>
      </c>
    </row>
    <row r="1693">
      <c r="B1693" s="45"/>
      <c r="N1693" s="46" t="str">
        <f>IFERROR(__xludf.DUMMYFUNCTION("""COMPUTED_VALUE"""),"")</f>
        <v/>
      </c>
      <c r="O1693" s="46" t="s">
        <v>1976</v>
      </c>
      <c r="P1693" s="47"/>
      <c r="Q1693" s="47"/>
      <c r="R1693" s="48" t="s">
        <v>1976</v>
      </c>
    </row>
    <row r="1694">
      <c r="B1694" s="45"/>
      <c r="N1694" s="46" t="str">
        <f>IFERROR(__xludf.DUMMYFUNCTION("""COMPUTED_VALUE"""),"")</f>
        <v/>
      </c>
      <c r="O1694" s="46" t="s">
        <v>1976</v>
      </c>
      <c r="P1694" s="47"/>
      <c r="Q1694" s="47"/>
      <c r="R1694" s="48" t="s">
        <v>1976</v>
      </c>
    </row>
    <row r="1695">
      <c r="B1695" s="45"/>
      <c r="N1695" s="46" t="str">
        <f>IFERROR(__xludf.DUMMYFUNCTION("""COMPUTED_VALUE"""),"")</f>
        <v/>
      </c>
      <c r="O1695" s="46" t="s">
        <v>1976</v>
      </c>
      <c r="P1695" s="47"/>
      <c r="Q1695" s="47"/>
      <c r="R1695" s="48" t="s">
        <v>1976</v>
      </c>
    </row>
    <row r="1696">
      <c r="B1696" s="45"/>
      <c r="N1696" s="46" t="str">
        <f>IFERROR(__xludf.DUMMYFUNCTION("""COMPUTED_VALUE"""),"")</f>
        <v/>
      </c>
      <c r="O1696" s="46" t="s">
        <v>1976</v>
      </c>
      <c r="P1696" s="47"/>
      <c r="Q1696" s="47"/>
      <c r="R1696" s="48" t="s">
        <v>1976</v>
      </c>
    </row>
    <row r="1697">
      <c r="B1697" s="45"/>
      <c r="N1697" s="46" t="str">
        <f>IFERROR(__xludf.DUMMYFUNCTION("""COMPUTED_VALUE"""),"")</f>
        <v/>
      </c>
      <c r="O1697" s="46" t="s">
        <v>1976</v>
      </c>
      <c r="P1697" s="47"/>
      <c r="Q1697" s="47"/>
      <c r="R1697" s="48" t="s">
        <v>1976</v>
      </c>
    </row>
    <row r="1698">
      <c r="B1698" s="45"/>
      <c r="N1698" s="46" t="str">
        <f>IFERROR(__xludf.DUMMYFUNCTION("""COMPUTED_VALUE"""),"")</f>
        <v/>
      </c>
      <c r="O1698" s="46" t="s">
        <v>1976</v>
      </c>
      <c r="P1698" s="47"/>
      <c r="Q1698" s="47"/>
      <c r="R1698" s="48" t="s">
        <v>1976</v>
      </c>
    </row>
    <row r="1699">
      <c r="B1699" s="45"/>
      <c r="N1699" s="46" t="str">
        <f>IFERROR(__xludf.DUMMYFUNCTION("""COMPUTED_VALUE"""),"")</f>
        <v/>
      </c>
      <c r="O1699" s="46" t="s">
        <v>1976</v>
      </c>
      <c r="P1699" s="47"/>
      <c r="Q1699" s="47"/>
      <c r="R1699" s="48" t="s">
        <v>1976</v>
      </c>
    </row>
    <row r="1700">
      <c r="B1700" s="45"/>
      <c r="N1700" s="46" t="str">
        <f>IFERROR(__xludf.DUMMYFUNCTION("""COMPUTED_VALUE"""),"")</f>
        <v/>
      </c>
      <c r="O1700" s="46" t="s">
        <v>1976</v>
      </c>
      <c r="P1700" s="47"/>
      <c r="Q1700" s="47"/>
      <c r="R1700" s="48" t="s">
        <v>1976</v>
      </c>
    </row>
    <row r="1701">
      <c r="B1701" s="45"/>
      <c r="N1701" s="46" t="str">
        <f>IFERROR(__xludf.DUMMYFUNCTION("""COMPUTED_VALUE"""),"")</f>
        <v/>
      </c>
      <c r="O1701" s="46" t="s">
        <v>1976</v>
      </c>
      <c r="P1701" s="47"/>
      <c r="Q1701" s="47"/>
      <c r="R1701" s="48" t="s">
        <v>1976</v>
      </c>
    </row>
    <row r="1702">
      <c r="B1702" s="45"/>
      <c r="N1702" s="46" t="str">
        <f>IFERROR(__xludf.DUMMYFUNCTION("""COMPUTED_VALUE"""),"")</f>
        <v/>
      </c>
      <c r="O1702" s="46" t="s">
        <v>1976</v>
      </c>
      <c r="P1702" s="47"/>
      <c r="Q1702" s="47"/>
      <c r="R1702" s="48" t="s">
        <v>1976</v>
      </c>
    </row>
    <row r="1703">
      <c r="B1703" s="45"/>
      <c r="N1703" s="46" t="str">
        <f>IFERROR(__xludf.DUMMYFUNCTION("""COMPUTED_VALUE"""),"")</f>
        <v/>
      </c>
      <c r="O1703" s="46" t="s">
        <v>1976</v>
      </c>
      <c r="P1703" s="47"/>
      <c r="Q1703" s="47"/>
      <c r="R1703" s="48" t="s">
        <v>1976</v>
      </c>
    </row>
    <row r="1704">
      <c r="B1704" s="45"/>
      <c r="N1704" s="46" t="str">
        <f>IFERROR(__xludf.DUMMYFUNCTION("""COMPUTED_VALUE"""),"")</f>
        <v/>
      </c>
      <c r="O1704" s="46" t="s">
        <v>1976</v>
      </c>
      <c r="P1704" s="47"/>
      <c r="Q1704" s="47"/>
      <c r="R1704" s="48" t="s">
        <v>1976</v>
      </c>
    </row>
    <row r="1705">
      <c r="B1705" s="45"/>
      <c r="N1705" s="46" t="str">
        <f>IFERROR(__xludf.DUMMYFUNCTION("""COMPUTED_VALUE"""),"")</f>
        <v/>
      </c>
      <c r="O1705" s="46" t="s">
        <v>1976</v>
      </c>
      <c r="P1705" s="47"/>
      <c r="Q1705" s="47"/>
      <c r="R1705" s="48" t="s">
        <v>1976</v>
      </c>
    </row>
    <row r="1706">
      <c r="B1706" s="45"/>
      <c r="N1706" s="46" t="str">
        <f>IFERROR(__xludf.DUMMYFUNCTION("""COMPUTED_VALUE"""),"")</f>
        <v/>
      </c>
      <c r="O1706" s="46" t="s">
        <v>1976</v>
      </c>
      <c r="P1706" s="47"/>
      <c r="Q1706" s="47"/>
      <c r="R1706" s="48" t="s">
        <v>1976</v>
      </c>
    </row>
    <row r="1707">
      <c r="B1707" s="45"/>
      <c r="N1707" s="46" t="str">
        <f>IFERROR(__xludf.DUMMYFUNCTION("""COMPUTED_VALUE"""),"")</f>
        <v/>
      </c>
      <c r="O1707" s="46" t="s">
        <v>1976</v>
      </c>
      <c r="P1707" s="47"/>
      <c r="Q1707" s="47"/>
      <c r="R1707" s="48" t="s">
        <v>1976</v>
      </c>
    </row>
    <row r="1708">
      <c r="B1708" s="45"/>
      <c r="N1708" s="46" t="str">
        <f>IFERROR(__xludf.DUMMYFUNCTION("""COMPUTED_VALUE"""),"")</f>
        <v/>
      </c>
      <c r="O1708" s="46" t="s">
        <v>1976</v>
      </c>
      <c r="P1708" s="47"/>
      <c r="Q1708" s="47"/>
      <c r="R1708" s="48" t="s">
        <v>1976</v>
      </c>
    </row>
    <row r="1709">
      <c r="B1709" s="45"/>
      <c r="N1709" s="46" t="str">
        <f>IFERROR(__xludf.DUMMYFUNCTION("""COMPUTED_VALUE"""),"")</f>
        <v/>
      </c>
      <c r="O1709" s="46" t="s">
        <v>1976</v>
      </c>
      <c r="P1709" s="47"/>
      <c r="Q1709" s="47"/>
      <c r="R1709" s="48" t="s">
        <v>1976</v>
      </c>
    </row>
    <row r="1710">
      <c r="B1710" s="45"/>
      <c r="N1710" s="46" t="str">
        <f>IFERROR(__xludf.DUMMYFUNCTION("""COMPUTED_VALUE"""),"")</f>
        <v/>
      </c>
      <c r="O1710" s="46" t="s">
        <v>1976</v>
      </c>
      <c r="P1710" s="47"/>
      <c r="Q1710" s="47"/>
      <c r="R1710" s="48" t="s">
        <v>1976</v>
      </c>
    </row>
    <row r="1711">
      <c r="B1711" s="45"/>
      <c r="N1711" s="46" t="str">
        <f>IFERROR(__xludf.DUMMYFUNCTION("""COMPUTED_VALUE"""),"")</f>
        <v/>
      </c>
      <c r="O1711" s="46" t="s">
        <v>1976</v>
      </c>
      <c r="P1711" s="47"/>
      <c r="Q1711" s="47"/>
      <c r="R1711" s="48" t="s">
        <v>1976</v>
      </c>
    </row>
    <row r="1712">
      <c r="B1712" s="45"/>
      <c r="N1712" s="46" t="str">
        <f>IFERROR(__xludf.DUMMYFUNCTION("""COMPUTED_VALUE"""),"")</f>
        <v/>
      </c>
      <c r="O1712" s="46" t="s">
        <v>1976</v>
      </c>
      <c r="P1712" s="47"/>
      <c r="Q1712" s="47"/>
      <c r="R1712" s="48" t="s">
        <v>1976</v>
      </c>
    </row>
    <row r="1713">
      <c r="B1713" s="45"/>
      <c r="N1713" s="46" t="str">
        <f>IFERROR(__xludf.DUMMYFUNCTION("""COMPUTED_VALUE"""),"")</f>
        <v/>
      </c>
      <c r="O1713" s="46" t="s">
        <v>1976</v>
      </c>
      <c r="P1713" s="47"/>
      <c r="Q1713" s="47"/>
      <c r="R1713" s="48" t="s">
        <v>1976</v>
      </c>
    </row>
    <row r="1714">
      <c r="B1714" s="45"/>
      <c r="N1714" s="46" t="str">
        <f>IFERROR(__xludf.DUMMYFUNCTION("""COMPUTED_VALUE"""),"")</f>
        <v/>
      </c>
      <c r="O1714" s="46" t="s">
        <v>1976</v>
      </c>
      <c r="P1714" s="47"/>
      <c r="Q1714" s="47"/>
      <c r="R1714" s="48" t="s">
        <v>1976</v>
      </c>
    </row>
    <row r="1715">
      <c r="B1715" s="45"/>
      <c r="N1715" s="46" t="str">
        <f>IFERROR(__xludf.DUMMYFUNCTION("""COMPUTED_VALUE"""),"")</f>
        <v/>
      </c>
      <c r="O1715" s="46" t="s">
        <v>1976</v>
      </c>
      <c r="P1715" s="47"/>
      <c r="Q1715" s="47"/>
      <c r="R1715" s="48" t="s">
        <v>1976</v>
      </c>
    </row>
    <row r="1716">
      <c r="B1716" s="45"/>
      <c r="N1716" s="46" t="str">
        <f>IFERROR(__xludf.DUMMYFUNCTION("""COMPUTED_VALUE"""),"")</f>
        <v/>
      </c>
      <c r="O1716" s="46" t="s">
        <v>1976</v>
      </c>
      <c r="P1716" s="47"/>
      <c r="Q1716" s="47"/>
      <c r="R1716" s="48" t="s">
        <v>1976</v>
      </c>
    </row>
    <row r="1717">
      <c r="B1717" s="45"/>
      <c r="N1717" s="46" t="str">
        <f>IFERROR(__xludf.DUMMYFUNCTION("""COMPUTED_VALUE"""),"")</f>
        <v/>
      </c>
      <c r="O1717" s="46" t="s">
        <v>1976</v>
      </c>
      <c r="P1717" s="47"/>
      <c r="Q1717" s="47"/>
      <c r="R1717" s="48" t="s">
        <v>1976</v>
      </c>
    </row>
    <row r="1718">
      <c r="B1718" s="45"/>
      <c r="N1718" s="46" t="str">
        <f>IFERROR(__xludf.DUMMYFUNCTION("""COMPUTED_VALUE"""),"")</f>
        <v/>
      </c>
      <c r="O1718" s="46" t="s">
        <v>1976</v>
      </c>
      <c r="P1718" s="47"/>
      <c r="Q1718" s="47"/>
      <c r="R1718" s="48" t="s">
        <v>1976</v>
      </c>
    </row>
    <row r="1719">
      <c r="B1719" s="45"/>
      <c r="N1719" s="46" t="str">
        <f>IFERROR(__xludf.DUMMYFUNCTION("""COMPUTED_VALUE"""),"")</f>
        <v/>
      </c>
      <c r="O1719" s="46" t="s">
        <v>1976</v>
      </c>
      <c r="P1719" s="47"/>
      <c r="Q1719" s="47"/>
      <c r="R1719" s="48" t="s">
        <v>1976</v>
      </c>
    </row>
    <row r="1720">
      <c r="B1720" s="45"/>
      <c r="N1720" s="46" t="str">
        <f>IFERROR(__xludf.DUMMYFUNCTION("""COMPUTED_VALUE"""),"")</f>
        <v/>
      </c>
      <c r="O1720" s="46" t="s">
        <v>1976</v>
      </c>
      <c r="P1720" s="47"/>
      <c r="Q1720" s="47"/>
      <c r="R1720" s="48" t="s">
        <v>1976</v>
      </c>
    </row>
    <row r="1721">
      <c r="B1721" s="45"/>
      <c r="N1721" s="46" t="str">
        <f>IFERROR(__xludf.DUMMYFUNCTION("""COMPUTED_VALUE"""),"")</f>
        <v/>
      </c>
      <c r="O1721" s="46" t="s">
        <v>1976</v>
      </c>
      <c r="P1721" s="47"/>
      <c r="Q1721" s="47"/>
      <c r="R1721" s="48" t="s">
        <v>1976</v>
      </c>
    </row>
    <row r="1722">
      <c r="B1722" s="45"/>
      <c r="N1722" s="46" t="str">
        <f>IFERROR(__xludf.DUMMYFUNCTION("""COMPUTED_VALUE"""),"")</f>
        <v/>
      </c>
      <c r="O1722" s="46" t="s">
        <v>1976</v>
      </c>
      <c r="P1722" s="47"/>
      <c r="Q1722" s="47"/>
      <c r="R1722" s="48" t="s">
        <v>1976</v>
      </c>
    </row>
    <row r="1723">
      <c r="B1723" s="45"/>
      <c r="N1723" s="46" t="str">
        <f>IFERROR(__xludf.DUMMYFUNCTION("""COMPUTED_VALUE"""),"")</f>
        <v/>
      </c>
      <c r="O1723" s="46" t="s">
        <v>1976</v>
      </c>
      <c r="P1723" s="47"/>
      <c r="Q1723" s="47"/>
      <c r="R1723" s="48" t="s">
        <v>1976</v>
      </c>
    </row>
    <row r="1724">
      <c r="B1724" s="45"/>
      <c r="N1724" s="46" t="str">
        <f>IFERROR(__xludf.DUMMYFUNCTION("""COMPUTED_VALUE"""),"")</f>
        <v/>
      </c>
      <c r="O1724" s="46" t="s">
        <v>1976</v>
      </c>
      <c r="P1724" s="47"/>
      <c r="Q1724" s="47"/>
      <c r="R1724" s="48" t="s">
        <v>1976</v>
      </c>
    </row>
    <row r="1725">
      <c r="B1725" s="45"/>
      <c r="N1725" s="46" t="str">
        <f>IFERROR(__xludf.DUMMYFUNCTION("""COMPUTED_VALUE"""),"")</f>
        <v/>
      </c>
      <c r="O1725" s="46" t="s">
        <v>1976</v>
      </c>
      <c r="P1725" s="47"/>
      <c r="Q1725" s="47"/>
      <c r="R1725" s="48" t="s">
        <v>1976</v>
      </c>
    </row>
    <row r="1726">
      <c r="B1726" s="45"/>
      <c r="N1726" s="46" t="str">
        <f>IFERROR(__xludf.DUMMYFUNCTION("""COMPUTED_VALUE"""),"")</f>
        <v/>
      </c>
      <c r="O1726" s="46" t="s">
        <v>1976</v>
      </c>
      <c r="P1726" s="47"/>
      <c r="Q1726" s="47"/>
      <c r="R1726" s="48" t="s">
        <v>1976</v>
      </c>
    </row>
    <row r="1727">
      <c r="B1727" s="45"/>
      <c r="N1727" s="46" t="str">
        <f>IFERROR(__xludf.DUMMYFUNCTION("""COMPUTED_VALUE"""),"")</f>
        <v/>
      </c>
      <c r="O1727" s="46" t="s">
        <v>1976</v>
      </c>
      <c r="P1727" s="47"/>
      <c r="Q1727" s="47"/>
      <c r="R1727" s="48" t="s">
        <v>1976</v>
      </c>
    </row>
    <row r="1728">
      <c r="B1728" s="45"/>
      <c r="N1728" s="46" t="str">
        <f>IFERROR(__xludf.DUMMYFUNCTION("""COMPUTED_VALUE"""),"")</f>
        <v/>
      </c>
      <c r="O1728" s="46" t="s">
        <v>1976</v>
      </c>
      <c r="P1728" s="47"/>
      <c r="Q1728" s="47"/>
      <c r="R1728" s="48" t="s">
        <v>1976</v>
      </c>
    </row>
    <row r="1729">
      <c r="B1729" s="45"/>
      <c r="N1729" s="46" t="str">
        <f>IFERROR(__xludf.DUMMYFUNCTION("""COMPUTED_VALUE"""),"")</f>
        <v/>
      </c>
      <c r="O1729" s="46" t="s">
        <v>1976</v>
      </c>
      <c r="P1729" s="47"/>
      <c r="Q1729" s="47"/>
      <c r="R1729" s="48" t="s">
        <v>1976</v>
      </c>
    </row>
    <row r="1730">
      <c r="B1730" s="45"/>
      <c r="N1730" s="46" t="str">
        <f>IFERROR(__xludf.DUMMYFUNCTION("""COMPUTED_VALUE"""),"")</f>
        <v/>
      </c>
      <c r="O1730" s="46" t="s">
        <v>1976</v>
      </c>
      <c r="P1730" s="47"/>
      <c r="Q1730" s="47"/>
      <c r="R1730" s="48" t="s">
        <v>1976</v>
      </c>
    </row>
    <row r="1731">
      <c r="B1731" s="45"/>
      <c r="N1731" s="46" t="str">
        <f>IFERROR(__xludf.DUMMYFUNCTION("""COMPUTED_VALUE"""),"")</f>
        <v/>
      </c>
      <c r="O1731" s="46" t="s">
        <v>1976</v>
      </c>
      <c r="P1731" s="47"/>
      <c r="Q1731" s="47"/>
      <c r="R1731" s="48" t="s">
        <v>1976</v>
      </c>
    </row>
    <row r="1732">
      <c r="B1732" s="45"/>
      <c r="N1732" s="46" t="str">
        <f>IFERROR(__xludf.DUMMYFUNCTION("""COMPUTED_VALUE"""),"")</f>
        <v/>
      </c>
      <c r="O1732" s="46" t="s">
        <v>1976</v>
      </c>
      <c r="P1732" s="47"/>
      <c r="Q1732" s="47"/>
      <c r="R1732" s="48" t="s">
        <v>1976</v>
      </c>
    </row>
    <row r="1733">
      <c r="B1733" s="45"/>
      <c r="N1733" s="46" t="str">
        <f>IFERROR(__xludf.DUMMYFUNCTION("""COMPUTED_VALUE"""),"")</f>
        <v/>
      </c>
      <c r="O1733" s="46" t="s">
        <v>1976</v>
      </c>
      <c r="P1733" s="47"/>
      <c r="Q1733" s="47"/>
      <c r="R1733" s="48" t="s">
        <v>1976</v>
      </c>
    </row>
    <row r="1734">
      <c r="B1734" s="45"/>
      <c r="N1734" s="46" t="str">
        <f>IFERROR(__xludf.DUMMYFUNCTION("""COMPUTED_VALUE"""),"")</f>
        <v/>
      </c>
      <c r="O1734" s="46" t="s">
        <v>1976</v>
      </c>
      <c r="P1734" s="47"/>
      <c r="Q1734" s="47"/>
      <c r="R1734" s="48" t="s">
        <v>1976</v>
      </c>
    </row>
    <row r="1735">
      <c r="B1735" s="45"/>
      <c r="N1735" s="46" t="str">
        <f>IFERROR(__xludf.DUMMYFUNCTION("""COMPUTED_VALUE"""),"")</f>
        <v/>
      </c>
      <c r="O1735" s="46" t="s">
        <v>1976</v>
      </c>
      <c r="P1735" s="47"/>
      <c r="Q1735" s="47"/>
      <c r="R1735" s="48" t="s">
        <v>1976</v>
      </c>
    </row>
    <row r="1736">
      <c r="B1736" s="45"/>
      <c r="N1736" s="46" t="str">
        <f>IFERROR(__xludf.DUMMYFUNCTION("""COMPUTED_VALUE"""),"")</f>
        <v/>
      </c>
      <c r="O1736" s="46" t="s">
        <v>1976</v>
      </c>
      <c r="P1736" s="47"/>
      <c r="Q1736" s="47"/>
      <c r="R1736" s="48" t="s">
        <v>1976</v>
      </c>
    </row>
    <row r="1737">
      <c r="B1737" s="45"/>
      <c r="N1737" s="46" t="str">
        <f>IFERROR(__xludf.DUMMYFUNCTION("""COMPUTED_VALUE"""),"")</f>
        <v/>
      </c>
      <c r="O1737" s="46" t="s">
        <v>1976</v>
      </c>
      <c r="P1737" s="47"/>
      <c r="Q1737" s="47"/>
      <c r="R1737" s="48" t="s">
        <v>1976</v>
      </c>
    </row>
    <row r="1738">
      <c r="B1738" s="45"/>
      <c r="N1738" s="46" t="str">
        <f>IFERROR(__xludf.DUMMYFUNCTION("""COMPUTED_VALUE"""),"")</f>
        <v/>
      </c>
      <c r="O1738" s="46" t="s">
        <v>1976</v>
      </c>
      <c r="P1738" s="47"/>
      <c r="Q1738" s="47"/>
      <c r="R1738" s="48" t="s">
        <v>1976</v>
      </c>
    </row>
    <row r="1739">
      <c r="B1739" s="45"/>
      <c r="N1739" s="46" t="str">
        <f>IFERROR(__xludf.DUMMYFUNCTION("""COMPUTED_VALUE"""),"")</f>
        <v/>
      </c>
      <c r="O1739" s="46" t="s">
        <v>1976</v>
      </c>
      <c r="P1739" s="47"/>
      <c r="Q1739" s="47"/>
      <c r="R1739" s="48" t="s">
        <v>1976</v>
      </c>
    </row>
    <row r="1740">
      <c r="B1740" s="45"/>
      <c r="N1740" s="46" t="str">
        <f>IFERROR(__xludf.DUMMYFUNCTION("""COMPUTED_VALUE"""),"")</f>
        <v/>
      </c>
      <c r="O1740" s="46" t="s">
        <v>1976</v>
      </c>
      <c r="P1740" s="47"/>
      <c r="Q1740" s="47"/>
      <c r="R1740" s="48" t="s">
        <v>1976</v>
      </c>
    </row>
    <row r="1741">
      <c r="B1741" s="45"/>
      <c r="N1741" s="46" t="str">
        <f>IFERROR(__xludf.DUMMYFUNCTION("""COMPUTED_VALUE"""),"")</f>
        <v/>
      </c>
      <c r="O1741" s="46" t="s">
        <v>1976</v>
      </c>
      <c r="P1741" s="47"/>
      <c r="Q1741" s="47"/>
      <c r="R1741" s="48" t="s">
        <v>1976</v>
      </c>
    </row>
    <row r="1742">
      <c r="B1742" s="45"/>
      <c r="N1742" s="46" t="str">
        <f>IFERROR(__xludf.DUMMYFUNCTION("""COMPUTED_VALUE"""),"")</f>
        <v/>
      </c>
      <c r="O1742" s="46" t="s">
        <v>1976</v>
      </c>
      <c r="P1742" s="47"/>
      <c r="Q1742" s="47"/>
      <c r="R1742" s="48" t="s">
        <v>1976</v>
      </c>
    </row>
    <row r="1743">
      <c r="B1743" s="45"/>
      <c r="N1743" s="46" t="str">
        <f>IFERROR(__xludf.DUMMYFUNCTION("""COMPUTED_VALUE"""),"")</f>
        <v/>
      </c>
      <c r="O1743" s="46" t="s">
        <v>1976</v>
      </c>
      <c r="P1743" s="47"/>
      <c r="Q1743" s="47"/>
      <c r="R1743" s="48" t="s">
        <v>1976</v>
      </c>
    </row>
    <row r="1744">
      <c r="B1744" s="45"/>
      <c r="N1744" s="46" t="str">
        <f>IFERROR(__xludf.DUMMYFUNCTION("""COMPUTED_VALUE"""),"")</f>
        <v/>
      </c>
      <c r="O1744" s="46" t="s">
        <v>1976</v>
      </c>
      <c r="P1744" s="47"/>
      <c r="Q1744" s="47"/>
      <c r="R1744" s="48" t="s">
        <v>1976</v>
      </c>
    </row>
    <row r="1745">
      <c r="B1745" s="45"/>
      <c r="N1745" s="46" t="str">
        <f>IFERROR(__xludf.DUMMYFUNCTION("""COMPUTED_VALUE"""),"")</f>
        <v/>
      </c>
      <c r="O1745" s="46" t="s">
        <v>1976</v>
      </c>
      <c r="P1745" s="47"/>
      <c r="Q1745" s="47"/>
      <c r="R1745" s="48" t="s">
        <v>1976</v>
      </c>
    </row>
    <row r="1746">
      <c r="B1746" s="45"/>
      <c r="N1746" s="46" t="str">
        <f>IFERROR(__xludf.DUMMYFUNCTION("""COMPUTED_VALUE"""),"")</f>
        <v/>
      </c>
      <c r="O1746" s="46" t="s">
        <v>1976</v>
      </c>
      <c r="P1746" s="47"/>
      <c r="Q1746" s="47"/>
      <c r="R1746" s="48" t="s">
        <v>1976</v>
      </c>
    </row>
    <row r="1747">
      <c r="B1747" s="45"/>
      <c r="N1747" s="46" t="str">
        <f>IFERROR(__xludf.DUMMYFUNCTION("""COMPUTED_VALUE"""),"")</f>
        <v/>
      </c>
      <c r="O1747" s="46" t="s">
        <v>1976</v>
      </c>
      <c r="P1747" s="47"/>
      <c r="Q1747" s="47"/>
      <c r="R1747" s="48" t="s">
        <v>1976</v>
      </c>
    </row>
    <row r="1748">
      <c r="B1748" s="45"/>
      <c r="N1748" s="46" t="str">
        <f>IFERROR(__xludf.DUMMYFUNCTION("""COMPUTED_VALUE"""),"")</f>
        <v/>
      </c>
      <c r="O1748" s="46" t="s">
        <v>1976</v>
      </c>
      <c r="P1748" s="47"/>
      <c r="Q1748" s="47"/>
      <c r="R1748" s="48" t="s">
        <v>1976</v>
      </c>
    </row>
    <row r="1749">
      <c r="B1749" s="45"/>
      <c r="N1749" s="46" t="str">
        <f>IFERROR(__xludf.DUMMYFUNCTION("""COMPUTED_VALUE"""),"")</f>
        <v/>
      </c>
      <c r="O1749" s="46" t="s">
        <v>1976</v>
      </c>
      <c r="P1749" s="47"/>
      <c r="Q1749" s="47"/>
      <c r="R1749" s="48" t="s">
        <v>1976</v>
      </c>
    </row>
    <row r="1750">
      <c r="B1750" s="45"/>
      <c r="N1750" s="46" t="str">
        <f>IFERROR(__xludf.DUMMYFUNCTION("""COMPUTED_VALUE"""),"")</f>
        <v/>
      </c>
      <c r="O1750" s="46" t="s">
        <v>1976</v>
      </c>
      <c r="P1750" s="47"/>
      <c r="Q1750" s="47"/>
      <c r="R1750" s="48" t="s">
        <v>1976</v>
      </c>
    </row>
    <row r="1751">
      <c r="B1751" s="45"/>
      <c r="N1751" s="46" t="str">
        <f>IFERROR(__xludf.DUMMYFUNCTION("""COMPUTED_VALUE"""),"")</f>
        <v/>
      </c>
      <c r="O1751" s="46" t="s">
        <v>1976</v>
      </c>
      <c r="P1751" s="47"/>
      <c r="Q1751" s="47"/>
      <c r="R1751" s="48" t="s">
        <v>1976</v>
      </c>
    </row>
    <row r="1752">
      <c r="B1752" s="45"/>
      <c r="N1752" s="46" t="str">
        <f>IFERROR(__xludf.DUMMYFUNCTION("""COMPUTED_VALUE"""),"")</f>
        <v/>
      </c>
      <c r="O1752" s="46" t="s">
        <v>1976</v>
      </c>
      <c r="P1752" s="47"/>
      <c r="Q1752" s="47"/>
      <c r="R1752" s="48" t="s">
        <v>1976</v>
      </c>
    </row>
    <row r="1753">
      <c r="B1753" s="45"/>
      <c r="N1753" s="46" t="str">
        <f>IFERROR(__xludf.DUMMYFUNCTION("""COMPUTED_VALUE"""),"")</f>
        <v/>
      </c>
      <c r="O1753" s="46" t="s">
        <v>1976</v>
      </c>
      <c r="P1753" s="47"/>
      <c r="Q1753" s="47"/>
      <c r="R1753" s="48" t="s">
        <v>1976</v>
      </c>
    </row>
    <row r="1754">
      <c r="B1754" s="45"/>
      <c r="N1754" s="46" t="str">
        <f>IFERROR(__xludf.DUMMYFUNCTION("""COMPUTED_VALUE"""),"")</f>
        <v/>
      </c>
      <c r="O1754" s="46" t="s">
        <v>1976</v>
      </c>
      <c r="P1754" s="47"/>
      <c r="Q1754" s="47"/>
      <c r="R1754" s="48" t="s">
        <v>1976</v>
      </c>
    </row>
    <row r="1755">
      <c r="B1755" s="45"/>
      <c r="N1755" s="46" t="str">
        <f>IFERROR(__xludf.DUMMYFUNCTION("""COMPUTED_VALUE"""),"")</f>
        <v/>
      </c>
      <c r="O1755" s="46" t="s">
        <v>1976</v>
      </c>
      <c r="P1755" s="47"/>
      <c r="Q1755" s="47"/>
      <c r="R1755" s="48" t="s">
        <v>1976</v>
      </c>
    </row>
    <row r="1756">
      <c r="B1756" s="45"/>
      <c r="N1756" s="46" t="str">
        <f>IFERROR(__xludf.DUMMYFUNCTION("""COMPUTED_VALUE"""),"")</f>
        <v/>
      </c>
      <c r="O1756" s="46" t="s">
        <v>1976</v>
      </c>
      <c r="P1756" s="47"/>
      <c r="Q1756" s="47"/>
      <c r="R1756" s="48" t="s">
        <v>1976</v>
      </c>
    </row>
    <row r="1757">
      <c r="B1757" s="45"/>
      <c r="N1757" s="46" t="str">
        <f>IFERROR(__xludf.DUMMYFUNCTION("""COMPUTED_VALUE"""),"")</f>
        <v/>
      </c>
      <c r="O1757" s="46" t="s">
        <v>1976</v>
      </c>
      <c r="P1757" s="47"/>
      <c r="Q1757" s="47"/>
      <c r="R1757" s="48" t="s">
        <v>1976</v>
      </c>
    </row>
    <row r="1758">
      <c r="B1758" s="45"/>
      <c r="N1758" s="46" t="str">
        <f>IFERROR(__xludf.DUMMYFUNCTION("""COMPUTED_VALUE"""),"")</f>
        <v/>
      </c>
      <c r="O1758" s="46" t="s">
        <v>1976</v>
      </c>
      <c r="P1758" s="47"/>
      <c r="Q1758" s="47"/>
      <c r="R1758" s="48" t="s">
        <v>1976</v>
      </c>
    </row>
    <row r="1759">
      <c r="B1759" s="45"/>
      <c r="N1759" s="46" t="str">
        <f>IFERROR(__xludf.DUMMYFUNCTION("""COMPUTED_VALUE"""),"")</f>
        <v/>
      </c>
      <c r="O1759" s="46" t="s">
        <v>1976</v>
      </c>
      <c r="P1759" s="47"/>
      <c r="Q1759" s="47"/>
      <c r="R1759" s="48" t="s">
        <v>1976</v>
      </c>
    </row>
    <row r="1760">
      <c r="B1760" s="45"/>
      <c r="N1760" s="46" t="str">
        <f>IFERROR(__xludf.DUMMYFUNCTION("""COMPUTED_VALUE"""),"")</f>
        <v/>
      </c>
      <c r="O1760" s="46" t="s">
        <v>1976</v>
      </c>
      <c r="P1760" s="47"/>
      <c r="Q1760" s="47"/>
      <c r="R1760" s="48" t="s">
        <v>1976</v>
      </c>
    </row>
    <row r="1761">
      <c r="B1761" s="45"/>
      <c r="N1761" s="46" t="str">
        <f>IFERROR(__xludf.DUMMYFUNCTION("""COMPUTED_VALUE"""),"")</f>
        <v/>
      </c>
      <c r="O1761" s="46" t="s">
        <v>1976</v>
      </c>
      <c r="P1761" s="47"/>
      <c r="Q1761" s="47"/>
      <c r="R1761" s="48" t="s">
        <v>1976</v>
      </c>
    </row>
    <row r="1762">
      <c r="B1762" s="45"/>
      <c r="N1762" s="46" t="str">
        <f>IFERROR(__xludf.DUMMYFUNCTION("""COMPUTED_VALUE"""),"")</f>
        <v/>
      </c>
      <c r="O1762" s="46" t="s">
        <v>1976</v>
      </c>
      <c r="P1762" s="47"/>
      <c r="Q1762" s="47"/>
      <c r="R1762" s="48" t="s">
        <v>1976</v>
      </c>
    </row>
    <row r="1763">
      <c r="B1763" s="45"/>
      <c r="N1763" s="46" t="str">
        <f>IFERROR(__xludf.DUMMYFUNCTION("""COMPUTED_VALUE"""),"")</f>
        <v/>
      </c>
      <c r="O1763" s="46" t="s">
        <v>1976</v>
      </c>
      <c r="P1763" s="47"/>
      <c r="Q1763" s="47"/>
      <c r="R1763" s="48" t="s">
        <v>1976</v>
      </c>
    </row>
    <row r="1764">
      <c r="B1764" s="45"/>
      <c r="N1764" s="46" t="str">
        <f>IFERROR(__xludf.DUMMYFUNCTION("""COMPUTED_VALUE"""),"")</f>
        <v/>
      </c>
      <c r="O1764" s="46" t="s">
        <v>1976</v>
      </c>
      <c r="P1764" s="47"/>
      <c r="Q1764" s="47"/>
      <c r="R1764" s="48" t="s">
        <v>1976</v>
      </c>
    </row>
    <row r="1765">
      <c r="B1765" s="45"/>
      <c r="N1765" s="46" t="str">
        <f>IFERROR(__xludf.DUMMYFUNCTION("""COMPUTED_VALUE"""),"")</f>
        <v/>
      </c>
      <c r="O1765" s="46" t="s">
        <v>1976</v>
      </c>
      <c r="P1765" s="47"/>
      <c r="Q1765" s="47"/>
      <c r="R1765" s="48" t="s">
        <v>1976</v>
      </c>
    </row>
    <row r="1766">
      <c r="B1766" s="45"/>
      <c r="N1766" s="46" t="str">
        <f>IFERROR(__xludf.DUMMYFUNCTION("""COMPUTED_VALUE"""),"")</f>
        <v/>
      </c>
      <c r="O1766" s="46" t="s">
        <v>1976</v>
      </c>
      <c r="P1766" s="47"/>
      <c r="Q1766" s="47"/>
      <c r="R1766" s="48" t="s">
        <v>1976</v>
      </c>
    </row>
    <row r="1767">
      <c r="B1767" s="45"/>
      <c r="N1767" s="46" t="str">
        <f>IFERROR(__xludf.DUMMYFUNCTION("""COMPUTED_VALUE"""),"")</f>
        <v/>
      </c>
      <c r="O1767" s="46" t="s">
        <v>1976</v>
      </c>
      <c r="P1767" s="47"/>
      <c r="Q1767" s="47"/>
      <c r="R1767" s="48" t="s">
        <v>1976</v>
      </c>
    </row>
    <row r="1768">
      <c r="B1768" s="45"/>
      <c r="N1768" s="46" t="str">
        <f>IFERROR(__xludf.DUMMYFUNCTION("""COMPUTED_VALUE"""),"")</f>
        <v/>
      </c>
      <c r="O1768" s="46" t="s">
        <v>1976</v>
      </c>
      <c r="P1768" s="47"/>
      <c r="Q1768" s="47"/>
      <c r="R1768" s="48" t="s">
        <v>1976</v>
      </c>
    </row>
    <row r="1769">
      <c r="B1769" s="45"/>
      <c r="N1769" s="46" t="str">
        <f>IFERROR(__xludf.DUMMYFUNCTION("""COMPUTED_VALUE"""),"")</f>
        <v/>
      </c>
      <c r="O1769" s="46" t="s">
        <v>1976</v>
      </c>
      <c r="P1769" s="47"/>
      <c r="Q1769" s="47"/>
      <c r="R1769" s="48" t="s">
        <v>1976</v>
      </c>
    </row>
    <row r="1770">
      <c r="B1770" s="45"/>
      <c r="N1770" s="46" t="str">
        <f>IFERROR(__xludf.DUMMYFUNCTION("""COMPUTED_VALUE"""),"")</f>
        <v/>
      </c>
      <c r="O1770" s="46" t="s">
        <v>1976</v>
      </c>
      <c r="P1770" s="47"/>
      <c r="Q1770" s="47"/>
      <c r="R1770" s="48" t="s">
        <v>1976</v>
      </c>
    </row>
    <row r="1771">
      <c r="B1771" s="45"/>
      <c r="N1771" s="46" t="str">
        <f>IFERROR(__xludf.DUMMYFUNCTION("""COMPUTED_VALUE"""),"")</f>
        <v/>
      </c>
      <c r="O1771" s="46" t="s">
        <v>1976</v>
      </c>
      <c r="P1771" s="47"/>
      <c r="Q1771" s="47"/>
      <c r="R1771" s="48" t="s">
        <v>1976</v>
      </c>
    </row>
    <row r="1772">
      <c r="B1772" s="45"/>
      <c r="N1772" s="46" t="str">
        <f>IFERROR(__xludf.DUMMYFUNCTION("""COMPUTED_VALUE"""),"")</f>
        <v/>
      </c>
      <c r="O1772" s="46" t="s">
        <v>1976</v>
      </c>
      <c r="P1772" s="47"/>
      <c r="Q1772" s="47"/>
      <c r="R1772" s="48" t="s">
        <v>1976</v>
      </c>
    </row>
    <row r="1773">
      <c r="B1773" s="45"/>
      <c r="N1773" s="46" t="str">
        <f>IFERROR(__xludf.DUMMYFUNCTION("""COMPUTED_VALUE"""),"")</f>
        <v/>
      </c>
      <c r="O1773" s="46" t="s">
        <v>1976</v>
      </c>
      <c r="P1773" s="47"/>
      <c r="Q1773" s="47"/>
      <c r="R1773" s="48" t="s">
        <v>1976</v>
      </c>
    </row>
    <row r="1774">
      <c r="B1774" s="45"/>
      <c r="N1774" s="46" t="str">
        <f>IFERROR(__xludf.DUMMYFUNCTION("""COMPUTED_VALUE"""),"")</f>
        <v/>
      </c>
      <c r="O1774" s="46" t="s">
        <v>1976</v>
      </c>
      <c r="P1774" s="47"/>
      <c r="Q1774" s="47"/>
      <c r="R1774" s="48" t="s">
        <v>1976</v>
      </c>
    </row>
    <row r="1775">
      <c r="B1775" s="45"/>
      <c r="N1775" s="46" t="str">
        <f>IFERROR(__xludf.DUMMYFUNCTION("""COMPUTED_VALUE"""),"")</f>
        <v/>
      </c>
      <c r="O1775" s="46" t="s">
        <v>1976</v>
      </c>
      <c r="P1775" s="47"/>
      <c r="Q1775" s="47"/>
      <c r="R1775" s="48" t="s">
        <v>1976</v>
      </c>
    </row>
    <row r="1776">
      <c r="B1776" s="45"/>
      <c r="N1776" s="46" t="str">
        <f>IFERROR(__xludf.DUMMYFUNCTION("""COMPUTED_VALUE"""),"")</f>
        <v/>
      </c>
      <c r="O1776" s="46" t="s">
        <v>1976</v>
      </c>
      <c r="P1776" s="47"/>
      <c r="Q1776" s="47"/>
      <c r="R1776" s="48" t="s">
        <v>1976</v>
      </c>
    </row>
    <row r="1777">
      <c r="B1777" s="45"/>
      <c r="N1777" s="46" t="str">
        <f>IFERROR(__xludf.DUMMYFUNCTION("""COMPUTED_VALUE"""),"")</f>
        <v/>
      </c>
      <c r="O1777" s="46" t="s">
        <v>1976</v>
      </c>
      <c r="P1777" s="47"/>
      <c r="Q1777" s="47"/>
      <c r="R1777" s="48" t="s">
        <v>1976</v>
      </c>
    </row>
    <row r="1778">
      <c r="B1778" s="45"/>
      <c r="N1778" s="46" t="str">
        <f>IFERROR(__xludf.DUMMYFUNCTION("""COMPUTED_VALUE"""),"")</f>
        <v/>
      </c>
      <c r="O1778" s="46" t="s">
        <v>1976</v>
      </c>
      <c r="P1778" s="47"/>
      <c r="Q1778" s="47"/>
      <c r="R1778" s="48" t="s">
        <v>1976</v>
      </c>
    </row>
    <row r="1779">
      <c r="B1779" s="45"/>
      <c r="N1779" s="46" t="str">
        <f>IFERROR(__xludf.DUMMYFUNCTION("""COMPUTED_VALUE"""),"")</f>
        <v/>
      </c>
      <c r="O1779" s="46" t="s">
        <v>1976</v>
      </c>
      <c r="P1779" s="47"/>
      <c r="Q1779" s="47"/>
      <c r="R1779" s="48" t="s">
        <v>1976</v>
      </c>
    </row>
    <row r="1780">
      <c r="B1780" s="45"/>
      <c r="N1780" s="46" t="str">
        <f>IFERROR(__xludf.DUMMYFUNCTION("""COMPUTED_VALUE"""),"")</f>
        <v/>
      </c>
      <c r="O1780" s="46" t="s">
        <v>1976</v>
      </c>
      <c r="P1780" s="47"/>
      <c r="Q1780" s="47"/>
      <c r="R1780" s="48" t="s">
        <v>1976</v>
      </c>
    </row>
    <row r="1781">
      <c r="B1781" s="45"/>
      <c r="N1781" s="46" t="str">
        <f>IFERROR(__xludf.DUMMYFUNCTION("""COMPUTED_VALUE"""),"")</f>
        <v/>
      </c>
      <c r="O1781" s="46" t="s">
        <v>1976</v>
      </c>
      <c r="P1781" s="47"/>
      <c r="Q1781" s="47"/>
      <c r="R1781" s="48" t="s">
        <v>1976</v>
      </c>
    </row>
    <row r="1782">
      <c r="B1782" s="45"/>
      <c r="N1782" s="46" t="str">
        <f>IFERROR(__xludf.DUMMYFUNCTION("""COMPUTED_VALUE"""),"")</f>
        <v/>
      </c>
      <c r="O1782" s="46" t="s">
        <v>1976</v>
      </c>
      <c r="P1782" s="47"/>
      <c r="Q1782" s="47"/>
      <c r="R1782" s="48" t="s">
        <v>1976</v>
      </c>
    </row>
    <row r="1783">
      <c r="B1783" s="45"/>
      <c r="N1783" s="46" t="str">
        <f>IFERROR(__xludf.DUMMYFUNCTION("""COMPUTED_VALUE"""),"")</f>
        <v/>
      </c>
      <c r="O1783" s="46" t="s">
        <v>1976</v>
      </c>
      <c r="P1783" s="47"/>
      <c r="Q1783" s="47"/>
      <c r="R1783" s="48" t="s">
        <v>1976</v>
      </c>
    </row>
    <row r="1784">
      <c r="B1784" s="45"/>
      <c r="N1784" s="46" t="str">
        <f>IFERROR(__xludf.DUMMYFUNCTION("""COMPUTED_VALUE"""),"")</f>
        <v/>
      </c>
      <c r="O1784" s="46" t="s">
        <v>1976</v>
      </c>
      <c r="P1784" s="47"/>
      <c r="Q1784" s="47"/>
      <c r="R1784" s="48" t="s">
        <v>1976</v>
      </c>
    </row>
    <row r="1785">
      <c r="B1785" s="45"/>
      <c r="N1785" s="46" t="str">
        <f>IFERROR(__xludf.DUMMYFUNCTION("""COMPUTED_VALUE"""),"")</f>
        <v/>
      </c>
      <c r="O1785" s="46" t="s">
        <v>1976</v>
      </c>
      <c r="P1785" s="47"/>
      <c r="Q1785" s="47"/>
      <c r="R1785" s="48" t="s">
        <v>1976</v>
      </c>
    </row>
    <row r="1786">
      <c r="B1786" s="45"/>
      <c r="N1786" s="46" t="str">
        <f>IFERROR(__xludf.DUMMYFUNCTION("""COMPUTED_VALUE"""),"")</f>
        <v/>
      </c>
      <c r="O1786" s="46" t="s">
        <v>1976</v>
      </c>
      <c r="P1786" s="47"/>
      <c r="Q1786" s="47"/>
      <c r="R1786" s="48" t="s">
        <v>1976</v>
      </c>
    </row>
    <row r="1787">
      <c r="B1787" s="45"/>
      <c r="N1787" s="46" t="str">
        <f>IFERROR(__xludf.DUMMYFUNCTION("""COMPUTED_VALUE"""),"")</f>
        <v/>
      </c>
      <c r="O1787" s="46" t="s">
        <v>1976</v>
      </c>
      <c r="P1787" s="47"/>
      <c r="Q1787" s="47"/>
      <c r="R1787" s="48" t="s">
        <v>1976</v>
      </c>
    </row>
    <row r="1788">
      <c r="B1788" s="45"/>
      <c r="N1788" s="46" t="str">
        <f>IFERROR(__xludf.DUMMYFUNCTION("""COMPUTED_VALUE"""),"")</f>
        <v/>
      </c>
      <c r="O1788" s="46" t="s">
        <v>1976</v>
      </c>
      <c r="P1788" s="47"/>
      <c r="Q1788" s="47"/>
      <c r="R1788" s="48" t="s">
        <v>1976</v>
      </c>
    </row>
    <row r="1789">
      <c r="B1789" s="45"/>
      <c r="N1789" s="46" t="str">
        <f>IFERROR(__xludf.DUMMYFUNCTION("""COMPUTED_VALUE"""),"")</f>
        <v/>
      </c>
      <c r="O1789" s="46" t="s">
        <v>1976</v>
      </c>
      <c r="P1789" s="47"/>
      <c r="Q1789" s="47"/>
      <c r="R1789" s="48" t="s">
        <v>1976</v>
      </c>
    </row>
    <row r="1790">
      <c r="B1790" s="45"/>
      <c r="N1790" s="46" t="str">
        <f>IFERROR(__xludf.DUMMYFUNCTION("""COMPUTED_VALUE"""),"")</f>
        <v/>
      </c>
      <c r="O1790" s="46" t="s">
        <v>1976</v>
      </c>
      <c r="P1790" s="47"/>
      <c r="Q1790" s="47"/>
      <c r="R1790" s="48" t="s">
        <v>1976</v>
      </c>
    </row>
    <row r="1791">
      <c r="B1791" s="45"/>
      <c r="N1791" s="46" t="str">
        <f>IFERROR(__xludf.DUMMYFUNCTION("""COMPUTED_VALUE"""),"")</f>
        <v/>
      </c>
      <c r="O1791" s="46" t="s">
        <v>1976</v>
      </c>
      <c r="P1791" s="47"/>
      <c r="Q1791" s="47"/>
      <c r="R1791" s="48" t="s">
        <v>1976</v>
      </c>
    </row>
    <row r="1792">
      <c r="B1792" s="45"/>
      <c r="N1792" s="46" t="str">
        <f>IFERROR(__xludf.DUMMYFUNCTION("""COMPUTED_VALUE"""),"")</f>
        <v/>
      </c>
      <c r="O1792" s="46" t="s">
        <v>1976</v>
      </c>
      <c r="P1792" s="47"/>
      <c r="Q1792" s="47"/>
      <c r="R1792" s="48" t="s">
        <v>1976</v>
      </c>
    </row>
    <row r="1793">
      <c r="B1793" s="45"/>
      <c r="N1793" s="46" t="str">
        <f>IFERROR(__xludf.DUMMYFUNCTION("""COMPUTED_VALUE"""),"")</f>
        <v/>
      </c>
      <c r="O1793" s="46" t="s">
        <v>1976</v>
      </c>
      <c r="P1793" s="47"/>
      <c r="Q1793" s="47"/>
      <c r="R1793" s="48" t="s">
        <v>1976</v>
      </c>
    </row>
    <row r="1794">
      <c r="B1794" s="45"/>
      <c r="N1794" s="46" t="str">
        <f>IFERROR(__xludf.DUMMYFUNCTION("""COMPUTED_VALUE"""),"")</f>
        <v/>
      </c>
      <c r="O1794" s="46" t="s">
        <v>1976</v>
      </c>
      <c r="P1794" s="47"/>
      <c r="Q1794" s="47"/>
      <c r="R1794" s="48" t="s">
        <v>1976</v>
      </c>
    </row>
    <row r="1795">
      <c r="B1795" s="45"/>
      <c r="N1795" s="46" t="str">
        <f>IFERROR(__xludf.DUMMYFUNCTION("""COMPUTED_VALUE"""),"")</f>
        <v/>
      </c>
      <c r="O1795" s="46" t="s">
        <v>1976</v>
      </c>
      <c r="P1795" s="47"/>
      <c r="Q1795" s="47"/>
      <c r="R1795" s="48" t="s">
        <v>1976</v>
      </c>
    </row>
    <row r="1796">
      <c r="B1796" s="45"/>
      <c r="N1796" s="46" t="str">
        <f>IFERROR(__xludf.DUMMYFUNCTION("""COMPUTED_VALUE"""),"")</f>
        <v/>
      </c>
      <c r="O1796" s="46" t="s">
        <v>1976</v>
      </c>
      <c r="P1796" s="47"/>
      <c r="Q1796" s="47"/>
      <c r="R1796" s="48" t="s">
        <v>1976</v>
      </c>
    </row>
    <row r="1797">
      <c r="B1797" s="45"/>
      <c r="N1797" s="46" t="str">
        <f>IFERROR(__xludf.DUMMYFUNCTION("""COMPUTED_VALUE"""),"")</f>
        <v/>
      </c>
      <c r="O1797" s="46" t="s">
        <v>1976</v>
      </c>
      <c r="P1797" s="47"/>
      <c r="Q1797" s="47"/>
      <c r="R1797" s="48" t="s">
        <v>1976</v>
      </c>
    </row>
    <row r="1798">
      <c r="B1798" s="45"/>
      <c r="N1798" s="46" t="str">
        <f>IFERROR(__xludf.DUMMYFUNCTION("""COMPUTED_VALUE"""),"")</f>
        <v/>
      </c>
      <c r="O1798" s="46" t="s">
        <v>1976</v>
      </c>
      <c r="P1798" s="47"/>
      <c r="Q1798" s="47"/>
      <c r="R1798" s="48" t="s">
        <v>1976</v>
      </c>
    </row>
    <row r="1799">
      <c r="B1799" s="45"/>
      <c r="N1799" s="46" t="str">
        <f>IFERROR(__xludf.DUMMYFUNCTION("""COMPUTED_VALUE"""),"")</f>
        <v/>
      </c>
      <c r="O1799" s="46" t="s">
        <v>1976</v>
      </c>
      <c r="P1799" s="47"/>
      <c r="Q1799" s="47"/>
      <c r="R1799" s="48" t="s">
        <v>1976</v>
      </c>
    </row>
    <row r="1800">
      <c r="B1800" s="45"/>
      <c r="N1800" s="46" t="str">
        <f>IFERROR(__xludf.DUMMYFUNCTION("""COMPUTED_VALUE"""),"")</f>
        <v/>
      </c>
      <c r="O1800" s="46" t="s">
        <v>1976</v>
      </c>
      <c r="P1800" s="47"/>
      <c r="Q1800" s="47"/>
      <c r="R1800" s="48" t="s">
        <v>1976</v>
      </c>
    </row>
    <row r="1801">
      <c r="B1801" s="45"/>
      <c r="N1801" s="46" t="str">
        <f>IFERROR(__xludf.DUMMYFUNCTION("""COMPUTED_VALUE"""),"")</f>
        <v/>
      </c>
      <c r="O1801" s="46" t="s">
        <v>1976</v>
      </c>
      <c r="P1801" s="47"/>
      <c r="Q1801" s="47"/>
      <c r="R1801" s="48" t="s">
        <v>1976</v>
      </c>
    </row>
    <row r="1802">
      <c r="B1802" s="45"/>
      <c r="N1802" s="46" t="str">
        <f>IFERROR(__xludf.DUMMYFUNCTION("""COMPUTED_VALUE"""),"")</f>
        <v/>
      </c>
      <c r="O1802" s="46" t="s">
        <v>1976</v>
      </c>
      <c r="P1802" s="47"/>
      <c r="Q1802" s="47"/>
      <c r="R1802" s="48" t="s">
        <v>1976</v>
      </c>
    </row>
    <row r="1803">
      <c r="B1803" s="45"/>
      <c r="N1803" s="46" t="str">
        <f>IFERROR(__xludf.DUMMYFUNCTION("""COMPUTED_VALUE"""),"")</f>
        <v/>
      </c>
      <c r="O1803" s="46" t="s">
        <v>1976</v>
      </c>
      <c r="P1803" s="47"/>
      <c r="Q1803" s="47"/>
      <c r="R1803" s="48" t="s">
        <v>1976</v>
      </c>
    </row>
    <row r="1804">
      <c r="B1804" s="45"/>
      <c r="N1804" s="46" t="str">
        <f>IFERROR(__xludf.DUMMYFUNCTION("""COMPUTED_VALUE"""),"")</f>
        <v/>
      </c>
      <c r="O1804" s="46" t="s">
        <v>1976</v>
      </c>
      <c r="P1804" s="47"/>
      <c r="Q1804" s="47"/>
      <c r="R1804" s="48" t="s">
        <v>1976</v>
      </c>
    </row>
    <row r="1805">
      <c r="B1805" s="45"/>
      <c r="N1805" s="46" t="str">
        <f>IFERROR(__xludf.DUMMYFUNCTION("""COMPUTED_VALUE"""),"")</f>
        <v/>
      </c>
      <c r="O1805" s="46" t="s">
        <v>1976</v>
      </c>
      <c r="P1805" s="47"/>
      <c r="Q1805" s="47"/>
      <c r="R1805" s="48" t="s">
        <v>1976</v>
      </c>
    </row>
    <row r="1806">
      <c r="B1806" s="45"/>
      <c r="N1806" s="46" t="str">
        <f>IFERROR(__xludf.DUMMYFUNCTION("""COMPUTED_VALUE"""),"")</f>
        <v/>
      </c>
      <c r="O1806" s="46" t="s">
        <v>1976</v>
      </c>
      <c r="P1806" s="47"/>
      <c r="Q1806" s="47"/>
      <c r="R1806" s="48" t="s">
        <v>1976</v>
      </c>
    </row>
    <row r="1807">
      <c r="B1807" s="45"/>
      <c r="N1807" s="46" t="str">
        <f>IFERROR(__xludf.DUMMYFUNCTION("""COMPUTED_VALUE"""),"")</f>
        <v/>
      </c>
      <c r="O1807" s="46" t="s">
        <v>1976</v>
      </c>
      <c r="P1807" s="47"/>
      <c r="Q1807" s="47"/>
      <c r="R1807" s="48" t="s">
        <v>1976</v>
      </c>
    </row>
    <row r="1808">
      <c r="B1808" s="45"/>
      <c r="N1808" s="46" t="str">
        <f>IFERROR(__xludf.DUMMYFUNCTION("""COMPUTED_VALUE"""),"")</f>
        <v/>
      </c>
      <c r="O1808" s="46" t="s">
        <v>1976</v>
      </c>
      <c r="P1808" s="47"/>
      <c r="Q1808" s="47"/>
      <c r="R1808" s="48" t="s">
        <v>1976</v>
      </c>
    </row>
    <row r="1809">
      <c r="B1809" s="45"/>
      <c r="N1809" s="46" t="str">
        <f>IFERROR(__xludf.DUMMYFUNCTION("""COMPUTED_VALUE"""),"")</f>
        <v/>
      </c>
      <c r="O1809" s="46" t="s">
        <v>1976</v>
      </c>
      <c r="P1809" s="47"/>
      <c r="Q1809" s="47"/>
      <c r="R1809" s="48" t="s">
        <v>1976</v>
      </c>
    </row>
    <row r="1810">
      <c r="B1810" s="45"/>
      <c r="N1810" s="46" t="str">
        <f>IFERROR(__xludf.DUMMYFUNCTION("""COMPUTED_VALUE"""),"")</f>
        <v/>
      </c>
      <c r="O1810" s="46" t="s">
        <v>1976</v>
      </c>
      <c r="P1810" s="47"/>
      <c r="Q1810" s="47"/>
      <c r="R1810" s="48" t="s">
        <v>1976</v>
      </c>
    </row>
    <row r="1811">
      <c r="B1811" s="45"/>
      <c r="N1811" s="46" t="str">
        <f>IFERROR(__xludf.DUMMYFUNCTION("""COMPUTED_VALUE"""),"")</f>
        <v/>
      </c>
      <c r="O1811" s="46" t="s">
        <v>1976</v>
      </c>
      <c r="P1811" s="47"/>
      <c r="Q1811" s="47"/>
      <c r="R1811" s="48" t="s">
        <v>1976</v>
      </c>
    </row>
    <row r="1812">
      <c r="B1812" s="45"/>
      <c r="N1812" s="46" t="str">
        <f>IFERROR(__xludf.DUMMYFUNCTION("""COMPUTED_VALUE"""),"")</f>
        <v/>
      </c>
      <c r="O1812" s="46" t="s">
        <v>1976</v>
      </c>
      <c r="P1812" s="47"/>
      <c r="Q1812" s="47"/>
      <c r="R1812" s="48" t="s">
        <v>1976</v>
      </c>
    </row>
    <row r="1813">
      <c r="B1813" s="45"/>
      <c r="N1813" s="46" t="str">
        <f>IFERROR(__xludf.DUMMYFUNCTION("""COMPUTED_VALUE"""),"")</f>
        <v/>
      </c>
      <c r="O1813" s="46" t="s">
        <v>1976</v>
      </c>
      <c r="P1813" s="47"/>
      <c r="Q1813" s="47"/>
      <c r="R1813" s="48" t="s">
        <v>1976</v>
      </c>
    </row>
    <row r="1814">
      <c r="B1814" s="45"/>
      <c r="N1814" s="46" t="str">
        <f>IFERROR(__xludf.DUMMYFUNCTION("""COMPUTED_VALUE"""),"")</f>
        <v/>
      </c>
      <c r="O1814" s="46" t="s">
        <v>1976</v>
      </c>
      <c r="P1814" s="47"/>
      <c r="Q1814" s="47"/>
      <c r="R1814" s="48" t="s">
        <v>1976</v>
      </c>
    </row>
    <row r="1815">
      <c r="B1815" s="45"/>
      <c r="N1815" s="46" t="str">
        <f>IFERROR(__xludf.DUMMYFUNCTION("""COMPUTED_VALUE"""),"")</f>
        <v/>
      </c>
      <c r="O1815" s="46" t="s">
        <v>1976</v>
      </c>
      <c r="P1815" s="47"/>
      <c r="Q1815" s="47"/>
      <c r="R1815" s="48" t="s">
        <v>1976</v>
      </c>
    </row>
    <row r="1816">
      <c r="B1816" s="45"/>
      <c r="N1816" s="46" t="str">
        <f>IFERROR(__xludf.DUMMYFUNCTION("""COMPUTED_VALUE"""),"")</f>
        <v/>
      </c>
      <c r="O1816" s="46" t="s">
        <v>1976</v>
      </c>
      <c r="P1816" s="47"/>
      <c r="Q1816" s="47"/>
      <c r="R1816" s="48" t="s">
        <v>1976</v>
      </c>
    </row>
    <row r="1817">
      <c r="B1817" s="45"/>
      <c r="N1817" s="46" t="str">
        <f>IFERROR(__xludf.DUMMYFUNCTION("""COMPUTED_VALUE"""),"")</f>
        <v/>
      </c>
      <c r="O1817" s="46" t="s">
        <v>1976</v>
      </c>
      <c r="P1817" s="47"/>
      <c r="Q1817" s="47"/>
      <c r="R1817" s="48" t="s">
        <v>1976</v>
      </c>
    </row>
    <row r="1818">
      <c r="B1818" s="45"/>
      <c r="N1818" s="46" t="str">
        <f>IFERROR(__xludf.DUMMYFUNCTION("""COMPUTED_VALUE"""),"")</f>
        <v/>
      </c>
      <c r="O1818" s="46" t="s">
        <v>1976</v>
      </c>
      <c r="P1818" s="47"/>
      <c r="Q1818" s="47"/>
      <c r="R1818" s="48" t="s">
        <v>1976</v>
      </c>
    </row>
    <row r="1819">
      <c r="B1819" s="45"/>
      <c r="N1819" s="46" t="str">
        <f>IFERROR(__xludf.DUMMYFUNCTION("""COMPUTED_VALUE"""),"")</f>
        <v/>
      </c>
      <c r="O1819" s="46" t="s">
        <v>1976</v>
      </c>
      <c r="P1819" s="47"/>
      <c r="Q1819" s="47"/>
      <c r="R1819" s="48" t="s">
        <v>1976</v>
      </c>
    </row>
    <row r="1820">
      <c r="B1820" s="45"/>
      <c r="N1820" s="46" t="str">
        <f>IFERROR(__xludf.DUMMYFUNCTION("""COMPUTED_VALUE"""),"")</f>
        <v/>
      </c>
      <c r="O1820" s="46" t="s">
        <v>1976</v>
      </c>
      <c r="P1820" s="47"/>
      <c r="Q1820" s="47"/>
      <c r="R1820" s="48" t="s">
        <v>1976</v>
      </c>
    </row>
    <row r="1821">
      <c r="B1821" s="45"/>
      <c r="N1821" s="46" t="str">
        <f>IFERROR(__xludf.DUMMYFUNCTION("""COMPUTED_VALUE"""),"")</f>
        <v/>
      </c>
      <c r="O1821" s="46" t="s">
        <v>1976</v>
      </c>
      <c r="P1821" s="47"/>
      <c r="Q1821" s="47"/>
      <c r="R1821" s="48" t="s">
        <v>1976</v>
      </c>
    </row>
    <row r="1822">
      <c r="B1822" s="45"/>
      <c r="N1822" s="46" t="str">
        <f>IFERROR(__xludf.DUMMYFUNCTION("""COMPUTED_VALUE"""),"")</f>
        <v/>
      </c>
      <c r="O1822" s="46" t="s">
        <v>1976</v>
      </c>
      <c r="P1822" s="47"/>
      <c r="Q1822" s="47"/>
      <c r="R1822" s="48" t="s">
        <v>1976</v>
      </c>
    </row>
    <row r="1823">
      <c r="B1823" s="45"/>
      <c r="N1823" s="46" t="str">
        <f>IFERROR(__xludf.DUMMYFUNCTION("""COMPUTED_VALUE"""),"")</f>
        <v/>
      </c>
      <c r="O1823" s="46" t="s">
        <v>1976</v>
      </c>
      <c r="P1823" s="47"/>
      <c r="Q1823" s="47"/>
      <c r="R1823" s="48" t="s">
        <v>1976</v>
      </c>
    </row>
    <row r="1824">
      <c r="B1824" s="45"/>
      <c r="N1824" s="46" t="str">
        <f>IFERROR(__xludf.DUMMYFUNCTION("""COMPUTED_VALUE"""),"")</f>
        <v/>
      </c>
      <c r="O1824" s="46" t="s">
        <v>1976</v>
      </c>
      <c r="P1824" s="47"/>
      <c r="Q1824" s="47"/>
      <c r="R1824" s="48" t="s">
        <v>1976</v>
      </c>
    </row>
    <row r="1825">
      <c r="B1825" s="45"/>
      <c r="N1825" s="46" t="str">
        <f>IFERROR(__xludf.DUMMYFUNCTION("""COMPUTED_VALUE"""),"")</f>
        <v/>
      </c>
      <c r="O1825" s="46" t="s">
        <v>1976</v>
      </c>
      <c r="P1825" s="47"/>
      <c r="Q1825" s="47"/>
      <c r="R1825" s="48" t="s">
        <v>1976</v>
      </c>
    </row>
    <row r="1826">
      <c r="B1826" s="45"/>
      <c r="N1826" s="46" t="str">
        <f>IFERROR(__xludf.DUMMYFUNCTION("""COMPUTED_VALUE"""),"")</f>
        <v/>
      </c>
      <c r="O1826" s="46" t="s">
        <v>1976</v>
      </c>
      <c r="P1826" s="47"/>
      <c r="Q1826" s="47"/>
      <c r="R1826" s="48" t="s">
        <v>1976</v>
      </c>
    </row>
    <row r="1827">
      <c r="B1827" s="45"/>
      <c r="N1827" s="46" t="str">
        <f>IFERROR(__xludf.DUMMYFUNCTION("""COMPUTED_VALUE"""),"")</f>
        <v/>
      </c>
      <c r="O1827" s="46" t="s">
        <v>1976</v>
      </c>
      <c r="P1827" s="47"/>
      <c r="Q1827" s="47"/>
      <c r="R1827" s="48" t="s">
        <v>1976</v>
      </c>
    </row>
    <row r="1828">
      <c r="B1828" s="45"/>
      <c r="N1828" s="46" t="str">
        <f>IFERROR(__xludf.DUMMYFUNCTION("""COMPUTED_VALUE"""),"")</f>
        <v/>
      </c>
      <c r="O1828" s="46" t="s">
        <v>1976</v>
      </c>
      <c r="P1828" s="47"/>
      <c r="Q1828" s="47"/>
      <c r="R1828" s="48" t="s">
        <v>1976</v>
      </c>
    </row>
    <row r="1829">
      <c r="B1829" s="45"/>
      <c r="N1829" s="46" t="str">
        <f>IFERROR(__xludf.DUMMYFUNCTION("""COMPUTED_VALUE"""),"")</f>
        <v/>
      </c>
      <c r="O1829" s="46" t="s">
        <v>1976</v>
      </c>
      <c r="P1829" s="47"/>
      <c r="Q1829" s="47"/>
      <c r="R1829" s="48" t="s">
        <v>1976</v>
      </c>
    </row>
    <row r="1830">
      <c r="B1830" s="45"/>
      <c r="N1830" s="46" t="str">
        <f>IFERROR(__xludf.DUMMYFUNCTION("""COMPUTED_VALUE"""),"")</f>
        <v/>
      </c>
      <c r="O1830" s="46" t="s">
        <v>1976</v>
      </c>
      <c r="P1830" s="47"/>
      <c r="Q1830" s="47"/>
      <c r="R1830" s="48" t="s">
        <v>1976</v>
      </c>
    </row>
    <row r="1831">
      <c r="B1831" s="45"/>
      <c r="N1831" s="46" t="str">
        <f>IFERROR(__xludf.DUMMYFUNCTION("""COMPUTED_VALUE"""),"")</f>
        <v/>
      </c>
      <c r="O1831" s="46" t="s">
        <v>1976</v>
      </c>
      <c r="P1831" s="47"/>
      <c r="Q1831" s="47"/>
      <c r="R1831" s="48" t="s">
        <v>1976</v>
      </c>
    </row>
    <row r="1832">
      <c r="B1832" s="45"/>
      <c r="N1832" s="46" t="str">
        <f>IFERROR(__xludf.DUMMYFUNCTION("""COMPUTED_VALUE"""),"")</f>
        <v/>
      </c>
      <c r="O1832" s="46" t="s">
        <v>1976</v>
      </c>
      <c r="P1832" s="47"/>
      <c r="Q1832" s="47"/>
      <c r="R1832" s="48" t="s">
        <v>1976</v>
      </c>
    </row>
    <row r="1833">
      <c r="B1833" s="45"/>
      <c r="N1833" s="46" t="str">
        <f>IFERROR(__xludf.DUMMYFUNCTION("""COMPUTED_VALUE"""),"")</f>
        <v/>
      </c>
      <c r="O1833" s="46" t="s">
        <v>1976</v>
      </c>
      <c r="P1833" s="47"/>
      <c r="Q1833" s="47"/>
      <c r="R1833" s="48" t="s">
        <v>1976</v>
      </c>
    </row>
    <row r="1834">
      <c r="B1834" s="45"/>
      <c r="N1834" s="46" t="str">
        <f>IFERROR(__xludf.DUMMYFUNCTION("""COMPUTED_VALUE"""),"")</f>
        <v/>
      </c>
      <c r="O1834" s="46" t="s">
        <v>1976</v>
      </c>
      <c r="P1834" s="47"/>
      <c r="Q1834" s="47"/>
      <c r="R1834" s="48" t="s">
        <v>1976</v>
      </c>
    </row>
    <row r="1835">
      <c r="B1835" s="45"/>
      <c r="N1835" s="46" t="str">
        <f>IFERROR(__xludf.DUMMYFUNCTION("""COMPUTED_VALUE"""),"")</f>
        <v/>
      </c>
      <c r="O1835" s="46" t="s">
        <v>1976</v>
      </c>
      <c r="P1835" s="47"/>
      <c r="Q1835" s="47"/>
      <c r="R1835" s="48" t="s">
        <v>1976</v>
      </c>
    </row>
    <row r="1836">
      <c r="B1836" s="45"/>
      <c r="N1836" s="46" t="str">
        <f>IFERROR(__xludf.DUMMYFUNCTION("""COMPUTED_VALUE"""),"")</f>
        <v/>
      </c>
      <c r="O1836" s="46" t="s">
        <v>1976</v>
      </c>
      <c r="P1836" s="47"/>
      <c r="Q1836" s="47"/>
      <c r="R1836" s="48" t="s">
        <v>1976</v>
      </c>
    </row>
    <row r="1837">
      <c r="B1837" s="45"/>
      <c r="N1837" s="46" t="str">
        <f>IFERROR(__xludf.DUMMYFUNCTION("""COMPUTED_VALUE"""),"")</f>
        <v/>
      </c>
      <c r="O1837" s="46" t="s">
        <v>1976</v>
      </c>
      <c r="P1837" s="47"/>
      <c r="Q1837" s="47"/>
      <c r="R1837" s="48" t="s">
        <v>1976</v>
      </c>
    </row>
    <row r="1838">
      <c r="B1838" s="45"/>
      <c r="N1838" s="46" t="str">
        <f>IFERROR(__xludf.DUMMYFUNCTION("""COMPUTED_VALUE"""),"")</f>
        <v/>
      </c>
      <c r="O1838" s="46" t="s">
        <v>1976</v>
      </c>
      <c r="P1838" s="47"/>
      <c r="Q1838" s="47"/>
      <c r="R1838" s="48" t="s">
        <v>1976</v>
      </c>
    </row>
    <row r="1839">
      <c r="B1839" s="45"/>
      <c r="N1839" s="46" t="str">
        <f>IFERROR(__xludf.DUMMYFUNCTION("""COMPUTED_VALUE"""),"")</f>
        <v/>
      </c>
      <c r="O1839" s="46" t="s">
        <v>1976</v>
      </c>
      <c r="P1839" s="47"/>
      <c r="Q1839" s="47"/>
      <c r="R1839" s="48" t="s">
        <v>1976</v>
      </c>
    </row>
    <row r="1840">
      <c r="B1840" s="45"/>
      <c r="N1840" s="46" t="str">
        <f>IFERROR(__xludf.DUMMYFUNCTION("""COMPUTED_VALUE"""),"")</f>
        <v/>
      </c>
      <c r="O1840" s="46" t="s">
        <v>1976</v>
      </c>
      <c r="P1840" s="47"/>
      <c r="Q1840" s="47"/>
      <c r="R1840" s="48" t="s">
        <v>1976</v>
      </c>
    </row>
    <row r="1841">
      <c r="B1841" s="45"/>
      <c r="N1841" s="46" t="str">
        <f>IFERROR(__xludf.DUMMYFUNCTION("""COMPUTED_VALUE"""),"")</f>
        <v/>
      </c>
      <c r="O1841" s="46" t="s">
        <v>1976</v>
      </c>
      <c r="P1841" s="47"/>
      <c r="Q1841" s="47"/>
      <c r="R1841" s="48" t="s">
        <v>1976</v>
      </c>
    </row>
    <row r="1842">
      <c r="B1842" s="45"/>
      <c r="N1842" s="46" t="str">
        <f>IFERROR(__xludf.DUMMYFUNCTION("""COMPUTED_VALUE"""),"")</f>
        <v/>
      </c>
      <c r="O1842" s="46" t="s">
        <v>1976</v>
      </c>
      <c r="P1842" s="47"/>
      <c r="Q1842" s="47"/>
      <c r="R1842" s="48" t="s">
        <v>1976</v>
      </c>
    </row>
    <row r="1843">
      <c r="B1843" s="45"/>
      <c r="N1843" s="46" t="str">
        <f>IFERROR(__xludf.DUMMYFUNCTION("""COMPUTED_VALUE"""),"")</f>
        <v/>
      </c>
      <c r="O1843" s="46" t="s">
        <v>1976</v>
      </c>
      <c r="P1843" s="47"/>
      <c r="Q1843" s="47"/>
      <c r="R1843" s="48" t="s">
        <v>1976</v>
      </c>
    </row>
    <row r="1844">
      <c r="B1844" s="45"/>
      <c r="N1844" s="46" t="str">
        <f>IFERROR(__xludf.DUMMYFUNCTION("""COMPUTED_VALUE"""),"")</f>
        <v/>
      </c>
      <c r="O1844" s="46" t="s">
        <v>1976</v>
      </c>
      <c r="P1844" s="47"/>
      <c r="Q1844" s="47"/>
      <c r="R1844" s="48" t="s">
        <v>1976</v>
      </c>
    </row>
    <row r="1845">
      <c r="B1845" s="45"/>
      <c r="N1845" s="46" t="str">
        <f>IFERROR(__xludf.DUMMYFUNCTION("""COMPUTED_VALUE"""),"")</f>
        <v/>
      </c>
      <c r="O1845" s="46" t="s">
        <v>1976</v>
      </c>
      <c r="P1845" s="47"/>
      <c r="Q1845" s="47"/>
      <c r="R1845" s="48" t="s">
        <v>1976</v>
      </c>
    </row>
    <row r="1846">
      <c r="B1846" s="45"/>
      <c r="N1846" s="46" t="str">
        <f>IFERROR(__xludf.DUMMYFUNCTION("""COMPUTED_VALUE"""),"")</f>
        <v/>
      </c>
      <c r="O1846" s="46" t="s">
        <v>1976</v>
      </c>
      <c r="P1846" s="47"/>
      <c r="Q1846" s="47"/>
      <c r="R1846" s="48" t="s">
        <v>1976</v>
      </c>
    </row>
    <row r="1847">
      <c r="B1847" s="45"/>
      <c r="N1847" s="46" t="str">
        <f>IFERROR(__xludf.DUMMYFUNCTION("""COMPUTED_VALUE"""),"")</f>
        <v/>
      </c>
      <c r="O1847" s="46" t="s">
        <v>1976</v>
      </c>
      <c r="P1847" s="47"/>
      <c r="Q1847" s="47"/>
      <c r="R1847" s="48" t="s">
        <v>1976</v>
      </c>
    </row>
    <row r="1848">
      <c r="B1848" s="45"/>
      <c r="N1848" s="46" t="str">
        <f>IFERROR(__xludf.DUMMYFUNCTION("""COMPUTED_VALUE"""),"")</f>
        <v/>
      </c>
      <c r="O1848" s="46" t="s">
        <v>1976</v>
      </c>
      <c r="P1848" s="47"/>
      <c r="Q1848" s="47"/>
      <c r="R1848" s="48" t="s">
        <v>1976</v>
      </c>
    </row>
    <row r="1849">
      <c r="B1849" s="45"/>
      <c r="N1849" s="46" t="str">
        <f>IFERROR(__xludf.DUMMYFUNCTION("""COMPUTED_VALUE"""),"")</f>
        <v/>
      </c>
      <c r="O1849" s="46" t="s">
        <v>1976</v>
      </c>
      <c r="P1849" s="47"/>
      <c r="Q1849" s="47"/>
      <c r="R1849" s="48" t="s">
        <v>1976</v>
      </c>
    </row>
    <row r="1850">
      <c r="B1850" s="45"/>
      <c r="N1850" s="46" t="str">
        <f>IFERROR(__xludf.DUMMYFUNCTION("""COMPUTED_VALUE"""),"")</f>
        <v/>
      </c>
      <c r="O1850" s="46" t="s">
        <v>1976</v>
      </c>
      <c r="P1850" s="47"/>
      <c r="Q1850" s="47"/>
      <c r="R1850" s="48" t="s">
        <v>1976</v>
      </c>
    </row>
    <row r="1851">
      <c r="B1851" s="45"/>
      <c r="N1851" s="46" t="str">
        <f>IFERROR(__xludf.DUMMYFUNCTION("""COMPUTED_VALUE"""),"")</f>
        <v/>
      </c>
      <c r="O1851" s="46" t="s">
        <v>1976</v>
      </c>
      <c r="P1851" s="47"/>
      <c r="Q1851" s="47"/>
      <c r="R1851" s="48" t="s">
        <v>1976</v>
      </c>
    </row>
    <row r="1852">
      <c r="B1852" s="45"/>
      <c r="N1852" s="46" t="str">
        <f>IFERROR(__xludf.DUMMYFUNCTION("""COMPUTED_VALUE"""),"")</f>
        <v/>
      </c>
      <c r="O1852" s="46" t="s">
        <v>1976</v>
      </c>
      <c r="P1852" s="47"/>
      <c r="Q1852" s="47"/>
      <c r="R1852" s="48" t="s">
        <v>1976</v>
      </c>
    </row>
    <row r="1853">
      <c r="B1853" s="45"/>
      <c r="N1853" s="46" t="str">
        <f>IFERROR(__xludf.DUMMYFUNCTION("""COMPUTED_VALUE"""),"")</f>
        <v/>
      </c>
      <c r="O1853" s="46" t="s">
        <v>1976</v>
      </c>
      <c r="P1853" s="47"/>
      <c r="Q1853" s="47"/>
      <c r="R1853" s="48" t="s">
        <v>1976</v>
      </c>
    </row>
    <row r="1854">
      <c r="B1854" s="45"/>
      <c r="N1854" s="46" t="str">
        <f>IFERROR(__xludf.DUMMYFUNCTION("""COMPUTED_VALUE"""),"")</f>
        <v/>
      </c>
      <c r="O1854" s="46" t="s">
        <v>1976</v>
      </c>
      <c r="P1854" s="47"/>
      <c r="Q1854" s="47"/>
      <c r="R1854" s="48" t="s">
        <v>1976</v>
      </c>
    </row>
    <row r="1855">
      <c r="B1855" s="45"/>
      <c r="N1855" s="46" t="str">
        <f>IFERROR(__xludf.DUMMYFUNCTION("""COMPUTED_VALUE"""),"")</f>
        <v/>
      </c>
      <c r="O1855" s="46" t="s">
        <v>1976</v>
      </c>
      <c r="P1855" s="47"/>
      <c r="Q1855" s="47"/>
      <c r="R1855" s="48" t="s">
        <v>1976</v>
      </c>
    </row>
    <row r="1856">
      <c r="B1856" s="45"/>
      <c r="N1856" s="46" t="str">
        <f>IFERROR(__xludf.DUMMYFUNCTION("""COMPUTED_VALUE"""),"")</f>
        <v/>
      </c>
      <c r="O1856" s="46" t="s">
        <v>1976</v>
      </c>
      <c r="P1856" s="47"/>
      <c r="Q1856" s="47"/>
      <c r="R1856" s="48" t="s">
        <v>1976</v>
      </c>
    </row>
    <row r="1857">
      <c r="B1857" s="45"/>
      <c r="N1857" s="46" t="str">
        <f>IFERROR(__xludf.DUMMYFUNCTION("""COMPUTED_VALUE"""),"")</f>
        <v/>
      </c>
      <c r="O1857" s="46" t="s">
        <v>1976</v>
      </c>
      <c r="P1857" s="47"/>
      <c r="Q1857" s="47"/>
      <c r="R1857" s="48" t="s">
        <v>1976</v>
      </c>
    </row>
    <row r="1858">
      <c r="B1858" s="45"/>
      <c r="N1858" s="46" t="str">
        <f>IFERROR(__xludf.DUMMYFUNCTION("""COMPUTED_VALUE"""),"")</f>
        <v/>
      </c>
      <c r="O1858" s="46" t="s">
        <v>1976</v>
      </c>
      <c r="P1858" s="47"/>
      <c r="Q1858" s="47"/>
      <c r="R1858" s="48" t="s">
        <v>1976</v>
      </c>
    </row>
    <row r="1859">
      <c r="B1859" s="45"/>
      <c r="N1859" s="46" t="str">
        <f>IFERROR(__xludf.DUMMYFUNCTION("""COMPUTED_VALUE"""),"")</f>
        <v/>
      </c>
      <c r="O1859" s="46" t="s">
        <v>1976</v>
      </c>
      <c r="P1859" s="47"/>
      <c r="Q1859" s="47"/>
      <c r="R1859" s="48" t="s">
        <v>1976</v>
      </c>
    </row>
    <row r="1860">
      <c r="B1860" s="45"/>
      <c r="N1860" s="46" t="str">
        <f>IFERROR(__xludf.DUMMYFUNCTION("""COMPUTED_VALUE"""),"")</f>
        <v/>
      </c>
      <c r="O1860" s="46" t="s">
        <v>1976</v>
      </c>
      <c r="P1860" s="47"/>
      <c r="Q1860" s="47"/>
      <c r="R1860" s="48" t="s">
        <v>1976</v>
      </c>
    </row>
    <row r="1861">
      <c r="B1861" s="45"/>
      <c r="N1861" s="46" t="str">
        <f>IFERROR(__xludf.DUMMYFUNCTION("""COMPUTED_VALUE"""),"")</f>
        <v/>
      </c>
      <c r="O1861" s="46" t="s">
        <v>1976</v>
      </c>
      <c r="P1861" s="47"/>
      <c r="Q1861" s="47"/>
      <c r="R1861" s="48" t="s">
        <v>1976</v>
      </c>
    </row>
    <row r="1862">
      <c r="B1862" s="45"/>
      <c r="N1862" s="46" t="str">
        <f>IFERROR(__xludf.DUMMYFUNCTION("""COMPUTED_VALUE"""),"")</f>
        <v/>
      </c>
      <c r="O1862" s="46" t="s">
        <v>1976</v>
      </c>
      <c r="P1862" s="47"/>
      <c r="Q1862" s="47"/>
      <c r="R1862" s="48" t="s">
        <v>1976</v>
      </c>
    </row>
    <row r="1863">
      <c r="B1863" s="45"/>
      <c r="N1863" s="46" t="str">
        <f>IFERROR(__xludf.DUMMYFUNCTION("""COMPUTED_VALUE"""),"")</f>
        <v/>
      </c>
      <c r="O1863" s="46" t="s">
        <v>1976</v>
      </c>
      <c r="P1863" s="47"/>
      <c r="Q1863" s="47"/>
      <c r="R1863" s="48" t="s">
        <v>1976</v>
      </c>
    </row>
    <row r="1864">
      <c r="B1864" s="45"/>
      <c r="N1864" s="46" t="str">
        <f>IFERROR(__xludf.DUMMYFUNCTION("""COMPUTED_VALUE"""),"")</f>
        <v/>
      </c>
      <c r="O1864" s="46" t="s">
        <v>1976</v>
      </c>
      <c r="P1864" s="47"/>
      <c r="Q1864" s="47"/>
      <c r="R1864" s="48" t="s">
        <v>1976</v>
      </c>
    </row>
    <row r="1865">
      <c r="B1865" s="45"/>
      <c r="N1865" s="46" t="str">
        <f>IFERROR(__xludf.DUMMYFUNCTION("""COMPUTED_VALUE"""),"")</f>
        <v/>
      </c>
      <c r="O1865" s="46" t="s">
        <v>1976</v>
      </c>
      <c r="P1865" s="47"/>
      <c r="Q1865" s="47"/>
      <c r="R1865" s="48" t="s">
        <v>1976</v>
      </c>
    </row>
    <row r="1866">
      <c r="B1866" s="45"/>
      <c r="N1866" s="46" t="str">
        <f>IFERROR(__xludf.DUMMYFUNCTION("""COMPUTED_VALUE"""),"")</f>
        <v/>
      </c>
      <c r="O1866" s="46" t="s">
        <v>1976</v>
      </c>
      <c r="P1866" s="47"/>
      <c r="Q1866" s="47"/>
      <c r="R1866" s="48" t="s">
        <v>1976</v>
      </c>
    </row>
    <row r="1867">
      <c r="B1867" s="45"/>
      <c r="N1867" s="46" t="str">
        <f>IFERROR(__xludf.DUMMYFUNCTION("""COMPUTED_VALUE"""),"")</f>
        <v/>
      </c>
      <c r="O1867" s="46" t="s">
        <v>1976</v>
      </c>
      <c r="P1867" s="47"/>
      <c r="Q1867" s="47"/>
      <c r="R1867" s="48" t="s">
        <v>1976</v>
      </c>
    </row>
    <row r="1868">
      <c r="B1868" s="45"/>
      <c r="N1868" s="46" t="str">
        <f>IFERROR(__xludf.DUMMYFUNCTION("""COMPUTED_VALUE"""),"")</f>
        <v/>
      </c>
      <c r="O1868" s="46" t="s">
        <v>1976</v>
      </c>
      <c r="P1868" s="47"/>
      <c r="Q1868" s="47"/>
      <c r="R1868" s="48" t="s">
        <v>1976</v>
      </c>
    </row>
    <row r="1869">
      <c r="B1869" s="45"/>
      <c r="N1869" s="46" t="str">
        <f>IFERROR(__xludf.DUMMYFUNCTION("""COMPUTED_VALUE"""),"")</f>
        <v/>
      </c>
      <c r="O1869" s="46" t="s">
        <v>1976</v>
      </c>
      <c r="P1869" s="47"/>
      <c r="Q1869" s="47"/>
      <c r="R1869" s="48" t="s">
        <v>1976</v>
      </c>
    </row>
    <row r="1870">
      <c r="B1870" s="45"/>
      <c r="N1870" s="46" t="str">
        <f>IFERROR(__xludf.DUMMYFUNCTION("""COMPUTED_VALUE"""),"")</f>
        <v/>
      </c>
      <c r="O1870" s="46" t="s">
        <v>1976</v>
      </c>
      <c r="P1870" s="47"/>
      <c r="Q1870" s="47"/>
      <c r="R1870" s="48" t="s">
        <v>1976</v>
      </c>
    </row>
    <row r="1871">
      <c r="B1871" s="45"/>
      <c r="N1871" s="46" t="str">
        <f>IFERROR(__xludf.DUMMYFUNCTION("""COMPUTED_VALUE"""),"")</f>
        <v/>
      </c>
      <c r="O1871" s="46" t="s">
        <v>1976</v>
      </c>
      <c r="P1871" s="47"/>
      <c r="Q1871" s="47"/>
      <c r="R1871" s="48" t="s">
        <v>1976</v>
      </c>
    </row>
    <row r="1872">
      <c r="B1872" s="45"/>
      <c r="N1872" s="46" t="str">
        <f>IFERROR(__xludf.DUMMYFUNCTION("""COMPUTED_VALUE"""),"")</f>
        <v/>
      </c>
      <c r="O1872" s="46" t="s">
        <v>1976</v>
      </c>
      <c r="P1872" s="47"/>
      <c r="Q1872" s="47"/>
      <c r="R1872" s="48" t="s">
        <v>1976</v>
      </c>
    </row>
    <row r="1873">
      <c r="B1873" s="45"/>
      <c r="N1873" s="46" t="str">
        <f>IFERROR(__xludf.DUMMYFUNCTION("""COMPUTED_VALUE"""),"")</f>
        <v/>
      </c>
      <c r="O1873" s="46" t="s">
        <v>1976</v>
      </c>
      <c r="P1873" s="47"/>
      <c r="Q1873" s="47"/>
      <c r="R1873" s="48" t="s">
        <v>1976</v>
      </c>
    </row>
    <row r="1874">
      <c r="B1874" s="45"/>
      <c r="N1874" s="46" t="str">
        <f>IFERROR(__xludf.DUMMYFUNCTION("""COMPUTED_VALUE"""),"")</f>
        <v/>
      </c>
      <c r="O1874" s="46" t="s">
        <v>1976</v>
      </c>
      <c r="P1874" s="47"/>
      <c r="Q1874" s="47"/>
      <c r="R1874" s="48" t="s">
        <v>1976</v>
      </c>
    </row>
    <row r="1875">
      <c r="B1875" s="45"/>
      <c r="N1875" s="46" t="str">
        <f>IFERROR(__xludf.DUMMYFUNCTION("""COMPUTED_VALUE"""),"")</f>
        <v/>
      </c>
      <c r="O1875" s="46" t="s">
        <v>1976</v>
      </c>
      <c r="P1875" s="47"/>
      <c r="Q1875" s="47"/>
      <c r="R1875" s="48" t="s">
        <v>1976</v>
      </c>
    </row>
    <row r="1876">
      <c r="B1876" s="45"/>
      <c r="N1876" s="46" t="str">
        <f>IFERROR(__xludf.DUMMYFUNCTION("""COMPUTED_VALUE"""),"")</f>
        <v/>
      </c>
      <c r="O1876" s="46" t="s">
        <v>1976</v>
      </c>
      <c r="P1876" s="47"/>
      <c r="Q1876" s="47"/>
      <c r="R1876" s="48" t="s">
        <v>1976</v>
      </c>
    </row>
    <row r="1877">
      <c r="B1877" s="45"/>
      <c r="N1877" s="46" t="str">
        <f>IFERROR(__xludf.DUMMYFUNCTION("""COMPUTED_VALUE"""),"")</f>
        <v/>
      </c>
      <c r="O1877" s="46" t="s">
        <v>1976</v>
      </c>
      <c r="P1877" s="47"/>
      <c r="Q1877" s="47"/>
      <c r="R1877" s="48" t="s">
        <v>1976</v>
      </c>
    </row>
    <row r="1878">
      <c r="B1878" s="45"/>
      <c r="N1878" s="46" t="str">
        <f>IFERROR(__xludf.DUMMYFUNCTION("""COMPUTED_VALUE"""),"")</f>
        <v/>
      </c>
      <c r="O1878" s="46" t="s">
        <v>1976</v>
      </c>
      <c r="P1878" s="47"/>
      <c r="Q1878" s="47"/>
      <c r="R1878" s="48" t="s">
        <v>1976</v>
      </c>
    </row>
    <row r="1879">
      <c r="B1879" s="45"/>
      <c r="N1879" s="46" t="str">
        <f>IFERROR(__xludf.DUMMYFUNCTION("""COMPUTED_VALUE"""),"")</f>
        <v/>
      </c>
      <c r="O1879" s="46" t="s">
        <v>1976</v>
      </c>
      <c r="P1879" s="47"/>
      <c r="Q1879" s="47"/>
      <c r="R1879" s="48" t="s">
        <v>1976</v>
      </c>
    </row>
    <row r="1880">
      <c r="B1880" s="45"/>
      <c r="N1880" s="46" t="str">
        <f>IFERROR(__xludf.DUMMYFUNCTION("""COMPUTED_VALUE"""),"")</f>
        <v/>
      </c>
      <c r="O1880" s="46" t="s">
        <v>1976</v>
      </c>
      <c r="P1880" s="47"/>
      <c r="Q1880" s="47"/>
      <c r="R1880" s="48" t="s">
        <v>1976</v>
      </c>
    </row>
    <row r="1881">
      <c r="B1881" s="45"/>
      <c r="N1881" s="46" t="str">
        <f>IFERROR(__xludf.DUMMYFUNCTION("""COMPUTED_VALUE"""),"")</f>
        <v/>
      </c>
      <c r="O1881" s="46" t="s">
        <v>1976</v>
      </c>
      <c r="P1881" s="47"/>
      <c r="Q1881" s="47"/>
      <c r="R1881" s="48" t="s">
        <v>1976</v>
      </c>
    </row>
    <row r="1882">
      <c r="B1882" s="45"/>
      <c r="N1882" s="46" t="str">
        <f>IFERROR(__xludf.DUMMYFUNCTION("""COMPUTED_VALUE"""),"")</f>
        <v/>
      </c>
      <c r="O1882" s="46" t="s">
        <v>1976</v>
      </c>
      <c r="P1882" s="47"/>
      <c r="Q1882" s="47"/>
      <c r="R1882" s="48" t="s">
        <v>1976</v>
      </c>
    </row>
    <row r="1883">
      <c r="B1883" s="45"/>
      <c r="N1883" s="46" t="str">
        <f>IFERROR(__xludf.DUMMYFUNCTION("""COMPUTED_VALUE"""),"")</f>
        <v/>
      </c>
      <c r="O1883" s="46" t="s">
        <v>1976</v>
      </c>
      <c r="P1883" s="47"/>
      <c r="Q1883" s="47"/>
      <c r="R1883" s="48" t="s">
        <v>1976</v>
      </c>
    </row>
    <row r="1884">
      <c r="B1884" s="45"/>
      <c r="N1884" s="46" t="str">
        <f>IFERROR(__xludf.DUMMYFUNCTION("""COMPUTED_VALUE"""),"")</f>
        <v/>
      </c>
      <c r="O1884" s="46" t="s">
        <v>1976</v>
      </c>
      <c r="P1884" s="47"/>
      <c r="Q1884" s="47"/>
      <c r="R1884" s="48" t="s">
        <v>1976</v>
      </c>
    </row>
    <row r="1885">
      <c r="B1885" s="45"/>
      <c r="N1885" s="46" t="str">
        <f>IFERROR(__xludf.DUMMYFUNCTION("""COMPUTED_VALUE"""),"")</f>
        <v/>
      </c>
      <c r="O1885" s="46" t="s">
        <v>1976</v>
      </c>
      <c r="P1885" s="47"/>
      <c r="Q1885" s="47"/>
      <c r="R1885" s="48" t="s">
        <v>1976</v>
      </c>
    </row>
    <row r="1886">
      <c r="B1886" s="45"/>
      <c r="N1886" s="46" t="str">
        <f>IFERROR(__xludf.DUMMYFUNCTION("""COMPUTED_VALUE"""),"")</f>
        <v/>
      </c>
      <c r="O1886" s="46" t="s">
        <v>1976</v>
      </c>
      <c r="P1886" s="47"/>
      <c r="Q1886" s="47"/>
      <c r="R1886" s="48" t="s">
        <v>1976</v>
      </c>
    </row>
    <row r="1887">
      <c r="B1887" s="45"/>
      <c r="N1887" s="46" t="str">
        <f>IFERROR(__xludf.DUMMYFUNCTION("""COMPUTED_VALUE"""),"")</f>
        <v/>
      </c>
      <c r="O1887" s="46" t="s">
        <v>1976</v>
      </c>
      <c r="P1887" s="47"/>
      <c r="Q1887" s="47"/>
      <c r="R1887" s="48" t="s">
        <v>1976</v>
      </c>
    </row>
    <row r="1888">
      <c r="B1888" s="45"/>
      <c r="N1888" s="46" t="str">
        <f>IFERROR(__xludf.DUMMYFUNCTION("""COMPUTED_VALUE"""),"")</f>
        <v/>
      </c>
      <c r="O1888" s="46" t="s">
        <v>1976</v>
      </c>
      <c r="P1888" s="47"/>
      <c r="Q1888" s="47"/>
      <c r="R1888" s="48" t="s">
        <v>1976</v>
      </c>
    </row>
    <row r="1889">
      <c r="B1889" s="45"/>
      <c r="N1889" s="46" t="str">
        <f>IFERROR(__xludf.DUMMYFUNCTION("""COMPUTED_VALUE"""),"")</f>
        <v/>
      </c>
      <c r="O1889" s="46" t="s">
        <v>1976</v>
      </c>
      <c r="P1889" s="47"/>
      <c r="Q1889" s="47"/>
      <c r="R1889" s="48" t="s">
        <v>1976</v>
      </c>
    </row>
    <row r="1890">
      <c r="B1890" s="45"/>
      <c r="N1890" s="46" t="str">
        <f>IFERROR(__xludf.DUMMYFUNCTION("""COMPUTED_VALUE"""),"")</f>
        <v/>
      </c>
      <c r="O1890" s="46" t="s">
        <v>1976</v>
      </c>
      <c r="P1890" s="47"/>
      <c r="Q1890" s="47"/>
      <c r="R1890" s="48" t="s">
        <v>1976</v>
      </c>
    </row>
    <row r="1891">
      <c r="B1891" s="45"/>
      <c r="N1891" s="46" t="str">
        <f>IFERROR(__xludf.DUMMYFUNCTION("""COMPUTED_VALUE"""),"")</f>
        <v/>
      </c>
      <c r="O1891" s="46" t="s">
        <v>1976</v>
      </c>
      <c r="P1891" s="47"/>
      <c r="Q1891" s="47"/>
      <c r="R1891" s="48" t="s">
        <v>1976</v>
      </c>
    </row>
    <row r="1892">
      <c r="B1892" s="45"/>
      <c r="N1892" s="46" t="str">
        <f>IFERROR(__xludf.DUMMYFUNCTION("""COMPUTED_VALUE"""),"")</f>
        <v/>
      </c>
      <c r="O1892" s="46" t="s">
        <v>1976</v>
      </c>
      <c r="P1892" s="47"/>
      <c r="Q1892" s="47"/>
      <c r="R1892" s="48" t="s">
        <v>1976</v>
      </c>
    </row>
    <row r="1893">
      <c r="B1893" s="45"/>
      <c r="N1893" s="46" t="str">
        <f>IFERROR(__xludf.DUMMYFUNCTION("""COMPUTED_VALUE"""),"")</f>
        <v/>
      </c>
      <c r="O1893" s="46" t="s">
        <v>1976</v>
      </c>
      <c r="P1893" s="47"/>
      <c r="Q1893" s="47"/>
      <c r="R1893" s="48" t="s">
        <v>1976</v>
      </c>
    </row>
    <row r="1894">
      <c r="B1894" s="45"/>
      <c r="N1894" s="46" t="str">
        <f>IFERROR(__xludf.DUMMYFUNCTION("""COMPUTED_VALUE"""),"")</f>
        <v/>
      </c>
      <c r="O1894" s="46" t="s">
        <v>1976</v>
      </c>
      <c r="P1894" s="47"/>
      <c r="Q1894" s="47"/>
      <c r="R1894" s="48" t="s">
        <v>1976</v>
      </c>
    </row>
    <row r="1895">
      <c r="B1895" s="45"/>
      <c r="N1895" s="46" t="str">
        <f>IFERROR(__xludf.DUMMYFUNCTION("""COMPUTED_VALUE"""),"")</f>
        <v/>
      </c>
      <c r="O1895" s="46" t="s">
        <v>1976</v>
      </c>
      <c r="P1895" s="47"/>
      <c r="Q1895" s="47"/>
      <c r="R1895" s="48" t="s">
        <v>1976</v>
      </c>
    </row>
    <row r="1896">
      <c r="B1896" s="45"/>
      <c r="N1896" s="46" t="str">
        <f>IFERROR(__xludf.DUMMYFUNCTION("""COMPUTED_VALUE"""),"")</f>
        <v/>
      </c>
      <c r="O1896" s="46" t="s">
        <v>1976</v>
      </c>
      <c r="P1896" s="47"/>
      <c r="Q1896" s="47"/>
      <c r="R1896" s="48" t="s">
        <v>1976</v>
      </c>
    </row>
    <row r="1897">
      <c r="B1897" s="45"/>
      <c r="N1897" s="46" t="str">
        <f>IFERROR(__xludf.DUMMYFUNCTION("""COMPUTED_VALUE"""),"")</f>
        <v/>
      </c>
      <c r="O1897" s="46" t="s">
        <v>1976</v>
      </c>
      <c r="P1897" s="47"/>
      <c r="Q1897" s="47"/>
      <c r="R1897" s="48" t="s">
        <v>1976</v>
      </c>
    </row>
    <row r="1898">
      <c r="B1898" s="45"/>
      <c r="N1898" s="46" t="str">
        <f>IFERROR(__xludf.DUMMYFUNCTION("""COMPUTED_VALUE"""),"")</f>
        <v/>
      </c>
      <c r="O1898" s="46" t="s">
        <v>1976</v>
      </c>
      <c r="P1898" s="47"/>
      <c r="Q1898" s="47"/>
      <c r="R1898" s="48" t="s">
        <v>1976</v>
      </c>
    </row>
    <row r="1899">
      <c r="B1899" s="45"/>
      <c r="N1899" s="46" t="str">
        <f>IFERROR(__xludf.DUMMYFUNCTION("""COMPUTED_VALUE"""),"")</f>
        <v/>
      </c>
      <c r="O1899" s="46" t="s">
        <v>1976</v>
      </c>
      <c r="P1899" s="47"/>
      <c r="Q1899" s="47"/>
      <c r="R1899" s="48" t="s">
        <v>1976</v>
      </c>
    </row>
    <row r="1900">
      <c r="B1900" s="45"/>
      <c r="N1900" s="46" t="str">
        <f>IFERROR(__xludf.DUMMYFUNCTION("""COMPUTED_VALUE"""),"")</f>
        <v/>
      </c>
      <c r="O1900" s="46" t="s">
        <v>1976</v>
      </c>
      <c r="P1900" s="47"/>
      <c r="Q1900" s="47"/>
      <c r="R1900" s="48" t="s">
        <v>1976</v>
      </c>
    </row>
    <row r="1901">
      <c r="B1901" s="45"/>
      <c r="N1901" s="46" t="str">
        <f>IFERROR(__xludf.DUMMYFUNCTION("""COMPUTED_VALUE"""),"")</f>
        <v/>
      </c>
      <c r="O1901" s="46" t="s">
        <v>1976</v>
      </c>
      <c r="P1901" s="47"/>
      <c r="Q1901" s="47"/>
      <c r="R1901" s="48" t="s">
        <v>1976</v>
      </c>
    </row>
    <row r="1902">
      <c r="B1902" s="45"/>
      <c r="N1902" s="46" t="str">
        <f>IFERROR(__xludf.DUMMYFUNCTION("""COMPUTED_VALUE"""),"")</f>
        <v/>
      </c>
      <c r="O1902" s="46" t="s">
        <v>1976</v>
      </c>
      <c r="P1902" s="47"/>
      <c r="Q1902" s="47"/>
      <c r="R1902" s="48" t="s">
        <v>1976</v>
      </c>
    </row>
    <row r="1903">
      <c r="B1903" s="45"/>
      <c r="N1903" s="46" t="str">
        <f>IFERROR(__xludf.DUMMYFUNCTION("""COMPUTED_VALUE"""),"")</f>
        <v/>
      </c>
      <c r="O1903" s="46" t="s">
        <v>1976</v>
      </c>
      <c r="P1903" s="47"/>
      <c r="Q1903" s="47"/>
      <c r="R1903" s="48" t="s">
        <v>1976</v>
      </c>
    </row>
    <row r="1904">
      <c r="B1904" s="45"/>
      <c r="N1904" s="46" t="str">
        <f>IFERROR(__xludf.DUMMYFUNCTION("""COMPUTED_VALUE"""),"")</f>
        <v/>
      </c>
      <c r="O1904" s="46" t="s">
        <v>1976</v>
      </c>
      <c r="P1904" s="47"/>
      <c r="Q1904" s="47"/>
      <c r="R1904" s="48" t="s">
        <v>1976</v>
      </c>
    </row>
    <row r="1905">
      <c r="B1905" s="45"/>
      <c r="N1905" s="46" t="str">
        <f>IFERROR(__xludf.DUMMYFUNCTION("""COMPUTED_VALUE"""),"")</f>
        <v/>
      </c>
      <c r="O1905" s="46" t="s">
        <v>1976</v>
      </c>
      <c r="P1905" s="47"/>
      <c r="Q1905" s="47"/>
      <c r="R1905" s="48" t="s">
        <v>1976</v>
      </c>
    </row>
    <row r="1906">
      <c r="B1906" s="45"/>
      <c r="N1906" s="46" t="str">
        <f>IFERROR(__xludf.DUMMYFUNCTION("""COMPUTED_VALUE"""),"")</f>
        <v/>
      </c>
      <c r="O1906" s="46" t="s">
        <v>1976</v>
      </c>
      <c r="P1906" s="47"/>
      <c r="Q1906" s="47"/>
      <c r="R1906" s="48" t="s">
        <v>1976</v>
      </c>
    </row>
    <row r="1907">
      <c r="B1907" s="45"/>
      <c r="N1907" s="46" t="str">
        <f>IFERROR(__xludf.DUMMYFUNCTION("""COMPUTED_VALUE"""),"")</f>
        <v/>
      </c>
      <c r="O1907" s="46" t="s">
        <v>1976</v>
      </c>
      <c r="P1907" s="47"/>
      <c r="Q1907" s="47"/>
      <c r="R1907" s="48" t="s">
        <v>1976</v>
      </c>
    </row>
    <row r="1908">
      <c r="B1908" s="45"/>
      <c r="N1908" s="46" t="str">
        <f>IFERROR(__xludf.DUMMYFUNCTION("""COMPUTED_VALUE"""),"")</f>
        <v/>
      </c>
      <c r="O1908" s="46" t="s">
        <v>1976</v>
      </c>
      <c r="P1908" s="47"/>
      <c r="Q1908" s="47"/>
      <c r="R1908" s="48" t="s">
        <v>1976</v>
      </c>
    </row>
    <row r="1909">
      <c r="B1909" s="45"/>
      <c r="N1909" s="46" t="str">
        <f>IFERROR(__xludf.DUMMYFUNCTION("""COMPUTED_VALUE"""),"")</f>
        <v/>
      </c>
      <c r="O1909" s="46" t="s">
        <v>1976</v>
      </c>
      <c r="P1909" s="47"/>
      <c r="Q1909" s="47"/>
      <c r="R1909" s="48" t="s">
        <v>1976</v>
      </c>
    </row>
    <row r="1910">
      <c r="B1910" s="45"/>
      <c r="N1910" s="46" t="str">
        <f>IFERROR(__xludf.DUMMYFUNCTION("""COMPUTED_VALUE"""),"")</f>
        <v/>
      </c>
      <c r="O1910" s="46" t="s">
        <v>1976</v>
      </c>
      <c r="P1910" s="47"/>
      <c r="Q1910" s="47"/>
      <c r="R1910" s="48" t="s">
        <v>1976</v>
      </c>
    </row>
    <row r="1911">
      <c r="B1911" s="45"/>
      <c r="N1911" s="46" t="str">
        <f>IFERROR(__xludf.DUMMYFUNCTION("""COMPUTED_VALUE"""),"")</f>
        <v/>
      </c>
      <c r="O1911" s="46" t="s">
        <v>1976</v>
      </c>
      <c r="P1911" s="47"/>
      <c r="Q1911" s="47"/>
      <c r="R1911" s="48" t="s">
        <v>1976</v>
      </c>
    </row>
    <row r="1912">
      <c r="B1912" s="45"/>
      <c r="N1912" s="46" t="str">
        <f>IFERROR(__xludf.DUMMYFUNCTION("""COMPUTED_VALUE"""),"")</f>
        <v/>
      </c>
      <c r="O1912" s="46" t="s">
        <v>1976</v>
      </c>
      <c r="P1912" s="47"/>
      <c r="Q1912" s="47"/>
      <c r="R1912" s="48" t="s">
        <v>1976</v>
      </c>
    </row>
    <row r="1913">
      <c r="B1913" s="45"/>
      <c r="N1913" s="46" t="str">
        <f>IFERROR(__xludf.DUMMYFUNCTION("""COMPUTED_VALUE"""),"")</f>
        <v/>
      </c>
      <c r="O1913" s="46" t="s">
        <v>1976</v>
      </c>
      <c r="P1913" s="47"/>
      <c r="Q1913" s="47"/>
      <c r="R1913" s="48" t="s">
        <v>1976</v>
      </c>
    </row>
    <row r="1914">
      <c r="B1914" s="45"/>
      <c r="N1914" s="46" t="str">
        <f>IFERROR(__xludf.DUMMYFUNCTION("""COMPUTED_VALUE"""),"")</f>
        <v/>
      </c>
      <c r="O1914" s="46" t="s">
        <v>1976</v>
      </c>
      <c r="P1914" s="47"/>
      <c r="Q1914" s="47"/>
      <c r="R1914" s="48" t="s">
        <v>1976</v>
      </c>
    </row>
    <row r="1915">
      <c r="B1915" s="45"/>
      <c r="N1915" s="46" t="str">
        <f>IFERROR(__xludf.DUMMYFUNCTION("""COMPUTED_VALUE"""),"")</f>
        <v/>
      </c>
      <c r="O1915" s="46" t="s">
        <v>1976</v>
      </c>
      <c r="P1915" s="47"/>
      <c r="Q1915" s="47"/>
      <c r="R1915" s="48" t="s">
        <v>1976</v>
      </c>
    </row>
    <row r="1916">
      <c r="B1916" s="45"/>
      <c r="N1916" s="46" t="str">
        <f>IFERROR(__xludf.DUMMYFUNCTION("""COMPUTED_VALUE"""),"")</f>
        <v/>
      </c>
      <c r="O1916" s="46" t="s">
        <v>1976</v>
      </c>
      <c r="P1916" s="47"/>
      <c r="Q1916" s="47"/>
      <c r="R1916" s="48" t="s">
        <v>1976</v>
      </c>
    </row>
    <row r="1917">
      <c r="B1917" s="45"/>
      <c r="N1917" s="46" t="str">
        <f>IFERROR(__xludf.DUMMYFUNCTION("""COMPUTED_VALUE"""),"")</f>
        <v/>
      </c>
      <c r="O1917" s="46" t="s">
        <v>1976</v>
      </c>
      <c r="P1917" s="47"/>
      <c r="Q1917" s="47"/>
      <c r="R1917" s="48" t="s">
        <v>1976</v>
      </c>
    </row>
    <row r="1918">
      <c r="B1918" s="45"/>
      <c r="N1918" s="46" t="str">
        <f>IFERROR(__xludf.DUMMYFUNCTION("""COMPUTED_VALUE"""),"")</f>
        <v/>
      </c>
      <c r="O1918" s="46" t="s">
        <v>1976</v>
      </c>
      <c r="P1918" s="47"/>
      <c r="Q1918" s="47"/>
      <c r="R1918" s="48" t="s">
        <v>1976</v>
      </c>
    </row>
    <row r="1919">
      <c r="B1919" s="45"/>
      <c r="N1919" s="46" t="str">
        <f>IFERROR(__xludf.DUMMYFUNCTION("""COMPUTED_VALUE"""),"")</f>
        <v/>
      </c>
      <c r="O1919" s="46" t="s">
        <v>1976</v>
      </c>
      <c r="P1919" s="47"/>
      <c r="Q1919" s="47"/>
      <c r="R1919" s="48" t="s">
        <v>1976</v>
      </c>
    </row>
    <row r="1920">
      <c r="B1920" s="45"/>
      <c r="N1920" s="46" t="str">
        <f>IFERROR(__xludf.DUMMYFUNCTION("""COMPUTED_VALUE"""),"")</f>
        <v/>
      </c>
      <c r="O1920" s="46" t="s">
        <v>1976</v>
      </c>
      <c r="P1920" s="47"/>
      <c r="Q1920" s="47"/>
      <c r="R1920" s="48" t="s">
        <v>1976</v>
      </c>
    </row>
    <row r="1921">
      <c r="B1921" s="45"/>
      <c r="N1921" s="46" t="str">
        <f>IFERROR(__xludf.DUMMYFUNCTION("""COMPUTED_VALUE"""),"")</f>
        <v/>
      </c>
      <c r="O1921" s="46" t="s">
        <v>1976</v>
      </c>
      <c r="P1921" s="47"/>
      <c r="Q1921" s="47"/>
      <c r="R1921" s="48" t="s">
        <v>1976</v>
      </c>
    </row>
    <row r="1922">
      <c r="B1922" s="45"/>
      <c r="N1922" s="46" t="str">
        <f>IFERROR(__xludf.DUMMYFUNCTION("""COMPUTED_VALUE"""),"")</f>
        <v/>
      </c>
      <c r="O1922" s="46" t="s">
        <v>1976</v>
      </c>
      <c r="P1922" s="47"/>
      <c r="Q1922" s="47"/>
      <c r="R1922" s="48" t="s">
        <v>1976</v>
      </c>
    </row>
    <row r="1923">
      <c r="B1923" s="45"/>
      <c r="N1923" s="46" t="str">
        <f>IFERROR(__xludf.DUMMYFUNCTION("""COMPUTED_VALUE"""),"")</f>
        <v/>
      </c>
      <c r="O1923" s="46" t="s">
        <v>1976</v>
      </c>
      <c r="P1923" s="47"/>
      <c r="Q1923" s="47"/>
      <c r="R1923" s="48" t="s">
        <v>1976</v>
      </c>
    </row>
    <row r="1924">
      <c r="B1924" s="45"/>
      <c r="N1924" s="46" t="str">
        <f>IFERROR(__xludf.DUMMYFUNCTION("""COMPUTED_VALUE"""),"")</f>
        <v/>
      </c>
      <c r="O1924" s="46" t="s">
        <v>1976</v>
      </c>
      <c r="P1924" s="47"/>
      <c r="Q1924" s="47"/>
      <c r="R1924" s="48" t="s">
        <v>1976</v>
      </c>
    </row>
    <row r="1925">
      <c r="B1925" s="45"/>
      <c r="N1925" s="46" t="str">
        <f>IFERROR(__xludf.DUMMYFUNCTION("""COMPUTED_VALUE"""),"")</f>
        <v/>
      </c>
      <c r="O1925" s="46" t="s">
        <v>1976</v>
      </c>
      <c r="P1925" s="47"/>
      <c r="Q1925" s="47"/>
      <c r="R1925" s="48" t="s">
        <v>1976</v>
      </c>
    </row>
    <row r="1926">
      <c r="B1926" s="45"/>
      <c r="N1926" s="46" t="str">
        <f>IFERROR(__xludf.DUMMYFUNCTION("""COMPUTED_VALUE"""),"")</f>
        <v/>
      </c>
      <c r="O1926" s="46" t="s">
        <v>1976</v>
      </c>
      <c r="P1926" s="47"/>
      <c r="Q1926" s="47"/>
      <c r="R1926" s="48" t="s">
        <v>1976</v>
      </c>
    </row>
    <row r="1927">
      <c r="B1927" s="45"/>
      <c r="N1927" s="46" t="str">
        <f>IFERROR(__xludf.DUMMYFUNCTION("""COMPUTED_VALUE"""),"")</f>
        <v/>
      </c>
      <c r="O1927" s="46" t="s">
        <v>1976</v>
      </c>
      <c r="P1927" s="47"/>
      <c r="Q1927" s="47"/>
      <c r="R1927" s="48" t="s">
        <v>1976</v>
      </c>
    </row>
    <row r="1928">
      <c r="B1928" s="45"/>
      <c r="N1928" s="46" t="str">
        <f>IFERROR(__xludf.DUMMYFUNCTION("""COMPUTED_VALUE"""),"")</f>
        <v/>
      </c>
      <c r="O1928" s="46" t="s">
        <v>1976</v>
      </c>
      <c r="P1928" s="47"/>
      <c r="Q1928" s="47"/>
      <c r="R1928" s="48" t="s">
        <v>1976</v>
      </c>
    </row>
    <row r="1929">
      <c r="B1929" s="45"/>
      <c r="N1929" s="46" t="str">
        <f>IFERROR(__xludf.DUMMYFUNCTION("""COMPUTED_VALUE"""),"")</f>
        <v/>
      </c>
      <c r="O1929" s="46" t="s">
        <v>1976</v>
      </c>
      <c r="P1929" s="47"/>
      <c r="Q1929" s="47"/>
      <c r="R1929" s="48" t="s">
        <v>1976</v>
      </c>
    </row>
    <row r="1930">
      <c r="B1930" s="45"/>
      <c r="N1930" s="46" t="str">
        <f>IFERROR(__xludf.DUMMYFUNCTION("""COMPUTED_VALUE"""),"")</f>
        <v/>
      </c>
      <c r="O1930" s="46" t="s">
        <v>1976</v>
      </c>
      <c r="P1930" s="47"/>
      <c r="Q1930" s="47"/>
      <c r="R1930" s="48" t="s">
        <v>1976</v>
      </c>
    </row>
    <row r="1931">
      <c r="B1931" s="45"/>
      <c r="N1931" s="46" t="str">
        <f>IFERROR(__xludf.DUMMYFUNCTION("""COMPUTED_VALUE"""),"")</f>
        <v/>
      </c>
      <c r="O1931" s="46" t="s">
        <v>1976</v>
      </c>
      <c r="P1931" s="47"/>
      <c r="Q1931" s="47"/>
      <c r="R1931" s="48" t="s">
        <v>1976</v>
      </c>
    </row>
    <row r="1932">
      <c r="B1932" s="45"/>
      <c r="N1932" s="46" t="str">
        <f>IFERROR(__xludf.DUMMYFUNCTION("""COMPUTED_VALUE"""),"")</f>
        <v/>
      </c>
      <c r="O1932" s="46" t="s">
        <v>1976</v>
      </c>
      <c r="P1932" s="47"/>
      <c r="Q1932" s="47"/>
      <c r="R1932" s="48" t="s">
        <v>1976</v>
      </c>
    </row>
    <row r="1933">
      <c r="B1933" s="45"/>
      <c r="N1933" s="46" t="str">
        <f>IFERROR(__xludf.DUMMYFUNCTION("""COMPUTED_VALUE"""),"")</f>
        <v/>
      </c>
      <c r="O1933" s="46" t="s">
        <v>1976</v>
      </c>
      <c r="P1933" s="47"/>
      <c r="Q1933" s="47"/>
      <c r="R1933" s="48" t="s">
        <v>1976</v>
      </c>
    </row>
    <row r="1934">
      <c r="B1934" s="45"/>
      <c r="N1934" s="46" t="str">
        <f>IFERROR(__xludf.DUMMYFUNCTION("""COMPUTED_VALUE"""),"")</f>
        <v/>
      </c>
      <c r="O1934" s="46" t="s">
        <v>1976</v>
      </c>
      <c r="P1934" s="47"/>
      <c r="Q1934" s="47"/>
      <c r="R1934" s="48" t="s">
        <v>1976</v>
      </c>
    </row>
    <row r="1935">
      <c r="B1935" s="45"/>
      <c r="N1935" s="46" t="str">
        <f>IFERROR(__xludf.DUMMYFUNCTION("""COMPUTED_VALUE"""),"")</f>
        <v/>
      </c>
      <c r="O1935" s="46" t="s">
        <v>1976</v>
      </c>
      <c r="P1935" s="47"/>
      <c r="Q1935" s="47"/>
      <c r="R1935" s="48" t="s">
        <v>1976</v>
      </c>
    </row>
    <row r="1936">
      <c r="B1936" s="45"/>
      <c r="N1936" s="46" t="str">
        <f>IFERROR(__xludf.DUMMYFUNCTION("""COMPUTED_VALUE"""),"")</f>
        <v/>
      </c>
      <c r="O1936" s="46" t="s">
        <v>1976</v>
      </c>
      <c r="P1936" s="47"/>
      <c r="Q1936" s="47"/>
      <c r="R1936" s="48" t="s">
        <v>1976</v>
      </c>
    </row>
    <row r="1937">
      <c r="B1937" s="45"/>
      <c r="N1937" s="46" t="str">
        <f>IFERROR(__xludf.DUMMYFUNCTION("""COMPUTED_VALUE"""),"")</f>
        <v/>
      </c>
      <c r="O1937" s="46" t="s">
        <v>1976</v>
      </c>
      <c r="P1937" s="47"/>
      <c r="Q1937" s="47"/>
      <c r="R1937" s="48" t="s">
        <v>1976</v>
      </c>
    </row>
    <row r="1938">
      <c r="B1938" s="45"/>
      <c r="N1938" s="46" t="str">
        <f>IFERROR(__xludf.DUMMYFUNCTION("""COMPUTED_VALUE"""),"")</f>
        <v/>
      </c>
      <c r="O1938" s="46" t="s">
        <v>1976</v>
      </c>
      <c r="P1938" s="47"/>
      <c r="Q1938" s="47"/>
      <c r="R1938" s="48" t="s">
        <v>1976</v>
      </c>
    </row>
    <row r="1939">
      <c r="B1939" s="45"/>
      <c r="N1939" s="46" t="str">
        <f>IFERROR(__xludf.DUMMYFUNCTION("""COMPUTED_VALUE"""),"")</f>
        <v/>
      </c>
      <c r="O1939" s="46" t="s">
        <v>1976</v>
      </c>
      <c r="P1939" s="47"/>
      <c r="Q1939" s="47"/>
      <c r="R1939" s="48" t="s">
        <v>1976</v>
      </c>
    </row>
    <row r="1940">
      <c r="B1940" s="45"/>
      <c r="N1940" s="46" t="str">
        <f>IFERROR(__xludf.DUMMYFUNCTION("""COMPUTED_VALUE"""),"")</f>
        <v/>
      </c>
      <c r="O1940" s="46" t="s">
        <v>1976</v>
      </c>
      <c r="P1940" s="47"/>
      <c r="Q1940" s="47"/>
      <c r="R1940" s="48" t="s">
        <v>1976</v>
      </c>
    </row>
    <row r="1941">
      <c r="B1941" s="45"/>
      <c r="N1941" s="46" t="str">
        <f>IFERROR(__xludf.DUMMYFUNCTION("""COMPUTED_VALUE"""),"")</f>
        <v/>
      </c>
      <c r="O1941" s="46" t="s">
        <v>1976</v>
      </c>
      <c r="P1941" s="47"/>
      <c r="Q1941" s="47"/>
      <c r="R1941" s="48" t="s">
        <v>1976</v>
      </c>
    </row>
    <row r="1942">
      <c r="B1942" s="45"/>
      <c r="N1942" s="46" t="str">
        <f>IFERROR(__xludf.DUMMYFUNCTION("""COMPUTED_VALUE"""),"")</f>
        <v/>
      </c>
      <c r="O1942" s="46" t="s">
        <v>1976</v>
      </c>
      <c r="P1942" s="47"/>
      <c r="Q1942" s="47"/>
      <c r="R1942" s="48" t="s">
        <v>1976</v>
      </c>
    </row>
    <row r="1943">
      <c r="B1943" s="45"/>
      <c r="N1943" s="46" t="str">
        <f>IFERROR(__xludf.DUMMYFUNCTION("""COMPUTED_VALUE"""),"")</f>
        <v/>
      </c>
      <c r="O1943" s="46" t="s">
        <v>1976</v>
      </c>
      <c r="P1943" s="47"/>
      <c r="Q1943" s="47"/>
      <c r="R1943" s="48" t="s">
        <v>1976</v>
      </c>
    </row>
    <row r="1944">
      <c r="B1944" s="45"/>
      <c r="N1944" s="46" t="str">
        <f>IFERROR(__xludf.DUMMYFUNCTION("""COMPUTED_VALUE"""),"")</f>
        <v/>
      </c>
      <c r="O1944" s="46" t="s">
        <v>1976</v>
      </c>
      <c r="P1944" s="47"/>
      <c r="Q1944" s="47"/>
      <c r="R1944" s="48" t="s">
        <v>1976</v>
      </c>
    </row>
    <row r="1945">
      <c r="B1945" s="45"/>
      <c r="N1945" s="46" t="str">
        <f>IFERROR(__xludf.DUMMYFUNCTION("""COMPUTED_VALUE"""),"")</f>
        <v/>
      </c>
      <c r="O1945" s="46" t="s">
        <v>1976</v>
      </c>
      <c r="P1945" s="47"/>
      <c r="Q1945" s="47"/>
      <c r="R1945" s="48" t="s">
        <v>1976</v>
      </c>
    </row>
    <row r="1946">
      <c r="B1946" s="45"/>
      <c r="N1946" s="46" t="str">
        <f>IFERROR(__xludf.DUMMYFUNCTION("""COMPUTED_VALUE"""),"")</f>
        <v/>
      </c>
      <c r="O1946" s="46" t="s">
        <v>1976</v>
      </c>
      <c r="P1946" s="47"/>
      <c r="Q1946" s="47"/>
      <c r="R1946" s="48" t="s">
        <v>1976</v>
      </c>
    </row>
    <row r="1947">
      <c r="B1947" s="45"/>
      <c r="N1947" s="46" t="str">
        <f>IFERROR(__xludf.DUMMYFUNCTION("""COMPUTED_VALUE"""),"")</f>
        <v/>
      </c>
      <c r="O1947" s="46" t="s">
        <v>1976</v>
      </c>
      <c r="P1947" s="47"/>
      <c r="Q1947" s="47"/>
      <c r="R1947" s="48" t="s">
        <v>1976</v>
      </c>
    </row>
    <row r="1948">
      <c r="B1948" s="45"/>
      <c r="N1948" s="46" t="str">
        <f>IFERROR(__xludf.DUMMYFUNCTION("""COMPUTED_VALUE"""),"")</f>
        <v/>
      </c>
      <c r="O1948" s="46" t="s">
        <v>1976</v>
      </c>
      <c r="P1948" s="47"/>
      <c r="Q1948" s="47"/>
      <c r="R1948" s="48" t="s">
        <v>1976</v>
      </c>
    </row>
    <row r="1949">
      <c r="B1949" s="45"/>
      <c r="N1949" s="46" t="str">
        <f>IFERROR(__xludf.DUMMYFUNCTION("""COMPUTED_VALUE"""),"")</f>
        <v/>
      </c>
      <c r="O1949" s="46" t="s">
        <v>1976</v>
      </c>
      <c r="P1949" s="47"/>
      <c r="Q1949" s="47"/>
      <c r="R1949" s="48" t="s">
        <v>1976</v>
      </c>
    </row>
    <row r="1950">
      <c r="B1950" s="45"/>
      <c r="N1950" s="46" t="str">
        <f>IFERROR(__xludf.DUMMYFUNCTION("""COMPUTED_VALUE"""),"")</f>
        <v/>
      </c>
      <c r="O1950" s="46" t="s">
        <v>1976</v>
      </c>
      <c r="P1950" s="47"/>
      <c r="Q1950" s="47"/>
      <c r="R1950" s="48" t="s">
        <v>1976</v>
      </c>
    </row>
    <row r="1951">
      <c r="B1951" s="45"/>
      <c r="N1951" s="46" t="str">
        <f>IFERROR(__xludf.DUMMYFUNCTION("""COMPUTED_VALUE"""),"")</f>
        <v/>
      </c>
      <c r="O1951" s="46" t="s">
        <v>1976</v>
      </c>
      <c r="P1951" s="47"/>
      <c r="Q1951" s="47"/>
      <c r="R1951" s="48" t="s">
        <v>1976</v>
      </c>
    </row>
    <row r="1952">
      <c r="B1952" s="45"/>
      <c r="N1952" s="46" t="str">
        <f>IFERROR(__xludf.DUMMYFUNCTION("""COMPUTED_VALUE"""),"")</f>
        <v/>
      </c>
      <c r="O1952" s="46" t="s">
        <v>1976</v>
      </c>
      <c r="P1952" s="47"/>
      <c r="Q1952" s="47"/>
      <c r="R1952" s="48" t="s">
        <v>1976</v>
      </c>
    </row>
    <row r="1953">
      <c r="B1953" s="45"/>
      <c r="N1953" s="46" t="str">
        <f>IFERROR(__xludf.DUMMYFUNCTION("""COMPUTED_VALUE"""),"")</f>
        <v/>
      </c>
      <c r="O1953" s="46" t="s">
        <v>1976</v>
      </c>
      <c r="P1953" s="47"/>
      <c r="Q1953" s="47"/>
      <c r="R1953" s="48" t="s">
        <v>1976</v>
      </c>
    </row>
    <row r="1954">
      <c r="B1954" s="45"/>
      <c r="N1954" s="46" t="str">
        <f>IFERROR(__xludf.DUMMYFUNCTION("""COMPUTED_VALUE"""),"")</f>
        <v/>
      </c>
      <c r="O1954" s="46" t="s">
        <v>1976</v>
      </c>
      <c r="P1954" s="47"/>
      <c r="Q1954" s="47"/>
      <c r="R1954" s="48" t="s">
        <v>1976</v>
      </c>
    </row>
    <row r="1955">
      <c r="B1955" s="45"/>
      <c r="N1955" s="46" t="str">
        <f>IFERROR(__xludf.DUMMYFUNCTION("""COMPUTED_VALUE"""),"")</f>
        <v/>
      </c>
      <c r="O1955" s="46" t="s">
        <v>1976</v>
      </c>
      <c r="P1955" s="47"/>
      <c r="Q1955" s="47"/>
      <c r="R1955" s="48" t="s">
        <v>1976</v>
      </c>
    </row>
    <row r="1956">
      <c r="B1956" s="45"/>
      <c r="N1956" s="46" t="str">
        <f>IFERROR(__xludf.DUMMYFUNCTION("""COMPUTED_VALUE"""),"")</f>
        <v/>
      </c>
      <c r="O1956" s="46" t="s">
        <v>1976</v>
      </c>
      <c r="P1956" s="47"/>
      <c r="Q1956" s="47"/>
      <c r="R1956" s="48" t="s">
        <v>1976</v>
      </c>
    </row>
    <row r="1957">
      <c r="B1957" s="45"/>
      <c r="N1957" s="46" t="str">
        <f>IFERROR(__xludf.DUMMYFUNCTION("""COMPUTED_VALUE"""),"")</f>
        <v/>
      </c>
      <c r="O1957" s="46" t="s">
        <v>1976</v>
      </c>
      <c r="P1957" s="47"/>
      <c r="Q1957" s="47"/>
      <c r="R1957" s="48" t="s">
        <v>1976</v>
      </c>
    </row>
    <row r="1958">
      <c r="B1958" s="45"/>
      <c r="N1958" s="46" t="str">
        <f>IFERROR(__xludf.DUMMYFUNCTION("""COMPUTED_VALUE"""),"")</f>
        <v/>
      </c>
      <c r="O1958" s="46" t="s">
        <v>1976</v>
      </c>
      <c r="P1958" s="47"/>
      <c r="Q1958" s="47"/>
      <c r="R1958" s="48" t="s">
        <v>1976</v>
      </c>
    </row>
    <row r="1959">
      <c r="B1959" s="45"/>
      <c r="N1959" s="46" t="str">
        <f>IFERROR(__xludf.DUMMYFUNCTION("""COMPUTED_VALUE"""),"")</f>
        <v/>
      </c>
      <c r="O1959" s="46" t="s">
        <v>1976</v>
      </c>
      <c r="P1959" s="47"/>
      <c r="Q1959" s="47"/>
      <c r="R1959" s="48" t="s">
        <v>1976</v>
      </c>
    </row>
    <row r="1960">
      <c r="B1960" s="45"/>
      <c r="N1960" s="46" t="str">
        <f>IFERROR(__xludf.DUMMYFUNCTION("""COMPUTED_VALUE"""),"")</f>
        <v/>
      </c>
      <c r="O1960" s="46" t="s">
        <v>1976</v>
      </c>
      <c r="P1960" s="47"/>
      <c r="Q1960" s="47"/>
      <c r="R1960" s="48" t="s">
        <v>1976</v>
      </c>
    </row>
    <row r="1961">
      <c r="B1961" s="45"/>
      <c r="N1961" s="46" t="str">
        <f>IFERROR(__xludf.DUMMYFUNCTION("""COMPUTED_VALUE"""),"")</f>
        <v/>
      </c>
      <c r="O1961" s="46" t="s">
        <v>1976</v>
      </c>
      <c r="P1961" s="47"/>
      <c r="Q1961" s="47"/>
      <c r="R1961" s="48" t="s">
        <v>1976</v>
      </c>
    </row>
    <row r="1962">
      <c r="B1962" s="45"/>
      <c r="N1962" s="46" t="str">
        <f>IFERROR(__xludf.DUMMYFUNCTION("""COMPUTED_VALUE"""),"")</f>
        <v/>
      </c>
      <c r="O1962" s="46" t="s">
        <v>1976</v>
      </c>
      <c r="P1962" s="47"/>
      <c r="Q1962" s="47"/>
      <c r="R1962" s="48" t="s">
        <v>1976</v>
      </c>
    </row>
    <row r="1963">
      <c r="B1963" s="45"/>
      <c r="N1963" s="46" t="str">
        <f>IFERROR(__xludf.DUMMYFUNCTION("""COMPUTED_VALUE"""),"")</f>
        <v/>
      </c>
      <c r="O1963" s="46" t="s">
        <v>1976</v>
      </c>
      <c r="P1963" s="47"/>
      <c r="Q1963" s="47"/>
      <c r="R1963" s="48" t="s">
        <v>1976</v>
      </c>
    </row>
    <row r="1964">
      <c r="B1964" s="45"/>
      <c r="N1964" s="46" t="str">
        <f>IFERROR(__xludf.DUMMYFUNCTION("""COMPUTED_VALUE"""),"")</f>
        <v/>
      </c>
      <c r="O1964" s="46" t="s">
        <v>1976</v>
      </c>
      <c r="P1964" s="47"/>
      <c r="Q1964" s="47"/>
      <c r="R1964" s="48" t="s">
        <v>1976</v>
      </c>
    </row>
    <row r="1965">
      <c r="B1965" s="45"/>
      <c r="N1965" s="46" t="str">
        <f>IFERROR(__xludf.DUMMYFUNCTION("""COMPUTED_VALUE"""),"")</f>
        <v/>
      </c>
      <c r="O1965" s="46" t="s">
        <v>1976</v>
      </c>
      <c r="P1965" s="47"/>
      <c r="Q1965" s="47"/>
      <c r="R1965" s="48" t="s">
        <v>1976</v>
      </c>
    </row>
    <row r="1966">
      <c r="B1966" s="45"/>
      <c r="N1966" s="46" t="str">
        <f>IFERROR(__xludf.DUMMYFUNCTION("""COMPUTED_VALUE"""),"")</f>
        <v/>
      </c>
      <c r="O1966" s="46" t="s">
        <v>1976</v>
      </c>
      <c r="P1966" s="47"/>
      <c r="Q1966" s="47"/>
      <c r="R1966" s="48" t="s">
        <v>1976</v>
      </c>
    </row>
    <row r="1967">
      <c r="B1967" s="45"/>
      <c r="N1967" s="46" t="str">
        <f>IFERROR(__xludf.DUMMYFUNCTION("""COMPUTED_VALUE"""),"")</f>
        <v/>
      </c>
      <c r="O1967" s="46" t="s">
        <v>1976</v>
      </c>
      <c r="P1967" s="47"/>
      <c r="Q1967" s="47"/>
      <c r="R1967" s="48" t="s">
        <v>1976</v>
      </c>
    </row>
    <row r="1968">
      <c r="B1968" s="45"/>
      <c r="N1968" s="46" t="str">
        <f>IFERROR(__xludf.DUMMYFUNCTION("""COMPUTED_VALUE"""),"")</f>
        <v/>
      </c>
      <c r="O1968" s="46" t="s">
        <v>1976</v>
      </c>
      <c r="P1968" s="47"/>
      <c r="Q1968" s="47"/>
      <c r="R1968" s="48" t="s">
        <v>1976</v>
      </c>
    </row>
    <row r="1969">
      <c r="B1969" s="45"/>
      <c r="N1969" s="46" t="str">
        <f>IFERROR(__xludf.DUMMYFUNCTION("""COMPUTED_VALUE"""),"")</f>
        <v/>
      </c>
      <c r="O1969" s="46" t="s">
        <v>1976</v>
      </c>
      <c r="P1969" s="47"/>
      <c r="Q1969" s="47"/>
      <c r="R1969" s="48" t="s">
        <v>1976</v>
      </c>
    </row>
    <row r="1970">
      <c r="B1970" s="45"/>
      <c r="N1970" s="46" t="str">
        <f>IFERROR(__xludf.DUMMYFUNCTION("""COMPUTED_VALUE"""),"")</f>
        <v/>
      </c>
      <c r="O1970" s="46" t="s">
        <v>1976</v>
      </c>
      <c r="P1970" s="47"/>
      <c r="Q1970" s="47"/>
      <c r="R1970" s="48" t="s">
        <v>1976</v>
      </c>
    </row>
    <row r="1971">
      <c r="B1971" s="45"/>
      <c r="N1971" s="46" t="str">
        <f>IFERROR(__xludf.DUMMYFUNCTION("""COMPUTED_VALUE"""),"")</f>
        <v/>
      </c>
      <c r="O1971" s="46" t="s">
        <v>1976</v>
      </c>
      <c r="P1971" s="47"/>
      <c r="Q1971" s="47"/>
      <c r="R1971" s="48" t="s">
        <v>1976</v>
      </c>
    </row>
    <row r="1972">
      <c r="B1972" s="45"/>
      <c r="N1972" s="46" t="str">
        <f>IFERROR(__xludf.DUMMYFUNCTION("""COMPUTED_VALUE"""),"")</f>
        <v/>
      </c>
      <c r="O1972" s="46" t="s">
        <v>1976</v>
      </c>
      <c r="P1972" s="47"/>
      <c r="Q1972" s="47"/>
      <c r="R1972" s="48" t="s">
        <v>1976</v>
      </c>
    </row>
    <row r="1973">
      <c r="B1973" s="45"/>
      <c r="N1973" s="46" t="str">
        <f>IFERROR(__xludf.DUMMYFUNCTION("""COMPUTED_VALUE"""),"")</f>
        <v/>
      </c>
      <c r="O1973" s="46" t="s">
        <v>1976</v>
      </c>
      <c r="P1973" s="47"/>
      <c r="Q1973" s="47"/>
      <c r="R1973" s="48" t="s">
        <v>1976</v>
      </c>
    </row>
    <row r="1974">
      <c r="B1974" s="45"/>
      <c r="N1974" s="46" t="str">
        <f>IFERROR(__xludf.DUMMYFUNCTION("""COMPUTED_VALUE"""),"")</f>
        <v/>
      </c>
      <c r="O1974" s="46" t="s">
        <v>1976</v>
      </c>
      <c r="P1974" s="47"/>
      <c r="Q1974" s="47"/>
      <c r="R1974" s="48" t="s">
        <v>1976</v>
      </c>
    </row>
    <row r="1975">
      <c r="B1975" s="45"/>
      <c r="N1975" s="46" t="str">
        <f>IFERROR(__xludf.DUMMYFUNCTION("""COMPUTED_VALUE"""),"")</f>
        <v/>
      </c>
      <c r="O1975" s="46" t="s">
        <v>1976</v>
      </c>
      <c r="P1975" s="47"/>
      <c r="Q1975" s="47"/>
      <c r="R1975" s="48" t="s">
        <v>1976</v>
      </c>
    </row>
    <row r="1976">
      <c r="B1976" s="45"/>
      <c r="N1976" s="46" t="str">
        <f>IFERROR(__xludf.DUMMYFUNCTION("""COMPUTED_VALUE"""),"")</f>
        <v/>
      </c>
      <c r="O1976" s="46" t="s">
        <v>1976</v>
      </c>
      <c r="P1976" s="47"/>
      <c r="Q1976" s="47"/>
      <c r="R1976" s="48" t="s">
        <v>1976</v>
      </c>
    </row>
    <row r="1977">
      <c r="B1977" s="45"/>
      <c r="N1977" s="46" t="str">
        <f>IFERROR(__xludf.DUMMYFUNCTION("""COMPUTED_VALUE"""),"")</f>
        <v/>
      </c>
      <c r="O1977" s="46" t="s">
        <v>1976</v>
      </c>
      <c r="P1977" s="47"/>
      <c r="Q1977" s="47"/>
      <c r="R1977" s="48" t="s">
        <v>1976</v>
      </c>
    </row>
    <row r="1978">
      <c r="B1978" s="45"/>
      <c r="N1978" s="46" t="str">
        <f>IFERROR(__xludf.DUMMYFUNCTION("""COMPUTED_VALUE"""),"")</f>
        <v/>
      </c>
      <c r="O1978" s="46" t="s">
        <v>1976</v>
      </c>
      <c r="P1978" s="47"/>
      <c r="Q1978" s="47"/>
      <c r="R1978" s="48" t="s">
        <v>1976</v>
      </c>
    </row>
    <row r="1979">
      <c r="B1979" s="45"/>
      <c r="N1979" s="46" t="str">
        <f>IFERROR(__xludf.DUMMYFUNCTION("""COMPUTED_VALUE"""),"")</f>
        <v/>
      </c>
      <c r="O1979" s="46" t="s">
        <v>1976</v>
      </c>
      <c r="P1979" s="47"/>
      <c r="Q1979" s="47"/>
      <c r="R1979" s="48" t="s">
        <v>1976</v>
      </c>
    </row>
    <row r="1980">
      <c r="B1980" s="45"/>
      <c r="N1980" s="46" t="str">
        <f>IFERROR(__xludf.DUMMYFUNCTION("""COMPUTED_VALUE"""),"")</f>
        <v/>
      </c>
      <c r="O1980" s="46" t="s">
        <v>1976</v>
      </c>
      <c r="P1980" s="47"/>
      <c r="Q1980" s="47"/>
      <c r="R1980" s="48" t="s">
        <v>1976</v>
      </c>
    </row>
    <row r="1981">
      <c r="B1981" s="45"/>
      <c r="N1981" s="46" t="str">
        <f>IFERROR(__xludf.DUMMYFUNCTION("""COMPUTED_VALUE"""),"")</f>
        <v/>
      </c>
      <c r="O1981" s="46" t="s">
        <v>1976</v>
      </c>
      <c r="P1981" s="47"/>
      <c r="Q1981" s="47"/>
      <c r="R1981" s="48" t="s">
        <v>1976</v>
      </c>
    </row>
    <row r="1982">
      <c r="B1982" s="45"/>
      <c r="N1982" s="46" t="str">
        <f>IFERROR(__xludf.DUMMYFUNCTION("""COMPUTED_VALUE"""),"")</f>
        <v/>
      </c>
      <c r="O1982" s="46" t="s">
        <v>1976</v>
      </c>
      <c r="P1982" s="47"/>
      <c r="Q1982" s="47"/>
      <c r="R1982" s="48" t="s">
        <v>1976</v>
      </c>
    </row>
    <row r="1983">
      <c r="B1983" s="45"/>
      <c r="N1983" s="46" t="str">
        <f>IFERROR(__xludf.DUMMYFUNCTION("""COMPUTED_VALUE"""),"")</f>
        <v/>
      </c>
      <c r="O1983" s="46" t="s">
        <v>1976</v>
      </c>
      <c r="P1983" s="47"/>
      <c r="Q1983" s="47"/>
      <c r="R1983" s="48" t="s">
        <v>1976</v>
      </c>
    </row>
    <row r="1984">
      <c r="B1984" s="45"/>
      <c r="N1984" s="46" t="str">
        <f>IFERROR(__xludf.DUMMYFUNCTION("""COMPUTED_VALUE"""),"")</f>
        <v/>
      </c>
      <c r="O1984" s="46" t="s">
        <v>1976</v>
      </c>
      <c r="P1984" s="47"/>
      <c r="Q1984" s="47"/>
      <c r="R1984" s="48" t="s">
        <v>1976</v>
      </c>
    </row>
    <row r="1985">
      <c r="B1985" s="45"/>
      <c r="N1985" s="46" t="str">
        <f>IFERROR(__xludf.DUMMYFUNCTION("""COMPUTED_VALUE"""),"")</f>
        <v/>
      </c>
      <c r="O1985" s="46" t="s">
        <v>1976</v>
      </c>
      <c r="P1985" s="47"/>
      <c r="Q1985" s="47"/>
      <c r="R1985" s="48" t="s">
        <v>1976</v>
      </c>
    </row>
    <row r="1986">
      <c r="B1986" s="45"/>
      <c r="N1986" s="46" t="str">
        <f>IFERROR(__xludf.DUMMYFUNCTION("""COMPUTED_VALUE"""),"")</f>
        <v/>
      </c>
      <c r="O1986" s="46" t="s">
        <v>1976</v>
      </c>
      <c r="P1986" s="47"/>
      <c r="Q1986" s="47"/>
      <c r="R1986" s="48" t="s">
        <v>1976</v>
      </c>
    </row>
    <row r="1987">
      <c r="B1987" s="45"/>
      <c r="N1987" s="46" t="str">
        <f>IFERROR(__xludf.DUMMYFUNCTION("""COMPUTED_VALUE"""),"")</f>
        <v/>
      </c>
      <c r="O1987" s="46" t="s">
        <v>1976</v>
      </c>
      <c r="P1987" s="47"/>
      <c r="Q1987" s="47"/>
      <c r="R1987" s="48" t="s">
        <v>1976</v>
      </c>
    </row>
    <row r="1988">
      <c r="B1988" s="45"/>
      <c r="N1988" s="46" t="str">
        <f>IFERROR(__xludf.DUMMYFUNCTION("""COMPUTED_VALUE"""),"")</f>
        <v/>
      </c>
      <c r="O1988" s="46" t="s">
        <v>1976</v>
      </c>
      <c r="P1988" s="47"/>
      <c r="Q1988" s="47"/>
      <c r="R1988" s="48" t="s">
        <v>1976</v>
      </c>
    </row>
    <row r="1989">
      <c r="B1989" s="45"/>
      <c r="N1989" s="46" t="str">
        <f>IFERROR(__xludf.DUMMYFUNCTION("""COMPUTED_VALUE"""),"")</f>
        <v/>
      </c>
      <c r="O1989" s="46" t="s">
        <v>1976</v>
      </c>
      <c r="P1989" s="47"/>
      <c r="Q1989" s="47"/>
      <c r="R1989" s="48" t="s">
        <v>1976</v>
      </c>
    </row>
    <row r="1990">
      <c r="B1990" s="45"/>
      <c r="N1990" s="46" t="str">
        <f>IFERROR(__xludf.DUMMYFUNCTION("""COMPUTED_VALUE"""),"")</f>
        <v/>
      </c>
      <c r="O1990" s="46" t="s">
        <v>1976</v>
      </c>
      <c r="P1990" s="47"/>
      <c r="Q1990" s="47"/>
      <c r="R1990" s="48" t="s">
        <v>1976</v>
      </c>
    </row>
    <row r="1991">
      <c r="B1991" s="45"/>
      <c r="N1991" s="46" t="str">
        <f>IFERROR(__xludf.DUMMYFUNCTION("""COMPUTED_VALUE"""),"")</f>
        <v/>
      </c>
      <c r="O1991" s="46" t="s">
        <v>1976</v>
      </c>
      <c r="P1991" s="47"/>
      <c r="Q1991" s="47"/>
      <c r="R1991" s="48" t="s">
        <v>1976</v>
      </c>
    </row>
    <row r="1992">
      <c r="B1992" s="45"/>
      <c r="N1992" s="46" t="str">
        <f>IFERROR(__xludf.DUMMYFUNCTION("""COMPUTED_VALUE"""),"")</f>
        <v/>
      </c>
      <c r="O1992" s="46" t="s">
        <v>1976</v>
      </c>
      <c r="P1992" s="47"/>
      <c r="Q1992" s="47"/>
      <c r="R1992" s="48" t="s">
        <v>1976</v>
      </c>
    </row>
    <row r="1993">
      <c r="B1993" s="45"/>
      <c r="N1993" s="46" t="str">
        <f>IFERROR(__xludf.DUMMYFUNCTION("""COMPUTED_VALUE"""),"")</f>
        <v/>
      </c>
      <c r="O1993" s="46" t="s">
        <v>1976</v>
      </c>
      <c r="P1993" s="47"/>
      <c r="Q1993" s="47"/>
      <c r="R1993" s="48" t="s">
        <v>1976</v>
      </c>
    </row>
    <row r="1994">
      <c r="B1994" s="45"/>
      <c r="N1994" s="46" t="str">
        <f>IFERROR(__xludf.DUMMYFUNCTION("""COMPUTED_VALUE"""),"")</f>
        <v/>
      </c>
      <c r="O1994" s="46" t="s">
        <v>1976</v>
      </c>
      <c r="P1994" s="47"/>
      <c r="Q1994" s="47"/>
      <c r="R1994" s="48" t="s">
        <v>1976</v>
      </c>
    </row>
    <row r="1995">
      <c r="B1995" s="45"/>
      <c r="N1995" s="46" t="str">
        <f>IFERROR(__xludf.DUMMYFUNCTION("""COMPUTED_VALUE"""),"")</f>
        <v/>
      </c>
      <c r="O1995" s="46" t="s">
        <v>1976</v>
      </c>
      <c r="P1995" s="47"/>
      <c r="Q1995" s="47"/>
      <c r="R1995" s="48" t="s">
        <v>1976</v>
      </c>
    </row>
    <row r="1996">
      <c r="B1996" s="45"/>
      <c r="N1996" s="46" t="str">
        <f>IFERROR(__xludf.DUMMYFUNCTION("""COMPUTED_VALUE"""),"")</f>
        <v/>
      </c>
      <c r="O1996" s="46" t="s">
        <v>1976</v>
      </c>
      <c r="P1996" s="47"/>
      <c r="Q1996" s="47"/>
      <c r="R1996" s="48" t="s">
        <v>1976</v>
      </c>
    </row>
    <row r="1997">
      <c r="B1997" s="45"/>
      <c r="N1997" s="46" t="str">
        <f>IFERROR(__xludf.DUMMYFUNCTION("""COMPUTED_VALUE"""),"")</f>
        <v/>
      </c>
      <c r="O1997" s="46" t="s">
        <v>1976</v>
      </c>
      <c r="P1997" s="47"/>
      <c r="Q1997" s="47"/>
      <c r="R1997" s="48" t="s">
        <v>1976</v>
      </c>
    </row>
    <row r="1998">
      <c r="B1998" s="45"/>
      <c r="N1998" s="46" t="str">
        <f>IFERROR(__xludf.DUMMYFUNCTION("""COMPUTED_VALUE"""),"")</f>
        <v/>
      </c>
      <c r="O1998" s="46" t="s">
        <v>1976</v>
      </c>
      <c r="P1998" s="47"/>
      <c r="Q1998" s="47"/>
      <c r="R1998" s="48" t="s">
        <v>1976</v>
      </c>
    </row>
    <row r="1999">
      <c r="B1999" s="45"/>
      <c r="N1999" s="46" t="str">
        <f>IFERROR(__xludf.DUMMYFUNCTION("""COMPUTED_VALUE"""),"")</f>
        <v/>
      </c>
      <c r="O1999" s="46" t="s">
        <v>1976</v>
      </c>
      <c r="P1999" s="47"/>
      <c r="Q1999" s="47"/>
      <c r="R1999" s="48" t="s">
        <v>1976</v>
      </c>
    </row>
    <row r="2000">
      <c r="B2000" s="45"/>
      <c r="N2000" s="46" t="str">
        <f>IFERROR(__xludf.DUMMYFUNCTION("""COMPUTED_VALUE"""),"")</f>
        <v/>
      </c>
      <c r="O2000" s="46" t="s">
        <v>1976</v>
      </c>
      <c r="P2000" s="47"/>
      <c r="Q2000" s="47"/>
      <c r="R2000" s="48" t="s">
        <v>1976</v>
      </c>
    </row>
    <row r="2001">
      <c r="B2001" s="45"/>
      <c r="N2001" s="46" t="str">
        <f>IFERROR(__xludf.DUMMYFUNCTION("""COMPUTED_VALUE"""),"")</f>
        <v/>
      </c>
      <c r="O2001" s="46" t="s">
        <v>1976</v>
      </c>
      <c r="P2001" s="47"/>
      <c r="Q2001" s="47"/>
      <c r="R2001" s="48" t="s">
        <v>1976</v>
      </c>
    </row>
    <row r="2002">
      <c r="B2002" s="45"/>
      <c r="N2002" s="46" t="str">
        <f>IFERROR(__xludf.DUMMYFUNCTION("""COMPUTED_VALUE"""),"")</f>
        <v/>
      </c>
      <c r="O2002" s="46" t="s">
        <v>1976</v>
      </c>
      <c r="P2002" s="47"/>
      <c r="Q2002" s="47"/>
      <c r="R2002" s="48" t="s">
        <v>1976</v>
      </c>
    </row>
    <row r="2003">
      <c r="B2003" s="45"/>
      <c r="N2003" s="46" t="str">
        <f>IFERROR(__xludf.DUMMYFUNCTION("""COMPUTED_VALUE"""),"")</f>
        <v/>
      </c>
      <c r="O2003" s="46" t="s">
        <v>1976</v>
      </c>
      <c r="P2003" s="47"/>
      <c r="Q2003" s="47"/>
      <c r="R2003" s="48" t="s">
        <v>1976</v>
      </c>
    </row>
    <row r="2004">
      <c r="B2004" s="45"/>
      <c r="N2004" s="46" t="str">
        <f>IFERROR(__xludf.DUMMYFUNCTION("""COMPUTED_VALUE"""),"")</f>
        <v/>
      </c>
      <c r="O2004" s="46" t="s">
        <v>1976</v>
      </c>
      <c r="P2004" s="47"/>
      <c r="Q2004" s="47"/>
      <c r="R2004" s="48" t="s">
        <v>1976</v>
      </c>
    </row>
    <row r="2005">
      <c r="B2005" s="45"/>
      <c r="N2005" s="46" t="str">
        <f>IFERROR(__xludf.DUMMYFUNCTION("""COMPUTED_VALUE"""),"")</f>
        <v/>
      </c>
      <c r="O2005" s="46" t="s">
        <v>1976</v>
      </c>
      <c r="P2005" s="47"/>
      <c r="Q2005" s="47"/>
      <c r="R2005" s="48" t="s">
        <v>1976</v>
      </c>
    </row>
    <row r="2006">
      <c r="B2006" s="45"/>
      <c r="N2006" s="46" t="str">
        <f>IFERROR(__xludf.DUMMYFUNCTION("""COMPUTED_VALUE"""),"")</f>
        <v/>
      </c>
      <c r="O2006" s="46" t="s">
        <v>1976</v>
      </c>
      <c r="P2006" s="47"/>
      <c r="Q2006" s="47"/>
      <c r="R2006" s="48" t="s">
        <v>1976</v>
      </c>
    </row>
    <row r="2007">
      <c r="B2007" s="45"/>
      <c r="N2007" s="46" t="str">
        <f>IFERROR(__xludf.DUMMYFUNCTION("""COMPUTED_VALUE"""),"")</f>
        <v/>
      </c>
      <c r="O2007" s="46" t="s">
        <v>1976</v>
      </c>
      <c r="P2007" s="47"/>
      <c r="Q2007" s="47"/>
      <c r="R2007" s="48" t="s">
        <v>1976</v>
      </c>
    </row>
    <row r="2008">
      <c r="B2008" s="45"/>
      <c r="N2008" s="46" t="str">
        <f>IFERROR(__xludf.DUMMYFUNCTION("""COMPUTED_VALUE"""),"")</f>
        <v/>
      </c>
      <c r="O2008" s="46" t="s">
        <v>1976</v>
      </c>
      <c r="P2008" s="47"/>
      <c r="Q2008" s="47"/>
      <c r="R2008" s="48" t="s">
        <v>1976</v>
      </c>
    </row>
    <row r="2009">
      <c r="B2009" s="45"/>
      <c r="N2009" s="46" t="str">
        <f>IFERROR(__xludf.DUMMYFUNCTION("""COMPUTED_VALUE"""),"")</f>
        <v/>
      </c>
      <c r="O2009" s="46" t="s">
        <v>1976</v>
      </c>
      <c r="P2009" s="47"/>
      <c r="Q2009" s="47"/>
      <c r="R2009" s="48" t="s">
        <v>1976</v>
      </c>
    </row>
    <row r="2010">
      <c r="B2010" s="45"/>
      <c r="N2010" s="46" t="str">
        <f>IFERROR(__xludf.DUMMYFUNCTION("""COMPUTED_VALUE"""),"")</f>
        <v/>
      </c>
      <c r="O2010" s="46" t="s">
        <v>1976</v>
      </c>
      <c r="P2010" s="47"/>
      <c r="Q2010" s="47"/>
      <c r="R2010" s="48" t="s">
        <v>1976</v>
      </c>
    </row>
    <row r="2011">
      <c r="B2011" s="45"/>
      <c r="N2011" s="46" t="str">
        <f>IFERROR(__xludf.DUMMYFUNCTION("""COMPUTED_VALUE"""),"")</f>
        <v/>
      </c>
      <c r="O2011" s="46" t="s">
        <v>1976</v>
      </c>
      <c r="P2011" s="47"/>
      <c r="Q2011" s="47"/>
      <c r="R2011" s="48" t="s">
        <v>1976</v>
      </c>
    </row>
    <row r="2012">
      <c r="B2012" s="45"/>
      <c r="N2012" s="46" t="str">
        <f>IFERROR(__xludf.DUMMYFUNCTION("""COMPUTED_VALUE"""),"")</f>
        <v/>
      </c>
      <c r="O2012" s="46" t="s">
        <v>1976</v>
      </c>
      <c r="P2012" s="47"/>
      <c r="Q2012" s="47"/>
      <c r="R2012" s="48" t="s">
        <v>1976</v>
      </c>
    </row>
    <row r="2013">
      <c r="B2013" s="45"/>
      <c r="N2013" s="46" t="str">
        <f>IFERROR(__xludf.DUMMYFUNCTION("""COMPUTED_VALUE"""),"")</f>
        <v/>
      </c>
      <c r="O2013" s="46" t="s">
        <v>1976</v>
      </c>
      <c r="P2013" s="47"/>
      <c r="Q2013" s="47"/>
      <c r="R2013" s="48" t="s">
        <v>1976</v>
      </c>
    </row>
    <row r="2014">
      <c r="B2014" s="45"/>
      <c r="N2014" s="46" t="str">
        <f>IFERROR(__xludf.DUMMYFUNCTION("""COMPUTED_VALUE"""),"")</f>
        <v/>
      </c>
      <c r="O2014" s="46" t="s">
        <v>1976</v>
      </c>
      <c r="P2014" s="47"/>
      <c r="Q2014" s="47"/>
      <c r="R2014" s="48" t="s">
        <v>1976</v>
      </c>
    </row>
    <row r="2015">
      <c r="B2015" s="45"/>
      <c r="N2015" s="46" t="str">
        <f>IFERROR(__xludf.DUMMYFUNCTION("""COMPUTED_VALUE"""),"")</f>
        <v/>
      </c>
      <c r="O2015" s="46" t="s">
        <v>1976</v>
      </c>
      <c r="P2015" s="47"/>
      <c r="Q2015" s="47"/>
      <c r="R2015" s="48" t="s">
        <v>1976</v>
      </c>
    </row>
    <row r="2016">
      <c r="B2016" s="45"/>
      <c r="N2016" s="46" t="str">
        <f>IFERROR(__xludf.DUMMYFUNCTION("""COMPUTED_VALUE"""),"")</f>
        <v/>
      </c>
      <c r="O2016" s="46" t="s">
        <v>1976</v>
      </c>
      <c r="P2016" s="47"/>
      <c r="Q2016" s="47"/>
      <c r="R2016" s="48" t="s">
        <v>1976</v>
      </c>
    </row>
    <row r="2017">
      <c r="B2017" s="45"/>
      <c r="N2017" s="46" t="str">
        <f>IFERROR(__xludf.DUMMYFUNCTION("""COMPUTED_VALUE"""),"")</f>
        <v/>
      </c>
      <c r="O2017" s="46" t="s">
        <v>1976</v>
      </c>
      <c r="P2017" s="47"/>
      <c r="Q2017" s="47"/>
      <c r="R2017" s="48" t="s">
        <v>1976</v>
      </c>
    </row>
    <row r="2018">
      <c r="B2018" s="45"/>
      <c r="N2018" s="46" t="str">
        <f>IFERROR(__xludf.DUMMYFUNCTION("""COMPUTED_VALUE"""),"")</f>
        <v/>
      </c>
      <c r="O2018" s="46" t="s">
        <v>1976</v>
      </c>
      <c r="P2018" s="47"/>
      <c r="Q2018" s="47"/>
      <c r="R2018" s="48" t="s">
        <v>1976</v>
      </c>
    </row>
    <row r="2019">
      <c r="B2019" s="45"/>
      <c r="N2019" s="46" t="str">
        <f>IFERROR(__xludf.DUMMYFUNCTION("""COMPUTED_VALUE"""),"")</f>
        <v/>
      </c>
      <c r="O2019" s="46" t="s">
        <v>1976</v>
      </c>
      <c r="P2019" s="47"/>
      <c r="Q2019" s="47"/>
      <c r="R2019" s="48" t="s">
        <v>1976</v>
      </c>
    </row>
    <row r="2020">
      <c r="B2020" s="45"/>
      <c r="N2020" s="46" t="str">
        <f>IFERROR(__xludf.DUMMYFUNCTION("""COMPUTED_VALUE"""),"")</f>
        <v/>
      </c>
      <c r="O2020" s="46" t="s">
        <v>1976</v>
      </c>
      <c r="P2020" s="47"/>
      <c r="Q2020" s="47"/>
      <c r="R2020" s="48" t="s">
        <v>1976</v>
      </c>
    </row>
    <row r="2021">
      <c r="B2021" s="45"/>
      <c r="N2021" s="46" t="str">
        <f>IFERROR(__xludf.DUMMYFUNCTION("""COMPUTED_VALUE"""),"")</f>
        <v/>
      </c>
      <c r="O2021" s="46" t="s">
        <v>1976</v>
      </c>
      <c r="P2021" s="47"/>
      <c r="Q2021" s="47"/>
      <c r="R2021" s="48" t="s">
        <v>1976</v>
      </c>
    </row>
    <row r="2022">
      <c r="B2022" s="45"/>
      <c r="N2022" s="46" t="str">
        <f>IFERROR(__xludf.DUMMYFUNCTION("""COMPUTED_VALUE"""),"")</f>
        <v/>
      </c>
      <c r="O2022" s="46" t="s">
        <v>1976</v>
      </c>
      <c r="P2022" s="47"/>
      <c r="Q2022" s="47"/>
      <c r="R2022" s="48" t="s">
        <v>1976</v>
      </c>
    </row>
    <row r="2023">
      <c r="B2023" s="45"/>
      <c r="N2023" s="46" t="str">
        <f>IFERROR(__xludf.DUMMYFUNCTION("""COMPUTED_VALUE"""),"")</f>
        <v/>
      </c>
      <c r="O2023" s="46" t="s">
        <v>1976</v>
      </c>
      <c r="P2023" s="47"/>
      <c r="Q2023" s="47"/>
      <c r="R2023" s="48" t="s">
        <v>1976</v>
      </c>
    </row>
    <row r="2024">
      <c r="B2024" s="45"/>
      <c r="N2024" s="46" t="str">
        <f>IFERROR(__xludf.DUMMYFUNCTION("""COMPUTED_VALUE"""),"")</f>
        <v/>
      </c>
      <c r="O2024" s="46" t="s">
        <v>1976</v>
      </c>
      <c r="P2024" s="47"/>
      <c r="Q2024" s="47"/>
      <c r="R2024" s="48" t="s">
        <v>1976</v>
      </c>
    </row>
    <row r="2025">
      <c r="B2025" s="45"/>
      <c r="N2025" s="46" t="str">
        <f>IFERROR(__xludf.DUMMYFUNCTION("""COMPUTED_VALUE"""),"")</f>
        <v/>
      </c>
      <c r="O2025" s="46" t="s">
        <v>1976</v>
      </c>
      <c r="P2025" s="47"/>
      <c r="Q2025" s="47"/>
      <c r="R2025" s="48" t="s">
        <v>1976</v>
      </c>
    </row>
    <row r="2026">
      <c r="B2026" s="45"/>
      <c r="N2026" s="46" t="str">
        <f>IFERROR(__xludf.DUMMYFUNCTION("""COMPUTED_VALUE"""),"")</f>
        <v/>
      </c>
      <c r="O2026" s="46" t="s">
        <v>1976</v>
      </c>
      <c r="P2026" s="47"/>
      <c r="Q2026" s="47"/>
      <c r="R2026" s="48" t="s">
        <v>1976</v>
      </c>
    </row>
    <row r="2027">
      <c r="B2027" s="45"/>
      <c r="N2027" s="46" t="str">
        <f>IFERROR(__xludf.DUMMYFUNCTION("""COMPUTED_VALUE"""),"")</f>
        <v/>
      </c>
      <c r="O2027" s="46" t="s">
        <v>1976</v>
      </c>
      <c r="P2027" s="47"/>
      <c r="Q2027" s="47"/>
      <c r="R2027" s="48" t="s">
        <v>1976</v>
      </c>
    </row>
    <row r="2028">
      <c r="B2028" s="45"/>
      <c r="N2028" s="46" t="str">
        <f>IFERROR(__xludf.DUMMYFUNCTION("""COMPUTED_VALUE"""),"")</f>
        <v/>
      </c>
      <c r="O2028" s="46" t="s">
        <v>1976</v>
      </c>
      <c r="P2028" s="47"/>
      <c r="Q2028" s="47"/>
      <c r="R2028" s="48" t="s">
        <v>1976</v>
      </c>
    </row>
    <row r="2029">
      <c r="B2029" s="45"/>
      <c r="N2029" s="46" t="str">
        <f>IFERROR(__xludf.DUMMYFUNCTION("""COMPUTED_VALUE"""),"")</f>
        <v/>
      </c>
      <c r="O2029" s="46" t="s">
        <v>1976</v>
      </c>
      <c r="P2029" s="47"/>
      <c r="Q2029" s="47"/>
      <c r="R2029" s="48" t="s">
        <v>1976</v>
      </c>
    </row>
    <row r="2030">
      <c r="B2030" s="45"/>
      <c r="N2030" s="46" t="str">
        <f>IFERROR(__xludf.DUMMYFUNCTION("""COMPUTED_VALUE"""),"")</f>
        <v/>
      </c>
      <c r="O2030" s="46" t="s">
        <v>1976</v>
      </c>
      <c r="P2030" s="47"/>
      <c r="Q2030" s="47"/>
      <c r="R2030" s="48" t="s">
        <v>1976</v>
      </c>
    </row>
    <row r="2031">
      <c r="B2031" s="45"/>
      <c r="N2031" s="46" t="str">
        <f>IFERROR(__xludf.DUMMYFUNCTION("""COMPUTED_VALUE"""),"")</f>
        <v/>
      </c>
      <c r="O2031" s="46" t="s">
        <v>1976</v>
      </c>
      <c r="P2031" s="47"/>
      <c r="Q2031" s="47"/>
      <c r="R2031" s="48" t="s">
        <v>1976</v>
      </c>
    </row>
    <row r="2032">
      <c r="B2032" s="45"/>
      <c r="N2032" s="46" t="str">
        <f>IFERROR(__xludf.DUMMYFUNCTION("""COMPUTED_VALUE"""),"")</f>
        <v/>
      </c>
      <c r="O2032" s="46" t="s">
        <v>1976</v>
      </c>
      <c r="P2032" s="47"/>
      <c r="Q2032" s="47"/>
      <c r="R2032" s="48" t="s">
        <v>1976</v>
      </c>
    </row>
    <row r="2033">
      <c r="B2033" s="45"/>
      <c r="N2033" s="46" t="str">
        <f>IFERROR(__xludf.DUMMYFUNCTION("""COMPUTED_VALUE"""),"")</f>
        <v/>
      </c>
      <c r="O2033" s="46" t="s">
        <v>1976</v>
      </c>
      <c r="P2033" s="47"/>
      <c r="Q2033" s="47"/>
      <c r="R2033" s="48" t="s">
        <v>1976</v>
      </c>
    </row>
    <row r="2034">
      <c r="B2034" s="45"/>
      <c r="N2034" s="46" t="str">
        <f>IFERROR(__xludf.DUMMYFUNCTION("""COMPUTED_VALUE"""),"")</f>
        <v/>
      </c>
      <c r="O2034" s="46" t="s">
        <v>1976</v>
      </c>
      <c r="P2034" s="47"/>
      <c r="Q2034" s="47"/>
      <c r="R2034" s="48" t="s">
        <v>1976</v>
      </c>
    </row>
    <row r="2035">
      <c r="B2035" s="45"/>
      <c r="N2035" s="46" t="str">
        <f>IFERROR(__xludf.DUMMYFUNCTION("""COMPUTED_VALUE"""),"")</f>
        <v/>
      </c>
      <c r="O2035" s="46" t="s">
        <v>1976</v>
      </c>
      <c r="P2035" s="47"/>
      <c r="Q2035" s="47"/>
      <c r="R2035" s="48" t="s">
        <v>1976</v>
      </c>
    </row>
    <row r="2036">
      <c r="B2036" s="45"/>
      <c r="N2036" s="46" t="str">
        <f>IFERROR(__xludf.DUMMYFUNCTION("""COMPUTED_VALUE"""),"")</f>
        <v/>
      </c>
      <c r="O2036" s="46" t="s">
        <v>1976</v>
      </c>
      <c r="P2036" s="47"/>
      <c r="Q2036" s="47"/>
      <c r="R2036" s="48" t="s">
        <v>1976</v>
      </c>
    </row>
    <row r="2037">
      <c r="B2037" s="45"/>
      <c r="N2037" s="46" t="str">
        <f>IFERROR(__xludf.DUMMYFUNCTION("""COMPUTED_VALUE"""),"")</f>
        <v/>
      </c>
      <c r="O2037" s="46" t="s">
        <v>1976</v>
      </c>
      <c r="P2037" s="47"/>
      <c r="Q2037" s="47"/>
      <c r="R2037" s="48" t="s">
        <v>1976</v>
      </c>
    </row>
    <row r="2038">
      <c r="B2038" s="45"/>
      <c r="N2038" s="46" t="str">
        <f>IFERROR(__xludf.DUMMYFUNCTION("""COMPUTED_VALUE"""),"")</f>
        <v/>
      </c>
      <c r="O2038" s="46" t="s">
        <v>1976</v>
      </c>
      <c r="P2038" s="47"/>
      <c r="Q2038" s="47"/>
      <c r="R2038" s="48" t="s">
        <v>1976</v>
      </c>
    </row>
    <row r="2039">
      <c r="B2039" s="45"/>
      <c r="N2039" s="46" t="str">
        <f>IFERROR(__xludf.DUMMYFUNCTION("""COMPUTED_VALUE"""),"")</f>
        <v/>
      </c>
      <c r="O2039" s="46" t="s">
        <v>1976</v>
      </c>
      <c r="P2039" s="47"/>
      <c r="Q2039" s="47"/>
      <c r="R2039" s="48" t="s">
        <v>1976</v>
      </c>
    </row>
    <row r="2040">
      <c r="B2040" s="45"/>
      <c r="N2040" s="46" t="str">
        <f>IFERROR(__xludf.DUMMYFUNCTION("""COMPUTED_VALUE"""),"")</f>
        <v/>
      </c>
      <c r="O2040" s="46" t="s">
        <v>1976</v>
      </c>
      <c r="P2040" s="47"/>
      <c r="Q2040" s="47"/>
      <c r="R2040" s="48" t="s">
        <v>1976</v>
      </c>
    </row>
    <row r="2041">
      <c r="B2041" s="45"/>
      <c r="N2041" s="46" t="str">
        <f>IFERROR(__xludf.DUMMYFUNCTION("""COMPUTED_VALUE"""),"")</f>
        <v/>
      </c>
      <c r="O2041" s="46" t="s">
        <v>1976</v>
      </c>
      <c r="P2041" s="47"/>
      <c r="Q2041" s="47"/>
      <c r="R2041" s="48" t="s">
        <v>1976</v>
      </c>
    </row>
    <row r="2042">
      <c r="B2042" s="45"/>
      <c r="N2042" s="46" t="str">
        <f>IFERROR(__xludf.DUMMYFUNCTION("""COMPUTED_VALUE"""),"")</f>
        <v/>
      </c>
      <c r="O2042" s="46" t="s">
        <v>1976</v>
      </c>
      <c r="P2042" s="47"/>
      <c r="Q2042" s="47"/>
      <c r="R2042" s="48" t="s">
        <v>1976</v>
      </c>
    </row>
    <row r="2043">
      <c r="B2043" s="45"/>
      <c r="N2043" s="46" t="str">
        <f>IFERROR(__xludf.DUMMYFUNCTION("""COMPUTED_VALUE"""),"")</f>
        <v/>
      </c>
      <c r="O2043" s="46" t="s">
        <v>1976</v>
      </c>
      <c r="P2043" s="47"/>
      <c r="Q2043" s="47"/>
      <c r="R2043" s="48" t="s">
        <v>1976</v>
      </c>
    </row>
    <row r="2044">
      <c r="B2044" s="45"/>
      <c r="N2044" s="46" t="str">
        <f>IFERROR(__xludf.DUMMYFUNCTION("""COMPUTED_VALUE"""),"")</f>
        <v/>
      </c>
      <c r="O2044" s="46" t="s">
        <v>1976</v>
      </c>
      <c r="P2044" s="47"/>
      <c r="Q2044" s="47"/>
      <c r="R2044" s="48" t="s">
        <v>1976</v>
      </c>
    </row>
    <row r="2045">
      <c r="B2045" s="45"/>
      <c r="N2045" s="46" t="str">
        <f>IFERROR(__xludf.DUMMYFUNCTION("""COMPUTED_VALUE"""),"")</f>
        <v/>
      </c>
      <c r="O2045" s="46" t="s">
        <v>1976</v>
      </c>
      <c r="P2045" s="47"/>
      <c r="Q2045" s="47"/>
      <c r="R2045" s="48" t="s">
        <v>1976</v>
      </c>
    </row>
    <row r="2046">
      <c r="B2046" s="45"/>
      <c r="N2046" s="46" t="str">
        <f>IFERROR(__xludf.DUMMYFUNCTION("""COMPUTED_VALUE"""),"")</f>
        <v/>
      </c>
      <c r="O2046" s="46" t="s">
        <v>1976</v>
      </c>
      <c r="P2046" s="47"/>
      <c r="Q2046" s="47"/>
      <c r="R2046" s="48" t="s">
        <v>1976</v>
      </c>
    </row>
    <row r="2047">
      <c r="B2047" s="45"/>
      <c r="N2047" s="46" t="str">
        <f>IFERROR(__xludf.DUMMYFUNCTION("""COMPUTED_VALUE"""),"")</f>
        <v/>
      </c>
      <c r="O2047" s="46" t="s">
        <v>1976</v>
      </c>
      <c r="P2047" s="47"/>
      <c r="Q2047" s="47"/>
      <c r="R2047" s="48" t="s">
        <v>1976</v>
      </c>
    </row>
    <row r="2048">
      <c r="B2048" s="45"/>
      <c r="N2048" s="46" t="str">
        <f>IFERROR(__xludf.DUMMYFUNCTION("""COMPUTED_VALUE"""),"")</f>
        <v/>
      </c>
      <c r="O2048" s="46" t="s">
        <v>1976</v>
      </c>
      <c r="P2048" s="47"/>
      <c r="Q2048" s="47"/>
      <c r="R2048" s="48" t="s">
        <v>1976</v>
      </c>
    </row>
    <row r="2049">
      <c r="B2049" s="45"/>
      <c r="N2049" s="46" t="str">
        <f>IFERROR(__xludf.DUMMYFUNCTION("""COMPUTED_VALUE"""),"")</f>
        <v/>
      </c>
      <c r="O2049" s="46" t="s">
        <v>1976</v>
      </c>
      <c r="P2049" s="47"/>
      <c r="Q2049" s="47"/>
      <c r="R2049" s="48" t="s">
        <v>1976</v>
      </c>
    </row>
    <row r="2050">
      <c r="B2050" s="45"/>
      <c r="N2050" s="46" t="str">
        <f>IFERROR(__xludf.DUMMYFUNCTION("""COMPUTED_VALUE"""),"")</f>
        <v/>
      </c>
      <c r="O2050" s="46" t="s">
        <v>1976</v>
      </c>
      <c r="P2050" s="47"/>
      <c r="Q2050" s="47"/>
      <c r="R2050" s="48" t="s">
        <v>1976</v>
      </c>
    </row>
    <row r="2051">
      <c r="B2051" s="45"/>
      <c r="N2051" s="46" t="str">
        <f>IFERROR(__xludf.DUMMYFUNCTION("""COMPUTED_VALUE"""),"")</f>
        <v/>
      </c>
      <c r="O2051" s="46" t="s">
        <v>1976</v>
      </c>
      <c r="P2051" s="47"/>
      <c r="Q2051" s="47"/>
      <c r="R2051" s="48" t="s">
        <v>1976</v>
      </c>
    </row>
    <row r="2052">
      <c r="B2052" s="45"/>
      <c r="N2052" s="46" t="str">
        <f>IFERROR(__xludf.DUMMYFUNCTION("""COMPUTED_VALUE"""),"")</f>
        <v/>
      </c>
      <c r="O2052" s="46" t="s">
        <v>1976</v>
      </c>
      <c r="P2052" s="47"/>
      <c r="Q2052" s="47"/>
      <c r="R2052" s="48" t="s">
        <v>1976</v>
      </c>
    </row>
    <row r="2053">
      <c r="B2053" s="45"/>
      <c r="N2053" s="46" t="str">
        <f>IFERROR(__xludf.DUMMYFUNCTION("""COMPUTED_VALUE"""),"")</f>
        <v/>
      </c>
      <c r="O2053" s="46" t="s">
        <v>1976</v>
      </c>
      <c r="P2053" s="47"/>
      <c r="Q2053" s="47"/>
      <c r="R2053" s="48" t="s">
        <v>1976</v>
      </c>
    </row>
    <row r="2054">
      <c r="B2054" s="45"/>
      <c r="N2054" s="46" t="str">
        <f>IFERROR(__xludf.DUMMYFUNCTION("""COMPUTED_VALUE"""),"")</f>
        <v/>
      </c>
      <c r="O2054" s="46" t="s">
        <v>1976</v>
      </c>
      <c r="P2054" s="47"/>
      <c r="Q2054" s="47"/>
      <c r="R2054" s="48" t="s">
        <v>1976</v>
      </c>
    </row>
    <row r="2055">
      <c r="B2055" s="45"/>
      <c r="N2055" s="46" t="str">
        <f>IFERROR(__xludf.DUMMYFUNCTION("""COMPUTED_VALUE"""),"")</f>
        <v/>
      </c>
      <c r="O2055" s="46" t="s">
        <v>1976</v>
      </c>
      <c r="P2055" s="47"/>
      <c r="Q2055" s="47"/>
      <c r="R2055" s="48" t="s">
        <v>1976</v>
      </c>
    </row>
    <row r="2056">
      <c r="B2056" s="45"/>
      <c r="N2056" s="46" t="str">
        <f>IFERROR(__xludf.DUMMYFUNCTION("""COMPUTED_VALUE"""),"")</f>
        <v/>
      </c>
      <c r="O2056" s="46" t="s">
        <v>1976</v>
      </c>
      <c r="P2056" s="47"/>
      <c r="Q2056" s="47"/>
      <c r="R2056" s="48" t="s">
        <v>1976</v>
      </c>
    </row>
    <row r="2057">
      <c r="B2057" s="45"/>
      <c r="N2057" s="46" t="str">
        <f>IFERROR(__xludf.DUMMYFUNCTION("""COMPUTED_VALUE"""),"")</f>
        <v/>
      </c>
      <c r="O2057" s="46" t="s">
        <v>1976</v>
      </c>
      <c r="P2057" s="47"/>
      <c r="Q2057" s="47"/>
      <c r="R2057" s="48" t="s">
        <v>1976</v>
      </c>
    </row>
    <row r="2058">
      <c r="B2058" s="45"/>
      <c r="N2058" s="46" t="str">
        <f>IFERROR(__xludf.DUMMYFUNCTION("""COMPUTED_VALUE"""),"")</f>
        <v/>
      </c>
      <c r="O2058" s="46" t="s">
        <v>1976</v>
      </c>
      <c r="P2058" s="47"/>
      <c r="Q2058" s="47"/>
      <c r="R2058" s="48" t="s">
        <v>1976</v>
      </c>
    </row>
    <row r="2059">
      <c r="B2059" s="45"/>
      <c r="N2059" s="46" t="str">
        <f>IFERROR(__xludf.DUMMYFUNCTION("""COMPUTED_VALUE"""),"")</f>
        <v/>
      </c>
      <c r="O2059" s="46" t="s">
        <v>1976</v>
      </c>
      <c r="P2059" s="47"/>
      <c r="Q2059" s="47"/>
      <c r="R2059" s="48" t="s">
        <v>1976</v>
      </c>
    </row>
    <row r="2060">
      <c r="B2060" s="45"/>
      <c r="N2060" s="46" t="str">
        <f>IFERROR(__xludf.DUMMYFUNCTION("""COMPUTED_VALUE"""),"")</f>
        <v/>
      </c>
      <c r="O2060" s="46" t="s">
        <v>1976</v>
      </c>
      <c r="P2060" s="47"/>
      <c r="Q2060" s="47"/>
      <c r="R2060" s="48" t="s">
        <v>1976</v>
      </c>
    </row>
    <row r="2061">
      <c r="B2061" s="45"/>
      <c r="N2061" s="46" t="str">
        <f>IFERROR(__xludf.DUMMYFUNCTION("""COMPUTED_VALUE"""),"")</f>
        <v/>
      </c>
      <c r="O2061" s="46" t="s">
        <v>1976</v>
      </c>
      <c r="P2061" s="47"/>
      <c r="Q2061" s="47"/>
      <c r="R2061" s="48" t="s">
        <v>1976</v>
      </c>
    </row>
    <row r="2062">
      <c r="B2062" s="45"/>
      <c r="N2062" s="46" t="str">
        <f>IFERROR(__xludf.DUMMYFUNCTION("""COMPUTED_VALUE"""),"")</f>
        <v/>
      </c>
      <c r="O2062" s="46" t="s">
        <v>1976</v>
      </c>
      <c r="P2062" s="47"/>
      <c r="Q2062" s="47"/>
      <c r="R2062" s="48" t="s">
        <v>1976</v>
      </c>
    </row>
    <row r="2063">
      <c r="B2063" s="45"/>
      <c r="N2063" s="46" t="str">
        <f>IFERROR(__xludf.DUMMYFUNCTION("""COMPUTED_VALUE"""),"")</f>
        <v/>
      </c>
      <c r="O2063" s="46" t="s">
        <v>1976</v>
      </c>
      <c r="P2063" s="47"/>
      <c r="Q2063" s="47"/>
      <c r="R2063" s="48" t="s">
        <v>1976</v>
      </c>
    </row>
    <row r="2064">
      <c r="B2064" s="45"/>
      <c r="N2064" s="46" t="str">
        <f>IFERROR(__xludf.DUMMYFUNCTION("""COMPUTED_VALUE"""),"")</f>
        <v/>
      </c>
      <c r="O2064" s="46" t="s">
        <v>1976</v>
      </c>
      <c r="P2064" s="47"/>
      <c r="Q2064" s="47"/>
      <c r="R2064" s="48" t="s">
        <v>1976</v>
      </c>
    </row>
    <row r="2065">
      <c r="B2065" s="45"/>
      <c r="N2065" s="46" t="str">
        <f>IFERROR(__xludf.DUMMYFUNCTION("""COMPUTED_VALUE"""),"")</f>
        <v/>
      </c>
      <c r="O2065" s="46" t="s">
        <v>1976</v>
      </c>
      <c r="P2065" s="47"/>
      <c r="Q2065" s="47"/>
      <c r="R2065" s="48" t="s">
        <v>1976</v>
      </c>
    </row>
    <row r="2066">
      <c r="B2066" s="45"/>
      <c r="N2066" s="46" t="str">
        <f>IFERROR(__xludf.DUMMYFUNCTION("""COMPUTED_VALUE"""),"")</f>
        <v/>
      </c>
      <c r="O2066" s="46" t="s">
        <v>1976</v>
      </c>
      <c r="P2066" s="47"/>
      <c r="Q2066" s="47"/>
      <c r="R2066" s="48" t="s">
        <v>1976</v>
      </c>
    </row>
    <row r="2067">
      <c r="B2067" s="45"/>
      <c r="N2067" s="46" t="str">
        <f>IFERROR(__xludf.DUMMYFUNCTION("""COMPUTED_VALUE"""),"")</f>
        <v/>
      </c>
      <c r="O2067" s="46" t="s">
        <v>1976</v>
      </c>
      <c r="P2067" s="47"/>
      <c r="Q2067" s="47"/>
      <c r="R2067" s="48" t="s">
        <v>1976</v>
      </c>
    </row>
    <row r="2068">
      <c r="B2068" s="45"/>
      <c r="N2068" s="46" t="str">
        <f>IFERROR(__xludf.DUMMYFUNCTION("""COMPUTED_VALUE"""),"")</f>
        <v/>
      </c>
      <c r="O2068" s="46" t="s">
        <v>1976</v>
      </c>
      <c r="P2068" s="47"/>
      <c r="Q2068" s="47"/>
      <c r="R2068" s="48" t="s">
        <v>1976</v>
      </c>
    </row>
    <row r="2069">
      <c r="B2069" s="45"/>
      <c r="N2069" s="46" t="str">
        <f>IFERROR(__xludf.DUMMYFUNCTION("""COMPUTED_VALUE"""),"")</f>
        <v/>
      </c>
      <c r="O2069" s="46" t="s">
        <v>1976</v>
      </c>
      <c r="P2069" s="47"/>
      <c r="Q2069" s="47"/>
      <c r="R2069" s="48" t="s">
        <v>1976</v>
      </c>
    </row>
    <row r="2070">
      <c r="B2070" s="45"/>
      <c r="N2070" s="46" t="str">
        <f>IFERROR(__xludf.DUMMYFUNCTION("""COMPUTED_VALUE"""),"")</f>
        <v/>
      </c>
      <c r="O2070" s="46" t="s">
        <v>1976</v>
      </c>
      <c r="P2070" s="47"/>
      <c r="Q2070" s="47"/>
      <c r="R2070" s="48" t="s">
        <v>1976</v>
      </c>
    </row>
    <row r="2071">
      <c r="B2071" s="45"/>
      <c r="N2071" s="46" t="str">
        <f>IFERROR(__xludf.DUMMYFUNCTION("""COMPUTED_VALUE"""),"")</f>
        <v/>
      </c>
      <c r="O2071" s="46" t="s">
        <v>1976</v>
      </c>
      <c r="P2071" s="47"/>
      <c r="Q2071" s="47"/>
      <c r="R2071" s="48" t="s">
        <v>1976</v>
      </c>
    </row>
    <row r="2072">
      <c r="B2072" s="45"/>
      <c r="N2072" s="46" t="str">
        <f>IFERROR(__xludf.DUMMYFUNCTION("""COMPUTED_VALUE"""),"")</f>
        <v/>
      </c>
      <c r="O2072" s="46" t="s">
        <v>1976</v>
      </c>
      <c r="P2072" s="47"/>
      <c r="Q2072" s="47"/>
      <c r="R2072" s="48" t="s">
        <v>1976</v>
      </c>
    </row>
    <row r="2073">
      <c r="B2073" s="45"/>
      <c r="N2073" s="46" t="str">
        <f>IFERROR(__xludf.DUMMYFUNCTION("""COMPUTED_VALUE"""),"")</f>
        <v/>
      </c>
      <c r="O2073" s="46" t="s">
        <v>1976</v>
      </c>
      <c r="P2073" s="47"/>
      <c r="Q2073" s="47"/>
      <c r="R2073" s="48" t="s">
        <v>1976</v>
      </c>
    </row>
    <row r="2074">
      <c r="B2074" s="45"/>
      <c r="N2074" s="46" t="str">
        <f>IFERROR(__xludf.DUMMYFUNCTION("""COMPUTED_VALUE"""),"")</f>
        <v/>
      </c>
      <c r="O2074" s="46" t="s">
        <v>1976</v>
      </c>
      <c r="P2074" s="47"/>
      <c r="Q2074" s="47"/>
      <c r="R2074" s="48" t="s">
        <v>1976</v>
      </c>
    </row>
    <row r="2075">
      <c r="B2075" s="45"/>
      <c r="N2075" s="46" t="str">
        <f>IFERROR(__xludf.DUMMYFUNCTION("""COMPUTED_VALUE"""),"")</f>
        <v/>
      </c>
      <c r="O2075" s="46" t="s">
        <v>1976</v>
      </c>
      <c r="P2075" s="47"/>
      <c r="Q2075" s="47"/>
      <c r="R2075" s="48" t="s">
        <v>1976</v>
      </c>
    </row>
    <row r="2076">
      <c r="B2076" s="45"/>
      <c r="N2076" s="46" t="str">
        <f>IFERROR(__xludf.DUMMYFUNCTION("""COMPUTED_VALUE"""),"")</f>
        <v/>
      </c>
      <c r="O2076" s="46" t="s">
        <v>1976</v>
      </c>
      <c r="P2076" s="47"/>
      <c r="Q2076" s="47"/>
      <c r="R2076" s="48" t="s">
        <v>1976</v>
      </c>
    </row>
    <row r="2077">
      <c r="B2077" s="45"/>
      <c r="N2077" s="46" t="str">
        <f>IFERROR(__xludf.DUMMYFUNCTION("""COMPUTED_VALUE"""),"")</f>
        <v/>
      </c>
      <c r="O2077" s="46" t="s">
        <v>1976</v>
      </c>
      <c r="P2077" s="47"/>
      <c r="Q2077" s="47"/>
      <c r="R2077" s="48" t="s">
        <v>1976</v>
      </c>
    </row>
    <row r="2078">
      <c r="B2078" s="45"/>
      <c r="N2078" s="46" t="str">
        <f>IFERROR(__xludf.DUMMYFUNCTION("""COMPUTED_VALUE"""),"")</f>
        <v/>
      </c>
      <c r="O2078" s="46" t="s">
        <v>1976</v>
      </c>
      <c r="P2078" s="47"/>
      <c r="Q2078" s="47"/>
      <c r="R2078" s="48" t="s">
        <v>1976</v>
      </c>
    </row>
    <row r="2079">
      <c r="B2079" s="45"/>
      <c r="N2079" s="46" t="str">
        <f>IFERROR(__xludf.DUMMYFUNCTION("""COMPUTED_VALUE"""),"")</f>
        <v/>
      </c>
      <c r="O2079" s="46" t="s">
        <v>1976</v>
      </c>
      <c r="P2079" s="47"/>
      <c r="Q2079" s="47"/>
      <c r="R2079" s="48" t="s">
        <v>1976</v>
      </c>
    </row>
    <row r="2080">
      <c r="B2080" s="45"/>
      <c r="N2080" s="46" t="str">
        <f>IFERROR(__xludf.DUMMYFUNCTION("""COMPUTED_VALUE"""),"")</f>
        <v/>
      </c>
      <c r="O2080" s="46" t="s">
        <v>1976</v>
      </c>
      <c r="P2080" s="47"/>
      <c r="Q2080" s="47"/>
      <c r="R2080" s="48" t="s">
        <v>1976</v>
      </c>
    </row>
    <row r="2081">
      <c r="B2081" s="45"/>
      <c r="N2081" s="46" t="str">
        <f>IFERROR(__xludf.DUMMYFUNCTION("""COMPUTED_VALUE"""),"")</f>
        <v/>
      </c>
      <c r="O2081" s="46" t="s">
        <v>1976</v>
      </c>
      <c r="P2081" s="47"/>
      <c r="Q2081" s="47"/>
      <c r="R2081" s="48" t="s">
        <v>1976</v>
      </c>
    </row>
    <row r="2082">
      <c r="B2082" s="45"/>
      <c r="N2082" s="46" t="str">
        <f>IFERROR(__xludf.DUMMYFUNCTION("""COMPUTED_VALUE"""),"")</f>
        <v/>
      </c>
      <c r="O2082" s="46" t="s">
        <v>1976</v>
      </c>
      <c r="P2082" s="47"/>
      <c r="Q2082" s="47"/>
      <c r="R2082" s="48" t="s">
        <v>1976</v>
      </c>
    </row>
    <row r="2083">
      <c r="B2083" s="45"/>
      <c r="N2083" s="46" t="str">
        <f>IFERROR(__xludf.DUMMYFUNCTION("""COMPUTED_VALUE"""),"")</f>
        <v/>
      </c>
      <c r="O2083" s="46" t="s">
        <v>1976</v>
      </c>
      <c r="P2083" s="47"/>
      <c r="Q2083" s="47"/>
      <c r="R2083" s="48" t="s">
        <v>1976</v>
      </c>
    </row>
    <row r="2084">
      <c r="B2084" s="45"/>
      <c r="N2084" s="46" t="str">
        <f>IFERROR(__xludf.DUMMYFUNCTION("""COMPUTED_VALUE"""),"")</f>
        <v/>
      </c>
      <c r="O2084" s="46" t="s">
        <v>1976</v>
      </c>
      <c r="P2084" s="47"/>
      <c r="Q2084" s="47"/>
      <c r="R2084" s="48" t="s">
        <v>1976</v>
      </c>
    </row>
    <row r="2085">
      <c r="B2085" s="45"/>
      <c r="N2085" s="46" t="str">
        <f>IFERROR(__xludf.DUMMYFUNCTION("""COMPUTED_VALUE"""),"")</f>
        <v/>
      </c>
      <c r="O2085" s="46" t="s">
        <v>1976</v>
      </c>
      <c r="P2085" s="47"/>
      <c r="Q2085" s="47"/>
      <c r="R2085" s="48" t="s">
        <v>1976</v>
      </c>
    </row>
    <row r="2086">
      <c r="B2086" s="45"/>
      <c r="N2086" s="46" t="str">
        <f>IFERROR(__xludf.DUMMYFUNCTION("""COMPUTED_VALUE"""),"")</f>
        <v/>
      </c>
      <c r="O2086" s="46" t="s">
        <v>1976</v>
      </c>
      <c r="P2086" s="47"/>
      <c r="Q2086" s="47"/>
      <c r="R2086" s="48" t="s">
        <v>1976</v>
      </c>
    </row>
    <row r="2087">
      <c r="B2087" s="45"/>
      <c r="N2087" s="46" t="str">
        <f>IFERROR(__xludf.DUMMYFUNCTION("""COMPUTED_VALUE"""),"")</f>
        <v/>
      </c>
      <c r="O2087" s="46" t="s">
        <v>1976</v>
      </c>
      <c r="P2087" s="47"/>
      <c r="Q2087" s="47"/>
      <c r="R2087" s="48" t="s">
        <v>1976</v>
      </c>
    </row>
    <row r="2088">
      <c r="B2088" s="45"/>
      <c r="N2088" s="46" t="str">
        <f>IFERROR(__xludf.DUMMYFUNCTION("""COMPUTED_VALUE"""),"")</f>
        <v/>
      </c>
      <c r="O2088" s="46" t="s">
        <v>1976</v>
      </c>
      <c r="P2088" s="47"/>
      <c r="Q2088" s="47"/>
      <c r="R2088" s="48" t="s">
        <v>1976</v>
      </c>
    </row>
    <row r="2089">
      <c r="B2089" s="45"/>
      <c r="N2089" s="46" t="str">
        <f>IFERROR(__xludf.DUMMYFUNCTION("""COMPUTED_VALUE"""),"")</f>
        <v/>
      </c>
      <c r="O2089" s="46" t="s">
        <v>1976</v>
      </c>
      <c r="P2089" s="47"/>
      <c r="Q2089" s="47"/>
      <c r="R2089" s="48" t="s">
        <v>1976</v>
      </c>
    </row>
    <row r="2090">
      <c r="B2090" s="45"/>
      <c r="N2090" s="46" t="str">
        <f>IFERROR(__xludf.DUMMYFUNCTION("""COMPUTED_VALUE"""),"")</f>
        <v/>
      </c>
      <c r="O2090" s="46" t="s">
        <v>1976</v>
      </c>
      <c r="P2090" s="47"/>
      <c r="Q2090" s="47"/>
      <c r="R2090" s="48" t="s">
        <v>1976</v>
      </c>
    </row>
    <row r="2091">
      <c r="B2091" s="45"/>
      <c r="N2091" s="46" t="str">
        <f>IFERROR(__xludf.DUMMYFUNCTION("""COMPUTED_VALUE"""),"")</f>
        <v/>
      </c>
      <c r="O2091" s="46" t="s">
        <v>1976</v>
      </c>
      <c r="P2091" s="47"/>
      <c r="Q2091" s="47"/>
      <c r="R2091" s="48" t="s">
        <v>1976</v>
      </c>
    </row>
    <row r="2092">
      <c r="B2092" s="45"/>
      <c r="N2092" s="46" t="str">
        <f>IFERROR(__xludf.DUMMYFUNCTION("""COMPUTED_VALUE"""),"")</f>
        <v/>
      </c>
      <c r="O2092" s="46" t="s">
        <v>1976</v>
      </c>
      <c r="P2092" s="47"/>
      <c r="Q2092" s="47"/>
      <c r="R2092" s="48" t="s">
        <v>1976</v>
      </c>
    </row>
    <row r="2093">
      <c r="B2093" s="45"/>
      <c r="N2093" s="46" t="str">
        <f>IFERROR(__xludf.DUMMYFUNCTION("""COMPUTED_VALUE"""),"")</f>
        <v/>
      </c>
      <c r="O2093" s="46" t="s">
        <v>1976</v>
      </c>
      <c r="P2093" s="47"/>
      <c r="Q2093" s="47"/>
      <c r="R2093" s="48" t="s">
        <v>1976</v>
      </c>
    </row>
    <row r="2094">
      <c r="B2094" s="45"/>
      <c r="N2094" s="46" t="str">
        <f>IFERROR(__xludf.DUMMYFUNCTION("""COMPUTED_VALUE"""),"")</f>
        <v/>
      </c>
      <c r="O2094" s="46" t="s">
        <v>1976</v>
      </c>
      <c r="P2094" s="47"/>
      <c r="Q2094" s="47"/>
      <c r="R2094" s="48" t="s">
        <v>1976</v>
      </c>
    </row>
    <row r="2095">
      <c r="B2095" s="45"/>
      <c r="N2095" s="46" t="str">
        <f>IFERROR(__xludf.DUMMYFUNCTION("""COMPUTED_VALUE"""),"")</f>
        <v/>
      </c>
      <c r="O2095" s="46" t="s">
        <v>1976</v>
      </c>
      <c r="P2095" s="47"/>
      <c r="Q2095" s="47"/>
      <c r="R2095" s="48" t="s">
        <v>1976</v>
      </c>
    </row>
    <row r="2096">
      <c r="B2096" s="45"/>
      <c r="N2096" s="46" t="str">
        <f>IFERROR(__xludf.DUMMYFUNCTION("""COMPUTED_VALUE"""),"")</f>
        <v/>
      </c>
      <c r="O2096" s="46" t="s">
        <v>1976</v>
      </c>
      <c r="P2096" s="47"/>
      <c r="Q2096" s="47"/>
      <c r="R2096" s="48" t="s">
        <v>1976</v>
      </c>
    </row>
    <row r="2097">
      <c r="B2097" s="45"/>
      <c r="N2097" s="46" t="str">
        <f>IFERROR(__xludf.DUMMYFUNCTION("""COMPUTED_VALUE"""),"")</f>
        <v/>
      </c>
      <c r="O2097" s="46" t="s">
        <v>1976</v>
      </c>
      <c r="P2097" s="47"/>
      <c r="Q2097" s="47"/>
      <c r="R2097" s="48" t="s">
        <v>1976</v>
      </c>
    </row>
    <row r="2098">
      <c r="B2098" s="45"/>
      <c r="N2098" s="46" t="str">
        <f>IFERROR(__xludf.DUMMYFUNCTION("""COMPUTED_VALUE"""),"")</f>
        <v/>
      </c>
      <c r="O2098" s="46" t="s">
        <v>1976</v>
      </c>
      <c r="P2098" s="47"/>
      <c r="Q2098" s="47"/>
      <c r="R2098" s="48" t="s">
        <v>1976</v>
      </c>
    </row>
    <row r="2099">
      <c r="B2099" s="45"/>
      <c r="N2099" s="46" t="str">
        <f>IFERROR(__xludf.DUMMYFUNCTION("""COMPUTED_VALUE"""),"")</f>
        <v/>
      </c>
      <c r="O2099" s="46" t="s">
        <v>1976</v>
      </c>
      <c r="P2099" s="47"/>
      <c r="Q2099" s="47"/>
      <c r="R2099" s="48" t="s">
        <v>1976</v>
      </c>
    </row>
    <row r="2100">
      <c r="B2100" s="45"/>
      <c r="N2100" s="46" t="str">
        <f>IFERROR(__xludf.DUMMYFUNCTION("""COMPUTED_VALUE"""),"")</f>
        <v/>
      </c>
      <c r="O2100" s="46" t="s">
        <v>1976</v>
      </c>
      <c r="P2100" s="47"/>
      <c r="Q2100" s="47"/>
      <c r="R2100" s="48" t="s">
        <v>1976</v>
      </c>
    </row>
    <row r="2101">
      <c r="B2101" s="45"/>
      <c r="N2101" s="46" t="str">
        <f>IFERROR(__xludf.DUMMYFUNCTION("""COMPUTED_VALUE"""),"")</f>
        <v/>
      </c>
      <c r="O2101" s="46" t="s">
        <v>1976</v>
      </c>
      <c r="P2101" s="47"/>
      <c r="Q2101" s="47"/>
      <c r="R2101" s="48" t="s">
        <v>1976</v>
      </c>
    </row>
    <row r="2102">
      <c r="B2102" s="45"/>
      <c r="N2102" s="46" t="str">
        <f>IFERROR(__xludf.DUMMYFUNCTION("""COMPUTED_VALUE"""),"")</f>
        <v/>
      </c>
      <c r="O2102" s="46" t="s">
        <v>1976</v>
      </c>
      <c r="P2102" s="47"/>
      <c r="Q2102" s="47"/>
      <c r="R2102" s="48" t="s">
        <v>1976</v>
      </c>
    </row>
    <row r="2103">
      <c r="B2103" s="45"/>
      <c r="N2103" s="46" t="str">
        <f>IFERROR(__xludf.DUMMYFUNCTION("""COMPUTED_VALUE"""),"")</f>
        <v/>
      </c>
      <c r="O2103" s="46" t="s">
        <v>1976</v>
      </c>
      <c r="P2103" s="47"/>
      <c r="Q2103" s="47"/>
      <c r="R2103" s="48" t="s">
        <v>1976</v>
      </c>
    </row>
    <row r="2104">
      <c r="B2104" s="45"/>
      <c r="N2104" s="46" t="str">
        <f>IFERROR(__xludf.DUMMYFUNCTION("""COMPUTED_VALUE"""),"")</f>
        <v/>
      </c>
      <c r="O2104" s="46" t="s">
        <v>1976</v>
      </c>
      <c r="P2104" s="47"/>
      <c r="Q2104" s="47"/>
      <c r="R2104" s="48" t="s">
        <v>1976</v>
      </c>
    </row>
    <row r="2105">
      <c r="B2105" s="45"/>
      <c r="N2105" s="46" t="str">
        <f>IFERROR(__xludf.DUMMYFUNCTION("""COMPUTED_VALUE"""),"")</f>
        <v/>
      </c>
      <c r="O2105" s="46" t="s">
        <v>1976</v>
      </c>
      <c r="P2105" s="47"/>
      <c r="Q2105" s="47"/>
      <c r="R2105" s="48" t="s">
        <v>1976</v>
      </c>
    </row>
    <row r="2106">
      <c r="B2106" s="45"/>
      <c r="N2106" s="46" t="str">
        <f>IFERROR(__xludf.DUMMYFUNCTION("""COMPUTED_VALUE"""),"")</f>
        <v/>
      </c>
      <c r="O2106" s="46" t="s">
        <v>1976</v>
      </c>
      <c r="P2106" s="47"/>
      <c r="Q2106" s="47"/>
      <c r="R2106" s="48" t="s">
        <v>1976</v>
      </c>
    </row>
    <row r="2107">
      <c r="B2107" s="45"/>
      <c r="N2107" s="46" t="str">
        <f>IFERROR(__xludf.DUMMYFUNCTION("""COMPUTED_VALUE"""),"")</f>
        <v/>
      </c>
      <c r="O2107" s="46" t="s">
        <v>1976</v>
      </c>
      <c r="P2107" s="47"/>
      <c r="Q2107" s="47"/>
      <c r="R2107" s="48" t="s">
        <v>1976</v>
      </c>
    </row>
    <row r="2108">
      <c r="B2108" s="45"/>
      <c r="N2108" s="46" t="str">
        <f>IFERROR(__xludf.DUMMYFUNCTION("""COMPUTED_VALUE"""),"")</f>
        <v/>
      </c>
      <c r="O2108" s="46" t="s">
        <v>1976</v>
      </c>
      <c r="P2108" s="47"/>
      <c r="Q2108" s="47"/>
      <c r="R2108" s="48" t="s">
        <v>1976</v>
      </c>
    </row>
    <row r="2109">
      <c r="B2109" s="45"/>
      <c r="N2109" s="46" t="str">
        <f>IFERROR(__xludf.DUMMYFUNCTION("""COMPUTED_VALUE"""),"")</f>
        <v/>
      </c>
      <c r="O2109" s="46" t="s">
        <v>1976</v>
      </c>
      <c r="P2109" s="47"/>
      <c r="Q2109" s="47"/>
      <c r="R2109" s="48" t="s">
        <v>1976</v>
      </c>
    </row>
    <row r="2110">
      <c r="B2110" s="45"/>
      <c r="N2110" s="46" t="str">
        <f>IFERROR(__xludf.DUMMYFUNCTION("""COMPUTED_VALUE"""),"")</f>
        <v/>
      </c>
      <c r="O2110" s="46" t="s">
        <v>1976</v>
      </c>
      <c r="P2110" s="47"/>
      <c r="Q2110" s="47"/>
      <c r="R2110" s="48" t="s">
        <v>1976</v>
      </c>
    </row>
    <row r="2111">
      <c r="B2111" s="45"/>
      <c r="N2111" s="46" t="str">
        <f>IFERROR(__xludf.DUMMYFUNCTION("""COMPUTED_VALUE"""),"")</f>
        <v/>
      </c>
      <c r="O2111" s="46" t="s">
        <v>1976</v>
      </c>
      <c r="P2111" s="47"/>
      <c r="Q2111" s="47"/>
      <c r="R2111" s="48" t="s">
        <v>1976</v>
      </c>
    </row>
    <row r="2112">
      <c r="B2112" s="45"/>
      <c r="N2112" s="46" t="str">
        <f>IFERROR(__xludf.DUMMYFUNCTION("""COMPUTED_VALUE"""),"")</f>
        <v/>
      </c>
      <c r="O2112" s="46" t="s">
        <v>1976</v>
      </c>
      <c r="P2112" s="47"/>
      <c r="Q2112" s="47"/>
      <c r="R2112" s="48" t="s">
        <v>1976</v>
      </c>
    </row>
    <row r="2113">
      <c r="B2113" s="45"/>
      <c r="N2113" s="46" t="str">
        <f>IFERROR(__xludf.DUMMYFUNCTION("""COMPUTED_VALUE"""),"")</f>
        <v/>
      </c>
      <c r="O2113" s="46" t="s">
        <v>1976</v>
      </c>
      <c r="P2113" s="47"/>
      <c r="Q2113" s="47"/>
      <c r="R2113" s="48" t="s">
        <v>1976</v>
      </c>
    </row>
    <row r="2114">
      <c r="B2114" s="45"/>
      <c r="N2114" s="46" t="str">
        <f>IFERROR(__xludf.DUMMYFUNCTION("""COMPUTED_VALUE"""),"")</f>
        <v/>
      </c>
      <c r="O2114" s="46" t="s">
        <v>1976</v>
      </c>
      <c r="P2114" s="47"/>
      <c r="Q2114" s="47"/>
      <c r="R2114" s="48" t="s">
        <v>1976</v>
      </c>
    </row>
    <row r="2115">
      <c r="B2115" s="45"/>
      <c r="N2115" s="46" t="str">
        <f>IFERROR(__xludf.DUMMYFUNCTION("""COMPUTED_VALUE"""),"")</f>
        <v/>
      </c>
      <c r="O2115" s="46" t="s">
        <v>1976</v>
      </c>
      <c r="P2115" s="47"/>
      <c r="Q2115" s="47"/>
      <c r="R2115" s="48" t="s">
        <v>1976</v>
      </c>
    </row>
    <row r="2116">
      <c r="B2116" s="45"/>
      <c r="N2116" s="46" t="str">
        <f>IFERROR(__xludf.DUMMYFUNCTION("""COMPUTED_VALUE"""),"")</f>
        <v/>
      </c>
      <c r="O2116" s="46" t="s">
        <v>1976</v>
      </c>
      <c r="P2116" s="47"/>
      <c r="Q2116" s="47"/>
      <c r="R2116" s="48" t="s">
        <v>1976</v>
      </c>
    </row>
    <row r="2117">
      <c r="B2117" s="45"/>
      <c r="N2117" s="46" t="str">
        <f>IFERROR(__xludf.DUMMYFUNCTION("""COMPUTED_VALUE"""),"")</f>
        <v/>
      </c>
      <c r="O2117" s="46" t="s">
        <v>1976</v>
      </c>
      <c r="P2117" s="47"/>
      <c r="Q2117" s="47"/>
      <c r="R2117" s="48" t="s">
        <v>1976</v>
      </c>
    </row>
    <row r="2118">
      <c r="B2118" s="45"/>
      <c r="N2118" s="46" t="str">
        <f>IFERROR(__xludf.DUMMYFUNCTION("""COMPUTED_VALUE"""),"")</f>
        <v/>
      </c>
      <c r="O2118" s="46" t="s">
        <v>1976</v>
      </c>
      <c r="P2118" s="47"/>
      <c r="Q2118" s="47"/>
      <c r="R2118" s="48" t="s">
        <v>1976</v>
      </c>
    </row>
    <row r="2119">
      <c r="B2119" s="45"/>
      <c r="N2119" s="46" t="str">
        <f>IFERROR(__xludf.DUMMYFUNCTION("""COMPUTED_VALUE"""),"")</f>
        <v/>
      </c>
      <c r="O2119" s="46" t="s">
        <v>1976</v>
      </c>
      <c r="P2119" s="47"/>
      <c r="Q2119" s="47"/>
      <c r="R2119" s="48" t="s">
        <v>1976</v>
      </c>
    </row>
    <row r="2120">
      <c r="B2120" s="45"/>
      <c r="N2120" s="46" t="str">
        <f>IFERROR(__xludf.DUMMYFUNCTION("""COMPUTED_VALUE"""),"")</f>
        <v/>
      </c>
      <c r="O2120" s="46" t="s">
        <v>1976</v>
      </c>
      <c r="P2120" s="47"/>
      <c r="Q2120" s="47"/>
      <c r="R2120" s="48" t="s">
        <v>1976</v>
      </c>
    </row>
    <row r="2121">
      <c r="B2121" s="45"/>
      <c r="N2121" s="46" t="str">
        <f>IFERROR(__xludf.DUMMYFUNCTION("""COMPUTED_VALUE"""),"")</f>
        <v/>
      </c>
      <c r="O2121" s="46" t="s">
        <v>1976</v>
      </c>
      <c r="P2121" s="47"/>
      <c r="Q2121" s="47"/>
      <c r="R2121" s="48" t="s">
        <v>1976</v>
      </c>
    </row>
    <row r="2122">
      <c r="B2122" s="45"/>
      <c r="N2122" s="46" t="str">
        <f>IFERROR(__xludf.DUMMYFUNCTION("""COMPUTED_VALUE"""),"")</f>
        <v/>
      </c>
      <c r="O2122" s="46" t="s">
        <v>1976</v>
      </c>
      <c r="P2122" s="47"/>
      <c r="Q2122" s="47"/>
      <c r="R2122" s="48" t="s">
        <v>1976</v>
      </c>
    </row>
    <row r="2123">
      <c r="B2123" s="45"/>
      <c r="N2123" s="46" t="str">
        <f>IFERROR(__xludf.DUMMYFUNCTION("""COMPUTED_VALUE"""),"")</f>
        <v/>
      </c>
      <c r="O2123" s="46" t="s">
        <v>1976</v>
      </c>
      <c r="P2123" s="47"/>
      <c r="Q2123" s="47"/>
      <c r="R2123" s="48" t="s">
        <v>1976</v>
      </c>
    </row>
    <row r="2124">
      <c r="B2124" s="45"/>
      <c r="N2124" s="46" t="str">
        <f>IFERROR(__xludf.DUMMYFUNCTION("""COMPUTED_VALUE"""),"")</f>
        <v/>
      </c>
      <c r="O2124" s="46" t="s">
        <v>1976</v>
      </c>
      <c r="P2124" s="47"/>
      <c r="Q2124" s="47"/>
      <c r="R2124" s="48" t="s">
        <v>1976</v>
      </c>
    </row>
    <row r="2125">
      <c r="B2125" s="45"/>
      <c r="N2125" s="46" t="str">
        <f>IFERROR(__xludf.DUMMYFUNCTION("""COMPUTED_VALUE"""),"")</f>
        <v/>
      </c>
      <c r="O2125" s="46" t="s">
        <v>1976</v>
      </c>
      <c r="P2125" s="47"/>
      <c r="Q2125" s="47"/>
      <c r="R2125" s="48" t="s">
        <v>1976</v>
      </c>
    </row>
    <row r="2126">
      <c r="B2126" s="45"/>
      <c r="N2126" s="46" t="str">
        <f>IFERROR(__xludf.DUMMYFUNCTION("""COMPUTED_VALUE"""),"")</f>
        <v/>
      </c>
      <c r="O2126" s="46" t="s">
        <v>1976</v>
      </c>
      <c r="P2126" s="47"/>
      <c r="Q2126" s="47"/>
      <c r="R2126" s="48" t="s">
        <v>1976</v>
      </c>
    </row>
    <row r="2127">
      <c r="B2127" s="45"/>
      <c r="N2127" s="46" t="str">
        <f>IFERROR(__xludf.DUMMYFUNCTION("""COMPUTED_VALUE"""),"")</f>
        <v/>
      </c>
      <c r="O2127" s="46" t="s">
        <v>1976</v>
      </c>
      <c r="P2127" s="47"/>
      <c r="Q2127" s="47"/>
      <c r="R2127" s="48" t="s">
        <v>1976</v>
      </c>
    </row>
    <row r="2128">
      <c r="B2128" s="45"/>
      <c r="N2128" s="46" t="str">
        <f>IFERROR(__xludf.DUMMYFUNCTION("""COMPUTED_VALUE"""),"")</f>
        <v/>
      </c>
      <c r="O2128" s="46" t="s">
        <v>1976</v>
      </c>
      <c r="P2128" s="47"/>
      <c r="Q2128" s="47"/>
      <c r="R2128" s="48" t="s">
        <v>1976</v>
      </c>
    </row>
    <row r="2129">
      <c r="B2129" s="45"/>
      <c r="N2129" s="46" t="str">
        <f>IFERROR(__xludf.DUMMYFUNCTION("""COMPUTED_VALUE"""),"")</f>
        <v/>
      </c>
      <c r="O2129" s="46" t="s">
        <v>1976</v>
      </c>
      <c r="P2129" s="47"/>
      <c r="Q2129" s="47"/>
      <c r="R2129" s="48" t="s">
        <v>1976</v>
      </c>
    </row>
    <row r="2130">
      <c r="B2130" s="45"/>
      <c r="N2130" s="46" t="str">
        <f>IFERROR(__xludf.DUMMYFUNCTION("""COMPUTED_VALUE"""),"")</f>
        <v/>
      </c>
      <c r="O2130" s="46" t="s">
        <v>1976</v>
      </c>
      <c r="P2130" s="47"/>
      <c r="Q2130" s="47"/>
      <c r="R2130" s="48" t="s">
        <v>1976</v>
      </c>
    </row>
    <row r="2131">
      <c r="B2131" s="45"/>
      <c r="N2131" s="46" t="str">
        <f>IFERROR(__xludf.DUMMYFUNCTION("""COMPUTED_VALUE"""),"")</f>
        <v/>
      </c>
      <c r="O2131" s="46" t="s">
        <v>1976</v>
      </c>
      <c r="P2131" s="47"/>
      <c r="Q2131" s="47"/>
      <c r="R2131" s="48" t="s">
        <v>1976</v>
      </c>
    </row>
    <row r="2132">
      <c r="B2132" s="45"/>
      <c r="N2132" s="46" t="str">
        <f>IFERROR(__xludf.DUMMYFUNCTION("""COMPUTED_VALUE"""),"")</f>
        <v/>
      </c>
      <c r="O2132" s="46" t="s">
        <v>1976</v>
      </c>
      <c r="P2132" s="47"/>
      <c r="Q2132" s="47"/>
      <c r="R2132" s="48" t="s">
        <v>1976</v>
      </c>
    </row>
    <row r="2133">
      <c r="B2133" s="45"/>
      <c r="N2133" s="46" t="str">
        <f>IFERROR(__xludf.DUMMYFUNCTION("""COMPUTED_VALUE"""),"")</f>
        <v/>
      </c>
      <c r="O2133" s="46" t="s">
        <v>1976</v>
      </c>
      <c r="P2133" s="47"/>
      <c r="Q2133" s="47"/>
      <c r="R2133" s="48" t="s">
        <v>1976</v>
      </c>
    </row>
    <row r="2134">
      <c r="B2134" s="45"/>
      <c r="N2134" s="46" t="str">
        <f>IFERROR(__xludf.DUMMYFUNCTION("""COMPUTED_VALUE"""),"")</f>
        <v/>
      </c>
      <c r="O2134" s="46" t="s">
        <v>1976</v>
      </c>
      <c r="P2134" s="47"/>
      <c r="Q2134" s="47"/>
      <c r="R2134" s="48" t="s">
        <v>1976</v>
      </c>
    </row>
    <row r="2135">
      <c r="B2135" s="45"/>
      <c r="N2135" s="46" t="str">
        <f>IFERROR(__xludf.DUMMYFUNCTION("""COMPUTED_VALUE"""),"")</f>
        <v/>
      </c>
      <c r="O2135" s="46" t="s">
        <v>1976</v>
      </c>
      <c r="P2135" s="47"/>
      <c r="Q2135" s="47"/>
      <c r="R2135" s="48" t="s">
        <v>1976</v>
      </c>
    </row>
    <row r="2136">
      <c r="B2136" s="45"/>
      <c r="N2136" s="46" t="str">
        <f>IFERROR(__xludf.DUMMYFUNCTION("""COMPUTED_VALUE"""),"")</f>
        <v/>
      </c>
      <c r="O2136" s="46" t="s">
        <v>1976</v>
      </c>
      <c r="P2136" s="47"/>
      <c r="Q2136" s="47"/>
      <c r="R2136" s="48" t="s">
        <v>1976</v>
      </c>
    </row>
    <row r="2137">
      <c r="B2137" s="45"/>
      <c r="N2137" s="46" t="str">
        <f>IFERROR(__xludf.DUMMYFUNCTION("""COMPUTED_VALUE"""),"")</f>
        <v/>
      </c>
      <c r="O2137" s="46" t="s">
        <v>1976</v>
      </c>
      <c r="P2137" s="47"/>
      <c r="Q2137" s="47"/>
      <c r="R2137" s="48" t="s">
        <v>1976</v>
      </c>
    </row>
    <row r="2138">
      <c r="B2138" s="45"/>
      <c r="N2138" s="46" t="str">
        <f>IFERROR(__xludf.DUMMYFUNCTION("""COMPUTED_VALUE"""),"")</f>
        <v/>
      </c>
      <c r="O2138" s="46" t="s">
        <v>1976</v>
      </c>
      <c r="P2138" s="47"/>
      <c r="Q2138" s="47"/>
      <c r="R2138" s="48" t="s">
        <v>1976</v>
      </c>
    </row>
    <row r="2139">
      <c r="B2139" s="45"/>
      <c r="N2139" s="46" t="str">
        <f>IFERROR(__xludf.DUMMYFUNCTION("""COMPUTED_VALUE"""),"")</f>
        <v/>
      </c>
      <c r="O2139" s="46" t="s">
        <v>1976</v>
      </c>
      <c r="P2139" s="47"/>
      <c r="Q2139" s="47"/>
      <c r="R2139" s="48" t="s">
        <v>1976</v>
      </c>
    </row>
    <row r="2140">
      <c r="B2140" s="45"/>
      <c r="N2140" s="46" t="str">
        <f>IFERROR(__xludf.DUMMYFUNCTION("""COMPUTED_VALUE"""),"")</f>
        <v/>
      </c>
      <c r="O2140" s="46" t="s">
        <v>1976</v>
      </c>
      <c r="P2140" s="47"/>
      <c r="Q2140" s="47"/>
      <c r="R2140" s="48" t="s">
        <v>1976</v>
      </c>
    </row>
    <row r="2141">
      <c r="B2141" s="45"/>
      <c r="N2141" s="46" t="str">
        <f>IFERROR(__xludf.DUMMYFUNCTION("""COMPUTED_VALUE"""),"")</f>
        <v/>
      </c>
      <c r="O2141" s="46" t="s">
        <v>1976</v>
      </c>
      <c r="P2141" s="47"/>
      <c r="Q2141" s="47"/>
      <c r="R2141" s="48" t="s">
        <v>1976</v>
      </c>
    </row>
    <row r="2142">
      <c r="B2142" s="45"/>
      <c r="N2142" s="46" t="str">
        <f>IFERROR(__xludf.DUMMYFUNCTION("""COMPUTED_VALUE"""),"")</f>
        <v/>
      </c>
      <c r="O2142" s="46" t="s">
        <v>1976</v>
      </c>
      <c r="P2142" s="47"/>
      <c r="Q2142" s="47"/>
      <c r="R2142" s="48" t="s">
        <v>1976</v>
      </c>
    </row>
    <row r="2143">
      <c r="B2143" s="45"/>
      <c r="N2143" s="46" t="str">
        <f>IFERROR(__xludf.DUMMYFUNCTION("""COMPUTED_VALUE"""),"")</f>
        <v/>
      </c>
      <c r="O2143" s="46" t="s">
        <v>1976</v>
      </c>
      <c r="P2143" s="47"/>
      <c r="Q2143" s="47"/>
      <c r="R2143" s="48" t="s">
        <v>1976</v>
      </c>
    </row>
    <row r="2144">
      <c r="B2144" s="45"/>
      <c r="N2144" s="46" t="str">
        <f>IFERROR(__xludf.DUMMYFUNCTION("""COMPUTED_VALUE"""),"")</f>
        <v/>
      </c>
      <c r="O2144" s="46" t="s">
        <v>1976</v>
      </c>
      <c r="P2144" s="47"/>
      <c r="Q2144" s="47"/>
      <c r="R2144" s="48" t="s">
        <v>1976</v>
      </c>
    </row>
    <row r="2145">
      <c r="B2145" s="45"/>
      <c r="N2145" s="46" t="str">
        <f>IFERROR(__xludf.DUMMYFUNCTION("""COMPUTED_VALUE"""),"")</f>
        <v/>
      </c>
      <c r="O2145" s="46" t="s">
        <v>1976</v>
      </c>
      <c r="P2145" s="47"/>
      <c r="Q2145" s="47"/>
      <c r="R2145" s="48" t="s">
        <v>1976</v>
      </c>
    </row>
    <row r="2146">
      <c r="B2146" s="45"/>
      <c r="N2146" s="46" t="str">
        <f>IFERROR(__xludf.DUMMYFUNCTION("""COMPUTED_VALUE"""),"")</f>
        <v/>
      </c>
      <c r="O2146" s="46" t="s">
        <v>1976</v>
      </c>
      <c r="P2146" s="47"/>
      <c r="Q2146" s="47"/>
      <c r="R2146" s="48" t="s">
        <v>1976</v>
      </c>
    </row>
    <row r="2147">
      <c r="B2147" s="45"/>
      <c r="N2147" s="46" t="str">
        <f>IFERROR(__xludf.DUMMYFUNCTION("""COMPUTED_VALUE"""),"")</f>
        <v/>
      </c>
      <c r="O2147" s="46" t="s">
        <v>1976</v>
      </c>
      <c r="P2147" s="47"/>
      <c r="Q2147" s="47"/>
      <c r="R2147" s="48" t="s">
        <v>1976</v>
      </c>
    </row>
    <row r="2148">
      <c r="B2148" s="45"/>
      <c r="N2148" s="46" t="str">
        <f>IFERROR(__xludf.DUMMYFUNCTION("""COMPUTED_VALUE"""),"")</f>
        <v/>
      </c>
      <c r="O2148" s="46" t="s">
        <v>1976</v>
      </c>
      <c r="P2148" s="47"/>
      <c r="Q2148" s="47"/>
      <c r="R2148" s="48" t="s">
        <v>1976</v>
      </c>
    </row>
    <row r="2149">
      <c r="B2149" s="45"/>
      <c r="N2149" s="46" t="str">
        <f>IFERROR(__xludf.DUMMYFUNCTION("""COMPUTED_VALUE"""),"")</f>
        <v/>
      </c>
      <c r="O2149" s="46" t="s">
        <v>1976</v>
      </c>
      <c r="P2149" s="47"/>
      <c r="Q2149" s="47"/>
      <c r="R2149" s="48" t="s">
        <v>1976</v>
      </c>
    </row>
    <row r="2150">
      <c r="B2150" s="45"/>
      <c r="N2150" s="46" t="str">
        <f>IFERROR(__xludf.DUMMYFUNCTION("""COMPUTED_VALUE"""),"")</f>
        <v/>
      </c>
      <c r="O2150" s="46" t="s">
        <v>1976</v>
      </c>
      <c r="P2150" s="47"/>
      <c r="Q2150" s="47"/>
      <c r="R2150" s="48" t="s">
        <v>1976</v>
      </c>
    </row>
    <row r="2151">
      <c r="B2151" s="45"/>
      <c r="N2151" s="46" t="str">
        <f>IFERROR(__xludf.DUMMYFUNCTION("""COMPUTED_VALUE"""),"")</f>
        <v/>
      </c>
      <c r="O2151" s="46" t="s">
        <v>1976</v>
      </c>
      <c r="P2151" s="47"/>
      <c r="Q2151" s="47"/>
      <c r="R2151" s="48" t="s">
        <v>1976</v>
      </c>
    </row>
    <row r="2152">
      <c r="B2152" s="45"/>
      <c r="N2152" s="46" t="str">
        <f>IFERROR(__xludf.DUMMYFUNCTION("""COMPUTED_VALUE"""),"")</f>
        <v/>
      </c>
      <c r="O2152" s="46" t="s">
        <v>1976</v>
      </c>
      <c r="P2152" s="47"/>
      <c r="Q2152" s="47"/>
      <c r="R2152" s="48" t="s">
        <v>1976</v>
      </c>
    </row>
    <row r="2153">
      <c r="B2153" s="45"/>
      <c r="N2153" s="46" t="str">
        <f>IFERROR(__xludf.DUMMYFUNCTION("""COMPUTED_VALUE"""),"")</f>
        <v/>
      </c>
      <c r="O2153" s="46" t="s">
        <v>1976</v>
      </c>
      <c r="P2153" s="47"/>
      <c r="Q2153" s="47"/>
      <c r="R2153" s="48" t="s">
        <v>1976</v>
      </c>
    </row>
    <row r="2154">
      <c r="B2154" s="45"/>
      <c r="N2154" s="46" t="str">
        <f>IFERROR(__xludf.DUMMYFUNCTION("""COMPUTED_VALUE"""),"")</f>
        <v/>
      </c>
      <c r="O2154" s="46" t="s">
        <v>1976</v>
      </c>
      <c r="P2154" s="47"/>
      <c r="Q2154" s="47"/>
      <c r="R2154" s="48" t="s">
        <v>1976</v>
      </c>
    </row>
    <row r="2155">
      <c r="B2155" s="45"/>
      <c r="N2155" s="46" t="str">
        <f>IFERROR(__xludf.DUMMYFUNCTION("""COMPUTED_VALUE"""),"")</f>
        <v/>
      </c>
      <c r="O2155" s="46" t="s">
        <v>1976</v>
      </c>
      <c r="P2155" s="47"/>
      <c r="Q2155" s="47"/>
      <c r="R2155" s="48" t="s">
        <v>1976</v>
      </c>
    </row>
    <row r="2156">
      <c r="B2156" s="45"/>
      <c r="N2156" s="46" t="str">
        <f>IFERROR(__xludf.DUMMYFUNCTION("""COMPUTED_VALUE"""),"")</f>
        <v/>
      </c>
      <c r="O2156" s="46" t="s">
        <v>1976</v>
      </c>
      <c r="P2156" s="47"/>
      <c r="Q2156" s="47"/>
      <c r="R2156" s="48" t="s">
        <v>1976</v>
      </c>
    </row>
    <row r="2157">
      <c r="B2157" s="45"/>
      <c r="N2157" s="46" t="str">
        <f>IFERROR(__xludf.DUMMYFUNCTION("""COMPUTED_VALUE"""),"")</f>
        <v/>
      </c>
      <c r="O2157" s="46" t="s">
        <v>1976</v>
      </c>
      <c r="P2157" s="47"/>
      <c r="Q2157" s="47"/>
      <c r="R2157" s="48" t="s">
        <v>1976</v>
      </c>
    </row>
    <row r="2158">
      <c r="B2158" s="45"/>
      <c r="N2158" s="46" t="str">
        <f>IFERROR(__xludf.DUMMYFUNCTION("""COMPUTED_VALUE"""),"")</f>
        <v/>
      </c>
      <c r="O2158" s="46" t="s">
        <v>1976</v>
      </c>
      <c r="P2158" s="47"/>
      <c r="Q2158" s="47"/>
      <c r="R2158" s="48" t="s">
        <v>1976</v>
      </c>
    </row>
    <row r="2159">
      <c r="B2159" s="45"/>
      <c r="N2159" s="46" t="str">
        <f>IFERROR(__xludf.DUMMYFUNCTION("""COMPUTED_VALUE"""),"")</f>
        <v/>
      </c>
      <c r="O2159" s="46" t="s">
        <v>1976</v>
      </c>
      <c r="P2159" s="47"/>
      <c r="Q2159" s="47"/>
      <c r="R2159" s="48" t="s">
        <v>1976</v>
      </c>
    </row>
    <row r="2160">
      <c r="B2160" s="45"/>
      <c r="N2160" s="46" t="str">
        <f>IFERROR(__xludf.DUMMYFUNCTION("""COMPUTED_VALUE"""),"")</f>
        <v/>
      </c>
      <c r="O2160" s="46" t="s">
        <v>1976</v>
      </c>
      <c r="P2160" s="47"/>
      <c r="Q2160" s="47"/>
      <c r="R2160" s="48" t="s">
        <v>1976</v>
      </c>
    </row>
    <row r="2161">
      <c r="B2161" s="45"/>
      <c r="N2161" s="46" t="str">
        <f>IFERROR(__xludf.DUMMYFUNCTION("""COMPUTED_VALUE"""),"")</f>
        <v/>
      </c>
      <c r="O2161" s="46" t="s">
        <v>1976</v>
      </c>
      <c r="P2161" s="47"/>
      <c r="Q2161" s="47"/>
      <c r="R2161" s="48" t="s">
        <v>1976</v>
      </c>
    </row>
    <row r="2162">
      <c r="B2162" s="45"/>
      <c r="N2162" s="46" t="str">
        <f>IFERROR(__xludf.DUMMYFUNCTION("""COMPUTED_VALUE"""),"")</f>
        <v/>
      </c>
      <c r="O2162" s="46" t="s">
        <v>1976</v>
      </c>
      <c r="P2162" s="47"/>
      <c r="Q2162" s="47"/>
      <c r="R2162" s="48" t="s">
        <v>1976</v>
      </c>
    </row>
    <row r="2163">
      <c r="B2163" s="45"/>
      <c r="N2163" s="46" t="str">
        <f>IFERROR(__xludf.DUMMYFUNCTION("""COMPUTED_VALUE"""),"")</f>
        <v/>
      </c>
      <c r="O2163" s="46" t="s">
        <v>1976</v>
      </c>
      <c r="P2163" s="47"/>
      <c r="Q2163" s="47"/>
      <c r="R2163" s="48" t="s">
        <v>1976</v>
      </c>
    </row>
    <row r="2164">
      <c r="B2164" s="45"/>
      <c r="N2164" s="46" t="str">
        <f>IFERROR(__xludf.DUMMYFUNCTION("""COMPUTED_VALUE"""),"")</f>
        <v/>
      </c>
      <c r="O2164" s="46" t="s">
        <v>1976</v>
      </c>
      <c r="P2164" s="47"/>
      <c r="Q2164" s="47"/>
      <c r="R2164" s="48" t="s">
        <v>1976</v>
      </c>
    </row>
    <row r="2165">
      <c r="B2165" s="45"/>
      <c r="N2165" s="46" t="str">
        <f>IFERROR(__xludf.DUMMYFUNCTION("""COMPUTED_VALUE"""),"")</f>
        <v/>
      </c>
      <c r="O2165" s="46" t="s">
        <v>1976</v>
      </c>
      <c r="P2165" s="47"/>
      <c r="Q2165" s="47"/>
      <c r="R2165" s="48" t="s">
        <v>1976</v>
      </c>
    </row>
    <row r="2166">
      <c r="B2166" s="45"/>
      <c r="N2166" s="46" t="str">
        <f>IFERROR(__xludf.DUMMYFUNCTION("""COMPUTED_VALUE"""),"")</f>
        <v/>
      </c>
      <c r="O2166" s="46" t="s">
        <v>1976</v>
      </c>
      <c r="P2166" s="47"/>
      <c r="Q2166" s="47"/>
      <c r="R2166" s="48" t="s">
        <v>1976</v>
      </c>
    </row>
    <row r="2167">
      <c r="B2167" s="45"/>
      <c r="N2167" s="46" t="str">
        <f>IFERROR(__xludf.DUMMYFUNCTION("""COMPUTED_VALUE"""),"")</f>
        <v/>
      </c>
      <c r="O2167" s="46" t="s">
        <v>1976</v>
      </c>
      <c r="P2167" s="47"/>
      <c r="Q2167" s="47"/>
      <c r="R2167" s="48" t="s">
        <v>1976</v>
      </c>
    </row>
    <row r="2168">
      <c r="B2168" s="45"/>
      <c r="N2168" s="46" t="str">
        <f>IFERROR(__xludf.DUMMYFUNCTION("""COMPUTED_VALUE"""),"")</f>
        <v/>
      </c>
      <c r="O2168" s="46" t="s">
        <v>1976</v>
      </c>
      <c r="P2168" s="47"/>
      <c r="Q2168" s="47"/>
      <c r="R2168" s="48" t="s">
        <v>1976</v>
      </c>
    </row>
    <row r="2169">
      <c r="B2169" s="45"/>
      <c r="N2169" s="46" t="str">
        <f>IFERROR(__xludf.DUMMYFUNCTION("""COMPUTED_VALUE"""),"")</f>
        <v/>
      </c>
      <c r="O2169" s="46" t="s">
        <v>1976</v>
      </c>
      <c r="P2169" s="47"/>
      <c r="Q2169" s="47"/>
      <c r="R2169" s="48" t="s">
        <v>1976</v>
      </c>
    </row>
    <row r="2170">
      <c r="B2170" s="45"/>
      <c r="N2170" s="46" t="str">
        <f>IFERROR(__xludf.DUMMYFUNCTION("""COMPUTED_VALUE"""),"")</f>
        <v/>
      </c>
      <c r="O2170" s="46" t="s">
        <v>1976</v>
      </c>
      <c r="P2170" s="47"/>
      <c r="Q2170" s="47"/>
      <c r="R2170" s="48" t="s">
        <v>1976</v>
      </c>
    </row>
    <row r="2171">
      <c r="B2171" s="45"/>
      <c r="N2171" s="46" t="str">
        <f>IFERROR(__xludf.DUMMYFUNCTION("""COMPUTED_VALUE"""),"")</f>
        <v/>
      </c>
      <c r="O2171" s="46" t="s">
        <v>1976</v>
      </c>
      <c r="P2171" s="47"/>
      <c r="Q2171" s="47"/>
      <c r="R2171" s="48" t="s">
        <v>1976</v>
      </c>
    </row>
    <row r="2172">
      <c r="B2172" s="45"/>
      <c r="N2172" s="46" t="str">
        <f>IFERROR(__xludf.DUMMYFUNCTION("""COMPUTED_VALUE"""),"")</f>
        <v/>
      </c>
      <c r="O2172" s="46" t="s">
        <v>1976</v>
      </c>
      <c r="P2172" s="47"/>
      <c r="Q2172" s="47"/>
      <c r="R2172" s="48" t="s">
        <v>1976</v>
      </c>
    </row>
    <row r="2173">
      <c r="B2173" s="45"/>
      <c r="N2173" s="46" t="str">
        <f>IFERROR(__xludf.DUMMYFUNCTION("""COMPUTED_VALUE"""),"")</f>
        <v/>
      </c>
      <c r="O2173" s="46" t="s">
        <v>1976</v>
      </c>
      <c r="P2173" s="47"/>
      <c r="Q2173" s="47"/>
      <c r="R2173" s="48" t="s">
        <v>1976</v>
      </c>
    </row>
    <row r="2174">
      <c r="B2174" s="45"/>
      <c r="N2174" s="46" t="str">
        <f>IFERROR(__xludf.DUMMYFUNCTION("""COMPUTED_VALUE"""),"")</f>
        <v/>
      </c>
      <c r="O2174" s="46" t="s">
        <v>1976</v>
      </c>
      <c r="P2174" s="47"/>
      <c r="Q2174" s="47"/>
      <c r="R2174" s="48" t="s">
        <v>1976</v>
      </c>
    </row>
    <row r="2175">
      <c r="B2175" s="45"/>
      <c r="N2175" s="46" t="str">
        <f>IFERROR(__xludf.DUMMYFUNCTION("""COMPUTED_VALUE"""),"")</f>
        <v/>
      </c>
      <c r="O2175" s="46" t="s">
        <v>1976</v>
      </c>
      <c r="P2175" s="47"/>
      <c r="Q2175" s="47"/>
      <c r="R2175" s="48" t="s">
        <v>1976</v>
      </c>
    </row>
    <row r="2176">
      <c r="B2176" s="45"/>
      <c r="N2176" s="46" t="str">
        <f>IFERROR(__xludf.DUMMYFUNCTION("""COMPUTED_VALUE"""),"")</f>
        <v/>
      </c>
      <c r="O2176" s="46" t="s">
        <v>1976</v>
      </c>
      <c r="P2176" s="47"/>
      <c r="Q2176" s="47"/>
      <c r="R2176" s="48" t="s">
        <v>1976</v>
      </c>
    </row>
    <row r="2177">
      <c r="B2177" s="45"/>
      <c r="N2177" s="46" t="str">
        <f>IFERROR(__xludf.DUMMYFUNCTION("""COMPUTED_VALUE"""),"")</f>
        <v/>
      </c>
      <c r="O2177" s="46" t="s">
        <v>1976</v>
      </c>
      <c r="P2177" s="47"/>
      <c r="Q2177" s="47"/>
      <c r="R2177" s="48" t="s">
        <v>1976</v>
      </c>
    </row>
    <row r="2178">
      <c r="B2178" s="45"/>
      <c r="N2178" s="46" t="str">
        <f>IFERROR(__xludf.DUMMYFUNCTION("""COMPUTED_VALUE"""),"")</f>
        <v/>
      </c>
      <c r="O2178" s="46" t="s">
        <v>1976</v>
      </c>
      <c r="P2178" s="47"/>
      <c r="Q2178" s="47"/>
      <c r="R2178" s="48" t="s">
        <v>1976</v>
      </c>
    </row>
    <row r="2179">
      <c r="B2179" s="45"/>
      <c r="N2179" s="46" t="str">
        <f>IFERROR(__xludf.DUMMYFUNCTION("""COMPUTED_VALUE"""),"")</f>
        <v/>
      </c>
      <c r="O2179" s="46" t="s">
        <v>1976</v>
      </c>
      <c r="P2179" s="47"/>
      <c r="Q2179" s="47"/>
      <c r="R2179" s="48" t="s">
        <v>1976</v>
      </c>
    </row>
    <row r="2180">
      <c r="B2180" s="45"/>
      <c r="N2180" s="46" t="str">
        <f>IFERROR(__xludf.DUMMYFUNCTION("""COMPUTED_VALUE"""),"")</f>
        <v/>
      </c>
      <c r="O2180" s="46" t="s">
        <v>1976</v>
      </c>
      <c r="P2180" s="47"/>
      <c r="Q2180" s="47"/>
      <c r="R2180" s="48" t="s">
        <v>1976</v>
      </c>
    </row>
    <row r="2181">
      <c r="B2181" s="45"/>
      <c r="N2181" s="46" t="str">
        <f>IFERROR(__xludf.DUMMYFUNCTION("""COMPUTED_VALUE"""),"")</f>
        <v/>
      </c>
      <c r="O2181" s="46" t="s">
        <v>1976</v>
      </c>
      <c r="P2181" s="47"/>
      <c r="Q2181" s="47"/>
      <c r="R2181" s="48" t="s">
        <v>1976</v>
      </c>
    </row>
    <row r="2182">
      <c r="B2182" s="45"/>
      <c r="N2182" s="46" t="str">
        <f>IFERROR(__xludf.DUMMYFUNCTION("""COMPUTED_VALUE"""),"")</f>
        <v/>
      </c>
      <c r="O2182" s="46" t="s">
        <v>1976</v>
      </c>
      <c r="P2182" s="47"/>
      <c r="Q2182" s="47"/>
      <c r="R2182" s="48" t="s">
        <v>1976</v>
      </c>
    </row>
    <row r="2183">
      <c r="B2183" s="45"/>
      <c r="N2183" s="46" t="str">
        <f>IFERROR(__xludf.DUMMYFUNCTION("""COMPUTED_VALUE"""),"")</f>
        <v/>
      </c>
      <c r="O2183" s="46" t="s">
        <v>1976</v>
      </c>
      <c r="P2183" s="47"/>
      <c r="Q2183" s="47"/>
      <c r="R2183" s="48" t="s">
        <v>1976</v>
      </c>
    </row>
    <row r="2184">
      <c r="B2184" s="45"/>
      <c r="N2184" s="46" t="str">
        <f>IFERROR(__xludf.DUMMYFUNCTION("""COMPUTED_VALUE"""),"")</f>
        <v/>
      </c>
      <c r="O2184" s="46" t="s">
        <v>1976</v>
      </c>
      <c r="P2184" s="47"/>
      <c r="Q2184" s="47"/>
      <c r="R2184" s="48" t="s">
        <v>1976</v>
      </c>
    </row>
    <row r="2185">
      <c r="B2185" s="45"/>
      <c r="N2185" s="46" t="str">
        <f>IFERROR(__xludf.DUMMYFUNCTION("""COMPUTED_VALUE"""),"")</f>
        <v/>
      </c>
      <c r="O2185" s="46" t="s">
        <v>1976</v>
      </c>
      <c r="P2185" s="47"/>
      <c r="Q2185" s="47"/>
      <c r="R2185" s="48" t="s">
        <v>1976</v>
      </c>
    </row>
    <row r="2186">
      <c r="B2186" s="45"/>
      <c r="N2186" s="46" t="str">
        <f>IFERROR(__xludf.DUMMYFUNCTION("""COMPUTED_VALUE"""),"")</f>
        <v/>
      </c>
      <c r="O2186" s="46" t="s">
        <v>1976</v>
      </c>
      <c r="P2186" s="47"/>
      <c r="Q2186" s="47"/>
      <c r="R2186" s="48" t="s">
        <v>1976</v>
      </c>
    </row>
    <row r="2187">
      <c r="B2187" s="45"/>
      <c r="N2187" s="46" t="str">
        <f>IFERROR(__xludf.DUMMYFUNCTION("""COMPUTED_VALUE"""),"")</f>
        <v/>
      </c>
      <c r="O2187" s="46" t="s">
        <v>1976</v>
      </c>
      <c r="P2187" s="47"/>
      <c r="Q2187" s="47"/>
      <c r="R2187" s="48" t="s">
        <v>1976</v>
      </c>
    </row>
    <row r="2188">
      <c r="B2188" s="45"/>
      <c r="N2188" s="46" t="str">
        <f>IFERROR(__xludf.DUMMYFUNCTION("""COMPUTED_VALUE"""),"")</f>
        <v/>
      </c>
      <c r="O2188" s="46" t="s">
        <v>1976</v>
      </c>
      <c r="P2188" s="47"/>
      <c r="Q2188" s="47"/>
      <c r="R2188" s="48" t="s">
        <v>1976</v>
      </c>
    </row>
    <row r="2189">
      <c r="B2189" s="45"/>
      <c r="N2189" s="46" t="str">
        <f>IFERROR(__xludf.DUMMYFUNCTION("""COMPUTED_VALUE"""),"")</f>
        <v/>
      </c>
      <c r="O2189" s="46" t="s">
        <v>1976</v>
      </c>
      <c r="P2189" s="47"/>
      <c r="Q2189" s="47"/>
      <c r="R2189" s="48" t="s">
        <v>1976</v>
      </c>
    </row>
    <row r="2190">
      <c r="B2190" s="45"/>
      <c r="N2190" s="46" t="str">
        <f>IFERROR(__xludf.DUMMYFUNCTION("""COMPUTED_VALUE"""),"")</f>
        <v/>
      </c>
      <c r="O2190" s="46" t="s">
        <v>1976</v>
      </c>
      <c r="P2190" s="47"/>
      <c r="Q2190" s="47"/>
      <c r="R2190" s="48" t="s">
        <v>1976</v>
      </c>
    </row>
    <row r="2191">
      <c r="B2191" s="45"/>
      <c r="N2191" s="46" t="str">
        <f>IFERROR(__xludf.DUMMYFUNCTION("""COMPUTED_VALUE"""),"")</f>
        <v/>
      </c>
      <c r="O2191" s="46" t="s">
        <v>1976</v>
      </c>
      <c r="P2191" s="47"/>
      <c r="Q2191" s="47"/>
      <c r="R2191" s="48" t="s">
        <v>1976</v>
      </c>
    </row>
    <row r="2192">
      <c r="B2192" s="45"/>
      <c r="N2192" s="46" t="str">
        <f>IFERROR(__xludf.DUMMYFUNCTION("""COMPUTED_VALUE"""),"")</f>
        <v/>
      </c>
      <c r="O2192" s="46" t="s">
        <v>1976</v>
      </c>
      <c r="P2192" s="47"/>
      <c r="Q2192" s="47"/>
      <c r="R2192" s="48" t="s">
        <v>1976</v>
      </c>
    </row>
    <row r="2193">
      <c r="B2193" s="45"/>
      <c r="N2193" s="46" t="str">
        <f>IFERROR(__xludf.DUMMYFUNCTION("""COMPUTED_VALUE"""),"")</f>
        <v/>
      </c>
      <c r="O2193" s="46" t="s">
        <v>1976</v>
      </c>
      <c r="P2193" s="47"/>
      <c r="Q2193" s="47"/>
      <c r="R2193" s="48" t="s">
        <v>1976</v>
      </c>
    </row>
    <row r="2194">
      <c r="B2194" s="45"/>
      <c r="N2194" s="46" t="str">
        <f>IFERROR(__xludf.DUMMYFUNCTION("""COMPUTED_VALUE"""),"")</f>
        <v/>
      </c>
      <c r="O2194" s="46" t="s">
        <v>1976</v>
      </c>
      <c r="P2194" s="47"/>
      <c r="Q2194" s="47"/>
      <c r="R2194" s="48" t="s">
        <v>1976</v>
      </c>
    </row>
    <row r="2195">
      <c r="B2195" s="45"/>
      <c r="N2195" s="46" t="str">
        <f>IFERROR(__xludf.DUMMYFUNCTION("""COMPUTED_VALUE"""),"")</f>
        <v/>
      </c>
      <c r="O2195" s="46" t="s">
        <v>1976</v>
      </c>
      <c r="P2195" s="47"/>
      <c r="Q2195" s="47"/>
      <c r="R2195" s="48" t="s">
        <v>1976</v>
      </c>
    </row>
    <row r="2196">
      <c r="B2196" s="45"/>
      <c r="N2196" s="46" t="str">
        <f>IFERROR(__xludf.DUMMYFUNCTION("""COMPUTED_VALUE"""),"")</f>
        <v/>
      </c>
      <c r="O2196" s="46" t="s">
        <v>1976</v>
      </c>
      <c r="P2196" s="47"/>
      <c r="Q2196" s="47"/>
      <c r="R2196" s="48" t="s">
        <v>1976</v>
      </c>
    </row>
    <row r="2197">
      <c r="B2197" s="45"/>
      <c r="N2197" s="46" t="str">
        <f>IFERROR(__xludf.DUMMYFUNCTION("""COMPUTED_VALUE"""),"")</f>
        <v/>
      </c>
      <c r="O2197" s="46" t="s">
        <v>1976</v>
      </c>
      <c r="P2197" s="47"/>
      <c r="Q2197" s="47"/>
      <c r="R2197" s="48" t="s">
        <v>1976</v>
      </c>
    </row>
    <row r="2198">
      <c r="B2198" s="45"/>
      <c r="N2198" s="46" t="str">
        <f>IFERROR(__xludf.DUMMYFUNCTION("""COMPUTED_VALUE"""),"")</f>
        <v/>
      </c>
      <c r="O2198" s="46" t="s">
        <v>1976</v>
      </c>
      <c r="P2198" s="47"/>
      <c r="Q2198" s="47"/>
      <c r="R2198" s="48" t="s">
        <v>1976</v>
      </c>
    </row>
    <row r="2199">
      <c r="B2199" s="45"/>
      <c r="N2199" s="46" t="str">
        <f>IFERROR(__xludf.DUMMYFUNCTION("""COMPUTED_VALUE"""),"")</f>
        <v/>
      </c>
      <c r="O2199" s="46" t="s">
        <v>1976</v>
      </c>
      <c r="P2199" s="47"/>
      <c r="Q2199" s="47"/>
      <c r="R2199" s="48" t="s">
        <v>1976</v>
      </c>
    </row>
    <row r="2200">
      <c r="B2200" s="45"/>
      <c r="N2200" s="46" t="str">
        <f>IFERROR(__xludf.DUMMYFUNCTION("""COMPUTED_VALUE"""),"")</f>
        <v/>
      </c>
      <c r="O2200" s="46" t="s">
        <v>1976</v>
      </c>
      <c r="P2200" s="47"/>
      <c r="Q2200" s="47"/>
      <c r="R2200" s="48" t="s">
        <v>1976</v>
      </c>
    </row>
    <row r="2201">
      <c r="B2201" s="45"/>
      <c r="N2201" s="46" t="str">
        <f>IFERROR(__xludf.DUMMYFUNCTION("""COMPUTED_VALUE"""),"")</f>
        <v/>
      </c>
      <c r="O2201" s="46" t="s">
        <v>1976</v>
      </c>
      <c r="P2201" s="47"/>
      <c r="Q2201" s="47"/>
      <c r="R2201" s="48" t="s">
        <v>1976</v>
      </c>
    </row>
    <row r="2202">
      <c r="B2202" s="45"/>
      <c r="N2202" s="46" t="str">
        <f>IFERROR(__xludf.DUMMYFUNCTION("""COMPUTED_VALUE"""),"")</f>
        <v/>
      </c>
      <c r="O2202" s="46" t="s">
        <v>1976</v>
      </c>
      <c r="P2202" s="47"/>
      <c r="Q2202" s="47"/>
      <c r="R2202" s="48" t="s">
        <v>1976</v>
      </c>
    </row>
    <row r="2203">
      <c r="B2203" s="45"/>
      <c r="N2203" s="46" t="str">
        <f>IFERROR(__xludf.DUMMYFUNCTION("""COMPUTED_VALUE"""),"")</f>
        <v/>
      </c>
      <c r="O2203" s="46" t="s">
        <v>1976</v>
      </c>
      <c r="P2203" s="47"/>
      <c r="Q2203" s="47"/>
      <c r="R2203" s="48" t="s">
        <v>1976</v>
      </c>
    </row>
    <row r="2204">
      <c r="B2204" s="45"/>
      <c r="N2204" s="46" t="str">
        <f>IFERROR(__xludf.DUMMYFUNCTION("""COMPUTED_VALUE"""),"")</f>
        <v/>
      </c>
      <c r="O2204" s="46" t="s">
        <v>1976</v>
      </c>
      <c r="P2204" s="47"/>
      <c r="Q2204" s="47"/>
      <c r="R2204" s="48" t="s">
        <v>1976</v>
      </c>
    </row>
    <row r="2205">
      <c r="B2205" s="45"/>
      <c r="N2205" s="46" t="str">
        <f>IFERROR(__xludf.DUMMYFUNCTION("""COMPUTED_VALUE"""),"")</f>
        <v/>
      </c>
      <c r="O2205" s="46" t="s">
        <v>1976</v>
      </c>
      <c r="P2205" s="47"/>
      <c r="Q2205" s="47"/>
      <c r="R2205" s="48" t="s">
        <v>1976</v>
      </c>
    </row>
    <row r="2206">
      <c r="B2206" s="45"/>
      <c r="N2206" s="46" t="str">
        <f>IFERROR(__xludf.DUMMYFUNCTION("""COMPUTED_VALUE"""),"")</f>
        <v/>
      </c>
      <c r="O2206" s="46" t="s">
        <v>1976</v>
      </c>
      <c r="P2206" s="47"/>
      <c r="Q2206" s="47"/>
      <c r="R2206" s="48" t="s">
        <v>1976</v>
      </c>
    </row>
    <row r="2207">
      <c r="B2207" s="45"/>
      <c r="N2207" s="46" t="str">
        <f>IFERROR(__xludf.DUMMYFUNCTION("""COMPUTED_VALUE"""),"")</f>
        <v/>
      </c>
      <c r="O2207" s="46" t="s">
        <v>1976</v>
      </c>
      <c r="P2207" s="47"/>
      <c r="Q2207" s="47"/>
      <c r="R2207" s="48" t="s">
        <v>1976</v>
      </c>
    </row>
    <row r="2208">
      <c r="B2208" s="45"/>
      <c r="N2208" s="46" t="str">
        <f>IFERROR(__xludf.DUMMYFUNCTION("""COMPUTED_VALUE"""),"")</f>
        <v/>
      </c>
      <c r="O2208" s="46" t="s">
        <v>1976</v>
      </c>
      <c r="P2208" s="47"/>
      <c r="Q2208" s="47"/>
      <c r="R2208" s="48" t="s">
        <v>1976</v>
      </c>
    </row>
    <row r="2209">
      <c r="B2209" s="45"/>
      <c r="N2209" s="46" t="str">
        <f>IFERROR(__xludf.DUMMYFUNCTION("""COMPUTED_VALUE"""),"")</f>
        <v/>
      </c>
      <c r="O2209" s="46" t="s">
        <v>1976</v>
      </c>
      <c r="P2209" s="47"/>
      <c r="Q2209" s="47"/>
      <c r="R2209" s="48" t="s">
        <v>1976</v>
      </c>
    </row>
    <row r="2210">
      <c r="B2210" s="45"/>
      <c r="N2210" s="46" t="str">
        <f>IFERROR(__xludf.DUMMYFUNCTION("""COMPUTED_VALUE"""),"")</f>
        <v/>
      </c>
      <c r="O2210" s="46" t="s">
        <v>1976</v>
      </c>
      <c r="P2210" s="47"/>
      <c r="Q2210" s="47"/>
      <c r="R2210" s="48" t="s">
        <v>1976</v>
      </c>
    </row>
    <row r="2211">
      <c r="B2211" s="45"/>
      <c r="N2211" s="46" t="str">
        <f>IFERROR(__xludf.DUMMYFUNCTION("""COMPUTED_VALUE"""),"")</f>
        <v/>
      </c>
      <c r="O2211" s="46" t="s">
        <v>1976</v>
      </c>
      <c r="P2211" s="47"/>
      <c r="Q2211" s="47"/>
      <c r="R2211" s="48" t="s">
        <v>1976</v>
      </c>
    </row>
    <row r="2212">
      <c r="B2212" s="45"/>
      <c r="N2212" s="46" t="str">
        <f>IFERROR(__xludf.DUMMYFUNCTION("""COMPUTED_VALUE"""),"")</f>
        <v/>
      </c>
      <c r="O2212" s="46" t="s">
        <v>1976</v>
      </c>
      <c r="P2212" s="47"/>
      <c r="Q2212" s="47"/>
      <c r="R2212" s="48" t="s">
        <v>1976</v>
      </c>
    </row>
    <row r="2213">
      <c r="B2213" s="45"/>
      <c r="N2213" s="46" t="str">
        <f>IFERROR(__xludf.DUMMYFUNCTION("""COMPUTED_VALUE"""),"")</f>
        <v/>
      </c>
      <c r="O2213" s="46" t="s">
        <v>1976</v>
      </c>
      <c r="P2213" s="47"/>
      <c r="Q2213" s="47"/>
      <c r="R2213" s="48" t="s">
        <v>1976</v>
      </c>
    </row>
    <row r="2214">
      <c r="B2214" s="45"/>
      <c r="N2214" s="46" t="str">
        <f>IFERROR(__xludf.DUMMYFUNCTION("""COMPUTED_VALUE"""),"")</f>
        <v/>
      </c>
      <c r="O2214" s="46" t="s">
        <v>1976</v>
      </c>
      <c r="P2214" s="47"/>
      <c r="Q2214" s="47"/>
      <c r="R2214" s="48" t="s">
        <v>1976</v>
      </c>
    </row>
    <row r="2215">
      <c r="B2215" s="45"/>
      <c r="N2215" s="46" t="str">
        <f>IFERROR(__xludf.DUMMYFUNCTION("""COMPUTED_VALUE"""),"")</f>
        <v/>
      </c>
      <c r="O2215" s="46" t="s">
        <v>1976</v>
      </c>
      <c r="P2215" s="47"/>
      <c r="Q2215" s="47"/>
      <c r="R2215" s="48" t="s">
        <v>1976</v>
      </c>
    </row>
    <row r="2216">
      <c r="B2216" s="45"/>
      <c r="N2216" s="46" t="str">
        <f>IFERROR(__xludf.DUMMYFUNCTION("""COMPUTED_VALUE"""),"")</f>
        <v/>
      </c>
      <c r="O2216" s="46" t="s">
        <v>1976</v>
      </c>
      <c r="P2216" s="47"/>
      <c r="Q2216" s="47"/>
      <c r="R2216" s="48" t="s">
        <v>1976</v>
      </c>
    </row>
    <row r="2217">
      <c r="B2217" s="45"/>
      <c r="N2217" s="46" t="str">
        <f>IFERROR(__xludf.DUMMYFUNCTION("""COMPUTED_VALUE"""),"")</f>
        <v/>
      </c>
      <c r="O2217" s="46" t="s">
        <v>1976</v>
      </c>
      <c r="P2217" s="47"/>
      <c r="Q2217" s="47"/>
      <c r="R2217" s="48" t="s">
        <v>1976</v>
      </c>
    </row>
    <row r="2218">
      <c r="B2218" s="45"/>
      <c r="N2218" s="46" t="str">
        <f>IFERROR(__xludf.DUMMYFUNCTION("""COMPUTED_VALUE"""),"")</f>
        <v/>
      </c>
      <c r="O2218" s="46" t="s">
        <v>1976</v>
      </c>
      <c r="P2218" s="47"/>
      <c r="Q2218" s="47"/>
      <c r="R2218" s="48" t="s">
        <v>1976</v>
      </c>
    </row>
    <row r="2219">
      <c r="B2219" s="45"/>
      <c r="N2219" s="46" t="str">
        <f>IFERROR(__xludf.DUMMYFUNCTION("""COMPUTED_VALUE"""),"")</f>
        <v/>
      </c>
      <c r="O2219" s="46" t="s">
        <v>1976</v>
      </c>
      <c r="P2219" s="47"/>
      <c r="Q2219" s="47"/>
      <c r="R2219" s="48" t="s">
        <v>1976</v>
      </c>
    </row>
    <row r="2220">
      <c r="B2220" s="45"/>
      <c r="N2220" s="46" t="str">
        <f>IFERROR(__xludf.DUMMYFUNCTION("""COMPUTED_VALUE"""),"")</f>
        <v/>
      </c>
      <c r="O2220" s="46" t="s">
        <v>1976</v>
      </c>
      <c r="P2220" s="47"/>
      <c r="Q2220" s="47"/>
      <c r="R2220" s="48" t="s">
        <v>1976</v>
      </c>
    </row>
    <row r="2221">
      <c r="B2221" s="45"/>
      <c r="N2221" s="46" t="str">
        <f>IFERROR(__xludf.DUMMYFUNCTION("""COMPUTED_VALUE"""),"")</f>
        <v/>
      </c>
      <c r="O2221" s="46" t="s">
        <v>1976</v>
      </c>
      <c r="P2221" s="47"/>
      <c r="Q2221" s="47"/>
      <c r="R2221" s="48" t="s">
        <v>1976</v>
      </c>
    </row>
    <row r="2222">
      <c r="B2222" s="45"/>
      <c r="N2222" s="46" t="str">
        <f>IFERROR(__xludf.DUMMYFUNCTION("""COMPUTED_VALUE"""),"")</f>
        <v/>
      </c>
      <c r="O2222" s="46" t="s">
        <v>1976</v>
      </c>
      <c r="P2222" s="47"/>
      <c r="Q2222" s="47"/>
      <c r="R2222" s="48" t="s">
        <v>1976</v>
      </c>
    </row>
    <row r="2223">
      <c r="B2223" s="45"/>
      <c r="N2223" s="46" t="str">
        <f>IFERROR(__xludf.DUMMYFUNCTION("""COMPUTED_VALUE"""),"")</f>
        <v/>
      </c>
      <c r="O2223" s="46" t="s">
        <v>1976</v>
      </c>
      <c r="P2223" s="47"/>
      <c r="Q2223" s="47"/>
      <c r="R2223" s="48" t="s">
        <v>1976</v>
      </c>
    </row>
    <row r="2224">
      <c r="B2224" s="45"/>
      <c r="N2224" s="46" t="str">
        <f>IFERROR(__xludf.DUMMYFUNCTION("""COMPUTED_VALUE"""),"")</f>
        <v/>
      </c>
      <c r="O2224" s="46" t="s">
        <v>1976</v>
      </c>
      <c r="P2224" s="47"/>
      <c r="Q2224" s="47"/>
      <c r="R2224" s="48" t="s">
        <v>1976</v>
      </c>
    </row>
    <row r="2225">
      <c r="B2225" s="45"/>
      <c r="N2225" s="46" t="str">
        <f>IFERROR(__xludf.DUMMYFUNCTION("""COMPUTED_VALUE"""),"")</f>
        <v/>
      </c>
      <c r="O2225" s="46" t="s">
        <v>1976</v>
      </c>
      <c r="P2225" s="47"/>
      <c r="Q2225" s="47"/>
      <c r="R2225" s="48" t="s">
        <v>1976</v>
      </c>
    </row>
    <row r="2226">
      <c r="B2226" s="45"/>
      <c r="N2226" s="46" t="str">
        <f>IFERROR(__xludf.DUMMYFUNCTION("""COMPUTED_VALUE"""),"")</f>
        <v/>
      </c>
      <c r="O2226" s="46" t="s">
        <v>1976</v>
      </c>
      <c r="P2226" s="47"/>
      <c r="Q2226" s="47"/>
      <c r="R2226" s="48" t="s">
        <v>1976</v>
      </c>
    </row>
    <row r="2227">
      <c r="B2227" s="45"/>
      <c r="N2227" s="46" t="str">
        <f>IFERROR(__xludf.DUMMYFUNCTION("""COMPUTED_VALUE"""),"")</f>
        <v/>
      </c>
      <c r="O2227" s="46" t="s">
        <v>1976</v>
      </c>
      <c r="P2227" s="47"/>
      <c r="Q2227" s="47"/>
      <c r="R2227" s="48" t="s">
        <v>1976</v>
      </c>
    </row>
    <row r="2228">
      <c r="B2228" s="45"/>
      <c r="N2228" s="46" t="str">
        <f>IFERROR(__xludf.DUMMYFUNCTION("""COMPUTED_VALUE"""),"")</f>
        <v/>
      </c>
      <c r="O2228" s="46" t="s">
        <v>1976</v>
      </c>
      <c r="P2228" s="47"/>
      <c r="Q2228" s="47"/>
      <c r="R2228" s="48" t="s">
        <v>1976</v>
      </c>
    </row>
    <row r="2229">
      <c r="B2229" s="45"/>
      <c r="N2229" s="46" t="str">
        <f>IFERROR(__xludf.DUMMYFUNCTION("""COMPUTED_VALUE"""),"")</f>
        <v/>
      </c>
      <c r="O2229" s="46" t="s">
        <v>1976</v>
      </c>
      <c r="P2229" s="47"/>
      <c r="Q2229" s="47"/>
      <c r="R2229" s="48" t="s">
        <v>1976</v>
      </c>
    </row>
    <row r="2230">
      <c r="B2230" s="45"/>
      <c r="N2230" s="46" t="str">
        <f>IFERROR(__xludf.DUMMYFUNCTION("""COMPUTED_VALUE"""),"")</f>
        <v/>
      </c>
      <c r="O2230" s="46" t="s">
        <v>1976</v>
      </c>
      <c r="P2230" s="47"/>
      <c r="Q2230" s="47"/>
      <c r="R2230" s="48" t="s">
        <v>1976</v>
      </c>
    </row>
    <row r="2231">
      <c r="B2231" s="45"/>
      <c r="N2231" s="46" t="str">
        <f>IFERROR(__xludf.DUMMYFUNCTION("""COMPUTED_VALUE"""),"")</f>
        <v/>
      </c>
      <c r="O2231" s="46" t="s">
        <v>1976</v>
      </c>
      <c r="P2231" s="47"/>
      <c r="Q2231" s="47"/>
      <c r="R2231" s="48" t="s">
        <v>1976</v>
      </c>
    </row>
    <row r="2232">
      <c r="B2232" s="45"/>
      <c r="N2232" s="46" t="str">
        <f>IFERROR(__xludf.DUMMYFUNCTION("""COMPUTED_VALUE"""),"")</f>
        <v/>
      </c>
      <c r="O2232" s="46" t="s">
        <v>1976</v>
      </c>
      <c r="P2232" s="47"/>
      <c r="Q2232" s="47"/>
      <c r="R2232" s="48" t="s">
        <v>1976</v>
      </c>
    </row>
    <row r="2233">
      <c r="B2233" s="45"/>
      <c r="N2233" s="46" t="str">
        <f>IFERROR(__xludf.DUMMYFUNCTION("""COMPUTED_VALUE"""),"")</f>
        <v/>
      </c>
      <c r="O2233" s="46" t="s">
        <v>1976</v>
      </c>
      <c r="P2233" s="47"/>
      <c r="Q2233" s="47"/>
      <c r="R2233" s="48" t="s">
        <v>1976</v>
      </c>
    </row>
    <row r="2234">
      <c r="B2234" s="45"/>
      <c r="N2234" s="46" t="str">
        <f>IFERROR(__xludf.DUMMYFUNCTION("""COMPUTED_VALUE"""),"")</f>
        <v/>
      </c>
      <c r="O2234" s="46" t="s">
        <v>1976</v>
      </c>
      <c r="P2234" s="47"/>
      <c r="Q2234" s="47"/>
      <c r="R2234" s="48" t="s">
        <v>1976</v>
      </c>
    </row>
    <row r="2235">
      <c r="B2235" s="45"/>
      <c r="N2235" s="46" t="str">
        <f>IFERROR(__xludf.DUMMYFUNCTION("""COMPUTED_VALUE"""),"")</f>
        <v/>
      </c>
      <c r="O2235" s="46" t="s">
        <v>1976</v>
      </c>
      <c r="P2235" s="47"/>
      <c r="Q2235" s="47"/>
      <c r="R2235" s="48" t="s">
        <v>1976</v>
      </c>
    </row>
    <row r="2236">
      <c r="B2236" s="45"/>
      <c r="N2236" s="46" t="str">
        <f>IFERROR(__xludf.DUMMYFUNCTION("""COMPUTED_VALUE"""),"")</f>
        <v/>
      </c>
      <c r="O2236" s="46" t="s">
        <v>1976</v>
      </c>
      <c r="P2236" s="47"/>
      <c r="Q2236" s="47"/>
      <c r="R2236" s="48" t="s">
        <v>1976</v>
      </c>
    </row>
    <row r="2237">
      <c r="B2237" s="45"/>
      <c r="N2237" s="46" t="str">
        <f>IFERROR(__xludf.DUMMYFUNCTION("""COMPUTED_VALUE"""),"")</f>
        <v/>
      </c>
      <c r="O2237" s="46" t="s">
        <v>1976</v>
      </c>
      <c r="P2237" s="47"/>
      <c r="Q2237" s="47"/>
      <c r="R2237" s="48" t="s">
        <v>1976</v>
      </c>
    </row>
    <row r="2238">
      <c r="B2238" s="45"/>
      <c r="N2238" s="46" t="str">
        <f>IFERROR(__xludf.DUMMYFUNCTION("""COMPUTED_VALUE"""),"")</f>
        <v/>
      </c>
      <c r="O2238" s="46" t="s">
        <v>1976</v>
      </c>
      <c r="P2238" s="47"/>
      <c r="Q2238" s="47"/>
      <c r="R2238" s="48" t="s">
        <v>1976</v>
      </c>
    </row>
    <row r="2239">
      <c r="B2239" s="45"/>
      <c r="N2239" s="46" t="str">
        <f>IFERROR(__xludf.DUMMYFUNCTION("""COMPUTED_VALUE"""),"")</f>
        <v/>
      </c>
      <c r="O2239" s="46" t="s">
        <v>1976</v>
      </c>
      <c r="P2239" s="47"/>
      <c r="Q2239" s="47"/>
      <c r="R2239" s="48" t="s">
        <v>1976</v>
      </c>
    </row>
    <row r="2240">
      <c r="B2240" s="45"/>
      <c r="N2240" s="46" t="str">
        <f>IFERROR(__xludf.DUMMYFUNCTION("""COMPUTED_VALUE"""),"")</f>
        <v/>
      </c>
      <c r="O2240" s="46" t="s">
        <v>1976</v>
      </c>
      <c r="P2240" s="47"/>
      <c r="Q2240" s="47"/>
      <c r="R2240" s="48" t="s">
        <v>1976</v>
      </c>
    </row>
    <row r="2241">
      <c r="B2241" s="45"/>
      <c r="N2241" s="46" t="str">
        <f>IFERROR(__xludf.DUMMYFUNCTION("""COMPUTED_VALUE"""),"")</f>
        <v/>
      </c>
      <c r="O2241" s="46" t="s">
        <v>1976</v>
      </c>
      <c r="P2241" s="47"/>
      <c r="Q2241" s="47"/>
      <c r="R2241" s="48" t="s">
        <v>1976</v>
      </c>
    </row>
    <row r="2242">
      <c r="B2242" s="45"/>
      <c r="N2242" s="46" t="str">
        <f>IFERROR(__xludf.DUMMYFUNCTION("""COMPUTED_VALUE"""),"")</f>
        <v/>
      </c>
      <c r="O2242" s="46" t="s">
        <v>1976</v>
      </c>
      <c r="P2242" s="47"/>
      <c r="Q2242" s="47"/>
      <c r="R2242" s="48" t="s">
        <v>1976</v>
      </c>
    </row>
    <row r="2243">
      <c r="B2243" s="45"/>
      <c r="N2243" s="46" t="str">
        <f>IFERROR(__xludf.DUMMYFUNCTION("""COMPUTED_VALUE"""),"")</f>
        <v/>
      </c>
      <c r="O2243" s="46" t="s">
        <v>1976</v>
      </c>
      <c r="P2243" s="47"/>
      <c r="Q2243" s="47"/>
      <c r="R2243" s="48" t="s">
        <v>1976</v>
      </c>
    </row>
    <row r="2244">
      <c r="B2244" s="45"/>
      <c r="N2244" s="46" t="str">
        <f>IFERROR(__xludf.DUMMYFUNCTION("""COMPUTED_VALUE"""),"")</f>
        <v/>
      </c>
      <c r="O2244" s="46" t="s">
        <v>1976</v>
      </c>
      <c r="P2244" s="47"/>
      <c r="Q2244" s="47"/>
      <c r="R2244" s="48" t="s">
        <v>1976</v>
      </c>
    </row>
    <row r="2245">
      <c r="B2245" s="45"/>
      <c r="N2245" s="46" t="str">
        <f>IFERROR(__xludf.DUMMYFUNCTION("""COMPUTED_VALUE"""),"")</f>
        <v/>
      </c>
      <c r="O2245" s="46" t="s">
        <v>1976</v>
      </c>
      <c r="P2245" s="47"/>
      <c r="Q2245" s="47"/>
      <c r="R2245" s="48" t="s">
        <v>1976</v>
      </c>
    </row>
    <row r="2246">
      <c r="B2246" s="45"/>
      <c r="N2246" s="46" t="str">
        <f>IFERROR(__xludf.DUMMYFUNCTION("""COMPUTED_VALUE"""),"")</f>
        <v/>
      </c>
      <c r="O2246" s="46" t="s">
        <v>1976</v>
      </c>
      <c r="P2246" s="47"/>
      <c r="Q2246" s="47"/>
      <c r="R2246" s="48" t="s">
        <v>1976</v>
      </c>
    </row>
    <row r="2247">
      <c r="B2247" s="45"/>
      <c r="N2247" s="46" t="str">
        <f>IFERROR(__xludf.DUMMYFUNCTION("""COMPUTED_VALUE"""),"")</f>
        <v/>
      </c>
      <c r="O2247" s="46" t="s">
        <v>1976</v>
      </c>
      <c r="P2247" s="47"/>
      <c r="Q2247" s="47"/>
      <c r="R2247" s="48" t="s">
        <v>1976</v>
      </c>
    </row>
    <row r="2248">
      <c r="B2248" s="45"/>
      <c r="N2248" s="46" t="str">
        <f>IFERROR(__xludf.DUMMYFUNCTION("""COMPUTED_VALUE"""),"")</f>
        <v/>
      </c>
      <c r="O2248" s="46" t="s">
        <v>1976</v>
      </c>
      <c r="P2248" s="47"/>
      <c r="Q2248" s="47"/>
      <c r="R2248" s="48" t="s">
        <v>1976</v>
      </c>
    </row>
    <row r="2249">
      <c r="B2249" s="45"/>
      <c r="N2249" s="46" t="str">
        <f>IFERROR(__xludf.DUMMYFUNCTION("""COMPUTED_VALUE"""),"")</f>
        <v/>
      </c>
      <c r="O2249" s="46" t="s">
        <v>1976</v>
      </c>
      <c r="P2249" s="47"/>
      <c r="Q2249" s="47"/>
      <c r="R2249" s="48" t="s">
        <v>1976</v>
      </c>
    </row>
    <row r="2250">
      <c r="B2250" s="45"/>
      <c r="N2250" s="46" t="str">
        <f>IFERROR(__xludf.DUMMYFUNCTION("""COMPUTED_VALUE"""),"")</f>
        <v/>
      </c>
      <c r="O2250" s="46" t="s">
        <v>1976</v>
      </c>
      <c r="P2250" s="47"/>
      <c r="Q2250" s="47"/>
      <c r="R2250" s="48" t="s">
        <v>1976</v>
      </c>
    </row>
    <row r="2251">
      <c r="B2251" s="45"/>
      <c r="N2251" s="46" t="str">
        <f>IFERROR(__xludf.DUMMYFUNCTION("""COMPUTED_VALUE"""),"")</f>
        <v/>
      </c>
      <c r="O2251" s="46" t="s">
        <v>1976</v>
      </c>
      <c r="P2251" s="47"/>
      <c r="Q2251" s="47"/>
      <c r="R2251" s="48" t="s">
        <v>1976</v>
      </c>
    </row>
    <row r="2252">
      <c r="B2252" s="45"/>
      <c r="N2252" s="46" t="str">
        <f>IFERROR(__xludf.DUMMYFUNCTION("""COMPUTED_VALUE"""),"")</f>
        <v/>
      </c>
      <c r="O2252" s="46" t="s">
        <v>1976</v>
      </c>
      <c r="P2252" s="47"/>
      <c r="Q2252" s="47"/>
      <c r="R2252" s="48" t="s">
        <v>1976</v>
      </c>
    </row>
    <row r="2253">
      <c r="B2253" s="45"/>
      <c r="N2253" s="46" t="str">
        <f>IFERROR(__xludf.DUMMYFUNCTION("""COMPUTED_VALUE"""),"")</f>
        <v/>
      </c>
      <c r="O2253" s="46" t="s">
        <v>1976</v>
      </c>
      <c r="P2253" s="47"/>
      <c r="Q2253" s="47"/>
      <c r="R2253" s="48" t="s">
        <v>1976</v>
      </c>
    </row>
    <row r="2254">
      <c r="B2254" s="45"/>
      <c r="N2254" s="46" t="str">
        <f>IFERROR(__xludf.DUMMYFUNCTION("""COMPUTED_VALUE"""),"")</f>
        <v/>
      </c>
      <c r="O2254" s="46" t="s">
        <v>1976</v>
      </c>
      <c r="P2254" s="47"/>
      <c r="Q2254" s="47"/>
      <c r="R2254" s="48" t="s">
        <v>1976</v>
      </c>
    </row>
    <row r="2255">
      <c r="B2255" s="45"/>
      <c r="N2255" s="46" t="str">
        <f>IFERROR(__xludf.DUMMYFUNCTION("""COMPUTED_VALUE"""),"")</f>
        <v/>
      </c>
      <c r="O2255" s="46" t="s">
        <v>1976</v>
      </c>
      <c r="P2255" s="47"/>
      <c r="Q2255" s="47"/>
      <c r="R2255" s="48" t="s">
        <v>1976</v>
      </c>
    </row>
    <row r="2256">
      <c r="B2256" s="45"/>
      <c r="N2256" s="46" t="str">
        <f>IFERROR(__xludf.DUMMYFUNCTION("""COMPUTED_VALUE"""),"")</f>
        <v/>
      </c>
      <c r="O2256" s="46" t="s">
        <v>1976</v>
      </c>
      <c r="P2256" s="47"/>
      <c r="Q2256" s="47"/>
      <c r="R2256" s="48" t="s">
        <v>1976</v>
      </c>
    </row>
    <row r="2257">
      <c r="B2257" s="45"/>
      <c r="N2257" s="46" t="str">
        <f>IFERROR(__xludf.DUMMYFUNCTION("""COMPUTED_VALUE"""),"")</f>
        <v/>
      </c>
      <c r="O2257" s="46" t="s">
        <v>1976</v>
      </c>
      <c r="P2257" s="47"/>
      <c r="Q2257" s="47"/>
      <c r="R2257" s="48" t="s">
        <v>1976</v>
      </c>
    </row>
    <row r="2258">
      <c r="B2258" s="45"/>
      <c r="N2258" s="46" t="str">
        <f>IFERROR(__xludf.DUMMYFUNCTION("""COMPUTED_VALUE"""),"")</f>
        <v/>
      </c>
      <c r="O2258" s="46" t="s">
        <v>1976</v>
      </c>
      <c r="P2258" s="47"/>
      <c r="Q2258" s="47"/>
      <c r="R2258" s="48" t="s">
        <v>1976</v>
      </c>
    </row>
    <row r="2259">
      <c r="B2259" s="45"/>
      <c r="N2259" s="46" t="str">
        <f>IFERROR(__xludf.DUMMYFUNCTION("""COMPUTED_VALUE"""),"")</f>
        <v/>
      </c>
      <c r="O2259" s="46" t="s">
        <v>1976</v>
      </c>
      <c r="P2259" s="47"/>
      <c r="Q2259" s="47"/>
      <c r="R2259" s="48" t="s">
        <v>1976</v>
      </c>
    </row>
    <row r="2260">
      <c r="B2260" s="45"/>
      <c r="N2260" s="46" t="str">
        <f>IFERROR(__xludf.DUMMYFUNCTION("""COMPUTED_VALUE"""),"")</f>
        <v/>
      </c>
      <c r="O2260" s="46" t="s">
        <v>1976</v>
      </c>
      <c r="P2260" s="47"/>
      <c r="Q2260" s="47"/>
      <c r="R2260" s="48" t="s">
        <v>1976</v>
      </c>
    </row>
    <row r="2261">
      <c r="B2261" s="45"/>
      <c r="N2261" s="46" t="str">
        <f>IFERROR(__xludf.DUMMYFUNCTION("""COMPUTED_VALUE"""),"")</f>
        <v/>
      </c>
      <c r="O2261" s="46" t="s">
        <v>1976</v>
      </c>
      <c r="P2261" s="47"/>
      <c r="Q2261" s="47"/>
      <c r="R2261" s="48" t="s">
        <v>1976</v>
      </c>
    </row>
    <row r="2262">
      <c r="B2262" s="45"/>
      <c r="N2262" s="46" t="str">
        <f>IFERROR(__xludf.DUMMYFUNCTION("""COMPUTED_VALUE"""),"")</f>
        <v/>
      </c>
      <c r="O2262" s="46" t="s">
        <v>1976</v>
      </c>
      <c r="P2262" s="47"/>
      <c r="Q2262" s="47"/>
      <c r="R2262" s="48" t="s">
        <v>1976</v>
      </c>
    </row>
    <row r="2263">
      <c r="B2263" s="45"/>
      <c r="N2263" s="46" t="str">
        <f>IFERROR(__xludf.DUMMYFUNCTION("""COMPUTED_VALUE"""),"")</f>
        <v/>
      </c>
      <c r="O2263" s="46" t="s">
        <v>1976</v>
      </c>
      <c r="P2263" s="47"/>
      <c r="Q2263" s="47"/>
      <c r="R2263" s="48" t="s">
        <v>1976</v>
      </c>
    </row>
    <row r="2264">
      <c r="B2264" s="45"/>
      <c r="N2264" s="46" t="str">
        <f>IFERROR(__xludf.DUMMYFUNCTION("""COMPUTED_VALUE"""),"")</f>
        <v/>
      </c>
      <c r="O2264" s="46" t="s">
        <v>1976</v>
      </c>
      <c r="P2264" s="47"/>
      <c r="Q2264" s="47"/>
      <c r="R2264" s="48" t="s">
        <v>1976</v>
      </c>
    </row>
    <row r="2265">
      <c r="B2265" s="45"/>
      <c r="N2265" s="46" t="str">
        <f>IFERROR(__xludf.DUMMYFUNCTION("""COMPUTED_VALUE"""),"")</f>
        <v/>
      </c>
      <c r="O2265" s="46" t="s">
        <v>1976</v>
      </c>
      <c r="P2265" s="47"/>
      <c r="Q2265" s="47"/>
      <c r="R2265" s="48" t="s">
        <v>1976</v>
      </c>
    </row>
    <row r="2266">
      <c r="B2266" s="45"/>
      <c r="N2266" s="46" t="str">
        <f>IFERROR(__xludf.DUMMYFUNCTION("""COMPUTED_VALUE"""),"")</f>
        <v/>
      </c>
      <c r="O2266" s="46" t="s">
        <v>1976</v>
      </c>
      <c r="P2266" s="47"/>
      <c r="Q2266" s="47"/>
      <c r="R2266" s="48" t="s">
        <v>1976</v>
      </c>
    </row>
    <row r="2267">
      <c r="B2267" s="45"/>
      <c r="N2267" s="46" t="str">
        <f>IFERROR(__xludf.DUMMYFUNCTION("""COMPUTED_VALUE"""),"")</f>
        <v/>
      </c>
      <c r="O2267" s="46" t="s">
        <v>1976</v>
      </c>
      <c r="P2267" s="47"/>
      <c r="Q2267" s="47"/>
      <c r="R2267" s="48" t="s">
        <v>1976</v>
      </c>
    </row>
    <row r="2268">
      <c r="B2268" s="45"/>
      <c r="N2268" s="46" t="str">
        <f>IFERROR(__xludf.DUMMYFUNCTION("""COMPUTED_VALUE"""),"")</f>
        <v/>
      </c>
      <c r="O2268" s="46" t="s">
        <v>1976</v>
      </c>
      <c r="P2268" s="47"/>
      <c r="Q2268" s="47"/>
      <c r="R2268" s="48" t="s">
        <v>1976</v>
      </c>
    </row>
    <row r="2269">
      <c r="B2269" s="45"/>
      <c r="N2269" s="46" t="str">
        <f>IFERROR(__xludf.DUMMYFUNCTION("""COMPUTED_VALUE"""),"")</f>
        <v/>
      </c>
      <c r="O2269" s="46" t="s">
        <v>1976</v>
      </c>
      <c r="P2269" s="47"/>
      <c r="Q2269" s="47"/>
      <c r="R2269" s="48" t="s">
        <v>1976</v>
      </c>
    </row>
    <row r="2270">
      <c r="B2270" s="45"/>
      <c r="N2270" s="46" t="str">
        <f>IFERROR(__xludf.DUMMYFUNCTION("""COMPUTED_VALUE"""),"")</f>
        <v/>
      </c>
      <c r="O2270" s="46" t="s">
        <v>1976</v>
      </c>
      <c r="P2270" s="47"/>
      <c r="Q2270" s="47"/>
      <c r="R2270" s="48" t="s">
        <v>1976</v>
      </c>
    </row>
    <row r="2271">
      <c r="B2271" s="45"/>
      <c r="N2271" s="46" t="str">
        <f>IFERROR(__xludf.DUMMYFUNCTION("""COMPUTED_VALUE"""),"")</f>
        <v/>
      </c>
      <c r="O2271" s="46" t="s">
        <v>1976</v>
      </c>
      <c r="P2271" s="47"/>
      <c r="Q2271" s="47"/>
      <c r="R2271" s="48" t="s">
        <v>1976</v>
      </c>
    </row>
    <row r="2272">
      <c r="B2272" s="45"/>
      <c r="N2272" s="46" t="str">
        <f>IFERROR(__xludf.DUMMYFUNCTION("""COMPUTED_VALUE"""),"")</f>
        <v/>
      </c>
      <c r="O2272" s="46" t="s">
        <v>1976</v>
      </c>
      <c r="P2272" s="47"/>
      <c r="Q2272" s="47"/>
      <c r="R2272" s="48" t="s">
        <v>1976</v>
      </c>
    </row>
    <row r="2273">
      <c r="B2273" s="45"/>
      <c r="N2273" s="46" t="str">
        <f>IFERROR(__xludf.DUMMYFUNCTION("""COMPUTED_VALUE"""),"")</f>
        <v/>
      </c>
      <c r="O2273" s="46" t="s">
        <v>1976</v>
      </c>
      <c r="P2273" s="47"/>
      <c r="Q2273" s="47"/>
      <c r="R2273" s="48" t="s">
        <v>1976</v>
      </c>
    </row>
    <row r="2274">
      <c r="B2274" s="45"/>
      <c r="N2274" s="46" t="str">
        <f>IFERROR(__xludf.DUMMYFUNCTION("""COMPUTED_VALUE"""),"")</f>
        <v/>
      </c>
      <c r="O2274" s="46" t="s">
        <v>1976</v>
      </c>
      <c r="P2274" s="47"/>
      <c r="Q2274" s="47"/>
      <c r="R2274" s="48" t="s">
        <v>1976</v>
      </c>
    </row>
    <row r="2275">
      <c r="B2275" s="45"/>
      <c r="N2275" s="46" t="str">
        <f>IFERROR(__xludf.DUMMYFUNCTION("""COMPUTED_VALUE"""),"")</f>
        <v/>
      </c>
      <c r="O2275" s="46" t="s">
        <v>1976</v>
      </c>
      <c r="P2275" s="47"/>
      <c r="Q2275" s="47"/>
      <c r="R2275" s="48" t="s">
        <v>1976</v>
      </c>
    </row>
    <row r="2276">
      <c r="B2276" s="45"/>
      <c r="N2276" s="46" t="str">
        <f>IFERROR(__xludf.DUMMYFUNCTION("""COMPUTED_VALUE"""),"")</f>
        <v/>
      </c>
      <c r="O2276" s="46" t="s">
        <v>1976</v>
      </c>
      <c r="P2276" s="47"/>
      <c r="Q2276" s="47"/>
      <c r="R2276" s="48" t="s">
        <v>1976</v>
      </c>
    </row>
    <row r="2277">
      <c r="B2277" s="45"/>
      <c r="N2277" s="46" t="str">
        <f>IFERROR(__xludf.DUMMYFUNCTION("""COMPUTED_VALUE"""),"")</f>
        <v/>
      </c>
      <c r="O2277" s="46" t="s">
        <v>1976</v>
      </c>
      <c r="P2277" s="47"/>
      <c r="Q2277" s="47"/>
      <c r="R2277" s="48" t="s">
        <v>1976</v>
      </c>
    </row>
    <row r="2278">
      <c r="B2278" s="45"/>
      <c r="N2278" s="46" t="str">
        <f>IFERROR(__xludf.DUMMYFUNCTION("""COMPUTED_VALUE"""),"")</f>
        <v/>
      </c>
      <c r="O2278" s="46" t="s">
        <v>1976</v>
      </c>
      <c r="P2278" s="47"/>
      <c r="Q2278" s="47"/>
      <c r="R2278" s="48" t="s">
        <v>1976</v>
      </c>
    </row>
    <row r="2279">
      <c r="B2279" s="45"/>
      <c r="N2279" s="46" t="str">
        <f>IFERROR(__xludf.DUMMYFUNCTION("""COMPUTED_VALUE"""),"")</f>
        <v/>
      </c>
      <c r="O2279" s="46" t="s">
        <v>1976</v>
      </c>
      <c r="P2279" s="47"/>
      <c r="Q2279" s="47"/>
      <c r="R2279" s="48" t="s">
        <v>1976</v>
      </c>
    </row>
    <row r="2280">
      <c r="B2280" s="45"/>
      <c r="N2280" s="46" t="str">
        <f>IFERROR(__xludf.DUMMYFUNCTION("""COMPUTED_VALUE"""),"")</f>
        <v/>
      </c>
      <c r="O2280" s="46" t="s">
        <v>1976</v>
      </c>
      <c r="P2280" s="47"/>
      <c r="Q2280" s="47"/>
      <c r="R2280" s="48" t="s">
        <v>1976</v>
      </c>
    </row>
    <row r="2281">
      <c r="B2281" s="45"/>
      <c r="N2281" s="46" t="str">
        <f>IFERROR(__xludf.DUMMYFUNCTION("""COMPUTED_VALUE"""),"")</f>
        <v/>
      </c>
      <c r="O2281" s="46" t="s">
        <v>1976</v>
      </c>
      <c r="P2281" s="47"/>
      <c r="Q2281" s="47"/>
      <c r="R2281" s="48" t="s">
        <v>1976</v>
      </c>
    </row>
    <row r="2282">
      <c r="B2282" s="45"/>
      <c r="N2282" s="46" t="str">
        <f>IFERROR(__xludf.DUMMYFUNCTION("""COMPUTED_VALUE"""),"")</f>
        <v/>
      </c>
      <c r="O2282" s="46" t="s">
        <v>1976</v>
      </c>
      <c r="P2282" s="47"/>
      <c r="Q2282" s="47"/>
      <c r="R2282" s="48" t="s">
        <v>1976</v>
      </c>
    </row>
    <row r="2283">
      <c r="B2283" s="45"/>
      <c r="N2283" s="46" t="str">
        <f>IFERROR(__xludf.DUMMYFUNCTION("""COMPUTED_VALUE"""),"")</f>
        <v/>
      </c>
      <c r="O2283" s="46" t="s">
        <v>1976</v>
      </c>
      <c r="P2283" s="47"/>
      <c r="Q2283" s="47"/>
      <c r="R2283" s="48" t="s">
        <v>1976</v>
      </c>
    </row>
    <row r="2284">
      <c r="B2284" s="45"/>
      <c r="N2284" s="46" t="str">
        <f>IFERROR(__xludf.DUMMYFUNCTION("""COMPUTED_VALUE"""),"")</f>
        <v/>
      </c>
      <c r="O2284" s="46" t="s">
        <v>1976</v>
      </c>
      <c r="P2284" s="47"/>
      <c r="Q2284" s="47"/>
      <c r="R2284" s="48" t="s">
        <v>1976</v>
      </c>
    </row>
    <row r="2285">
      <c r="B2285" s="45"/>
      <c r="N2285" s="46" t="str">
        <f>IFERROR(__xludf.DUMMYFUNCTION("""COMPUTED_VALUE"""),"")</f>
        <v/>
      </c>
      <c r="O2285" s="46" t="s">
        <v>1976</v>
      </c>
      <c r="P2285" s="47"/>
      <c r="Q2285" s="47"/>
      <c r="R2285" s="48" t="s">
        <v>1976</v>
      </c>
    </row>
    <row r="2286">
      <c r="B2286" s="45"/>
      <c r="N2286" s="46" t="str">
        <f>IFERROR(__xludf.DUMMYFUNCTION("""COMPUTED_VALUE"""),"")</f>
        <v/>
      </c>
      <c r="O2286" s="46" t="s">
        <v>1976</v>
      </c>
      <c r="P2286" s="47"/>
      <c r="Q2286" s="47"/>
      <c r="R2286" s="48" t="s">
        <v>1976</v>
      </c>
    </row>
    <row r="2287">
      <c r="B2287" s="45"/>
      <c r="N2287" s="46" t="str">
        <f>IFERROR(__xludf.DUMMYFUNCTION("""COMPUTED_VALUE"""),"")</f>
        <v/>
      </c>
      <c r="O2287" s="46" t="s">
        <v>1976</v>
      </c>
      <c r="P2287" s="47"/>
      <c r="Q2287" s="47"/>
      <c r="R2287" s="48" t="s">
        <v>1976</v>
      </c>
    </row>
    <row r="2288">
      <c r="B2288" s="45"/>
      <c r="N2288" s="46" t="str">
        <f>IFERROR(__xludf.DUMMYFUNCTION("""COMPUTED_VALUE"""),"")</f>
        <v/>
      </c>
      <c r="O2288" s="46" t="s">
        <v>1976</v>
      </c>
      <c r="P2288" s="47"/>
      <c r="Q2288" s="47"/>
      <c r="R2288" s="48" t="s">
        <v>1976</v>
      </c>
    </row>
    <row r="2289">
      <c r="B2289" s="45"/>
      <c r="N2289" s="46" t="str">
        <f>IFERROR(__xludf.DUMMYFUNCTION("""COMPUTED_VALUE"""),"")</f>
        <v/>
      </c>
      <c r="O2289" s="46" t="s">
        <v>1976</v>
      </c>
      <c r="P2289" s="47"/>
      <c r="Q2289" s="47"/>
      <c r="R2289" s="48" t="s">
        <v>1976</v>
      </c>
    </row>
    <row r="2290">
      <c r="B2290" s="45"/>
      <c r="N2290" s="46" t="str">
        <f>IFERROR(__xludf.DUMMYFUNCTION("""COMPUTED_VALUE"""),"")</f>
        <v/>
      </c>
      <c r="O2290" s="46" t="s">
        <v>1976</v>
      </c>
      <c r="P2290" s="47"/>
      <c r="Q2290" s="47"/>
      <c r="R2290" s="48" t="s">
        <v>1976</v>
      </c>
    </row>
    <row r="2291">
      <c r="B2291" s="45"/>
      <c r="N2291" s="46" t="str">
        <f>IFERROR(__xludf.DUMMYFUNCTION("""COMPUTED_VALUE"""),"")</f>
        <v/>
      </c>
      <c r="O2291" s="46" t="s">
        <v>1976</v>
      </c>
      <c r="P2291" s="47"/>
      <c r="Q2291" s="47"/>
      <c r="R2291" s="48" t="s">
        <v>1976</v>
      </c>
    </row>
    <row r="2292">
      <c r="B2292" s="45"/>
      <c r="N2292" s="46" t="str">
        <f>IFERROR(__xludf.DUMMYFUNCTION("""COMPUTED_VALUE"""),"")</f>
        <v/>
      </c>
      <c r="O2292" s="46" t="s">
        <v>1976</v>
      </c>
      <c r="P2292" s="47"/>
      <c r="Q2292" s="47"/>
      <c r="R2292" s="48" t="s">
        <v>1976</v>
      </c>
    </row>
    <row r="2293">
      <c r="B2293" s="45"/>
      <c r="N2293" s="46" t="str">
        <f>IFERROR(__xludf.DUMMYFUNCTION("""COMPUTED_VALUE"""),"")</f>
        <v/>
      </c>
      <c r="O2293" s="46" t="s">
        <v>1976</v>
      </c>
      <c r="P2293" s="47"/>
      <c r="Q2293" s="47"/>
      <c r="R2293" s="48" t="s">
        <v>1976</v>
      </c>
    </row>
    <row r="2294">
      <c r="B2294" s="45"/>
      <c r="N2294" s="46" t="str">
        <f>IFERROR(__xludf.DUMMYFUNCTION("""COMPUTED_VALUE"""),"")</f>
        <v/>
      </c>
      <c r="O2294" s="46" t="s">
        <v>1976</v>
      </c>
      <c r="P2294" s="47"/>
      <c r="Q2294" s="47"/>
      <c r="R2294" s="48" t="s">
        <v>1976</v>
      </c>
    </row>
    <row r="2295">
      <c r="B2295" s="45"/>
      <c r="N2295" s="46" t="str">
        <f>IFERROR(__xludf.DUMMYFUNCTION("""COMPUTED_VALUE"""),"")</f>
        <v/>
      </c>
      <c r="O2295" s="46" t="s">
        <v>1976</v>
      </c>
      <c r="P2295" s="47"/>
      <c r="Q2295" s="47"/>
      <c r="R2295" s="48" t="s">
        <v>1976</v>
      </c>
    </row>
    <row r="2296">
      <c r="B2296" s="45"/>
      <c r="N2296" s="46" t="str">
        <f>IFERROR(__xludf.DUMMYFUNCTION("""COMPUTED_VALUE"""),"")</f>
        <v/>
      </c>
      <c r="O2296" s="46" t="s">
        <v>1976</v>
      </c>
      <c r="P2296" s="47"/>
      <c r="Q2296" s="47"/>
      <c r="R2296" s="48" t="s">
        <v>1976</v>
      </c>
    </row>
    <row r="2297">
      <c r="B2297" s="45"/>
      <c r="N2297" s="46" t="str">
        <f>IFERROR(__xludf.DUMMYFUNCTION("""COMPUTED_VALUE"""),"")</f>
        <v/>
      </c>
      <c r="O2297" s="46" t="s">
        <v>1976</v>
      </c>
      <c r="P2297" s="47"/>
      <c r="Q2297" s="47"/>
      <c r="R2297" s="48" t="s">
        <v>1976</v>
      </c>
    </row>
    <row r="2298">
      <c r="B2298" s="45"/>
      <c r="N2298" s="46" t="str">
        <f>IFERROR(__xludf.DUMMYFUNCTION("""COMPUTED_VALUE"""),"")</f>
        <v/>
      </c>
      <c r="O2298" s="46" t="s">
        <v>1976</v>
      </c>
      <c r="P2298" s="47"/>
      <c r="Q2298" s="47"/>
      <c r="R2298" s="48" t="s">
        <v>1976</v>
      </c>
    </row>
    <row r="2299">
      <c r="B2299" s="45"/>
      <c r="N2299" s="46" t="str">
        <f>IFERROR(__xludf.DUMMYFUNCTION("""COMPUTED_VALUE"""),"")</f>
        <v/>
      </c>
      <c r="O2299" s="46" t="s">
        <v>1976</v>
      </c>
      <c r="P2299" s="47"/>
      <c r="Q2299" s="47"/>
      <c r="R2299" s="48" t="s">
        <v>1976</v>
      </c>
    </row>
    <row r="2300">
      <c r="B2300" s="45"/>
      <c r="N2300" s="46" t="str">
        <f>IFERROR(__xludf.DUMMYFUNCTION("""COMPUTED_VALUE"""),"")</f>
        <v/>
      </c>
      <c r="O2300" s="46" t="s">
        <v>1976</v>
      </c>
      <c r="P2300" s="47"/>
      <c r="Q2300" s="47"/>
      <c r="R2300" s="48" t="s">
        <v>1976</v>
      </c>
    </row>
    <row r="2301">
      <c r="B2301" s="45"/>
      <c r="N2301" s="46" t="str">
        <f>IFERROR(__xludf.DUMMYFUNCTION("""COMPUTED_VALUE"""),"")</f>
        <v/>
      </c>
      <c r="O2301" s="46" t="s">
        <v>1976</v>
      </c>
      <c r="P2301" s="47"/>
      <c r="Q2301" s="47"/>
      <c r="R2301" s="48" t="s">
        <v>1976</v>
      </c>
    </row>
    <row r="2302">
      <c r="B2302" s="45"/>
      <c r="N2302" s="46" t="str">
        <f>IFERROR(__xludf.DUMMYFUNCTION("""COMPUTED_VALUE"""),"")</f>
        <v/>
      </c>
      <c r="O2302" s="46" t="s">
        <v>1976</v>
      </c>
      <c r="P2302" s="47"/>
      <c r="Q2302" s="47"/>
      <c r="R2302" s="48" t="s">
        <v>1976</v>
      </c>
    </row>
    <row r="2303">
      <c r="B2303" s="45"/>
      <c r="N2303" s="46" t="str">
        <f>IFERROR(__xludf.DUMMYFUNCTION("""COMPUTED_VALUE"""),"")</f>
        <v/>
      </c>
      <c r="O2303" s="46" t="s">
        <v>1976</v>
      </c>
      <c r="P2303" s="47"/>
      <c r="Q2303" s="47"/>
      <c r="R2303" s="48" t="s">
        <v>1976</v>
      </c>
    </row>
    <row r="2304">
      <c r="B2304" s="45"/>
      <c r="N2304" s="46" t="str">
        <f>IFERROR(__xludf.DUMMYFUNCTION("""COMPUTED_VALUE"""),"")</f>
        <v/>
      </c>
      <c r="O2304" s="46" t="s">
        <v>1976</v>
      </c>
      <c r="P2304" s="47"/>
      <c r="Q2304" s="47"/>
      <c r="R2304" s="48" t="s">
        <v>1976</v>
      </c>
    </row>
    <row r="2305">
      <c r="B2305" s="45"/>
      <c r="N2305" s="46" t="str">
        <f>IFERROR(__xludf.DUMMYFUNCTION("""COMPUTED_VALUE"""),"")</f>
        <v/>
      </c>
      <c r="O2305" s="46" t="s">
        <v>1976</v>
      </c>
      <c r="P2305" s="47"/>
      <c r="Q2305" s="47"/>
      <c r="R2305" s="48" t="s">
        <v>1976</v>
      </c>
    </row>
    <row r="2306">
      <c r="B2306" s="45"/>
      <c r="N2306" s="46" t="str">
        <f>IFERROR(__xludf.DUMMYFUNCTION("""COMPUTED_VALUE"""),"")</f>
        <v/>
      </c>
      <c r="O2306" s="46" t="s">
        <v>1976</v>
      </c>
      <c r="P2306" s="47"/>
      <c r="Q2306" s="47"/>
      <c r="R2306" s="48" t="s">
        <v>1976</v>
      </c>
    </row>
    <row r="2307">
      <c r="B2307" s="45"/>
      <c r="N2307" s="46" t="str">
        <f>IFERROR(__xludf.DUMMYFUNCTION("""COMPUTED_VALUE"""),"")</f>
        <v/>
      </c>
      <c r="O2307" s="46" t="s">
        <v>1976</v>
      </c>
      <c r="P2307" s="47"/>
      <c r="Q2307" s="47"/>
      <c r="R2307" s="48" t="s">
        <v>1976</v>
      </c>
    </row>
    <row r="2308">
      <c r="B2308" s="45"/>
      <c r="N2308" s="46" t="str">
        <f>IFERROR(__xludf.DUMMYFUNCTION("""COMPUTED_VALUE"""),"")</f>
        <v/>
      </c>
      <c r="O2308" s="46" t="s">
        <v>1976</v>
      </c>
      <c r="P2308" s="47"/>
      <c r="Q2308" s="47"/>
      <c r="R2308" s="48" t="s">
        <v>1976</v>
      </c>
    </row>
    <row r="2309">
      <c r="B2309" s="45"/>
      <c r="N2309" s="46" t="str">
        <f>IFERROR(__xludf.DUMMYFUNCTION("""COMPUTED_VALUE"""),"")</f>
        <v/>
      </c>
      <c r="O2309" s="46" t="s">
        <v>1976</v>
      </c>
      <c r="P2309" s="47"/>
      <c r="Q2309" s="47"/>
      <c r="R2309" s="48" t="s">
        <v>1976</v>
      </c>
    </row>
    <row r="2310">
      <c r="B2310" s="45"/>
      <c r="N2310" s="46" t="str">
        <f>IFERROR(__xludf.DUMMYFUNCTION("""COMPUTED_VALUE"""),"")</f>
        <v/>
      </c>
      <c r="O2310" s="46" t="s">
        <v>1976</v>
      </c>
      <c r="P2310" s="47"/>
      <c r="Q2310" s="47"/>
      <c r="R2310" s="48" t="s">
        <v>1976</v>
      </c>
    </row>
    <row r="2311">
      <c r="B2311" s="45"/>
      <c r="N2311" s="46" t="str">
        <f>IFERROR(__xludf.DUMMYFUNCTION("""COMPUTED_VALUE"""),"")</f>
        <v/>
      </c>
      <c r="O2311" s="46" t="s">
        <v>1976</v>
      </c>
      <c r="P2311" s="47"/>
      <c r="Q2311" s="47"/>
      <c r="R2311" s="48" t="s">
        <v>1976</v>
      </c>
    </row>
    <row r="2312">
      <c r="B2312" s="45"/>
      <c r="N2312" s="46" t="str">
        <f>IFERROR(__xludf.DUMMYFUNCTION("""COMPUTED_VALUE"""),"")</f>
        <v/>
      </c>
      <c r="O2312" s="46" t="s">
        <v>1976</v>
      </c>
      <c r="P2312" s="47"/>
      <c r="Q2312" s="47"/>
      <c r="R2312" s="48" t="s">
        <v>1976</v>
      </c>
    </row>
    <row r="2313">
      <c r="B2313" s="45"/>
      <c r="N2313" s="46" t="str">
        <f>IFERROR(__xludf.DUMMYFUNCTION("""COMPUTED_VALUE"""),"")</f>
        <v/>
      </c>
      <c r="O2313" s="46" t="s">
        <v>1976</v>
      </c>
      <c r="P2313" s="47"/>
      <c r="Q2313" s="47"/>
      <c r="R2313" s="48" t="s">
        <v>1976</v>
      </c>
    </row>
    <row r="2314">
      <c r="B2314" s="45"/>
      <c r="N2314" s="46" t="str">
        <f>IFERROR(__xludf.DUMMYFUNCTION("""COMPUTED_VALUE"""),"")</f>
        <v/>
      </c>
      <c r="O2314" s="46" t="s">
        <v>1976</v>
      </c>
      <c r="P2314" s="47"/>
      <c r="Q2314" s="47"/>
      <c r="R2314" s="48" t="s">
        <v>1976</v>
      </c>
    </row>
    <row r="2315">
      <c r="B2315" s="45"/>
      <c r="N2315" s="46" t="str">
        <f>IFERROR(__xludf.DUMMYFUNCTION("""COMPUTED_VALUE"""),"")</f>
        <v/>
      </c>
      <c r="O2315" s="46" t="s">
        <v>1976</v>
      </c>
      <c r="P2315" s="47"/>
      <c r="Q2315" s="47"/>
      <c r="R2315" s="48" t="s">
        <v>1976</v>
      </c>
    </row>
    <row r="2316">
      <c r="B2316" s="45"/>
      <c r="N2316" s="46" t="str">
        <f>IFERROR(__xludf.DUMMYFUNCTION("""COMPUTED_VALUE"""),"")</f>
        <v/>
      </c>
      <c r="O2316" s="46" t="s">
        <v>1976</v>
      </c>
      <c r="P2316" s="47"/>
      <c r="Q2316" s="47"/>
      <c r="R2316" s="48" t="s">
        <v>1976</v>
      </c>
    </row>
    <row r="2317">
      <c r="B2317" s="45"/>
      <c r="N2317" s="46" t="str">
        <f>IFERROR(__xludf.DUMMYFUNCTION("""COMPUTED_VALUE"""),"")</f>
        <v/>
      </c>
      <c r="O2317" s="46" t="s">
        <v>1976</v>
      </c>
      <c r="P2317" s="47"/>
      <c r="Q2317" s="47"/>
      <c r="R2317" s="48" t="s">
        <v>1976</v>
      </c>
    </row>
    <row r="2318">
      <c r="B2318" s="45"/>
      <c r="N2318" s="46" t="str">
        <f>IFERROR(__xludf.DUMMYFUNCTION("""COMPUTED_VALUE"""),"")</f>
        <v/>
      </c>
      <c r="O2318" s="46" t="s">
        <v>1976</v>
      </c>
      <c r="P2318" s="47"/>
      <c r="Q2318" s="47"/>
      <c r="R2318" s="48" t="s">
        <v>1976</v>
      </c>
    </row>
    <row r="2319">
      <c r="B2319" s="45"/>
      <c r="N2319" s="46" t="str">
        <f>IFERROR(__xludf.DUMMYFUNCTION("""COMPUTED_VALUE"""),"")</f>
        <v/>
      </c>
      <c r="O2319" s="46" t="s">
        <v>1976</v>
      </c>
      <c r="P2319" s="47"/>
      <c r="Q2319" s="47"/>
      <c r="R2319" s="48" t="s">
        <v>1976</v>
      </c>
    </row>
    <row r="2320">
      <c r="B2320" s="45"/>
      <c r="N2320" s="46" t="str">
        <f>IFERROR(__xludf.DUMMYFUNCTION("""COMPUTED_VALUE"""),"")</f>
        <v/>
      </c>
      <c r="O2320" s="46" t="s">
        <v>1976</v>
      </c>
      <c r="P2320" s="47"/>
      <c r="Q2320" s="47"/>
      <c r="R2320" s="48" t="s">
        <v>1976</v>
      </c>
    </row>
    <row r="2321">
      <c r="B2321" s="45"/>
      <c r="N2321" s="46" t="str">
        <f>IFERROR(__xludf.DUMMYFUNCTION("""COMPUTED_VALUE"""),"")</f>
        <v/>
      </c>
      <c r="O2321" s="46" t="s">
        <v>1976</v>
      </c>
      <c r="P2321" s="47"/>
      <c r="Q2321" s="47"/>
      <c r="R2321" s="48" t="s">
        <v>1976</v>
      </c>
    </row>
    <row r="2322">
      <c r="B2322" s="45"/>
      <c r="N2322" s="46" t="str">
        <f>IFERROR(__xludf.DUMMYFUNCTION("""COMPUTED_VALUE"""),"")</f>
        <v/>
      </c>
      <c r="O2322" s="46" t="s">
        <v>1976</v>
      </c>
      <c r="P2322" s="47"/>
      <c r="Q2322" s="47"/>
      <c r="R2322" s="48" t="s">
        <v>1976</v>
      </c>
    </row>
    <row r="2323">
      <c r="B2323" s="45"/>
      <c r="N2323" s="46" t="str">
        <f>IFERROR(__xludf.DUMMYFUNCTION("""COMPUTED_VALUE"""),"")</f>
        <v/>
      </c>
      <c r="O2323" s="46" t="s">
        <v>1976</v>
      </c>
      <c r="P2323" s="47"/>
      <c r="Q2323" s="47"/>
      <c r="R2323" s="48" t="s">
        <v>1976</v>
      </c>
    </row>
    <row r="2324">
      <c r="B2324" s="45"/>
      <c r="N2324" s="46" t="str">
        <f>IFERROR(__xludf.DUMMYFUNCTION("""COMPUTED_VALUE"""),"")</f>
        <v/>
      </c>
      <c r="O2324" s="46" t="s">
        <v>1976</v>
      </c>
      <c r="P2324" s="47"/>
      <c r="Q2324" s="47"/>
      <c r="R2324" s="48" t="s">
        <v>1976</v>
      </c>
    </row>
    <row r="2325">
      <c r="B2325" s="45"/>
      <c r="N2325" s="46" t="str">
        <f>IFERROR(__xludf.DUMMYFUNCTION("""COMPUTED_VALUE"""),"")</f>
        <v/>
      </c>
      <c r="O2325" s="46" t="s">
        <v>1976</v>
      </c>
      <c r="P2325" s="47"/>
      <c r="Q2325" s="47"/>
      <c r="R2325" s="48" t="s">
        <v>1976</v>
      </c>
    </row>
    <row r="2326">
      <c r="B2326" s="45"/>
      <c r="N2326" s="46" t="str">
        <f>IFERROR(__xludf.DUMMYFUNCTION("""COMPUTED_VALUE"""),"")</f>
        <v/>
      </c>
      <c r="O2326" s="46" t="s">
        <v>1976</v>
      </c>
      <c r="P2326" s="47"/>
      <c r="Q2326" s="47"/>
      <c r="R2326" s="48" t="s">
        <v>1976</v>
      </c>
    </row>
    <row r="2327">
      <c r="B2327" s="45"/>
      <c r="N2327" s="46" t="str">
        <f>IFERROR(__xludf.DUMMYFUNCTION("""COMPUTED_VALUE"""),"")</f>
        <v/>
      </c>
      <c r="O2327" s="46" t="s">
        <v>1976</v>
      </c>
      <c r="P2327" s="47"/>
      <c r="Q2327" s="47"/>
      <c r="R2327" s="48" t="s">
        <v>1976</v>
      </c>
    </row>
    <row r="2328">
      <c r="B2328" s="45"/>
      <c r="N2328" s="46" t="str">
        <f>IFERROR(__xludf.DUMMYFUNCTION("""COMPUTED_VALUE"""),"")</f>
        <v/>
      </c>
      <c r="O2328" s="46" t="s">
        <v>1976</v>
      </c>
      <c r="P2328" s="47"/>
      <c r="Q2328" s="47"/>
      <c r="R2328" s="48" t="s">
        <v>1976</v>
      </c>
    </row>
    <row r="2329">
      <c r="B2329" s="45"/>
      <c r="N2329" s="46" t="str">
        <f>IFERROR(__xludf.DUMMYFUNCTION("""COMPUTED_VALUE"""),"")</f>
        <v/>
      </c>
      <c r="O2329" s="46" t="s">
        <v>1976</v>
      </c>
      <c r="P2329" s="47"/>
      <c r="Q2329" s="47"/>
      <c r="R2329" s="48" t="s">
        <v>1976</v>
      </c>
    </row>
    <row r="2330">
      <c r="B2330" s="45"/>
      <c r="N2330" s="46" t="str">
        <f>IFERROR(__xludf.DUMMYFUNCTION("""COMPUTED_VALUE"""),"")</f>
        <v/>
      </c>
      <c r="O2330" s="46" t="s">
        <v>1976</v>
      </c>
      <c r="P2330" s="47"/>
      <c r="Q2330" s="47"/>
      <c r="R2330" s="48" t="s">
        <v>1976</v>
      </c>
    </row>
    <row r="2331">
      <c r="B2331" s="45"/>
      <c r="N2331" s="46" t="str">
        <f>IFERROR(__xludf.DUMMYFUNCTION("""COMPUTED_VALUE"""),"")</f>
        <v/>
      </c>
      <c r="O2331" s="46" t="s">
        <v>1976</v>
      </c>
      <c r="P2331" s="47"/>
      <c r="Q2331" s="47"/>
      <c r="R2331" s="48" t="s">
        <v>1976</v>
      </c>
    </row>
    <row r="2332">
      <c r="B2332" s="45"/>
      <c r="N2332" s="46" t="str">
        <f>IFERROR(__xludf.DUMMYFUNCTION("""COMPUTED_VALUE"""),"")</f>
        <v/>
      </c>
      <c r="O2332" s="46" t="s">
        <v>1976</v>
      </c>
      <c r="P2332" s="47"/>
      <c r="Q2332" s="47"/>
      <c r="R2332" s="48" t="s">
        <v>1976</v>
      </c>
    </row>
    <row r="2333">
      <c r="B2333" s="45"/>
      <c r="N2333" s="46" t="str">
        <f>IFERROR(__xludf.DUMMYFUNCTION("""COMPUTED_VALUE"""),"")</f>
        <v/>
      </c>
      <c r="O2333" s="46" t="s">
        <v>1976</v>
      </c>
      <c r="P2333" s="47"/>
      <c r="Q2333" s="47"/>
      <c r="R2333" s="48" t="s">
        <v>1976</v>
      </c>
    </row>
    <row r="2334">
      <c r="B2334" s="45"/>
      <c r="N2334" s="46" t="str">
        <f>IFERROR(__xludf.DUMMYFUNCTION("""COMPUTED_VALUE"""),"")</f>
        <v/>
      </c>
      <c r="O2334" s="46" t="s">
        <v>1976</v>
      </c>
      <c r="P2334" s="47"/>
      <c r="Q2334" s="47"/>
      <c r="R2334" s="48" t="s">
        <v>1976</v>
      </c>
    </row>
    <row r="2335">
      <c r="B2335" s="45"/>
      <c r="N2335" s="46" t="str">
        <f>IFERROR(__xludf.DUMMYFUNCTION("""COMPUTED_VALUE"""),"")</f>
        <v/>
      </c>
      <c r="O2335" s="46" t="s">
        <v>1976</v>
      </c>
      <c r="P2335" s="47"/>
      <c r="Q2335" s="47"/>
      <c r="R2335" s="48" t="s">
        <v>1976</v>
      </c>
    </row>
    <row r="2336">
      <c r="B2336" s="45"/>
      <c r="N2336" s="46" t="str">
        <f>IFERROR(__xludf.DUMMYFUNCTION("""COMPUTED_VALUE"""),"")</f>
        <v/>
      </c>
      <c r="O2336" s="46" t="s">
        <v>1976</v>
      </c>
      <c r="P2336" s="47"/>
      <c r="Q2336" s="47"/>
      <c r="R2336" s="48" t="s">
        <v>1976</v>
      </c>
    </row>
    <row r="2337">
      <c r="B2337" s="45"/>
      <c r="N2337" s="46" t="str">
        <f>IFERROR(__xludf.DUMMYFUNCTION("""COMPUTED_VALUE"""),"")</f>
        <v/>
      </c>
      <c r="O2337" s="46" t="s">
        <v>1976</v>
      </c>
      <c r="P2337" s="47"/>
      <c r="Q2337" s="47"/>
      <c r="R2337" s="48" t="s">
        <v>1976</v>
      </c>
    </row>
    <row r="2338">
      <c r="B2338" s="45"/>
      <c r="N2338" s="46" t="str">
        <f>IFERROR(__xludf.DUMMYFUNCTION("""COMPUTED_VALUE"""),"")</f>
        <v/>
      </c>
      <c r="O2338" s="46" t="s">
        <v>1976</v>
      </c>
      <c r="P2338" s="47"/>
      <c r="Q2338" s="47"/>
      <c r="R2338" s="48" t="s">
        <v>1976</v>
      </c>
    </row>
    <row r="2339">
      <c r="B2339" s="45"/>
      <c r="N2339" s="46" t="str">
        <f>IFERROR(__xludf.DUMMYFUNCTION("""COMPUTED_VALUE"""),"")</f>
        <v/>
      </c>
      <c r="O2339" s="46" t="s">
        <v>1976</v>
      </c>
      <c r="P2339" s="47"/>
      <c r="Q2339" s="47"/>
      <c r="R2339" s="48" t="s">
        <v>1976</v>
      </c>
    </row>
    <row r="2340">
      <c r="B2340" s="45"/>
      <c r="N2340" s="46" t="str">
        <f>IFERROR(__xludf.DUMMYFUNCTION("""COMPUTED_VALUE"""),"")</f>
        <v/>
      </c>
      <c r="O2340" s="46" t="s">
        <v>1976</v>
      </c>
      <c r="P2340" s="47"/>
      <c r="Q2340" s="47"/>
      <c r="R2340" s="48" t="s">
        <v>1976</v>
      </c>
    </row>
    <row r="2341">
      <c r="B2341" s="45"/>
      <c r="N2341" s="46" t="str">
        <f>IFERROR(__xludf.DUMMYFUNCTION("""COMPUTED_VALUE"""),"")</f>
        <v/>
      </c>
      <c r="O2341" s="46" t="s">
        <v>1976</v>
      </c>
      <c r="P2341" s="47"/>
      <c r="Q2341" s="47"/>
      <c r="R2341" s="48" t="s">
        <v>1976</v>
      </c>
    </row>
    <row r="2342">
      <c r="B2342" s="45"/>
      <c r="N2342" s="46" t="str">
        <f>IFERROR(__xludf.DUMMYFUNCTION("""COMPUTED_VALUE"""),"")</f>
        <v/>
      </c>
      <c r="O2342" s="46" t="s">
        <v>1976</v>
      </c>
      <c r="P2342" s="47"/>
      <c r="Q2342" s="47"/>
      <c r="R2342" s="48" t="s">
        <v>1976</v>
      </c>
    </row>
    <row r="2343">
      <c r="B2343" s="45"/>
      <c r="N2343" s="46" t="str">
        <f>IFERROR(__xludf.DUMMYFUNCTION("""COMPUTED_VALUE"""),"")</f>
        <v/>
      </c>
      <c r="O2343" s="46" t="s">
        <v>1976</v>
      </c>
      <c r="P2343" s="47"/>
      <c r="Q2343" s="47"/>
      <c r="R2343" s="48" t="s">
        <v>1976</v>
      </c>
    </row>
    <row r="2344">
      <c r="B2344" s="45"/>
      <c r="N2344" s="46" t="str">
        <f>IFERROR(__xludf.DUMMYFUNCTION("""COMPUTED_VALUE"""),"")</f>
        <v/>
      </c>
      <c r="O2344" s="46" t="s">
        <v>1976</v>
      </c>
      <c r="P2344" s="47"/>
      <c r="Q2344" s="47"/>
      <c r="R2344" s="48" t="s">
        <v>1976</v>
      </c>
    </row>
    <row r="2345">
      <c r="B2345" s="45"/>
      <c r="N2345" s="46" t="str">
        <f>IFERROR(__xludf.DUMMYFUNCTION("""COMPUTED_VALUE"""),"")</f>
        <v/>
      </c>
      <c r="O2345" s="46" t="s">
        <v>1976</v>
      </c>
      <c r="P2345" s="47"/>
      <c r="Q2345" s="47"/>
      <c r="R2345" s="48" t="s">
        <v>1976</v>
      </c>
    </row>
    <row r="2346">
      <c r="B2346" s="45"/>
      <c r="N2346" s="46" t="str">
        <f>IFERROR(__xludf.DUMMYFUNCTION("""COMPUTED_VALUE"""),"")</f>
        <v/>
      </c>
      <c r="O2346" s="46" t="s">
        <v>1976</v>
      </c>
      <c r="P2346" s="47"/>
      <c r="Q2346" s="47"/>
      <c r="R2346" s="48" t="s">
        <v>1976</v>
      </c>
    </row>
    <row r="2347">
      <c r="B2347" s="45"/>
      <c r="N2347" s="46" t="str">
        <f>IFERROR(__xludf.DUMMYFUNCTION("""COMPUTED_VALUE"""),"")</f>
        <v/>
      </c>
      <c r="O2347" s="46" t="s">
        <v>1976</v>
      </c>
      <c r="P2347" s="47"/>
      <c r="Q2347" s="47"/>
      <c r="R2347" s="48" t="s">
        <v>1976</v>
      </c>
    </row>
    <row r="2348">
      <c r="B2348" s="45"/>
      <c r="N2348" s="46" t="str">
        <f>IFERROR(__xludf.DUMMYFUNCTION("""COMPUTED_VALUE"""),"")</f>
        <v/>
      </c>
      <c r="O2348" s="46" t="s">
        <v>1976</v>
      </c>
      <c r="P2348" s="47"/>
      <c r="Q2348" s="47"/>
      <c r="R2348" s="48" t="s">
        <v>1976</v>
      </c>
    </row>
    <row r="2349">
      <c r="B2349" s="45"/>
      <c r="N2349" s="46" t="str">
        <f>IFERROR(__xludf.DUMMYFUNCTION("""COMPUTED_VALUE"""),"")</f>
        <v/>
      </c>
      <c r="O2349" s="46" t="s">
        <v>1976</v>
      </c>
      <c r="P2349" s="47"/>
      <c r="Q2349" s="47"/>
      <c r="R2349" s="48" t="s">
        <v>1976</v>
      </c>
    </row>
    <row r="2350">
      <c r="B2350" s="45"/>
      <c r="N2350" s="46" t="str">
        <f>IFERROR(__xludf.DUMMYFUNCTION("""COMPUTED_VALUE"""),"")</f>
        <v/>
      </c>
      <c r="O2350" s="46" t="s">
        <v>1976</v>
      </c>
      <c r="P2350" s="47"/>
      <c r="Q2350" s="47"/>
      <c r="R2350" s="48" t="s">
        <v>1976</v>
      </c>
    </row>
    <row r="2351">
      <c r="B2351" s="45"/>
      <c r="N2351" s="46" t="str">
        <f>IFERROR(__xludf.DUMMYFUNCTION("""COMPUTED_VALUE"""),"")</f>
        <v/>
      </c>
      <c r="O2351" s="46" t="s">
        <v>1976</v>
      </c>
      <c r="P2351" s="47"/>
      <c r="Q2351" s="47"/>
      <c r="R2351" s="48" t="s">
        <v>1976</v>
      </c>
    </row>
    <row r="2352">
      <c r="B2352" s="45"/>
      <c r="N2352" s="46" t="str">
        <f>IFERROR(__xludf.DUMMYFUNCTION("""COMPUTED_VALUE"""),"")</f>
        <v/>
      </c>
      <c r="O2352" s="46" t="s">
        <v>1976</v>
      </c>
      <c r="P2352" s="47"/>
      <c r="Q2352" s="47"/>
      <c r="R2352" s="48" t="s">
        <v>1976</v>
      </c>
    </row>
    <row r="2353">
      <c r="B2353" s="45"/>
      <c r="N2353" s="46" t="str">
        <f>IFERROR(__xludf.DUMMYFUNCTION("""COMPUTED_VALUE"""),"")</f>
        <v/>
      </c>
      <c r="O2353" s="46" t="s">
        <v>1976</v>
      </c>
      <c r="P2353" s="47"/>
      <c r="Q2353" s="47"/>
      <c r="R2353" s="48" t="s">
        <v>1976</v>
      </c>
    </row>
    <row r="2354">
      <c r="B2354" s="45"/>
      <c r="N2354" s="46" t="str">
        <f>IFERROR(__xludf.DUMMYFUNCTION("""COMPUTED_VALUE"""),"")</f>
        <v/>
      </c>
      <c r="O2354" s="46" t="s">
        <v>1976</v>
      </c>
      <c r="P2354" s="47"/>
      <c r="Q2354" s="47"/>
      <c r="R2354" s="48" t="s">
        <v>1976</v>
      </c>
    </row>
    <row r="2355">
      <c r="B2355" s="45"/>
      <c r="N2355" s="46" t="str">
        <f>IFERROR(__xludf.DUMMYFUNCTION("""COMPUTED_VALUE"""),"")</f>
        <v/>
      </c>
      <c r="O2355" s="46" t="s">
        <v>1976</v>
      </c>
      <c r="P2355" s="47"/>
      <c r="Q2355" s="47"/>
      <c r="R2355" s="48" t="s">
        <v>1976</v>
      </c>
    </row>
    <row r="2356">
      <c r="B2356" s="45"/>
      <c r="N2356" s="46" t="str">
        <f>IFERROR(__xludf.DUMMYFUNCTION("""COMPUTED_VALUE"""),"")</f>
        <v/>
      </c>
      <c r="O2356" s="46" t="s">
        <v>1976</v>
      </c>
      <c r="P2356" s="47"/>
      <c r="Q2356" s="47"/>
      <c r="R2356" s="48" t="s">
        <v>1976</v>
      </c>
    </row>
    <row r="2357">
      <c r="B2357" s="45"/>
      <c r="N2357" s="46" t="str">
        <f>IFERROR(__xludf.DUMMYFUNCTION("""COMPUTED_VALUE"""),"")</f>
        <v/>
      </c>
      <c r="O2357" s="46" t="s">
        <v>1976</v>
      </c>
      <c r="P2357" s="47"/>
      <c r="Q2357" s="47"/>
      <c r="R2357" s="48" t="s">
        <v>1976</v>
      </c>
    </row>
    <row r="2358">
      <c r="B2358" s="45"/>
      <c r="N2358" s="46" t="str">
        <f>IFERROR(__xludf.DUMMYFUNCTION("""COMPUTED_VALUE"""),"")</f>
        <v/>
      </c>
      <c r="O2358" s="46" t="s">
        <v>1976</v>
      </c>
      <c r="P2358" s="47"/>
      <c r="Q2358" s="47"/>
      <c r="R2358" s="48" t="s">
        <v>1976</v>
      </c>
    </row>
    <row r="2359">
      <c r="B2359" s="45"/>
      <c r="N2359" s="46" t="str">
        <f>IFERROR(__xludf.DUMMYFUNCTION("""COMPUTED_VALUE"""),"")</f>
        <v/>
      </c>
      <c r="O2359" s="46" t="s">
        <v>1976</v>
      </c>
      <c r="P2359" s="47"/>
      <c r="Q2359" s="47"/>
      <c r="R2359" s="48" t="s">
        <v>1976</v>
      </c>
    </row>
    <row r="2360">
      <c r="B2360" s="45"/>
      <c r="N2360" s="46" t="str">
        <f>IFERROR(__xludf.DUMMYFUNCTION("""COMPUTED_VALUE"""),"")</f>
        <v/>
      </c>
      <c r="O2360" s="46" t="s">
        <v>1976</v>
      </c>
      <c r="P2360" s="47"/>
      <c r="Q2360" s="47"/>
      <c r="R2360" s="48" t="s">
        <v>1976</v>
      </c>
    </row>
    <row r="2361">
      <c r="B2361" s="45"/>
      <c r="N2361" s="46" t="str">
        <f>IFERROR(__xludf.DUMMYFUNCTION("""COMPUTED_VALUE"""),"")</f>
        <v/>
      </c>
      <c r="O2361" s="46" t="s">
        <v>1976</v>
      </c>
      <c r="P2361" s="47"/>
      <c r="Q2361" s="47"/>
      <c r="R2361" s="48" t="s">
        <v>1976</v>
      </c>
    </row>
    <row r="2362">
      <c r="B2362" s="45"/>
      <c r="N2362" s="46" t="str">
        <f>IFERROR(__xludf.DUMMYFUNCTION("""COMPUTED_VALUE"""),"")</f>
        <v/>
      </c>
      <c r="O2362" s="46" t="s">
        <v>1976</v>
      </c>
      <c r="P2362" s="47"/>
      <c r="Q2362" s="47"/>
      <c r="R2362" s="48" t="s">
        <v>1976</v>
      </c>
    </row>
    <row r="2363">
      <c r="B2363" s="45"/>
      <c r="N2363" s="46" t="str">
        <f>IFERROR(__xludf.DUMMYFUNCTION("""COMPUTED_VALUE"""),"")</f>
        <v/>
      </c>
      <c r="O2363" s="46" t="s">
        <v>1976</v>
      </c>
      <c r="P2363" s="47"/>
      <c r="Q2363" s="47"/>
      <c r="R2363" s="48" t="s">
        <v>1976</v>
      </c>
    </row>
    <row r="2364">
      <c r="B2364" s="45"/>
      <c r="N2364" s="46" t="str">
        <f>IFERROR(__xludf.DUMMYFUNCTION("""COMPUTED_VALUE"""),"")</f>
        <v/>
      </c>
      <c r="O2364" s="46" t="s">
        <v>1976</v>
      </c>
      <c r="P2364" s="47"/>
      <c r="Q2364" s="47"/>
      <c r="R2364" s="48" t="s">
        <v>1976</v>
      </c>
    </row>
    <row r="2365">
      <c r="B2365" s="45"/>
      <c r="N2365" s="46" t="str">
        <f>IFERROR(__xludf.DUMMYFUNCTION("""COMPUTED_VALUE"""),"")</f>
        <v/>
      </c>
      <c r="O2365" s="46" t="s">
        <v>1976</v>
      </c>
      <c r="P2365" s="47"/>
      <c r="Q2365" s="47"/>
      <c r="R2365" s="48" t="s">
        <v>1976</v>
      </c>
    </row>
    <row r="2366">
      <c r="B2366" s="45"/>
      <c r="N2366" s="46" t="str">
        <f>IFERROR(__xludf.DUMMYFUNCTION("""COMPUTED_VALUE"""),"")</f>
        <v/>
      </c>
      <c r="O2366" s="46" t="s">
        <v>1976</v>
      </c>
      <c r="P2366" s="47"/>
      <c r="Q2366" s="47"/>
      <c r="R2366" s="48" t="s">
        <v>1976</v>
      </c>
    </row>
    <row r="2367">
      <c r="B2367" s="45"/>
      <c r="N2367" s="46" t="str">
        <f>IFERROR(__xludf.DUMMYFUNCTION("""COMPUTED_VALUE"""),"")</f>
        <v/>
      </c>
      <c r="O2367" s="46" t="s">
        <v>1976</v>
      </c>
      <c r="P2367" s="47"/>
      <c r="Q2367" s="47"/>
      <c r="R2367" s="48" t="s">
        <v>1976</v>
      </c>
    </row>
    <row r="2368">
      <c r="B2368" s="45"/>
      <c r="N2368" s="46" t="str">
        <f>IFERROR(__xludf.DUMMYFUNCTION("""COMPUTED_VALUE"""),"")</f>
        <v/>
      </c>
      <c r="O2368" s="46" t="s">
        <v>1976</v>
      </c>
      <c r="P2368" s="47"/>
      <c r="Q2368" s="47"/>
      <c r="R2368" s="48" t="s">
        <v>1976</v>
      </c>
    </row>
    <row r="2369">
      <c r="B2369" s="45"/>
      <c r="N2369" s="46" t="str">
        <f>IFERROR(__xludf.DUMMYFUNCTION("""COMPUTED_VALUE"""),"")</f>
        <v/>
      </c>
      <c r="O2369" s="46" t="s">
        <v>1976</v>
      </c>
      <c r="P2369" s="47"/>
      <c r="Q2369" s="47"/>
      <c r="R2369" s="48" t="s">
        <v>1976</v>
      </c>
    </row>
    <row r="2370">
      <c r="B2370" s="45"/>
      <c r="N2370" s="46" t="str">
        <f>IFERROR(__xludf.DUMMYFUNCTION("""COMPUTED_VALUE"""),"")</f>
        <v/>
      </c>
      <c r="O2370" s="46" t="s">
        <v>1976</v>
      </c>
      <c r="P2370" s="47"/>
      <c r="Q2370" s="47"/>
      <c r="R2370" s="48" t="s">
        <v>1976</v>
      </c>
    </row>
    <row r="2371">
      <c r="B2371" s="45"/>
      <c r="N2371" s="46" t="str">
        <f>IFERROR(__xludf.DUMMYFUNCTION("""COMPUTED_VALUE"""),"")</f>
        <v/>
      </c>
      <c r="O2371" s="46" t="s">
        <v>1976</v>
      </c>
      <c r="P2371" s="47"/>
      <c r="Q2371" s="47"/>
      <c r="R2371" s="48" t="s">
        <v>1976</v>
      </c>
    </row>
    <row r="2372">
      <c r="B2372" s="45"/>
      <c r="N2372" s="46" t="str">
        <f>IFERROR(__xludf.DUMMYFUNCTION("""COMPUTED_VALUE"""),"")</f>
        <v/>
      </c>
      <c r="O2372" s="46" t="s">
        <v>1976</v>
      </c>
      <c r="P2372" s="47"/>
      <c r="Q2372" s="47"/>
      <c r="R2372" s="48" t="s">
        <v>1976</v>
      </c>
    </row>
    <row r="2373">
      <c r="B2373" s="45"/>
      <c r="N2373" s="46" t="str">
        <f>IFERROR(__xludf.DUMMYFUNCTION("""COMPUTED_VALUE"""),"")</f>
        <v/>
      </c>
      <c r="O2373" s="46" t="s">
        <v>1976</v>
      </c>
      <c r="P2373" s="47"/>
      <c r="Q2373" s="47"/>
      <c r="R2373" s="48" t="s">
        <v>1976</v>
      </c>
    </row>
    <row r="2374">
      <c r="B2374" s="45"/>
      <c r="N2374" s="46" t="str">
        <f>IFERROR(__xludf.DUMMYFUNCTION("""COMPUTED_VALUE"""),"")</f>
        <v/>
      </c>
      <c r="O2374" s="46" t="s">
        <v>1976</v>
      </c>
      <c r="P2374" s="47"/>
      <c r="Q2374" s="47"/>
      <c r="R2374" s="48" t="s">
        <v>1976</v>
      </c>
    </row>
    <row r="2375">
      <c r="B2375" s="45"/>
      <c r="N2375" s="46" t="str">
        <f>IFERROR(__xludf.DUMMYFUNCTION("""COMPUTED_VALUE"""),"")</f>
        <v/>
      </c>
      <c r="O2375" s="46" t="s">
        <v>1976</v>
      </c>
      <c r="P2375" s="47"/>
      <c r="Q2375" s="47"/>
      <c r="R2375" s="48" t="s">
        <v>1976</v>
      </c>
    </row>
    <row r="2376">
      <c r="B2376" s="45"/>
      <c r="N2376" s="46" t="str">
        <f>IFERROR(__xludf.DUMMYFUNCTION("""COMPUTED_VALUE"""),"")</f>
        <v/>
      </c>
      <c r="O2376" s="46" t="s">
        <v>1976</v>
      </c>
      <c r="P2376" s="47"/>
      <c r="Q2376" s="47"/>
      <c r="R2376" s="48" t="s">
        <v>1976</v>
      </c>
    </row>
    <row r="2377">
      <c r="B2377" s="45"/>
      <c r="N2377" s="46" t="str">
        <f>IFERROR(__xludf.DUMMYFUNCTION("""COMPUTED_VALUE"""),"")</f>
        <v/>
      </c>
      <c r="O2377" s="46" t="s">
        <v>1976</v>
      </c>
      <c r="P2377" s="47"/>
      <c r="Q2377" s="47"/>
      <c r="R2377" s="48" t="s">
        <v>1976</v>
      </c>
    </row>
    <row r="2378">
      <c r="B2378" s="45"/>
      <c r="N2378" s="46" t="str">
        <f>IFERROR(__xludf.DUMMYFUNCTION("""COMPUTED_VALUE"""),"")</f>
        <v/>
      </c>
      <c r="O2378" s="46" t="s">
        <v>1976</v>
      </c>
      <c r="P2378" s="47"/>
      <c r="Q2378" s="47"/>
      <c r="R2378" s="48" t="s">
        <v>1976</v>
      </c>
    </row>
    <row r="2379">
      <c r="B2379" s="45"/>
      <c r="N2379" s="46" t="str">
        <f>IFERROR(__xludf.DUMMYFUNCTION("""COMPUTED_VALUE"""),"")</f>
        <v/>
      </c>
      <c r="O2379" s="46" t="s">
        <v>1976</v>
      </c>
      <c r="P2379" s="47"/>
      <c r="Q2379" s="47"/>
      <c r="R2379" s="48" t="s">
        <v>1976</v>
      </c>
    </row>
    <row r="2380">
      <c r="B2380" s="45"/>
      <c r="N2380" s="46" t="str">
        <f>IFERROR(__xludf.DUMMYFUNCTION("""COMPUTED_VALUE"""),"")</f>
        <v/>
      </c>
      <c r="O2380" s="46" t="s">
        <v>1976</v>
      </c>
      <c r="P2380" s="47"/>
      <c r="Q2380" s="47"/>
      <c r="R2380" s="48" t="s">
        <v>1976</v>
      </c>
    </row>
    <row r="2381">
      <c r="B2381" s="45"/>
      <c r="N2381" s="46" t="str">
        <f>IFERROR(__xludf.DUMMYFUNCTION("""COMPUTED_VALUE"""),"")</f>
        <v/>
      </c>
      <c r="O2381" s="46" t="s">
        <v>1976</v>
      </c>
      <c r="P2381" s="47"/>
      <c r="Q2381" s="47"/>
      <c r="R2381" s="48" t="s">
        <v>1976</v>
      </c>
    </row>
    <row r="2382">
      <c r="B2382" s="45"/>
      <c r="N2382" s="46" t="str">
        <f>IFERROR(__xludf.DUMMYFUNCTION("""COMPUTED_VALUE"""),"")</f>
        <v/>
      </c>
      <c r="O2382" s="46" t="s">
        <v>1976</v>
      </c>
      <c r="P2382" s="47"/>
      <c r="Q2382" s="47"/>
      <c r="R2382" s="48" t="s">
        <v>1976</v>
      </c>
    </row>
    <row r="2383">
      <c r="B2383" s="45"/>
      <c r="N2383" s="46" t="str">
        <f>IFERROR(__xludf.DUMMYFUNCTION("""COMPUTED_VALUE"""),"")</f>
        <v/>
      </c>
      <c r="O2383" s="46" t="s">
        <v>1976</v>
      </c>
      <c r="P2383" s="47"/>
      <c r="Q2383" s="47"/>
      <c r="R2383" s="48" t="s">
        <v>1976</v>
      </c>
    </row>
    <row r="2384">
      <c r="B2384" s="45"/>
      <c r="N2384" s="46" t="str">
        <f>IFERROR(__xludf.DUMMYFUNCTION("""COMPUTED_VALUE"""),"")</f>
        <v/>
      </c>
      <c r="O2384" s="46" t="s">
        <v>1976</v>
      </c>
      <c r="P2384" s="47"/>
      <c r="Q2384" s="47"/>
      <c r="R2384" s="48" t="s">
        <v>1976</v>
      </c>
    </row>
    <row r="2385">
      <c r="B2385" s="45"/>
      <c r="N2385" s="46" t="str">
        <f>IFERROR(__xludf.DUMMYFUNCTION("""COMPUTED_VALUE"""),"")</f>
        <v/>
      </c>
      <c r="O2385" s="46" t="s">
        <v>1976</v>
      </c>
      <c r="P2385" s="47"/>
      <c r="Q2385" s="47"/>
      <c r="R2385" s="48" t="s">
        <v>1976</v>
      </c>
    </row>
    <row r="2386">
      <c r="B2386" s="45"/>
      <c r="N2386" s="46" t="str">
        <f>IFERROR(__xludf.DUMMYFUNCTION("""COMPUTED_VALUE"""),"")</f>
        <v/>
      </c>
      <c r="O2386" s="46" t="s">
        <v>1976</v>
      </c>
      <c r="P2386" s="47"/>
      <c r="Q2386" s="47"/>
      <c r="R2386" s="48" t="s">
        <v>1976</v>
      </c>
    </row>
    <row r="2387">
      <c r="B2387" s="45"/>
      <c r="N2387" s="46" t="str">
        <f>IFERROR(__xludf.DUMMYFUNCTION("""COMPUTED_VALUE"""),"")</f>
        <v/>
      </c>
      <c r="O2387" s="46" t="s">
        <v>1976</v>
      </c>
      <c r="P2387" s="47"/>
      <c r="Q2387" s="47"/>
      <c r="R2387" s="48" t="s">
        <v>1976</v>
      </c>
    </row>
    <row r="2388">
      <c r="B2388" s="45"/>
      <c r="N2388" s="46" t="str">
        <f>IFERROR(__xludf.DUMMYFUNCTION("""COMPUTED_VALUE"""),"")</f>
        <v/>
      </c>
      <c r="O2388" s="46" t="s">
        <v>1976</v>
      </c>
      <c r="P2388" s="47"/>
      <c r="Q2388" s="47"/>
      <c r="R2388" s="48" t="s">
        <v>1976</v>
      </c>
    </row>
    <row r="2389">
      <c r="B2389" s="45"/>
      <c r="N2389" s="46" t="str">
        <f>IFERROR(__xludf.DUMMYFUNCTION("""COMPUTED_VALUE"""),"")</f>
        <v/>
      </c>
      <c r="O2389" s="46" t="s">
        <v>1976</v>
      </c>
      <c r="P2389" s="47"/>
      <c r="Q2389" s="47"/>
      <c r="R2389" s="48" t="s">
        <v>1976</v>
      </c>
    </row>
    <row r="2390">
      <c r="B2390" s="45"/>
      <c r="N2390" s="46" t="str">
        <f>IFERROR(__xludf.DUMMYFUNCTION("""COMPUTED_VALUE"""),"")</f>
        <v/>
      </c>
      <c r="O2390" s="46" t="s">
        <v>1976</v>
      </c>
      <c r="P2390" s="47"/>
      <c r="Q2390" s="47"/>
      <c r="R2390" s="48" t="s">
        <v>1976</v>
      </c>
    </row>
    <row r="2391">
      <c r="B2391" s="45"/>
      <c r="N2391" s="46" t="str">
        <f>IFERROR(__xludf.DUMMYFUNCTION("""COMPUTED_VALUE"""),"")</f>
        <v/>
      </c>
      <c r="O2391" s="46" t="s">
        <v>1976</v>
      </c>
      <c r="P2391" s="47"/>
      <c r="Q2391" s="47"/>
      <c r="R2391" s="48" t="s">
        <v>1976</v>
      </c>
    </row>
    <row r="2392">
      <c r="B2392" s="45"/>
      <c r="N2392" s="46" t="str">
        <f>IFERROR(__xludf.DUMMYFUNCTION("""COMPUTED_VALUE"""),"")</f>
        <v/>
      </c>
      <c r="O2392" s="46" t="s">
        <v>1976</v>
      </c>
      <c r="P2392" s="47"/>
      <c r="Q2392" s="47"/>
      <c r="R2392" s="48" t="s">
        <v>1976</v>
      </c>
    </row>
    <row r="2393">
      <c r="B2393" s="45"/>
      <c r="N2393" s="46" t="str">
        <f>IFERROR(__xludf.DUMMYFUNCTION("""COMPUTED_VALUE"""),"")</f>
        <v/>
      </c>
      <c r="O2393" s="46" t="s">
        <v>1976</v>
      </c>
      <c r="P2393" s="47"/>
      <c r="Q2393" s="47"/>
      <c r="R2393" s="48" t="s">
        <v>1976</v>
      </c>
    </row>
    <row r="2394">
      <c r="B2394" s="45"/>
      <c r="N2394" s="46" t="str">
        <f>IFERROR(__xludf.DUMMYFUNCTION("""COMPUTED_VALUE"""),"")</f>
        <v/>
      </c>
      <c r="O2394" s="46" t="s">
        <v>1976</v>
      </c>
      <c r="P2394" s="47"/>
      <c r="Q2394" s="47"/>
      <c r="R2394" s="48" t="s">
        <v>1976</v>
      </c>
    </row>
    <row r="2395">
      <c r="B2395" s="45"/>
      <c r="N2395" s="46" t="str">
        <f>IFERROR(__xludf.DUMMYFUNCTION("""COMPUTED_VALUE"""),"")</f>
        <v/>
      </c>
      <c r="O2395" s="46" t="s">
        <v>1976</v>
      </c>
      <c r="P2395" s="47"/>
      <c r="Q2395" s="47"/>
      <c r="R2395" s="48" t="s">
        <v>1976</v>
      </c>
    </row>
    <row r="2396">
      <c r="B2396" s="45"/>
      <c r="N2396" s="46" t="str">
        <f>IFERROR(__xludf.DUMMYFUNCTION("""COMPUTED_VALUE"""),"")</f>
        <v/>
      </c>
      <c r="O2396" s="46" t="s">
        <v>1976</v>
      </c>
      <c r="P2396" s="47"/>
      <c r="Q2396" s="47"/>
      <c r="R2396" s="48" t="s">
        <v>1976</v>
      </c>
    </row>
    <row r="2397">
      <c r="B2397" s="45"/>
      <c r="N2397" s="46" t="str">
        <f>IFERROR(__xludf.DUMMYFUNCTION("""COMPUTED_VALUE"""),"")</f>
        <v/>
      </c>
      <c r="O2397" s="46" t="s">
        <v>1976</v>
      </c>
      <c r="P2397" s="47"/>
      <c r="Q2397" s="47"/>
      <c r="R2397" s="48" t="s">
        <v>1976</v>
      </c>
    </row>
    <row r="2398">
      <c r="B2398" s="45"/>
      <c r="N2398" s="46" t="str">
        <f>IFERROR(__xludf.DUMMYFUNCTION("""COMPUTED_VALUE"""),"")</f>
        <v/>
      </c>
      <c r="O2398" s="46" t="s">
        <v>1976</v>
      </c>
      <c r="P2398" s="47"/>
      <c r="Q2398" s="47"/>
      <c r="R2398" s="48" t="s">
        <v>1976</v>
      </c>
    </row>
    <row r="2399">
      <c r="B2399" s="45"/>
      <c r="N2399" s="46" t="str">
        <f>IFERROR(__xludf.DUMMYFUNCTION("""COMPUTED_VALUE"""),"")</f>
        <v/>
      </c>
      <c r="O2399" s="46" t="s">
        <v>1976</v>
      </c>
      <c r="P2399" s="47"/>
      <c r="Q2399" s="47"/>
      <c r="R2399" s="48" t="s">
        <v>1976</v>
      </c>
    </row>
    <row r="2400">
      <c r="B2400" s="45"/>
      <c r="N2400" s="46" t="str">
        <f>IFERROR(__xludf.DUMMYFUNCTION("""COMPUTED_VALUE"""),"")</f>
        <v/>
      </c>
      <c r="O2400" s="46" t="s">
        <v>1976</v>
      </c>
      <c r="P2400" s="47"/>
      <c r="Q2400" s="47"/>
      <c r="R2400" s="48" t="s">
        <v>1976</v>
      </c>
    </row>
    <row r="2401">
      <c r="B2401" s="45"/>
      <c r="N2401" s="46" t="str">
        <f>IFERROR(__xludf.DUMMYFUNCTION("""COMPUTED_VALUE"""),"")</f>
        <v/>
      </c>
      <c r="O2401" s="46" t="s">
        <v>1976</v>
      </c>
      <c r="P2401" s="47"/>
      <c r="Q2401" s="47"/>
      <c r="R2401" s="48" t="s">
        <v>1976</v>
      </c>
    </row>
    <row r="2402">
      <c r="B2402" s="45"/>
      <c r="N2402" s="46" t="str">
        <f>IFERROR(__xludf.DUMMYFUNCTION("""COMPUTED_VALUE"""),"")</f>
        <v/>
      </c>
      <c r="O2402" s="46" t="s">
        <v>1976</v>
      </c>
      <c r="P2402" s="47"/>
      <c r="Q2402" s="47"/>
      <c r="R2402" s="48" t="s">
        <v>1976</v>
      </c>
    </row>
    <row r="2403">
      <c r="B2403" s="45"/>
      <c r="N2403" s="46" t="str">
        <f>IFERROR(__xludf.DUMMYFUNCTION("""COMPUTED_VALUE"""),"")</f>
        <v/>
      </c>
      <c r="O2403" s="46" t="s">
        <v>1976</v>
      </c>
      <c r="P2403" s="47"/>
      <c r="Q2403" s="47"/>
      <c r="R2403" s="48" t="s">
        <v>1976</v>
      </c>
    </row>
    <row r="2404">
      <c r="B2404" s="45"/>
      <c r="N2404" s="46" t="str">
        <f>IFERROR(__xludf.DUMMYFUNCTION("""COMPUTED_VALUE"""),"")</f>
        <v/>
      </c>
      <c r="O2404" s="46" t="s">
        <v>1976</v>
      </c>
      <c r="P2404" s="47"/>
      <c r="Q2404" s="47"/>
      <c r="R2404" s="48" t="s">
        <v>1976</v>
      </c>
    </row>
    <row r="2405">
      <c r="B2405" s="45"/>
      <c r="N2405" s="46" t="str">
        <f>IFERROR(__xludf.DUMMYFUNCTION("""COMPUTED_VALUE"""),"")</f>
        <v/>
      </c>
      <c r="O2405" s="46" t="s">
        <v>1976</v>
      </c>
      <c r="P2405" s="47"/>
      <c r="Q2405" s="47"/>
      <c r="R2405" s="48" t="s">
        <v>1976</v>
      </c>
    </row>
    <row r="2406">
      <c r="B2406" s="45"/>
      <c r="N2406" s="46" t="str">
        <f>IFERROR(__xludf.DUMMYFUNCTION("""COMPUTED_VALUE"""),"")</f>
        <v/>
      </c>
      <c r="O2406" s="46" t="s">
        <v>1976</v>
      </c>
      <c r="P2406" s="47"/>
      <c r="Q2406" s="47"/>
      <c r="R2406" s="48" t="s">
        <v>1976</v>
      </c>
    </row>
    <row r="2407">
      <c r="B2407" s="45"/>
      <c r="N2407" s="46" t="str">
        <f>IFERROR(__xludf.DUMMYFUNCTION("""COMPUTED_VALUE"""),"")</f>
        <v/>
      </c>
      <c r="O2407" s="46" t="s">
        <v>1976</v>
      </c>
      <c r="P2407" s="47"/>
      <c r="Q2407" s="47"/>
      <c r="R2407" s="48" t="s">
        <v>1976</v>
      </c>
    </row>
    <row r="2408">
      <c r="B2408" s="45"/>
      <c r="N2408" s="46" t="str">
        <f>IFERROR(__xludf.DUMMYFUNCTION("""COMPUTED_VALUE"""),"")</f>
        <v/>
      </c>
      <c r="O2408" s="46" t="s">
        <v>1976</v>
      </c>
      <c r="P2408" s="47"/>
      <c r="Q2408" s="47"/>
      <c r="R2408" s="48" t="s">
        <v>1976</v>
      </c>
    </row>
    <row r="2409">
      <c r="B2409" s="45"/>
      <c r="N2409" s="46" t="str">
        <f>IFERROR(__xludf.DUMMYFUNCTION("""COMPUTED_VALUE"""),"")</f>
        <v/>
      </c>
      <c r="O2409" s="46" t="s">
        <v>1976</v>
      </c>
      <c r="P2409" s="47"/>
      <c r="Q2409" s="47"/>
      <c r="R2409" s="48" t="s">
        <v>1976</v>
      </c>
    </row>
    <row r="2410">
      <c r="B2410" s="45"/>
      <c r="N2410" s="46" t="str">
        <f>IFERROR(__xludf.DUMMYFUNCTION("""COMPUTED_VALUE"""),"")</f>
        <v/>
      </c>
      <c r="O2410" s="46" t="s">
        <v>1976</v>
      </c>
      <c r="P2410" s="47"/>
      <c r="Q2410" s="47"/>
      <c r="R2410" s="48" t="s">
        <v>1976</v>
      </c>
    </row>
    <row r="2411">
      <c r="B2411" s="45"/>
      <c r="N2411" s="46" t="str">
        <f>IFERROR(__xludf.DUMMYFUNCTION("""COMPUTED_VALUE"""),"")</f>
        <v/>
      </c>
      <c r="O2411" s="46" t="s">
        <v>1976</v>
      </c>
      <c r="P2411" s="47"/>
      <c r="Q2411" s="47"/>
      <c r="R2411" s="48" t="s">
        <v>1976</v>
      </c>
    </row>
    <row r="2412">
      <c r="B2412" s="45"/>
      <c r="N2412" s="46" t="str">
        <f>IFERROR(__xludf.DUMMYFUNCTION("""COMPUTED_VALUE"""),"")</f>
        <v/>
      </c>
      <c r="O2412" s="46" t="s">
        <v>1976</v>
      </c>
      <c r="P2412" s="47"/>
      <c r="Q2412" s="47"/>
      <c r="R2412" s="48" t="s">
        <v>1976</v>
      </c>
    </row>
    <row r="2413">
      <c r="B2413" s="45"/>
      <c r="N2413" s="46" t="str">
        <f>IFERROR(__xludf.DUMMYFUNCTION("""COMPUTED_VALUE"""),"")</f>
        <v/>
      </c>
      <c r="O2413" s="46" t="s">
        <v>1976</v>
      </c>
      <c r="P2413" s="47"/>
      <c r="Q2413" s="47"/>
      <c r="R2413" s="48" t="s">
        <v>1976</v>
      </c>
    </row>
    <row r="2414">
      <c r="B2414" s="45"/>
      <c r="N2414" s="46" t="str">
        <f>IFERROR(__xludf.DUMMYFUNCTION("""COMPUTED_VALUE"""),"")</f>
        <v/>
      </c>
      <c r="O2414" s="46" t="s">
        <v>1976</v>
      </c>
      <c r="P2414" s="47"/>
      <c r="Q2414" s="47"/>
      <c r="R2414" s="48" t="s">
        <v>1976</v>
      </c>
    </row>
    <row r="2415">
      <c r="B2415" s="45"/>
      <c r="N2415" s="46" t="str">
        <f>IFERROR(__xludf.DUMMYFUNCTION("""COMPUTED_VALUE"""),"")</f>
        <v/>
      </c>
      <c r="O2415" s="46" t="s">
        <v>1976</v>
      </c>
      <c r="P2415" s="47"/>
      <c r="Q2415" s="47"/>
      <c r="R2415" s="48" t="s">
        <v>1976</v>
      </c>
    </row>
    <row r="2416">
      <c r="B2416" s="45"/>
      <c r="N2416" s="46" t="str">
        <f>IFERROR(__xludf.DUMMYFUNCTION("""COMPUTED_VALUE"""),"")</f>
        <v/>
      </c>
      <c r="O2416" s="46" t="s">
        <v>1976</v>
      </c>
      <c r="P2416" s="47"/>
      <c r="Q2416" s="47"/>
      <c r="R2416" s="48" t="s">
        <v>1976</v>
      </c>
    </row>
    <row r="2417">
      <c r="B2417" s="45"/>
      <c r="N2417" s="46" t="str">
        <f>IFERROR(__xludf.DUMMYFUNCTION("""COMPUTED_VALUE"""),"")</f>
        <v/>
      </c>
      <c r="O2417" s="46" t="s">
        <v>1976</v>
      </c>
      <c r="P2417" s="47"/>
      <c r="Q2417" s="47"/>
      <c r="R2417" s="48" t="s">
        <v>1976</v>
      </c>
    </row>
    <row r="2418">
      <c r="B2418" s="45"/>
      <c r="N2418" s="46" t="str">
        <f>IFERROR(__xludf.DUMMYFUNCTION("""COMPUTED_VALUE"""),"")</f>
        <v/>
      </c>
      <c r="O2418" s="46" t="s">
        <v>1976</v>
      </c>
      <c r="P2418" s="47"/>
      <c r="Q2418" s="47"/>
      <c r="R2418" s="48" t="s">
        <v>1976</v>
      </c>
    </row>
    <row r="2419">
      <c r="B2419" s="45"/>
      <c r="N2419" s="46" t="str">
        <f>IFERROR(__xludf.DUMMYFUNCTION("""COMPUTED_VALUE"""),"")</f>
        <v/>
      </c>
      <c r="O2419" s="46" t="s">
        <v>1976</v>
      </c>
      <c r="P2419" s="47"/>
      <c r="Q2419" s="47"/>
      <c r="R2419" s="48" t="s">
        <v>1976</v>
      </c>
    </row>
    <row r="2420">
      <c r="B2420" s="45"/>
      <c r="N2420" s="46" t="str">
        <f>IFERROR(__xludf.DUMMYFUNCTION("""COMPUTED_VALUE"""),"")</f>
        <v/>
      </c>
      <c r="O2420" s="46" t="s">
        <v>1976</v>
      </c>
      <c r="P2420" s="47"/>
      <c r="Q2420" s="47"/>
      <c r="R2420" s="48" t="s">
        <v>1976</v>
      </c>
    </row>
    <row r="2421">
      <c r="B2421" s="45"/>
      <c r="N2421" s="46" t="str">
        <f>IFERROR(__xludf.DUMMYFUNCTION("""COMPUTED_VALUE"""),"")</f>
        <v/>
      </c>
      <c r="O2421" s="46" t="s">
        <v>1976</v>
      </c>
      <c r="P2421" s="47"/>
      <c r="Q2421" s="47"/>
      <c r="R2421" s="48" t="s">
        <v>1976</v>
      </c>
    </row>
    <row r="2422">
      <c r="B2422" s="45"/>
      <c r="N2422" s="46" t="str">
        <f>IFERROR(__xludf.DUMMYFUNCTION("""COMPUTED_VALUE"""),"")</f>
        <v/>
      </c>
      <c r="O2422" s="46" t="s">
        <v>1976</v>
      </c>
      <c r="P2422" s="47"/>
      <c r="Q2422" s="47"/>
      <c r="R2422" s="48" t="s">
        <v>1976</v>
      </c>
    </row>
    <row r="2423">
      <c r="B2423" s="45"/>
      <c r="N2423" s="46" t="str">
        <f>IFERROR(__xludf.DUMMYFUNCTION("""COMPUTED_VALUE"""),"")</f>
        <v/>
      </c>
      <c r="O2423" s="46" t="s">
        <v>1976</v>
      </c>
      <c r="P2423" s="47"/>
      <c r="Q2423" s="47"/>
      <c r="R2423" s="48" t="s">
        <v>1976</v>
      </c>
    </row>
    <row r="2424">
      <c r="B2424" s="45"/>
      <c r="N2424" s="46" t="str">
        <f>IFERROR(__xludf.DUMMYFUNCTION("""COMPUTED_VALUE"""),"")</f>
        <v/>
      </c>
      <c r="O2424" s="46" t="s">
        <v>1976</v>
      </c>
      <c r="P2424" s="47"/>
      <c r="Q2424" s="47"/>
      <c r="R2424" s="48" t="s">
        <v>1976</v>
      </c>
    </row>
    <row r="2425">
      <c r="B2425" s="45"/>
      <c r="N2425" s="46" t="str">
        <f>IFERROR(__xludf.DUMMYFUNCTION("""COMPUTED_VALUE"""),"")</f>
        <v/>
      </c>
      <c r="O2425" s="46" t="s">
        <v>1976</v>
      </c>
      <c r="P2425" s="47"/>
      <c r="Q2425" s="47"/>
      <c r="R2425" s="48" t="s">
        <v>1976</v>
      </c>
    </row>
    <row r="2426">
      <c r="B2426" s="45"/>
      <c r="N2426" s="46" t="str">
        <f>IFERROR(__xludf.DUMMYFUNCTION("""COMPUTED_VALUE"""),"")</f>
        <v/>
      </c>
      <c r="O2426" s="46" t="s">
        <v>1976</v>
      </c>
      <c r="P2426" s="47"/>
      <c r="Q2426" s="47"/>
      <c r="R2426" s="48" t="s">
        <v>1976</v>
      </c>
    </row>
    <row r="2427">
      <c r="B2427" s="45"/>
      <c r="N2427" s="46" t="str">
        <f>IFERROR(__xludf.DUMMYFUNCTION("""COMPUTED_VALUE"""),"")</f>
        <v/>
      </c>
      <c r="O2427" s="46" t="s">
        <v>1976</v>
      </c>
      <c r="P2427" s="47"/>
      <c r="Q2427" s="47"/>
      <c r="R2427" s="48" t="s">
        <v>1976</v>
      </c>
    </row>
    <row r="2428">
      <c r="B2428" s="45"/>
      <c r="N2428" s="46" t="str">
        <f>IFERROR(__xludf.DUMMYFUNCTION("""COMPUTED_VALUE"""),"")</f>
        <v/>
      </c>
      <c r="O2428" s="46" t="s">
        <v>1976</v>
      </c>
      <c r="P2428" s="47"/>
      <c r="Q2428" s="47"/>
      <c r="R2428" s="48" t="s">
        <v>1976</v>
      </c>
    </row>
    <row r="2429">
      <c r="B2429" s="45"/>
      <c r="N2429" s="46" t="str">
        <f>IFERROR(__xludf.DUMMYFUNCTION("""COMPUTED_VALUE"""),"")</f>
        <v/>
      </c>
      <c r="O2429" s="46" t="s">
        <v>1976</v>
      </c>
      <c r="P2429" s="47"/>
      <c r="Q2429" s="47"/>
      <c r="R2429" s="48" t="s">
        <v>1976</v>
      </c>
    </row>
    <row r="2430">
      <c r="B2430" s="45"/>
      <c r="N2430" s="46" t="str">
        <f>IFERROR(__xludf.DUMMYFUNCTION("""COMPUTED_VALUE"""),"")</f>
        <v/>
      </c>
      <c r="O2430" s="46" t="s">
        <v>1976</v>
      </c>
      <c r="P2430" s="47"/>
      <c r="Q2430" s="47"/>
      <c r="R2430" s="48" t="s">
        <v>1976</v>
      </c>
    </row>
    <row r="2431">
      <c r="B2431" s="45"/>
      <c r="N2431" s="46" t="str">
        <f>IFERROR(__xludf.DUMMYFUNCTION("""COMPUTED_VALUE"""),"")</f>
        <v/>
      </c>
      <c r="O2431" s="46" t="s">
        <v>1976</v>
      </c>
      <c r="P2431" s="47"/>
      <c r="Q2431" s="47"/>
      <c r="R2431" s="48" t="s">
        <v>1976</v>
      </c>
    </row>
    <row r="2432">
      <c r="B2432" s="45"/>
      <c r="N2432" s="46" t="str">
        <f>IFERROR(__xludf.DUMMYFUNCTION("""COMPUTED_VALUE"""),"")</f>
        <v/>
      </c>
      <c r="O2432" s="46" t="s">
        <v>1976</v>
      </c>
      <c r="P2432" s="47"/>
      <c r="Q2432" s="47"/>
      <c r="R2432" s="48" t="s">
        <v>1976</v>
      </c>
    </row>
    <row r="2433">
      <c r="B2433" s="45"/>
      <c r="N2433" s="46" t="str">
        <f>IFERROR(__xludf.DUMMYFUNCTION("""COMPUTED_VALUE"""),"")</f>
        <v/>
      </c>
      <c r="O2433" s="46" t="s">
        <v>1976</v>
      </c>
      <c r="P2433" s="47"/>
      <c r="Q2433" s="47"/>
      <c r="R2433" s="48" t="s">
        <v>1976</v>
      </c>
    </row>
    <row r="2434">
      <c r="B2434" s="45"/>
      <c r="N2434" s="46" t="str">
        <f>IFERROR(__xludf.DUMMYFUNCTION("""COMPUTED_VALUE"""),"")</f>
        <v/>
      </c>
      <c r="O2434" s="46" t="s">
        <v>1976</v>
      </c>
      <c r="P2434" s="47"/>
      <c r="Q2434" s="47"/>
      <c r="R2434" s="48" t="s">
        <v>1976</v>
      </c>
    </row>
    <row r="2435">
      <c r="B2435" s="45"/>
      <c r="N2435" s="46" t="str">
        <f>IFERROR(__xludf.DUMMYFUNCTION("""COMPUTED_VALUE"""),"")</f>
        <v/>
      </c>
      <c r="O2435" s="46" t="s">
        <v>1976</v>
      </c>
      <c r="P2435" s="47"/>
      <c r="Q2435" s="47"/>
      <c r="R2435" s="48" t="s">
        <v>1976</v>
      </c>
    </row>
    <row r="2436">
      <c r="B2436" s="45"/>
      <c r="N2436" s="46" t="str">
        <f>IFERROR(__xludf.DUMMYFUNCTION("""COMPUTED_VALUE"""),"")</f>
        <v/>
      </c>
      <c r="O2436" s="46" t="s">
        <v>1976</v>
      </c>
      <c r="P2436" s="47"/>
      <c r="Q2436" s="47"/>
      <c r="R2436" s="48" t="s">
        <v>1976</v>
      </c>
    </row>
    <row r="2437">
      <c r="B2437" s="45"/>
      <c r="N2437" s="46" t="str">
        <f>IFERROR(__xludf.DUMMYFUNCTION("""COMPUTED_VALUE"""),"")</f>
        <v/>
      </c>
      <c r="O2437" s="46" t="s">
        <v>1976</v>
      </c>
      <c r="P2437" s="47"/>
      <c r="Q2437" s="47"/>
      <c r="R2437" s="48" t="s">
        <v>1976</v>
      </c>
    </row>
    <row r="2438">
      <c r="B2438" s="45"/>
      <c r="N2438" s="46" t="str">
        <f>IFERROR(__xludf.DUMMYFUNCTION("""COMPUTED_VALUE"""),"")</f>
        <v/>
      </c>
      <c r="O2438" s="46" t="s">
        <v>1976</v>
      </c>
      <c r="P2438" s="47"/>
      <c r="Q2438" s="47"/>
      <c r="R2438" s="48" t="s">
        <v>1976</v>
      </c>
    </row>
    <row r="2439">
      <c r="B2439" s="45"/>
      <c r="N2439" s="46" t="str">
        <f>IFERROR(__xludf.DUMMYFUNCTION("""COMPUTED_VALUE"""),"")</f>
        <v/>
      </c>
      <c r="O2439" s="46" t="s">
        <v>1976</v>
      </c>
      <c r="P2439" s="47"/>
      <c r="Q2439" s="47"/>
      <c r="R2439" s="48" t="s">
        <v>1976</v>
      </c>
    </row>
    <row r="2440">
      <c r="B2440" s="45"/>
      <c r="N2440" s="46" t="str">
        <f>IFERROR(__xludf.DUMMYFUNCTION("""COMPUTED_VALUE"""),"")</f>
        <v/>
      </c>
      <c r="O2440" s="46" t="s">
        <v>1976</v>
      </c>
      <c r="P2440" s="47"/>
      <c r="Q2440" s="47"/>
      <c r="R2440" s="48" t="s">
        <v>1976</v>
      </c>
    </row>
    <row r="2441">
      <c r="B2441" s="45"/>
      <c r="N2441" s="46" t="str">
        <f>IFERROR(__xludf.DUMMYFUNCTION("""COMPUTED_VALUE"""),"")</f>
        <v/>
      </c>
      <c r="O2441" s="46" t="s">
        <v>1976</v>
      </c>
      <c r="P2441" s="47"/>
      <c r="Q2441" s="47"/>
      <c r="R2441" s="48" t="s">
        <v>1976</v>
      </c>
    </row>
    <row r="2442">
      <c r="B2442" s="45"/>
      <c r="N2442" s="46" t="str">
        <f>IFERROR(__xludf.DUMMYFUNCTION("""COMPUTED_VALUE"""),"")</f>
        <v/>
      </c>
      <c r="O2442" s="46" t="s">
        <v>1976</v>
      </c>
      <c r="P2442" s="47"/>
      <c r="Q2442" s="47"/>
      <c r="R2442" s="48" t="s">
        <v>1976</v>
      </c>
    </row>
    <row r="2443">
      <c r="B2443" s="45"/>
      <c r="N2443" s="46" t="str">
        <f>IFERROR(__xludf.DUMMYFUNCTION("""COMPUTED_VALUE"""),"")</f>
        <v/>
      </c>
      <c r="O2443" s="46" t="s">
        <v>1976</v>
      </c>
      <c r="P2443" s="47"/>
      <c r="Q2443" s="47"/>
      <c r="R2443" s="48" t="s">
        <v>1976</v>
      </c>
    </row>
    <row r="2444">
      <c r="B2444" s="45"/>
      <c r="N2444" s="46" t="str">
        <f>IFERROR(__xludf.DUMMYFUNCTION("""COMPUTED_VALUE"""),"")</f>
        <v/>
      </c>
      <c r="O2444" s="46" t="s">
        <v>1976</v>
      </c>
      <c r="P2444" s="47"/>
      <c r="Q2444" s="47"/>
      <c r="R2444" s="48" t="s">
        <v>1976</v>
      </c>
    </row>
    <row r="2445">
      <c r="B2445" s="45"/>
      <c r="N2445" s="46" t="str">
        <f>IFERROR(__xludf.DUMMYFUNCTION("""COMPUTED_VALUE"""),"")</f>
        <v/>
      </c>
      <c r="O2445" s="46" t="s">
        <v>1976</v>
      </c>
      <c r="P2445" s="47"/>
      <c r="Q2445" s="47"/>
      <c r="R2445" s="48" t="s">
        <v>1976</v>
      </c>
    </row>
    <row r="2446">
      <c r="B2446" s="45"/>
      <c r="N2446" s="46" t="str">
        <f>IFERROR(__xludf.DUMMYFUNCTION("""COMPUTED_VALUE"""),"")</f>
        <v/>
      </c>
      <c r="O2446" s="46" t="s">
        <v>1976</v>
      </c>
      <c r="P2446" s="47"/>
      <c r="Q2446" s="47"/>
      <c r="R2446" s="48" t="s">
        <v>1976</v>
      </c>
    </row>
    <row r="2447">
      <c r="B2447" s="45"/>
      <c r="N2447" s="46" t="str">
        <f>IFERROR(__xludf.DUMMYFUNCTION("""COMPUTED_VALUE"""),"")</f>
        <v/>
      </c>
      <c r="O2447" s="46" t="s">
        <v>1976</v>
      </c>
      <c r="P2447" s="47"/>
      <c r="Q2447" s="47"/>
      <c r="R2447" s="48" t="s">
        <v>1976</v>
      </c>
    </row>
    <row r="2448">
      <c r="B2448" s="45"/>
      <c r="N2448" s="46" t="str">
        <f>IFERROR(__xludf.DUMMYFUNCTION("""COMPUTED_VALUE"""),"")</f>
        <v/>
      </c>
      <c r="O2448" s="46" t="s">
        <v>1976</v>
      </c>
      <c r="P2448" s="47"/>
      <c r="Q2448" s="47"/>
      <c r="R2448" s="48" t="s">
        <v>1976</v>
      </c>
    </row>
    <row r="2449">
      <c r="B2449" s="45"/>
      <c r="N2449" s="46" t="str">
        <f>IFERROR(__xludf.DUMMYFUNCTION("""COMPUTED_VALUE"""),"")</f>
        <v/>
      </c>
      <c r="O2449" s="46" t="s">
        <v>1976</v>
      </c>
      <c r="P2449" s="47"/>
      <c r="Q2449" s="47"/>
      <c r="R2449" s="48" t="s">
        <v>1976</v>
      </c>
    </row>
    <row r="2450">
      <c r="B2450" s="45"/>
      <c r="N2450" s="46" t="str">
        <f>IFERROR(__xludf.DUMMYFUNCTION("""COMPUTED_VALUE"""),"")</f>
        <v/>
      </c>
      <c r="O2450" s="46" t="s">
        <v>1976</v>
      </c>
      <c r="P2450" s="47"/>
      <c r="Q2450" s="47"/>
      <c r="R2450" s="48" t="s">
        <v>1976</v>
      </c>
    </row>
    <row r="2451">
      <c r="B2451" s="45"/>
      <c r="N2451" s="46" t="str">
        <f>IFERROR(__xludf.DUMMYFUNCTION("""COMPUTED_VALUE"""),"")</f>
        <v/>
      </c>
      <c r="O2451" s="46" t="s">
        <v>1976</v>
      </c>
      <c r="P2451" s="47"/>
      <c r="Q2451" s="47"/>
      <c r="R2451" s="48" t="s">
        <v>1976</v>
      </c>
    </row>
    <row r="2452">
      <c r="B2452" s="45"/>
      <c r="N2452" s="46" t="str">
        <f>IFERROR(__xludf.DUMMYFUNCTION("""COMPUTED_VALUE"""),"")</f>
        <v/>
      </c>
      <c r="O2452" s="46" t="s">
        <v>1976</v>
      </c>
      <c r="P2452" s="47"/>
      <c r="Q2452" s="47"/>
      <c r="R2452" s="48" t="s">
        <v>1976</v>
      </c>
    </row>
    <row r="2453">
      <c r="B2453" s="45"/>
      <c r="N2453" s="46" t="str">
        <f>IFERROR(__xludf.DUMMYFUNCTION("""COMPUTED_VALUE"""),"")</f>
        <v/>
      </c>
      <c r="O2453" s="46" t="s">
        <v>1976</v>
      </c>
      <c r="P2453" s="47"/>
      <c r="Q2453" s="47"/>
      <c r="R2453" s="48" t="s">
        <v>1976</v>
      </c>
    </row>
    <row r="2454">
      <c r="B2454" s="45"/>
      <c r="N2454" s="46" t="str">
        <f>IFERROR(__xludf.DUMMYFUNCTION("""COMPUTED_VALUE"""),"")</f>
        <v/>
      </c>
      <c r="O2454" s="46" t="s">
        <v>1976</v>
      </c>
      <c r="P2454" s="47"/>
      <c r="Q2454" s="47"/>
      <c r="R2454" s="48" t="s">
        <v>1976</v>
      </c>
    </row>
    <row r="2455">
      <c r="B2455" s="45"/>
      <c r="N2455" s="46" t="str">
        <f>IFERROR(__xludf.DUMMYFUNCTION("""COMPUTED_VALUE"""),"")</f>
        <v/>
      </c>
      <c r="O2455" s="46" t="s">
        <v>1976</v>
      </c>
      <c r="P2455" s="47"/>
      <c r="Q2455" s="47"/>
      <c r="R2455" s="48" t="s">
        <v>1976</v>
      </c>
    </row>
    <row r="2456">
      <c r="B2456" s="45"/>
      <c r="N2456" s="46" t="str">
        <f>IFERROR(__xludf.DUMMYFUNCTION("""COMPUTED_VALUE"""),"")</f>
        <v/>
      </c>
      <c r="O2456" s="46" t="s">
        <v>1976</v>
      </c>
      <c r="P2456" s="47"/>
      <c r="Q2456" s="47"/>
      <c r="R2456" s="48" t="s">
        <v>1976</v>
      </c>
    </row>
    <row r="2457">
      <c r="B2457" s="45"/>
      <c r="N2457" s="46" t="str">
        <f>IFERROR(__xludf.DUMMYFUNCTION("""COMPUTED_VALUE"""),"")</f>
        <v/>
      </c>
      <c r="O2457" s="46" t="s">
        <v>1976</v>
      </c>
      <c r="P2457" s="47"/>
      <c r="Q2457" s="47"/>
      <c r="R2457" s="48" t="s">
        <v>1976</v>
      </c>
    </row>
    <row r="2458">
      <c r="B2458" s="45"/>
      <c r="N2458" s="46" t="str">
        <f>IFERROR(__xludf.DUMMYFUNCTION("""COMPUTED_VALUE"""),"")</f>
        <v/>
      </c>
      <c r="O2458" s="46" t="s">
        <v>1976</v>
      </c>
      <c r="P2458" s="47"/>
      <c r="Q2458" s="47"/>
      <c r="R2458" s="48" t="s">
        <v>1976</v>
      </c>
    </row>
    <row r="2459">
      <c r="B2459" s="45"/>
      <c r="N2459" s="46" t="str">
        <f>IFERROR(__xludf.DUMMYFUNCTION("""COMPUTED_VALUE"""),"")</f>
        <v/>
      </c>
      <c r="O2459" s="46" t="s">
        <v>1976</v>
      </c>
      <c r="P2459" s="47"/>
      <c r="Q2459" s="47"/>
      <c r="R2459" s="48" t="s">
        <v>1976</v>
      </c>
    </row>
    <row r="2460">
      <c r="B2460" s="45"/>
      <c r="N2460" s="46" t="str">
        <f>IFERROR(__xludf.DUMMYFUNCTION("""COMPUTED_VALUE"""),"")</f>
        <v/>
      </c>
      <c r="O2460" s="46" t="s">
        <v>1976</v>
      </c>
      <c r="P2460" s="47"/>
      <c r="Q2460" s="47"/>
      <c r="R2460" s="48" t="s">
        <v>1976</v>
      </c>
    </row>
    <row r="2461">
      <c r="B2461" s="45"/>
      <c r="N2461" s="46" t="str">
        <f>IFERROR(__xludf.DUMMYFUNCTION("""COMPUTED_VALUE"""),"")</f>
        <v/>
      </c>
      <c r="O2461" s="46" t="s">
        <v>1976</v>
      </c>
      <c r="P2461" s="47"/>
      <c r="Q2461" s="47"/>
      <c r="R2461" s="48" t="s">
        <v>1976</v>
      </c>
    </row>
    <row r="2462">
      <c r="B2462" s="45"/>
      <c r="N2462" s="46" t="str">
        <f>IFERROR(__xludf.DUMMYFUNCTION("""COMPUTED_VALUE"""),"")</f>
        <v/>
      </c>
      <c r="O2462" s="46" t="s">
        <v>1976</v>
      </c>
      <c r="P2462" s="47"/>
      <c r="Q2462" s="47"/>
      <c r="R2462" s="48" t="s">
        <v>1976</v>
      </c>
    </row>
    <row r="2463">
      <c r="B2463" s="45"/>
      <c r="N2463" s="46" t="str">
        <f>IFERROR(__xludf.DUMMYFUNCTION("""COMPUTED_VALUE"""),"")</f>
        <v/>
      </c>
      <c r="O2463" s="46" t="s">
        <v>1976</v>
      </c>
      <c r="P2463" s="47"/>
      <c r="Q2463" s="47"/>
      <c r="R2463" s="48" t="s">
        <v>1976</v>
      </c>
    </row>
    <row r="2464">
      <c r="B2464" s="45"/>
      <c r="N2464" s="46" t="str">
        <f>IFERROR(__xludf.DUMMYFUNCTION("""COMPUTED_VALUE"""),"")</f>
        <v/>
      </c>
      <c r="O2464" s="46" t="s">
        <v>1976</v>
      </c>
      <c r="P2464" s="47"/>
      <c r="Q2464" s="47"/>
      <c r="R2464" s="48" t="s">
        <v>1976</v>
      </c>
    </row>
    <row r="2465">
      <c r="B2465" s="45"/>
      <c r="N2465" s="46" t="str">
        <f>IFERROR(__xludf.DUMMYFUNCTION("""COMPUTED_VALUE"""),"")</f>
        <v/>
      </c>
      <c r="O2465" s="46" t="s">
        <v>1976</v>
      </c>
      <c r="P2465" s="47"/>
      <c r="Q2465" s="47"/>
      <c r="R2465" s="48" t="s">
        <v>1976</v>
      </c>
    </row>
    <row r="2466">
      <c r="B2466" s="45"/>
      <c r="N2466" s="46" t="str">
        <f>IFERROR(__xludf.DUMMYFUNCTION("""COMPUTED_VALUE"""),"")</f>
        <v/>
      </c>
      <c r="O2466" s="46" t="s">
        <v>1976</v>
      </c>
      <c r="P2466" s="47"/>
      <c r="Q2466" s="47"/>
      <c r="R2466" s="48" t="s">
        <v>1976</v>
      </c>
    </row>
    <row r="2467">
      <c r="B2467" s="45"/>
      <c r="N2467" s="46" t="str">
        <f>IFERROR(__xludf.DUMMYFUNCTION("""COMPUTED_VALUE"""),"")</f>
        <v/>
      </c>
      <c r="O2467" s="46" t="s">
        <v>1976</v>
      </c>
      <c r="P2467" s="47"/>
      <c r="Q2467" s="47"/>
      <c r="R2467" s="48" t="s">
        <v>1976</v>
      </c>
    </row>
    <row r="2468">
      <c r="B2468" s="45"/>
      <c r="N2468" s="46" t="str">
        <f>IFERROR(__xludf.DUMMYFUNCTION("""COMPUTED_VALUE"""),"")</f>
        <v/>
      </c>
      <c r="O2468" s="46" t="s">
        <v>1976</v>
      </c>
      <c r="P2468" s="47"/>
      <c r="Q2468" s="47"/>
      <c r="R2468" s="48" t="s">
        <v>1976</v>
      </c>
    </row>
    <row r="2469">
      <c r="B2469" s="45"/>
      <c r="N2469" s="46" t="str">
        <f>IFERROR(__xludf.DUMMYFUNCTION("""COMPUTED_VALUE"""),"")</f>
        <v/>
      </c>
      <c r="O2469" s="46" t="s">
        <v>1976</v>
      </c>
      <c r="P2469" s="47"/>
      <c r="Q2469" s="47"/>
      <c r="R2469" s="48" t="s">
        <v>1976</v>
      </c>
    </row>
    <row r="2470">
      <c r="B2470" s="45"/>
      <c r="N2470" s="46" t="str">
        <f>IFERROR(__xludf.DUMMYFUNCTION("""COMPUTED_VALUE"""),"")</f>
        <v/>
      </c>
      <c r="O2470" s="46" t="s">
        <v>1976</v>
      </c>
      <c r="P2470" s="47"/>
      <c r="Q2470" s="47"/>
      <c r="R2470" s="48" t="s">
        <v>1976</v>
      </c>
    </row>
    <row r="2471">
      <c r="B2471" s="45"/>
      <c r="N2471" s="46" t="str">
        <f>IFERROR(__xludf.DUMMYFUNCTION("""COMPUTED_VALUE"""),"")</f>
        <v/>
      </c>
      <c r="O2471" s="46" t="s">
        <v>1976</v>
      </c>
      <c r="P2471" s="47"/>
      <c r="Q2471" s="47"/>
      <c r="R2471" s="48" t="s">
        <v>1976</v>
      </c>
    </row>
    <row r="2472">
      <c r="B2472" s="45"/>
      <c r="N2472" s="46" t="str">
        <f>IFERROR(__xludf.DUMMYFUNCTION("""COMPUTED_VALUE"""),"")</f>
        <v/>
      </c>
      <c r="O2472" s="46" t="s">
        <v>1976</v>
      </c>
      <c r="P2472" s="47"/>
      <c r="Q2472" s="47"/>
      <c r="R2472" s="48" t="s">
        <v>1976</v>
      </c>
    </row>
    <row r="2473">
      <c r="B2473" s="45"/>
      <c r="N2473" s="46" t="str">
        <f>IFERROR(__xludf.DUMMYFUNCTION("""COMPUTED_VALUE"""),"")</f>
        <v/>
      </c>
      <c r="O2473" s="46" t="s">
        <v>1976</v>
      </c>
      <c r="P2473" s="47"/>
      <c r="Q2473" s="47"/>
      <c r="R2473" s="48" t="s">
        <v>1976</v>
      </c>
    </row>
    <row r="2474">
      <c r="B2474" s="45"/>
      <c r="N2474" s="46" t="str">
        <f>IFERROR(__xludf.DUMMYFUNCTION("""COMPUTED_VALUE"""),"")</f>
        <v/>
      </c>
      <c r="O2474" s="46" t="s">
        <v>1976</v>
      </c>
      <c r="P2474" s="47"/>
      <c r="Q2474" s="47"/>
      <c r="R2474" s="48" t="s">
        <v>1976</v>
      </c>
    </row>
    <row r="2475">
      <c r="B2475" s="45"/>
      <c r="N2475" s="46" t="str">
        <f>IFERROR(__xludf.DUMMYFUNCTION("""COMPUTED_VALUE"""),"")</f>
        <v/>
      </c>
      <c r="O2475" s="46" t="s">
        <v>1976</v>
      </c>
      <c r="P2475" s="47"/>
      <c r="Q2475" s="47"/>
      <c r="R2475" s="48" t="s">
        <v>1976</v>
      </c>
    </row>
    <row r="2476">
      <c r="B2476" s="45"/>
      <c r="N2476" s="46" t="str">
        <f>IFERROR(__xludf.DUMMYFUNCTION("""COMPUTED_VALUE"""),"")</f>
        <v/>
      </c>
      <c r="O2476" s="46" t="s">
        <v>1976</v>
      </c>
      <c r="P2476" s="47"/>
      <c r="Q2476" s="47"/>
      <c r="R2476" s="48" t="s">
        <v>1976</v>
      </c>
    </row>
    <row r="2477">
      <c r="B2477" s="45"/>
      <c r="N2477" s="46" t="str">
        <f>IFERROR(__xludf.DUMMYFUNCTION("""COMPUTED_VALUE"""),"")</f>
        <v/>
      </c>
      <c r="O2477" s="46" t="s">
        <v>1976</v>
      </c>
      <c r="P2477" s="47"/>
      <c r="Q2477" s="47"/>
      <c r="R2477" s="48" t="s">
        <v>1976</v>
      </c>
    </row>
    <row r="2478">
      <c r="B2478" s="45"/>
      <c r="N2478" s="46" t="str">
        <f>IFERROR(__xludf.DUMMYFUNCTION("""COMPUTED_VALUE"""),"")</f>
        <v/>
      </c>
      <c r="O2478" s="46" t="s">
        <v>1976</v>
      </c>
      <c r="P2478" s="47"/>
      <c r="Q2478" s="47"/>
      <c r="R2478" s="48" t="s">
        <v>1976</v>
      </c>
    </row>
    <row r="2479">
      <c r="B2479" s="45"/>
      <c r="N2479" s="46" t="str">
        <f>IFERROR(__xludf.DUMMYFUNCTION("""COMPUTED_VALUE"""),"")</f>
        <v/>
      </c>
      <c r="O2479" s="46" t="s">
        <v>1976</v>
      </c>
      <c r="P2479" s="47"/>
      <c r="Q2479" s="47"/>
      <c r="R2479" s="48" t="s">
        <v>1976</v>
      </c>
    </row>
    <row r="2480">
      <c r="B2480" s="45"/>
      <c r="N2480" s="46" t="str">
        <f>IFERROR(__xludf.DUMMYFUNCTION("""COMPUTED_VALUE"""),"")</f>
        <v/>
      </c>
      <c r="O2480" s="46" t="s">
        <v>1976</v>
      </c>
      <c r="P2480" s="47"/>
      <c r="Q2480" s="47"/>
      <c r="R2480" s="48" t="s">
        <v>1976</v>
      </c>
    </row>
    <row r="2481">
      <c r="B2481" s="45"/>
      <c r="N2481" s="46" t="str">
        <f>IFERROR(__xludf.DUMMYFUNCTION("""COMPUTED_VALUE"""),"")</f>
        <v/>
      </c>
      <c r="O2481" s="46" t="s">
        <v>1976</v>
      </c>
      <c r="P2481" s="47"/>
      <c r="Q2481" s="47"/>
      <c r="R2481" s="48" t="s">
        <v>1976</v>
      </c>
    </row>
    <row r="2482">
      <c r="B2482" s="45"/>
      <c r="N2482" s="46" t="str">
        <f>IFERROR(__xludf.DUMMYFUNCTION("""COMPUTED_VALUE"""),"")</f>
        <v/>
      </c>
      <c r="O2482" s="46" t="s">
        <v>1976</v>
      </c>
      <c r="P2482" s="47"/>
      <c r="Q2482" s="47"/>
      <c r="R2482" s="48" t="s">
        <v>1976</v>
      </c>
    </row>
    <row r="2483">
      <c r="B2483" s="45"/>
      <c r="N2483" s="46" t="str">
        <f>IFERROR(__xludf.DUMMYFUNCTION("""COMPUTED_VALUE"""),"")</f>
        <v/>
      </c>
      <c r="O2483" s="46" t="s">
        <v>1976</v>
      </c>
      <c r="P2483" s="47"/>
      <c r="Q2483" s="47"/>
      <c r="R2483" s="48" t="s">
        <v>1976</v>
      </c>
    </row>
    <row r="2484">
      <c r="B2484" s="45"/>
      <c r="N2484" s="46" t="str">
        <f>IFERROR(__xludf.DUMMYFUNCTION("""COMPUTED_VALUE"""),"")</f>
        <v/>
      </c>
      <c r="O2484" s="46" t="s">
        <v>1976</v>
      </c>
      <c r="P2484" s="47"/>
      <c r="Q2484" s="47"/>
      <c r="R2484" s="48" t="s">
        <v>1976</v>
      </c>
    </row>
    <row r="2485">
      <c r="B2485" s="45"/>
      <c r="N2485" s="46" t="str">
        <f>IFERROR(__xludf.DUMMYFUNCTION("""COMPUTED_VALUE"""),"")</f>
        <v/>
      </c>
      <c r="O2485" s="46" t="s">
        <v>1976</v>
      </c>
      <c r="P2485" s="47"/>
      <c r="Q2485" s="47"/>
      <c r="R2485" s="48" t="s">
        <v>1976</v>
      </c>
    </row>
    <row r="2486">
      <c r="B2486" s="45"/>
      <c r="N2486" s="46" t="str">
        <f>IFERROR(__xludf.DUMMYFUNCTION("""COMPUTED_VALUE"""),"")</f>
        <v/>
      </c>
      <c r="O2486" s="46" t="s">
        <v>1976</v>
      </c>
      <c r="P2486" s="47"/>
      <c r="Q2486" s="47"/>
      <c r="R2486" s="48" t="s">
        <v>1976</v>
      </c>
    </row>
    <row r="2487">
      <c r="B2487" s="45"/>
      <c r="N2487" s="46" t="str">
        <f>IFERROR(__xludf.DUMMYFUNCTION("""COMPUTED_VALUE"""),"")</f>
        <v/>
      </c>
      <c r="O2487" s="46" t="s">
        <v>1976</v>
      </c>
      <c r="P2487" s="47"/>
      <c r="Q2487" s="47"/>
      <c r="R2487" s="48" t="s">
        <v>1976</v>
      </c>
    </row>
    <row r="2488">
      <c r="B2488" s="45"/>
      <c r="N2488" s="46" t="str">
        <f>IFERROR(__xludf.DUMMYFUNCTION("""COMPUTED_VALUE"""),"")</f>
        <v/>
      </c>
      <c r="O2488" s="46" t="s">
        <v>1976</v>
      </c>
      <c r="P2488" s="47"/>
      <c r="Q2488" s="47"/>
      <c r="R2488" s="48" t="s">
        <v>1976</v>
      </c>
    </row>
    <row r="2489">
      <c r="B2489" s="45"/>
      <c r="N2489" s="46" t="str">
        <f>IFERROR(__xludf.DUMMYFUNCTION("""COMPUTED_VALUE"""),"")</f>
        <v/>
      </c>
      <c r="O2489" s="46" t="s">
        <v>1976</v>
      </c>
      <c r="P2489" s="47"/>
      <c r="Q2489" s="47"/>
      <c r="R2489" s="48" t="s">
        <v>1976</v>
      </c>
    </row>
    <row r="2490">
      <c r="B2490" s="45"/>
      <c r="N2490" s="46" t="str">
        <f>IFERROR(__xludf.DUMMYFUNCTION("""COMPUTED_VALUE"""),"")</f>
        <v/>
      </c>
      <c r="O2490" s="46" t="s">
        <v>1976</v>
      </c>
      <c r="P2490" s="47"/>
      <c r="Q2490" s="47"/>
      <c r="R2490" s="48" t="s">
        <v>1976</v>
      </c>
    </row>
    <row r="2491">
      <c r="B2491" s="45"/>
      <c r="N2491" s="46" t="str">
        <f>IFERROR(__xludf.DUMMYFUNCTION("""COMPUTED_VALUE"""),"")</f>
        <v/>
      </c>
      <c r="O2491" s="46" t="s">
        <v>1976</v>
      </c>
      <c r="P2491" s="47"/>
      <c r="Q2491" s="47"/>
      <c r="R2491" s="48" t="s">
        <v>1976</v>
      </c>
    </row>
    <row r="2492">
      <c r="B2492" s="45"/>
      <c r="N2492" s="46" t="str">
        <f>IFERROR(__xludf.DUMMYFUNCTION("""COMPUTED_VALUE"""),"")</f>
        <v/>
      </c>
      <c r="O2492" s="46" t="s">
        <v>1976</v>
      </c>
      <c r="P2492" s="47"/>
      <c r="Q2492" s="47"/>
      <c r="R2492" s="48" t="s">
        <v>1976</v>
      </c>
    </row>
    <row r="2493">
      <c r="B2493" s="45"/>
      <c r="N2493" s="46" t="str">
        <f>IFERROR(__xludf.DUMMYFUNCTION("""COMPUTED_VALUE"""),"")</f>
        <v/>
      </c>
      <c r="O2493" s="46" t="s">
        <v>1976</v>
      </c>
      <c r="P2493" s="47"/>
      <c r="Q2493" s="47"/>
      <c r="R2493" s="48" t="s">
        <v>1976</v>
      </c>
    </row>
    <row r="2494">
      <c r="B2494" s="45"/>
      <c r="N2494" s="46" t="str">
        <f>IFERROR(__xludf.DUMMYFUNCTION("""COMPUTED_VALUE"""),"")</f>
        <v/>
      </c>
      <c r="O2494" s="46" t="s">
        <v>1976</v>
      </c>
      <c r="P2494" s="47"/>
      <c r="Q2494" s="47"/>
      <c r="R2494" s="48" t="s">
        <v>1976</v>
      </c>
    </row>
    <row r="2495">
      <c r="B2495" s="45"/>
      <c r="N2495" s="46" t="str">
        <f>IFERROR(__xludf.DUMMYFUNCTION("""COMPUTED_VALUE"""),"")</f>
        <v/>
      </c>
      <c r="O2495" s="46" t="s">
        <v>1976</v>
      </c>
      <c r="P2495" s="47"/>
      <c r="Q2495" s="47"/>
      <c r="R2495" s="48" t="s">
        <v>1976</v>
      </c>
    </row>
    <row r="2496">
      <c r="B2496" s="45"/>
      <c r="N2496" s="46" t="str">
        <f>IFERROR(__xludf.DUMMYFUNCTION("""COMPUTED_VALUE"""),"")</f>
        <v/>
      </c>
      <c r="O2496" s="46" t="s">
        <v>1976</v>
      </c>
      <c r="P2496" s="47"/>
      <c r="Q2496" s="47"/>
      <c r="R2496" s="48" t="s">
        <v>1976</v>
      </c>
    </row>
    <row r="2497">
      <c r="B2497" s="45"/>
      <c r="N2497" s="46" t="str">
        <f>IFERROR(__xludf.DUMMYFUNCTION("""COMPUTED_VALUE"""),"")</f>
        <v/>
      </c>
      <c r="O2497" s="46" t="s">
        <v>1976</v>
      </c>
      <c r="P2497" s="47"/>
      <c r="Q2497" s="47"/>
      <c r="R2497" s="48" t="s">
        <v>1976</v>
      </c>
    </row>
    <row r="2498">
      <c r="B2498" s="45"/>
      <c r="N2498" s="46" t="str">
        <f>IFERROR(__xludf.DUMMYFUNCTION("""COMPUTED_VALUE"""),"")</f>
        <v/>
      </c>
      <c r="O2498" s="46" t="s">
        <v>1976</v>
      </c>
      <c r="P2498" s="47"/>
      <c r="Q2498" s="47"/>
      <c r="R2498" s="48" t="s">
        <v>1976</v>
      </c>
    </row>
    <row r="2499">
      <c r="B2499" s="45"/>
      <c r="N2499" s="46" t="str">
        <f>IFERROR(__xludf.DUMMYFUNCTION("""COMPUTED_VALUE"""),"")</f>
        <v/>
      </c>
      <c r="O2499" s="46" t="s">
        <v>1976</v>
      </c>
      <c r="P2499" s="47"/>
      <c r="Q2499" s="47"/>
      <c r="R2499" s="48" t="s">
        <v>1976</v>
      </c>
    </row>
    <row r="2500">
      <c r="B2500" s="45"/>
      <c r="N2500" s="46" t="str">
        <f>IFERROR(__xludf.DUMMYFUNCTION("""COMPUTED_VALUE"""),"")</f>
        <v/>
      </c>
      <c r="O2500" s="46" t="s">
        <v>1976</v>
      </c>
      <c r="P2500" s="47"/>
      <c r="Q2500" s="47"/>
      <c r="R2500" s="48" t="s">
        <v>1976</v>
      </c>
    </row>
    <row r="2501">
      <c r="B2501" s="45"/>
      <c r="N2501" s="46" t="str">
        <f>IFERROR(__xludf.DUMMYFUNCTION("""COMPUTED_VALUE"""),"")</f>
        <v/>
      </c>
      <c r="O2501" s="46" t="s">
        <v>1976</v>
      </c>
      <c r="P2501" s="47"/>
      <c r="Q2501" s="47"/>
      <c r="R2501" s="48" t="s">
        <v>1976</v>
      </c>
    </row>
    <row r="2502">
      <c r="B2502" s="45"/>
      <c r="N2502" s="46" t="str">
        <f>IFERROR(__xludf.DUMMYFUNCTION("""COMPUTED_VALUE"""),"")</f>
        <v/>
      </c>
      <c r="O2502" s="46" t="s">
        <v>1976</v>
      </c>
      <c r="P2502" s="47"/>
      <c r="Q2502" s="47"/>
      <c r="R2502" s="48" t="s">
        <v>1976</v>
      </c>
    </row>
    <row r="2503">
      <c r="B2503" s="45"/>
      <c r="N2503" s="46" t="str">
        <f>IFERROR(__xludf.DUMMYFUNCTION("""COMPUTED_VALUE"""),"")</f>
        <v/>
      </c>
      <c r="O2503" s="46" t="s">
        <v>1976</v>
      </c>
      <c r="P2503" s="47"/>
      <c r="Q2503" s="47"/>
      <c r="R2503" s="48" t="s">
        <v>1976</v>
      </c>
    </row>
    <row r="2504">
      <c r="B2504" s="45"/>
      <c r="N2504" s="46" t="str">
        <f>IFERROR(__xludf.DUMMYFUNCTION("""COMPUTED_VALUE"""),"")</f>
        <v/>
      </c>
      <c r="O2504" s="46" t="s">
        <v>1976</v>
      </c>
      <c r="P2504" s="47"/>
      <c r="Q2504" s="47"/>
      <c r="R2504" s="48" t="s">
        <v>1976</v>
      </c>
    </row>
    <row r="2505">
      <c r="B2505" s="45"/>
      <c r="N2505" s="46" t="str">
        <f>IFERROR(__xludf.DUMMYFUNCTION("""COMPUTED_VALUE"""),"")</f>
        <v/>
      </c>
      <c r="O2505" s="46" t="s">
        <v>1976</v>
      </c>
      <c r="P2505" s="47"/>
      <c r="Q2505" s="47"/>
      <c r="R2505" s="48" t="s">
        <v>1976</v>
      </c>
    </row>
    <row r="2506">
      <c r="B2506" s="45"/>
      <c r="N2506" s="46" t="str">
        <f>IFERROR(__xludf.DUMMYFUNCTION("""COMPUTED_VALUE"""),"")</f>
        <v/>
      </c>
      <c r="O2506" s="46" t="s">
        <v>1976</v>
      </c>
      <c r="P2506" s="47"/>
      <c r="Q2506" s="47"/>
      <c r="R2506" s="48" t="s">
        <v>1976</v>
      </c>
    </row>
    <row r="2507">
      <c r="B2507" s="45"/>
      <c r="N2507" s="46" t="str">
        <f>IFERROR(__xludf.DUMMYFUNCTION("""COMPUTED_VALUE"""),"")</f>
        <v/>
      </c>
      <c r="O2507" s="46" t="s">
        <v>1976</v>
      </c>
      <c r="P2507" s="47"/>
      <c r="Q2507" s="47"/>
      <c r="R2507" s="48" t="s">
        <v>1976</v>
      </c>
    </row>
    <row r="2508">
      <c r="B2508" s="45"/>
      <c r="N2508" s="46" t="str">
        <f>IFERROR(__xludf.DUMMYFUNCTION("""COMPUTED_VALUE"""),"")</f>
        <v/>
      </c>
      <c r="O2508" s="46" t="s">
        <v>1976</v>
      </c>
      <c r="P2508" s="47"/>
      <c r="Q2508" s="47"/>
      <c r="R2508" s="48" t="s">
        <v>1976</v>
      </c>
    </row>
    <row r="2509">
      <c r="B2509" s="45"/>
      <c r="N2509" s="46" t="str">
        <f>IFERROR(__xludf.DUMMYFUNCTION("""COMPUTED_VALUE"""),"")</f>
        <v/>
      </c>
      <c r="O2509" s="46" t="s">
        <v>1976</v>
      </c>
      <c r="P2509" s="47"/>
      <c r="Q2509" s="47"/>
      <c r="R2509" s="48" t="s">
        <v>1976</v>
      </c>
    </row>
    <row r="2510">
      <c r="B2510" s="45"/>
      <c r="N2510" s="46" t="str">
        <f>IFERROR(__xludf.DUMMYFUNCTION("""COMPUTED_VALUE"""),"")</f>
        <v/>
      </c>
      <c r="O2510" s="46" t="s">
        <v>1976</v>
      </c>
      <c r="P2510" s="47"/>
      <c r="Q2510" s="47"/>
      <c r="R2510" s="48" t="s">
        <v>1976</v>
      </c>
    </row>
    <row r="2511">
      <c r="B2511" s="45"/>
      <c r="N2511" s="46" t="str">
        <f>IFERROR(__xludf.DUMMYFUNCTION("""COMPUTED_VALUE"""),"")</f>
        <v/>
      </c>
      <c r="O2511" s="46" t="s">
        <v>1976</v>
      </c>
      <c r="P2511" s="47"/>
      <c r="Q2511" s="47"/>
      <c r="R2511" s="48" t="s">
        <v>1976</v>
      </c>
    </row>
    <row r="2512">
      <c r="B2512" s="45"/>
      <c r="N2512" s="46" t="str">
        <f>IFERROR(__xludf.DUMMYFUNCTION("""COMPUTED_VALUE"""),"")</f>
        <v/>
      </c>
      <c r="O2512" s="46" t="s">
        <v>1976</v>
      </c>
      <c r="P2512" s="47"/>
      <c r="Q2512" s="47"/>
      <c r="R2512" s="48" t="s">
        <v>1976</v>
      </c>
    </row>
    <row r="2513">
      <c r="B2513" s="45"/>
      <c r="N2513" s="46" t="str">
        <f>IFERROR(__xludf.DUMMYFUNCTION("""COMPUTED_VALUE"""),"")</f>
        <v/>
      </c>
      <c r="O2513" s="46" t="s">
        <v>1976</v>
      </c>
      <c r="P2513" s="47"/>
      <c r="Q2513" s="47"/>
      <c r="R2513" s="48" t="s">
        <v>1976</v>
      </c>
    </row>
    <row r="2514">
      <c r="B2514" s="45"/>
      <c r="N2514" s="46" t="str">
        <f>IFERROR(__xludf.DUMMYFUNCTION("""COMPUTED_VALUE"""),"")</f>
        <v/>
      </c>
      <c r="O2514" s="46" t="s">
        <v>1976</v>
      </c>
      <c r="P2514" s="47"/>
      <c r="Q2514" s="47"/>
      <c r="R2514" s="48" t="s">
        <v>1976</v>
      </c>
    </row>
    <row r="2515">
      <c r="B2515" s="45"/>
      <c r="N2515" s="46" t="str">
        <f>IFERROR(__xludf.DUMMYFUNCTION("""COMPUTED_VALUE"""),"")</f>
        <v/>
      </c>
      <c r="O2515" s="46" t="s">
        <v>1976</v>
      </c>
      <c r="P2515" s="47"/>
      <c r="Q2515" s="47"/>
      <c r="R2515" s="48" t="s">
        <v>1976</v>
      </c>
    </row>
    <row r="2516">
      <c r="B2516" s="45"/>
      <c r="N2516" s="46" t="str">
        <f>IFERROR(__xludf.DUMMYFUNCTION("""COMPUTED_VALUE"""),"")</f>
        <v/>
      </c>
      <c r="O2516" s="46" t="s">
        <v>1976</v>
      </c>
      <c r="P2516" s="47"/>
      <c r="Q2516" s="47"/>
      <c r="R2516" s="48" t="s">
        <v>1976</v>
      </c>
    </row>
    <row r="2517">
      <c r="B2517" s="45"/>
      <c r="N2517" s="46" t="str">
        <f>IFERROR(__xludf.DUMMYFUNCTION("""COMPUTED_VALUE"""),"")</f>
        <v/>
      </c>
      <c r="O2517" s="46" t="s">
        <v>1976</v>
      </c>
      <c r="P2517" s="47"/>
      <c r="Q2517" s="47"/>
      <c r="R2517" s="48" t="s">
        <v>1976</v>
      </c>
    </row>
    <row r="2518">
      <c r="B2518" s="45"/>
      <c r="N2518" s="46" t="str">
        <f>IFERROR(__xludf.DUMMYFUNCTION("""COMPUTED_VALUE"""),"")</f>
        <v/>
      </c>
      <c r="O2518" s="46" t="s">
        <v>1976</v>
      </c>
      <c r="P2518" s="47"/>
      <c r="Q2518" s="47"/>
      <c r="R2518" s="48" t="s">
        <v>1976</v>
      </c>
    </row>
    <row r="2519">
      <c r="B2519" s="45"/>
      <c r="N2519" s="46" t="str">
        <f>IFERROR(__xludf.DUMMYFUNCTION("""COMPUTED_VALUE"""),"")</f>
        <v/>
      </c>
      <c r="O2519" s="46" t="s">
        <v>1976</v>
      </c>
      <c r="P2519" s="47"/>
      <c r="Q2519" s="47"/>
      <c r="R2519" s="48" t="s">
        <v>1976</v>
      </c>
    </row>
    <row r="2520">
      <c r="B2520" s="45"/>
      <c r="N2520" s="46" t="str">
        <f>IFERROR(__xludf.DUMMYFUNCTION("""COMPUTED_VALUE"""),"")</f>
        <v/>
      </c>
      <c r="O2520" s="46" t="s">
        <v>1976</v>
      </c>
      <c r="P2520" s="47"/>
      <c r="Q2520" s="47"/>
      <c r="R2520" s="48" t="s">
        <v>1976</v>
      </c>
    </row>
    <row r="2521">
      <c r="B2521" s="45"/>
      <c r="N2521" s="46" t="str">
        <f>IFERROR(__xludf.DUMMYFUNCTION("""COMPUTED_VALUE"""),"")</f>
        <v/>
      </c>
      <c r="O2521" s="46" t="s">
        <v>1976</v>
      </c>
      <c r="P2521" s="47"/>
      <c r="Q2521" s="47"/>
      <c r="R2521" s="48" t="s">
        <v>1976</v>
      </c>
    </row>
    <row r="2522">
      <c r="B2522" s="45"/>
      <c r="N2522" s="46" t="str">
        <f>IFERROR(__xludf.DUMMYFUNCTION("""COMPUTED_VALUE"""),"")</f>
        <v/>
      </c>
      <c r="O2522" s="46" t="s">
        <v>1976</v>
      </c>
      <c r="P2522" s="47"/>
      <c r="Q2522" s="47"/>
      <c r="R2522" s="48" t="s">
        <v>1976</v>
      </c>
    </row>
    <row r="2523">
      <c r="B2523" s="45"/>
      <c r="N2523" s="46" t="str">
        <f>IFERROR(__xludf.DUMMYFUNCTION("""COMPUTED_VALUE"""),"")</f>
        <v/>
      </c>
      <c r="O2523" s="46" t="s">
        <v>1976</v>
      </c>
      <c r="P2523" s="47"/>
      <c r="Q2523" s="47"/>
      <c r="R2523" s="48" t="s">
        <v>1976</v>
      </c>
    </row>
    <row r="2524">
      <c r="B2524" s="45"/>
      <c r="N2524" s="46" t="str">
        <f>IFERROR(__xludf.DUMMYFUNCTION("""COMPUTED_VALUE"""),"")</f>
        <v/>
      </c>
      <c r="O2524" s="46" t="s">
        <v>1976</v>
      </c>
      <c r="P2524" s="47"/>
      <c r="Q2524" s="47"/>
      <c r="R2524" s="48" t="s">
        <v>1976</v>
      </c>
    </row>
    <row r="2525">
      <c r="B2525" s="45"/>
      <c r="N2525" s="46" t="str">
        <f>IFERROR(__xludf.DUMMYFUNCTION("""COMPUTED_VALUE"""),"")</f>
        <v/>
      </c>
      <c r="O2525" s="46" t="s">
        <v>1976</v>
      </c>
      <c r="P2525" s="47"/>
      <c r="Q2525" s="47"/>
      <c r="R2525" s="48" t="s">
        <v>1976</v>
      </c>
    </row>
    <row r="2526">
      <c r="B2526" s="45"/>
      <c r="N2526" s="46" t="str">
        <f>IFERROR(__xludf.DUMMYFUNCTION("""COMPUTED_VALUE"""),"")</f>
        <v/>
      </c>
      <c r="O2526" s="46" t="s">
        <v>1976</v>
      </c>
      <c r="P2526" s="47"/>
      <c r="Q2526" s="47"/>
      <c r="R2526" s="48" t="s">
        <v>1976</v>
      </c>
    </row>
    <row r="2527">
      <c r="B2527" s="45"/>
      <c r="N2527" s="46" t="str">
        <f>IFERROR(__xludf.DUMMYFUNCTION("""COMPUTED_VALUE"""),"")</f>
        <v/>
      </c>
      <c r="O2527" s="46" t="s">
        <v>1976</v>
      </c>
      <c r="P2527" s="47"/>
      <c r="Q2527" s="47"/>
      <c r="R2527" s="48" t="s">
        <v>1976</v>
      </c>
    </row>
    <row r="2528">
      <c r="B2528" s="45"/>
      <c r="N2528" s="46" t="str">
        <f>IFERROR(__xludf.DUMMYFUNCTION("""COMPUTED_VALUE"""),"")</f>
        <v/>
      </c>
      <c r="O2528" s="46" t="s">
        <v>1976</v>
      </c>
      <c r="P2528" s="47"/>
      <c r="Q2528" s="47"/>
      <c r="R2528" s="48" t="s">
        <v>1976</v>
      </c>
    </row>
    <row r="2529">
      <c r="B2529" s="45"/>
      <c r="N2529" s="46" t="str">
        <f>IFERROR(__xludf.DUMMYFUNCTION("""COMPUTED_VALUE"""),"")</f>
        <v/>
      </c>
      <c r="O2529" s="46" t="s">
        <v>1976</v>
      </c>
      <c r="P2529" s="47"/>
      <c r="Q2529" s="47"/>
      <c r="R2529" s="48" t="s">
        <v>1976</v>
      </c>
    </row>
    <row r="2530">
      <c r="B2530" s="45"/>
      <c r="N2530" s="46" t="str">
        <f>IFERROR(__xludf.DUMMYFUNCTION("""COMPUTED_VALUE"""),"")</f>
        <v/>
      </c>
      <c r="O2530" s="46" t="s">
        <v>1976</v>
      </c>
      <c r="P2530" s="47"/>
      <c r="Q2530" s="47"/>
      <c r="R2530" s="48" t="s">
        <v>1976</v>
      </c>
    </row>
    <row r="2531">
      <c r="B2531" s="45"/>
      <c r="N2531" s="46" t="str">
        <f>IFERROR(__xludf.DUMMYFUNCTION("""COMPUTED_VALUE"""),"")</f>
        <v/>
      </c>
      <c r="O2531" s="46" t="s">
        <v>1976</v>
      </c>
      <c r="P2531" s="47"/>
      <c r="Q2531" s="47"/>
      <c r="R2531" s="48" t="s">
        <v>1976</v>
      </c>
    </row>
    <row r="2532">
      <c r="B2532" s="45"/>
      <c r="N2532" s="46" t="str">
        <f>IFERROR(__xludf.DUMMYFUNCTION("""COMPUTED_VALUE"""),"")</f>
        <v/>
      </c>
      <c r="O2532" s="46" t="s">
        <v>1976</v>
      </c>
      <c r="P2532" s="47"/>
      <c r="Q2532" s="47"/>
      <c r="R2532" s="48" t="s">
        <v>1976</v>
      </c>
    </row>
    <row r="2533">
      <c r="B2533" s="45"/>
      <c r="N2533" s="46" t="str">
        <f>IFERROR(__xludf.DUMMYFUNCTION("""COMPUTED_VALUE"""),"")</f>
        <v/>
      </c>
      <c r="O2533" s="46" t="s">
        <v>1976</v>
      </c>
      <c r="P2533" s="47"/>
      <c r="Q2533" s="47"/>
      <c r="R2533" s="48" t="s">
        <v>1976</v>
      </c>
    </row>
    <row r="2534">
      <c r="B2534" s="45"/>
      <c r="N2534" s="46" t="str">
        <f>IFERROR(__xludf.DUMMYFUNCTION("""COMPUTED_VALUE"""),"")</f>
        <v/>
      </c>
      <c r="O2534" s="46" t="s">
        <v>1976</v>
      </c>
      <c r="P2534" s="47"/>
      <c r="Q2534" s="47"/>
      <c r="R2534" s="48" t="s">
        <v>1976</v>
      </c>
    </row>
    <row r="2535">
      <c r="B2535" s="45"/>
      <c r="N2535" s="46" t="str">
        <f>IFERROR(__xludf.DUMMYFUNCTION("""COMPUTED_VALUE"""),"")</f>
        <v/>
      </c>
      <c r="O2535" s="46" t="s">
        <v>1976</v>
      </c>
      <c r="P2535" s="47"/>
      <c r="Q2535" s="47"/>
      <c r="R2535" s="48" t="s">
        <v>1976</v>
      </c>
    </row>
    <row r="2536">
      <c r="B2536" s="45"/>
      <c r="N2536" s="46" t="str">
        <f>IFERROR(__xludf.DUMMYFUNCTION("""COMPUTED_VALUE"""),"")</f>
        <v/>
      </c>
      <c r="O2536" s="46" t="s">
        <v>1976</v>
      </c>
      <c r="P2536" s="47"/>
      <c r="Q2536" s="47"/>
      <c r="R2536" s="48" t="s">
        <v>1976</v>
      </c>
    </row>
    <row r="2537">
      <c r="B2537" s="45"/>
      <c r="N2537" s="46" t="str">
        <f>IFERROR(__xludf.DUMMYFUNCTION("""COMPUTED_VALUE"""),"")</f>
        <v/>
      </c>
      <c r="O2537" s="46" t="s">
        <v>1976</v>
      </c>
      <c r="P2537" s="47"/>
      <c r="Q2537" s="47"/>
      <c r="R2537" s="48" t="s">
        <v>1976</v>
      </c>
    </row>
    <row r="2538">
      <c r="B2538" s="45"/>
      <c r="N2538" s="46" t="str">
        <f>IFERROR(__xludf.DUMMYFUNCTION("""COMPUTED_VALUE"""),"")</f>
        <v/>
      </c>
      <c r="O2538" s="46" t="s">
        <v>1976</v>
      </c>
      <c r="P2538" s="47"/>
      <c r="Q2538" s="47"/>
      <c r="R2538" s="48" t="s">
        <v>1976</v>
      </c>
    </row>
    <row r="2539">
      <c r="B2539" s="45"/>
      <c r="N2539" s="46" t="str">
        <f>IFERROR(__xludf.DUMMYFUNCTION("""COMPUTED_VALUE"""),"")</f>
        <v/>
      </c>
      <c r="O2539" s="46" t="s">
        <v>1976</v>
      </c>
      <c r="P2539" s="47"/>
      <c r="Q2539" s="47"/>
      <c r="R2539" s="48" t="s">
        <v>1976</v>
      </c>
    </row>
    <row r="2540">
      <c r="B2540" s="45"/>
      <c r="N2540" s="46" t="str">
        <f>IFERROR(__xludf.DUMMYFUNCTION("""COMPUTED_VALUE"""),"")</f>
        <v/>
      </c>
      <c r="O2540" s="46" t="s">
        <v>1976</v>
      </c>
      <c r="P2540" s="47"/>
      <c r="Q2540" s="47"/>
      <c r="R2540" s="48" t="s">
        <v>1976</v>
      </c>
    </row>
    <row r="2541">
      <c r="B2541" s="45"/>
      <c r="N2541" s="46" t="str">
        <f>IFERROR(__xludf.DUMMYFUNCTION("""COMPUTED_VALUE"""),"")</f>
        <v/>
      </c>
      <c r="O2541" s="46" t="s">
        <v>1976</v>
      </c>
      <c r="P2541" s="47"/>
      <c r="Q2541" s="47"/>
      <c r="R2541" s="48" t="s">
        <v>1976</v>
      </c>
    </row>
    <row r="2542">
      <c r="B2542" s="45"/>
      <c r="N2542" s="46" t="str">
        <f>IFERROR(__xludf.DUMMYFUNCTION("""COMPUTED_VALUE"""),"")</f>
        <v/>
      </c>
      <c r="O2542" s="46" t="s">
        <v>1976</v>
      </c>
      <c r="P2542" s="47"/>
      <c r="Q2542" s="47"/>
      <c r="R2542" s="48" t="s">
        <v>1976</v>
      </c>
    </row>
    <row r="2543">
      <c r="B2543" s="45"/>
      <c r="N2543" s="46" t="str">
        <f>IFERROR(__xludf.DUMMYFUNCTION("""COMPUTED_VALUE"""),"")</f>
        <v/>
      </c>
      <c r="O2543" s="46" t="s">
        <v>1976</v>
      </c>
      <c r="P2543" s="47"/>
      <c r="Q2543" s="47"/>
      <c r="R2543" s="48" t="s">
        <v>1976</v>
      </c>
    </row>
    <row r="2544">
      <c r="B2544" s="45"/>
      <c r="N2544" s="46" t="str">
        <f>IFERROR(__xludf.DUMMYFUNCTION("""COMPUTED_VALUE"""),"")</f>
        <v/>
      </c>
      <c r="O2544" s="46" t="s">
        <v>1976</v>
      </c>
      <c r="P2544" s="47"/>
      <c r="Q2544" s="47"/>
      <c r="R2544" s="48" t="s">
        <v>1976</v>
      </c>
    </row>
    <row r="2545">
      <c r="B2545" s="45"/>
      <c r="N2545" s="46" t="str">
        <f>IFERROR(__xludf.DUMMYFUNCTION("""COMPUTED_VALUE"""),"")</f>
        <v/>
      </c>
      <c r="O2545" s="46" t="s">
        <v>1976</v>
      </c>
      <c r="P2545" s="47"/>
      <c r="Q2545" s="47"/>
      <c r="R2545" s="48" t="s">
        <v>1976</v>
      </c>
    </row>
    <row r="2546">
      <c r="B2546" s="45"/>
      <c r="N2546" s="46" t="str">
        <f>IFERROR(__xludf.DUMMYFUNCTION("""COMPUTED_VALUE"""),"")</f>
        <v/>
      </c>
      <c r="O2546" s="46" t="s">
        <v>1976</v>
      </c>
      <c r="P2546" s="47"/>
      <c r="Q2546" s="47"/>
      <c r="R2546" s="48" t="s">
        <v>1976</v>
      </c>
    </row>
    <row r="2547">
      <c r="B2547" s="45"/>
      <c r="N2547" s="46" t="str">
        <f>IFERROR(__xludf.DUMMYFUNCTION("""COMPUTED_VALUE"""),"")</f>
        <v/>
      </c>
      <c r="O2547" s="46" t="s">
        <v>1976</v>
      </c>
      <c r="P2547" s="47"/>
      <c r="Q2547" s="47"/>
      <c r="R2547" s="48" t="s">
        <v>1976</v>
      </c>
    </row>
    <row r="2548">
      <c r="B2548" s="45"/>
      <c r="N2548" s="46" t="str">
        <f>IFERROR(__xludf.DUMMYFUNCTION("""COMPUTED_VALUE"""),"")</f>
        <v/>
      </c>
      <c r="O2548" s="46" t="s">
        <v>1976</v>
      </c>
      <c r="P2548" s="47"/>
      <c r="Q2548" s="47"/>
      <c r="R2548" s="48" t="s">
        <v>1976</v>
      </c>
    </row>
    <row r="2549">
      <c r="B2549" s="45"/>
      <c r="N2549" s="46" t="str">
        <f>IFERROR(__xludf.DUMMYFUNCTION("""COMPUTED_VALUE"""),"")</f>
        <v/>
      </c>
      <c r="O2549" s="46" t="s">
        <v>1976</v>
      </c>
      <c r="P2549" s="47"/>
      <c r="Q2549" s="47"/>
      <c r="R2549" s="48" t="s">
        <v>1976</v>
      </c>
    </row>
    <row r="2550">
      <c r="B2550" s="45"/>
      <c r="N2550" s="46" t="str">
        <f>IFERROR(__xludf.DUMMYFUNCTION("""COMPUTED_VALUE"""),"")</f>
        <v/>
      </c>
      <c r="O2550" s="46" t="s">
        <v>1976</v>
      </c>
      <c r="P2550" s="47"/>
      <c r="Q2550" s="47"/>
      <c r="R2550" s="48" t="s">
        <v>1976</v>
      </c>
    </row>
    <row r="2551">
      <c r="B2551" s="45"/>
      <c r="N2551" s="46" t="str">
        <f>IFERROR(__xludf.DUMMYFUNCTION("""COMPUTED_VALUE"""),"")</f>
        <v/>
      </c>
      <c r="O2551" s="46" t="s">
        <v>1976</v>
      </c>
      <c r="P2551" s="47"/>
      <c r="Q2551" s="47"/>
      <c r="R2551" s="48" t="s">
        <v>1976</v>
      </c>
    </row>
    <row r="2552">
      <c r="B2552" s="45"/>
      <c r="N2552" s="46" t="str">
        <f>IFERROR(__xludf.DUMMYFUNCTION("""COMPUTED_VALUE"""),"")</f>
        <v/>
      </c>
      <c r="O2552" s="46" t="s">
        <v>1976</v>
      </c>
      <c r="P2552" s="47"/>
      <c r="Q2552" s="47"/>
      <c r="R2552" s="48" t="s">
        <v>1976</v>
      </c>
    </row>
    <row r="2553">
      <c r="B2553" s="45"/>
      <c r="N2553" s="46" t="str">
        <f>IFERROR(__xludf.DUMMYFUNCTION("""COMPUTED_VALUE"""),"")</f>
        <v/>
      </c>
      <c r="O2553" s="46" t="s">
        <v>1976</v>
      </c>
      <c r="P2553" s="47"/>
      <c r="Q2553" s="47"/>
      <c r="R2553" s="48" t="s">
        <v>1976</v>
      </c>
    </row>
    <row r="2554">
      <c r="B2554" s="45"/>
      <c r="N2554" s="46" t="str">
        <f>IFERROR(__xludf.DUMMYFUNCTION("""COMPUTED_VALUE"""),"")</f>
        <v/>
      </c>
      <c r="O2554" s="46" t="s">
        <v>1976</v>
      </c>
      <c r="P2554" s="47"/>
      <c r="Q2554" s="47"/>
      <c r="R2554" s="48" t="s">
        <v>1976</v>
      </c>
    </row>
    <row r="2555">
      <c r="B2555" s="45"/>
      <c r="N2555" s="46" t="str">
        <f>IFERROR(__xludf.DUMMYFUNCTION("""COMPUTED_VALUE"""),"")</f>
        <v/>
      </c>
      <c r="O2555" s="46" t="s">
        <v>1976</v>
      </c>
      <c r="P2555" s="47"/>
      <c r="Q2555" s="47"/>
      <c r="R2555" s="48" t="s">
        <v>1976</v>
      </c>
    </row>
    <row r="2556">
      <c r="B2556" s="45"/>
      <c r="N2556" s="46" t="str">
        <f>IFERROR(__xludf.DUMMYFUNCTION("""COMPUTED_VALUE"""),"")</f>
        <v/>
      </c>
      <c r="O2556" s="46" t="s">
        <v>1976</v>
      </c>
      <c r="P2556" s="47"/>
      <c r="Q2556" s="47"/>
      <c r="R2556" s="48" t="s">
        <v>1976</v>
      </c>
    </row>
    <row r="2557">
      <c r="B2557" s="45"/>
      <c r="N2557" s="46" t="str">
        <f>IFERROR(__xludf.DUMMYFUNCTION("""COMPUTED_VALUE"""),"")</f>
        <v/>
      </c>
      <c r="O2557" s="46" t="s">
        <v>1976</v>
      </c>
      <c r="P2557" s="47"/>
      <c r="Q2557" s="47"/>
      <c r="R2557" s="48" t="s">
        <v>1976</v>
      </c>
    </row>
    <row r="2558">
      <c r="B2558" s="45"/>
      <c r="N2558" s="46" t="str">
        <f>IFERROR(__xludf.DUMMYFUNCTION("""COMPUTED_VALUE"""),"")</f>
        <v/>
      </c>
      <c r="O2558" s="46" t="s">
        <v>1976</v>
      </c>
      <c r="P2558" s="47"/>
      <c r="Q2558" s="47"/>
      <c r="R2558" s="48" t="s">
        <v>1976</v>
      </c>
    </row>
    <row r="2559">
      <c r="B2559" s="45"/>
      <c r="N2559" s="46" t="str">
        <f>IFERROR(__xludf.DUMMYFUNCTION("""COMPUTED_VALUE"""),"")</f>
        <v/>
      </c>
      <c r="O2559" s="46" t="s">
        <v>1976</v>
      </c>
      <c r="P2559" s="47"/>
      <c r="Q2559" s="47"/>
      <c r="R2559" s="48" t="s">
        <v>1976</v>
      </c>
    </row>
    <row r="2560">
      <c r="B2560" s="45"/>
      <c r="N2560" s="46" t="str">
        <f>IFERROR(__xludf.DUMMYFUNCTION("""COMPUTED_VALUE"""),"")</f>
        <v/>
      </c>
      <c r="O2560" s="46" t="s">
        <v>1976</v>
      </c>
      <c r="P2560" s="47"/>
      <c r="Q2560" s="47"/>
      <c r="R2560" s="48" t="s">
        <v>1976</v>
      </c>
    </row>
    <row r="2561">
      <c r="B2561" s="45"/>
      <c r="N2561" s="46" t="str">
        <f>IFERROR(__xludf.DUMMYFUNCTION("""COMPUTED_VALUE"""),"")</f>
        <v/>
      </c>
      <c r="O2561" s="46" t="s">
        <v>1976</v>
      </c>
      <c r="P2561" s="47"/>
      <c r="Q2561" s="47"/>
      <c r="R2561" s="48" t="s">
        <v>1976</v>
      </c>
    </row>
    <row r="2562">
      <c r="B2562" s="45"/>
      <c r="N2562" s="46" t="str">
        <f>IFERROR(__xludf.DUMMYFUNCTION("""COMPUTED_VALUE"""),"")</f>
        <v/>
      </c>
      <c r="O2562" s="46" t="s">
        <v>1976</v>
      </c>
      <c r="P2562" s="47"/>
      <c r="Q2562" s="47"/>
      <c r="R2562" s="48" t="s">
        <v>1976</v>
      </c>
    </row>
    <row r="2563">
      <c r="B2563" s="45"/>
      <c r="N2563" s="46" t="str">
        <f>IFERROR(__xludf.DUMMYFUNCTION("""COMPUTED_VALUE"""),"")</f>
        <v/>
      </c>
      <c r="O2563" s="46" t="s">
        <v>1976</v>
      </c>
      <c r="P2563" s="47"/>
      <c r="Q2563" s="47"/>
      <c r="R2563" s="48" t="s">
        <v>1976</v>
      </c>
    </row>
    <row r="2564">
      <c r="B2564" s="45"/>
      <c r="N2564" s="46" t="str">
        <f>IFERROR(__xludf.DUMMYFUNCTION("""COMPUTED_VALUE"""),"")</f>
        <v/>
      </c>
      <c r="O2564" s="46" t="s">
        <v>1976</v>
      </c>
      <c r="P2564" s="47"/>
      <c r="Q2564" s="47"/>
      <c r="R2564" s="48" t="s">
        <v>1976</v>
      </c>
    </row>
    <row r="2565">
      <c r="B2565" s="45"/>
      <c r="N2565" s="46" t="str">
        <f>IFERROR(__xludf.DUMMYFUNCTION("""COMPUTED_VALUE"""),"")</f>
        <v/>
      </c>
      <c r="O2565" s="46" t="s">
        <v>1976</v>
      </c>
      <c r="P2565" s="47"/>
      <c r="Q2565" s="47"/>
      <c r="R2565" s="48" t="s">
        <v>1976</v>
      </c>
    </row>
    <row r="2566">
      <c r="B2566" s="45"/>
      <c r="N2566" s="46" t="str">
        <f>IFERROR(__xludf.DUMMYFUNCTION("""COMPUTED_VALUE"""),"")</f>
        <v/>
      </c>
      <c r="O2566" s="46" t="s">
        <v>1976</v>
      </c>
      <c r="P2566" s="47"/>
      <c r="Q2566" s="47"/>
      <c r="R2566" s="48" t="s">
        <v>1976</v>
      </c>
    </row>
    <row r="2567">
      <c r="B2567" s="45"/>
      <c r="N2567" s="46" t="str">
        <f>IFERROR(__xludf.DUMMYFUNCTION("""COMPUTED_VALUE"""),"")</f>
        <v/>
      </c>
      <c r="O2567" s="46" t="s">
        <v>1976</v>
      </c>
      <c r="P2567" s="47"/>
      <c r="Q2567" s="47"/>
      <c r="R2567" s="48" t="s">
        <v>1976</v>
      </c>
    </row>
    <row r="2568">
      <c r="B2568" s="45"/>
      <c r="N2568" s="46" t="str">
        <f>IFERROR(__xludf.DUMMYFUNCTION("""COMPUTED_VALUE"""),"")</f>
        <v/>
      </c>
      <c r="O2568" s="46" t="s">
        <v>1976</v>
      </c>
      <c r="P2568" s="47"/>
      <c r="Q2568" s="47"/>
      <c r="R2568" s="48" t="s">
        <v>1976</v>
      </c>
    </row>
    <row r="2569">
      <c r="B2569" s="45"/>
      <c r="N2569" s="46" t="str">
        <f>IFERROR(__xludf.DUMMYFUNCTION("""COMPUTED_VALUE"""),"")</f>
        <v/>
      </c>
      <c r="O2569" s="46" t="s">
        <v>1976</v>
      </c>
      <c r="P2569" s="47"/>
      <c r="Q2569" s="47"/>
      <c r="R2569" s="48" t="s">
        <v>1976</v>
      </c>
    </row>
    <row r="2570">
      <c r="B2570" s="45"/>
      <c r="N2570" s="46" t="str">
        <f>IFERROR(__xludf.DUMMYFUNCTION("""COMPUTED_VALUE"""),"")</f>
        <v/>
      </c>
      <c r="O2570" s="46" t="s">
        <v>1976</v>
      </c>
      <c r="P2570" s="47"/>
      <c r="Q2570" s="47"/>
      <c r="R2570" s="48" t="s">
        <v>1976</v>
      </c>
    </row>
    <row r="2571">
      <c r="B2571" s="45"/>
      <c r="N2571" s="46" t="str">
        <f>IFERROR(__xludf.DUMMYFUNCTION("""COMPUTED_VALUE"""),"")</f>
        <v/>
      </c>
      <c r="O2571" s="46" t="s">
        <v>1976</v>
      </c>
      <c r="P2571" s="47"/>
      <c r="Q2571" s="47"/>
      <c r="R2571" s="48" t="s">
        <v>1976</v>
      </c>
    </row>
    <row r="2572">
      <c r="B2572" s="45"/>
      <c r="N2572" s="46" t="str">
        <f>IFERROR(__xludf.DUMMYFUNCTION("""COMPUTED_VALUE"""),"")</f>
        <v/>
      </c>
      <c r="O2572" s="46" t="s">
        <v>1976</v>
      </c>
      <c r="P2572" s="47"/>
      <c r="Q2572" s="47"/>
      <c r="R2572" s="48" t="s">
        <v>1976</v>
      </c>
    </row>
    <row r="2573">
      <c r="B2573" s="45"/>
      <c r="N2573" s="46" t="str">
        <f>IFERROR(__xludf.DUMMYFUNCTION("""COMPUTED_VALUE"""),"")</f>
        <v/>
      </c>
      <c r="O2573" s="46" t="s">
        <v>1976</v>
      </c>
      <c r="P2573" s="47"/>
      <c r="Q2573" s="47"/>
      <c r="R2573" s="48" t="s">
        <v>1976</v>
      </c>
    </row>
    <row r="2574">
      <c r="B2574" s="45"/>
      <c r="N2574" s="46" t="str">
        <f>IFERROR(__xludf.DUMMYFUNCTION("""COMPUTED_VALUE"""),"")</f>
        <v/>
      </c>
      <c r="O2574" s="46" t="s">
        <v>1976</v>
      </c>
      <c r="P2574" s="47"/>
      <c r="Q2574" s="47"/>
      <c r="R2574" s="48" t="s">
        <v>1976</v>
      </c>
    </row>
    <row r="2575">
      <c r="B2575" s="45"/>
      <c r="N2575" s="46" t="str">
        <f>IFERROR(__xludf.DUMMYFUNCTION("""COMPUTED_VALUE"""),"")</f>
        <v/>
      </c>
      <c r="O2575" s="46" t="s">
        <v>1976</v>
      </c>
      <c r="P2575" s="47"/>
      <c r="Q2575" s="47"/>
      <c r="R2575" s="48" t="s">
        <v>1976</v>
      </c>
    </row>
    <row r="2576">
      <c r="B2576" s="45"/>
      <c r="N2576" s="46" t="str">
        <f>IFERROR(__xludf.DUMMYFUNCTION("""COMPUTED_VALUE"""),"")</f>
        <v/>
      </c>
      <c r="O2576" s="46" t="s">
        <v>1976</v>
      </c>
      <c r="P2576" s="47"/>
      <c r="Q2576" s="47"/>
      <c r="R2576" s="48" t="s">
        <v>1976</v>
      </c>
    </row>
    <row r="2577">
      <c r="B2577" s="45"/>
      <c r="N2577" s="46" t="str">
        <f>IFERROR(__xludf.DUMMYFUNCTION("""COMPUTED_VALUE"""),"")</f>
        <v/>
      </c>
      <c r="O2577" s="46" t="s">
        <v>1976</v>
      </c>
      <c r="P2577" s="47"/>
      <c r="Q2577" s="47"/>
      <c r="R2577" s="48" t="s">
        <v>1976</v>
      </c>
    </row>
    <row r="2578">
      <c r="B2578" s="45"/>
      <c r="N2578" s="46" t="str">
        <f>IFERROR(__xludf.DUMMYFUNCTION("""COMPUTED_VALUE"""),"")</f>
        <v/>
      </c>
      <c r="O2578" s="46" t="s">
        <v>1976</v>
      </c>
      <c r="P2578" s="47"/>
      <c r="Q2578" s="47"/>
      <c r="R2578" s="48" t="s">
        <v>1976</v>
      </c>
    </row>
    <row r="2579">
      <c r="B2579" s="45"/>
      <c r="N2579" s="46" t="str">
        <f>IFERROR(__xludf.DUMMYFUNCTION("""COMPUTED_VALUE"""),"")</f>
        <v/>
      </c>
      <c r="O2579" s="46" t="s">
        <v>1976</v>
      </c>
      <c r="P2579" s="47"/>
      <c r="Q2579" s="47"/>
      <c r="R2579" s="48" t="s">
        <v>1976</v>
      </c>
    </row>
    <row r="2580">
      <c r="B2580" s="45"/>
      <c r="N2580" s="46" t="str">
        <f>IFERROR(__xludf.DUMMYFUNCTION("""COMPUTED_VALUE"""),"")</f>
        <v/>
      </c>
      <c r="O2580" s="46" t="s">
        <v>1976</v>
      </c>
      <c r="P2580" s="47"/>
      <c r="Q2580" s="47"/>
      <c r="R2580" s="48" t="s">
        <v>1976</v>
      </c>
    </row>
    <row r="2581">
      <c r="B2581" s="45"/>
      <c r="N2581" s="46" t="str">
        <f>IFERROR(__xludf.DUMMYFUNCTION("""COMPUTED_VALUE"""),"")</f>
        <v/>
      </c>
      <c r="O2581" s="46" t="s">
        <v>1976</v>
      </c>
      <c r="P2581" s="47"/>
      <c r="Q2581" s="47"/>
      <c r="R2581" s="48" t="s">
        <v>1976</v>
      </c>
    </row>
    <row r="2582">
      <c r="B2582" s="45"/>
      <c r="N2582" s="46" t="str">
        <f>IFERROR(__xludf.DUMMYFUNCTION("""COMPUTED_VALUE"""),"")</f>
        <v/>
      </c>
      <c r="O2582" s="46" t="s">
        <v>1976</v>
      </c>
      <c r="P2582" s="47"/>
      <c r="Q2582" s="47"/>
      <c r="R2582" s="48" t="s">
        <v>1976</v>
      </c>
    </row>
    <row r="2583">
      <c r="B2583" s="45"/>
      <c r="N2583" s="46" t="str">
        <f>IFERROR(__xludf.DUMMYFUNCTION("""COMPUTED_VALUE"""),"")</f>
        <v/>
      </c>
      <c r="O2583" s="46" t="s">
        <v>1976</v>
      </c>
      <c r="P2583" s="47"/>
      <c r="Q2583" s="47"/>
      <c r="R2583" s="48" t="s">
        <v>1976</v>
      </c>
    </row>
    <row r="2584">
      <c r="B2584" s="45"/>
      <c r="N2584" s="46" t="str">
        <f>IFERROR(__xludf.DUMMYFUNCTION("""COMPUTED_VALUE"""),"")</f>
        <v/>
      </c>
      <c r="O2584" s="46" t="s">
        <v>1976</v>
      </c>
      <c r="P2584" s="47"/>
      <c r="Q2584" s="47"/>
      <c r="R2584" s="48" t="s">
        <v>1976</v>
      </c>
    </row>
    <row r="2585">
      <c r="B2585" s="45"/>
      <c r="N2585" s="46" t="str">
        <f>IFERROR(__xludf.DUMMYFUNCTION("""COMPUTED_VALUE"""),"")</f>
        <v/>
      </c>
      <c r="O2585" s="46" t="s">
        <v>1976</v>
      </c>
      <c r="P2585" s="47"/>
      <c r="Q2585" s="47"/>
      <c r="R2585" s="48" t="s">
        <v>1976</v>
      </c>
    </row>
    <row r="2586">
      <c r="B2586" s="45"/>
      <c r="N2586" s="46" t="str">
        <f>IFERROR(__xludf.DUMMYFUNCTION("""COMPUTED_VALUE"""),"")</f>
        <v/>
      </c>
      <c r="O2586" s="46" t="s">
        <v>1976</v>
      </c>
      <c r="P2586" s="47"/>
      <c r="Q2586" s="47"/>
      <c r="R2586" s="48" t="s">
        <v>1976</v>
      </c>
    </row>
    <row r="2587">
      <c r="B2587" s="45"/>
      <c r="N2587" s="46" t="str">
        <f>IFERROR(__xludf.DUMMYFUNCTION("""COMPUTED_VALUE"""),"")</f>
        <v/>
      </c>
      <c r="O2587" s="46" t="s">
        <v>1976</v>
      </c>
      <c r="P2587" s="47"/>
      <c r="Q2587" s="47"/>
      <c r="R2587" s="48" t="s">
        <v>1976</v>
      </c>
    </row>
    <row r="2588">
      <c r="B2588" s="45"/>
      <c r="N2588" s="46" t="str">
        <f>IFERROR(__xludf.DUMMYFUNCTION("""COMPUTED_VALUE"""),"")</f>
        <v/>
      </c>
      <c r="O2588" s="46" t="s">
        <v>1976</v>
      </c>
      <c r="P2588" s="47"/>
      <c r="Q2588" s="47"/>
      <c r="R2588" s="48" t="s">
        <v>1976</v>
      </c>
    </row>
    <row r="2589">
      <c r="B2589" s="45"/>
      <c r="N2589" s="46" t="str">
        <f>IFERROR(__xludf.DUMMYFUNCTION("""COMPUTED_VALUE"""),"")</f>
        <v/>
      </c>
      <c r="O2589" s="46" t="s">
        <v>1976</v>
      </c>
      <c r="P2589" s="47"/>
      <c r="Q2589" s="47"/>
      <c r="R2589" s="48" t="s">
        <v>1976</v>
      </c>
    </row>
    <row r="2590">
      <c r="B2590" s="45"/>
      <c r="N2590" s="46" t="str">
        <f>IFERROR(__xludf.DUMMYFUNCTION("""COMPUTED_VALUE"""),"")</f>
        <v/>
      </c>
      <c r="O2590" s="46" t="s">
        <v>1976</v>
      </c>
      <c r="P2590" s="47"/>
      <c r="Q2590" s="47"/>
      <c r="R2590" s="48" t="s">
        <v>1976</v>
      </c>
    </row>
    <row r="2591">
      <c r="B2591" s="45"/>
      <c r="N2591" s="46" t="str">
        <f>IFERROR(__xludf.DUMMYFUNCTION("""COMPUTED_VALUE"""),"")</f>
        <v/>
      </c>
      <c r="O2591" s="46" t="s">
        <v>1976</v>
      </c>
      <c r="P2591" s="47"/>
      <c r="Q2591" s="47"/>
      <c r="R2591" s="48" t="s">
        <v>1976</v>
      </c>
    </row>
    <row r="2592">
      <c r="B2592" s="45"/>
      <c r="N2592" s="46" t="str">
        <f>IFERROR(__xludf.DUMMYFUNCTION("""COMPUTED_VALUE"""),"")</f>
        <v/>
      </c>
      <c r="O2592" s="46" t="s">
        <v>1976</v>
      </c>
      <c r="P2592" s="47"/>
      <c r="Q2592" s="47"/>
      <c r="R2592" s="48" t="s">
        <v>1976</v>
      </c>
    </row>
    <row r="2593">
      <c r="B2593" s="45"/>
      <c r="N2593" s="46" t="str">
        <f>IFERROR(__xludf.DUMMYFUNCTION("""COMPUTED_VALUE"""),"")</f>
        <v/>
      </c>
      <c r="O2593" s="46" t="s">
        <v>1976</v>
      </c>
      <c r="P2593" s="47"/>
      <c r="Q2593" s="47"/>
      <c r="R2593" s="48" t="s">
        <v>1976</v>
      </c>
    </row>
    <row r="2594">
      <c r="B2594" s="45"/>
      <c r="N2594" s="46" t="str">
        <f>IFERROR(__xludf.DUMMYFUNCTION("""COMPUTED_VALUE"""),"")</f>
        <v/>
      </c>
      <c r="O2594" s="46" t="s">
        <v>1976</v>
      </c>
      <c r="P2594" s="47"/>
      <c r="Q2594" s="47"/>
      <c r="R2594" s="48" t="s">
        <v>1976</v>
      </c>
    </row>
    <row r="2595">
      <c r="B2595" s="45"/>
      <c r="N2595" s="46" t="str">
        <f>IFERROR(__xludf.DUMMYFUNCTION("""COMPUTED_VALUE"""),"")</f>
        <v/>
      </c>
      <c r="O2595" s="46" t="s">
        <v>1976</v>
      </c>
      <c r="P2595" s="47"/>
      <c r="Q2595" s="47"/>
      <c r="R2595" s="48" t="s">
        <v>1976</v>
      </c>
    </row>
    <row r="2596">
      <c r="B2596" s="45"/>
      <c r="N2596" s="46" t="str">
        <f>IFERROR(__xludf.DUMMYFUNCTION("""COMPUTED_VALUE"""),"")</f>
        <v/>
      </c>
      <c r="O2596" s="46" t="s">
        <v>1976</v>
      </c>
      <c r="P2596" s="47"/>
      <c r="Q2596" s="47"/>
      <c r="R2596" s="48" t="s">
        <v>1976</v>
      </c>
    </row>
    <row r="2597">
      <c r="B2597" s="45"/>
      <c r="N2597" s="46" t="str">
        <f>IFERROR(__xludf.DUMMYFUNCTION("""COMPUTED_VALUE"""),"")</f>
        <v/>
      </c>
      <c r="O2597" s="46" t="s">
        <v>1976</v>
      </c>
      <c r="P2597" s="47"/>
      <c r="Q2597" s="47"/>
      <c r="R2597" s="48" t="s">
        <v>1976</v>
      </c>
    </row>
    <row r="2598">
      <c r="B2598" s="45"/>
      <c r="N2598" s="46" t="str">
        <f>IFERROR(__xludf.DUMMYFUNCTION("""COMPUTED_VALUE"""),"")</f>
        <v/>
      </c>
      <c r="O2598" s="46" t="s">
        <v>1976</v>
      </c>
      <c r="P2598" s="47"/>
      <c r="Q2598" s="47"/>
      <c r="R2598" s="48" t="s">
        <v>1976</v>
      </c>
    </row>
    <row r="2599">
      <c r="B2599" s="45"/>
      <c r="N2599" s="46" t="str">
        <f>IFERROR(__xludf.DUMMYFUNCTION("""COMPUTED_VALUE"""),"")</f>
        <v/>
      </c>
      <c r="O2599" s="46" t="s">
        <v>1976</v>
      </c>
      <c r="P2599" s="47"/>
      <c r="Q2599" s="47"/>
      <c r="R2599" s="48" t="s">
        <v>1976</v>
      </c>
    </row>
    <row r="2600">
      <c r="B2600" s="45"/>
      <c r="N2600" s="46" t="str">
        <f>IFERROR(__xludf.DUMMYFUNCTION("""COMPUTED_VALUE"""),"")</f>
        <v/>
      </c>
      <c r="O2600" s="46" t="s">
        <v>1976</v>
      </c>
      <c r="P2600" s="47"/>
      <c r="Q2600" s="47"/>
      <c r="R2600" s="48" t="s">
        <v>1976</v>
      </c>
    </row>
    <row r="2601">
      <c r="B2601" s="45"/>
      <c r="N2601" s="46" t="str">
        <f>IFERROR(__xludf.DUMMYFUNCTION("""COMPUTED_VALUE"""),"")</f>
        <v/>
      </c>
      <c r="O2601" s="46" t="s">
        <v>1976</v>
      </c>
      <c r="P2601" s="47"/>
      <c r="Q2601" s="47"/>
      <c r="R2601" s="48" t="s">
        <v>1976</v>
      </c>
    </row>
    <row r="2602">
      <c r="B2602" s="45"/>
      <c r="N2602" s="46" t="str">
        <f>IFERROR(__xludf.DUMMYFUNCTION("""COMPUTED_VALUE"""),"")</f>
        <v/>
      </c>
      <c r="O2602" s="46" t="s">
        <v>1976</v>
      </c>
      <c r="P2602" s="47"/>
      <c r="Q2602" s="47"/>
      <c r="R2602" s="48" t="s">
        <v>1976</v>
      </c>
    </row>
    <row r="2603">
      <c r="B2603" s="45"/>
      <c r="N2603" s="46" t="str">
        <f>IFERROR(__xludf.DUMMYFUNCTION("""COMPUTED_VALUE"""),"")</f>
        <v/>
      </c>
      <c r="O2603" s="46" t="s">
        <v>1976</v>
      </c>
      <c r="P2603" s="47"/>
      <c r="Q2603" s="47"/>
      <c r="R2603" s="48" t="s">
        <v>1976</v>
      </c>
    </row>
    <row r="2604">
      <c r="B2604" s="45"/>
      <c r="N2604" s="46" t="str">
        <f>IFERROR(__xludf.DUMMYFUNCTION("""COMPUTED_VALUE"""),"")</f>
        <v/>
      </c>
      <c r="O2604" s="46" t="s">
        <v>1976</v>
      </c>
      <c r="P2604" s="47"/>
      <c r="Q2604" s="47"/>
      <c r="R2604" s="48" t="s">
        <v>1976</v>
      </c>
    </row>
    <row r="2605">
      <c r="B2605" s="45"/>
      <c r="N2605" s="46" t="str">
        <f>IFERROR(__xludf.DUMMYFUNCTION("""COMPUTED_VALUE"""),"")</f>
        <v/>
      </c>
      <c r="O2605" s="46" t="s">
        <v>1976</v>
      </c>
      <c r="P2605" s="47"/>
      <c r="Q2605" s="47"/>
      <c r="R2605" s="48" t="s">
        <v>1976</v>
      </c>
    </row>
    <row r="2606">
      <c r="B2606" s="45"/>
      <c r="N2606" s="46" t="str">
        <f>IFERROR(__xludf.DUMMYFUNCTION("""COMPUTED_VALUE"""),"")</f>
        <v/>
      </c>
      <c r="O2606" s="46" t="s">
        <v>1976</v>
      </c>
      <c r="P2606" s="47"/>
      <c r="Q2606" s="47"/>
      <c r="R2606" s="48" t="s">
        <v>1976</v>
      </c>
    </row>
    <row r="2607">
      <c r="B2607" s="45"/>
      <c r="N2607" s="46" t="str">
        <f>IFERROR(__xludf.DUMMYFUNCTION("""COMPUTED_VALUE"""),"")</f>
        <v/>
      </c>
      <c r="O2607" s="46" t="s">
        <v>1976</v>
      </c>
      <c r="P2607" s="47"/>
      <c r="Q2607" s="47"/>
      <c r="R2607" s="48" t="s">
        <v>1976</v>
      </c>
    </row>
    <row r="2608">
      <c r="B2608" s="45"/>
      <c r="N2608" s="46" t="str">
        <f>IFERROR(__xludf.DUMMYFUNCTION("""COMPUTED_VALUE"""),"")</f>
        <v/>
      </c>
      <c r="O2608" s="46" t="s">
        <v>1976</v>
      </c>
      <c r="P2608" s="47"/>
      <c r="Q2608" s="47"/>
      <c r="R2608" s="48" t="s">
        <v>1976</v>
      </c>
    </row>
    <row r="2609">
      <c r="B2609" s="45"/>
      <c r="N2609" s="46" t="str">
        <f>IFERROR(__xludf.DUMMYFUNCTION("""COMPUTED_VALUE"""),"")</f>
        <v/>
      </c>
      <c r="O2609" s="46" t="s">
        <v>1976</v>
      </c>
      <c r="P2609" s="47"/>
      <c r="Q2609" s="47"/>
      <c r="R2609" s="48" t="s">
        <v>1976</v>
      </c>
    </row>
    <row r="2610">
      <c r="B2610" s="45"/>
      <c r="N2610" s="46" t="str">
        <f>IFERROR(__xludf.DUMMYFUNCTION("""COMPUTED_VALUE"""),"")</f>
        <v/>
      </c>
      <c r="O2610" s="46" t="s">
        <v>1976</v>
      </c>
      <c r="P2610" s="47"/>
      <c r="Q2610" s="47"/>
      <c r="R2610" s="48" t="s">
        <v>1976</v>
      </c>
    </row>
    <row r="2611">
      <c r="B2611" s="45"/>
      <c r="N2611" s="46" t="str">
        <f>IFERROR(__xludf.DUMMYFUNCTION("""COMPUTED_VALUE"""),"")</f>
        <v/>
      </c>
      <c r="O2611" s="46" t="s">
        <v>1976</v>
      </c>
      <c r="P2611" s="47"/>
      <c r="Q2611" s="47"/>
      <c r="R2611" s="48" t="s">
        <v>1976</v>
      </c>
    </row>
    <row r="2612">
      <c r="B2612" s="45"/>
      <c r="N2612" s="46" t="str">
        <f>IFERROR(__xludf.DUMMYFUNCTION("""COMPUTED_VALUE"""),"")</f>
        <v/>
      </c>
      <c r="O2612" s="46" t="s">
        <v>1976</v>
      </c>
      <c r="P2612" s="47"/>
      <c r="Q2612" s="47"/>
      <c r="R2612" s="48" t="s">
        <v>1976</v>
      </c>
    </row>
    <row r="2613">
      <c r="B2613" s="45"/>
      <c r="N2613" s="46" t="str">
        <f>IFERROR(__xludf.DUMMYFUNCTION("""COMPUTED_VALUE"""),"")</f>
        <v/>
      </c>
      <c r="O2613" s="46" t="s">
        <v>1976</v>
      </c>
      <c r="P2613" s="47"/>
      <c r="Q2613" s="47"/>
      <c r="R2613" s="48" t="s">
        <v>1976</v>
      </c>
    </row>
    <row r="2614">
      <c r="B2614" s="45"/>
      <c r="N2614" s="46" t="str">
        <f>IFERROR(__xludf.DUMMYFUNCTION("""COMPUTED_VALUE"""),"")</f>
        <v/>
      </c>
      <c r="O2614" s="46" t="s">
        <v>1976</v>
      </c>
      <c r="P2614" s="47"/>
      <c r="Q2614" s="47"/>
      <c r="R2614" s="48" t="s">
        <v>1976</v>
      </c>
    </row>
    <row r="2615">
      <c r="B2615" s="45"/>
      <c r="N2615" s="46" t="str">
        <f>IFERROR(__xludf.DUMMYFUNCTION("""COMPUTED_VALUE"""),"")</f>
        <v/>
      </c>
      <c r="O2615" s="46" t="s">
        <v>1976</v>
      </c>
      <c r="P2615" s="47"/>
      <c r="Q2615" s="47"/>
      <c r="R2615" s="48" t="s">
        <v>1976</v>
      </c>
    </row>
    <row r="2616">
      <c r="B2616" s="45"/>
      <c r="N2616" s="46" t="str">
        <f>IFERROR(__xludf.DUMMYFUNCTION("""COMPUTED_VALUE"""),"")</f>
        <v/>
      </c>
      <c r="O2616" s="46" t="s">
        <v>1976</v>
      </c>
      <c r="P2616" s="47"/>
      <c r="Q2616" s="47"/>
      <c r="R2616" s="48" t="s">
        <v>1976</v>
      </c>
    </row>
    <row r="2617">
      <c r="B2617" s="45"/>
      <c r="N2617" s="46" t="str">
        <f>IFERROR(__xludf.DUMMYFUNCTION("""COMPUTED_VALUE"""),"")</f>
        <v/>
      </c>
      <c r="O2617" s="46" t="s">
        <v>1976</v>
      </c>
      <c r="P2617" s="47"/>
      <c r="Q2617" s="47"/>
      <c r="R2617" s="48" t="s">
        <v>1976</v>
      </c>
    </row>
    <row r="2618">
      <c r="B2618" s="45"/>
      <c r="N2618" s="46" t="str">
        <f>IFERROR(__xludf.DUMMYFUNCTION("""COMPUTED_VALUE"""),"")</f>
        <v/>
      </c>
      <c r="O2618" s="46" t="s">
        <v>1976</v>
      </c>
      <c r="P2618" s="47"/>
      <c r="Q2618" s="47"/>
      <c r="R2618" s="48" t="s">
        <v>1976</v>
      </c>
    </row>
    <row r="2619">
      <c r="B2619" s="45"/>
      <c r="N2619" s="46" t="str">
        <f>IFERROR(__xludf.DUMMYFUNCTION("""COMPUTED_VALUE"""),"")</f>
        <v/>
      </c>
      <c r="O2619" s="46" t="s">
        <v>1976</v>
      </c>
      <c r="P2619" s="47"/>
      <c r="Q2619" s="47"/>
      <c r="R2619" s="48" t="s">
        <v>1976</v>
      </c>
    </row>
    <row r="2620">
      <c r="B2620" s="45"/>
      <c r="N2620" s="46" t="str">
        <f>IFERROR(__xludf.DUMMYFUNCTION("""COMPUTED_VALUE"""),"")</f>
        <v/>
      </c>
      <c r="O2620" s="46" t="s">
        <v>1976</v>
      </c>
      <c r="P2620" s="47"/>
      <c r="Q2620" s="47"/>
      <c r="R2620" s="48" t="s">
        <v>1976</v>
      </c>
    </row>
    <row r="2621">
      <c r="B2621" s="45"/>
      <c r="N2621" s="46" t="str">
        <f>IFERROR(__xludf.DUMMYFUNCTION("""COMPUTED_VALUE"""),"")</f>
        <v/>
      </c>
      <c r="O2621" s="46" t="s">
        <v>1976</v>
      </c>
      <c r="P2621" s="47"/>
      <c r="Q2621" s="47"/>
      <c r="R2621" s="48" t="s">
        <v>1976</v>
      </c>
    </row>
    <row r="2622">
      <c r="B2622" s="45"/>
      <c r="N2622" s="46" t="str">
        <f>IFERROR(__xludf.DUMMYFUNCTION("""COMPUTED_VALUE"""),"")</f>
        <v/>
      </c>
      <c r="O2622" s="46" t="s">
        <v>1976</v>
      </c>
      <c r="P2622" s="47"/>
      <c r="Q2622" s="47"/>
      <c r="R2622" s="48" t="s">
        <v>1976</v>
      </c>
    </row>
    <row r="2623">
      <c r="B2623" s="45"/>
      <c r="N2623" s="46" t="str">
        <f>IFERROR(__xludf.DUMMYFUNCTION("""COMPUTED_VALUE"""),"")</f>
        <v/>
      </c>
      <c r="O2623" s="46" t="s">
        <v>1976</v>
      </c>
      <c r="P2623" s="47"/>
      <c r="Q2623" s="47"/>
      <c r="R2623" s="48" t="s">
        <v>1976</v>
      </c>
    </row>
    <row r="2624">
      <c r="B2624" s="45"/>
      <c r="N2624" s="46" t="str">
        <f>IFERROR(__xludf.DUMMYFUNCTION("""COMPUTED_VALUE"""),"")</f>
        <v/>
      </c>
      <c r="O2624" s="46" t="s">
        <v>1976</v>
      </c>
      <c r="P2624" s="47"/>
      <c r="Q2624" s="47"/>
      <c r="R2624" s="48" t="s">
        <v>1976</v>
      </c>
    </row>
    <row r="2625">
      <c r="B2625" s="45"/>
      <c r="N2625" s="46" t="str">
        <f>IFERROR(__xludf.DUMMYFUNCTION("""COMPUTED_VALUE"""),"")</f>
        <v/>
      </c>
      <c r="O2625" s="46" t="s">
        <v>1976</v>
      </c>
      <c r="P2625" s="47"/>
      <c r="Q2625" s="47"/>
      <c r="R2625" s="48" t="s">
        <v>1976</v>
      </c>
    </row>
    <row r="2626">
      <c r="B2626" s="45"/>
      <c r="N2626" s="46" t="str">
        <f>IFERROR(__xludf.DUMMYFUNCTION("""COMPUTED_VALUE"""),"")</f>
        <v/>
      </c>
      <c r="O2626" s="46" t="s">
        <v>1976</v>
      </c>
      <c r="P2626" s="47"/>
      <c r="Q2626" s="47"/>
      <c r="R2626" s="48" t="s">
        <v>1976</v>
      </c>
    </row>
    <row r="2627">
      <c r="B2627" s="45"/>
      <c r="N2627" s="46" t="str">
        <f>IFERROR(__xludf.DUMMYFUNCTION("""COMPUTED_VALUE"""),"")</f>
        <v/>
      </c>
      <c r="O2627" s="46" t="s">
        <v>1976</v>
      </c>
      <c r="P2627" s="47"/>
      <c r="Q2627" s="47"/>
      <c r="R2627" s="48" t="s">
        <v>1976</v>
      </c>
    </row>
    <row r="2628">
      <c r="B2628" s="45"/>
      <c r="N2628" s="46" t="str">
        <f>IFERROR(__xludf.DUMMYFUNCTION("""COMPUTED_VALUE"""),"")</f>
        <v/>
      </c>
      <c r="O2628" s="46" t="s">
        <v>1976</v>
      </c>
      <c r="P2628" s="47"/>
      <c r="Q2628" s="47"/>
      <c r="R2628" s="48" t="s">
        <v>1976</v>
      </c>
    </row>
    <row r="2629">
      <c r="B2629" s="45"/>
      <c r="N2629" s="46" t="str">
        <f>IFERROR(__xludf.DUMMYFUNCTION("""COMPUTED_VALUE"""),"")</f>
        <v/>
      </c>
      <c r="O2629" s="46" t="s">
        <v>1976</v>
      </c>
      <c r="P2629" s="47"/>
      <c r="Q2629" s="47"/>
      <c r="R2629" s="48" t="s">
        <v>1976</v>
      </c>
    </row>
    <row r="2630">
      <c r="B2630" s="45"/>
      <c r="N2630" s="46" t="str">
        <f>IFERROR(__xludf.DUMMYFUNCTION("""COMPUTED_VALUE"""),"")</f>
        <v/>
      </c>
      <c r="O2630" s="46" t="s">
        <v>1976</v>
      </c>
      <c r="P2630" s="47"/>
      <c r="Q2630" s="47"/>
      <c r="R2630" s="48" t="s">
        <v>1976</v>
      </c>
    </row>
    <row r="2631">
      <c r="B2631" s="45"/>
      <c r="N2631" s="46" t="str">
        <f>IFERROR(__xludf.DUMMYFUNCTION("""COMPUTED_VALUE"""),"")</f>
        <v/>
      </c>
      <c r="O2631" s="46" t="s">
        <v>1976</v>
      </c>
      <c r="P2631" s="47"/>
      <c r="Q2631" s="47"/>
      <c r="R2631" s="48" t="s">
        <v>1976</v>
      </c>
    </row>
    <row r="2632">
      <c r="B2632" s="45"/>
      <c r="N2632" s="46" t="str">
        <f>IFERROR(__xludf.DUMMYFUNCTION("""COMPUTED_VALUE"""),"")</f>
        <v/>
      </c>
      <c r="O2632" s="46" t="s">
        <v>1976</v>
      </c>
      <c r="P2632" s="47"/>
      <c r="Q2632" s="47"/>
      <c r="R2632" s="48" t="s">
        <v>1976</v>
      </c>
    </row>
    <row r="2633">
      <c r="B2633" s="45"/>
      <c r="N2633" s="46" t="str">
        <f>IFERROR(__xludf.DUMMYFUNCTION("""COMPUTED_VALUE"""),"")</f>
        <v/>
      </c>
      <c r="O2633" s="46" t="s">
        <v>1976</v>
      </c>
      <c r="P2633" s="47"/>
      <c r="Q2633" s="47"/>
      <c r="R2633" s="48" t="s">
        <v>1976</v>
      </c>
    </row>
    <row r="2634">
      <c r="B2634" s="45"/>
      <c r="N2634" s="46" t="str">
        <f>IFERROR(__xludf.DUMMYFUNCTION("""COMPUTED_VALUE"""),"")</f>
        <v/>
      </c>
      <c r="O2634" s="46" t="s">
        <v>1976</v>
      </c>
      <c r="P2634" s="47"/>
      <c r="Q2634" s="47"/>
      <c r="R2634" s="48" t="s">
        <v>1976</v>
      </c>
    </row>
    <row r="2635">
      <c r="B2635" s="45"/>
      <c r="N2635" s="46" t="str">
        <f>IFERROR(__xludf.DUMMYFUNCTION("""COMPUTED_VALUE"""),"")</f>
        <v/>
      </c>
      <c r="O2635" s="46" t="s">
        <v>1976</v>
      </c>
      <c r="P2635" s="47"/>
      <c r="Q2635" s="47"/>
      <c r="R2635" s="48" t="s">
        <v>1976</v>
      </c>
    </row>
    <row r="2636">
      <c r="B2636" s="45"/>
      <c r="N2636" s="46" t="str">
        <f>IFERROR(__xludf.DUMMYFUNCTION("""COMPUTED_VALUE"""),"")</f>
        <v/>
      </c>
      <c r="O2636" s="46" t="s">
        <v>1976</v>
      </c>
      <c r="P2636" s="47"/>
      <c r="Q2636" s="47"/>
      <c r="R2636" s="48" t="s">
        <v>1976</v>
      </c>
    </row>
    <row r="2637">
      <c r="B2637" s="45"/>
      <c r="N2637" s="46" t="str">
        <f>IFERROR(__xludf.DUMMYFUNCTION("""COMPUTED_VALUE"""),"")</f>
        <v/>
      </c>
      <c r="O2637" s="46" t="s">
        <v>1976</v>
      </c>
      <c r="P2637" s="47"/>
      <c r="Q2637" s="47"/>
      <c r="R2637" s="48" t="s">
        <v>1976</v>
      </c>
    </row>
    <row r="2638">
      <c r="B2638" s="45"/>
      <c r="N2638" s="46" t="str">
        <f>IFERROR(__xludf.DUMMYFUNCTION("""COMPUTED_VALUE"""),"")</f>
        <v/>
      </c>
      <c r="O2638" s="46" t="s">
        <v>1976</v>
      </c>
      <c r="P2638" s="47"/>
      <c r="Q2638" s="47"/>
      <c r="R2638" s="48" t="s">
        <v>1976</v>
      </c>
    </row>
    <row r="2639">
      <c r="B2639" s="45"/>
      <c r="N2639" s="46" t="str">
        <f>IFERROR(__xludf.DUMMYFUNCTION("""COMPUTED_VALUE"""),"")</f>
        <v/>
      </c>
      <c r="O2639" s="46" t="s">
        <v>1976</v>
      </c>
      <c r="P2639" s="47"/>
      <c r="Q2639" s="47"/>
      <c r="R2639" s="48" t="s">
        <v>1976</v>
      </c>
    </row>
    <row r="2640">
      <c r="B2640" s="45"/>
      <c r="N2640" s="46" t="str">
        <f>IFERROR(__xludf.DUMMYFUNCTION("""COMPUTED_VALUE"""),"")</f>
        <v/>
      </c>
      <c r="O2640" s="46" t="s">
        <v>1976</v>
      </c>
      <c r="P2640" s="47"/>
      <c r="Q2640" s="47"/>
      <c r="R2640" s="48" t="s">
        <v>1976</v>
      </c>
    </row>
    <row r="2641">
      <c r="B2641" s="45"/>
      <c r="N2641" s="46" t="str">
        <f>IFERROR(__xludf.DUMMYFUNCTION("""COMPUTED_VALUE"""),"")</f>
        <v/>
      </c>
      <c r="O2641" s="46" t="s">
        <v>1976</v>
      </c>
      <c r="P2641" s="47"/>
      <c r="Q2641" s="47"/>
      <c r="R2641" s="48" t="s">
        <v>1976</v>
      </c>
    </row>
    <row r="2642">
      <c r="B2642" s="45"/>
      <c r="N2642" s="46" t="str">
        <f>IFERROR(__xludf.DUMMYFUNCTION("""COMPUTED_VALUE"""),"")</f>
        <v/>
      </c>
      <c r="O2642" s="46" t="s">
        <v>1976</v>
      </c>
      <c r="P2642" s="47"/>
      <c r="Q2642" s="47"/>
      <c r="R2642" s="48" t="s">
        <v>1976</v>
      </c>
    </row>
    <row r="2643">
      <c r="B2643" s="45"/>
      <c r="N2643" s="46" t="str">
        <f>IFERROR(__xludf.DUMMYFUNCTION("""COMPUTED_VALUE"""),"")</f>
        <v/>
      </c>
      <c r="O2643" s="46" t="s">
        <v>1976</v>
      </c>
      <c r="P2643" s="47"/>
      <c r="Q2643" s="47"/>
      <c r="R2643" s="48" t="s">
        <v>1976</v>
      </c>
    </row>
    <row r="2644">
      <c r="B2644" s="45"/>
      <c r="N2644" s="46" t="str">
        <f>IFERROR(__xludf.DUMMYFUNCTION("""COMPUTED_VALUE"""),"")</f>
        <v/>
      </c>
      <c r="O2644" s="46" t="s">
        <v>1976</v>
      </c>
      <c r="P2644" s="47"/>
      <c r="Q2644" s="47"/>
      <c r="R2644" s="48" t="s">
        <v>1976</v>
      </c>
    </row>
    <row r="2645">
      <c r="B2645" s="45"/>
      <c r="N2645" s="46" t="str">
        <f>IFERROR(__xludf.DUMMYFUNCTION("""COMPUTED_VALUE"""),"")</f>
        <v/>
      </c>
      <c r="O2645" s="46" t="s">
        <v>1976</v>
      </c>
      <c r="P2645" s="47"/>
      <c r="Q2645" s="47"/>
      <c r="R2645" s="48" t="s">
        <v>1976</v>
      </c>
    </row>
    <row r="2646">
      <c r="B2646" s="45"/>
      <c r="N2646" s="46" t="str">
        <f>IFERROR(__xludf.DUMMYFUNCTION("""COMPUTED_VALUE"""),"")</f>
        <v/>
      </c>
      <c r="O2646" s="46" t="s">
        <v>1976</v>
      </c>
      <c r="P2646" s="47"/>
      <c r="Q2646" s="47"/>
      <c r="R2646" s="48" t="s">
        <v>1976</v>
      </c>
    </row>
    <row r="2647">
      <c r="B2647" s="45"/>
      <c r="N2647" s="46" t="str">
        <f>IFERROR(__xludf.DUMMYFUNCTION("""COMPUTED_VALUE"""),"")</f>
        <v/>
      </c>
      <c r="O2647" s="46" t="s">
        <v>1976</v>
      </c>
      <c r="P2647" s="47"/>
      <c r="Q2647" s="47"/>
      <c r="R2647" s="48" t="s">
        <v>1976</v>
      </c>
    </row>
    <row r="2648">
      <c r="B2648" s="45"/>
      <c r="N2648" s="46" t="str">
        <f>IFERROR(__xludf.DUMMYFUNCTION("""COMPUTED_VALUE"""),"")</f>
        <v/>
      </c>
      <c r="O2648" s="46" t="s">
        <v>1976</v>
      </c>
      <c r="P2648" s="47"/>
      <c r="Q2648" s="47"/>
      <c r="R2648" s="48" t="s">
        <v>1976</v>
      </c>
    </row>
    <row r="2649">
      <c r="B2649" s="45"/>
      <c r="N2649" s="46" t="str">
        <f>IFERROR(__xludf.DUMMYFUNCTION("""COMPUTED_VALUE"""),"")</f>
        <v/>
      </c>
      <c r="O2649" s="46" t="s">
        <v>1976</v>
      </c>
      <c r="P2649" s="47"/>
      <c r="Q2649" s="47"/>
      <c r="R2649" s="48" t="s">
        <v>1976</v>
      </c>
    </row>
    <row r="2650">
      <c r="B2650" s="45"/>
      <c r="N2650" s="46" t="str">
        <f>IFERROR(__xludf.DUMMYFUNCTION("""COMPUTED_VALUE"""),"")</f>
        <v/>
      </c>
      <c r="O2650" s="46" t="s">
        <v>1976</v>
      </c>
      <c r="P2650" s="47"/>
      <c r="Q2650" s="47"/>
      <c r="R2650" s="48" t="s">
        <v>1976</v>
      </c>
    </row>
    <row r="2651">
      <c r="B2651" s="45"/>
      <c r="N2651" s="46" t="str">
        <f>IFERROR(__xludf.DUMMYFUNCTION("""COMPUTED_VALUE"""),"")</f>
        <v/>
      </c>
      <c r="O2651" s="46" t="s">
        <v>1976</v>
      </c>
      <c r="P2651" s="47"/>
      <c r="Q2651" s="47"/>
      <c r="R2651" s="48" t="s">
        <v>1976</v>
      </c>
    </row>
    <row r="2652">
      <c r="B2652" s="45"/>
      <c r="N2652" s="46" t="str">
        <f>IFERROR(__xludf.DUMMYFUNCTION("""COMPUTED_VALUE"""),"")</f>
        <v/>
      </c>
      <c r="O2652" s="46" t="s">
        <v>1976</v>
      </c>
      <c r="P2652" s="47"/>
      <c r="Q2652" s="47"/>
      <c r="R2652" s="48" t="s">
        <v>1976</v>
      </c>
    </row>
    <row r="2653">
      <c r="B2653" s="45"/>
      <c r="N2653" s="46" t="str">
        <f>IFERROR(__xludf.DUMMYFUNCTION("""COMPUTED_VALUE"""),"")</f>
        <v/>
      </c>
      <c r="O2653" s="46" t="s">
        <v>1976</v>
      </c>
      <c r="P2653" s="47"/>
      <c r="Q2653" s="47"/>
      <c r="R2653" s="48" t="s">
        <v>1976</v>
      </c>
    </row>
    <row r="2654">
      <c r="B2654" s="45"/>
      <c r="N2654" s="46" t="str">
        <f>IFERROR(__xludf.DUMMYFUNCTION("""COMPUTED_VALUE"""),"")</f>
        <v/>
      </c>
      <c r="O2654" s="46" t="s">
        <v>1976</v>
      </c>
      <c r="P2654" s="47"/>
      <c r="Q2654" s="47"/>
      <c r="R2654" s="48" t="s">
        <v>1976</v>
      </c>
    </row>
    <row r="2655">
      <c r="B2655" s="45"/>
      <c r="N2655" s="46" t="str">
        <f>IFERROR(__xludf.DUMMYFUNCTION("""COMPUTED_VALUE"""),"")</f>
        <v/>
      </c>
      <c r="O2655" s="46" t="s">
        <v>1976</v>
      </c>
      <c r="P2655" s="47"/>
      <c r="Q2655" s="47"/>
      <c r="R2655" s="48" t="s">
        <v>1976</v>
      </c>
    </row>
    <row r="2656">
      <c r="B2656" s="45"/>
      <c r="N2656" s="46" t="str">
        <f>IFERROR(__xludf.DUMMYFUNCTION("""COMPUTED_VALUE"""),"")</f>
        <v/>
      </c>
      <c r="O2656" s="46" t="s">
        <v>1976</v>
      </c>
      <c r="P2656" s="47"/>
      <c r="Q2656" s="47"/>
      <c r="R2656" s="48" t="s">
        <v>1976</v>
      </c>
    </row>
    <row r="2657">
      <c r="B2657" s="45"/>
      <c r="N2657" s="46" t="str">
        <f>IFERROR(__xludf.DUMMYFUNCTION("""COMPUTED_VALUE"""),"")</f>
        <v/>
      </c>
      <c r="O2657" s="46" t="s">
        <v>1976</v>
      </c>
      <c r="P2657" s="47"/>
      <c r="Q2657" s="47"/>
      <c r="R2657" s="48" t="s">
        <v>1976</v>
      </c>
    </row>
    <row r="2658">
      <c r="B2658" s="45"/>
      <c r="N2658" s="46" t="str">
        <f>IFERROR(__xludf.DUMMYFUNCTION("""COMPUTED_VALUE"""),"")</f>
        <v/>
      </c>
      <c r="O2658" s="46" t="s">
        <v>1976</v>
      </c>
      <c r="P2658" s="47"/>
      <c r="Q2658" s="47"/>
      <c r="R2658" s="48" t="s">
        <v>1976</v>
      </c>
    </row>
    <row r="2659">
      <c r="B2659" s="45"/>
      <c r="N2659" s="46" t="str">
        <f>IFERROR(__xludf.DUMMYFUNCTION("""COMPUTED_VALUE"""),"")</f>
        <v/>
      </c>
      <c r="O2659" s="46" t="s">
        <v>1976</v>
      </c>
      <c r="P2659" s="47"/>
      <c r="Q2659" s="47"/>
      <c r="R2659" s="48" t="s">
        <v>1976</v>
      </c>
    </row>
    <row r="2660">
      <c r="B2660" s="45"/>
      <c r="N2660" s="46" t="str">
        <f>IFERROR(__xludf.DUMMYFUNCTION("""COMPUTED_VALUE"""),"")</f>
        <v/>
      </c>
      <c r="O2660" s="46" t="s">
        <v>1976</v>
      </c>
      <c r="P2660" s="47"/>
      <c r="Q2660" s="47"/>
      <c r="R2660" s="48" t="s">
        <v>1976</v>
      </c>
    </row>
    <row r="2661">
      <c r="B2661" s="45"/>
      <c r="N2661" s="46" t="str">
        <f>IFERROR(__xludf.DUMMYFUNCTION("""COMPUTED_VALUE"""),"")</f>
        <v/>
      </c>
      <c r="O2661" s="46" t="s">
        <v>1976</v>
      </c>
      <c r="P2661" s="47"/>
      <c r="Q2661" s="47"/>
      <c r="R2661" s="48" t="s">
        <v>1976</v>
      </c>
    </row>
    <row r="2662">
      <c r="B2662" s="45"/>
      <c r="N2662" s="46" t="str">
        <f>IFERROR(__xludf.DUMMYFUNCTION("""COMPUTED_VALUE"""),"")</f>
        <v/>
      </c>
      <c r="O2662" s="46" t="s">
        <v>1976</v>
      </c>
      <c r="P2662" s="47"/>
      <c r="Q2662" s="47"/>
      <c r="R2662" s="48" t="s">
        <v>1976</v>
      </c>
    </row>
    <row r="2663">
      <c r="B2663" s="45"/>
      <c r="N2663" s="46" t="str">
        <f>IFERROR(__xludf.DUMMYFUNCTION("""COMPUTED_VALUE"""),"")</f>
        <v/>
      </c>
      <c r="O2663" s="46" t="s">
        <v>1976</v>
      </c>
      <c r="P2663" s="47"/>
      <c r="Q2663" s="47"/>
      <c r="R2663" s="48" t="s">
        <v>1976</v>
      </c>
    </row>
    <row r="2664">
      <c r="B2664" s="45"/>
      <c r="N2664" s="46" t="str">
        <f>IFERROR(__xludf.DUMMYFUNCTION("""COMPUTED_VALUE"""),"")</f>
        <v/>
      </c>
      <c r="O2664" s="46" t="s">
        <v>1976</v>
      </c>
      <c r="P2664" s="47"/>
      <c r="Q2664" s="47"/>
      <c r="R2664" s="48" t="s">
        <v>1976</v>
      </c>
    </row>
    <row r="2665">
      <c r="B2665" s="45"/>
      <c r="N2665" s="46" t="str">
        <f>IFERROR(__xludf.DUMMYFUNCTION("""COMPUTED_VALUE"""),"")</f>
        <v/>
      </c>
      <c r="O2665" s="46" t="s">
        <v>1976</v>
      </c>
      <c r="P2665" s="47"/>
      <c r="Q2665" s="47"/>
      <c r="R2665" s="48" t="s">
        <v>1976</v>
      </c>
    </row>
    <row r="2666">
      <c r="B2666" s="45"/>
      <c r="N2666" s="46" t="str">
        <f>IFERROR(__xludf.DUMMYFUNCTION("""COMPUTED_VALUE"""),"")</f>
        <v/>
      </c>
      <c r="O2666" s="46" t="s">
        <v>1976</v>
      </c>
      <c r="P2666" s="47"/>
      <c r="Q2666" s="47"/>
      <c r="R2666" s="48" t="s">
        <v>1976</v>
      </c>
    </row>
    <row r="2667">
      <c r="B2667" s="45"/>
      <c r="N2667" s="46" t="str">
        <f>IFERROR(__xludf.DUMMYFUNCTION("""COMPUTED_VALUE"""),"")</f>
        <v/>
      </c>
      <c r="O2667" s="46" t="s">
        <v>1976</v>
      </c>
      <c r="P2667" s="47"/>
      <c r="Q2667" s="47"/>
      <c r="R2667" s="48" t="s">
        <v>1976</v>
      </c>
    </row>
    <row r="2668">
      <c r="B2668" s="45"/>
      <c r="N2668" s="46" t="str">
        <f>IFERROR(__xludf.DUMMYFUNCTION("""COMPUTED_VALUE"""),"")</f>
        <v/>
      </c>
      <c r="O2668" s="46" t="s">
        <v>1976</v>
      </c>
      <c r="P2668" s="47"/>
      <c r="Q2668" s="47"/>
      <c r="R2668" s="48" t="s">
        <v>1976</v>
      </c>
    </row>
    <row r="2669">
      <c r="B2669" s="45"/>
      <c r="N2669" s="46" t="str">
        <f>IFERROR(__xludf.DUMMYFUNCTION("""COMPUTED_VALUE"""),"")</f>
        <v/>
      </c>
      <c r="O2669" s="46" t="s">
        <v>1976</v>
      </c>
      <c r="P2669" s="47"/>
      <c r="Q2669" s="47"/>
      <c r="R2669" s="48" t="s">
        <v>1976</v>
      </c>
    </row>
    <row r="2670">
      <c r="B2670" s="45"/>
      <c r="N2670" s="46" t="str">
        <f>IFERROR(__xludf.DUMMYFUNCTION("""COMPUTED_VALUE"""),"")</f>
        <v/>
      </c>
      <c r="O2670" s="46" t="s">
        <v>1976</v>
      </c>
      <c r="P2670" s="47"/>
      <c r="Q2670" s="47"/>
      <c r="R2670" s="48" t="s">
        <v>1976</v>
      </c>
    </row>
    <row r="2671">
      <c r="B2671" s="45"/>
      <c r="N2671" s="46" t="str">
        <f>IFERROR(__xludf.DUMMYFUNCTION("""COMPUTED_VALUE"""),"")</f>
        <v/>
      </c>
      <c r="O2671" s="46" t="s">
        <v>1976</v>
      </c>
      <c r="P2671" s="47"/>
      <c r="Q2671" s="47"/>
      <c r="R2671" s="48" t="s">
        <v>1976</v>
      </c>
    </row>
    <row r="2672">
      <c r="B2672" s="45"/>
      <c r="N2672" s="46" t="str">
        <f>IFERROR(__xludf.DUMMYFUNCTION("""COMPUTED_VALUE"""),"")</f>
        <v/>
      </c>
      <c r="O2672" s="46" t="s">
        <v>1976</v>
      </c>
      <c r="P2672" s="47"/>
      <c r="Q2672" s="47"/>
      <c r="R2672" s="48" t="s">
        <v>1976</v>
      </c>
    </row>
    <row r="2673">
      <c r="B2673" s="45"/>
      <c r="N2673" s="46" t="str">
        <f>IFERROR(__xludf.DUMMYFUNCTION("""COMPUTED_VALUE"""),"")</f>
        <v/>
      </c>
      <c r="O2673" s="46" t="s">
        <v>1976</v>
      </c>
      <c r="P2673" s="47"/>
      <c r="Q2673" s="47"/>
      <c r="R2673" s="48" t="s">
        <v>1976</v>
      </c>
    </row>
    <row r="2674">
      <c r="B2674" s="45"/>
      <c r="N2674" s="46" t="str">
        <f>IFERROR(__xludf.DUMMYFUNCTION("""COMPUTED_VALUE"""),"")</f>
        <v/>
      </c>
      <c r="O2674" s="46" t="s">
        <v>1976</v>
      </c>
      <c r="P2674" s="47"/>
      <c r="Q2674" s="47"/>
      <c r="R2674" s="48" t="s">
        <v>1976</v>
      </c>
    </row>
    <row r="2675">
      <c r="B2675" s="45"/>
      <c r="N2675" s="46" t="str">
        <f>IFERROR(__xludf.DUMMYFUNCTION("""COMPUTED_VALUE"""),"")</f>
        <v/>
      </c>
      <c r="O2675" s="46" t="s">
        <v>1976</v>
      </c>
      <c r="P2675" s="47"/>
      <c r="Q2675" s="47"/>
      <c r="R2675" s="48" t="s">
        <v>1976</v>
      </c>
    </row>
    <row r="2676">
      <c r="B2676" s="45"/>
      <c r="N2676" s="46" t="str">
        <f>IFERROR(__xludf.DUMMYFUNCTION("""COMPUTED_VALUE"""),"")</f>
        <v/>
      </c>
      <c r="O2676" s="46" t="s">
        <v>1976</v>
      </c>
      <c r="P2676" s="47"/>
      <c r="Q2676" s="47"/>
      <c r="R2676" s="48" t="s">
        <v>1976</v>
      </c>
    </row>
    <row r="2677">
      <c r="B2677" s="45"/>
      <c r="N2677" s="46" t="str">
        <f>IFERROR(__xludf.DUMMYFUNCTION("""COMPUTED_VALUE"""),"")</f>
        <v/>
      </c>
      <c r="O2677" s="46" t="s">
        <v>1976</v>
      </c>
      <c r="P2677" s="47"/>
      <c r="Q2677" s="47"/>
      <c r="R2677" s="48" t="s">
        <v>1976</v>
      </c>
    </row>
    <row r="2678">
      <c r="B2678" s="45"/>
      <c r="N2678" s="46" t="str">
        <f>IFERROR(__xludf.DUMMYFUNCTION("""COMPUTED_VALUE"""),"")</f>
        <v/>
      </c>
      <c r="O2678" s="46" t="s">
        <v>1976</v>
      </c>
      <c r="P2678" s="47"/>
      <c r="Q2678" s="47"/>
      <c r="R2678" s="48" t="s">
        <v>1976</v>
      </c>
    </row>
    <row r="2679">
      <c r="B2679" s="45"/>
      <c r="N2679" s="46" t="str">
        <f>IFERROR(__xludf.DUMMYFUNCTION("""COMPUTED_VALUE"""),"")</f>
        <v/>
      </c>
      <c r="O2679" s="46" t="s">
        <v>1976</v>
      </c>
      <c r="P2679" s="47"/>
      <c r="Q2679" s="47"/>
      <c r="R2679" s="48" t="s">
        <v>1976</v>
      </c>
    </row>
    <row r="2680">
      <c r="B2680" s="45"/>
      <c r="N2680" s="46" t="str">
        <f>IFERROR(__xludf.DUMMYFUNCTION("""COMPUTED_VALUE"""),"")</f>
        <v/>
      </c>
      <c r="O2680" s="46" t="s">
        <v>1976</v>
      </c>
      <c r="P2680" s="47"/>
      <c r="Q2680" s="47"/>
      <c r="R2680" s="48" t="s">
        <v>1976</v>
      </c>
    </row>
    <row r="2681">
      <c r="B2681" s="45"/>
      <c r="N2681" s="46" t="str">
        <f>IFERROR(__xludf.DUMMYFUNCTION("""COMPUTED_VALUE"""),"")</f>
        <v/>
      </c>
      <c r="O2681" s="46" t="s">
        <v>1976</v>
      </c>
      <c r="P2681" s="47"/>
      <c r="Q2681" s="47"/>
      <c r="R2681" s="48" t="s">
        <v>1976</v>
      </c>
    </row>
    <row r="2682">
      <c r="B2682" s="45"/>
      <c r="N2682" s="46" t="str">
        <f>IFERROR(__xludf.DUMMYFUNCTION("""COMPUTED_VALUE"""),"")</f>
        <v/>
      </c>
      <c r="O2682" s="46" t="s">
        <v>1976</v>
      </c>
      <c r="P2682" s="47"/>
      <c r="Q2682" s="47"/>
      <c r="R2682" s="48" t="s">
        <v>1976</v>
      </c>
    </row>
    <row r="2683">
      <c r="B2683" s="45"/>
      <c r="N2683" s="46" t="str">
        <f>IFERROR(__xludf.DUMMYFUNCTION("""COMPUTED_VALUE"""),"")</f>
        <v/>
      </c>
      <c r="O2683" s="46" t="s">
        <v>1976</v>
      </c>
      <c r="P2683" s="47"/>
      <c r="Q2683" s="47"/>
      <c r="R2683" s="48" t="s">
        <v>1976</v>
      </c>
    </row>
    <row r="2684">
      <c r="B2684" s="45"/>
      <c r="N2684" s="46" t="str">
        <f>IFERROR(__xludf.DUMMYFUNCTION("""COMPUTED_VALUE"""),"")</f>
        <v/>
      </c>
      <c r="O2684" s="46" t="s">
        <v>1976</v>
      </c>
      <c r="P2684" s="47"/>
      <c r="Q2684" s="47"/>
      <c r="R2684" s="48" t="s">
        <v>1976</v>
      </c>
    </row>
    <row r="2685">
      <c r="B2685" s="45"/>
      <c r="N2685" s="46" t="str">
        <f>IFERROR(__xludf.DUMMYFUNCTION("""COMPUTED_VALUE"""),"")</f>
        <v/>
      </c>
      <c r="O2685" s="46" t="s">
        <v>1976</v>
      </c>
      <c r="P2685" s="47"/>
      <c r="Q2685" s="47"/>
      <c r="R2685" s="48" t="s">
        <v>1976</v>
      </c>
    </row>
    <row r="2686">
      <c r="B2686" s="45"/>
      <c r="N2686" s="46" t="str">
        <f>IFERROR(__xludf.DUMMYFUNCTION("""COMPUTED_VALUE"""),"")</f>
        <v/>
      </c>
      <c r="O2686" s="46" t="s">
        <v>1976</v>
      </c>
      <c r="P2686" s="47"/>
      <c r="Q2686" s="47"/>
      <c r="R2686" s="48" t="s">
        <v>1976</v>
      </c>
    </row>
    <row r="2687">
      <c r="B2687" s="45"/>
      <c r="N2687" s="46" t="str">
        <f>IFERROR(__xludf.DUMMYFUNCTION("""COMPUTED_VALUE"""),"")</f>
        <v/>
      </c>
      <c r="O2687" s="46" t="s">
        <v>1976</v>
      </c>
      <c r="P2687" s="47"/>
      <c r="Q2687" s="47"/>
      <c r="R2687" s="48" t="s">
        <v>1976</v>
      </c>
    </row>
    <row r="2688">
      <c r="B2688" s="45"/>
      <c r="N2688" s="46" t="str">
        <f>IFERROR(__xludf.DUMMYFUNCTION("""COMPUTED_VALUE"""),"")</f>
        <v/>
      </c>
      <c r="O2688" s="46" t="s">
        <v>1976</v>
      </c>
      <c r="P2688" s="47"/>
      <c r="Q2688" s="47"/>
      <c r="R2688" s="48" t="s">
        <v>1976</v>
      </c>
    </row>
    <row r="2689">
      <c r="B2689" s="45"/>
      <c r="N2689" s="46" t="str">
        <f>IFERROR(__xludf.DUMMYFUNCTION("""COMPUTED_VALUE"""),"")</f>
        <v/>
      </c>
      <c r="O2689" s="46" t="s">
        <v>1976</v>
      </c>
      <c r="P2689" s="47"/>
      <c r="Q2689" s="47"/>
      <c r="R2689" s="48" t="s">
        <v>1976</v>
      </c>
    </row>
    <row r="2690">
      <c r="B2690" s="45"/>
      <c r="N2690" s="46" t="str">
        <f>IFERROR(__xludf.DUMMYFUNCTION("""COMPUTED_VALUE"""),"")</f>
        <v/>
      </c>
      <c r="O2690" s="46" t="s">
        <v>1976</v>
      </c>
      <c r="P2690" s="47"/>
      <c r="Q2690" s="47"/>
      <c r="R2690" s="48" t="s">
        <v>1976</v>
      </c>
    </row>
    <row r="2691">
      <c r="B2691" s="45"/>
      <c r="N2691" s="46" t="str">
        <f>IFERROR(__xludf.DUMMYFUNCTION("""COMPUTED_VALUE"""),"")</f>
        <v/>
      </c>
      <c r="O2691" s="46" t="s">
        <v>1976</v>
      </c>
      <c r="P2691" s="47"/>
      <c r="Q2691" s="47"/>
      <c r="R2691" s="48" t="s">
        <v>1976</v>
      </c>
    </row>
    <row r="2692">
      <c r="B2692" s="45"/>
      <c r="N2692" s="46" t="str">
        <f>IFERROR(__xludf.DUMMYFUNCTION("""COMPUTED_VALUE"""),"")</f>
        <v/>
      </c>
      <c r="O2692" s="46" t="s">
        <v>1976</v>
      </c>
      <c r="P2692" s="47"/>
      <c r="Q2692" s="47"/>
      <c r="R2692" s="48" t="s">
        <v>1976</v>
      </c>
    </row>
    <row r="2693">
      <c r="B2693" s="45"/>
      <c r="N2693" s="46" t="str">
        <f>IFERROR(__xludf.DUMMYFUNCTION("""COMPUTED_VALUE"""),"")</f>
        <v/>
      </c>
      <c r="O2693" s="46" t="s">
        <v>1976</v>
      </c>
      <c r="P2693" s="47"/>
      <c r="Q2693" s="47"/>
      <c r="R2693" s="48" t="s">
        <v>1976</v>
      </c>
    </row>
    <row r="2694">
      <c r="B2694" s="45"/>
      <c r="N2694" s="46" t="str">
        <f>IFERROR(__xludf.DUMMYFUNCTION("""COMPUTED_VALUE"""),"")</f>
        <v/>
      </c>
      <c r="O2694" s="46" t="s">
        <v>1976</v>
      </c>
      <c r="P2694" s="47"/>
      <c r="Q2694" s="47"/>
      <c r="R2694" s="48" t="s">
        <v>1976</v>
      </c>
    </row>
    <row r="2695">
      <c r="B2695" s="45"/>
      <c r="N2695" s="46" t="str">
        <f>IFERROR(__xludf.DUMMYFUNCTION("""COMPUTED_VALUE"""),"")</f>
        <v/>
      </c>
      <c r="O2695" s="46" t="s">
        <v>1976</v>
      </c>
      <c r="P2695" s="47"/>
      <c r="Q2695" s="47"/>
      <c r="R2695" s="48" t="s">
        <v>1976</v>
      </c>
    </row>
    <row r="2696">
      <c r="B2696" s="45"/>
      <c r="N2696" s="46" t="str">
        <f>IFERROR(__xludf.DUMMYFUNCTION("""COMPUTED_VALUE"""),"")</f>
        <v/>
      </c>
      <c r="O2696" s="46" t="s">
        <v>1976</v>
      </c>
      <c r="P2696" s="47"/>
      <c r="Q2696" s="47"/>
      <c r="R2696" s="48" t="s">
        <v>1976</v>
      </c>
    </row>
    <row r="2697">
      <c r="B2697" s="45"/>
      <c r="N2697" s="46" t="str">
        <f>IFERROR(__xludf.DUMMYFUNCTION("""COMPUTED_VALUE"""),"")</f>
        <v/>
      </c>
      <c r="O2697" s="46" t="s">
        <v>1976</v>
      </c>
      <c r="P2697" s="47"/>
      <c r="Q2697" s="47"/>
      <c r="R2697" s="48" t="s">
        <v>1976</v>
      </c>
    </row>
    <row r="2698">
      <c r="B2698" s="45"/>
      <c r="N2698" s="46" t="str">
        <f>IFERROR(__xludf.DUMMYFUNCTION("""COMPUTED_VALUE"""),"")</f>
        <v/>
      </c>
      <c r="O2698" s="46" t="s">
        <v>1976</v>
      </c>
      <c r="P2698" s="47"/>
      <c r="Q2698" s="47"/>
      <c r="R2698" s="48" t="s">
        <v>1976</v>
      </c>
    </row>
    <row r="2699">
      <c r="B2699" s="45"/>
      <c r="N2699" s="46" t="str">
        <f>IFERROR(__xludf.DUMMYFUNCTION("""COMPUTED_VALUE"""),"")</f>
        <v/>
      </c>
      <c r="O2699" s="46" t="s">
        <v>1976</v>
      </c>
      <c r="P2699" s="47"/>
      <c r="Q2699" s="47"/>
      <c r="R2699" s="48" t="s">
        <v>1976</v>
      </c>
    </row>
    <row r="2700">
      <c r="B2700" s="45"/>
      <c r="N2700" s="46" t="str">
        <f>IFERROR(__xludf.DUMMYFUNCTION("""COMPUTED_VALUE"""),"")</f>
        <v/>
      </c>
      <c r="O2700" s="46" t="s">
        <v>1976</v>
      </c>
      <c r="P2700" s="47"/>
      <c r="Q2700" s="47"/>
      <c r="R2700" s="48" t="s">
        <v>1976</v>
      </c>
    </row>
    <row r="2701">
      <c r="B2701" s="45"/>
      <c r="N2701" s="46" t="str">
        <f>IFERROR(__xludf.DUMMYFUNCTION("""COMPUTED_VALUE"""),"")</f>
        <v/>
      </c>
      <c r="O2701" s="46" t="s">
        <v>1976</v>
      </c>
      <c r="P2701" s="47"/>
      <c r="Q2701" s="47"/>
      <c r="R2701" s="48" t="s">
        <v>1976</v>
      </c>
    </row>
    <row r="2702">
      <c r="B2702" s="45"/>
      <c r="N2702" s="46" t="str">
        <f>IFERROR(__xludf.DUMMYFUNCTION("""COMPUTED_VALUE"""),"")</f>
        <v/>
      </c>
      <c r="O2702" s="46" t="s">
        <v>1976</v>
      </c>
      <c r="P2702" s="47"/>
      <c r="Q2702" s="47"/>
      <c r="R2702" s="48" t="s">
        <v>1976</v>
      </c>
    </row>
    <row r="2703">
      <c r="B2703" s="45"/>
      <c r="N2703" s="46" t="str">
        <f>IFERROR(__xludf.DUMMYFUNCTION("""COMPUTED_VALUE"""),"")</f>
        <v/>
      </c>
      <c r="O2703" s="46" t="s">
        <v>1976</v>
      </c>
      <c r="P2703" s="47"/>
      <c r="Q2703" s="47"/>
      <c r="R2703" s="48" t="s">
        <v>1976</v>
      </c>
    </row>
    <row r="2704">
      <c r="B2704" s="45"/>
      <c r="N2704" s="46" t="str">
        <f>IFERROR(__xludf.DUMMYFUNCTION("""COMPUTED_VALUE"""),"")</f>
        <v/>
      </c>
      <c r="O2704" s="46" t="s">
        <v>1976</v>
      </c>
      <c r="P2704" s="47"/>
      <c r="Q2704" s="47"/>
      <c r="R2704" s="48" t="s">
        <v>1976</v>
      </c>
    </row>
    <row r="2705">
      <c r="B2705" s="45"/>
      <c r="N2705" s="46" t="str">
        <f>IFERROR(__xludf.DUMMYFUNCTION("""COMPUTED_VALUE"""),"")</f>
        <v/>
      </c>
      <c r="O2705" s="46" t="s">
        <v>1976</v>
      </c>
      <c r="P2705" s="47"/>
      <c r="Q2705" s="47"/>
      <c r="R2705" s="48" t="s">
        <v>1976</v>
      </c>
    </row>
    <row r="2706">
      <c r="B2706" s="45"/>
      <c r="N2706" s="46" t="str">
        <f>IFERROR(__xludf.DUMMYFUNCTION("""COMPUTED_VALUE"""),"")</f>
        <v/>
      </c>
      <c r="O2706" s="46" t="s">
        <v>1976</v>
      </c>
      <c r="P2706" s="47"/>
      <c r="Q2706" s="47"/>
      <c r="R2706" s="48" t="s">
        <v>1976</v>
      </c>
    </row>
    <row r="2707">
      <c r="B2707" s="45"/>
      <c r="N2707" s="46" t="str">
        <f>IFERROR(__xludf.DUMMYFUNCTION("""COMPUTED_VALUE"""),"")</f>
        <v/>
      </c>
      <c r="O2707" s="46" t="s">
        <v>1976</v>
      </c>
      <c r="P2707" s="47"/>
      <c r="Q2707" s="47"/>
      <c r="R2707" s="48" t="s">
        <v>1976</v>
      </c>
    </row>
    <row r="2708">
      <c r="B2708" s="45"/>
      <c r="N2708" s="46" t="str">
        <f>IFERROR(__xludf.DUMMYFUNCTION("""COMPUTED_VALUE"""),"")</f>
        <v/>
      </c>
      <c r="O2708" s="46" t="s">
        <v>1976</v>
      </c>
      <c r="P2708" s="47"/>
      <c r="Q2708" s="47"/>
      <c r="R2708" s="48" t="s">
        <v>1976</v>
      </c>
    </row>
    <row r="2709">
      <c r="B2709" s="45"/>
      <c r="N2709" s="46" t="str">
        <f>IFERROR(__xludf.DUMMYFUNCTION("""COMPUTED_VALUE"""),"")</f>
        <v/>
      </c>
      <c r="O2709" s="46" t="s">
        <v>1976</v>
      </c>
      <c r="P2709" s="47"/>
      <c r="Q2709" s="47"/>
      <c r="R2709" s="48" t="s">
        <v>1976</v>
      </c>
    </row>
    <row r="2710">
      <c r="B2710" s="45"/>
      <c r="N2710" s="46" t="str">
        <f>IFERROR(__xludf.DUMMYFUNCTION("""COMPUTED_VALUE"""),"")</f>
        <v/>
      </c>
      <c r="O2710" s="46" t="s">
        <v>1976</v>
      </c>
      <c r="P2710" s="47"/>
      <c r="Q2710" s="47"/>
      <c r="R2710" s="48" t="s">
        <v>1976</v>
      </c>
    </row>
    <row r="2711">
      <c r="B2711" s="45"/>
      <c r="N2711" s="46" t="str">
        <f>IFERROR(__xludf.DUMMYFUNCTION("""COMPUTED_VALUE"""),"")</f>
        <v/>
      </c>
      <c r="O2711" s="46" t="s">
        <v>1976</v>
      </c>
      <c r="P2711" s="47"/>
      <c r="Q2711" s="47"/>
      <c r="R2711" s="48" t="s">
        <v>1976</v>
      </c>
    </row>
    <row r="2712">
      <c r="B2712" s="45"/>
      <c r="N2712" s="46" t="str">
        <f>IFERROR(__xludf.DUMMYFUNCTION("""COMPUTED_VALUE"""),"")</f>
        <v/>
      </c>
      <c r="O2712" s="46" t="s">
        <v>1976</v>
      </c>
      <c r="P2712" s="47"/>
      <c r="Q2712" s="47"/>
      <c r="R2712" s="48" t="s">
        <v>1976</v>
      </c>
    </row>
    <row r="2713">
      <c r="B2713" s="45"/>
      <c r="N2713" s="46" t="str">
        <f>IFERROR(__xludf.DUMMYFUNCTION("""COMPUTED_VALUE"""),"")</f>
        <v/>
      </c>
      <c r="O2713" s="46" t="s">
        <v>1976</v>
      </c>
      <c r="P2713" s="47"/>
      <c r="Q2713" s="47"/>
      <c r="R2713" s="48" t="s">
        <v>1976</v>
      </c>
    </row>
    <row r="2714">
      <c r="B2714" s="45"/>
      <c r="N2714" s="46" t="str">
        <f>IFERROR(__xludf.DUMMYFUNCTION("""COMPUTED_VALUE"""),"")</f>
        <v/>
      </c>
      <c r="O2714" s="46" t="s">
        <v>1976</v>
      </c>
      <c r="P2714" s="47"/>
      <c r="Q2714" s="47"/>
      <c r="R2714" s="48" t="s">
        <v>1976</v>
      </c>
    </row>
    <row r="2715">
      <c r="B2715" s="45"/>
      <c r="N2715" s="46" t="str">
        <f>IFERROR(__xludf.DUMMYFUNCTION("""COMPUTED_VALUE"""),"")</f>
        <v/>
      </c>
      <c r="O2715" s="46" t="s">
        <v>1976</v>
      </c>
      <c r="P2715" s="47"/>
      <c r="Q2715" s="47"/>
      <c r="R2715" s="48" t="s">
        <v>1976</v>
      </c>
    </row>
    <row r="2716">
      <c r="B2716" s="45"/>
      <c r="N2716" s="46" t="str">
        <f>IFERROR(__xludf.DUMMYFUNCTION("""COMPUTED_VALUE"""),"")</f>
        <v/>
      </c>
      <c r="O2716" s="46" t="s">
        <v>1976</v>
      </c>
      <c r="P2716" s="47"/>
      <c r="Q2716" s="47"/>
      <c r="R2716" s="48" t="s">
        <v>1976</v>
      </c>
    </row>
    <row r="2717">
      <c r="B2717" s="45"/>
      <c r="N2717" s="46" t="str">
        <f>IFERROR(__xludf.DUMMYFUNCTION("""COMPUTED_VALUE"""),"")</f>
        <v/>
      </c>
      <c r="O2717" s="46" t="s">
        <v>1976</v>
      </c>
      <c r="P2717" s="47"/>
      <c r="Q2717" s="47"/>
      <c r="R2717" s="48" t="s">
        <v>1976</v>
      </c>
    </row>
    <row r="2718">
      <c r="B2718" s="45"/>
      <c r="N2718" s="46" t="str">
        <f>IFERROR(__xludf.DUMMYFUNCTION("""COMPUTED_VALUE"""),"")</f>
        <v/>
      </c>
      <c r="O2718" s="46" t="s">
        <v>1976</v>
      </c>
      <c r="P2718" s="47"/>
      <c r="Q2718" s="47"/>
      <c r="R2718" s="48" t="s">
        <v>1976</v>
      </c>
    </row>
    <row r="2719">
      <c r="B2719" s="45"/>
      <c r="N2719" s="46" t="str">
        <f>IFERROR(__xludf.DUMMYFUNCTION("""COMPUTED_VALUE"""),"")</f>
        <v/>
      </c>
      <c r="O2719" s="46" t="s">
        <v>1976</v>
      </c>
      <c r="P2719" s="47"/>
      <c r="Q2719" s="47"/>
      <c r="R2719" s="48" t="s">
        <v>1976</v>
      </c>
    </row>
    <row r="2720">
      <c r="B2720" s="45"/>
      <c r="N2720" s="46" t="str">
        <f>IFERROR(__xludf.DUMMYFUNCTION("""COMPUTED_VALUE"""),"")</f>
        <v/>
      </c>
      <c r="O2720" s="46" t="s">
        <v>1976</v>
      </c>
      <c r="P2720" s="47"/>
      <c r="Q2720" s="47"/>
      <c r="R2720" s="48" t="s">
        <v>1976</v>
      </c>
    </row>
    <row r="2721">
      <c r="B2721" s="45"/>
      <c r="N2721" s="46" t="str">
        <f>IFERROR(__xludf.DUMMYFUNCTION("""COMPUTED_VALUE"""),"")</f>
        <v/>
      </c>
      <c r="O2721" s="46" t="s">
        <v>1976</v>
      </c>
      <c r="P2721" s="47"/>
      <c r="Q2721" s="47"/>
      <c r="R2721" s="48" t="s">
        <v>1976</v>
      </c>
    </row>
    <row r="2722">
      <c r="B2722" s="45"/>
      <c r="N2722" s="46" t="str">
        <f>IFERROR(__xludf.DUMMYFUNCTION("""COMPUTED_VALUE"""),"")</f>
        <v/>
      </c>
      <c r="O2722" s="46" t="s">
        <v>1976</v>
      </c>
      <c r="P2722" s="47"/>
      <c r="Q2722" s="47"/>
      <c r="R2722" s="48" t="s">
        <v>1976</v>
      </c>
    </row>
    <row r="2723">
      <c r="B2723" s="45"/>
      <c r="N2723" s="46" t="str">
        <f>IFERROR(__xludf.DUMMYFUNCTION("""COMPUTED_VALUE"""),"")</f>
        <v/>
      </c>
      <c r="O2723" s="46" t="s">
        <v>1976</v>
      </c>
      <c r="P2723" s="47"/>
      <c r="Q2723" s="47"/>
      <c r="R2723" s="48" t="s">
        <v>1976</v>
      </c>
    </row>
    <row r="2724">
      <c r="B2724" s="45"/>
      <c r="N2724" s="46" t="str">
        <f>IFERROR(__xludf.DUMMYFUNCTION("""COMPUTED_VALUE"""),"")</f>
        <v/>
      </c>
      <c r="O2724" s="46" t="s">
        <v>1976</v>
      </c>
      <c r="P2724" s="47"/>
      <c r="Q2724" s="47"/>
      <c r="R2724" s="48" t="s">
        <v>1976</v>
      </c>
    </row>
    <row r="2725">
      <c r="B2725" s="45"/>
      <c r="N2725" s="46" t="str">
        <f>IFERROR(__xludf.DUMMYFUNCTION("""COMPUTED_VALUE"""),"")</f>
        <v/>
      </c>
      <c r="O2725" s="46" t="s">
        <v>1976</v>
      </c>
      <c r="P2725" s="47"/>
      <c r="Q2725" s="47"/>
      <c r="R2725" s="48" t="s">
        <v>1976</v>
      </c>
    </row>
    <row r="2726">
      <c r="B2726" s="45"/>
      <c r="N2726" s="46" t="str">
        <f>IFERROR(__xludf.DUMMYFUNCTION("""COMPUTED_VALUE"""),"")</f>
        <v/>
      </c>
      <c r="O2726" s="46" t="s">
        <v>1976</v>
      </c>
      <c r="P2726" s="47"/>
      <c r="Q2726" s="47"/>
      <c r="R2726" s="48" t="s">
        <v>1976</v>
      </c>
    </row>
    <row r="2727">
      <c r="B2727" s="45"/>
      <c r="N2727" s="46" t="str">
        <f>IFERROR(__xludf.DUMMYFUNCTION("""COMPUTED_VALUE"""),"")</f>
        <v/>
      </c>
      <c r="O2727" s="46" t="s">
        <v>1976</v>
      </c>
      <c r="P2727" s="47"/>
      <c r="Q2727" s="47"/>
      <c r="R2727" s="48" t="s">
        <v>1976</v>
      </c>
    </row>
    <row r="2728">
      <c r="B2728" s="45"/>
      <c r="N2728" s="46" t="str">
        <f>IFERROR(__xludf.DUMMYFUNCTION("""COMPUTED_VALUE"""),"")</f>
        <v/>
      </c>
      <c r="O2728" s="46" t="s">
        <v>1976</v>
      </c>
      <c r="P2728" s="47"/>
      <c r="Q2728" s="47"/>
      <c r="R2728" s="48" t="s">
        <v>1976</v>
      </c>
    </row>
    <row r="2729">
      <c r="B2729" s="45"/>
      <c r="N2729" s="46" t="str">
        <f>IFERROR(__xludf.DUMMYFUNCTION("""COMPUTED_VALUE"""),"")</f>
        <v/>
      </c>
      <c r="O2729" s="46" t="s">
        <v>1976</v>
      </c>
      <c r="P2729" s="47"/>
      <c r="Q2729" s="47"/>
      <c r="R2729" s="48" t="s">
        <v>1976</v>
      </c>
    </row>
    <row r="2730">
      <c r="B2730" s="45"/>
      <c r="N2730" s="46" t="str">
        <f>IFERROR(__xludf.DUMMYFUNCTION("""COMPUTED_VALUE"""),"")</f>
        <v/>
      </c>
      <c r="O2730" s="46" t="s">
        <v>1976</v>
      </c>
      <c r="P2730" s="47"/>
      <c r="Q2730" s="47"/>
      <c r="R2730" s="48" t="s">
        <v>1976</v>
      </c>
    </row>
    <row r="2731">
      <c r="B2731" s="45"/>
      <c r="N2731" s="46" t="str">
        <f>IFERROR(__xludf.DUMMYFUNCTION("""COMPUTED_VALUE"""),"")</f>
        <v/>
      </c>
      <c r="O2731" s="46" t="s">
        <v>1976</v>
      </c>
      <c r="P2731" s="47"/>
      <c r="Q2731" s="47"/>
      <c r="R2731" s="48" t="s">
        <v>1976</v>
      </c>
    </row>
    <row r="2732">
      <c r="B2732" s="45"/>
      <c r="N2732" s="46" t="str">
        <f>IFERROR(__xludf.DUMMYFUNCTION("""COMPUTED_VALUE"""),"")</f>
        <v/>
      </c>
      <c r="O2732" s="46" t="s">
        <v>1976</v>
      </c>
      <c r="P2732" s="47"/>
      <c r="Q2732" s="47"/>
      <c r="R2732" s="48" t="s">
        <v>1976</v>
      </c>
    </row>
    <row r="2733">
      <c r="B2733" s="45"/>
      <c r="N2733" s="46" t="str">
        <f>IFERROR(__xludf.DUMMYFUNCTION("""COMPUTED_VALUE"""),"")</f>
        <v/>
      </c>
      <c r="O2733" s="46" t="s">
        <v>1976</v>
      </c>
      <c r="P2733" s="47"/>
      <c r="Q2733" s="47"/>
      <c r="R2733" s="48" t="s">
        <v>1976</v>
      </c>
    </row>
    <row r="2734">
      <c r="B2734" s="45"/>
      <c r="N2734" s="46" t="str">
        <f>IFERROR(__xludf.DUMMYFUNCTION("""COMPUTED_VALUE"""),"")</f>
        <v/>
      </c>
      <c r="O2734" s="46" t="s">
        <v>1976</v>
      </c>
      <c r="P2734" s="47"/>
      <c r="Q2734" s="47"/>
      <c r="R2734" s="48" t="s">
        <v>1976</v>
      </c>
    </row>
    <row r="2735">
      <c r="B2735" s="45"/>
      <c r="N2735" s="46" t="str">
        <f>IFERROR(__xludf.DUMMYFUNCTION("""COMPUTED_VALUE"""),"")</f>
        <v/>
      </c>
      <c r="O2735" s="46" t="s">
        <v>1976</v>
      </c>
      <c r="P2735" s="47"/>
      <c r="Q2735" s="47"/>
      <c r="R2735" s="48" t="s">
        <v>1976</v>
      </c>
    </row>
    <row r="2736">
      <c r="B2736" s="45"/>
      <c r="N2736" s="46" t="str">
        <f>IFERROR(__xludf.DUMMYFUNCTION("""COMPUTED_VALUE"""),"")</f>
        <v/>
      </c>
      <c r="O2736" s="46" t="s">
        <v>1976</v>
      </c>
      <c r="P2736" s="47"/>
      <c r="Q2736" s="47"/>
      <c r="R2736" s="48" t="s">
        <v>1976</v>
      </c>
    </row>
    <row r="2737">
      <c r="B2737" s="45"/>
      <c r="N2737" s="46" t="str">
        <f>IFERROR(__xludf.DUMMYFUNCTION("""COMPUTED_VALUE"""),"")</f>
        <v/>
      </c>
      <c r="O2737" s="46" t="s">
        <v>1976</v>
      </c>
      <c r="P2737" s="47"/>
      <c r="Q2737" s="47"/>
      <c r="R2737" s="48" t="s">
        <v>1976</v>
      </c>
    </row>
    <row r="2738">
      <c r="B2738" s="45"/>
      <c r="N2738" s="46" t="str">
        <f>IFERROR(__xludf.DUMMYFUNCTION("""COMPUTED_VALUE"""),"")</f>
        <v/>
      </c>
      <c r="O2738" s="46" t="s">
        <v>1976</v>
      </c>
      <c r="P2738" s="47"/>
      <c r="Q2738" s="47"/>
      <c r="R2738" s="48" t="s">
        <v>1976</v>
      </c>
    </row>
    <row r="2739">
      <c r="B2739" s="45"/>
      <c r="N2739" s="46" t="str">
        <f>IFERROR(__xludf.DUMMYFUNCTION("""COMPUTED_VALUE"""),"")</f>
        <v/>
      </c>
      <c r="O2739" s="46" t="s">
        <v>1976</v>
      </c>
      <c r="P2739" s="47"/>
      <c r="Q2739" s="47"/>
      <c r="R2739" s="48" t="s">
        <v>1976</v>
      </c>
    </row>
    <row r="2740">
      <c r="B2740" s="45"/>
      <c r="N2740" s="46" t="str">
        <f>IFERROR(__xludf.DUMMYFUNCTION("""COMPUTED_VALUE"""),"")</f>
        <v/>
      </c>
      <c r="O2740" s="46" t="s">
        <v>1976</v>
      </c>
      <c r="P2740" s="47"/>
      <c r="Q2740" s="47"/>
      <c r="R2740" s="48" t="s">
        <v>1976</v>
      </c>
    </row>
    <row r="2741">
      <c r="B2741" s="45"/>
      <c r="N2741" s="46" t="str">
        <f>IFERROR(__xludf.DUMMYFUNCTION("""COMPUTED_VALUE"""),"")</f>
        <v/>
      </c>
      <c r="O2741" s="46" t="s">
        <v>1976</v>
      </c>
      <c r="P2741" s="47"/>
      <c r="Q2741" s="47"/>
      <c r="R2741" s="48" t="s">
        <v>1976</v>
      </c>
    </row>
    <row r="2742">
      <c r="B2742" s="45"/>
      <c r="N2742" s="46" t="str">
        <f>IFERROR(__xludf.DUMMYFUNCTION("""COMPUTED_VALUE"""),"")</f>
        <v/>
      </c>
      <c r="O2742" s="46" t="s">
        <v>1976</v>
      </c>
      <c r="P2742" s="47"/>
      <c r="Q2742" s="47"/>
      <c r="R2742" s="48" t="s">
        <v>1976</v>
      </c>
    </row>
    <row r="2743">
      <c r="B2743" s="45"/>
      <c r="N2743" s="46" t="str">
        <f>IFERROR(__xludf.DUMMYFUNCTION("""COMPUTED_VALUE"""),"")</f>
        <v/>
      </c>
      <c r="O2743" s="46" t="s">
        <v>1976</v>
      </c>
      <c r="P2743" s="47"/>
      <c r="Q2743" s="47"/>
      <c r="R2743" s="48" t="s">
        <v>1976</v>
      </c>
    </row>
    <row r="2744">
      <c r="B2744" s="45"/>
      <c r="N2744" s="46" t="str">
        <f>IFERROR(__xludf.DUMMYFUNCTION("""COMPUTED_VALUE"""),"")</f>
        <v/>
      </c>
      <c r="O2744" s="46" t="s">
        <v>1976</v>
      </c>
      <c r="P2744" s="47"/>
      <c r="Q2744" s="47"/>
      <c r="R2744" s="48" t="s">
        <v>1976</v>
      </c>
    </row>
    <row r="2745">
      <c r="B2745" s="45"/>
      <c r="N2745" s="46" t="str">
        <f>IFERROR(__xludf.DUMMYFUNCTION("""COMPUTED_VALUE"""),"")</f>
        <v/>
      </c>
      <c r="O2745" s="46" t="s">
        <v>1976</v>
      </c>
      <c r="P2745" s="47"/>
      <c r="Q2745" s="47"/>
      <c r="R2745" s="48" t="s">
        <v>1976</v>
      </c>
    </row>
    <row r="2746">
      <c r="B2746" s="45"/>
      <c r="N2746" s="46" t="str">
        <f>IFERROR(__xludf.DUMMYFUNCTION("""COMPUTED_VALUE"""),"")</f>
        <v/>
      </c>
      <c r="O2746" s="46" t="s">
        <v>1976</v>
      </c>
      <c r="P2746" s="47"/>
      <c r="Q2746" s="47"/>
      <c r="R2746" s="48" t="s">
        <v>1976</v>
      </c>
    </row>
    <row r="2747">
      <c r="B2747" s="45"/>
      <c r="N2747" s="46" t="str">
        <f>IFERROR(__xludf.DUMMYFUNCTION("""COMPUTED_VALUE"""),"")</f>
        <v/>
      </c>
      <c r="O2747" s="46" t="s">
        <v>1976</v>
      </c>
      <c r="P2747" s="47"/>
      <c r="Q2747" s="47"/>
      <c r="R2747" s="48" t="s">
        <v>1976</v>
      </c>
    </row>
    <row r="2748">
      <c r="B2748" s="45"/>
      <c r="N2748" s="46" t="str">
        <f>IFERROR(__xludf.DUMMYFUNCTION("""COMPUTED_VALUE"""),"")</f>
        <v/>
      </c>
      <c r="O2748" s="46" t="s">
        <v>1976</v>
      </c>
      <c r="P2748" s="47"/>
      <c r="Q2748" s="47"/>
      <c r="R2748" s="48" t="s">
        <v>1976</v>
      </c>
    </row>
    <row r="2749">
      <c r="B2749" s="45"/>
      <c r="N2749" s="46" t="str">
        <f>IFERROR(__xludf.DUMMYFUNCTION("""COMPUTED_VALUE"""),"")</f>
        <v/>
      </c>
      <c r="O2749" s="46" t="s">
        <v>1976</v>
      </c>
      <c r="P2749" s="47"/>
      <c r="Q2749" s="47"/>
      <c r="R2749" s="48" t="s">
        <v>1976</v>
      </c>
    </row>
    <row r="2750">
      <c r="B2750" s="45"/>
      <c r="N2750" s="46" t="str">
        <f>IFERROR(__xludf.DUMMYFUNCTION("""COMPUTED_VALUE"""),"")</f>
        <v/>
      </c>
      <c r="O2750" s="46" t="s">
        <v>1976</v>
      </c>
      <c r="P2750" s="47"/>
      <c r="Q2750" s="47"/>
      <c r="R2750" s="48" t="s">
        <v>1976</v>
      </c>
    </row>
    <row r="2751">
      <c r="B2751" s="45"/>
      <c r="N2751" s="46" t="str">
        <f>IFERROR(__xludf.DUMMYFUNCTION("""COMPUTED_VALUE"""),"")</f>
        <v/>
      </c>
      <c r="O2751" s="46" t="s">
        <v>1976</v>
      </c>
      <c r="P2751" s="47"/>
      <c r="Q2751" s="47"/>
      <c r="R2751" s="48" t="s">
        <v>1976</v>
      </c>
    </row>
    <row r="2752">
      <c r="B2752" s="45"/>
      <c r="N2752" s="46" t="str">
        <f>IFERROR(__xludf.DUMMYFUNCTION("""COMPUTED_VALUE"""),"")</f>
        <v/>
      </c>
      <c r="O2752" s="46" t="s">
        <v>1976</v>
      </c>
      <c r="P2752" s="47"/>
      <c r="Q2752" s="47"/>
      <c r="R2752" s="48" t="s">
        <v>1976</v>
      </c>
    </row>
    <row r="2753">
      <c r="B2753" s="45"/>
      <c r="N2753" s="46" t="str">
        <f>IFERROR(__xludf.DUMMYFUNCTION("""COMPUTED_VALUE"""),"")</f>
        <v/>
      </c>
      <c r="O2753" s="46" t="s">
        <v>1976</v>
      </c>
      <c r="P2753" s="47"/>
      <c r="Q2753" s="47"/>
      <c r="R2753" s="48" t="s">
        <v>1976</v>
      </c>
    </row>
    <row r="2754">
      <c r="B2754" s="45"/>
      <c r="N2754" s="46" t="str">
        <f>IFERROR(__xludf.DUMMYFUNCTION("""COMPUTED_VALUE"""),"")</f>
        <v/>
      </c>
      <c r="O2754" s="46" t="s">
        <v>1976</v>
      </c>
      <c r="P2754" s="47"/>
      <c r="Q2754" s="47"/>
      <c r="R2754" s="48" t="s">
        <v>1976</v>
      </c>
    </row>
    <row r="2755">
      <c r="B2755" s="45"/>
      <c r="N2755" s="46" t="str">
        <f>IFERROR(__xludf.DUMMYFUNCTION("""COMPUTED_VALUE"""),"")</f>
        <v/>
      </c>
      <c r="O2755" s="46" t="s">
        <v>1976</v>
      </c>
      <c r="P2755" s="47"/>
      <c r="Q2755" s="47"/>
      <c r="R2755" s="48" t="s">
        <v>1976</v>
      </c>
    </row>
    <row r="2756">
      <c r="B2756" s="45"/>
      <c r="N2756" s="46" t="str">
        <f>IFERROR(__xludf.DUMMYFUNCTION("""COMPUTED_VALUE"""),"")</f>
        <v/>
      </c>
      <c r="O2756" s="46" t="s">
        <v>1976</v>
      </c>
      <c r="P2756" s="47"/>
      <c r="Q2756" s="47"/>
      <c r="R2756" s="48" t="s">
        <v>1976</v>
      </c>
    </row>
    <row r="2757">
      <c r="B2757" s="45"/>
      <c r="N2757" s="46" t="str">
        <f>IFERROR(__xludf.DUMMYFUNCTION("""COMPUTED_VALUE"""),"")</f>
        <v/>
      </c>
      <c r="O2757" s="46" t="s">
        <v>1976</v>
      </c>
      <c r="P2757" s="47"/>
      <c r="Q2757" s="47"/>
      <c r="R2757" s="48" t="s">
        <v>1976</v>
      </c>
    </row>
    <row r="2758">
      <c r="B2758" s="45"/>
      <c r="N2758" s="46" t="str">
        <f>IFERROR(__xludf.DUMMYFUNCTION("""COMPUTED_VALUE"""),"")</f>
        <v/>
      </c>
      <c r="O2758" s="46" t="s">
        <v>1976</v>
      </c>
      <c r="P2758" s="47"/>
      <c r="Q2758" s="47"/>
      <c r="R2758" s="48" t="s">
        <v>1976</v>
      </c>
    </row>
    <row r="2759">
      <c r="B2759" s="45"/>
      <c r="N2759" s="46" t="str">
        <f>IFERROR(__xludf.DUMMYFUNCTION("""COMPUTED_VALUE"""),"")</f>
        <v/>
      </c>
      <c r="O2759" s="46" t="s">
        <v>1976</v>
      </c>
      <c r="P2759" s="47"/>
      <c r="Q2759" s="47"/>
      <c r="R2759" s="48" t="s">
        <v>1976</v>
      </c>
    </row>
    <row r="2760">
      <c r="B2760" s="45"/>
      <c r="N2760" s="46" t="str">
        <f>IFERROR(__xludf.DUMMYFUNCTION("""COMPUTED_VALUE"""),"")</f>
        <v/>
      </c>
      <c r="O2760" s="46" t="s">
        <v>1976</v>
      </c>
      <c r="P2760" s="47"/>
      <c r="Q2760" s="47"/>
      <c r="R2760" s="48" t="s">
        <v>1976</v>
      </c>
    </row>
    <row r="2761">
      <c r="B2761" s="45"/>
      <c r="N2761" s="46" t="str">
        <f>IFERROR(__xludf.DUMMYFUNCTION("""COMPUTED_VALUE"""),"")</f>
        <v/>
      </c>
      <c r="O2761" s="46" t="s">
        <v>1976</v>
      </c>
      <c r="P2761" s="47"/>
      <c r="Q2761" s="47"/>
      <c r="R2761" s="48" t="s">
        <v>1976</v>
      </c>
    </row>
    <row r="2762">
      <c r="B2762" s="45"/>
      <c r="N2762" s="46" t="str">
        <f>IFERROR(__xludf.DUMMYFUNCTION("""COMPUTED_VALUE"""),"")</f>
        <v/>
      </c>
      <c r="O2762" s="46" t="s">
        <v>1976</v>
      </c>
      <c r="P2762" s="47"/>
      <c r="Q2762" s="47"/>
      <c r="R2762" s="48" t="s">
        <v>1976</v>
      </c>
    </row>
    <row r="2763">
      <c r="B2763" s="45"/>
      <c r="N2763" s="46" t="str">
        <f>IFERROR(__xludf.DUMMYFUNCTION("""COMPUTED_VALUE"""),"")</f>
        <v/>
      </c>
      <c r="O2763" s="46" t="s">
        <v>1976</v>
      </c>
      <c r="P2763" s="47"/>
      <c r="Q2763" s="47"/>
      <c r="R2763" s="48" t="s">
        <v>1976</v>
      </c>
    </row>
    <row r="2764">
      <c r="B2764" s="45"/>
      <c r="N2764" s="46" t="str">
        <f>IFERROR(__xludf.DUMMYFUNCTION("""COMPUTED_VALUE"""),"")</f>
        <v/>
      </c>
      <c r="O2764" s="46" t="s">
        <v>1976</v>
      </c>
      <c r="P2764" s="47"/>
      <c r="Q2764" s="47"/>
      <c r="R2764" s="48" t="s">
        <v>1976</v>
      </c>
    </row>
    <row r="2765">
      <c r="B2765" s="45"/>
      <c r="N2765" s="46" t="str">
        <f>IFERROR(__xludf.DUMMYFUNCTION("""COMPUTED_VALUE"""),"")</f>
        <v/>
      </c>
      <c r="O2765" s="46" t="s">
        <v>1976</v>
      </c>
      <c r="P2765" s="47"/>
      <c r="Q2765" s="47"/>
      <c r="R2765" s="48" t="s">
        <v>1976</v>
      </c>
    </row>
    <row r="2766">
      <c r="B2766" s="45"/>
      <c r="N2766" s="46" t="str">
        <f>IFERROR(__xludf.DUMMYFUNCTION("""COMPUTED_VALUE"""),"")</f>
        <v/>
      </c>
      <c r="O2766" s="46" t="s">
        <v>1976</v>
      </c>
      <c r="P2766" s="47"/>
      <c r="Q2766" s="47"/>
      <c r="R2766" s="48" t="s">
        <v>1976</v>
      </c>
    </row>
    <row r="2767">
      <c r="B2767" s="45"/>
      <c r="N2767" s="46" t="str">
        <f>IFERROR(__xludf.DUMMYFUNCTION("""COMPUTED_VALUE"""),"")</f>
        <v/>
      </c>
      <c r="O2767" s="46" t="s">
        <v>1976</v>
      </c>
      <c r="P2767" s="47"/>
      <c r="Q2767" s="47"/>
      <c r="R2767" s="48" t="s">
        <v>1976</v>
      </c>
    </row>
    <row r="2768">
      <c r="B2768" s="45"/>
      <c r="N2768" s="46" t="str">
        <f>IFERROR(__xludf.DUMMYFUNCTION("""COMPUTED_VALUE"""),"")</f>
        <v/>
      </c>
      <c r="O2768" s="46" t="s">
        <v>1976</v>
      </c>
      <c r="P2768" s="47"/>
      <c r="Q2768" s="47"/>
      <c r="R2768" s="48" t="s">
        <v>1976</v>
      </c>
    </row>
    <row r="2769">
      <c r="B2769" s="45"/>
      <c r="N2769" s="46" t="str">
        <f>IFERROR(__xludf.DUMMYFUNCTION("""COMPUTED_VALUE"""),"")</f>
        <v/>
      </c>
      <c r="O2769" s="46" t="s">
        <v>1976</v>
      </c>
      <c r="P2769" s="47"/>
      <c r="Q2769" s="47"/>
      <c r="R2769" s="48" t="s">
        <v>1976</v>
      </c>
    </row>
    <row r="2770">
      <c r="B2770" s="45"/>
      <c r="N2770" s="46" t="str">
        <f>IFERROR(__xludf.DUMMYFUNCTION("""COMPUTED_VALUE"""),"")</f>
        <v/>
      </c>
      <c r="O2770" s="46" t="s">
        <v>1976</v>
      </c>
      <c r="P2770" s="47"/>
      <c r="Q2770" s="47"/>
      <c r="R2770" s="48" t="s">
        <v>1976</v>
      </c>
    </row>
    <row r="2771">
      <c r="B2771" s="45"/>
      <c r="N2771" s="46" t="str">
        <f>IFERROR(__xludf.DUMMYFUNCTION("""COMPUTED_VALUE"""),"")</f>
        <v/>
      </c>
      <c r="O2771" s="46" t="s">
        <v>1976</v>
      </c>
      <c r="P2771" s="47"/>
      <c r="Q2771" s="47"/>
      <c r="R2771" s="48" t="s">
        <v>1976</v>
      </c>
    </row>
    <row r="2772">
      <c r="B2772" s="45"/>
      <c r="N2772" s="46" t="str">
        <f>IFERROR(__xludf.DUMMYFUNCTION("""COMPUTED_VALUE"""),"")</f>
        <v/>
      </c>
      <c r="O2772" s="46" t="s">
        <v>1976</v>
      </c>
      <c r="P2772" s="47"/>
      <c r="Q2772" s="47"/>
      <c r="R2772" s="48" t="s">
        <v>1976</v>
      </c>
    </row>
    <row r="2773">
      <c r="B2773" s="45"/>
      <c r="N2773" s="46" t="str">
        <f>IFERROR(__xludf.DUMMYFUNCTION("""COMPUTED_VALUE"""),"")</f>
        <v/>
      </c>
      <c r="O2773" s="46" t="s">
        <v>1976</v>
      </c>
      <c r="P2773" s="47"/>
      <c r="Q2773" s="47"/>
      <c r="R2773" s="48" t="s">
        <v>1976</v>
      </c>
    </row>
    <row r="2774">
      <c r="B2774" s="45"/>
      <c r="N2774" s="46" t="str">
        <f>IFERROR(__xludf.DUMMYFUNCTION("""COMPUTED_VALUE"""),"")</f>
        <v/>
      </c>
      <c r="O2774" s="46" t="s">
        <v>1976</v>
      </c>
      <c r="P2774" s="47"/>
      <c r="Q2774" s="47"/>
      <c r="R2774" s="48" t="s">
        <v>1976</v>
      </c>
    </row>
    <row r="2775">
      <c r="B2775" s="45"/>
      <c r="N2775" s="46" t="str">
        <f>IFERROR(__xludf.DUMMYFUNCTION("""COMPUTED_VALUE"""),"")</f>
        <v/>
      </c>
      <c r="O2775" s="46" t="s">
        <v>1976</v>
      </c>
      <c r="P2775" s="47"/>
      <c r="Q2775" s="47"/>
      <c r="R2775" s="48" t="s">
        <v>1976</v>
      </c>
    </row>
    <row r="2776">
      <c r="B2776" s="45"/>
      <c r="N2776" s="46" t="str">
        <f>IFERROR(__xludf.DUMMYFUNCTION("""COMPUTED_VALUE"""),"")</f>
        <v/>
      </c>
      <c r="O2776" s="46" t="s">
        <v>1976</v>
      </c>
      <c r="P2776" s="47"/>
      <c r="Q2776" s="47"/>
      <c r="R2776" s="48" t="s">
        <v>1976</v>
      </c>
    </row>
    <row r="2777">
      <c r="B2777" s="45"/>
      <c r="N2777" s="46" t="str">
        <f>IFERROR(__xludf.DUMMYFUNCTION("""COMPUTED_VALUE"""),"")</f>
        <v/>
      </c>
      <c r="O2777" s="46" t="s">
        <v>1976</v>
      </c>
      <c r="P2777" s="47"/>
      <c r="Q2777" s="47"/>
      <c r="R2777" s="48" t="s">
        <v>1976</v>
      </c>
    </row>
    <row r="2778">
      <c r="B2778" s="45"/>
      <c r="N2778" s="46" t="str">
        <f>IFERROR(__xludf.DUMMYFUNCTION("""COMPUTED_VALUE"""),"")</f>
        <v/>
      </c>
      <c r="O2778" s="46" t="s">
        <v>1976</v>
      </c>
      <c r="P2778" s="47"/>
      <c r="Q2778" s="47"/>
      <c r="R2778" s="48" t="s">
        <v>1976</v>
      </c>
    </row>
    <row r="2779">
      <c r="B2779" s="45"/>
      <c r="N2779" s="46" t="str">
        <f>IFERROR(__xludf.DUMMYFUNCTION("""COMPUTED_VALUE"""),"")</f>
        <v/>
      </c>
      <c r="O2779" s="46" t="s">
        <v>1976</v>
      </c>
      <c r="P2779" s="47"/>
      <c r="Q2779" s="47"/>
      <c r="R2779" s="48" t="s">
        <v>1976</v>
      </c>
    </row>
    <row r="2780">
      <c r="B2780" s="45"/>
      <c r="N2780" s="46" t="str">
        <f>IFERROR(__xludf.DUMMYFUNCTION("""COMPUTED_VALUE"""),"")</f>
        <v/>
      </c>
      <c r="O2780" s="46" t="s">
        <v>1976</v>
      </c>
      <c r="P2780" s="47"/>
      <c r="Q2780" s="47"/>
      <c r="R2780" s="48" t="s">
        <v>1976</v>
      </c>
    </row>
    <row r="2781">
      <c r="B2781" s="45"/>
      <c r="N2781" s="46" t="str">
        <f>IFERROR(__xludf.DUMMYFUNCTION("""COMPUTED_VALUE"""),"")</f>
        <v/>
      </c>
      <c r="O2781" s="46" t="s">
        <v>1976</v>
      </c>
      <c r="P2781" s="47"/>
      <c r="Q2781" s="47"/>
      <c r="R2781" s="48" t="s">
        <v>1976</v>
      </c>
    </row>
    <row r="2782">
      <c r="B2782" s="45"/>
      <c r="N2782" s="46" t="str">
        <f>IFERROR(__xludf.DUMMYFUNCTION("""COMPUTED_VALUE"""),"")</f>
        <v/>
      </c>
      <c r="O2782" s="46" t="s">
        <v>1976</v>
      </c>
      <c r="P2782" s="47"/>
      <c r="Q2782" s="47"/>
      <c r="R2782" s="48" t="s">
        <v>1976</v>
      </c>
    </row>
    <row r="2783">
      <c r="B2783" s="45"/>
      <c r="N2783" s="46" t="str">
        <f>IFERROR(__xludf.DUMMYFUNCTION("""COMPUTED_VALUE"""),"")</f>
        <v/>
      </c>
      <c r="O2783" s="46" t="s">
        <v>1976</v>
      </c>
      <c r="P2783" s="47"/>
      <c r="Q2783" s="47"/>
      <c r="R2783" s="48" t="s">
        <v>1976</v>
      </c>
    </row>
    <row r="2784">
      <c r="B2784" s="45"/>
      <c r="N2784" s="46" t="str">
        <f>IFERROR(__xludf.DUMMYFUNCTION("""COMPUTED_VALUE"""),"")</f>
        <v/>
      </c>
      <c r="O2784" s="46" t="s">
        <v>1976</v>
      </c>
      <c r="P2784" s="47"/>
      <c r="Q2784" s="47"/>
      <c r="R2784" s="48" t="s">
        <v>1976</v>
      </c>
    </row>
    <row r="2785">
      <c r="B2785" s="45"/>
      <c r="N2785" s="46" t="str">
        <f>IFERROR(__xludf.DUMMYFUNCTION("""COMPUTED_VALUE"""),"")</f>
        <v/>
      </c>
      <c r="O2785" s="46" t="s">
        <v>1976</v>
      </c>
      <c r="P2785" s="47"/>
      <c r="Q2785" s="47"/>
      <c r="R2785" s="48" t="s">
        <v>1976</v>
      </c>
    </row>
    <row r="2786">
      <c r="B2786" s="45"/>
      <c r="N2786" s="46" t="str">
        <f>IFERROR(__xludf.DUMMYFUNCTION("""COMPUTED_VALUE"""),"")</f>
        <v/>
      </c>
      <c r="O2786" s="46" t="s">
        <v>1976</v>
      </c>
      <c r="P2786" s="47"/>
      <c r="Q2786" s="47"/>
      <c r="R2786" s="48" t="s">
        <v>1976</v>
      </c>
    </row>
    <row r="2787">
      <c r="B2787" s="45"/>
      <c r="N2787" s="46" t="str">
        <f>IFERROR(__xludf.DUMMYFUNCTION("""COMPUTED_VALUE"""),"")</f>
        <v/>
      </c>
      <c r="O2787" s="46" t="s">
        <v>1976</v>
      </c>
      <c r="P2787" s="47"/>
      <c r="Q2787" s="47"/>
      <c r="R2787" s="48" t="s">
        <v>1976</v>
      </c>
    </row>
    <row r="2788">
      <c r="B2788" s="45"/>
      <c r="N2788" s="46" t="str">
        <f>IFERROR(__xludf.DUMMYFUNCTION("""COMPUTED_VALUE"""),"")</f>
        <v/>
      </c>
      <c r="O2788" s="46" t="s">
        <v>1976</v>
      </c>
      <c r="P2788" s="47"/>
      <c r="Q2788" s="47"/>
      <c r="R2788" s="48" t="s">
        <v>1976</v>
      </c>
    </row>
    <row r="2789">
      <c r="B2789" s="45"/>
      <c r="N2789" s="46" t="str">
        <f>IFERROR(__xludf.DUMMYFUNCTION("""COMPUTED_VALUE"""),"")</f>
        <v/>
      </c>
      <c r="O2789" s="46" t="s">
        <v>1976</v>
      </c>
      <c r="P2789" s="47"/>
      <c r="Q2789" s="47"/>
      <c r="R2789" s="48" t="s">
        <v>1976</v>
      </c>
    </row>
    <row r="2790">
      <c r="B2790" s="45"/>
      <c r="N2790" s="46" t="str">
        <f>IFERROR(__xludf.DUMMYFUNCTION("""COMPUTED_VALUE"""),"")</f>
        <v/>
      </c>
      <c r="O2790" s="46" t="s">
        <v>1976</v>
      </c>
      <c r="P2790" s="47"/>
      <c r="Q2790" s="47"/>
      <c r="R2790" s="48" t="s">
        <v>1976</v>
      </c>
    </row>
    <row r="2791">
      <c r="B2791" s="45"/>
      <c r="N2791" s="46" t="str">
        <f>IFERROR(__xludf.DUMMYFUNCTION("""COMPUTED_VALUE"""),"")</f>
        <v/>
      </c>
      <c r="O2791" s="46" t="s">
        <v>1976</v>
      </c>
      <c r="P2791" s="47"/>
      <c r="Q2791" s="47"/>
      <c r="R2791" s="48" t="s">
        <v>1976</v>
      </c>
    </row>
    <row r="2792">
      <c r="B2792" s="45"/>
      <c r="N2792" s="46" t="str">
        <f>IFERROR(__xludf.DUMMYFUNCTION("""COMPUTED_VALUE"""),"")</f>
        <v/>
      </c>
      <c r="O2792" s="46" t="s">
        <v>1976</v>
      </c>
      <c r="P2792" s="47"/>
      <c r="Q2792" s="47"/>
      <c r="R2792" s="48" t="s">
        <v>1976</v>
      </c>
    </row>
    <row r="2793">
      <c r="B2793" s="45"/>
      <c r="N2793" s="46" t="str">
        <f>IFERROR(__xludf.DUMMYFUNCTION("""COMPUTED_VALUE"""),"")</f>
        <v/>
      </c>
      <c r="O2793" s="46" t="s">
        <v>1976</v>
      </c>
      <c r="P2793" s="47"/>
      <c r="Q2793" s="47"/>
      <c r="R2793" s="48" t="s">
        <v>1976</v>
      </c>
    </row>
    <row r="2794">
      <c r="B2794" s="45"/>
      <c r="N2794" s="46" t="str">
        <f>IFERROR(__xludf.DUMMYFUNCTION("""COMPUTED_VALUE"""),"")</f>
        <v/>
      </c>
      <c r="O2794" s="46" t="s">
        <v>1976</v>
      </c>
      <c r="P2794" s="47"/>
      <c r="Q2794" s="47"/>
      <c r="R2794" s="48" t="s">
        <v>1976</v>
      </c>
    </row>
    <row r="2795">
      <c r="B2795" s="45"/>
      <c r="N2795" s="46" t="str">
        <f>IFERROR(__xludf.DUMMYFUNCTION("""COMPUTED_VALUE"""),"")</f>
        <v/>
      </c>
      <c r="O2795" s="46" t="s">
        <v>1976</v>
      </c>
      <c r="P2795" s="47"/>
      <c r="Q2795" s="47"/>
      <c r="R2795" s="48" t="s">
        <v>1976</v>
      </c>
    </row>
    <row r="2796">
      <c r="B2796" s="45"/>
      <c r="N2796" s="46" t="str">
        <f>IFERROR(__xludf.DUMMYFUNCTION("""COMPUTED_VALUE"""),"")</f>
        <v/>
      </c>
      <c r="O2796" s="46" t="s">
        <v>1976</v>
      </c>
      <c r="P2796" s="47"/>
      <c r="Q2796" s="47"/>
      <c r="R2796" s="48" t="s">
        <v>1976</v>
      </c>
    </row>
    <row r="2797">
      <c r="B2797" s="45"/>
      <c r="N2797" s="46" t="str">
        <f>IFERROR(__xludf.DUMMYFUNCTION("""COMPUTED_VALUE"""),"")</f>
        <v/>
      </c>
      <c r="O2797" s="46" t="s">
        <v>1976</v>
      </c>
      <c r="P2797" s="47"/>
      <c r="Q2797" s="47"/>
      <c r="R2797" s="48" t="s">
        <v>1976</v>
      </c>
    </row>
    <row r="2798">
      <c r="B2798" s="45"/>
      <c r="N2798" s="46" t="str">
        <f>IFERROR(__xludf.DUMMYFUNCTION("""COMPUTED_VALUE"""),"")</f>
        <v/>
      </c>
      <c r="O2798" s="46" t="s">
        <v>1976</v>
      </c>
      <c r="P2798" s="47"/>
      <c r="Q2798" s="47"/>
      <c r="R2798" s="48" t="s">
        <v>1976</v>
      </c>
    </row>
    <row r="2799">
      <c r="B2799" s="45"/>
      <c r="N2799" s="46" t="str">
        <f>IFERROR(__xludf.DUMMYFUNCTION("""COMPUTED_VALUE"""),"")</f>
        <v/>
      </c>
      <c r="O2799" s="46" t="s">
        <v>1976</v>
      </c>
      <c r="P2799" s="47"/>
      <c r="Q2799" s="47"/>
      <c r="R2799" s="48" t="s">
        <v>1976</v>
      </c>
    </row>
    <row r="2800">
      <c r="B2800" s="45"/>
      <c r="N2800" s="46" t="str">
        <f>IFERROR(__xludf.DUMMYFUNCTION("""COMPUTED_VALUE"""),"")</f>
        <v/>
      </c>
      <c r="O2800" s="46" t="s">
        <v>1976</v>
      </c>
      <c r="P2800" s="47"/>
      <c r="Q2800" s="47"/>
      <c r="R2800" s="48" t="s">
        <v>1976</v>
      </c>
    </row>
    <row r="2801">
      <c r="B2801" s="45"/>
      <c r="N2801" s="46" t="str">
        <f>IFERROR(__xludf.DUMMYFUNCTION("""COMPUTED_VALUE"""),"")</f>
        <v/>
      </c>
      <c r="O2801" s="46" t="s">
        <v>1976</v>
      </c>
      <c r="P2801" s="47"/>
      <c r="Q2801" s="47"/>
      <c r="R2801" s="48" t="s">
        <v>1976</v>
      </c>
    </row>
    <row r="2802">
      <c r="B2802" s="45"/>
      <c r="N2802" s="46" t="str">
        <f>IFERROR(__xludf.DUMMYFUNCTION("""COMPUTED_VALUE"""),"")</f>
        <v/>
      </c>
      <c r="O2802" s="46" t="s">
        <v>1976</v>
      </c>
      <c r="P2802" s="47"/>
      <c r="Q2802" s="47"/>
      <c r="R2802" s="48" t="s">
        <v>1976</v>
      </c>
    </row>
    <row r="2803">
      <c r="B2803" s="45"/>
      <c r="N2803" s="46" t="str">
        <f>IFERROR(__xludf.DUMMYFUNCTION("""COMPUTED_VALUE"""),"")</f>
        <v/>
      </c>
      <c r="O2803" s="46" t="s">
        <v>1976</v>
      </c>
      <c r="P2803" s="47"/>
      <c r="Q2803" s="47"/>
      <c r="R2803" s="48" t="s">
        <v>1976</v>
      </c>
    </row>
    <row r="2804">
      <c r="B2804" s="45"/>
      <c r="N2804" s="46" t="str">
        <f>IFERROR(__xludf.DUMMYFUNCTION("""COMPUTED_VALUE"""),"")</f>
        <v/>
      </c>
      <c r="O2804" s="46" t="s">
        <v>1976</v>
      </c>
      <c r="P2804" s="47"/>
      <c r="Q2804" s="47"/>
      <c r="R2804" s="48" t="s">
        <v>1976</v>
      </c>
    </row>
    <row r="2805">
      <c r="B2805" s="45"/>
      <c r="N2805" s="46" t="str">
        <f>IFERROR(__xludf.DUMMYFUNCTION("""COMPUTED_VALUE"""),"")</f>
        <v/>
      </c>
      <c r="O2805" s="46" t="s">
        <v>1976</v>
      </c>
      <c r="P2805" s="47"/>
      <c r="Q2805" s="47"/>
      <c r="R2805" s="48" t="s">
        <v>1976</v>
      </c>
    </row>
    <row r="2806">
      <c r="B2806" s="45"/>
      <c r="N2806" s="46" t="str">
        <f>IFERROR(__xludf.DUMMYFUNCTION("""COMPUTED_VALUE"""),"")</f>
        <v/>
      </c>
      <c r="O2806" s="46" t="s">
        <v>1976</v>
      </c>
      <c r="P2806" s="47"/>
      <c r="Q2806" s="47"/>
      <c r="R2806" s="48" t="s">
        <v>1976</v>
      </c>
    </row>
    <row r="2807">
      <c r="B2807" s="45"/>
      <c r="N2807" s="46" t="str">
        <f>IFERROR(__xludf.DUMMYFUNCTION("""COMPUTED_VALUE"""),"")</f>
        <v/>
      </c>
      <c r="O2807" s="46" t="s">
        <v>1976</v>
      </c>
      <c r="P2807" s="47"/>
      <c r="Q2807" s="47"/>
      <c r="R2807" s="48" t="s">
        <v>1976</v>
      </c>
    </row>
    <row r="2808">
      <c r="B2808" s="45"/>
      <c r="N2808" s="46" t="str">
        <f>IFERROR(__xludf.DUMMYFUNCTION("""COMPUTED_VALUE"""),"")</f>
        <v/>
      </c>
      <c r="O2808" s="46" t="s">
        <v>1976</v>
      </c>
      <c r="P2808" s="47"/>
      <c r="Q2808" s="47"/>
      <c r="R2808" s="48" t="s">
        <v>1976</v>
      </c>
    </row>
    <row r="2809">
      <c r="B2809" s="45"/>
      <c r="N2809" s="46" t="str">
        <f>IFERROR(__xludf.DUMMYFUNCTION("""COMPUTED_VALUE"""),"")</f>
        <v/>
      </c>
      <c r="O2809" s="46" t="s">
        <v>1976</v>
      </c>
      <c r="P2809" s="47"/>
      <c r="Q2809" s="47"/>
      <c r="R2809" s="48" t="s">
        <v>1976</v>
      </c>
    </row>
    <row r="2810">
      <c r="B2810" s="45"/>
      <c r="N2810" s="46" t="str">
        <f>IFERROR(__xludf.DUMMYFUNCTION("""COMPUTED_VALUE"""),"")</f>
        <v/>
      </c>
      <c r="O2810" s="46" t="s">
        <v>1976</v>
      </c>
      <c r="P2810" s="47"/>
      <c r="Q2810" s="47"/>
      <c r="R2810" s="48" t="s">
        <v>1976</v>
      </c>
    </row>
    <row r="2811">
      <c r="B2811" s="45"/>
      <c r="N2811" s="46" t="str">
        <f>IFERROR(__xludf.DUMMYFUNCTION("""COMPUTED_VALUE"""),"")</f>
        <v/>
      </c>
      <c r="O2811" s="46" t="s">
        <v>1976</v>
      </c>
      <c r="P2811" s="47"/>
      <c r="Q2811" s="47"/>
      <c r="R2811" s="48" t="s">
        <v>1976</v>
      </c>
    </row>
    <row r="2812">
      <c r="B2812" s="45"/>
      <c r="N2812" s="46" t="str">
        <f>IFERROR(__xludf.DUMMYFUNCTION("""COMPUTED_VALUE"""),"")</f>
        <v/>
      </c>
      <c r="O2812" s="46" t="s">
        <v>1976</v>
      </c>
      <c r="P2812" s="47"/>
      <c r="Q2812" s="47"/>
      <c r="R2812" s="48" t="s">
        <v>1976</v>
      </c>
    </row>
    <row r="2813">
      <c r="B2813" s="45"/>
      <c r="N2813" s="46" t="str">
        <f>IFERROR(__xludf.DUMMYFUNCTION("""COMPUTED_VALUE"""),"")</f>
        <v/>
      </c>
      <c r="O2813" s="46" t="s">
        <v>1976</v>
      </c>
      <c r="P2813" s="47"/>
      <c r="Q2813" s="47"/>
      <c r="R2813" s="48" t="s">
        <v>1976</v>
      </c>
    </row>
    <row r="2814">
      <c r="B2814" s="45"/>
      <c r="N2814" s="46" t="str">
        <f>IFERROR(__xludf.DUMMYFUNCTION("""COMPUTED_VALUE"""),"")</f>
        <v/>
      </c>
      <c r="O2814" s="46" t="s">
        <v>1976</v>
      </c>
      <c r="P2814" s="47"/>
      <c r="Q2814" s="47"/>
      <c r="R2814" s="48" t="s">
        <v>1976</v>
      </c>
    </row>
    <row r="2815">
      <c r="B2815" s="45"/>
      <c r="N2815" s="46" t="str">
        <f>IFERROR(__xludf.DUMMYFUNCTION("""COMPUTED_VALUE"""),"")</f>
        <v/>
      </c>
      <c r="O2815" s="46" t="s">
        <v>1976</v>
      </c>
      <c r="P2815" s="47"/>
      <c r="Q2815" s="47"/>
      <c r="R2815" s="48" t="s">
        <v>1976</v>
      </c>
    </row>
    <row r="2816">
      <c r="B2816" s="45"/>
      <c r="N2816" s="46" t="str">
        <f>IFERROR(__xludf.DUMMYFUNCTION("""COMPUTED_VALUE"""),"")</f>
        <v/>
      </c>
      <c r="O2816" s="46" t="s">
        <v>1976</v>
      </c>
      <c r="P2816" s="47"/>
      <c r="Q2816" s="47"/>
      <c r="R2816" s="48" t="s">
        <v>1976</v>
      </c>
    </row>
    <row r="2817">
      <c r="B2817" s="45"/>
      <c r="N2817" s="46" t="str">
        <f>IFERROR(__xludf.DUMMYFUNCTION("""COMPUTED_VALUE"""),"")</f>
        <v/>
      </c>
      <c r="O2817" s="46" t="s">
        <v>1976</v>
      </c>
      <c r="P2817" s="47"/>
      <c r="Q2817" s="47"/>
      <c r="R2817" s="48" t="s">
        <v>1976</v>
      </c>
    </row>
    <row r="2818">
      <c r="B2818" s="45"/>
      <c r="N2818" s="46" t="str">
        <f>IFERROR(__xludf.DUMMYFUNCTION("""COMPUTED_VALUE"""),"")</f>
        <v/>
      </c>
      <c r="O2818" s="46" t="s">
        <v>1976</v>
      </c>
      <c r="P2818" s="47"/>
      <c r="Q2818" s="47"/>
      <c r="R2818" s="48" t="s">
        <v>1976</v>
      </c>
    </row>
    <row r="2819">
      <c r="B2819" s="45"/>
      <c r="N2819" s="46" t="str">
        <f>IFERROR(__xludf.DUMMYFUNCTION("""COMPUTED_VALUE"""),"")</f>
        <v/>
      </c>
      <c r="O2819" s="46" t="s">
        <v>1976</v>
      </c>
      <c r="P2819" s="47"/>
      <c r="Q2819" s="47"/>
      <c r="R2819" s="48" t="s">
        <v>1976</v>
      </c>
    </row>
    <row r="2820">
      <c r="B2820" s="45"/>
      <c r="N2820" s="46" t="str">
        <f>IFERROR(__xludf.DUMMYFUNCTION("""COMPUTED_VALUE"""),"")</f>
        <v/>
      </c>
      <c r="O2820" s="46" t="s">
        <v>1976</v>
      </c>
      <c r="P2820" s="47"/>
      <c r="Q2820" s="47"/>
      <c r="R2820" s="48" t="s">
        <v>1976</v>
      </c>
    </row>
    <row r="2821">
      <c r="B2821" s="45"/>
      <c r="N2821" s="46" t="str">
        <f>IFERROR(__xludf.DUMMYFUNCTION("""COMPUTED_VALUE"""),"")</f>
        <v/>
      </c>
      <c r="O2821" s="46" t="s">
        <v>1976</v>
      </c>
      <c r="P2821" s="47"/>
      <c r="Q2821" s="47"/>
      <c r="R2821" s="48" t="s">
        <v>1976</v>
      </c>
    </row>
    <row r="2822">
      <c r="B2822" s="45"/>
      <c r="N2822" s="46" t="str">
        <f>IFERROR(__xludf.DUMMYFUNCTION("""COMPUTED_VALUE"""),"")</f>
        <v/>
      </c>
      <c r="O2822" s="46" t="s">
        <v>1976</v>
      </c>
      <c r="P2822" s="47"/>
      <c r="Q2822" s="47"/>
      <c r="R2822" s="48" t="s">
        <v>1976</v>
      </c>
    </row>
    <row r="2823">
      <c r="B2823" s="45"/>
      <c r="N2823" s="46" t="str">
        <f>IFERROR(__xludf.DUMMYFUNCTION("""COMPUTED_VALUE"""),"")</f>
        <v/>
      </c>
      <c r="O2823" s="46" t="s">
        <v>1976</v>
      </c>
      <c r="P2823" s="47"/>
      <c r="Q2823" s="47"/>
      <c r="R2823" s="48" t="s">
        <v>1976</v>
      </c>
    </row>
    <row r="2824">
      <c r="B2824" s="45"/>
      <c r="N2824" s="46" t="str">
        <f>IFERROR(__xludf.DUMMYFUNCTION("""COMPUTED_VALUE"""),"")</f>
        <v/>
      </c>
      <c r="O2824" s="46" t="s">
        <v>1976</v>
      </c>
      <c r="P2824" s="47"/>
      <c r="Q2824" s="47"/>
      <c r="R2824" s="48" t="s">
        <v>1976</v>
      </c>
    </row>
    <row r="2825">
      <c r="B2825" s="45"/>
      <c r="N2825" s="46" t="str">
        <f>IFERROR(__xludf.DUMMYFUNCTION("""COMPUTED_VALUE"""),"")</f>
        <v/>
      </c>
      <c r="O2825" s="46" t="s">
        <v>1976</v>
      </c>
      <c r="P2825" s="47"/>
      <c r="Q2825" s="47"/>
      <c r="R2825" s="48" t="s">
        <v>1976</v>
      </c>
    </row>
    <row r="2826">
      <c r="B2826" s="45"/>
      <c r="N2826" s="46" t="str">
        <f>IFERROR(__xludf.DUMMYFUNCTION("""COMPUTED_VALUE"""),"")</f>
        <v/>
      </c>
      <c r="O2826" s="46" t="s">
        <v>1976</v>
      </c>
      <c r="P2826" s="47"/>
      <c r="Q2826" s="47"/>
      <c r="R2826" s="48" t="s">
        <v>1976</v>
      </c>
    </row>
    <row r="2827">
      <c r="B2827" s="45"/>
      <c r="N2827" s="46" t="str">
        <f>IFERROR(__xludf.DUMMYFUNCTION("""COMPUTED_VALUE"""),"")</f>
        <v/>
      </c>
      <c r="O2827" s="46" t="s">
        <v>1976</v>
      </c>
      <c r="P2827" s="47"/>
      <c r="Q2827" s="47"/>
      <c r="R2827" s="48" t="s">
        <v>1976</v>
      </c>
    </row>
    <row r="2828">
      <c r="B2828" s="45"/>
      <c r="N2828" s="46" t="str">
        <f>IFERROR(__xludf.DUMMYFUNCTION("""COMPUTED_VALUE"""),"")</f>
        <v/>
      </c>
      <c r="O2828" s="46" t="s">
        <v>1976</v>
      </c>
      <c r="P2828" s="47"/>
      <c r="Q2828" s="47"/>
      <c r="R2828" s="48" t="s">
        <v>1976</v>
      </c>
    </row>
    <row r="2829">
      <c r="B2829" s="45"/>
      <c r="N2829" s="46" t="str">
        <f>IFERROR(__xludf.DUMMYFUNCTION("""COMPUTED_VALUE"""),"")</f>
        <v/>
      </c>
      <c r="O2829" s="46" t="s">
        <v>1976</v>
      </c>
      <c r="P2829" s="47"/>
      <c r="Q2829" s="47"/>
      <c r="R2829" s="48" t="s">
        <v>1976</v>
      </c>
    </row>
    <row r="2830">
      <c r="B2830" s="45"/>
      <c r="N2830" s="46" t="str">
        <f>IFERROR(__xludf.DUMMYFUNCTION("""COMPUTED_VALUE"""),"")</f>
        <v/>
      </c>
      <c r="O2830" s="46" t="s">
        <v>1976</v>
      </c>
      <c r="P2830" s="47"/>
      <c r="Q2830" s="47"/>
      <c r="R2830" s="48" t="s">
        <v>1976</v>
      </c>
    </row>
    <row r="2831">
      <c r="B2831" s="45"/>
      <c r="N2831" s="46" t="str">
        <f>IFERROR(__xludf.DUMMYFUNCTION("""COMPUTED_VALUE"""),"")</f>
        <v/>
      </c>
      <c r="O2831" s="46" t="s">
        <v>1976</v>
      </c>
      <c r="P2831" s="47"/>
      <c r="Q2831" s="47"/>
      <c r="R2831" s="48" t="s">
        <v>1976</v>
      </c>
    </row>
    <row r="2832">
      <c r="B2832" s="45"/>
      <c r="N2832" s="46" t="str">
        <f>IFERROR(__xludf.DUMMYFUNCTION("""COMPUTED_VALUE"""),"")</f>
        <v/>
      </c>
      <c r="O2832" s="46" t="s">
        <v>1976</v>
      </c>
      <c r="P2832" s="47"/>
      <c r="Q2832" s="47"/>
      <c r="R2832" s="48" t="s">
        <v>1976</v>
      </c>
    </row>
    <row r="2833">
      <c r="B2833" s="45"/>
      <c r="N2833" s="46" t="str">
        <f>IFERROR(__xludf.DUMMYFUNCTION("""COMPUTED_VALUE"""),"")</f>
        <v/>
      </c>
      <c r="O2833" s="46" t="s">
        <v>1976</v>
      </c>
      <c r="P2833" s="47"/>
      <c r="Q2833" s="47"/>
      <c r="R2833" s="48" t="s">
        <v>1976</v>
      </c>
    </row>
    <row r="2834">
      <c r="B2834" s="45"/>
      <c r="N2834" s="46" t="str">
        <f>IFERROR(__xludf.DUMMYFUNCTION("""COMPUTED_VALUE"""),"")</f>
        <v/>
      </c>
      <c r="O2834" s="46" t="s">
        <v>1976</v>
      </c>
      <c r="P2834" s="47"/>
      <c r="Q2834" s="47"/>
      <c r="R2834" s="48" t="s">
        <v>1976</v>
      </c>
    </row>
    <row r="2835">
      <c r="B2835" s="45"/>
      <c r="N2835" s="46" t="str">
        <f>IFERROR(__xludf.DUMMYFUNCTION("""COMPUTED_VALUE"""),"")</f>
        <v/>
      </c>
      <c r="O2835" s="46" t="s">
        <v>1976</v>
      </c>
      <c r="P2835" s="47"/>
      <c r="Q2835" s="47"/>
      <c r="R2835" s="48" t="s">
        <v>1976</v>
      </c>
    </row>
    <row r="2836">
      <c r="B2836" s="45"/>
      <c r="N2836" s="46" t="str">
        <f>IFERROR(__xludf.DUMMYFUNCTION("""COMPUTED_VALUE"""),"")</f>
        <v/>
      </c>
      <c r="O2836" s="46" t="s">
        <v>1976</v>
      </c>
      <c r="P2836" s="47"/>
      <c r="Q2836" s="47"/>
      <c r="R2836" s="48" t="s">
        <v>1976</v>
      </c>
    </row>
    <row r="2837">
      <c r="B2837" s="45"/>
      <c r="N2837" s="46" t="str">
        <f>IFERROR(__xludf.DUMMYFUNCTION("""COMPUTED_VALUE"""),"")</f>
        <v/>
      </c>
      <c r="O2837" s="46" t="s">
        <v>1976</v>
      </c>
      <c r="P2837" s="47"/>
      <c r="Q2837" s="47"/>
      <c r="R2837" s="48" t="s">
        <v>1976</v>
      </c>
    </row>
    <row r="2838">
      <c r="B2838" s="45"/>
      <c r="N2838" s="46" t="str">
        <f>IFERROR(__xludf.DUMMYFUNCTION("""COMPUTED_VALUE"""),"")</f>
        <v/>
      </c>
      <c r="O2838" s="46" t="s">
        <v>1976</v>
      </c>
      <c r="P2838" s="47"/>
      <c r="Q2838" s="47"/>
      <c r="R2838" s="48" t="s">
        <v>1976</v>
      </c>
    </row>
    <row r="2839">
      <c r="B2839" s="45"/>
      <c r="N2839" s="46" t="str">
        <f>IFERROR(__xludf.DUMMYFUNCTION("""COMPUTED_VALUE"""),"")</f>
        <v/>
      </c>
      <c r="O2839" s="46" t="s">
        <v>1976</v>
      </c>
      <c r="P2839" s="47"/>
      <c r="Q2839" s="47"/>
      <c r="R2839" s="48" t="s">
        <v>1976</v>
      </c>
    </row>
    <row r="2840">
      <c r="B2840" s="45"/>
      <c r="N2840" s="46" t="str">
        <f>IFERROR(__xludf.DUMMYFUNCTION("""COMPUTED_VALUE"""),"")</f>
        <v/>
      </c>
      <c r="O2840" s="46" t="s">
        <v>1976</v>
      </c>
      <c r="P2840" s="47"/>
      <c r="Q2840" s="47"/>
      <c r="R2840" s="48" t="s">
        <v>1976</v>
      </c>
    </row>
    <row r="2841">
      <c r="B2841" s="45"/>
      <c r="N2841" s="46" t="str">
        <f>IFERROR(__xludf.DUMMYFUNCTION("""COMPUTED_VALUE"""),"")</f>
        <v/>
      </c>
      <c r="O2841" s="46" t="s">
        <v>1976</v>
      </c>
      <c r="P2841" s="47"/>
      <c r="Q2841" s="47"/>
      <c r="R2841" s="48" t="s">
        <v>1976</v>
      </c>
    </row>
    <row r="2842">
      <c r="B2842" s="45"/>
      <c r="N2842" s="46" t="str">
        <f>IFERROR(__xludf.DUMMYFUNCTION("""COMPUTED_VALUE"""),"")</f>
        <v/>
      </c>
      <c r="O2842" s="46" t="s">
        <v>1976</v>
      </c>
      <c r="P2842" s="47"/>
      <c r="Q2842" s="47"/>
      <c r="R2842" s="48" t="s">
        <v>1976</v>
      </c>
    </row>
    <row r="2843">
      <c r="B2843" s="45"/>
      <c r="N2843" s="46" t="str">
        <f>IFERROR(__xludf.DUMMYFUNCTION("""COMPUTED_VALUE"""),"")</f>
        <v/>
      </c>
      <c r="O2843" s="46" t="s">
        <v>1976</v>
      </c>
      <c r="P2843" s="47"/>
      <c r="Q2843" s="47"/>
      <c r="R2843" s="48" t="s">
        <v>1976</v>
      </c>
    </row>
    <row r="2844">
      <c r="B2844" s="45"/>
      <c r="N2844" s="46" t="str">
        <f>IFERROR(__xludf.DUMMYFUNCTION("""COMPUTED_VALUE"""),"")</f>
        <v/>
      </c>
      <c r="O2844" s="46" t="s">
        <v>1976</v>
      </c>
      <c r="P2844" s="47"/>
      <c r="Q2844" s="47"/>
      <c r="R2844" s="48" t="s">
        <v>1976</v>
      </c>
    </row>
    <row r="2845">
      <c r="B2845" s="45"/>
      <c r="N2845" s="46" t="str">
        <f>IFERROR(__xludf.DUMMYFUNCTION("""COMPUTED_VALUE"""),"")</f>
        <v/>
      </c>
      <c r="O2845" s="46" t="s">
        <v>1976</v>
      </c>
      <c r="P2845" s="47"/>
      <c r="Q2845" s="47"/>
      <c r="R2845" s="48" t="s">
        <v>1976</v>
      </c>
    </row>
    <row r="2846">
      <c r="B2846" s="45"/>
      <c r="N2846" s="46" t="str">
        <f>IFERROR(__xludf.DUMMYFUNCTION("""COMPUTED_VALUE"""),"")</f>
        <v/>
      </c>
      <c r="O2846" s="46" t="s">
        <v>1976</v>
      </c>
      <c r="P2846" s="47"/>
      <c r="Q2846" s="47"/>
      <c r="R2846" s="48" t="s">
        <v>1976</v>
      </c>
    </row>
    <row r="2847">
      <c r="B2847" s="45"/>
      <c r="N2847" s="46" t="str">
        <f>IFERROR(__xludf.DUMMYFUNCTION("""COMPUTED_VALUE"""),"")</f>
        <v/>
      </c>
      <c r="O2847" s="46" t="s">
        <v>1976</v>
      </c>
      <c r="P2847" s="47"/>
      <c r="Q2847" s="47"/>
      <c r="R2847" s="48" t="s">
        <v>1976</v>
      </c>
    </row>
    <row r="2848">
      <c r="B2848" s="45"/>
      <c r="N2848" s="46" t="str">
        <f>IFERROR(__xludf.DUMMYFUNCTION("""COMPUTED_VALUE"""),"")</f>
        <v/>
      </c>
      <c r="O2848" s="46" t="s">
        <v>1976</v>
      </c>
      <c r="P2848" s="47"/>
      <c r="Q2848" s="47"/>
      <c r="R2848" s="48" t="s">
        <v>1976</v>
      </c>
    </row>
    <row r="2849">
      <c r="B2849" s="45"/>
      <c r="N2849" s="46" t="str">
        <f>IFERROR(__xludf.DUMMYFUNCTION("""COMPUTED_VALUE"""),"")</f>
        <v/>
      </c>
      <c r="O2849" s="46" t="s">
        <v>1976</v>
      </c>
      <c r="P2849" s="47"/>
      <c r="Q2849" s="47"/>
      <c r="R2849" s="48" t="s">
        <v>1976</v>
      </c>
    </row>
    <row r="2850">
      <c r="B2850" s="45"/>
      <c r="N2850" s="46" t="str">
        <f>IFERROR(__xludf.DUMMYFUNCTION("""COMPUTED_VALUE"""),"")</f>
        <v/>
      </c>
      <c r="O2850" s="46" t="s">
        <v>1976</v>
      </c>
      <c r="P2850" s="47"/>
      <c r="Q2850" s="47"/>
      <c r="R2850" s="48" t="s">
        <v>1976</v>
      </c>
    </row>
    <row r="2851">
      <c r="B2851" s="45"/>
      <c r="N2851" s="46" t="str">
        <f>IFERROR(__xludf.DUMMYFUNCTION("""COMPUTED_VALUE"""),"")</f>
        <v/>
      </c>
      <c r="O2851" s="46" t="s">
        <v>1976</v>
      </c>
      <c r="P2851" s="47"/>
      <c r="Q2851" s="47"/>
      <c r="R2851" s="48" t="s">
        <v>1976</v>
      </c>
    </row>
    <row r="2852">
      <c r="B2852" s="45"/>
      <c r="N2852" s="46" t="str">
        <f>IFERROR(__xludf.DUMMYFUNCTION("""COMPUTED_VALUE"""),"")</f>
        <v/>
      </c>
      <c r="O2852" s="46" t="s">
        <v>1976</v>
      </c>
      <c r="P2852" s="47"/>
      <c r="Q2852" s="47"/>
      <c r="R2852" s="48" t="s">
        <v>1976</v>
      </c>
    </row>
    <row r="2853">
      <c r="B2853" s="45"/>
      <c r="N2853" s="46" t="str">
        <f>IFERROR(__xludf.DUMMYFUNCTION("""COMPUTED_VALUE"""),"")</f>
        <v/>
      </c>
      <c r="O2853" s="46" t="s">
        <v>1976</v>
      </c>
      <c r="P2853" s="47"/>
      <c r="Q2853" s="47"/>
      <c r="R2853" s="48" t="s">
        <v>1976</v>
      </c>
    </row>
    <row r="2854">
      <c r="B2854" s="45"/>
      <c r="N2854" s="46" t="str">
        <f>IFERROR(__xludf.DUMMYFUNCTION("""COMPUTED_VALUE"""),"")</f>
        <v/>
      </c>
      <c r="O2854" s="46" t="s">
        <v>1976</v>
      </c>
      <c r="P2854" s="47"/>
      <c r="Q2854" s="47"/>
      <c r="R2854" s="48" t="s">
        <v>1976</v>
      </c>
    </row>
    <row r="2855">
      <c r="B2855" s="45"/>
      <c r="N2855" s="46" t="str">
        <f>IFERROR(__xludf.DUMMYFUNCTION("""COMPUTED_VALUE"""),"")</f>
        <v/>
      </c>
      <c r="O2855" s="46" t="s">
        <v>1976</v>
      </c>
      <c r="P2855" s="47"/>
      <c r="Q2855" s="47"/>
      <c r="R2855" s="48" t="s">
        <v>1976</v>
      </c>
    </row>
    <row r="2856">
      <c r="B2856" s="45"/>
      <c r="N2856" s="46" t="str">
        <f>IFERROR(__xludf.DUMMYFUNCTION("""COMPUTED_VALUE"""),"")</f>
        <v/>
      </c>
      <c r="O2856" s="46" t="s">
        <v>1976</v>
      </c>
      <c r="P2856" s="47"/>
      <c r="Q2856" s="47"/>
      <c r="R2856" s="48" t="s">
        <v>1976</v>
      </c>
    </row>
    <row r="2857">
      <c r="B2857" s="45"/>
      <c r="N2857" s="46" t="str">
        <f>IFERROR(__xludf.DUMMYFUNCTION("""COMPUTED_VALUE"""),"")</f>
        <v/>
      </c>
      <c r="O2857" s="46" t="s">
        <v>1976</v>
      </c>
      <c r="P2857" s="47"/>
      <c r="Q2857" s="47"/>
      <c r="R2857" s="48" t="s">
        <v>1976</v>
      </c>
    </row>
    <row r="2858">
      <c r="B2858" s="45"/>
      <c r="N2858" s="46" t="str">
        <f>IFERROR(__xludf.DUMMYFUNCTION("""COMPUTED_VALUE"""),"")</f>
        <v/>
      </c>
      <c r="O2858" s="46" t="s">
        <v>1976</v>
      </c>
      <c r="P2858" s="47"/>
      <c r="Q2858" s="47"/>
      <c r="R2858" s="48" t="s">
        <v>1976</v>
      </c>
    </row>
    <row r="2859">
      <c r="B2859" s="45"/>
      <c r="N2859" s="46" t="str">
        <f>IFERROR(__xludf.DUMMYFUNCTION("""COMPUTED_VALUE"""),"")</f>
        <v/>
      </c>
      <c r="O2859" s="46" t="s">
        <v>1976</v>
      </c>
      <c r="P2859" s="47"/>
      <c r="Q2859" s="47"/>
      <c r="R2859" s="48" t="s">
        <v>1976</v>
      </c>
    </row>
    <row r="2860">
      <c r="B2860" s="45"/>
      <c r="N2860" s="46" t="str">
        <f>IFERROR(__xludf.DUMMYFUNCTION("""COMPUTED_VALUE"""),"")</f>
        <v/>
      </c>
      <c r="O2860" s="46" t="s">
        <v>1976</v>
      </c>
      <c r="P2860" s="47"/>
      <c r="Q2860" s="47"/>
      <c r="R2860" s="48" t="s">
        <v>1976</v>
      </c>
    </row>
    <row r="2861">
      <c r="B2861" s="45"/>
      <c r="N2861" s="46" t="str">
        <f>IFERROR(__xludf.DUMMYFUNCTION("""COMPUTED_VALUE"""),"")</f>
        <v/>
      </c>
      <c r="O2861" s="46" t="s">
        <v>1976</v>
      </c>
      <c r="P2861" s="47"/>
      <c r="Q2861" s="47"/>
      <c r="R2861" s="48" t="s">
        <v>1976</v>
      </c>
    </row>
    <row r="2862">
      <c r="B2862" s="45"/>
      <c r="N2862" s="46" t="str">
        <f>IFERROR(__xludf.DUMMYFUNCTION("""COMPUTED_VALUE"""),"")</f>
        <v/>
      </c>
      <c r="O2862" s="46" t="s">
        <v>1976</v>
      </c>
      <c r="P2862" s="47"/>
      <c r="Q2862" s="47"/>
      <c r="R2862" s="48" t="s">
        <v>1976</v>
      </c>
    </row>
    <row r="2863">
      <c r="B2863" s="45"/>
      <c r="N2863" s="46" t="str">
        <f>IFERROR(__xludf.DUMMYFUNCTION("""COMPUTED_VALUE"""),"")</f>
        <v/>
      </c>
      <c r="O2863" s="46" t="s">
        <v>1976</v>
      </c>
      <c r="P2863" s="47"/>
      <c r="Q2863" s="47"/>
      <c r="R2863" s="48" t="s">
        <v>1976</v>
      </c>
    </row>
    <row r="2864">
      <c r="B2864" s="45"/>
      <c r="N2864" s="46" t="str">
        <f>IFERROR(__xludf.DUMMYFUNCTION("""COMPUTED_VALUE"""),"")</f>
        <v/>
      </c>
      <c r="O2864" s="46" t="s">
        <v>1976</v>
      </c>
      <c r="P2864" s="47"/>
      <c r="Q2864" s="47"/>
      <c r="R2864" s="48" t="s">
        <v>1976</v>
      </c>
    </row>
    <row r="2865">
      <c r="B2865" s="45"/>
      <c r="N2865" s="46" t="str">
        <f>IFERROR(__xludf.DUMMYFUNCTION("""COMPUTED_VALUE"""),"")</f>
        <v/>
      </c>
      <c r="O2865" s="46" t="s">
        <v>1976</v>
      </c>
      <c r="P2865" s="47"/>
      <c r="Q2865" s="47"/>
      <c r="R2865" s="48" t="s">
        <v>1976</v>
      </c>
    </row>
    <row r="2866">
      <c r="B2866" s="45"/>
      <c r="N2866" s="46" t="str">
        <f>IFERROR(__xludf.DUMMYFUNCTION("""COMPUTED_VALUE"""),"")</f>
        <v/>
      </c>
      <c r="O2866" s="46" t="s">
        <v>1976</v>
      </c>
      <c r="P2866" s="47"/>
      <c r="Q2866" s="47"/>
      <c r="R2866" s="48" t="s">
        <v>1976</v>
      </c>
    </row>
    <row r="2867">
      <c r="B2867" s="45"/>
      <c r="N2867" s="46" t="str">
        <f>IFERROR(__xludf.DUMMYFUNCTION("""COMPUTED_VALUE"""),"")</f>
        <v/>
      </c>
      <c r="O2867" s="46" t="s">
        <v>1976</v>
      </c>
      <c r="P2867" s="47"/>
      <c r="Q2867" s="47"/>
      <c r="R2867" s="48" t="s">
        <v>1976</v>
      </c>
    </row>
    <row r="2868">
      <c r="B2868" s="45"/>
      <c r="N2868" s="46" t="str">
        <f>IFERROR(__xludf.DUMMYFUNCTION("""COMPUTED_VALUE"""),"")</f>
        <v/>
      </c>
      <c r="O2868" s="46" t="s">
        <v>1976</v>
      </c>
      <c r="P2868" s="47"/>
      <c r="Q2868" s="47"/>
      <c r="R2868" s="48" t="s">
        <v>1976</v>
      </c>
    </row>
    <row r="2869">
      <c r="B2869" s="45"/>
      <c r="N2869" s="46" t="str">
        <f>IFERROR(__xludf.DUMMYFUNCTION("""COMPUTED_VALUE"""),"")</f>
        <v/>
      </c>
      <c r="O2869" s="46" t="s">
        <v>1976</v>
      </c>
      <c r="P2869" s="47"/>
      <c r="Q2869" s="47"/>
      <c r="R2869" s="48" t="s">
        <v>1976</v>
      </c>
    </row>
    <row r="2870">
      <c r="B2870" s="45"/>
      <c r="N2870" s="46" t="str">
        <f>IFERROR(__xludf.DUMMYFUNCTION("""COMPUTED_VALUE"""),"")</f>
        <v/>
      </c>
      <c r="O2870" s="46" t="s">
        <v>1976</v>
      </c>
      <c r="P2870" s="47"/>
      <c r="Q2870" s="47"/>
      <c r="R2870" s="48" t="s">
        <v>1976</v>
      </c>
    </row>
    <row r="2871">
      <c r="B2871" s="45"/>
      <c r="N2871" s="46" t="str">
        <f>IFERROR(__xludf.DUMMYFUNCTION("""COMPUTED_VALUE"""),"")</f>
        <v/>
      </c>
      <c r="O2871" s="46" t="s">
        <v>1976</v>
      </c>
      <c r="P2871" s="47"/>
      <c r="Q2871" s="47"/>
      <c r="R2871" s="48" t="s">
        <v>1976</v>
      </c>
    </row>
    <row r="2872">
      <c r="B2872" s="45"/>
      <c r="N2872" s="46" t="str">
        <f>IFERROR(__xludf.DUMMYFUNCTION("""COMPUTED_VALUE"""),"")</f>
        <v/>
      </c>
      <c r="O2872" s="46" t="s">
        <v>1976</v>
      </c>
      <c r="P2872" s="47"/>
      <c r="Q2872" s="47"/>
      <c r="R2872" s="48" t="s">
        <v>1976</v>
      </c>
    </row>
    <row r="2873">
      <c r="B2873" s="45"/>
      <c r="N2873" s="46" t="str">
        <f>IFERROR(__xludf.DUMMYFUNCTION("""COMPUTED_VALUE"""),"")</f>
        <v/>
      </c>
      <c r="O2873" s="46" t="s">
        <v>1976</v>
      </c>
      <c r="P2873" s="47"/>
      <c r="Q2873" s="47"/>
      <c r="R2873" s="48" t="s">
        <v>1976</v>
      </c>
    </row>
    <row r="2874">
      <c r="B2874" s="45"/>
      <c r="N2874" s="46" t="str">
        <f>IFERROR(__xludf.DUMMYFUNCTION("""COMPUTED_VALUE"""),"")</f>
        <v/>
      </c>
      <c r="O2874" s="46" t="s">
        <v>1976</v>
      </c>
      <c r="P2874" s="47"/>
      <c r="Q2874" s="47"/>
      <c r="R2874" s="48" t="s">
        <v>1976</v>
      </c>
    </row>
    <row r="2875">
      <c r="B2875" s="45"/>
      <c r="N2875" s="46" t="str">
        <f>IFERROR(__xludf.DUMMYFUNCTION("""COMPUTED_VALUE"""),"")</f>
        <v/>
      </c>
      <c r="O2875" s="46" t="s">
        <v>1976</v>
      </c>
      <c r="P2875" s="47"/>
      <c r="Q2875" s="47"/>
      <c r="R2875" s="48" t="s">
        <v>1976</v>
      </c>
    </row>
    <row r="2876">
      <c r="B2876" s="45"/>
      <c r="N2876" s="46" t="str">
        <f>IFERROR(__xludf.DUMMYFUNCTION("""COMPUTED_VALUE"""),"")</f>
        <v/>
      </c>
      <c r="O2876" s="46" t="s">
        <v>1976</v>
      </c>
      <c r="P2876" s="47"/>
      <c r="Q2876" s="47"/>
      <c r="R2876" s="48" t="s">
        <v>1976</v>
      </c>
    </row>
    <row r="2877">
      <c r="B2877" s="45"/>
      <c r="N2877" s="46" t="str">
        <f>IFERROR(__xludf.DUMMYFUNCTION("""COMPUTED_VALUE"""),"")</f>
        <v/>
      </c>
      <c r="O2877" s="46" t="s">
        <v>1976</v>
      </c>
      <c r="P2877" s="47"/>
      <c r="Q2877" s="47"/>
      <c r="R2877" s="48" t="s">
        <v>1976</v>
      </c>
    </row>
    <row r="2878">
      <c r="B2878" s="45"/>
      <c r="N2878" s="46" t="str">
        <f>IFERROR(__xludf.DUMMYFUNCTION("""COMPUTED_VALUE"""),"")</f>
        <v/>
      </c>
      <c r="O2878" s="46" t="s">
        <v>1976</v>
      </c>
      <c r="P2878" s="47"/>
      <c r="Q2878" s="47"/>
      <c r="R2878" s="48" t="s">
        <v>1976</v>
      </c>
    </row>
    <row r="2879">
      <c r="B2879" s="45"/>
      <c r="N2879" s="46" t="str">
        <f>IFERROR(__xludf.DUMMYFUNCTION("""COMPUTED_VALUE"""),"")</f>
        <v/>
      </c>
      <c r="O2879" s="46" t="s">
        <v>1976</v>
      </c>
      <c r="P2879" s="47"/>
      <c r="Q2879" s="47"/>
      <c r="R2879" s="48" t="s">
        <v>1976</v>
      </c>
    </row>
    <row r="2880">
      <c r="B2880" s="45"/>
      <c r="N2880" s="46" t="str">
        <f>IFERROR(__xludf.DUMMYFUNCTION("""COMPUTED_VALUE"""),"")</f>
        <v/>
      </c>
      <c r="O2880" s="46" t="s">
        <v>1976</v>
      </c>
      <c r="P2880" s="47"/>
      <c r="Q2880" s="47"/>
      <c r="R2880" s="48" t="s">
        <v>1976</v>
      </c>
    </row>
    <row r="2881">
      <c r="B2881" s="45"/>
      <c r="N2881" s="46" t="str">
        <f>IFERROR(__xludf.DUMMYFUNCTION("""COMPUTED_VALUE"""),"")</f>
        <v/>
      </c>
      <c r="O2881" s="46" t="s">
        <v>1976</v>
      </c>
      <c r="P2881" s="47"/>
      <c r="Q2881" s="47"/>
      <c r="R2881" s="48" t="s">
        <v>1976</v>
      </c>
    </row>
    <row r="2882">
      <c r="B2882" s="45"/>
      <c r="N2882" s="46" t="str">
        <f>IFERROR(__xludf.DUMMYFUNCTION("""COMPUTED_VALUE"""),"")</f>
        <v/>
      </c>
      <c r="O2882" s="46" t="s">
        <v>1976</v>
      </c>
      <c r="P2882" s="47"/>
      <c r="Q2882" s="47"/>
      <c r="R2882" s="48" t="s">
        <v>1976</v>
      </c>
    </row>
    <row r="2883">
      <c r="B2883" s="45"/>
      <c r="N2883" s="46" t="str">
        <f>IFERROR(__xludf.DUMMYFUNCTION("""COMPUTED_VALUE"""),"")</f>
        <v/>
      </c>
      <c r="O2883" s="46" t="s">
        <v>1976</v>
      </c>
      <c r="P2883" s="47"/>
      <c r="Q2883" s="47"/>
      <c r="R2883" s="48" t="s">
        <v>1976</v>
      </c>
    </row>
    <row r="2884">
      <c r="B2884" s="45"/>
      <c r="N2884" s="46" t="str">
        <f>IFERROR(__xludf.DUMMYFUNCTION("""COMPUTED_VALUE"""),"")</f>
        <v/>
      </c>
      <c r="O2884" s="46" t="s">
        <v>1976</v>
      </c>
      <c r="P2884" s="47"/>
      <c r="Q2884" s="47"/>
      <c r="R2884" s="48" t="s">
        <v>1976</v>
      </c>
    </row>
    <row r="2885">
      <c r="B2885" s="45"/>
      <c r="N2885" s="46" t="str">
        <f>IFERROR(__xludf.DUMMYFUNCTION("""COMPUTED_VALUE"""),"")</f>
        <v/>
      </c>
      <c r="O2885" s="46" t="s">
        <v>1976</v>
      </c>
      <c r="P2885" s="47"/>
      <c r="Q2885" s="47"/>
      <c r="R2885" s="48" t="s">
        <v>1976</v>
      </c>
    </row>
    <row r="2886">
      <c r="B2886" s="45"/>
      <c r="N2886" s="46" t="str">
        <f>IFERROR(__xludf.DUMMYFUNCTION("""COMPUTED_VALUE"""),"")</f>
        <v/>
      </c>
      <c r="O2886" s="46" t="s">
        <v>1976</v>
      </c>
      <c r="P2886" s="47"/>
      <c r="Q2886" s="47"/>
      <c r="R2886" s="48" t="s">
        <v>1976</v>
      </c>
    </row>
    <row r="2887">
      <c r="B2887" s="45"/>
      <c r="N2887" s="46" t="str">
        <f>IFERROR(__xludf.DUMMYFUNCTION("""COMPUTED_VALUE"""),"")</f>
        <v/>
      </c>
      <c r="O2887" s="46" t="s">
        <v>1976</v>
      </c>
      <c r="P2887" s="47"/>
      <c r="Q2887" s="47"/>
      <c r="R2887" s="48" t="s">
        <v>1976</v>
      </c>
    </row>
    <row r="2888">
      <c r="B2888" s="45"/>
      <c r="N2888" s="46" t="str">
        <f>IFERROR(__xludf.DUMMYFUNCTION("""COMPUTED_VALUE"""),"")</f>
        <v/>
      </c>
      <c r="O2888" s="46" t="s">
        <v>1976</v>
      </c>
      <c r="P2888" s="47"/>
      <c r="Q2888" s="47"/>
      <c r="R2888" s="48" t="s">
        <v>1976</v>
      </c>
    </row>
    <row r="2889">
      <c r="B2889" s="45"/>
      <c r="N2889" s="46" t="str">
        <f>IFERROR(__xludf.DUMMYFUNCTION("""COMPUTED_VALUE"""),"")</f>
        <v/>
      </c>
      <c r="O2889" s="46" t="s">
        <v>1976</v>
      </c>
      <c r="P2889" s="47"/>
      <c r="Q2889" s="47"/>
      <c r="R2889" s="48" t="s">
        <v>1976</v>
      </c>
    </row>
    <row r="2890">
      <c r="B2890" s="45"/>
      <c r="N2890" s="46" t="str">
        <f>IFERROR(__xludf.DUMMYFUNCTION("""COMPUTED_VALUE"""),"")</f>
        <v/>
      </c>
      <c r="O2890" s="46" t="s">
        <v>1976</v>
      </c>
      <c r="P2890" s="47"/>
      <c r="Q2890" s="47"/>
      <c r="R2890" s="48" t="s">
        <v>1976</v>
      </c>
    </row>
    <row r="2891">
      <c r="B2891" s="45"/>
      <c r="N2891" s="46" t="str">
        <f>IFERROR(__xludf.DUMMYFUNCTION("""COMPUTED_VALUE"""),"")</f>
        <v/>
      </c>
      <c r="O2891" s="46" t="s">
        <v>1976</v>
      </c>
      <c r="P2891" s="47"/>
      <c r="Q2891" s="47"/>
      <c r="R2891" s="48" t="s">
        <v>1976</v>
      </c>
    </row>
    <row r="2892">
      <c r="B2892" s="45"/>
      <c r="N2892" s="46" t="str">
        <f>IFERROR(__xludf.DUMMYFUNCTION("""COMPUTED_VALUE"""),"")</f>
        <v/>
      </c>
      <c r="O2892" s="46" t="s">
        <v>1976</v>
      </c>
      <c r="P2892" s="47"/>
      <c r="Q2892" s="47"/>
      <c r="R2892" s="48" t="s">
        <v>1976</v>
      </c>
    </row>
    <row r="2893">
      <c r="B2893" s="45"/>
      <c r="N2893" s="46" t="str">
        <f>IFERROR(__xludf.DUMMYFUNCTION("""COMPUTED_VALUE"""),"")</f>
        <v/>
      </c>
      <c r="O2893" s="46" t="s">
        <v>1976</v>
      </c>
      <c r="P2893" s="47"/>
      <c r="Q2893" s="47"/>
      <c r="R2893" s="48" t="s">
        <v>1976</v>
      </c>
    </row>
    <row r="2894">
      <c r="B2894" s="45"/>
      <c r="N2894" s="46" t="str">
        <f>IFERROR(__xludf.DUMMYFUNCTION("""COMPUTED_VALUE"""),"")</f>
        <v/>
      </c>
      <c r="O2894" s="46" t="s">
        <v>1976</v>
      </c>
      <c r="P2894" s="47"/>
      <c r="Q2894" s="47"/>
      <c r="R2894" s="48" t="s">
        <v>1976</v>
      </c>
    </row>
    <row r="2895">
      <c r="B2895" s="45"/>
      <c r="N2895" s="46" t="str">
        <f>IFERROR(__xludf.DUMMYFUNCTION("""COMPUTED_VALUE"""),"")</f>
        <v/>
      </c>
      <c r="O2895" s="46" t="s">
        <v>1976</v>
      </c>
      <c r="P2895" s="47"/>
      <c r="Q2895" s="47"/>
      <c r="R2895" s="48" t="s">
        <v>1976</v>
      </c>
    </row>
    <row r="2896">
      <c r="B2896" s="45"/>
      <c r="N2896" s="46" t="str">
        <f>IFERROR(__xludf.DUMMYFUNCTION("""COMPUTED_VALUE"""),"")</f>
        <v/>
      </c>
      <c r="O2896" s="46" t="s">
        <v>1976</v>
      </c>
      <c r="P2896" s="47"/>
      <c r="Q2896" s="47"/>
      <c r="R2896" s="48" t="s">
        <v>1976</v>
      </c>
    </row>
    <row r="2897">
      <c r="B2897" s="45"/>
      <c r="N2897" s="46" t="str">
        <f>IFERROR(__xludf.DUMMYFUNCTION("""COMPUTED_VALUE"""),"")</f>
        <v/>
      </c>
      <c r="O2897" s="46" t="s">
        <v>1976</v>
      </c>
      <c r="P2897" s="47"/>
      <c r="Q2897" s="47"/>
      <c r="R2897" s="48" t="s">
        <v>1976</v>
      </c>
    </row>
    <row r="2898">
      <c r="B2898" s="45"/>
      <c r="N2898" s="46" t="str">
        <f>IFERROR(__xludf.DUMMYFUNCTION("""COMPUTED_VALUE"""),"")</f>
        <v/>
      </c>
      <c r="O2898" s="46" t="s">
        <v>1976</v>
      </c>
      <c r="P2898" s="47"/>
      <c r="Q2898" s="47"/>
      <c r="R2898" s="48" t="s">
        <v>1976</v>
      </c>
    </row>
    <row r="2899">
      <c r="B2899" s="45"/>
      <c r="N2899" s="46" t="str">
        <f>IFERROR(__xludf.DUMMYFUNCTION("""COMPUTED_VALUE"""),"")</f>
        <v/>
      </c>
      <c r="O2899" s="46" t="s">
        <v>1976</v>
      </c>
      <c r="P2899" s="47"/>
      <c r="Q2899" s="47"/>
      <c r="R2899" s="48" t="s">
        <v>1976</v>
      </c>
    </row>
    <row r="2900">
      <c r="B2900" s="45"/>
      <c r="N2900" s="46" t="str">
        <f>IFERROR(__xludf.DUMMYFUNCTION("""COMPUTED_VALUE"""),"")</f>
        <v/>
      </c>
      <c r="O2900" s="46" t="s">
        <v>1976</v>
      </c>
      <c r="P2900" s="47"/>
      <c r="Q2900" s="47"/>
      <c r="R2900" s="48" t="s">
        <v>1976</v>
      </c>
    </row>
    <row r="2901">
      <c r="B2901" s="45"/>
      <c r="N2901" s="46" t="str">
        <f>IFERROR(__xludf.DUMMYFUNCTION("""COMPUTED_VALUE"""),"")</f>
        <v/>
      </c>
      <c r="O2901" s="46" t="s">
        <v>1976</v>
      </c>
      <c r="P2901" s="47"/>
      <c r="Q2901" s="47"/>
      <c r="R2901" s="48" t="s">
        <v>1976</v>
      </c>
    </row>
    <row r="2902">
      <c r="B2902" s="45"/>
      <c r="N2902" s="46" t="str">
        <f>IFERROR(__xludf.DUMMYFUNCTION("""COMPUTED_VALUE"""),"")</f>
        <v/>
      </c>
      <c r="O2902" s="46" t="s">
        <v>1976</v>
      </c>
      <c r="P2902" s="47"/>
      <c r="Q2902" s="47"/>
      <c r="R2902" s="48" t="s">
        <v>1976</v>
      </c>
    </row>
    <row r="2903">
      <c r="B2903" s="45"/>
      <c r="N2903" s="46" t="str">
        <f>IFERROR(__xludf.DUMMYFUNCTION("""COMPUTED_VALUE"""),"")</f>
        <v/>
      </c>
      <c r="O2903" s="46" t="s">
        <v>1976</v>
      </c>
      <c r="P2903" s="47"/>
      <c r="Q2903" s="47"/>
      <c r="R2903" s="48" t="s">
        <v>1976</v>
      </c>
    </row>
    <row r="2904">
      <c r="B2904" s="45"/>
      <c r="N2904" s="46" t="str">
        <f>IFERROR(__xludf.DUMMYFUNCTION("""COMPUTED_VALUE"""),"")</f>
        <v/>
      </c>
      <c r="O2904" s="46" t="s">
        <v>1976</v>
      </c>
      <c r="P2904" s="47"/>
      <c r="Q2904" s="47"/>
      <c r="R2904" s="48" t="s">
        <v>1976</v>
      </c>
    </row>
    <row r="2905">
      <c r="B2905" s="45"/>
      <c r="N2905" s="46" t="str">
        <f>IFERROR(__xludf.DUMMYFUNCTION("""COMPUTED_VALUE"""),"")</f>
        <v/>
      </c>
      <c r="O2905" s="46" t="s">
        <v>1976</v>
      </c>
      <c r="P2905" s="47"/>
      <c r="Q2905" s="47"/>
      <c r="R2905" s="48" t="s">
        <v>1976</v>
      </c>
    </row>
    <row r="2906">
      <c r="B2906" s="45"/>
      <c r="N2906" s="46" t="str">
        <f>IFERROR(__xludf.DUMMYFUNCTION("""COMPUTED_VALUE"""),"")</f>
        <v/>
      </c>
      <c r="O2906" s="46" t="s">
        <v>1976</v>
      </c>
      <c r="P2906" s="47"/>
      <c r="Q2906" s="47"/>
      <c r="R2906" s="48" t="s">
        <v>1976</v>
      </c>
    </row>
    <row r="2907">
      <c r="B2907" s="45"/>
      <c r="N2907" s="46" t="str">
        <f>IFERROR(__xludf.DUMMYFUNCTION("""COMPUTED_VALUE"""),"")</f>
        <v/>
      </c>
      <c r="O2907" s="46" t="s">
        <v>1976</v>
      </c>
      <c r="P2907" s="47"/>
      <c r="Q2907" s="47"/>
      <c r="R2907" s="48" t="s">
        <v>1976</v>
      </c>
    </row>
    <row r="2908">
      <c r="B2908" s="45"/>
      <c r="N2908" s="46" t="str">
        <f>IFERROR(__xludf.DUMMYFUNCTION("""COMPUTED_VALUE"""),"")</f>
        <v/>
      </c>
      <c r="O2908" s="46" t="s">
        <v>1976</v>
      </c>
      <c r="P2908" s="47"/>
      <c r="Q2908" s="47"/>
      <c r="R2908" s="48" t="s">
        <v>1976</v>
      </c>
    </row>
    <row r="2909">
      <c r="B2909" s="45"/>
      <c r="N2909" s="46" t="str">
        <f>IFERROR(__xludf.DUMMYFUNCTION("""COMPUTED_VALUE"""),"")</f>
        <v/>
      </c>
      <c r="O2909" s="46" t="s">
        <v>1976</v>
      </c>
      <c r="P2909" s="47"/>
      <c r="Q2909" s="47"/>
      <c r="R2909" s="48" t="s">
        <v>1976</v>
      </c>
    </row>
    <row r="2910">
      <c r="B2910" s="45"/>
      <c r="N2910" s="46" t="str">
        <f>IFERROR(__xludf.DUMMYFUNCTION("""COMPUTED_VALUE"""),"")</f>
        <v/>
      </c>
      <c r="O2910" s="46" t="s">
        <v>1976</v>
      </c>
      <c r="P2910" s="47"/>
      <c r="Q2910" s="47"/>
      <c r="R2910" s="48" t="s">
        <v>1976</v>
      </c>
    </row>
    <row r="2911">
      <c r="B2911" s="45"/>
      <c r="N2911" s="46" t="str">
        <f>IFERROR(__xludf.DUMMYFUNCTION("""COMPUTED_VALUE"""),"")</f>
        <v/>
      </c>
      <c r="O2911" s="46" t="s">
        <v>1976</v>
      </c>
      <c r="P2911" s="47"/>
      <c r="Q2911" s="47"/>
      <c r="R2911" s="48" t="s">
        <v>1976</v>
      </c>
    </row>
    <row r="2912">
      <c r="B2912" s="45"/>
      <c r="N2912" s="46" t="str">
        <f>IFERROR(__xludf.DUMMYFUNCTION("""COMPUTED_VALUE"""),"")</f>
        <v/>
      </c>
      <c r="O2912" s="46" t="s">
        <v>1976</v>
      </c>
      <c r="P2912" s="47"/>
      <c r="Q2912" s="47"/>
      <c r="R2912" s="48" t="s">
        <v>1976</v>
      </c>
    </row>
    <row r="2913">
      <c r="B2913" s="45"/>
      <c r="N2913" s="46" t="str">
        <f>IFERROR(__xludf.DUMMYFUNCTION("""COMPUTED_VALUE"""),"")</f>
        <v/>
      </c>
      <c r="O2913" s="46" t="s">
        <v>1976</v>
      </c>
      <c r="P2913" s="47"/>
      <c r="Q2913" s="47"/>
      <c r="R2913" s="48" t="s">
        <v>1976</v>
      </c>
    </row>
    <row r="2914">
      <c r="B2914" s="45"/>
      <c r="N2914" s="46" t="str">
        <f>IFERROR(__xludf.DUMMYFUNCTION("""COMPUTED_VALUE"""),"")</f>
        <v/>
      </c>
      <c r="O2914" s="46" t="s">
        <v>1976</v>
      </c>
      <c r="P2914" s="47"/>
      <c r="Q2914" s="47"/>
      <c r="R2914" s="48" t="s">
        <v>1976</v>
      </c>
    </row>
    <row r="2915">
      <c r="B2915" s="45"/>
      <c r="N2915" s="46" t="str">
        <f>IFERROR(__xludf.DUMMYFUNCTION("""COMPUTED_VALUE"""),"")</f>
        <v/>
      </c>
      <c r="O2915" s="46" t="s">
        <v>1976</v>
      </c>
      <c r="P2915" s="47"/>
      <c r="Q2915" s="47"/>
      <c r="R2915" s="48" t="s">
        <v>1976</v>
      </c>
    </row>
    <row r="2916">
      <c r="B2916" s="45"/>
      <c r="N2916" s="46" t="str">
        <f>IFERROR(__xludf.DUMMYFUNCTION("""COMPUTED_VALUE"""),"")</f>
        <v/>
      </c>
      <c r="O2916" s="46" t="s">
        <v>1976</v>
      </c>
      <c r="P2916" s="47"/>
      <c r="Q2916" s="47"/>
      <c r="R2916" s="48" t="s">
        <v>1976</v>
      </c>
    </row>
    <row r="2917">
      <c r="B2917" s="45"/>
      <c r="N2917" s="46" t="str">
        <f>IFERROR(__xludf.DUMMYFUNCTION("""COMPUTED_VALUE"""),"")</f>
        <v/>
      </c>
      <c r="O2917" s="46" t="s">
        <v>1976</v>
      </c>
      <c r="P2917" s="47"/>
      <c r="Q2917" s="47"/>
      <c r="R2917" s="48" t="s">
        <v>1976</v>
      </c>
    </row>
    <row r="2918">
      <c r="B2918" s="45"/>
      <c r="N2918" s="46" t="str">
        <f>IFERROR(__xludf.DUMMYFUNCTION("""COMPUTED_VALUE"""),"")</f>
        <v/>
      </c>
      <c r="O2918" s="46" t="s">
        <v>1976</v>
      </c>
      <c r="P2918" s="47"/>
      <c r="Q2918" s="47"/>
      <c r="R2918" s="48" t="s">
        <v>1976</v>
      </c>
    </row>
    <row r="2919">
      <c r="B2919" s="45"/>
      <c r="N2919" s="46" t="str">
        <f>IFERROR(__xludf.DUMMYFUNCTION("""COMPUTED_VALUE"""),"")</f>
        <v/>
      </c>
      <c r="O2919" s="46" t="s">
        <v>1976</v>
      </c>
      <c r="P2919" s="47"/>
      <c r="Q2919" s="47"/>
      <c r="R2919" s="48" t="s">
        <v>1976</v>
      </c>
    </row>
    <row r="2920">
      <c r="B2920" s="45"/>
      <c r="N2920" s="46" t="str">
        <f>IFERROR(__xludf.DUMMYFUNCTION("""COMPUTED_VALUE"""),"")</f>
        <v/>
      </c>
      <c r="O2920" s="46" t="s">
        <v>1976</v>
      </c>
      <c r="P2920" s="47"/>
      <c r="Q2920" s="47"/>
      <c r="R2920" s="48" t="s">
        <v>1976</v>
      </c>
    </row>
    <row r="2921">
      <c r="B2921" s="45"/>
      <c r="N2921" s="46" t="str">
        <f>IFERROR(__xludf.DUMMYFUNCTION("""COMPUTED_VALUE"""),"")</f>
        <v/>
      </c>
      <c r="O2921" s="46" t="s">
        <v>1976</v>
      </c>
      <c r="P2921" s="47"/>
      <c r="Q2921" s="47"/>
      <c r="R2921" s="48" t="s">
        <v>1976</v>
      </c>
    </row>
    <row r="2922">
      <c r="B2922" s="45"/>
      <c r="N2922" s="46" t="str">
        <f>IFERROR(__xludf.DUMMYFUNCTION("""COMPUTED_VALUE"""),"")</f>
        <v/>
      </c>
      <c r="O2922" s="46" t="s">
        <v>1976</v>
      </c>
      <c r="P2922" s="47"/>
      <c r="Q2922" s="47"/>
      <c r="R2922" s="48" t="s">
        <v>1976</v>
      </c>
    </row>
    <row r="2923">
      <c r="B2923" s="45"/>
      <c r="N2923" s="46" t="str">
        <f>IFERROR(__xludf.DUMMYFUNCTION("""COMPUTED_VALUE"""),"")</f>
        <v/>
      </c>
      <c r="O2923" s="46" t="s">
        <v>1976</v>
      </c>
      <c r="P2923" s="47"/>
      <c r="Q2923" s="47"/>
      <c r="R2923" s="48" t="s">
        <v>1976</v>
      </c>
    </row>
    <row r="2924">
      <c r="B2924" s="45"/>
      <c r="N2924" s="46" t="str">
        <f>IFERROR(__xludf.DUMMYFUNCTION("""COMPUTED_VALUE"""),"")</f>
        <v/>
      </c>
      <c r="O2924" s="46" t="s">
        <v>1976</v>
      </c>
      <c r="P2924" s="47"/>
      <c r="Q2924" s="47"/>
      <c r="R2924" s="48" t="s">
        <v>1976</v>
      </c>
    </row>
    <row r="2925">
      <c r="B2925" s="45"/>
      <c r="N2925" s="46" t="str">
        <f>IFERROR(__xludf.DUMMYFUNCTION("""COMPUTED_VALUE"""),"")</f>
        <v/>
      </c>
      <c r="O2925" s="46" t="s">
        <v>1976</v>
      </c>
      <c r="P2925" s="47"/>
      <c r="Q2925" s="47"/>
      <c r="R2925" s="48" t="s">
        <v>1976</v>
      </c>
    </row>
    <row r="2926">
      <c r="B2926" s="45"/>
      <c r="N2926" s="46" t="str">
        <f>IFERROR(__xludf.DUMMYFUNCTION("""COMPUTED_VALUE"""),"")</f>
        <v/>
      </c>
      <c r="O2926" s="46" t="s">
        <v>1976</v>
      </c>
      <c r="P2926" s="47"/>
      <c r="Q2926" s="47"/>
      <c r="R2926" s="48" t="s">
        <v>1976</v>
      </c>
    </row>
    <row r="2927">
      <c r="B2927" s="45"/>
      <c r="N2927" s="46" t="str">
        <f>IFERROR(__xludf.DUMMYFUNCTION("""COMPUTED_VALUE"""),"")</f>
        <v/>
      </c>
      <c r="O2927" s="46" t="s">
        <v>1976</v>
      </c>
      <c r="P2927" s="47"/>
      <c r="Q2927" s="47"/>
      <c r="R2927" s="48" t="s">
        <v>1976</v>
      </c>
    </row>
    <row r="2928">
      <c r="B2928" s="45"/>
      <c r="N2928" s="46" t="str">
        <f>IFERROR(__xludf.DUMMYFUNCTION("""COMPUTED_VALUE"""),"")</f>
        <v/>
      </c>
      <c r="O2928" s="46" t="s">
        <v>1976</v>
      </c>
      <c r="P2928" s="47"/>
      <c r="Q2928" s="47"/>
      <c r="R2928" s="48" t="s">
        <v>1976</v>
      </c>
    </row>
    <row r="2929">
      <c r="B2929" s="45"/>
      <c r="N2929" s="46" t="str">
        <f>IFERROR(__xludf.DUMMYFUNCTION("""COMPUTED_VALUE"""),"")</f>
        <v/>
      </c>
      <c r="O2929" s="46" t="s">
        <v>1976</v>
      </c>
      <c r="P2929" s="47"/>
      <c r="Q2929" s="47"/>
      <c r="R2929" s="48" t="s">
        <v>1976</v>
      </c>
    </row>
    <row r="2930">
      <c r="B2930" s="45"/>
      <c r="N2930" s="46" t="str">
        <f>IFERROR(__xludf.DUMMYFUNCTION("""COMPUTED_VALUE"""),"")</f>
        <v/>
      </c>
      <c r="O2930" s="46" t="s">
        <v>1976</v>
      </c>
      <c r="P2930" s="47"/>
      <c r="Q2930" s="47"/>
      <c r="R2930" s="48" t="s">
        <v>1976</v>
      </c>
    </row>
    <row r="2931">
      <c r="B2931" s="45"/>
      <c r="N2931" s="46" t="str">
        <f>IFERROR(__xludf.DUMMYFUNCTION("""COMPUTED_VALUE"""),"")</f>
        <v/>
      </c>
      <c r="O2931" s="46" t="s">
        <v>1976</v>
      </c>
      <c r="P2931" s="47"/>
      <c r="Q2931" s="47"/>
      <c r="R2931" s="48" t="s">
        <v>1976</v>
      </c>
    </row>
    <row r="2932">
      <c r="B2932" s="45"/>
      <c r="N2932" s="46" t="str">
        <f>IFERROR(__xludf.DUMMYFUNCTION("""COMPUTED_VALUE"""),"")</f>
        <v/>
      </c>
      <c r="O2932" s="46" t="s">
        <v>1976</v>
      </c>
      <c r="P2932" s="47"/>
      <c r="Q2932" s="47"/>
      <c r="R2932" s="48" t="s">
        <v>1976</v>
      </c>
    </row>
    <row r="2933">
      <c r="B2933" s="45"/>
      <c r="N2933" s="46" t="str">
        <f>IFERROR(__xludf.DUMMYFUNCTION("""COMPUTED_VALUE"""),"")</f>
        <v/>
      </c>
      <c r="O2933" s="46" t="s">
        <v>1976</v>
      </c>
      <c r="P2933" s="47"/>
      <c r="Q2933" s="47"/>
      <c r="R2933" s="48" t="s">
        <v>1976</v>
      </c>
    </row>
    <row r="2934">
      <c r="B2934" s="45"/>
      <c r="N2934" s="46" t="str">
        <f>IFERROR(__xludf.DUMMYFUNCTION("""COMPUTED_VALUE"""),"")</f>
        <v/>
      </c>
      <c r="O2934" s="46" t="s">
        <v>1976</v>
      </c>
      <c r="P2934" s="47"/>
      <c r="Q2934" s="47"/>
      <c r="R2934" s="48" t="s">
        <v>1976</v>
      </c>
    </row>
    <row r="2935">
      <c r="B2935" s="45"/>
      <c r="N2935" s="46" t="str">
        <f>IFERROR(__xludf.DUMMYFUNCTION("""COMPUTED_VALUE"""),"")</f>
        <v/>
      </c>
      <c r="O2935" s="46" t="s">
        <v>1976</v>
      </c>
      <c r="P2935" s="47"/>
      <c r="Q2935" s="47"/>
      <c r="R2935" s="48" t="s">
        <v>1976</v>
      </c>
    </row>
    <row r="2936">
      <c r="B2936" s="45"/>
      <c r="N2936" s="46" t="str">
        <f>IFERROR(__xludf.DUMMYFUNCTION("""COMPUTED_VALUE"""),"")</f>
        <v/>
      </c>
      <c r="O2936" s="46" t="s">
        <v>1976</v>
      </c>
      <c r="P2936" s="47"/>
      <c r="Q2936" s="47"/>
      <c r="R2936" s="48" t="s">
        <v>1976</v>
      </c>
    </row>
    <row r="2937">
      <c r="B2937" s="45"/>
      <c r="N2937" s="46" t="str">
        <f>IFERROR(__xludf.DUMMYFUNCTION("""COMPUTED_VALUE"""),"")</f>
        <v/>
      </c>
      <c r="O2937" s="46" t="s">
        <v>1976</v>
      </c>
      <c r="P2937" s="47"/>
      <c r="Q2937" s="47"/>
      <c r="R2937" s="48" t="s">
        <v>1976</v>
      </c>
    </row>
    <row r="2938">
      <c r="B2938" s="45"/>
      <c r="N2938" s="46" t="str">
        <f>IFERROR(__xludf.DUMMYFUNCTION("""COMPUTED_VALUE"""),"")</f>
        <v/>
      </c>
      <c r="O2938" s="46" t="s">
        <v>1976</v>
      </c>
      <c r="P2938" s="47"/>
      <c r="Q2938" s="47"/>
      <c r="R2938" s="48" t="s">
        <v>1976</v>
      </c>
    </row>
    <row r="2939">
      <c r="B2939" s="45"/>
      <c r="N2939" s="46" t="str">
        <f>IFERROR(__xludf.DUMMYFUNCTION("""COMPUTED_VALUE"""),"")</f>
        <v/>
      </c>
      <c r="O2939" s="46" t="s">
        <v>1976</v>
      </c>
      <c r="P2939" s="47"/>
      <c r="Q2939" s="47"/>
      <c r="R2939" s="48" t="s">
        <v>1976</v>
      </c>
    </row>
    <row r="2940">
      <c r="B2940" s="45"/>
      <c r="N2940" s="46" t="str">
        <f>IFERROR(__xludf.DUMMYFUNCTION("""COMPUTED_VALUE"""),"")</f>
        <v/>
      </c>
      <c r="O2940" s="46" t="s">
        <v>1976</v>
      </c>
      <c r="P2940" s="47"/>
      <c r="Q2940" s="47"/>
      <c r="R2940" s="48" t="s">
        <v>1976</v>
      </c>
    </row>
    <row r="2941">
      <c r="B2941" s="45"/>
      <c r="N2941" s="46" t="str">
        <f>IFERROR(__xludf.DUMMYFUNCTION("""COMPUTED_VALUE"""),"")</f>
        <v/>
      </c>
      <c r="O2941" s="46" t="s">
        <v>1976</v>
      </c>
      <c r="P2941" s="47"/>
      <c r="Q2941" s="47"/>
      <c r="R2941" s="48" t="s">
        <v>1976</v>
      </c>
    </row>
    <row r="2942">
      <c r="B2942" s="45"/>
      <c r="N2942" s="46" t="str">
        <f>IFERROR(__xludf.DUMMYFUNCTION("""COMPUTED_VALUE"""),"")</f>
        <v/>
      </c>
      <c r="O2942" s="46" t="s">
        <v>1976</v>
      </c>
      <c r="P2942" s="47"/>
      <c r="Q2942" s="47"/>
      <c r="R2942" s="48" t="s">
        <v>1976</v>
      </c>
    </row>
    <row r="2943">
      <c r="B2943" s="45"/>
      <c r="N2943" s="46" t="str">
        <f>IFERROR(__xludf.DUMMYFUNCTION("""COMPUTED_VALUE"""),"")</f>
        <v/>
      </c>
      <c r="O2943" s="46" t="s">
        <v>1976</v>
      </c>
      <c r="P2943" s="47"/>
      <c r="Q2943" s="47"/>
      <c r="R2943" s="48" t="s">
        <v>1976</v>
      </c>
    </row>
    <row r="2944">
      <c r="B2944" s="45"/>
      <c r="N2944" s="46" t="str">
        <f>IFERROR(__xludf.DUMMYFUNCTION("""COMPUTED_VALUE"""),"")</f>
        <v/>
      </c>
      <c r="O2944" s="46" t="s">
        <v>1976</v>
      </c>
      <c r="P2944" s="47"/>
      <c r="Q2944" s="47"/>
      <c r="R2944" s="48" t="s">
        <v>1976</v>
      </c>
    </row>
    <row r="2945">
      <c r="B2945" s="45"/>
      <c r="N2945" s="46" t="str">
        <f>IFERROR(__xludf.DUMMYFUNCTION("""COMPUTED_VALUE"""),"")</f>
        <v/>
      </c>
      <c r="O2945" s="46" t="s">
        <v>1976</v>
      </c>
      <c r="P2945" s="47"/>
      <c r="Q2945" s="47"/>
      <c r="R2945" s="48" t="s">
        <v>1976</v>
      </c>
    </row>
    <row r="2946">
      <c r="B2946" s="45"/>
      <c r="N2946" s="46" t="str">
        <f>IFERROR(__xludf.DUMMYFUNCTION("""COMPUTED_VALUE"""),"")</f>
        <v/>
      </c>
      <c r="O2946" s="46" t="s">
        <v>1976</v>
      </c>
      <c r="P2946" s="47"/>
      <c r="Q2946" s="47"/>
      <c r="R2946" s="48" t="s">
        <v>1976</v>
      </c>
    </row>
    <row r="2947">
      <c r="B2947" s="45"/>
      <c r="N2947" s="46" t="str">
        <f>IFERROR(__xludf.DUMMYFUNCTION("""COMPUTED_VALUE"""),"")</f>
        <v/>
      </c>
      <c r="O2947" s="46" t="s">
        <v>1976</v>
      </c>
      <c r="P2947" s="47"/>
      <c r="Q2947" s="47"/>
      <c r="R2947" s="48" t="s">
        <v>1976</v>
      </c>
    </row>
    <row r="2948">
      <c r="B2948" s="45"/>
      <c r="N2948" s="46" t="str">
        <f>IFERROR(__xludf.DUMMYFUNCTION("""COMPUTED_VALUE"""),"")</f>
        <v/>
      </c>
      <c r="O2948" s="46" t="s">
        <v>1976</v>
      </c>
      <c r="P2948" s="47"/>
      <c r="Q2948" s="47"/>
      <c r="R2948" s="48" t="s">
        <v>1976</v>
      </c>
    </row>
    <row r="2949">
      <c r="B2949" s="45"/>
      <c r="N2949" s="46" t="str">
        <f>IFERROR(__xludf.DUMMYFUNCTION("""COMPUTED_VALUE"""),"")</f>
        <v/>
      </c>
      <c r="O2949" s="46" t="s">
        <v>1976</v>
      </c>
      <c r="P2949" s="47"/>
      <c r="Q2949" s="47"/>
      <c r="R2949" s="48" t="s">
        <v>1976</v>
      </c>
    </row>
    <row r="2950">
      <c r="B2950" s="45"/>
      <c r="N2950" s="46" t="str">
        <f>IFERROR(__xludf.DUMMYFUNCTION("""COMPUTED_VALUE"""),"")</f>
        <v/>
      </c>
      <c r="O2950" s="46" t="s">
        <v>1976</v>
      </c>
      <c r="P2950" s="47"/>
      <c r="Q2950" s="47"/>
      <c r="R2950" s="48" t="s">
        <v>1976</v>
      </c>
    </row>
    <row r="2951">
      <c r="B2951" s="45"/>
      <c r="N2951" s="46" t="str">
        <f>IFERROR(__xludf.DUMMYFUNCTION("""COMPUTED_VALUE"""),"")</f>
        <v/>
      </c>
      <c r="O2951" s="46" t="s">
        <v>1976</v>
      </c>
      <c r="P2951" s="47"/>
      <c r="Q2951" s="47"/>
      <c r="R2951" s="48" t="s">
        <v>1976</v>
      </c>
    </row>
    <row r="2952">
      <c r="B2952" s="45"/>
      <c r="N2952" s="46" t="str">
        <f>IFERROR(__xludf.DUMMYFUNCTION("""COMPUTED_VALUE"""),"")</f>
        <v/>
      </c>
      <c r="O2952" s="46" t="s">
        <v>1976</v>
      </c>
      <c r="P2952" s="47"/>
      <c r="Q2952" s="47"/>
      <c r="R2952" s="48" t="s">
        <v>1976</v>
      </c>
    </row>
    <row r="2953">
      <c r="B2953" s="45"/>
      <c r="N2953" s="46" t="str">
        <f>IFERROR(__xludf.DUMMYFUNCTION("""COMPUTED_VALUE"""),"")</f>
        <v/>
      </c>
      <c r="O2953" s="46" t="s">
        <v>1976</v>
      </c>
      <c r="P2953" s="47"/>
      <c r="Q2953" s="47"/>
      <c r="R2953" s="48" t="s">
        <v>1976</v>
      </c>
    </row>
    <row r="2954">
      <c r="B2954" s="45"/>
      <c r="N2954" s="46" t="str">
        <f>IFERROR(__xludf.DUMMYFUNCTION("""COMPUTED_VALUE"""),"")</f>
        <v/>
      </c>
      <c r="O2954" s="46" t="s">
        <v>1976</v>
      </c>
      <c r="P2954" s="47"/>
      <c r="Q2954" s="47"/>
      <c r="R2954" s="48" t="s">
        <v>1976</v>
      </c>
    </row>
    <row r="2955">
      <c r="B2955" s="45"/>
      <c r="N2955" s="46" t="str">
        <f>IFERROR(__xludf.DUMMYFUNCTION("""COMPUTED_VALUE"""),"")</f>
        <v/>
      </c>
      <c r="O2955" s="46" t="s">
        <v>1976</v>
      </c>
      <c r="P2955" s="47"/>
      <c r="Q2955" s="47"/>
      <c r="R2955" s="48" t="s">
        <v>1976</v>
      </c>
    </row>
    <row r="2956">
      <c r="B2956" s="45"/>
      <c r="N2956" s="46" t="str">
        <f>IFERROR(__xludf.DUMMYFUNCTION("""COMPUTED_VALUE"""),"")</f>
        <v/>
      </c>
      <c r="O2956" s="46" t="s">
        <v>1976</v>
      </c>
      <c r="P2956" s="47"/>
      <c r="Q2956" s="47"/>
      <c r="R2956" s="48" t="s">
        <v>1976</v>
      </c>
    </row>
    <row r="2957">
      <c r="B2957" s="45"/>
      <c r="N2957" s="46" t="str">
        <f>IFERROR(__xludf.DUMMYFUNCTION("""COMPUTED_VALUE"""),"")</f>
        <v/>
      </c>
      <c r="O2957" s="46" t="s">
        <v>1976</v>
      </c>
      <c r="P2957" s="47"/>
      <c r="Q2957" s="47"/>
      <c r="R2957" s="48" t="s">
        <v>1976</v>
      </c>
    </row>
    <row r="2958">
      <c r="B2958" s="45"/>
      <c r="N2958" s="46" t="str">
        <f>IFERROR(__xludf.DUMMYFUNCTION("""COMPUTED_VALUE"""),"")</f>
        <v/>
      </c>
      <c r="O2958" s="46" t="s">
        <v>1976</v>
      </c>
      <c r="P2958" s="47"/>
      <c r="Q2958" s="47"/>
      <c r="R2958" s="48" t="s">
        <v>1976</v>
      </c>
    </row>
    <row r="2959">
      <c r="B2959" s="45"/>
      <c r="N2959" s="46" t="str">
        <f>IFERROR(__xludf.DUMMYFUNCTION("""COMPUTED_VALUE"""),"")</f>
        <v/>
      </c>
      <c r="O2959" s="46" t="s">
        <v>1976</v>
      </c>
      <c r="P2959" s="47"/>
      <c r="Q2959" s="47"/>
      <c r="R2959" s="48" t="s">
        <v>1976</v>
      </c>
    </row>
    <row r="2960">
      <c r="B2960" s="45"/>
      <c r="N2960" s="46" t="str">
        <f>IFERROR(__xludf.DUMMYFUNCTION("""COMPUTED_VALUE"""),"")</f>
        <v/>
      </c>
      <c r="O2960" s="46" t="s">
        <v>1976</v>
      </c>
      <c r="P2960" s="47"/>
      <c r="Q2960" s="47"/>
      <c r="R2960" s="48" t="s">
        <v>1976</v>
      </c>
    </row>
    <row r="2961">
      <c r="B2961" s="45"/>
      <c r="N2961" s="46" t="str">
        <f>IFERROR(__xludf.DUMMYFUNCTION("""COMPUTED_VALUE"""),"")</f>
        <v/>
      </c>
      <c r="O2961" s="46" t="s">
        <v>1976</v>
      </c>
      <c r="P2961" s="47"/>
      <c r="Q2961" s="47"/>
      <c r="R2961" s="48" t="s">
        <v>1976</v>
      </c>
    </row>
    <row r="2962">
      <c r="B2962" s="45"/>
      <c r="N2962" s="46" t="str">
        <f>IFERROR(__xludf.DUMMYFUNCTION("""COMPUTED_VALUE"""),"")</f>
        <v/>
      </c>
      <c r="O2962" s="46" t="s">
        <v>1976</v>
      </c>
      <c r="P2962" s="47"/>
      <c r="Q2962" s="47"/>
      <c r="R2962" s="48" t="s">
        <v>1976</v>
      </c>
    </row>
    <row r="2963">
      <c r="B2963" s="45"/>
      <c r="N2963" s="46" t="str">
        <f>IFERROR(__xludf.DUMMYFUNCTION("""COMPUTED_VALUE"""),"")</f>
        <v/>
      </c>
      <c r="O2963" s="46" t="s">
        <v>1976</v>
      </c>
      <c r="P2963" s="47"/>
      <c r="Q2963" s="47"/>
      <c r="R2963" s="48" t="s">
        <v>1976</v>
      </c>
    </row>
    <row r="2964">
      <c r="B2964" s="45"/>
      <c r="N2964" s="46" t="str">
        <f>IFERROR(__xludf.DUMMYFUNCTION("""COMPUTED_VALUE"""),"")</f>
        <v/>
      </c>
      <c r="O2964" s="46" t="s">
        <v>1976</v>
      </c>
      <c r="P2964" s="47"/>
      <c r="Q2964" s="47"/>
      <c r="R2964" s="48" t="s">
        <v>1976</v>
      </c>
    </row>
    <row r="2965">
      <c r="B2965" s="45"/>
      <c r="N2965" s="46" t="str">
        <f>IFERROR(__xludf.DUMMYFUNCTION("""COMPUTED_VALUE"""),"")</f>
        <v/>
      </c>
      <c r="O2965" s="46" t="s">
        <v>1976</v>
      </c>
      <c r="P2965" s="47"/>
      <c r="Q2965" s="47"/>
      <c r="R2965" s="48" t="s">
        <v>1976</v>
      </c>
    </row>
    <row r="2966">
      <c r="B2966" s="45"/>
      <c r="N2966" s="46" t="str">
        <f>IFERROR(__xludf.DUMMYFUNCTION("""COMPUTED_VALUE"""),"")</f>
        <v/>
      </c>
      <c r="O2966" s="46" t="s">
        <v>1976</v>
      </c>
      <c r="P2966" s="47"/>
      <c r="Q2966" s="47"/>
      <c r="R2966" s="48" t="s">
        <v>1976</v>
      </c>
    </row>
    <row r="2967">
      <c r="B2967" s="45"/>
      <c r="N2967" s="46" t="str">
        <f>IFERROR(__xludf.DUMMYFUNCTION("""COMPUTED_VALUE"""),"")</f>
        <v/>
      </c>
      <c r="O2967" s="46" t="s">
        <v>1976</v>
      </c>
      <c r="P2967" s="47"/>
      <c r="Q2967" s="47"/>
      <c r="R2967" s="48" t="s">
        <v>1976</v>
      </c>
    </row>
    <row r="2968">
      <c r="B2968" s="45"/>
      <c r="N2968" s="46" t="str">
        <f>IFERROR(__xludf.DUMMYFUNCTION("""COMPUTED_VALUE"""),"")</f>
        <v/>
      </c>
      <c r="O2968" s="46" t="s">
        <v>1976</v>
      </c>
      <c r="P2968" s="47"/>
      <c r="Q2968" s="47"/>
      <c r="R2968" s="48" t="s">
        <v>1976</v>
      </c>
    </row>
    <row r="2969">
      <c r="B2969" s="45"/>
      <c r="N2969" s="46" t="str">
        <f>IFERROR(__xludf.DUMMYFUNCTION("""COMPUTED_VALUE"""),"")</f>
        <v/>
      </c>
      <c r="O2969" s="46" t="s">
        <v>1976</v>
      </c>
      <c r="P2969" s="47"/>
      <c r="Q2969" s="47"/>
      <c r="R2969" s="48" t="s">
        <v>1976</v>
      </c>
    </row>
    <row r="2970">
      <c r="B2970" s="45"/>
      <c r="N2970" s="46" t="str">
        <f>IFERROR(__xludf.DUMMYFUNCTION("""COMPUTED_VALUE"""),"")</f>
        <v/>
      </c>
      <c r="O2970" s="46" t="s">
        <v>1976</v>
      </c>
      <c r="P2970" s="47"/>
      <c r="Q2970" s="47"/>
      <c r="R2970" s="48" t="s">
        <v>1976</v>
      </c>
    </row>
    <row r="2971">
      <c r="B2971" s="45"/>
      <c r="N2971" s="46" t="str">
        <f>IFERROR(__xludf.DUMMYFUNCTION("""COMPUTED_VALUE"""),"")</f>
        <v/>
      </c>
      <c r="O2971" s="46" t="s">
        <v>1976</v>
      </c>
      <c r="P2971" s="47"/>
      <c r="Q2971" s="47"/>
      <c r="R2971" s="48" t="s">
        <v>1976</v>
      </c>
    </row>
    <row r="2972">
      <c r="B2972" s="45"/>
      <c r="N2972" s="46" t="str">
        <f>IFERROR(__xludf.DUMMYFUNCTION("""COMPUTED_VALUE"""),"")</f>
        <v/>
      </c>
      <c r="O2972" s="46" t="s">
        <v>1976</v>
      </c>
      <c r="P2972" s="47"/>
      <c r="Q2972" s="47"/>
      <c r="R2972" s="48" t="s">
        <v>1976</v>
      </c>
    </row>
    <row r="2973">
      <c r="B2973" s="45"/>
      <c r="N2973" s="46" t="str">
        <f>IFERROR(__xludf.DUMMYFUNCTION("""COMPUTED_VALUE"""),"")</f>
        <v/>
      </c>
      <c r="O2973" s="46" t="s">
        <v>1976</v>
      </c>
      <c r="P2973" s="47"/>
      <c r="Q2973" s="47"/>
      <c r="R2973" s="48" t="s">
        <v>1976</v>
      </c>
    </row>
    <row r="2974">
      <c r="B2974" s="45"/>
      <c r="N2974" s="46" t="str">
        <f>IFERROR(__xludf.DUMMYFUNCTION("""COMPUTED_VALUE"""),"")</f>
        <v/>
      </c>
      <c r="O2974" s="46" t="s">
        <v>1976</v>
      </c>
      <c r="P2974" s="47"/>
      <c r="Q2974" s="47"/>
      <c r="R2974" s="48" t="s">
        <v>1976</v>
      </c>
    </row>
    <row r="2975">
      <c r="B2975" s="45"/>
      <c r="N2975" s="46" t="str">
        <f>IFERROR(__xludf.DUMMYFUNCTION("""COMPUTED_VALUE"""),"")</f>
        <v/>
      </c>
      <c r="O2975" s="46" t="s">
        <v>1976</v>
      </c>
      <c r="P2975" s="47"/>
      <c r="Q2975" s="47"/>
      <c r="R2975" s="48" t="s">
        <v>1976</v>
      </c>
    </row>
    <row r="2976">
      <c r="B2976" s="45"/>
      <c r="N2976" s="46" t="str">
        <f>IFERROR(__xludf.DUMMYFUNCTION("""COMPUTED_VALUE"""),"")</f>
        <v/>
      </c>
      <c r="O2976" s="46" t="s">
        <v>1976</v>
      </c>
      <c r="P2976" s="47"/>
      <c r="Q2976" s="47"/>
      <c r="R2976" s="48" t="s">
        <v>1976</v>
      </c>
    </row>
    <row r="2977">
      <c r="B2977" s="45"/>
      <c r="N2977" s="46" t="str">
        <f>IFERROR(__xludf.DUMMYFUNCTION("""COMPUTED_VALUE"""),"")</f>
        <v/>
      </c>
      <c r="O2977" s="46" t="s">
        <v>1976</v>
      </c>
      <c r="P2977" s="47"/>
      <c r="Q2977" s="47"/>
      <c r="R2977" s="48" t="s">
        <v>1976</v>
      </c>
    </row>
    <row r="2978">
      <c r="B2978" s="45"/>
      <c r="N2978" s="46" t="str">
        <f>IFERROR(__xludf.DUMMYFUNCTION("""COMPUTED_VALUE"""),"")</f>
        <v/>
      </c>
      <c r="O2978" s="46" t="s">
        <v>1976</v>
      </c>
      <c r="P2978" s="47"/>
      <c r="Q2978" s="47"/>
      <c r="R2978" s="48" t="s">
        <v>1976</v>
      </c>
    </row>
    <row r="2979">
      <c r="B2979" s="45"/>
      <c r="N2979" s="46" t="str">
        <f>IFERROR(__xludf.DUMMYFUNCTION("""COMPUTED_VALUE"""),"")</f>
        <v/>
      </c>
      <c r="O2979" s="46" t="s">
        <v>1976</v>
      </c>
      <c r="P2979" s="47"/>
      <c r="Q2979" s="47"/>
      <c r="R2979" s="48" t="s">
        <v>1976</v>
      </c>
    </row>
    <row r="2980">
      <c r="B2980" s="45"/>
      <c r="N2980" s="46" t="str">
        <f>IFERROR(__xludf.DUMMYFUNCTION("""COMPUTED_VALUE"""),"")</f>
        <v/>
      </c>
      <c r="O2980" s="46" t="s">
        <v>1976</v>
      </c>
      <c r="P2980" s="47"/>
      <c r="Q2980" s="47"/>
      <c r="R2980" s="48" t="s">
        <v>1976</v>
      </c>
    </row>
    <row r="2981">
      <c r="B2981" s="45"/>
      <c r="N2981" s="46" t="str">
        <f>IFERROR(__xludf.DUMMYFUNCTION("""COMPUTED_VALUE"""),"")</f>
        <v/>
      </c>
      <c r="O2981" s="46" t="s">
        <v>1976</v>
      </c>
      <c r="P2981" s="47"/>
      <c r="Q2981" s="47"/>
      <c r="R2981" s="48" t="s">
        <v>1976</v>
      </c>
    </row>
    <row r="2982">
      <c r="B2982" s="45"/>
      <c r="N2982" s="46" t="str">
        <f>IFERROR(__xludf.DUMMYFUNCTION("""COMPUTED_VALUE"""),"")</f>
        <v/>
      </c>
      <c r="O2982" s="46" t="s">
        <v>1976</v>
      </c>
      <c r="P2982" s="47"/>
      <c r="Q2982" s="47"/>
      <c r="R2982" s="48" t="s">
        <v>1976</v>
      </c>
    </row>
    <row r="2983">
      <c r="B2983" s="45"/>
      <c r="N2983" s="46" t="str">
        <f>IFERROR(__xludf.DUMMYFUNCTION("""COMPUTED_VALUE"""),"")</f>
        <v/>
      </c>
      <c r="O2983" s="46" t="s">
        <v>1976</v>
      </c>
      <c r="P2983" s="47"/>
      <c r="Q2983" s="47"/>
      <c r="R2983" s="48" t="s">
        <v>1976</v>
      </c>
    </row>
    <row r="2984">
      <c r="B2984" s="45"/>
      <c r="N2984" s="46" t="str">
        <f>IFERROR(__xludf.DUMMYFUNCTION("""COMPUTED_VALUE"""),"")</f>
        <v/>
      </c>
      <c r="O2984" s="46" t="s">
        <v>1976</v>
      </c>
      <c r="P2984" s="47"/>
      <c r="Q2984" s="47"/>
      <c r="R2984" s="48" t="s">
        <v>1976</v>
      </c>
    </row>
    <row r="2985">
      <c r="B2985" s="45"/>
      <c r="N2985" s="46" t="str">
        <f>IFERROR(__xludf.DUMMYFUNCTION("""COMPUTED_VALUE"""),"")</f>
        <v/>
      </c>
      <c r="O2985" s="46" t="s">
        <v>1976</v>
      </c>
      <c r="P2985" s="47"/>
      <c r="Q2985" s="47"/>
      <c r="R2985" s="48" t="s">
        <v>1976</v>
      </c>
    </row>
    <row r="2986">
      <c r="B2986" s="45"/>
      <c r="N2986" s="46" t="str">
        <f>IFERROR(__xludf.DUMMYFUNCTION("""COMPUTED_VALUE"""),"")</f>
        <v/>
      </c>
      <c r="O2986" s="46" t="s">
        <v>1976</v>
      </c>
      <c r="P2986" s="47"/>
      <c r="Q2986" s="47"/>
      <c r="R2986" s="48" t="s">
        <v>1976</v>
      </c>
    </row>
    <row r="2987">
      <c r="B2987" s="45"/>
      <c r="N2987" s="46" t="str">
        <f>IFERROR(__xludf.DUMMYFUNCTION("""COMPUTED_VALUE"""),"")</f>
        <v/>
      </c>
      <c r="O2987" s="46" t="s">
        <v>1976</v>
      </c>
      <c r="P2987" s="47"/>
      <c r="Q2987" s="47"/>
      <c r="R2987" s="48" t="s">
        <v>1976</v>
      </c>
    </row>
    <row r="2988">
      <c r="B2988" s="45"/>
      <c r="N2988" s="46" t="str">
        <f>IFERROR(__xludf.DUMMYFUNCTION("""COMPUTED_VALUE"""),"")</f>
        <v/>
      </c>
      <c r="O2988" s="46" t="s">
        <v>1976</v>
      </c>
      <c r="P2988" s="47"/>
      <c r="Q2988" s="47"/>
      <c r="R2988" s="48" t="s">
        <v>1976</v>
      </c>
    </row>
    <row r="2989">
      <c r="B2989" s="45"/>
      <c r="N2989" s="46" t="str">
        <f>IFERROR(__xludf.DUMMYFUNCTION("""COMPUTED_VALUE"""),"")</f>
        <v/>
      </c>
      <c r="O2989" s="46" t="s">
        <v>1976</v>
      </c>
      <c r="P2989" s="47"/>
      <c r="Q2989" s="47"/>
      <c r="R2989" s="48" t="s">
        <v>1976</v>
      </c>
    </row>
    <row r="2990">
      <c r="B2990" s="45"/>
      <c r="N2990" s="46" t="str">
        <f>IFERROR(__xludf.DUMMYFUNCTION("""COMPUTED_VALUE"""),"")</f>
        <v/>
      </c>
      <c r="O2990" s="46" t="s">
        <v>1976</v>
      </c>
      <c r="P2990" s="47"/>
      <c r="Q2990" s="47"/>
      <c r="R2990" s="48" t="s">
        <v>1976</v>
      </c>
    </row>
    <row r="2991">
      <c r="B2991" s="45"/>
      <c r="N2991" s="46" t="str">
        <f>IFERROR(__xludf.DUMMYFUNCTION("""COMPUTED_VALUE"""),"")</f>
        <v/>
      </c>
      <c r="O2991" s="46" t="s">
        <v>1976</v>
      </c>
      <c r="P2991" s="47"/>
      <c r="Q2991" s="47"/>
      <c r="R2991" s="48" t="s">
        <v>1976</v>
      </c>
    </row>
    <row r="2992">
      <c r="B2992" s="45"/>
      <c r="N2992" s="46" t="str">
        <f>IFERROR(__xludf.DUMMYFUNCTION("""COMPUTED_VALUE"""),"")</f>
        <v/>
      </c>
      <c r="O2992" s="46" t="s">
        <v>1976</v>
      </c>
      <c r="P2992" s="47"/>
      <c r="Q2992" s="47"/>
      <c r="R2992" s="48" t="s">
        <v>1976</v>
      </c>
    </row>
    <row r="2993">
      <c r="B2993" s="45"/>
      <c r="N2993" s="46" t="str">
        <f>IFERROR(__xludf.DUMMYFUNCTION("""COMPUTED_VALUE"""),"")</f>
        <v/>
      </c>
      <c r="O2993" s="46" t="s">
        <v>1976</v>
      </c>
      <c r="P2993" s="47"/>
      <c r="Q2993" s="47"/>
      <c r="R2993" s="48" t="s">
        <v>1976</v>
      </c>
    </row>
    <row r="2994">
      <c r="B2994" s="45"/>
      <c r="N2994" s="46" t="str">
        <f>IFERROR(__xludf.DUMMYFUNCTION("""COMPUTED_VALUE"""),"")</f>
        <v/>
      </c>
      <c r="O2994" s="46" t="s">
        <v>1976</v>
      </c>
      <c r="P2994" s="47"/>
      <c r="Q2994" s="47"/>
      <c r="R2994" s="48" t="s">
        <v>1976</v>
      </c>
    </row>
    <row r="2995">
      <c r="B2995" s="45"/>
      <c r="N2995" s="46" t="str">
        <f>IFERROR(__xludf.DUMMYFUNCTION("""COMPUTED_VALUE"""),"")</f>
        <v/>
      </c>
      <c r="O2995" s="46" t="s">
        <v>1976</v>
      </c>
      <c r="P2995" s="47"/>
      <c r="Q2995" s="47"/>
      <c r="R2995" s="48" t="s">
        <v>1976</v>
      </c>
    </row>
    <row r="2996">
      <c r="B2996" s="45"/>
      <c r="N2996" s="46" t="str">
        <f>IFERROR(__xludf.DUMMYFUNCTION("""COMPUTED_VALUE"""),"")</f>
        <v/>
      </c>
      <c r="O2996" s="46" t="s">
        <v>1976</v>
      </c>
      <c r="P2996" s="47"/>
      <c r="Q2996" s="47"/>
      <c r="R2996" s="48" t="s">
        <v>1976</v>
      </c>
    </row>
    <row r="2997">
      <c r="B2997" s="45"/>
      <c r="N2997" s="46" t="str">
        <f>IFERROR(__xludf.DUMMYFUNCTION("""COMPUTED_VALUE"""),"")</f>
        <v/>
      </c>
      <c r="O2997" s="46" t="s">
        <v>1976</v>
      </c>
      <c r="P2997" s="47"/>
      <c r="Q2997" s="47"/>
      <c r="R2997" s="48" t="s">
        <v>1976</v>
      </c>
    </row>
    <row r="2998">
      <c r="B2998" s="45"/>
      <c r="N2998" s="46" t="str">
        <f>IFERROR(__xludf.DUMMYFUNCTION("""COMPUTED_VALUE"""),"")</f>
        <v/>
      </c>
      <c r="O2998" s="46" t="s">
        <v>1976</v>
      </c>
      <c r="P2998" s="47"/>
      <c r="Q2998" s="47"/>
      <c r="R2998" s="48" t="s">
        <v>1976</v>
      </c>
    </row>
    <row r="2999">
      <c r="B2999" s="45"/>
      <c r="N2999" s="46" t="str">
        <f>IFERROR(__xludf.DUMMYFUNCTION("""COMPUTED_VALUE"""),"")</f>
        <v/>
      </c>
      <c r="O2999" s="46" t="s">
        <v>1976</v>
      </c>
      <c r="P2999" s="47"/>
      <c r="Q2999" s="47"/>
      <c r="R2999" s="48" t="s">
        <v>1976</v>
      </c>
    </row>
    <row r="3000">
      <c r="B3000" s="45"/>
      <c r="N3000" s="46" t="str">
        <f>IFERROR(__xludf.DUMMYFUNCTION("""COMPUTED_VALUE"""),"")</f>
        <v/>
      </c>
      <c r="O3000" s="46" t="s">
        <v>1976</v>
      </c>
      <c r="P3000" s="47"/>
      <c r="Q3000" s="47"/>
      <c r="R3000" s="48" t="s">
        <v>1976</v>
      </c>
    </row>
    <row r="3001">
      <c r="B3001" s="45"/>
      <c r="N3001" s="46" t="str">
        <f>IFERROR(__xludf.DUMMYFUNCTION("""COMPUTED_VALUE"""),"")</f>
        <v/>
      </c>
      <c r="O3001" s="46" t="s">
        <v>1976</v>
      </c>
      <c r="P3001" s="47"/>
      <c r="Q3001" s="47"/>
      <c r="R3001" s="48" t="s">
        <v>1976</v>
      </c>
    </row>
    <row r="3002">
      <c r="B3002" s="45"/>
      <c r="N3002" s="46" t="str">
        <f>IFERROR(__xludf.DUMMYFUNCTION("""COMPUTED_VALUE"""),"")</f>
        <v/>
      </c>
      <c r="O3002" s="46" t="s">
        <v>1976</v>
      </c>
      <c r="P3002" s="47"/>
      <c r="Q3002" s="47"/>
      <c r="R3002" s="48" t="s">
        <v>1976</v>
      </c>
    </row>
    <row r="3003">
      <c r="B3003" s="45"/>
      <c r="N3003" s="46" t="str">
        <f>IFERROR(__xludf.DUMMYFUNCTION("""COMPUTED_VALUE"""),"")</f>
        <v/>
      </c>
      <c r="O3003" s="46" t="s">
        <v>1976</v>
      </c>
      <c r="P3003" s="47"/>
      <c r="Q3003" s="47"/>
      <c r="R3003" s="48" t="s">
        <v>1976</v>
      </c>
    </row>
    <row r="3004">
      <c r="B3004" s="45"/>
      <c r="N3004" s="46" t="str">
        <f>IFERROR(__xludf.DUMMYFUNCTION("""COMPUTED_VALUE"""),"")</f>
        <v/>
      </c>
      <c r="O3004" s="46" t="s">
        <v>1976</v>
      </c>
      <c r="P3004" s="47"/>
      <c r="Q3004" s="47"/>
      <c r="R3004" s="48" t="s">
        <v>1976</v>
      </c>
    </row>
    <row r="3005">
      <c r="B3005" s="45"/>
      <c r="N3005" s="46" t="str">
        <f>IFERROR(__xludf.DUMMYFUNCTION("""COMPUTED_VALUE"""),"")</f>
        <v/>
      </c>
      <c r="O3005" s="46" t="s">
        <v>1976</v>
      </c>
      <c r="P3005" s="47"/>
      <c r="Q3005" s="47"/>
      <c r="R3005" s="48" t="s">
        <v>1976</v>
      </c>
    </row>
    <row r="3006">
      <c r="B3006" s="45"/>
      <c r="N3006" s="46" t="str">
        <f>IFERROR(__xludf.DUMMYFUNCTION("""COMPUTED_VALUE"""),"")</f>
        <v/>
      </c>
      <c r="O3006" s="46" t="s">
        <v>1976</v>
      </c>
      <c r="P3006" s="47"/>
      <c r="Q3006" s="47"/>
      <c r="R3006" s="48" t="s">
        <v>1976</v>
      </c>
    </row>
    <row r="3007">
      <c r="B3007" s="45"/>
      <c r="N3007" s="46" t="str">
        <f>IFERROR(__xludf.DUMMYFUNCTION("""COMPUTED_VALUE"""),"")</f>
        <v/>
      </c>
      <c r="O3007" s="46" t="s">
        <v>1976</v>
      </c>
      <c r="P3007" s="47"/>
      <c r="Q3007" s="47"/>
      <c r="R3007" s="48" t="s">
        <v>1976</v>
      </c>
    </row>
    <row r="3008">
      <c r="B3008" s="45"/>
      <c r="N3008" s="46" t="str">
        <f>IFERROR(__xludf.DUMMYFUNCTION("""COMPUTED_VALUE"""),"")</f>
        <v/>
      </c>
      <c r="O3008" s="46" t="s">
        <v>1976</v>
      </c>
      <c r="P3008" s="47"/>
      <c r="Q3008" s="47"/>
      <c r="R3008" s="48" t="s">
        <v>1976</v>
      </c>
    </row>
    <row r="3009">
      <c r="B3009" s="45"/>
      <c r="N3009" s="46" t="str">
        <f>IFERROR(__xludf.DUMMYFUNCTION("""COMPUTED_VALUE"""),"")</f>
        <v/>
      </c>
      <c r="O3009" s="46" t="s">
        <v>1976</v>
      </c>
      <c r="P3009" s="47"/>
      <c r="Q3009" s="47"/>
      <c r="R3009" s="48" t="s">
        <v>1976</v>
      </c>
    </row>
    <row r="3010">
      <c r="B3010" s="45"/>
      <c r="N3010" s="46" t="str">
        <f>IFERROR(__xludf.DUMMYFUNCTION("""COMPUTED_VALUE"""),"")</f>
        <v/>
      </c>
      <c r="O3010" s="46" t="s">
        <v>1976</v>
      </c>
      <c r="P3010" s="47"/>
      <c r="Q3010" s="47"/>
      <c r="R3010" s="48" t="s">
        <v>1976</v>
      </c>
    </row>
    <row r="3011">
      <c r="B3011" s="45"/>
      <c r="N3011" s="46" t="str">
        <f>IFERROR(__xludf.DUMMYFUNCTION("""COMPUTED_VALUE"""),"")</f>
        <v/>
      </c>
      <c r="O3011" s="46" t="s">
        <v>1976</v>
      </c>
      <c r="P3011" s="47"/>
      <c r="Q3011" s="47"/>
      <c r="R3011" s="48" t="s">
        <v>1976</v>
      </c>
    </row>
    <row r="3012">
      <c r="B3012" s="45"/>
      <c r="N3012" s="46" t="str">
        <f>IFERROR(__xludf.DUMMYFUNCTION("""COMPUTED_VALUE"""),"")</f>
        <v/>
      </c>
      <c r="O3012" s="46" t="s">
        <v>1976</v>
      </c>
      <c r="P3012" s="47"/>
      <c r="Q3012" s="47"/>
      <c r="R3012" s="48" t="s">
        <v>1976</v>
      </c>
    </row>
    <row r="3013">
      <c r="B3013" s="45"/>
      <c r="N3013" s="46" t="str">
        <f>IFERROR(__xludf.DUMMYFUNCTION("""COMPUTED_VALUE"""),"")</f>
        <v/>
      </c>
      <c r="O3013" s="46" t="s">
        <v>1976</v>
      </c>
      <c r="P3013" s="47"/>
      <c r="Q3013" s="47"/>
      <c r="R3013" s="48" t="s">
        <v>1976</v>
      </c>
    </row>
    <row r="3014">
      <c r="B3014" s="45"/>
      <c r="N3014" s="46" t="str">
        <f>IFERROR(__xludf.DUMMYFUNCTION("""COMPUTED_VALUE"""),"")</f>
        <v/>
      </c>
      <c r="O3014" s="46" t="s">
        <v>1976</v>
      </c>
      <c r="P3014" s="47"/>
      <c r="Q3014" s="47"/>
      <c r="R3014" s="48" t="s">
        <v>1976</v>
      </c>
    </row>
    <row r="3015">
      <c r="B3015" s="45"/>
      <c r="N3015" s="46" t="str">
        <f>IFERROR(__xludf.DUMMYFUNCTION("""COMPUTED_VALUE"""),"")</f>
        <v/>
      </c>
      <c r="O3015" s="46" t="s">
        <v>1976</v>
      </c>
      <c r="P3015" s="47"/>
      <c r="Q3015" s="47"/>
      <c r="R3015" s="48" t="s">
        <v>1976</v>
      </c>
    </row>
    <row r="3016">
      <c r="B3016" s="45"/>
      <c r="N3016" s="46" t="str">
        <f>IFERROR(__xludf.DUMMYFUNCTION("""COMPUTED_VALUE"""),"")</f>
        <v/>
      </c>
      <c r="O3016" s="46" t="s">
        <v>1976</v>
      </c>
      <c r="P3016" s="47"/>
      <c r="Q3016" s="47"/>
      <c r="R3016" s="48" t="s">
        <v>1976</v>
      </c>
    </row>
    <row r="3017">
      <c r="B3017" s="45"/>
      <c r="N3017" s="46" t="str">
        <f>IFERROR(__xludf.DUMMYFUNCTION("""COMPUTED_VALUE"""),"")</f>
        <v/>
      </c>
      <c r="O3017" s="46" t="s">
        <v>1976</v>
      </c>
      <c r="P3017" s="47"/>
      <c r="Q3017" s="47"/>
      <c r="R3017" s="48" t="s">
        <v>1976</v>
      </c>
    </row>
    <row r="3018">
      <c r="B3018" s="45"/>
      <c r="N3018" s="46" t="str">
        <f>IFERROR(__xludf.DUMMYFUNCTION("""COMPUTED_VALUE"""),"")</f>
        <v/>
      </c>
      <c r="O3018" s="46" t="s">
        <v>1976</v>
      </c>
      <c r="P3018" s="47"/>
      <c r="Q3018" s="47"/>
      <c r="R3018" s="48" t="s">
        <v>1976</v>
      </c>
    </row>
    <row r="3019">
      <c r="B3019" s="45"/>
      <c r="N3019" s="46" t="str">
        <f>IFERROR(__xludf.DUMMYFUNCTION("""COMPUTED_VALUE"""),"")</f>
        <v/>
      </c>
      <c r="O3019" s="46" t="s">
        <v>1976</v>
      </c>
      <c r="P3019" s="47"/>
      <c r="Q3019" s="47"/>
      <c r="R3019" s="48" t="s">
        <v>1976</v>
      </c>
    </row>
    <row r="3020">
      <c r="B3020" s="45"/>
      <c r="N3020" s="46" t="str">
        <f>IFERROR(__xludf.DUMMYFUNCTION("""COMPUTED_VALUE"""),"")</f>
        <v/>
      </c>
      <c r="O3020" s="46" t="s">
        <v>1976</v>
      </c>
      <c r="P3020" s="47"/>
      <c r="Q3020" s="47"/>
      <c r="R3020" s="48" t="s">
        <v>1976</v>
      </c>
    </row>
    <row r="3021">
      <c r="B3021" s="45"/>
      <c r="N3021" s="46" t="str">
        <f>IFERROR(__xludf.DUMMYFUNCTION("""COMPUTED_VALUE"""),"")</f>
        <v/>
      </c>
      <c r="O3021" s="46" t="s">
        <v>1976</v>
      </c>
      <c r="P3021" s="47"/>
      <c r="Q3021" s="47"/>
      <c r="R3021" s="48" t="s">
        <v>1976</v>
      </c>
    </row>
    <row r="3022">
      <c r="B3022" s="45"/>
      <c r="N3022" s="46" t="str">
        <f>IFERROR(__xludf.DUMMYFUNCTION("""COMPUTED_VALUE"""),"")</f>
        <v/>
      </c>
      <c r="O3022" s="46" t="s">
        <v>1976</v>
      </c>
      <c r="P3022" s="47"/>
      <c r="Q3022" s="47"/>
      <c r="R3022" s="48" t="s">
        <v>1976</v>
      </c>
    </row>
    <row r="3023">
      <c r="B3023" s="45"/>
      <c r="N3023" s="46" t="str">
        <f>IFERROR(__xludf.DUMMYFUNCTION("""COMPUTED_VALUE"""),"")</f>
        <v/>
      </c>
      <c r="O3023" s="46" t="s">
        <v>1976</v>
      </c>
      <c r="P3023" s="47"/>
      <c r="Q3023" s="47"/>
      <c r="R3023" s="48" t="s">
        <v>1976</v>
      </c>
    </row>
    <row r="3024">
      <c r="B3024" s="45"/>
      <c r="N3024" s="46" t="str">
        <f>IFERROR(__xludf.DUMMYFUNCTION("""COMPUTED_VALUE"""),"")</f>
        <v/>
      </c>
      <c r="O3024" s="46" t="s">
        <v>1976</v>
      </c>
      <c r="P3024" s="47"/>
      <c r="Q3024" s="47"/>
      <c r="R3024" s="48" t="s">
        <v>1976</v>
      </c>
    </row>
    <row r="3025">
      <c r="B3025" s="45"/>
      <c r="N3025" s="46" t="str">
        <f>IFERROR(__xludf.DUMMYFUNCTION("""COMPUTED_VALUE"""),"")</f>
        <v/>
      </c>
      <c r="O3025" s="46" t="s">
        <v>1976</v>
      </c>
      <c r="P3025" s="47"/>
      <c r="Q3025" s="47"/>
      <c r="R3025" s="48" t="s">
        <v>1976</v>
      </c>
    </row>
    <row r="3026">
      <c r="B3026" s="45"/>
      <c r="N3026" s="46" t="str">
        <f>IFERROR(__xludf.DUMMYFUNCTION("""COMPUTED_VALUE"""),"")</f>
        <v/>
      </c>
      <c r="O3026" s="46" t="s">
        <v>1976</v>
      </c>
      <c r="P3026" s="47"/>
      <c r="Q3026" s="47"/>
      <c r="R3026" s="48" t="s">
        <v>1976</v>
      </c>
    </row>
    <row r="3027">
      <c r="B3027" s="45"/>
      <c r="N3027" s="46" t="str">
        <f>IFERROR(__xludf.DUMMYFUNCTION("""COMPUTED_VALUE"""),"")</f>
        <v/>
      </c>
      <c r="O3027" s="46" t="s">
        <v>1976</v>
      </c>
      <c r="P3027" s="47"/>
      <c r="Q3027" s="47"/>
      <c r="R3027" s="48" t="s">
        <v>1976</v>
      </c>
    </row>
    <row r="3028">
      <c r="B3028" s="45"/>
      <c r="N3028" s="46" t="str">
        <f>IFERROR(__xludf.DUMMYFUNCTION("""COMPUTED_VALUE"""),"")</f>
        <v/>
      </c>
      <c r="O3028" s="46" t="s">
        <v>1976</v>
      </c>
      <c r="P3028" s="47"/>
      <c r="Q3028" s="47"/>
      <c r="R3028" s="48" t="s">
        <v>1976</v>
      </c>
    </row>
    <row r="3029">
      <c r="B3029" s="45"/>
      <c r="N3029" s="46" t="str">
        <f>IFERROR(__xludf.DUMMYFUNCTION("""COMPUTED_VALUE"""),"")</f>
        <v/>
      </c>
      <c r="O3029" s="46" t="s">
        <v>1976</v>
      </c>
      <c r="P3029" s="47"/>
      <c r="Q3029" s="47"/>
      <c r="R3029" s="48" t="s">
        <v>1976</v>
      </c>
    </row>
    <row r="3030">
      <c r="B3030" s="45"/>
      <c r="N3030" s="46" t="str">
        <f>IFERROR(__xludf.DUMMYFUNCTION("""COMPUTED_VALUE"""),"")</f>
        <v/>
      </c>
      <c r="O3030" s="46" t="s">
        <v>1976</v>
      </c>
      <c r="P3030" s="47"/>
      <c r="Q3030" s="47"/>
      <c r="R3030" s="48" t="s">
        <v>1976</v>
      </c>
    </row>
    <row r="3031">
      <c r="B3031" s="45"/>
      <c r="N3031" s="46" t="str">
        <f>IFERROR(__xludf.DUMMYFUNCTION("""COMPUTED_VALUE"""),"")</f>
        <v/>
      </c>
      <c r="O3031" s="46" t="s">
        <v>1976</v>
      </c>
      <c r="P3031" s="47"/>
      <c r="Q3031" s="47"/>
      <c r="R3031" s="48" t="s">
        <v>1976</v>
      </c>
    </row>
    <row r="3032">
      <c r="B3032" s="45"/>
      <c r="N3032" s="46" t="str">
        <f>IFERROR(__xludf.DUMMYFUNCTION("""COMPUTED_VALUE"""),"")</f>
        <v/>
      </c>
      <c r="O3032" s="46" t="s">
        <v>1976</v>
      </c>
      <c r="P3032" s="47"/>
      <c r="Q3032" s="47"/>
      <c r="R3032" s="48" t="s">
        <v>1976</v>
      </c>
    </row>
    <row r="3033">
      <c r="B3033" s="45"/>
      <c r="N3033" s="46" t="str">
        <f>IFERROR(__xludf.DUMMYFUNCTION("""COMPUTED_VALUE"""),"")</f>
        <v/>
      </c>
      <c r="O3033" s="46" t="s">
        <v>1976</v>
      </c>
      <c r="P3033" s="47"/>
      <c r="Q3033" s="47"/>
      <c r="R3033" s="48" t="s">
        <v>1976</v>
      </c>
    </row>
    <row r="3034">
      <c r="B3034" s="45"/>
      <c r="N3034" s="46" t="str">
        <f>IFERROR(__xludf.DUMMYFUNCTION("""COMPUTED_VALUE"""),"")</f>
        <v/>
      </c>
      <c r="O3034" s="46" t="s">
        <v>1976</v>
      </c>
      <c r="P3034" s="47"/>
      <c r="Q3034" s="47"/>
      <c r="R3034" s="48" t="s">
        <v>1976</v>
      </c>
    </row>
    <row r="3035">
      <c r="B3035" s="45"/>
      <c r="N3035" s="46" t="str">
        <f>IFERROR(__xludf.DUMMYFUNCTION("""COMPUTED_VALUE"""),"")</f>
        <v/>
      </c>
      <c r="O3035" s="46" t="s">
        <v>1976</v>
      </c>
      <c r="P3035" s="47"/>
      <c r="Q3035" s="47"/>
      <c r="R3035" s="48" t="s">
        <v>1976</v>
      </c>
    </row>
    <row r="3036">
      <c r="B3036" s="45"/>
      <c r="N3036" s="46" t="str">
        <f>IFERROR(__xludf.DUMMYFUNCTION("""COMPUTED_VALUE"""),"")</f>
        <v/>
      </c>
      <c r="O3036" s="46" t="s">
        <v>1976</v>
      </c>
      <c r="P3036" s="47"/>
      <c r="Q3036" s="47"/>
      <c r="R3036" s="48" t="s">
        <v>1976</v>
      </c>
    </row>
    <row r="3037">
      <c r="B3037" s="45"/>
      <c r="N3037" s="46" t="str">
        <f>IFERROR(__xludf.DUMMYFUNCTION("""COMPUTED_VALUE"""),"")</f>
        <v/>
      </c>
      <c r="O3037" s="46" t="s">
        <v>1976</v>
      </c>
      <c r="P3037" s="47"/>
      <c r="Q3037" s="47"/>
      <c r="R3037" s="48" t="s">
        <v>1976</v>
      </c>
    </row>
    <row r="3038">
      <c r="B3038" s="45"/>
      <c r="N3038" s="46" t="str">
        <f>IFERROR(__xludf.DUMMYFUNCTION("""COMPUTED_VALUE"""),"")</f>
        <v/>
      </c>
      <c r="O3038" s="46" t="s">
        <v>1976</v>
      </c>
      <c r="P3038" s="47"/>
      <c r="Q3038" s="47"/>
      <c r="R3038" s="48" t="s">
        <v>1976</v>
      </c>
    </row>
    <row r="3039">
      <c r="B3039" s="45"/>
      <c r="N3039" s="46" t="str">
        <f>IFERROR(__xludf.DUMMYFUNCTION("""COMPUTED_VALUE"""),"")</f>
        <v/>
      </c>
      <c r="O3039" s="46" t="s">
        <v>1976</v>
      </c>
      <c r="P3039" s="47"/>
      <c r="Q3039" s="47"/>
      <c r="R3039" s="48" t="s">
        <v>1976</v>
      </c>
    </row>
    <row r="3040">
      <c r="B3040" s="45"/>
      <c r="N3040" s="46" t="str">
        <f>IFERROR(__xludf.DUMMYFUNCTION("""COMPUTED_VALUE"""),"")</f>
        <v/>
      </c>
      <c r="O3040" s="46" t="s">
        <v>1976</v>
      </c>
      <c r="P3040" s="47"/>
      <c r="Q3040" s="47"/>
      <c r="R3040" s="48" t="s">
        <v>1976</v>
      </c>
    </row>
    <row r="3041">
      <c r="B3041" s="45"/>
      <c r="N3041" s="46" t="str">
        <f>IFERROR(__xludf.DUMMYFUNCTION("""COMPUTED_VALUE"""),"")</f>
        <v/>
      </c>
      <c r="O3041" s="46" t="s">
        <v>1976</v>
      </c>
      <c r="P3041" s="47"/>
      <c r="Q3041" s="47"/>
      <c r="R3041" s="48" t="s">
        <v>1976</v>
      </c>
    </row>
    <row r="3042">
      <c r="B3042" s="45"/>
      <c r="N3042" s="46" t="str">
        <f>IFERROR(__xludf.DUMMYFUNCTION("""COMPUTED_VALUE"""),"")</f>
        <v/>
      </c>
      <c r="O3042" s="46" t="s">
        <v>1976</v>
      </c>
      <c r="P3042" s="47"/>
      <c r="Q3042" s="47"/>
      <c r="R3042" s="48" t="s">
        <v>1976</v>
      </c>
    </row>
    <row r="3043">
      <c r="B3043" s="45"/>
      <c r="N3043" s="46" t="str">
        <f>IFERROR(__xludf.DUMMYFUNCTION("""COMPUTED_VALUE"""),"")</f>
        <v/>
      </c>
      <c r="O3043" s="46" t="s">
        <v>1976</v>
      </c>
      <c r="P3043" s="47"/>
      <c r="Q3043" s="47"/>
      <c r="R3043" s="48" t="s">
        <v>1976</v>
      </c>
    </row>
    <row r="3044">
      <c r="B3044" s="45"/>
      <c r="N3044" s="46" t="str">
        <f>IFERROR(__xludf.DUMMYFUNCTION("""COMPUTED_VALUE"""),"")</f>
        <v/>
      </c>
      <c r="O3044" s="46" t="s">
        <v>1976</v>
      </c>
      <c r="P3044" s="47"/>
      <c r="Q3044" s="47"/>
      <c r="R3044" s="48" t="s">
        <v>1976</v>
      </c>
    </row>
    <row r="3045">
      <c r="B3045" s="45"/>
      <c r="N3045" s="46" t="str">
        <f>IFERROR(__xludf.DUMMYFUNCTION("""COMPUTED_VALUE"""),"")</f>
        <v/>
      </c>
      <c r="O3045" s="46" t="s">
        <v>1976</v>
      </c>
      <c r="P3045" s="47"/>
      <c r="Q3045" s="47"/>
      <c r="R3045" s="48" t="s">
        <v>1976</v>
      </c>
    </row>
    <row r="3046">
      <c r="B3046" s="45"/>
      <c r="N3046" s="46" t="str">
        <f>IFERROR(__xludf.DUMMYFUNCTION("""COMPUTED_VALUE"""),"")</f>
        <v/>
      </c>
      <c r="O3046" s="46" t="s">
        <v>1976</v>
      </c>
      <c r="P3046" s="47"/>
      <c r="Q3046" s="47"/>
      <c r="R3046" s="48" t="s">
        <v>1976</v>
      </c>
    </row>
    <row r="3047">
      <c r="B3047" s="45"/>
      <c r="N3047" s="46" t="str">
        <f>IFERROR(__xludf.DUMMYFUNCTION("""COMPUTED_VALUE"""),"")</f>
        <v/>
      </c>
      <c r="O3047" s="46" t="s">
        <v>1976</v>
      </c>
      <c r="P3047" s="47"/>
      <c r="Q3047" s="47"/>
      <c r="R3047" s="48" t="s">
        <v>1976</v>
      </c>
    </row>
    <row r="3048">
      <c r="B3048" s="45"/>
      <c r="N3048" s="46" t="str">
        <f>IFERROR(__xludf.DUMMYFUNCTION("""COMPUTED_VALUE"""),"")</f>
        <v/>
      </c>
      <c r="O3048" s="46" t="s">
        <v>1976</v>
      </c>
      <c r="P3048" s="47"/>
      <c r="Q3048" s="47"/>
      <c r="R3048" s="48" t="s">
        <v>1976</v>
      </c>
    </row>
    <row r="3049">
      <c r="B3049" s="45"/>
      <c r="N3049" s="46" t="str">
        <f>IFERROR(__xludf.DUMMYFUNCTION("""COMPUTED_VALUE"""),"")</f>
        <v/>
      </c>
      <c r="O3049" s="46" t="s">
        <v>1976</v>
      </c>
      <c r="P3049" s="47"/>
      <c r="Q3049" s="47"/>
      <c r="R3049" s="48" t="s">
        <v>1976</v>
      </c>
    </row>
    <row r="3050">
      <c r="B3050" s="45"/>
      <c r="N3050" s="46" t="str">
        <f>IFERROR(__xludf.DUMMYFUNCTION("""COMPUTED_VALUE"""),"")</f>
        <v/>
      </c>
      <c r="O3050" s="46" t="s">
        <v>1976</v>
      </c>
      <c r="P3050" s="47"/>
      <c r="Q3050" s="47"/>
      <c r="R3050" s="48" t="s">
        <v>1976</v>
      </c>
    </row>
    <row r="3051">
      <c r="B3051" s="45"/>
      <c r="N3051" s="46" t="str">
        <f>IFERROR(__xludf.DUMMYFUNCTION("""COMPUTED_VALUE"""),"")</f>
        <v/>
      </c>
      <c r="O3051" s="46" t="s">
        <v>1976</v>
      </c>
      <c r="P3051" s="47"/>
      <c r="Q3051" s="47"/>
      <c r="R3051" s="48" t="s">
        <v>1976</v>
      </c>
    </row>
    <row r="3052">
      <c r="B3052" s="45"/>
      <c r="N3052" s="46" t="str">
        <f>IFERROR(__xludf.DUMMYFUNCTION("""COMPUTED_VALUE"""),"")</f>
        <v/>
      </c>
      <c r="O3052" s="46" t="s">
        <v>1976</v>
      </c>
      <c r="P3052" s="47"/>
      <c r="Q3052" s="47"/>
      <c r="R3052" s="48" t="s">
        <v>1976</v>
      </c>
    </row>
    <row r="3053">
      <c r="B3053" s="45"/>
      <c r="N3053" s="46" t="str">
        <f>IFERROR(__xludf.DUMMYFUNCTION("""COMPUTED_VALUE"""),"")</f>
        <v/>
      </c>
      <c r="O3053" s="46" t="s">
        <v>1976</v>
      </c>
      <c r="P3053" s="47"/>
      <c r="Q3053" s="47"/>
      <c r="R3053" s="48" t="s">
        <v>1976</v>
      </c>
    </row>
    <row r="3054">
      <c r="B3054" s="45"/>
      <c r="N3054" s="46" t="str">
        <f>IFERROR(__xludf.DUMMYFUNCTION("""COMPUTED_VALUE"""),"")</f>
        <v/>
      </c>
      <c r="O3054" s="46" t="s">
        <v>1976</v>
      </c>
      <c r="P3054" s="47"/>
      <c r="Q3054" s="47"/>
      <c r="R3054" s="48" t="s">
        <v>1976</v>
      </c>
    </row>
    <row r="3055">
      <c r="B3055" s="45"/>
      <c r="N3055" s="46" t="str">
        <f>IFERROR(__xludf.DUMMYFUNCTION("""COMPUTED_VALUE"""),"")</f>
        <v/>
      </c>
      <c r="O3055" s="46" t="s">
        <v>1976</v>
      </c>
      <c r="P3055" s="47"/>
      <c r="Q3055" s="47"/>
      <c r="R3055" s="48" t="s">
        <v>1976</v>
      </c>
    </row>
    <row r="3056">
      <c r="B3056" s="45"/>
      <c r="N3056" s="46" t="str">
        <f>IFERROR(__xludf.DUMMYFUNCTION("""COMPUTED_VALUE"""),"")</f>
        <v/>
      </c>
      <c r="O3056" s="46" t="s">
        <v>1976</v>
      </c>
      <c r="P3056" s="47"/>
      <c r="Q3056" s="47"/>
      <c r="R3056" s="48" t="s">
        <v>1976</v>
      </c>
    </row>
    <row r="3057">
      <c r="B3057" s="45"/>
      <c r="N3057" s="46" t="str">
        <f>IFERROR(__xludf.DUMMYFUNCTION("""COMPUTED_VALUE"""),"")</f>
        <v/>
      </c>
      <c r="O3057" s="46" t="s">
        <v>1976</v>
      </c>
      <c r="P3057" s="47"/>
      <c r="Q3057" s="47"/>
      <c r="R3057" s="48" t="s">
        <v>1976</v>
      </c>
    </row>
    <row r="3058">
      <c r="B3058" s="45"/>
      <c r="N3058" s="46" t="str">
        <f>IFERROR(__xludf.DUMMYFUNCTION("""COMPUTED_VALUE"""),"")</f>
        <v/>
      </c>
      <c r="O3058" s="46" t="s">
        <v>1976</v>
      </c>
      <c r="P3058" s="47"/>
      <c r="Q3058" s="47"/>
      <c r="R3058" s="48" t="s">
        <v>1976</v>
      </c>
    </row>
    <row r="3059">
      <c r="B3059" s="45"/>
      <c r="N3059" s="46" t="str">
        <f>IFERROR(__xludf.DUMMYFUNCTION("""COMPUTED_VALUE"""),"")</f>
        <v/>
      </c>
      <c r="O3059" s="46" t="s">
        <v>1976</v>
      </c>
      <c r="P3059" s="47"/>
      <c r="Q3059" s="47"/>
      <c r="R3059" s="48" t="s">
        <v>1976</v>
      </c>
    </row>
    <row r="3060">
      <c r="B3060" s="45"/>
      <c r="N3060" s="46" t="str">
        <f>IFERROR(__xludf.DUMMYFUNCTION("""COMPUTED_VALUE"""),"")</f>
        <v/>
      </c>
      <c r="O3060" s="46" t="s">
        <v>1976</v>
      </c>
      <c r="P3060" s="47"/>
      <c r="Q3060" s="47"/>
      <c r="R3060" s="48" t="s">
        <v>1976</v>
      </c>
    </row>
    <row r="3061">
      <c r="B3061" s="45"/>
      <c r="N3061" s="46" t="str">
        <f>IFERROR(__xludf.DUMMYFUNCTION("""COMPUTED_VALUE"""),"")</f>
        <v/>
      </c>
      <c r="O3061" s="46" t="s">
        <v>1976</v>
      </c>
      <c r="P3061" s="47"/>
      <c r="Q3061" s="47"/>
      <c r="R3061" s="48" t="s">
        <v>1976</v>
      </c>
    </row>
    <row r="3062">
      <c r="B3062" s="45"/>
      <c r="N3062" s="46" t="str">
        <f>IFERROR(__xludf.DUMMYFUNCTION("""COMPUTED_VALUE"""),"")</f>
        <v/>
      </c>
      <c r="O3062" s="46" t="s">
        <v>1976</v>
      </c>
      <c r="P3062" s="47"/>
      <c r="Q3062" s="47"/>
      <c r="R3062" s="48" t="s">
        <v>1976</v>
      </c>
    </row>
    <row r="3063">
      <c r="B3063" s="45"/>
      <c r="N3063" s="46" t="str">
        <f>IFERROR(__xludf.DUMMYFUNCTION("""COMPUTED_VALUE"""),"")</f>
        <v/>
      </c>
      <c r="O3063" s="46" t="s">
        <v>1976</v>
      </c>
      <c r="P3063" s="47"/>
      <c r="Q3063" s="47"/>
      <c r="R3063" s="48" t="s">
        <v>1976</v>
      </c>
    </row>
    <row r="3064">
      <c r="B3064" s="45"/>
      <c r="N3064" s="46" t="str">
        <f>IFERROR(__xludf.DUMMYFUNCTION("""COMPUTED_VALUE"""),"")</f>
        <v/>
      </c>
      <c r="O3064" s="46" t="s">
        <v>1976</v>
      </c>
      <c r="P3064" s="47"/>
      <c r="Q3064" s="47"/>
      <c r="R3064" s="48" t="s">
        <v>1976</v>
      </c>
    </row>
    <row r="3065">
      <c r="B3065" s="45"/>
      <c r="N3065" s="46" t="str">
        <f>IFERROR(__xludf.DUMMYFUNCTION("""COMPUTED_VALUE"""),"")</f>
        <v/>
      </c>
      <c r="O3065" s="46" t="s">
        <v>1976</v>
      </c>
      <c r="P3065" s="47"/>
      <c r="Q3065" s="47"/>
      <c r="R3065" s="48" t="s">
        <v>1976</v>
      </c>
    </row>
    <row r="3066">
      <c r="B3066" s="45"/>
      <c r="N3066" s="46" t="str">
        <f>IFERROR(__xludf.DUMMYFUNCTION("""COMPUTED_VALUE"""),"")</f>
        <v/>
      </c>
      <c r="O3066" s="46" t="s">
        <v>1976</v>
      </c>
      <c r="P3066" s="47"/>
      <c r="Q3066" s="47"/>
      <c r="R3066" s="48" t="s">
        <v>1976</v>
      </c>
    </row>
    <row r="3067">
      <c r="B3067" s="45"/>
      <c r="N3067" s="46" t="str">
        <f>IFERROR(__xludf.DUMMYFUNCTION("""COMPUTED_VALUE"""),"")</f>
        <v/>
      </c>
      <c r="O3067" s="46" t="s">
        <v>1976</v>
      </c>
      <c r="P3067" s="47"/>
      <c r="Q3067" s="47"/>
      <c r="R3067" s="48" t="s">
        <v>1976</v>
      </c>
    </row>
    <row r="3068">
      <c r="B3068" s="45"/>
      <c r="N3068" s="46" t="str">
        <f>IFERROR(__xludf.DUMMYFUNCTION("""COMPUTED_VALUE"""),"")</f>
        <v/>
      </c>
      <c r="O3068" s="46" t="s">
        <v>1976</v>
      </c>
      <c r="P3068" s="47"/>
      <c r="Q3068" s="47"/>
      <c r="R3068" s="48" t="s">
        <v>1976</v>
      </c>
    </row>
    <row r="3069">
      <c r="B3069" s="45"/>
      <c r="N3069" s="46" t="str">
        <f>IFERROR(__xludf.DUMMYFUNCTION("""COMPUTED_VALUE"""),"")</f>
        <v/>
      </c>
      <c r="O3069" s="46" t="s">
        <v>1976</v>
      </c>
      <c r="P3069" s="47"/>
      <c r="Q3069" s="47"/>
      <c r="R3069" s="48" t="s">
        <v>1976</v>
      </c>
    </row>
    <row r="3070">
      <c r="B3070" s="45"/>
      <c r="N3070" s="46" t="str">
        <f>IFERROR(__xludf.DUMMYFUNCTION("""COMPUTED_VALUE"""),"")</f>
        <v/>
      </c>
      <c r="O3070" s="46" t="s">
        <v>1976</v>
      </c>
      <c r="P3070" s="47"/>
      <c r="Q3070" s="47"/>
      <c r="R3070" s="48" t="s">
        <v>1976</v>
      </c>
    </row>
    <row r="3071">
      <c r="B3071" s="45"/>
      <c r="N3071" s="46" t="str">
        <f>IFERROR(__xludf.DUMMYFUNCTION("""COMPUTED_VALUE"""),"")</f>
        <v/>
      </c>
      <c r="O3071" s="46" t="s">
        <v>1976</v>
      </c>
      <c r="P3071" s="47"/>
      <c r="Q3071" s="47"/>
      <c r="R3071" s="48" t="s">
        <v>1976</v>
      </c>
    </row>
    <row r="3072">
      <c r="B3072" s="45"/>
      <c r="N3072" s="46" t="str">
        <f>IFERROR(__xludf.DUMMYFUNCTION("""COMPUTED_VALUE"""),"")</f>
        <v/>
      </c>
      <c r="O3072" s="46" t="s">
        <v>1976</v>
      </c>
      <c r="P3072" s="47"/>
      <c r="Q3072" s="47"/>
      <c r="R3072" s="48" t="s">
        <v>1976</v>
      </c>
    </row>
    <row r="3073">
      <c r="B3073" s="45"/>
      <c r="N3073" s="46" t="str">
        <f>IFERROR(__xludf.DUMMYFUNCTION("""COMPUTED_VALUE"""),"")</f>
        <v/>
      </c>
      <c r="O3073" s="46" t="s">
        <v>1976</v>
      </c>
      <c r="P3073" s="47"/>
      <c r="Q3073" s="47"/>
      <c r="R3073" s="48" t="s">
        <v>1976</v>
      </c>
    </row>
    <row r="3074">
      <c r="B3074" s="45"/>
      <c r="N3074" s="46" t="str">
        <f>IFERROR(__xludf.DUMMYFUNCTION("""COMPUTED_VALUE"""),"")</f>
        <v/>
      </c>
      <c r="O3074" s="46" t="s">
        <v>1976</v>
      </c>
      <c r="P3074" s="47"/>
      <c r="Q3074" s="47"/>
      <c r="R3074" s="48" t="s">
        <v>1976</v>
      </c>
    </row>
    <row r="3075">
      <c r="B3075" s="45"/>
      <c r="N3075" s="46" t="str">
        <f>IFERROR(__xludf.DUMMYFUNCTION("""COMPUTED_VALUE"""),"")</f>
        <v/>
      </c>
      <c r="O3075" s="46" t="s">
        <v>1976</v>
      </c>
      <c r="P3075" s="47"/>
      <c r="Q3075" s="47"/>
      <c r="R3075" s="48" t="s">
        <v>1976</v>
      </c>
    </row>
    <row r="3076">
      <c r="B3076" s="45"/>
      <c r="N3076" s="46" t="str">
        <f>IFERROR(__xludf.DUMMYFUNCTION("""COMPUTED_VALUE"""),"")</f>
        <v/>
      </c>
      <c r="O3076" s="46" t="s">
        <v>1976</v>
      </c>
      <c r="P3076" s="47"/>
      <c r="Q3076" s="47"/>
      <c r="R3076" s="48" t="s">
        <v>1976</v>
      </c>
    </row>
    <row r="3077">
      <c r="B3077" s="45"/>
      <c r="N3077" s="46" t="str">
        <f>IFERROR(__xludf.DUMMYFUNCTION("""COMPUTED_VALUE"""),"")</f>
        <v/>
      </c>
      <c r="O3077" s="46" t="s">
        <v>1976</v>
      </c>
      <c r="P3077" s="47"/>
      <c r="Q3077" s="47"/>
      <c r="R3077" s="48" t="s">
        <v>1976</v>
      </c>
    </row>
    <row r="3078">
      <c r="B3078" s="45"/>
      <c r="N3078" s="46" t="str">
        <f>IFERROR(__xludf.DUMMYFUNCTION("""COMPUTED_VALUE"""),"")</f>
        <v/>
      </c>
      <c r="O3078" s="46" t="s">
        <v>1976</v>
      </c>
      <c r="P3078" s="47"/>
      <c r="Q3078" s="47"/>
      <c r="R3078" s="48" t="s">
        <v>1976</v>
      </c>
    </row>
    <row r="3079">
      <c r="B3079" s="45"/>
      <c r="N3079" s="46" t="str">
        <f>IFERROR(__xludf.DUMMYFUNCTION("""COMPUTED_VALUE"""),"")</f>
        <v/>
      </c>
      <c r="O3079" s="46" t="s">
        <v>1976</v>
      </c>
      <c r="P3079" s="47"/>
      <c r="Q3079" s="47"/>
      <c r="R3079" s="48" t="s">
        <v>1976</v>
      </c>
    </row>
    <row r="3080">
      <c r="B3080" s="45"/>
      <c r="N3080" s="46" t="str">
        <f>IFERROR(__xludf.DUMMYFUNCTION("""COMPUTED_VALUE"""),"")</f>
        <v/>
      </c>
      <c r="O3080" s="46" t="s">
        <v>1976</v>
      </c>
      <c r="P3080" s="47"/>
      <c r="Q3080" s="47"/>
      <c r="R3080" s="48" t="s">
        <v>1976</v>
      </c>
    </row>
    <row r="3081">
      <c r="B3081" s="45"/>
      <c r="N3081" s="46" t="str">
        <f>IFERROR(__xludf.DUMMYFUNCTION("""COMPUTED_VALUE"""),"")</f>
        <v/>
      </c>
      <c r="O3081" s="46" t="s">
        <v>1976</v>
      </c>
      <c r="P3081" s="47"/>
      <c r="Q3081" s="47"/>
      <c r="R3081" s="48" t="s">
        <v>1976</v>
      </c>
    </row>
    <row r="3082">
      <c r="B3082" s="45"/>
      <c r="N3082" s="46" t="str">
        <f>IFERROR(__xludf.DUMMYFUNCTION("""COMPUTED_VALUE"""),"")</f>
        <v/>
      </c>
      <c r="O3082" s="46" t="s">
        <v>1976</v>
      </c>
      <c r="P3082" s="47"/>
      <c r="Q3082" s="47"/>
      <c r="R3082" s="48" t="s">
        <v>1976</v>
      </c>
    </row>
    <row r="3083">
      <c r="B3083" s="45"/>
      <c r="N3083" s="46" t="str">
        <f>IFERROR(__xludf.DUMMYFUNCTION("""COMPUTED_VALUE"""),"")</f>
        <v/>
      </c>
      <c r="O3083" s="46" t="s">
        <v>1976</v>
      </c>
      <c r="P3083" s="47"/>
      <c r="Q3083" s="47"/>
      <c r="R3083" s="48" t="s">
        <v>1976</v>
      </c>
    </row>
    <row r="3084">
      <c r="B3084" s="45"/>
      <c r="N3084" s="46" t="str">
        <f>IFERROR(__xludf.DUMMYFUNCTION("""COMPUTED_VALUE"""),"")</f>
        <v/>
      </c>
      <c r="O3084" s="46" t="s">
        <v>1976</v>
      </c>
      <c r="P3084" s="47"/>
      <c r="Q3084" s="47"/>
      <c r="R3084" s="48" t="s">
        <v>1976</v>
      </c>
    </row>
    <row r="3085">
      <c r="B3085" s="45"/>
      <c r="N3085" s="46" t="str">
        <f>IFERROR(__xludf.DUMMYFUNCTION("""COMPUTED_VALUE"""),"")</f>
        <v/>
      </c>
      <c r="O3085" s="46" t="s">
        <v>1976</v>
      </c>
      <c r="P3085" s="47"/>
      <c r="Q3085" s="47"/>
      <c r="R3085" s="48" t="s">
        <v>1976</v>
      </c>
    </row>
    <row r="3086">
      <c r="B3086" s="45"/>
      <c r="N3086" s="46" t="str">
        <f>IFERROR(__xludf.DUMMYFUNCTION("""COMPUTED_VALUE"""),"")</f>
        <v/>
      </c>
      <c r="O3086" s="46" t="s">
        <v>1976</v>
      </c>
      <c r="P3086" s="47"/>
      <c r="Q3086" s="47"/>
      <c r="R3086" s="48" t="s">
        <v>1976</v>
      </c>
    </row>
    <row r="3087">
      <c r="B3087" s="45"/>
      <c r="N3087" s="46" t="str">
        <f>IFERROR(__xludf.DUMMYFUNCTION("""COMPUTED_VALUE"""),"")</f>
        <v/>
      </c>
      <c r="O3087" s="46" t="s">
        <v>1976</v>
      </c>
      <c r="P3087" s="47"/>
      <c r="Q3087" s="47"/>
      <c r="R3087" s="48" t="s">
        <v>1976</v>
      </c>
    </row>
    <row r="3088">
      <c r="B3088" s="45"/>
      <c r="N3088" s="46" t="str">
        <f>IFERROR(__xludf.DUMMYFUNCTION("""COMPUTED_VALUE"""),"")</f>
        <v/>
      </c>
      <c r="O3088" s="46" t="s">
        <v>1976</v>
      </c>
      <c r="P3088" s="47"/>
      <c r="Q3088" s="47"/>
      <c r="R3088" s="48" t="s">
        <v>1976</v>
      </c>
    </row>
    <row r="3089">
      <c r="B3089" s="45"/>
      <c r="N3089" s="46" t="str">
        <f>IFERROR(__xludf.DUMMYFUNCTION("""COMPUTED_VALUE"""),"")</f>
        <v/>
      </c>
      <c r="O3089" s="46" t="s">
        <v>1976</v>
      </c>
      <c r="P3089" s="47"/>
      <c r="Q3089" s="47"/>
      <c r="R3089" s="48" t="s">
        <v>1976</v>
      </c>
    </row>
    <row r="3090">
      <c r="B3090" s="45"/>
      <c r="N3090" s="46" t="str">
        <f>IFERROR(__xludf.DUMMYFUNCTION("""COMPUTED_VALUE"""),"")</f>
        <v/>
      </c>
      <c r="O3090" s="46" t="s">
        <v>1976</v>
      </c>
      <c r="P3090" s="47"/>
      <c r="Q3090" s="47"/>
      <c r="R3090" s="48" t="s">
        <v>1976</v>
      </c>
    </row>
    <row r="3091">
      <c r="B3091" s="45"/>
      <c r="N3091" s="46" t="str">
        <f>IFERROR(__xludf.DUMMYFUNCTION("""COMPUTED_VALUE"""),"")</f>
        <v/>
      </c>
      <c r="O3091" s="46" t="s">
        <v>1976</v>
      </c>
      <c r="P3091" s="47"/>
      <c r="Q3091" s="47"/>
      <c r="R3091" s="48" t="s">
        <v>1976</v>
      </c>
    </row>
    <row r="3092">
      <c r="B3092" s="45"/>
      <c r="N3092" s="46" t="str">
        <f>IFERROR(__xludf.DUMMYFUNCTION("""COMPUTED_VALUE"""),"")</f>
        <v/>
      </c>
      <c r="O3092" s="46" t="s">
        <v>1976</v>
      </c>
      <c r="P3092" s="47"/>
      <c r="Q3092" s="47"/>
      <c r="R3092" s="48" t="s">
        <v>1976</v>
      </c>
    </row>
    <row r="3093">
      <c r="B3093" s="45"/>
      <c r="N3093" s="46" t="str">
        <f>IFERROR(__xludf.DUMMYFUNCTION("""COMPUTED_VALUE"""),"")</f>
        <v/>
      </c>
      <c r="O3093" s="46" t="s">
        <v>1976</v>
      </c>
      <c r="P3093" s="47"/>
      <c r="Q3093" s="47"/>
      <c r="R3093" s="48" t="s">
        <v>1976</v>
      </c>
    </row>
    <row r="3094">
      <c r="B3094" s="45"/>
      <c r="N3094" s="46" t="str">
        <f>IFERROR(__xludf.DUMMYFUNCTION("""COMPUTED_VALUE"""),"")</f>
        <v/>
      </c>
      <c r="O3094" s="46" t="s">
        <v>1976</v>
      </c>
      <c r="P3094" s="47"/>
      <c r="Q3094" s="47"/>
      <c r="R3094" s="48" t="s">
        <v>1976</v>
      </c>
    </row>
    <row r="3095">
      <c r="B3095" s="45"/>
      <c r="N3095" s="46" t="str">
        <f>IFERROR(__xludf.DUMMYFUNCTION("""COMPUTED_VALUE"""),"")</f>
        <v/>
      </c>
      <c r="O3095" s="46" t="s">
        <v>1976</v>
      </c>
      <c r="P3095" s="47"/>
      <c r="Q3095" s="47"/>
      <c r="R3095" s="48" t="s">
        <v>1976</v>
      </c>
    </row>
    <row r="3096">
      <c r="B3096" s="45"/>
      <c r="N3096" s="46" t="str">
        <f>IFERROR(__xludf.DUMMYFUNCTION("""COMPUTED_VALUE"""),"")</f>
        <v/>
      </c>
      <c r="O3096" s="46" t="s">
        <v>1976</v>
      </c>
      <c r="P3096" s="47"/>
      <c r="Q3096" s="47"/>
      <c r="R3096" s="48" t="s">
        <v>1976</v>
      </c>
    </row>
    <row r="3097">
      <c r="B3097" s="45"/>
      <c r="N3097" s="46" t="str">
        <f>IFERROR(__xludf.DUMMYFUNCTION("""COMPUTED_VALUE"""),"")</f>
        <v/>
      </c>
      <c r="O3097" s="46" t="s">
        <v>1976</v>
      </c>
      <c r="P3097" s="47"/>
      <c r="Q3097" s="47"/>
      <c r="R3097" s="48" t="s">
        <v>1976</v>
      </c>
    </row>
    <row r="3098">
      <c r="B3098" s="45"/>
      <c r="N3098" s="46" t="str">
        <f>IFERROR(__xludf.DUMMYFUNCTION("""COMPUTED_VALUE"""),"")</f>
        <v/>
      </c>
      <c r="O3098" s="46" t="s">
        <v>1976</v>
      </c>
      <c r="P3098" s="47"/>
      <c r="Q3098" s="47"/>
      <c r="R3098" s="48" t="s">
        <v>1976</v>
      </c>
    </row>
    <row r="3099">
      <c r="B3099" s="45"/>
      <c r="N3099" s="46" t="str">
        <f>IFERROR(__xludf.DUMMYFUNCTION("""COMPUTED_VALUE"""),"")</f>
        <v/>
      </c>
      <c r="O3099" s="46" t="s">
        <v>1976</v>
      </c>
      <c r="P3099" s="47"/>
      <c r="Q3099" s="47"/>
      <c r="R3099" s="48" t="s">
        <v>1976</v>
      </c>
    </row>
    <row r="3100">
      <c r="B3100" s="45"/>
      <c r="N3100" s="46" t="str">
        <f>IFERROR(__xludf.DUMMYFUNCTION("""COMPUTED_VALUE"""),"")</f>
        <v/>
      </c>
      <c r="O3100" s="46" t="s">
        <v>1976</v>
      </c>
      <c r="P3100" s="47"/>
      <c r="Q3100" s="47"/>
      <c r="R3100" s="48" t="s">
        <v>1976</v>
      </c>
    </row>
    <row r="3101">
      <c r="B3101" s="45"/>
      <c r="N3101" s="46" t="str">
        <f>IFERROR(__xludf.DUMMYFUNCTION("""COMPUTED_VALUE"""),"")</f>
        <v/>
      </c>
      <c r="O3101" s="46" t="s">
        <v>1976</v>
      </c>
      <c r="P3101" s="47"/>
      <c r="Q3101" s="47"/>
      <c r="R3101" s="48" t="s">
        <v>1976</v>
      </c>
    </row>
    <row r="3102">
      <c r="B3102" s="45"/>
      <c r="N3102" s="46" t="str">
        <f>IFERROR(__xludf.DUMMYFUNCTION("""COMPUTED_VALUE"""),"")</f>
        <v/>
      </c>
      <c r="O3102" s="46" t="s">
        <v>1976</v>
      </c>
      <c r="P3102" s="47"/>
      <c r="Q3102" s="47"/>
      <c r="R3102" s="48" t="s">
        <v>1976</v>
      </c>
    </row>
    <row r="3103">
      <c r="B3103" s="45"/>
      <c r="N3103" s="46" t="str">
        <f>IFERROR(__xludf.DUMMYFUNCTION("""COMPUTED_VALUE"""),"")</f>
        <v/>
      </c>
      <c r="O3103" s="46" t="s">
        <v>1976</v>
      </c>
      <c r="P3103" s="47"/>
      <c r="Q3103" s="47"/>
      <c r="R3103" s="48" t="s">
        <v>1976</v>
      </c>
    </row>
    <row r="3104">
      <c r="B3104" s="45"/>
      <c r="N3104" s="46" t="str">
        <f>IFERROR(__xludf.DUMMYFUNCTION("""COMPUTED_VALUE"""),"")</f>
        <v/>
      </c>
      <c r="O3104" s="46" t="s">
        <v>1976</v>
      </c>
      <c r="P3104" s="47"/>
      <c r="Q3104" s="47"/>
      <c r="R3104" s="48" t="s">
        <v>1976</v>
      </c>
    </row>
    <row r="3105">
      <c r="B3105" s="45"/>
      <c r="N3105" s="46" t="str">
        <f>IFERROR(__xludf.DUMMYFUNCTION("""COMPUTED_VALUE"""),"")</f>
        <v/>
      </c>
      <c r="O3105" s="46" t="s">
        <v>1976</v>
      </c>
      <c r="P3105" s="47"/>
      <c r="Q3105" s="47"/>
      <c r="R3105" s="48" t="s">
        <v>1976</v>
      </c>
    </row>
    <row r="3106">
      <c r="B3106" s="45"/>
      <c r="N3106" s="46" t="str">
        <f>IFERROR(__xludf.DUMMYFUNCTION("""COMPUTED_VALUE"""),"")</f>
        <v/>
      </c>
      <c r="O3106" s="46" t="s">
        <v>1976</v>
      </c>
      <c r="P3106" s="47"/>
      <c r="Q3106" s="47"/>
      <c r="R3106" s="48" t="s">
        <v>1976</v>
      </c>
    </row>
    <row r="3107">
      <c r="B3107" s="45"/>
      <c r="N3107" s="46" t="str">
        <f>IFERROR(__xludf.DUMMYFUNCTION("""COMPUTED_VALUE"""),"")</f>
        <v/>
      </c>
      <c r="O3107" s="46" t="s">
        <v>1976</v>
      </c>
      <c r="P3107" s="47"/>
      <c r="Q3107" s="47"/>
      <c r="R3107" s="48" t="s">
        <v>1976</v>
      </c>
    </row>
    <row r="3108">
      <c r="B3108" s="45"/>
      <c r="N3108" s="46" t="str">
        <f>IFERROR(__xludf.DUMMYFUNCTION("""COMPUTED_VALUE"""),"")</f>
        <v/>
      </c>
      <c r="O3108" s="46" t="s">
        <v>1976</v>
      </c>
      <c r="P3108" s="47"/>
      <c r="Q3108" s="47"/>
      <c r="R3108" s="48" t="s">
        <v>1976</v>
      </c>
    </row>
    <row r="3109">
      <c r="B3109" s="45"/>
      <c r="N3109" s="46" t="str">
        <f>IFERROR(__xludf.DUMMYFUNCTION("""COMPUTED_VALUE"""),"")</f>
        <v/>
      </c>
      <c r="O3109" s="46" t="s">
        <v>1976</v>
      </c>
      <c r="P3109" s="47"/>
      <c r="Q3109" s="47"/>
      <c r="R3109" s="48" t="s">
        <v>1976</v>
      </c>
    </row>
    <row r="3110">
      <c r="B3110" s="45"/>
      <c r="N3110" s="46" t="str">
        <f>IFERROR(__xludf.DUMMYFUNCTION("""COMPUTED_VALUE"""),"")</f>
        <v/>
      </c>
      <c r="O3110" s="46" t="s">
        <v>1976</v>
      </c>
      <c r="P3110" s="47"/>
      <c r="Q3110" s="47"/>
      <c r="R3110" s="48" t="s">
        <v>1976</v>
      </c>
    </row>
    <row r="3111">
      <c r="B3111" s="45"/>
      <c r="N3111" s="46" t="str">
        <f>IFERROR(__xludf.DUMMYFUNCTION("""COMPUTED_VALUE"""),"")</f>
        <v/>
      </c>
      <c r="O3111" s="46" t="s">
        <v>1976</v>
      </c>
      <c r="P3111" s="47"/>
      <c r="Q3111" s="47"/>
      <c r="R3111" s="48" t="s">
        <v>1976</v>
      </c>
    </row>
    <row r="3112">
      <c r="B3112" s="45"/>
      <c r="N3112" s="46" t="str">
        <f>IFERROR(__xludf.DUMMYFUNCTION("""COMPUTED_VALUE"""),"")</f>
        <v/>
      </c>
      <c r="O3112" s="46" t="s">
        <v>1976</v>
      </c>
      <c r="P3112" s="47"/>
      <c r="Q3112" s="47"/>
      <c r="R3112" s="48" t="s">
        <v>1976</v>
      </c>
    </row>
    <row r="3113">
      <c r="B3113" s="45"/>
      <c r="N3113" s="46" t="str">
        <f>IFERROR(__xludf.DUMMYFUNCTION("""COMPUTED_VALUE"""),"")</f>
        <v/>
      </c>
      <c r="O3113" s="46" t="s">
        <v>1976</v>
      </c>
      <c r="P3113" s="47"/>
      <c r="Q3113" s="47"/>
      <c r="R3113" s="48" t="s">
        <v>1976</v>
      </c>
    </row>
    <row r="3114">
      <c r="B3114" s="45"/>
      <c r="N3114" s="46" t="str">
        <f>IFERROR(__xludf.DUMMYFUNCTION("""COMPUTED_VALUE"""),"")</f>
        <v/>
      </c>
      <c r="O3114" s="46" t="s">
        <v>1976</v>
      </c>
      <c r="P3114" s="47"/>
      <c r="Q3114" s="47"/>
      <c r="R3114" s="48" t="s">
        <v>1976</v>
      </c>
    </row>
    <row r="3115">
      <c r="B3115" s="45"/>
      <c r="N3115" s="46" t="str">
        <f>IFERROR(__xludf.DUMMYFUNCTION("""COMPUTED_VALUE"""),"")</f>
        <v/>
      </c>
      <c r="O3115" s="46" t="s">
        <v>1976</v>
      </c>
      <c r="P3115" s="47"/>
      <c r="Q3115" s="47"/>
      <c r="R3115" s="48" t="s">
        <v>1976</v>
      </c>
    </row>
    <row r="3116">
      <c r="B3116" s="45"/>
      <c r="N3116" s="46" t="str">
        <f>IFERROR(__xludf.DUMMYFUNCTION("""COMPUTED_VALUE"""),"")</f>
        <v/>
      </c>
      <c r="O3116" s="46" t="s">
        <v>1976</v>
      </c>
      <c r="P3116" s="47"/>
      <c r="Q3116" s="47"/>
      <c r="R3116" s="48" t="s">
        <v>1976</v>
      </c>
    </row>
    <row r="3117">
      <c r="B3117" s="45"/>
      <c r="N3117" s="46" t="str">
        <f>IFERROR(__xludf.DUMMYFUNCTION("""COMPUTED_VALUE"""),"")</f>
        <v/>
      </c>
      <c r="O3117" s="46" t="s">
        <v>1976</v>
      </c>
      <c r="P3117" s="47"/>
      <c r="Q3117" s="47"/>
      <c r="R3117" s="48" t="s">
        <v>1976</v>
      </c>
    </row>
    <row r="3118">
      <c r="B3118" s="45"/>
      <c r="N3118" s="46" t="str">
        <f>IFERROR(__xludf.DUMMYFUNCTION("""COMPUTED_VALUE"""),"")</f>
        <v/>
      </c>
      <c r="O3118" s="46" t="s">
        <v>1976</v>
      </c>
      <c r="P3118" s="47"/>
      <c r="Q3118" s="47"/>
      <c r="R3118" s="48" t="s">
        <v>1976</v>
      </c>
    </row>
    <row r="3119">
      <c r="B3119" s="45"/>
      <c r="N3119" s="46" t="str">
        <f>IFERROR(__xludf.DUMMYFUNCTION("""COMPUTED_VALUE"""),"")</f>
        <v/>
      </c>
      <c r="O3119" s="46" t="s">
        <v>1976</v>
      </c>
      <c r="P3119" s="47"/>
      <c r="Q3119" s="47"/>
      <c r="R3119" s="48" t="s">
        <v>1976</v>
      </c>
    </row>
    <row r="3120">
      <c r="B3120" s="45"/>
      <c r="N3120" s="46" t="str">
        <f>IFERROR(__xludf.DUMMYFUNCTION("""COMPUTED_VALUE"""),"")</f>
        <v/>
      </c>
      <c r="O3120" s="46" t="s">
        <v>1976</v>
      </c>
      <c r="P3120" s="47"/>
      <c r="Q3120" s="47"/>
      <c r="R3120" s="48" t="s">
        <v>1976</v>
      </c>
    </row>
    <row r="3121">
      <c r="B3121" s="45"/>
      <c r="N3121" s="46" t="str">
        <f>IFERROR(__xludf.DUMMYFUNCTION("""COMPUTED_VALUE"""),"")</f>
        <v/>
      </c>
      <c r="O3121" s="46" t="s">
        <v>1976</v>
      </c>
      <c r="P3121" s="47"/>
      <c r="Q3121" s="47"/>
      <c r="R3121" s="48" t="s">
        <v>1976</v>
      </c>
    </row>
    <row r="3122">
      <c r="B3122" s="45"/>
      <c r="N3122" s="46" t="str">
        <f>IFERROR(__xludf.DUMMYFUNCTION("""COMPUTED_VALUE"""),"")</f>
        <v/>
      </c>
      <c r="O3122" s="46" t="s">
        <v>1976</v>
      </c>
      <c r="P3122" s="47"/>
      <c r="Q3122" s="47"/>
      <c r="R3122" s="48" t="s">
        <v>1976</v>
      </c>
    </row>
    <row r="3123">
      <c r="B3123" s="45"/>
      <c r="N3123" s="46" t="str">
        <f>IFERROR(__xludf.DUMMYFUNCTION("""COMPUTED_VALUE"""),"")</f>
        <v/>
      </c>
      <c r="O3123" s="46" t="s">
        <v>1976</v>
      </c>
      <c r="P3123" s="47"/>
      <c r="Q3123" s="47"/>
      <c r="R3123" s="48" t="s">
        <v>1976</v>
      </c>
    </row>
    <row r="3124">
      <c r="B3124" s="45"/>
      <c r="N3124" s="46" t="str">
        <f>IFERROR(__xludf.DUMMYFUNCTION("""COMPUTED_VALUE"""),"")</f>
        <v/>
      </c>
      <c r="O3124" s="46" t="s">
        <v>1976</v>
      </c>
      <c r="P3124" s="47"/>
      <c r="Q3124" s="47"/>
      <c r="R3124" s="48" t="s">
        <v>1976</v>
      </c>
    </row>
    <row r="3125">
      <c r="B3125" s="45"/>
      <c r="N3125" s="46" t="str">
        <f>IFERROR(__xludf.DUMMYFUNCTION("""COMPUTED_VALUE"""),"")</f>
        <v/>
      </c>
      <c r="O3125" s="46" t="s">
        <v>1976</v>
      </c>
      <c r="P3125" s="47"/>
      <c r="Q3125" s="47"/>
      <c r="R3125" s="48" t="s">
        <v>1976</v>
      </c>
    </row>
    <row r="3126">
      <c r="B3126" s="45"/>
      <c r="N3126" s="46" t="str">
        <f>IFERROR(__xludf.DUMMYFUNCTION("""COMPUTED_VALUE"""),"")</f>
        <v/>
      </c>
      <c r="O3126" s="46" t="s">
        <v>1976</v>
      </c>
      <c r="P3126" s="47"/>
      <c r="Q3126" s="47"/>
      <c r="R3126" s="48" t="s">
        <v>1976</v>
      </c>
    </row>
    <row r="3127">
      <c r="B3127" s="45"/>
      <c r="N3127" s="46" t="str">
        <f>IFERROR(__xludf.DUMMYFUNCTION("""COMPUTED_VALUE"""),"")</f>
        <v/>
      </c>
      <c r="O3127" s="46" t="s">
        <v>1976</v>
      </c>
      <c r="P3127" s="47"/>
      <c r="Q3127" s="47"/>
      <c r="R3127" s="48" t="s">
        <v>1976</v>
      </c>
    </row>
    <row r="3128">
      <c r="B3128" s="45"/>
      <c r="N3128" s="46" t="str">
        <f>IFERROR(__xludf.DUMMYFUNCTION("""COMPUTED_VALUE"""),"")</f>
        <v/>
      </c>
      <c r="O3128" s="46" t="s">
        <v>1976</v>
      </c>
      <c r="P3128" s="47"/>
      <c r="Q3128" s="47"/>
      <c r="R3128" s="48" t="s">
        <v>1976</v>
      </c>
    </row>
    <row r="3129">
      <c r="B3129" s="45"/>
      <c r="N3129" s="46" t="str">
        <f>IFERROR(__xludf.DUMMYFUNCTION("""COMPUTED_VALUE"""),"")</f>
        <v/>
      </c>
      <c r="O3129" s="46" t="s">
        <v>1976</v>
      </c>
      <c r="P3129" s="47"/>
      <c r="Q3129" s="47"/>
      <c r="R3129" s="48" t="s">
        <v>1976</v>
      </c>
    </row>
    <row r="3130">
      <c r="B3130" s="45"/>
      <c r="N3130" s="46" t="str">
        <f>IFERROR(__xludf.DUMMYFUNCTION("""COMPUTED_VALUE"""),"")</f>
        <v/>
      </c>
      <c r="O3130" s="46" t="s">
        <v>1976</v>
      </c>
      <c r="P3130" s="47"/>
      <c r="Q3130" s="47"/>
      <c r="R3130" s="48" t="s">
        <v>1976</v>
      </c>
    </row>
    <row r="3131">
      <c r="B3131" s="45"/>
      <c r="N3131" s="46" t="str">
        <f>IFERROR(__xludf.DUMMYFUNCTION("""COMPUTED_VALUE"""),"")</f>
        <v/>
      </c>
      <c r="O3131" s="46" t="s">
        <v>1976</v>
      </c>
      <c r="P3131" s="47"/>
      <c r="Q3131" s="47"/>
      <c r="R3131" s="48" t="s">
        <v>1976</v>
      </c>
    </row>
    <row r="3132">
      <c r="B3132" s="45"/>
      <c r="N3132" s="46" t="str">
        <f>IFERROR(__xludf.DUMMYFUNCTION("""COMPUTED_VALUE"""),"")</f>
        <v/>
      </c>
      <c r="O3132" s="46" t="s">
        <v>1976</v>
      </c>
      <c r="P3132" s="47"/>
      <c r="Q3132" s="47"/>
      <c r="R3132" s="48" t="s">
        <v>1976</v>
      </c>
    </row>
    <row r="3133">
      <c r="B3133" s="45"/>
      <c r="N3133" s="46" t="str">
        <f>IFERROR(__xludf.DUMMYFUNCTION("""COMPUTED_VALUE"""),"")</f>
        <v/>
      </c>
      <c r="O3133" s="46" t="s">
        <v>1976</v>
      </c>
      <c r="P3133" s="47"/>
      <c r="Q3133" s="47"/>
      <c r="R3133" s="48" t="s">
        <v>1976</v>
      </c>
    </row>
    <row r="3134">
      <c r="B3134" s="45"/>
      <c r="N3134" s="46" t="str">
        <f>IFERROR(__xludf.DUMMYFUNCTION("""COMPUTED_VALUE"""),"")</f>
        <v/>
      </c>
      <c r="O3134" s="46" t="s">
        <v>1976</v>
      </c>
      <c r="P3134" s="47"/>
      <c r="Q3134" s="47"/>
      <c r="R3134" s="48" t="s">
        <v>1976</v>
      </c>
    </row>
    <row r="3135">
      <c r="B3135" s="45"/>
      <c r="N3135" s="46" t="str">
        <f>IFERROR(__xludf.DUMMYFUNCTION("""COMPUTED_VALUE"""),"")</f>
        <v/>
      </c>
      <c r="O3135" s="46" t="s">
        <v>1976</v>
      </c>
      <c r="P3135" s="47"/>
      <c r="Q3135" s="47"/>
      <c r="R3135" s="48" t="s">
        <v>1976</v>
      </c>
    </row>
    <row r="3136">
      <c r="B3136" s="45"/>
      <c r="N3136" s="46" t="str">
        <f>IFERROR(__xludf.DUMMYFUNCTION("""COMPUTED_VALUE"""),"")</f>
        <v/>
      </c>
      <c r="O3136" s="46" t="s">
        <v>1976</v>
      </c>
      <c r="P3136" s="47"/>
      <c r="Q3136" s="47"/>
      <c r="R3136" s="48" t="s">
        <v>1976</v>
      </c>
    </row>
    <row r="3137">
      <c r="B3137" s="45"/>
      <c r="N3137" s="46" t="str">
        <f>IFERROR(__xludf.DUMMYFUNCTION("""COMPUTED_VALUE"""),"")</f>
        <v/>
      </c>
      <c r="O3137" s="46" t="s">
        <v>1976</v>
      </c>
      <c r="P3137" s="47"/>
      <c r="Q3137" s="47"/>
      <c r="R3137" s="48" t="s">
        <v>1976</v>
      </c>
    </row>
    <row r="3138">
      <c r="B3138" s="45"/>
      <c r="N3138" s="46" t="str">
        <f>IFERROR(__xludf.DUMMYFUNCTION("""COMPUTED_VALUE"""),"")</f>
        <v/>
      </c>
      <c r="O3138" s="46" t="s">
        <v>1976</v>
      </c>
      <c r="P3138" s="47"/>
      <c r="Q3138" s="47"/>
      <c r="R3138" s="48" t="s">
        <v>1976</v>
      </c>
    </row>
    <row r="3139">
      <c r="B3139" s="45"/>
      <c r="N3139" s="46" t="str">
        <f>IFERROR(__xludf.DUMMYFUNCTION("""COMPUTED_VALUE"""),"")</f>
        <v/>
      </c>
      <c r="O3139" s="46" t="s">
        <v>1976</v>
      </c>
      <c r="P3139" s="47"/>
      <c r="Q3139" s="47"/>
      <c r="R3139" s="48" t="s">
        <v>1976</v>
      </c>
    </row>
    <row r="3140">
      <c r="B3140" s="45"/>
      <c r="N3140" s="46" t="str">
        <f>IFERROR(__xludf.DUMMYFUNCTION("""COMPUTED_VALUE"""),"")</f>
        <v/>
      </c>
      <c r="O3140" s="46" t="s">
        <v>1976</v>
      </c>
      <c r="P3140" s="47"/>
      <c r="Q3140" s="47"/>
      <c r="R3140" s="48" t="s">
        <v>1976</v>
      </c>
    </row>
    <row r="3141">
      <c r="B3141" s="45"/>
      <c r="N3141" s="46" t="str">
        <f>IFERROR(__xludf.DUMMYFUNCTION("""COMPUTED_VALUE"""),"")</f>
        <v/>
      </c>
      <c r="O3141" s="46" t="s">
        <v>1976</v>
      </c>
      <c r="P3141" s="47"/>
      <c r="Q3141" s="47"/>
      <c r="R3141" s="48" t="s">
        <v>1976</v>
      </c>
    </row>
    <row r="3142">
      <c r="B3142" s="45"/>
      <c r="N3142" s="46" t="str">
        <f>IFERROR(__xludf.DUMMYFUNCTION("""COMPUTED_VALUE"""),"")</f>
        <v/>
      </c>
      <c r="O3142" s="46" t="s">
        <v>1976</v>
      </c>
      <c r="P3142" s="47"/>
      <c r="Q3142" s="47"/>
      <c r="R3142" s="48" t="s">
        <v>1976</v>
      </c>
    </row>
    <row r="3143">
      <c r="B3143" s="45"/>
      <c r="N3143" s="46" t="str">
        <f>IFERROR(__xludf.DUMMYFUNCTION("""COMPUTED_VALUE"""),"")</f>
        <v/>
      </c>
      <c r="O3143" s="46" t="s">
        <v>1976</v>
      </c>
      <c r="P3143" s="47"/>
      <c r="Q3143" s="47"/>
      <c r="R3143" s="48" t="s">
        <v>1976</v>
      </c>
    </row>
    <row r="3144">
      <c r="B3144" s="45"/>
      <c r="N3144" s="46" t="str">
        <f>IFERROR(__xludf.DUMMYFUNCTION("""COMPUTED_VALUE"""),"")</f>
        <v/>
      </c>
      <c r="O3144" s="46" t="s">
        <v>1976</v>
      </c>
      <c r="P3144" s="47"/>
      <c r="Q3144" s="47"/>
      <c r="R3144" s="48" t="s">
        <v>1976</v>
      </c>
    </row>
    <row r="3145">
      <c r="B3145" s="45"/>
      <c r="N3145" s="46" t="str">
        <f>IFERROR(__xludf.DUMMYFUNCTION("""COMPUTED_VALUE"""),"")</f>
        <v/>
      </c>
      <c r="O3145" s="46" t="s">
        <v>1976</v>
      </c>
      <c r="P3145" s="47"/>
      <c r="Q3145" s="47"/>
      <c r="R3145" s="48" t="s">
        <v>1976</v>
      </c>
    </row>
    <row r="3146">
      <c r="B3146" s="45"/>
      <c r="N3146" s="46" t="str">
        <f>IFERROR(__xludf.DUMMYFUNCTION("""COMPUTED_VALUE"""),"")</f>
        <v/>
      </c>
      <c r="O3146" s="46" t="s">
        <v>1976</v>
      </c>
      <c r="P3146" s="47"/>
      <c r="Q3146" s="47"/>
      <c r="R3146" s="48" t="s">
        <v>1976</v>
      </c>
    </row>
    <row r="3147">
      <c r="B3147" s="45"/>
      <c r="N3147" s="46" t="str">
        <f>IFERROR(__xludf.DUMMYFUNCTION("""COMPUTED_VALUE"""),"")</f>
        <v/>
      </c>
      <c r="O3147" s="46" t="s">
        <v>1976</v>
      </c>
      <c r="P3147" s="47"/>
      <c r="Q3147" s="47"/>
      <c r="R3147" s="48" t="s">
        <v>1976</v>
      </c>
    </row>
    <row r="3148">
      <c r="B3148" s="45"/>
      <c r="N3148" s="46" t="str">
        <f>IFERROR(__xludf.DUMMYFUNCTION("""COMPUTED_VALUE"""),"")</f>
        <v/>
      </c>
      <c r="O3148" s="46" t="s">
        <v>1976</v>
      </c>
      <c r="P3148" s="47"/>
      <c r="Q3148" s="47"/>
      <c r="R3148" s="48" t="s">
        <v>1976</v>
      </c>
    </row>
    <row r="3149">
      <c r="B3149" s="45"/>
      <c r="N3149" s="46" t="str">
        <f>IFERROR(__xludf.DUMMYFUNCTION("""COMPUTED_VALUE"""),"")</f>
        <v/>
      </c>
      <c r="O3149" s="46" t="s">
        <v>1976</v>
      </c>
      <c r="P3149" s="47"/>
      <c r="Q3149" s="47"/>
      <c r="R3149" s="48" t="s">
        <v>1976</v>
      </c>
    </row>
    <row r="3150">
      <c r="B3150" s="45"/>
      <c r="N3150" s="46" t="str">
        <f>IFERROR(__xludf.DUMMYFUNCTION("""COMPUTED_VALUE"""),"")</f>
        <v/>
      </c>
      <c r="O3150" s="46" t="s">
        <v>1976</v>
      </c>
      <c r="P3150" s="47"/>
      <c r="Q3150" s="47"/>
      <c r="R3150" s="48" t="s">
        <v>1976</v>
      </c>
    </row>
    <row r="3151">
      <c r="B3151" s="45"/>
      <c r="N3151" s="46" t="str">
        <f>IFERROR(__xludf.DUMMYFUNCTION("""COMPUTED_VALUE"""),"")</f>
        <v/>
      </c>
      <c r="O3151" s="46" t="s">
        <v>1976</v>
      </c>
      <c r="P3151" s="47"/>
      <c r="Q3151" s="47"/>
      <c r="R3151" s="48" t="s">
        <v>1976</v>
      </c>
    </row>
    <row r="3152">
      <c r="B3152" s="45"/>
      <c r="N3152" s="46" t="str">
        <f>IFERROR(__xludf.DUMMYFUNCTION("""COMPUTED_VALUE"""),"")</f>
        <v/>
      </c>
      <c r="O3152" s="46" t="s">
        <v>1976</v>
      </c>
      <c r="P3152" s="47"/>
      <c r="Q3152" s="47"/>
      <c r="R3152" s="48" t="s">
        <v>1976</v>
      </c>
    </row>
    <row r="3153">
      <c r="B3153" s="45"/>
      <c r="N3153" s="46" t="str">
        <f>IFERROR(__xludf.DUMMYFUNCTION("""COMPUTED_VALUE"""),"")</f>
        <v/>
      </c>
      <c r="O3153" s="46" t="s">
        <v>1976</v>
      </c>
      <c r="P3153" s="47"/>
      <c r="Q3153" s="47"/>
      <c r="R3153" s="48" t="s">
        <v>1976</v>
      </c>
    </row>
    <row r="3154">
      <c r="B3154" s="45"/>
      <c r="N3154" s="46" t="str">
        <f>IFERROR(__xludf.DUMMYFUNCTION("""COMPUTED_VALUE"""),"")</f>
        <v/>
      </c>
      <c r="O3154" s="46" t="s">
        <v>1976</v>
      </c>
      <c r="P3154" s="47"/>
      <c r="Q3154" s="47"/>
      <c r="R3154" s="48" t="s">
        <v>1976</v>
      </c>
    </row>
    <row r="3155">
      <c r="B3155" s="45"/>
      <c r="N3155" s="46" t="str">
        <f>IFERROR(__xludf.DUMMYFUNCTION("""COMPUTED_VALUE"""),"")</f>
        <v/>
      </c>
      <c r="O3155" s="46" t="s">
        <v>1976</v>
      </c>
      <c r="P3155" s="47"/>
      <c r="Q3155" s="47"/>
      <c r="R3155" s="48" t="s">
        <v>1976</v>
      </c>
    </row>
    <row r="3156">
      <c r="B3156" s="45"/>
      <c r="N3156" s="46" t="str">
        <f>IFERROR(__xludf.DUMMYFUNCTION("""COMPUTED_VALUE"""),"")</f>
        <v/>
      </c>
      <c r="O3156" s="46" t="s">
        <v>1976</v>
      </c>
      <c r="P3156" s="47"/>
      <c r="Q3156" s="47"/>
      <c r="R3156" s="48" t="s">
        <v>1976</v>
      </c>
    </row>
    <row r="3157">
      <c r="B3157" s="45"/>
      <c r="N3157" s="46" t="str">
        <f>IFERROR(__xludf.DUMMYFUNCTION("""COMPUTED_VALUE"""),"")</f>
        <v/>
      </c>
      <c r="O3157" s="46" t="s">
        <v>1976</v>
      </c>
      <c r="P3157" s="47"/>
      <c r="Q3157" s="47"/>
      <c r="R3157" s="48" t="s">
        <v>1976</v>
      </c>
    </row>
    <row r="3158">
      <c r="B3158" s="45"/>
      <c r="N3158" s="46" t="str">
        <f>IFERROR(__xludf.DUMMYFUNCTION("""COMPUTED_VALUE"""),"")</f>
        <v/>
      </c>
      <c r="O3158" s="46" t="s">
        <v>1976</v>
      </c>
      <c r="P3158" s="47"/>
      <c r="Q3158" s="47"/>
      <c r="R3158" s="48" t="s">
        <v>1976</v>
      </c>
    </row>
    <row r="3159">
      <c r="B3159" s="45"/>
      <c r="N3159" s="46" t="str">
        <f>IFERROR(__xludf.DUMMYFUNCTION("""COMPUTED_VALUE"""),"")</f>
        <v/>
      </c>
      <c r="O3159" s="46" t="s">
        <v>1976</v>
      </c>
      <c r="P3159" s="47"/>
      <c r="Q3159" s="47"/>
      <c r="R3159" s="48" t="s">
        <v>1976</v>
      </c>
    </row>
    <row r="3160">
      <c r="B3160" s="45"/>
      <c r="N3160" s="46" t="str">
        <f>IFERROR(__xludf.DUMMYFUNCTION("""COMPUTED_VALUE"""),"")</f>
        <v/>
      </c>
      <c r="O3160" s="46" t="s">
        <v>1976</v>
      </c>
      <c r="P3160" s="47"/>
      <c r="Q3160" s="47"/>
      <c r="R3160" s="48" t="s">
        <v>1976</v>
      </c>
    </row>
    <row r="3161">
      <c r="B3161" s="45"/>
      <c r="N3161" s="46" t="str">
        <f>IFERROR(__xludf.DUMMYFUNCTION("""COMPUTED_VALUE"""),"")</f>
        <v/>
      </c>
      <c r="O3161" s="46" t="s">
        <v>1976</v>
      </c>
      <c r="P3161" s="47"/>
      <c r="Q3161" s="47"/>
      <c r="R3161" s="48" t="s">
        <v>1976</v>
      </c>
    </row>
    <row r="3162">
      <c r="B3162" s="45"/>
      <c r="N3162" s="46" t="str">
        <f>IFERROR(__xludf.DUMMYFUNCTION("""COMPUTED_VALUE"""),"")</f>
        <v/>
      </c>
      <c r="O3162" s="46" t="s">
        <v>1976</v>
      </c>
      <c r="P3162" s="47"/>
      <c r="Q3162" s="47"/>
      <c r="R3162" s="48" t="s">
        <v>1976</v>
      </c>
    </row>
    <row r="3163">
      <c r="B3163" s="45"/>
      <c r="N3163" s="46" t="str">
        <f>IFERROR(__xludf.DUMMYFUNCTION("""COMPUTED_VALUE"""),"")</f>
        <v/>
      </c>
      <c r="O3163" s="46" t="s">
        <v>1976</v>
      </c>
      <c r="P3163" s="47"/>
      <c r="Q3163" s="47"/>
      <c r="R3163" s="48" t="s">
        <v>1976</v>
      </c>
    </row>
    <row r="3164">
      <c r="B3164" s="45"/>
      <c r="N3164" s="46" t="str">
        <f>IFERROR(__xludf.DUMMYFUNCTION("""COMPUTED_VALUE"""),"")</f>
        <v/>
      </c>
      <c r="O3164" s="46" t="s">
        <v>1976</v>
      </c>
      <c r="P3164" s="47"/>
      <c r="Q3164" s="47"/>
      <c r="R3164" s="48" t="s">
        <v>1976</v>
      </c>
    </row>
    <row r="3165">
      <c r="B3165" s="45"/>
      <c r="N3165" s="46" t="str">
        <f>IFERROR(__xludf.DUMMYFUNCTION("""COMPUTED_VALUE"""),"")</f>
        <v/>
      </c>
      <c r="O3165" s="46" t="s">
        <v>1976</v>
      </c>
      <c r="P3165" s="47"/>
      <c r="Q3165" s="47"/>
      <c r="R3165" s="48" t="s">
        <v>1976</v>
      </c>
    </row>
    <row r="3166">
      <c r="B3166" s="45"/>
      <c r="N3166" s="46" t="str">
        <f>IFERROR(__xludf.DUMMYFUNCTION("""COMPUTED_VALUE"""),"")</f>
        <v/>
      </c>
      <c r="O3166" s="46" t="s">
        <v>1976</v>
      </c>
      <c r="P3166" s="47"/>
      <c r="Q3166" s="47"/>
      <c r="R3166" s="48" t="s">
        <v>1976</v>
      </c>
    </row>
    <row r="3167">
      <c r="B3167" s="45"/>
      <c r="N3167" s="46" t="str">
        <f>IFERROR(__xludf.DUMMYFUNCTION("""COMPUTED_VALUE"""),"")</f>
        <v/>
      </c>
      <c r="O3167" s="46" t="s">
        <v>1976</v>
      </c>
      <c r="P3167" s="47"/>
      <c r="Q3167" s="47"/>
      <c r="R3167" s="48" t="s">
        <v>1976</v>
      </c>
    </row>
    <row r="3168">
      <c r="B3168" s="45"/>
      <c r="N3168" s="46" t="str">
        <f>IFERROR(__xludf.DUMMYFUNCTION("""COMPUTED_VALUE"""),"")</f>
        <v/>
      </c>
      <c r="O3168" s="46" t="s">
        <v>1976</v>
      </c>
      <c r="P3168" s="47"/>
      <c r="Q3168" s="47"/>
      <c r="R3168" s="48" t="s">
        <v>1976</v>
      </c>
    </row>
    <row r="3169">
      <c r="B3169" s="45"/>
      <c r="N3169" s="46" t="str">
        <f>IFERROR(__xludf.DUMMYFUNCTION("""COMPUTED_VALUE"""),"")</f>
        <v/>
      </c>
      <c r="O3169" s="46" t="s">
        <v>1976</v>
      </c>
      <c r="P3169" s="47"/>
      <c r="Q3169" s="47"/>
      <c r="R3169" s="48" t="s">
        <v>1976</v>
      </c>
    </row>
    <row r="3170">
      <c r="B3170" s="45"/>
      <c r="N3170" s="46" t="str">
        <f>IFERROR(__xludf.DUMMYFUNCTION("""COMPUTED_VALUE"""),"")</f>
        <v/>
      </c>
      <c r="O3170" s="46" t="s">
        <v>1976</v>
      </c>
      <c r="P3170" s="47"/>
      <c r="Q3170" s="47"/>
      <c r="R3170" s="48" t="s">
        <v>1976</v>
      </c>
    </row>
    <row r="3171">
      <c r="B3171" s="45"/>
      <c r="N3171" s="46" t="str">
        <f>IFERROR(__xludf.DUMMYFUNCTION("""COMPUTED_VALUE"""),"")</f>
        <v/>
      </c>
      <c r="O3171" s="46" t="s">
        <v>1976</v>
      </c>
      <c r="P3171" s="47"/>
      <c r="Q3171" s="47"/>
      <c r="R3171" s="48" t="s">
        <v>1976</v>
      </c>
    </row>
    <row r="3172">
      <c r="B3172" s="45"/>
      <c r="N3172" s="46" t="str">
        <f>IFERROR(__xludf.DUMMYFUNCTION("""COMPUTED_VALUE"""),"")</f>
        <v/>
      </c>
      <c r="O3172" s="46" t="s">
        <v>1976</v>
      </c>
      <c r="P3172" s="47"/>
      <c r="Q3172" s="47"/>
      <c r="R3172" s="48" t="s">
        <v>1976</v>
      </c>
    </row>
    <row r="3173">
      <c r="B3173" s="45"/>
      <c r="N3173" s="46" t="str">
        <f>IFERROR(__xludf.DUMMYFUNCTION("""COMPUTED_VALUE"""),"")</f>
        <v/>
      </c>
      <c r="O3173" s="46" t="s">
        <v>1976</v>
      </c>
      <c r="P3173" s="47"/>
      <c r="Q3173" s="47"/>
      <c r="R3173" s="48" t="s">
        <v>1976</v>
      </c>
    </row>
    <row r="3174">
      <c r="B3174" s="45"/>
      <c r="N3174" s="46" t="str">
        <f>IFERROR(__xludf.DUMMYFUNCTION("""COMPUTED_VALUE"""),"")</f>
        <v/>
      </c>
      <c r="O3174" s="46" t="s">
        <v>1976</v>
      </c>
      <c r="P3174" s="47"/>
      <c r="Q3174" s="47"/>
      <c r="R3174" s="48" t="s">
        <v>1976</v>
      </c>
    </row>
    <row r="3175">
      <c r="B3175" s="45"/>
      <c r="N3175" s="46" t="str">
        <f>IFERROR(__xludf.DUMMYFUNCTION("""COMPUTED_VALUE"""),"")</f>
        <v/>
      </c>
      <c r="O3175" s="46" t="s">
        <v>1976</v>
      </c>
      <c r="P3175" s="47"/>
      <c r="Q3175" s="47"/>
      <c r="R3175" s="48" t="s">
        <v>1976</v>
      </c>
    </row>
    <row r="3176">
      <c r="B3176" s="45"/>
      <c r="N3176" s="46" t="str">
        <f>IFERROR(__xludf.DUMMYFUNCTION("""COMPUTED_VALUE"""),"")</f>
        <v/>
      </c>
      <c r="O3176" s="46" t="s">
        <v>1976</v>
      </c>
      <c r="P3176" s="47"/>
      <c r="Q3176" s="47"/>
      <c r="R3176" s="48" t="s">
        <v>1976</v>
      </c>
    </row>
    <row r="3177">
      <c r="B3177" s="45"/>
      <c r="N3177" s="46" t="str">
        <f>IFERROR(__xludf.DUMMYFUNCTION("""COMPUTED_VALUE"""),"")</f>
        <v/>
      </c>
      <c r="O3177" s="46" t="s">
        <v>1976</v>
      </c>
      <c r="P3177" s="47"/>
      <c r="Q3177" s="47"/>
      <c r="R3177" s="48" t="s">
        <v>1976</v>
      </c>
    </row>
    <row r="3178">
      <c r="B3178" s="45"/>
      <c r="N3178" s="46" t="str">
        <f>IFERROR(__xludf.DUMMYFUNCTION("""COMPUTED_VALUE"""),"")</f>
        <v/>
      </c>
      <c r="O3178" s="46" t="s">
        <v>1976</v>
      </c>
      <c r="P3178" s="47"/>
      <c r="Q3178" s="47"/>
      <c r="R3178" s="48" t="s">
        <v>1976</v>
      </c>
    </row>
    <row r="3179">
      <c r="B3179" s="45"/>
      <c r="N3179" s="46" t="str">
        <f>IFERROR(__xludf.DUMMYFUNCTION("""COMPUTED_VALUE"""),"")</f>
        <v/>
      </c>
      <c r="O3179" s="46" t="s">
        <v>1976</v>
      </c>
      <c r="P3179" s="47"/>
      <c r="Q3179" s="47"/>
      <c r="R3179" s="48" t="s">
        <v>1976</v>
      </c>
    </row>
    <row r="3180">
      <c r="B3180" s="45"/>
      <c r="N3180" s="46" t="str">
        <f>IFERROR(__xludf.DUMMYFUNCTION("""COMPUTED_VALUE"""),"")</f>
        <v/>
      </c>
      <c r="O3180" s="46" t="s">
        <v>1976</v>
      </c>
      <c r="P3180" s="47"/>
      <c r="Q3180" s="47"/>
      <c r="R3180" s="48" t="s">
        <v>1976</v>
      </c>
    </row>
    <row r="3181">
      <c r="B3181" s="45"/>
      <c r="N3181" s="46" t="str">
        <f>IFERROR(__xludf.DUMMYFUNCTION("""COMPUTED_VALUE"""),"")</f>
        <v/>
      </c>
      <c r="O3181" s="46" t="s">
        <v>1976</v>
      </c>
      <c r="P3181" s="47"/>
      <c r="Q3181" s="47"/>
      <c r="R3181" s="48" t="s">
        <v>1976</v>
      </c>
    </row>
    <row r="3182">
      <c r="B3182" s="45"/>
      <c r="N3182" s="46" t="str">
        <f>IFERROR(__xludf.DUMMYFUNCTION("""COMPUTED_VALUE"""),"")</f>
        <v/>
      </c>
      <c r="O3182" s="46" t="s">
        <v>1976</v>
      </c>
      <c r="P3182" s="47"/>
      <c r="Q3182" s="47"/>
      <c r="R3182" s="48" t="s">
        <v>1976</v>
      </c>
    </row>
    <row r="3183">
      <c r="B3183" s="45"/>
      <c r="N3183" s="46" t="str">
        <f>IFERROR(__xludf.DUMMYFUNCTION("""COMPUTED_VALUE"""),"")</f>
        <v/>
      </c>
      <c r="O3183" s="46" t="s">
        <v>1976</v>
      </c>
      <c r="P3183" s="47"/>
      <c r="Q3183" s="47"/>
      <c r="R3183" s="48" t="s">
        <v>1976</v>
      </c>
    </row>
    <row r="3184">
      <c r="B3184" s="45"/>
      <c r="N3184" s="46" t="str">
        <f>IFERROR(__xludf.DUMMYFUNCTION("""COMPUTED_VALUE"""),"")</f>
        <v/>
      </c>
      <c r="O3184" s="46" t="s">
        <v>1976</v>
      </c>
      <c r="P3184" s="47"/>
      <c r="Q3184" s="47"/>
      <c r="R3184" s="48" t="s">
        <v>1976</v>
      </c>
    </row>
    <row r="3185">
      <c r="B3185" s="45"/>
      <c r="N3185" s="46" t="str">
        <f>IFERROR(__xludf.DUMMYFUNCTION("""COMPUTED_VALUE"""),"")</f>
        <v/>
      </c>
      <c r="O3185" s="46" t="s">
        <v>1976</v>
      </c>
      <c r="P3185" s="47"/>
      <c r="Q3185" s="47"/>
      <c r="R3185" s="48" t="s">
        <v>1976</v>
      </c>
    </row>
    <row r="3186">
      <c r="B3186" s="45"/>
      <c r="N3186" s="46" t="str">
        <f>IFERROR(__xludf.DUMMYFUNCTION("""COMPUTED_VALUE"""),"")</f>
        <v/>
      </c>
      <c r="O3186" s="46" t="s">
        <v>1976</v>
      </c>
      <c r="P3186" s="47"/>
      <c r="Q3186" s="47"/>
      <c r="R3186" s="48" t="s">
        <v>1976</v>
      </c>
    </row>
    <row r="3187">
      <c r="B3187" s="45"/>
      <c r="N3187" s="46" t="str">
        <f>IFERROR(__xludf.DUMMYFUNCTION("""COMPUTED_VALUE"""),"")</f>
        <v/>
      </c>
      <c r="O3187" s="46" t="s">
        <v>1976</v>
      </c>
      <c r="P3187" s="47"/>
      <c r="Q3187" s="47"/>
      <c r="R3187" s="48" t="s">
        <v>1976</v>
      </c>
    </row>
    <row r="3188">
      <c r="B3188" s="45"/>
      <c r="N3188" s="46" t="str">
        <f>IFERROR(__xludf.DUMMYFUNCTION("""COMPUTED_VALUE"""),"")</f>
        <v/>
      </c>
      <c r="O3188" s="46" t="s">
        <v>1976</v>
      </c>
      <c r="P3188" s="47"/>
      <c r="Q3188" s="47"/>
      <c r="R3188" s="48" t="s">
        <v>1976</v>
      </c>
    </row>
    <row r="3189">
      <c r="B3189" s="45"/>
      <c r="N3189" s="46" t="str">
        <f>IFERROR(__xludf.DUMMYFUNCTION("""COMPUTED_VALUE"""),"")</f>
        <v/>
      </c>
      <c r="O3189" s="46" t="s">
        <v>1976</v>
      </c>
      <c r="P3189" s="47"/>
      <c r="Q3189" s="47"/>
      <c r="R3189" s="48" t="s">
        <v>1976</v>
      </c>
    </row>
    <row r="3190">
      <c r="B3190" s="45"/>
      <c r="N3190" s="46" t="str">
        <f>IFERROR(__xludf.DUMMYFUNCTION("""COMPUTED_VALUE"""),"")</f>
        <v/>
      </c>
      <c r="O3190" s="46" t="s">
        <v>1976</v>
      </c>
      <c r="P3190" s="47"/>
      <c r="Q3190" s="47"/>
      <c r="R3190" s="48" t="s">
        <v>1976</v>
      </c>
    </row>
    <row r="3191">
      <c r="B3191" s="45"/>
      <c r="N3191" s="46" t="str">
        <f>IFERROR(__xludf.DUMMYFUNCTION("""COMPUTED_VALUE"""),"")</f>
        <v/>
      </c>
      <c r="O3191" s="46" t="s">
        <v>1976</v>
      </c>
      <c r="P3191" s="47"/>
      <c r="Q3191" s="47"/>
      <c r="R3191" s="48" t="s">
        <v>1976</v>
      </c>
    </row>
    <row r="3192">
      <c r="B3192" s="45"/>
      <c r="N3192" s="46" t="str">
        <f>IFERROR(__xludf.DUMMYFUNCTION("""COMPUTED_VALUE"""),"")</f>
        <v/>
      </c>
      <c r="O3192" s="46" t="s">
        <v>1976</v>
      </c>
      <c r="P3192" s="47"/>
      <c r="Q3192" s="47"/>
      <c r="R3192" s="48" t="s">
        <v>1976</v>
      </c>
    </row>
    <row r="3193">
      <c r="B3193" s="45"/>
      <c r="N3193" s="46" t="str">
        <f>IFERROR(__xludf.DUMMYFUNCTION("""COMPUTED_VALUE"""),"")</f>
        <v/>
      </c>
      <c r="O3193" s="46" t="s">
        <v>1976</v>
      </c>
      <c r="P3193" s="47"/>
      <c r="Q3193" s="47"/>
      <c r="R3193" s="48" t="s">
        <v>1976</v>
      </c>
    </row>
    <row r="3194">
      <c r="B3194" s="45"/>
      <c r="N3194" s="46" t="str">
        <f>IFERROR(__xludf.DUMMYFUNCTION("""COMPUTED_VALUE"""),"")</f>
        <v/>
      </c>
      <c r="O3194" s="46" t="s">
        <v>1976</v>
      </c>
      <c r="P3194" s="47"/>
      <c r="Q3194" s="47"/>
      <c r="R3194" s="48" t="s">
        <v>1976</v>
      </c>
    </row>
    <row r="3195">
      <c r="B3195" s="45"/>
      <c r="N3195" s="46" t="str">
        <f>IFERROR(__xludf.DUMMYFUNCTION("""COMPUTED_VALUE"""),"")</f>
        <v/>
      </c>
      <c r="O3195" s="46" t="s">
        <v>1976</v>
      </c>
      <c r="P3195" s="47"/>
      <c r="Q3195" s="47"/>
      <c r="R3195" s="48" t="s">
        <v>1976</v>
      </c>
    </row>
    <row r="3196">
      <c r="B3196" s="45"/>
      <c r="N3196" s="46" t="str">
        <f>IFERROR(__xludf.DUMMYFUNCTION("""COMPUTED_VALUE"""),"")</f>
        <v/>
      </c>
      <c r="O3196" s="46" t="s">
        <v>1976</v>
      </c>
      <c r="P3196" s="47"/>
      <c r="Q3196" s="47"/>
      <c r="R3196" s="48" t="s">
        <v>1976</v>
      </c>
    </row>
    <row r="3197">
      <c r="B3197" s="45"/>
      <c r="N3197" s="46" t="str">
        <f>IFERROR(__xludf.DUMMYFUNCTION("""COMPUTED_VALUE"""),"")</f>
        <v/>
      </c>
      <c r="O3197" s="46" t="s">
        <v>1976</v>
      </c>
      <c r="P3197" s="47"/>
      <c r="Q3197" s="47"/>
      <c r="R3197" s="48" t="s">
        <v>1976</v>
      </c>
    </row>
    <row r="3198">
      <c r="B3198" s="45"/>
      <c r="N3198" s="46" t="str">
        <f>IFERROR(__xludf.DUMMYFUNCTION("""COMPUTED_VALUE"""),"")</f>
        <v/>
      </c>
      <c r="O3198" s="46" t="s">
        <v>1976</v>
      </c>
      <c r="P3198" s="47"/>
      <c r="Q3198" s="47"/>
      <c r="R3198" s="48" t="s">
        <v>1976</v>
      </c>
    </row>
    <row r="3199">
      <c r="B3199" s="45"/>
      <c r="N3199" s="46" t="str">
        <f>IFERROR(__xludf.DUMMYFUNCTION("""COMPUTED_VALUE"""),"")</f>
        <v/>
      </c>
      <c r="O3199" s="46" t="s">
        <v>1976</v>
      </c>
      <c r="P3199" s="47"/>
      <c r="Q3199" s="47"/>
      <c r="R3199" s="48" t="s">
        <v>1976</v>
      </c>
    </row>
    <row r="3200">
      <c r="B3200" s="45"/>
      <c r="N3200" s="46" t="str">
        <f>IFERROR(__xludf.DUMMYFUNCTION("""COMPUTED_VALUE"""),"")</f>
        <v/>
      </c>
      <c r="O3200" s="46" t="s">
        <v>1976</v>
      </c>
      <c r="P3200" s="47"/>
      <c r="Q3200" s="47"/>
      <c r="R3200" s="48" t="s">
        <v>1976</v>
      </c>
    </row>
    <row r="3201">
      <c r="B3201" s="45"/>
      <c r="N3201" s="46" t="str">
        <f>IFERROR(__xludf.DUMMYFUNCTION("""COMPUTED_VALUE"""),"")</f>
        <v/>
      </c>
      <c r="O3201" s="46" t="s">
        <v>1976</v>
      </c>
      <c r="P3201" s="47"/>
      <c r="Q3201" s="47"/>
      <c r="R3201" s="48" t="s">
        <v>1976</v>
      </c>
    </row>
    <row r="3202">
      <c r="B3202" s="45"/>
      <c r="N3202" s="46" t="str">
        <f>IFERROR(__xludf.DUMMYFUNCTION("""COMPUTED_VALUE"""),"")</f>
        <v/>
      </c>
      <c r="O3202" s="46" t="s">
        <v>1976</v>
      </c>
      <c r="P3202" s="47"/>
      <c r="Q3202" s="47"/>
      <c r="R3202" s="48" t="s">
        <v>1976</v>
      </c>
    </row>
    <row r="3203">
      <c r="B3203" s="45"/>
      <c r="N3203" s="46" t="str">
        <f>IFERROR(__xludf.DUMMYFUNCTION("""COMPUTED_VALUE"""),"")</f>
        <v/>
      </c>
      <c r="O3203" s="46" t="s">
        <v>1976</v>
      </c>
      <c r="P3203" s="47"/>
      <c r="Q3203" s="47"/>
      <c r="R3203" s="48" t="s">
        <v>1976</v>
      </c>
    </row>
    <row r="3204">
      <c r="B3204" s="45"/>
      <c r="N3204" s="46" t="str">
        <f>IFERROR(__xludf.DUMMYFUNCTION("""COMPUTED_VALUE"""),"")</f>
        <v/>
      </c>
      <c r="O3204" s="46" t="s">
        <v>1976</v>
      </c>
      <c r="P3204" s="47"/>
      <c r="Q3204" s="47"/>
      <c r="R3204" s="48" t="s">
        <v>1976</v>
      </c>
    </row>
    <row r="3205">
      <c r="B3205" s="45"/>
      <c r="N3205" s="46" t="str">
        <f>IFERROR(__xludf.DUMMYFUNCTION("""COMPUTED_VALUE"""),"")</f>
        <v/>
      </c>
      <c r="O3205" s="46" t="s">
        <v>1976</v>
      </c>
      <c r="P3205" s="47"/>
      <c r="Q3205" s="47"/>
      <c r="R3205" s="48" t="s">
        <v>1976</v>
      </c>
    </row>
    <row r="3206">
      <c r="B3206" s="45"/>
      <c r="N3206" s="46" t="str">
        <f>IFERROR(__xludf.DUMMYFUNCTION("""COMPUTED_VALUE"""),"")</f>
        <v/>
      </c>
      <c r="O3206" s="46" t="s">
        <v>1976</v>
      </c>
      <c r="P3206" s="47"/>
      <c r="Q3206" s="47"/>
      <c r="R3206" s="48" t="s">
        <v>1976</v>
      </c>
    </row>
    <row r="3207">
      <c r="B3207" s="45"/>
      <c r="N3207" s="46" t="str">
        <f>IFERROR(__xludf.DUMMYFUNCTION("""COMPUTED_VALUE"""),"")</f>
        <v/>
      </c>
      <c r="O3207" s="46" t="s">
        <v>1976</v>
      </c>
      <c r="P3207" s="47"/>
      <c r="Q3207" s="47"/>
      <c r="R3207" s="48" t="s">
        <v>1976</v>
      </c>
    </row>
    <row r="3208">
      <c r="B3208" s="45"/>
      <c r="N3208" s="46" t="str">
        <f>IFERROR(__xludf.DUMMYFUNCTION("""COMPUTED_VALUE"""),"")</f>
        <v/>
      </c>
      <c r="O3208" s="46" t="s">
        <v>1976</v>
      </c>
      <c r="P3208" s="47"/>
      <c r="Q3208" s="47"/>
      <c r="R3208" s="48" t="s">
        <v>1976</v>
      </c>
    </row>
    <row r="3209">
      <c r="B3209" s="45"/>
      <c r="N3209" s="46" t="str">
        <f>IFERROR(__xludf.DUMMYFUNCTION("""COMPUTED_VALUE"""),"")</f>
        <v/>
      </c>
      <c r="O3209" s="46" t="s">
        <v>1976</v>
      </c>
      <c r="P3209" s="47"/>
      <c r="Q3209" s="47"/>
      <c r="R3209" s="48" t="s">
        <v>1976</v>
      </c>
    </row>
    <row r="3210">
      <c r="B3210" s="45"/>
      <c r="N3210" s="46" t="str">
        <f>IFERROR(__xludf.DUMMYFUNCTION("""COMPUTED_VALUE"""),"")</f>
        <v/>
      </c>
      <c r="O3210" s="46" t="s">
        <v>1976</v>
      </c>
      <c r="P3210" s="47"/>
      <c r="Q3210" s="47"/>
      <c r="R3210" s="48" t="s">
        <v>1976</v>
      </c>
    </row>
    <row r="3211">
      <c r="B3211" s="45"/>
      <c r="N3211" s="46" t="str">
        <f>IFERROR(__xludf.DUMMYFUNCTION("""COMPUTED_VALUE"""),"")</f>
        <v/>
      </c>
      <c r="O3211" s="46" t="s">
        <v>1976</v>
      </c>
      <c r="P3211" s="47"/>
      <c r="Q3211" s="47"/>
      <c r="R3211" s="48" t="s">
        <v>1976</v>
      </c>
    </row>
    <row r="3212">
      <c r="B3212" s="45"/>
      <c r="N3212" s="46" t="str">
        <f>IFERROR(__xludf.DUMMYFUNCTION("""COMPUTED_VALUE"""),"")</f>
        <v/>
      </c>
      <c r="O3212" s="46" t="s">
        <v>1976</v>
      </c>
      <c r="P3212" s="47"/>
      <c r="Q3212" s="47"/>
      <c r="R3212" s="48" t="s">
        <v>1976</v>
      </c>
    </row>
    <row r="3213">
      <c r="B3213" s="45"/>
      <c r="N3213" s="46" t="str">
        <f>IFERROR(__xludf.DUMMYFUNCTION("""COMPUTED_VALUE"""),"")</f>
        <v/>
      </c>
      <c r="O3213" s="46" t="s">
        <v>1976</v>
      </c>
      <c r="P3213" s="47"/>
      <c r="Q3213" s="47"/>
      <c r="R3213" s="48" t="s">
        <v>1976</v>
      </c>
    </row>
    <row r="3214">
      <c r="B3214" s="45"/>
      <c r="N3214" s="46" t="str">
        <f>IFERROR(__xludf.DUMMYFUNCTION("""COMPUTED_VALUE"""),"")</f>
        <v/>
      </c>
      <c r="O3214" s="46" t="s">
        <v>1976</v>
      </c>
      <c r="P3214" s="47"/>
      <c r="Q3214" s="47"/>
      <c r="R3214" s="48" t="s">
        <v>1976</v>
      </c>
    </row>
    <row r="3215">
      <c r="B3215" s="45"/>
      <c r="N3215" s="46" t="str">
        <f>IFERROR(__xludf.DUMMYFUNCTION("""COMPUTED_VALUE"""),"")</f>
        <v/>
      </c>
      <c r="O3215" s="46" t="s">
        <v>1976</v>
      </c>
      <c r="P3215" s="47"/>
      <c r="Q3215" s="47"/>
      <c r="R3215" s="48" t="s">
        <v>1976</v>
      </c>
    </row>
    <row r="3216">
      <c r="B3216" s="45"/>
      <c r="N3216" s="46" t="str">
        <f>IFERROR(__xludf.DUMMYFUNCTION("""COMPUTED_VALUE"""),"")</f>
        <v/>
      </c>
      <c r="O3216" s="46" t="s">
        <v>1976</v>
      </c>
      <c r="P3216" s="47"/>
      <c r="Q3216" s="47"/>
      <c r="R3216" s="48" t="s">
        <v>1976</v>
      </c>
    </row>
    <row r="3217">
      <c r="B3217" s="45"/>
      <c r="N3217" s="46" t="str">
        <f>IFERROR(__xludf.DUMMYFUNCTION("""COMPUTED_VALUE"""),"")</f>
        <v/>
      </c>
      <c r="O3217" s="46" t="s">
        <v>1976</v>
      </c>
      <c r="P3217" s="47"/>
      <c r="Q3217" s="47"/>
      <c r="R3217" s="48" t="s">
        <v>1976</v>
      </c>
    </row>
    <row r="3218">
      <c r="B3218" s="45"/>
      <c r="N3218" s="46" t="str">
        <f>IFERROR(__xludf.DUMMYFUNCTION("""COMPUTED_VALUE"""),"")</f>
        <v/>
      </c>
      <c r="O3218" s="46" t="s">
        <v>1976</v>
      </c>
      <c r="P3218" s="47"/>
      <c r="Q3218" s="47"/>
      <c r="R3218" s="48" t="s">
        <v>1976</v>
      </c>
    </row>
    <row r="3219">
      <c r="B3219" s="45"/>
      <c r="N3219" s="46" t="str">
        <f>IFERROR(__xludf.DUMMYFUNCTION("""COMPUTED_VALUE"""),"")</f>
        <v/>
      </c>
      <c r="O3219" s="46" t="s">
        <v>1976</v>
      </c>
      <c r="P3219" s="47"/>
      <c r="Q3219" s="47"/>
      <c r="R3219" s="48" t="s">
        <v>1976</v>
      </c>
    </row>
    <row r="3220">
      <c r="B3220" s="45"/>
      <c r="N3220" s="46" t="str">
        <f>IFERROR(__xludf.DUMMYFUNCTION("""COMPUTED_VALUE"""),"")</f>
        <v/>
      </c>
      <c r="O3220" s="46" t="s">
        <v>1976</v>
      </c>
      <c r="P3220" s="47"/>
      <c r="Q3220" s="47"/>
      <c r="R3220" s="48" t="s">
        <v>1976</v>
      </c>
    </row>
    <row r="3221">
      <c r="B3221" s="45"/>
      <c r="N3221" s="46" t="str">
        <f>IFERROR(__xludf.DUMMYFUNCTION("""COMPUTED_VALUE"""),"")</f>
        <v/>
      </c>
      <c r="O3221" s="46" t="s">
        <v>1976</v>
      </c>
      <c r="P3221" s="47"/>
      <c r="Q3221" s="47"/>
      <c r="R3221" s="48" t="s">
        <v>1976</v>
      </c>
    </row>
    <row r="3222">
      <c r="B3222" s="45"/>
      <c r="N3222" s="46" t="str">
        <f>IFERROR(__xludf.DUMMYFUNCTION("""COMPUTED_VALUE"""),"")</f>
        <v/>
      </c>
      <c r="O3222" s="46" t="s">
        <v>1976</v>
      </c>
      <c r="P3222" s="47"/>
      <c r="Q3222" s="47"/>
      <c r="R3222" s="48" t="s">
        <v>1976</v>
      </c>
    </row>
    <row r="3223">
      <c r="B3223" s="45"/>
      <c r="N3223" s="46" t="str">
        <f>IFERROR(__xludf.DUMMYFUNCTION("""COMPUTED_VALUE"""),"")</f>
        <v/>
      </c>
      <c r="O3223" s="46" t="s">
        <v>1976</v>
      </c>
      <c r="P3223" s="47"/>
      <c r="Q3223" s="47"/>
      <c r="R3223" s="48" t="s">
        <v>1976</v>
      </c>
    </row>
    <row r="3224">
      <c r="B3224" s="45"/>
      <c r="N3224" s="46" t="str">
        <f>IFERROR(__xludf.DUMMYFUNCTION("""COMPUTED_VALUE"""),"")</f>
        <v/>
      </c>
      <c r="O3224" s="46" t="s">
        <v>1976</v>
      </c>
      <c r="P3224" s="47"/>
      <c r="Q3224" s="47"/>
      <c r="R3224" s="48" t="s">
        <v>1976</v>
      </c>
    </row>
    <row r="3225">
      <c r="B3225" s="45"/>
      <c r="N3225" s="46" t="str">
        <f>IFERROR(__xludf.DUMMYFUNCTION("""COMPUTED_VALUE"""),"")</f>
        <v/>
      </c>
      <c r="O3225" s="46" t="s">
        <v>1976</v>
      </c>
      <c r="P3225" s="47"/>
      <c r="Q3225" s="47"/>
      <c r="R3225" s="48" t="s">
        <v>1976</v>
      </c>
    </row>
    <row r="3226">
      <c r="B3226" s="45"/>
      <c r="N3226" s="46" t="str">
        <f>IFERROR(__xludf.DUMMYFUNCTION("""COMPUTED_VALUE"""),"")</f>
        <v/>
      </c>
      <c r="O3226" s="46" t="s">
        <v>1976</v>
      </c>
      <c r="P3226" s="47"/>
      <c r="Q3226" s="47"/>
      <c r="R3226" s="48" t="s">
        <v>1976</v>
      </c>
    </row>
    <row r="3227">
      <c r="B3227" s="45"/>
      <c r="N3227" s="46" t="str">
        <f>IFERROR(__xludf.DUMMYFUNCTION("""COMPUTED_VALUE"""),"")</f>
        <v/>
      </c>
      <c r="O3227" s="46" t="s">
        <v>1976</v>
      </c>
      <c r="P3227" s="47"/>
      <c r="Q3227" s="47"/>
      <c r="R3227" s="48" t="s">
        <v>1976</v>
      </c>
    </row>
    <row r="3228">
      <c r="B3228" s="45"/>
      <c r="N3228" s="46" t="str">
        <f>IFERROR(__xludf.DUMMYFUNCTION("""COMPUTED_VALUE"""),"")</f>
        <v/>
      </c>
      <c r="O3228" s="46" t="s">
        <v>1976</v>
      </c>
      <c r="P3228" s="47"/>
      <c r="Q3228" s="47"/>
      <c r="R3228" s="48" t="s">
        <v>1976</v>
      </c>
    </row>
    <row r="3229">
      <c r="B3229" s="45"/>
      <c r="N3229" s="46" t="str">
        <f>IFERROR(__xludf.DUMMYFUNCTION("""COMPUTED_VALUE"""),"")</f>
        <v/>
      </c>
      <c r="O3229" s="46" t="s">
        <v>1976</v>
      </c>
      <c r="P3229" s="47"/>
      <c r="Q3229" s="47"/>
      <c r="R3229" s="48" t="s">
        <v>1976</v>
      </c>
    </row>
    <row r="3230">
      <c r="B3230" s="45"/>
      <c r="N3230" s="46" t="str">
        <f>IFERROR(__xludf.DUMMYFUNCTION("""COMPUTED_VALUE"""),"")</f>
        <v/>
      </c>
      <c r="O3230" s="46" t="s">
        <v>1976</v>
      </c>
      <c r="P3230" s="47"/>
      <c r="Q3230" s="47"/>
      <c r="R3230" s="48" t="s">
        <v>1976</v>
      </c>
    </row>
    <row r="3231">
      <c r="B3231" s="45"/>
      <c r="N3231" s="46" t="str">
        <f>IFERROR(__xludf.DUMMYFUNCTION("""COMPUTED_VALUE"""),"")</f>
        <v/>
      </c>
      <c r="O3231" s="46" t="s">
        <v>1976</v>
      </c>
      <c r="P3231" s="47"/>
      <c r="Q3231" s="47"/>
      <c r="R3231" s="48" t="s">
        <v>1976</v>
      </c>
    </row>
    <row r="3232">
      <c r="B3232" s="45"/>
      <c r="N3232" s="46" t="str">
        <f>IFERROR(__xludf.DUMMYFUNCTION("""COMPUTED_VALUE"""),"")</f>
        <v/>
      </c>
      <c r="O3232" s="46" t="s">
        <v>1976</v>
      </c>
      <c r="P3232" s="47"/>
      <c r="Q3232" s="47"/>
      <c r="R3232" s="48" t="s">
        <v>1976</v>
      </c>
    </row>
    <row r="3233">
      <c r="B3233" s="45"/>
      <c r="N3233" s="46" t="str">
        <f>IFERROR(__xludf.DUMMYFUNCTION("""COMPUTED_VALUE"""),"")</f>
        <v/>
      </c>
      <c r="O3233" s="46" t="s">
        <v>1976</v>
      </c>
      <c r="P3233" s="47"/>
      <c r="Q3233" s="47"/>
      <c r="R3233" s="48" t="s">
        <v>1976</v>
      </c>
    </row>
    <row r="3234">
      <c r="B3234" s="45"/>
      <c r="N3234" s="46" t="str">
        <f>IFERROR(__xludf.DUMMYFUNCTION("""COMPUTED_VALUE"""),"")</f>
        <v/>
      </c>
      <c r="O3234" s="46" t="s">
        <v>1976</v>
      </c>
      <c r="P3234" s="47"/>
      <c r="Q3234" s="47"/>
      <c r="R3234" s="48" t="s">
        <v>1976</v>
      </c>
    </row>
    <row r="3235">
      <c r="B3235" s="45"/>
      <c r="N3235" s="46" t="str">
        <f>IFERROR(__xludf.DUMMYFUNCTION("""COMPUTED_VALUE"""),"")</f>
        <v/>
      </c>
      <c r="O3235" s="46" t="s">
        <v>1976</v>
      </c>
      <c r="P3235" s="47"/>
      <c r="Q3235" s="47"/>
      <c r="R3235" s="48" t="s">
        <v>1976</v>
      </c>
    </row>
    <row r="3236">
      <c r="B3236" s="45"/>
      <c r="N3236" s="46" t="str">
        <f>IFERROR(__xludf.DUMMYFUNCTION("""COMPUTED_VALUE"""),"")</f>
        <v/>
      </c>
      <c r="O3236" s="46" t="s">
        <v>1976</v>
      </c>
      <c r="P3236" s="47"/>
      <c r="Q3236" s="47"/>
      <c r="R3236" s="48" t="s">
        <v>1976</v>
      </c>
    </row>
    <row r="3237">
      <c r="B3237" s="45"/>
      <c r="N3237" s="46" t="str">
        <f>IFERROR(__xludf.DUMMYFUNCTION("""COMPUTED_VALUE"""),"")</f>
        <v/>
      </c>
      <c r="O3237" s="46" t="s">
        <v>1976</v>
      </c>
      <c r="P3237" s="47"/>
      <c r="Q3237" s="47"/>
      <c r="R3237" s="48" t="s">
        <v>1976</v>
      </c>
    </row>
    <row r="3238">
      <c r="B3238" s="45"/>
      <c r="N3238" s="46" t="str">
        <f>IFERROR(__xludf.DUMMYFUNCTION("""COMPUTED_VALUE"""),"")</f>
        <v/>
      </c>
      <c r="O3238" s="46" t="s">
        <v>1976</v>
      </c>
      <c r="P3238" s="47"/>
      <c r="Q3238" s="47"/>
      <c r="R3238" s="48" t="s">
        <v>1976</v>
      </c>
    </row>
    <row r="3239">
      <c r="B3239" s="45"/>
      <c r="N3239" s="46" t="str">
        <f>IFERROR(__xludf.DUMMYFUNCTION("""COMPUTED_VALUE"""),"")</f>
        <v/>
      </c>
      <c r="O3239" s="46" t="s">
        <v>1976</v>
      </c>
      <c r="P3239" s="47"/>
      <c r="Q3239" s="47"/>
      <c r="R3239" s="48" t="s">
        <v>1976</v>
      </c>
    </row>
    <row r="3240">
      <c r="B3240" s="45"/>
      <c r="N3240" s="46" t="str">
        <f>IFERROR(__xludf.DUMMYFUNCTION("""COMPUTED_VALUE"""),"")</f>
        <v/>
      </c>
      <c r="O3240" s="46" t="s">
        <v>1976</v>
      </c>
      <c r="P3240" s="47"/>
      <c r="Q3240" s="47"/>
      <c r="R3240" s="48" t="s">
        <v>1976</v>
      </c>
    </row>
    <row r="3241">
      <c r="B3241" s="45"/>
      <c r="N3241" s="46" t="str">
        <f>IFERROR(__xludf.DUMMYFUNCTION("""COMPUTED_VALUE"""),"")</f>
        <v/>
      </c>
      <c r="O3241" s="46" t="s">
        <v>1976</v>
      </c>
      <c r="P3241" s="47"/>
      <c r="Q3241" s="47"/>
      <c r="R3241" s="48" t="s">
        <v>1976</v>
      </c>
    </row>
    <row r="3242">
      <c r="B3242" s="45"/>
      <c r="N3242" s="46" t="str">
        <f>IFERROR(__xludf.DUMMYFUNCTION("""COMPUTED_VALUE"""),"")</f>
        <v/>
      </c>
      <c r="O3242" s="46" t="s">
        <v>1976</v>
      </c>
      <c r="P3242" s="47"/>
      <c r="Q3242" s="47"/>
      <c r="R3242" s="48" t="s">
        <v>1976</v>
      </c>
    </row>
    <row r="3243">
      <c r="B3243" s="45"/>
      <c r="N3243" s="46" t="str">
        <f>IFERROR(__xludf.DUMMYFUNCTION("""COMPUTED_VALUE"""),"")</f>
        <v/>
      </c>
      <c r="O3243" s="46" t="s">
        <v>1976</v>
      </c>
      <c r="P3243" s="47"/>
      <c r="Q3243" s="47"/>
      <c r="R3243" s="48" t="s">
        <v>1976</v>
      </c>
    </row>
    <row r="3244">
      <c r="B3244" s="45"/>
      <c r="N3244" s="46" t="str">
        <f>IFERROR(__xludf.DUMMYFUNCTION("""COMPUTED_VALUE"""),"")</f>
        <v/>
      </c>
      <c r="O3244" s="46" t="s">
        <v>1976</v>
      </c>
      <c r="P3244" s="47"/>
      <c r="Q3244" s="47"/>
      <c r="R3244" s="48" t="s">
        <v>1976</v>
      </c>
    </row>
    <row r="3245">
      <c r="B3245" s="45"/>
      <c r="N3245" s="46" t="str">
        <f>IFERROR(__xludf.DUMMYFUNCTION("""COMPUTED_VALUE"""),"")</f>
        <v/>
      </c>
      <c r="O3245" s="46" t="s">
        <v>1976</v>
      </c>
      <c r="P3245" s="47"/>
      <c r="Q3245" s="47"/>
      <c r="R3245" s="48" t="s">
        <v>1976</v>
      </c>
    </row>
    <row r="3246">
      <c r="B3246" s="45"/>
      <c r="N3246" s="46" t="str">
        <f>IFERROR(__xludf.DUMMYFUNCTION("""COMPUTED_VALUE"""),"")</f>
        <v/>
      </c>
      <c r="O3246" s="46" t="s">
        <v>1976</v>
      </c>
      <c r="P3246" s="47"/>
      <c r="Q3246" s="47"/>
      <c r="R3246" s="48" t="s">
        <v>1976</v>
      </c>
    </row>
    <row r="3247">
      <c r="B3247" s="45"/>
      <c r="N3247" s="46" t="str">
        <f>IFERROR(__xludf.DUMMYFUNCTION("""COMPUTED_VALUE"""),"")</f>
        <v/>
      </c>
      <c r="O3247" s="46" t="s">
        <v>1976</v>
      </c>
      <c r="P3247" s="47"/>
      <c r="Q3247" s="47"/>
      <c r="R3247" s="48" t="s">
        <v>1976</v>
      </c>
    </row>
    <row r="3248">
      <c r="B3248" s="45"/>
      <c r="N3248" s="46" t="str">
        <f>IFERROR(__xludf.DUMMYFUNCTION("""COMPUTED_VALUE"""),"")</f>
        <v/>
      </c>
      <c r="O3248" s="46" t="s">
        <v>1976</v>
      </c>
      <c r="P3248" s="47"/>
      <c r="Q3248" s="47"/>
      <c r="R3248" s="48" t="s">
        <v>1976</v>
      </c>
    </row>
    <row r="3249">
      <c r="B3249" s="45"/>
      <c r="N3249" s="46" t="str">
        <f>IFERROR(__xludf.DUMMYFUNCTION("""COMPUTED_VALUE"""),"")</f>
        <v/>
      </c>
      <c r="O3249" s="46" t="s">
        <v>1976</v>
      </c>
      <c r="P3249" s="47"/>
      <c r="Q3249" s="47"/>
      <c r="R3249" s="48" t="s">
        <v>1976</v>
      </c>
    </row>
    <row r="3250">
      <c r="B3250" s="45"/>
      <c r="N3250" s="46" t="str">
        <f>IFERROR(__xludf.DUMMYFUNCTION("""COMPUTED_VALUE"""),"")</f>
        <v/>
      </c>
      <c r="O3250" s="46" t="s">
        <v>1976</v>
      </c>
      <c r="P3250" s="47"/>
      <c r="Q3250" s="47"/>
      <c r="R3250" s="48" t="s">
        <v>1976</v>
      </c>
    </row>
    <row r="3251">
      <c r="B3251" s="45"/>
      <c r="N3251" s="46" t="str">
        <f>IFERROR(__xludf.DUMMYFUNCTION("""COMPUTED_VALUE"""),"")</f>
        <v/>
      </c>
      <c r="O3251" s="46" t="s">
        <v>1976</v>
      </c>
      <c r="P3251" s="47"/>
      <c r="Q3251" s="47"/>
      <c r="R3251" s="48" t="s">
        <v>1976</v>
      </c>
    </row>
    <row r="3252">
      <c r="B3252" s="45"/>
      <c r="N3252" s="46" t="str">
        <f>IFERROR(__xludf.DUMMYFUNCTION("""COMPUTED_VALUE"""),"")</f>
        <v/>
      </c>
      <c r="O3252" s="46" t="s">
        <v>1976</v>
      </c>
      <c r="P3252" s="47"/>
      <c r="Q3252" s="47"/>
      <c r="R3252" s="48" t="s">
        <v>1976</v>
      </c>
    </row>
    <row r="3253">
      <c r="B3253" s="45"/>
      <c r="N3253" s="46" t="str">
        <f>IFERROR(__xludf.DUMMYFUNCTION("""COMPUTED_VALUE"""),"")</f>
        <v/>
      </c>
      <c r="O3253" s="46" t="s">
        <v>1976</v>
      </c>
      <c r="P3253" s="47"/>
      <c r="Q3253" s="47"/>
      <c r="R3253" s="48" t="s">
        <v>1976</v>
      </c>
    </row>
    <row r="3254">
      <c r="B3254" s="45"/>
      <c r="N3254" s="46" t="str">
        <f>IFERROR(__xludf.DUMMYFUNCTION("""COMPUTED_VALUE"""),"")</f>
        <v/>
      </c>
      <c r="O3254" s="46" t="s">
        <v>1976</v>
      </c>
      <c r="P3254" s="47"/>
      <c r="Q3254" s="47"/>
      <c r="R3254" s="48" t="s">
        <v>1976</v>
      </c>
    </row>
    <row r="3255">
      <c r="B3255" s="45"/>
      <c r="N3255" s="46" t="str">
        <f>IFERROR(__xludf.DUMMYFUNCTION("""COMPUTED_VALUE"""),"")</f>
        <v/>
      </c>
      <c r="O3255" s="46" t="s">
        <v>1976</v>
      </c>
      <c r="P3255" s="47"/>
      <c r="Q3255" s="47"/>
      <c r="R3255" s="48" t="s">
        <v>1976</v>
      </c>
    </row>
    <row r="3256">
      <c r="B3256" s="45"/>
      <c r="N3256" s="46" t="str">
        <f>IFERROR(__xludf.DUMMYFUNCTION("""COMPUTED_VALUE"""),"")</f>
        <v/>
      </c>
      <c r="O3256" s="46" t="s">
        <v>1976</v>
      </c>
      <c r="P3256" s="47"/>
      <c r="Q3256" s="47"/>
      <c r="R3256" s="48" t="s">
        <v>1976</v>
      </c>
    </row>
    <row r="3257">
      <c r="B3257" s="45"/>
      <c r="N3257" s="46" t="str">
        <f>IFERROR(__xludf.DUMMYFUNCTION("""COMPUTED_VALUE"""),"")</f>
        <v/>
      </c>
      <c r="O3257" s="46" t="s">
        <v>1976</v>
      </c>
      <c r="P3257" s="47"/>
      <c r="Q3257" s="47"/>
      <c r="R3257" s="48" t="s">
        <v>1976</v>
      </c>
    </row>
    <row r="3258">
      <c r="B3258" s="45"/>
      <c r="N3258" s="46" t="str">
        <f>IFERROR(__xludf.DUMMYFUNCTION("""COMPUTED_VALUE"""),"")</f>
        <v/>
      </c>
      <c r="O3258" s="46" t="s">
        <v>1976</v>
      </c>
      <c r="P3258" s="47"/>
      <c r="Q3258" s="47"/>
      <c r="R3258" s="48" t="s">
        <v>1976</v>
      </c>
    </row>
    <row r="3259">
      <c r="B3259" s="45"/>
      <c r="N3259" s="46" t="str">
        <f>IFERROR(__xludf.DUMMYFUNCTION("""COMPUTED_VALUE"""),"")</f>
        <v/>
      </c>
      <c r="O3259" s="46" t="s">
        <v>1976</v>
      </c>
      <c r="P3259" s="47"/>
      <c r="Q3259" s="47"/>
      <c r="R3259" s="48" t="s">
        <v>1976</v>
      </c>
    </row>
    <row r="3260">
      <c r="B3260" s="45"/>
      <c r="N3260" s="46" t="str">
        <f>IFERROR(__xludf.DUMMYFUNCTION("""COMPUTED_VALUE"""),"")</f>
        <v/>
      </c>
      <c r="O3260" s="46" t="s">
        <v>1976</v>
      </c>
      <c r="P3260" s="47"/>
      <c r="Q3260" s="47"/>
      <c r="R3260" s="48" t="s">
        <v>1976</v>
      </c>
    </row>
    <row r="3261">
      <c r="B3261" s="45"/>
      <c r="N3261" s="46" t="str">
        <f>IFERROR(__xludf.DUMMYFUNCTION("""COMPUTED_VALUE"""),"")</f>
        <v/>
      </c>
      <c r="O3261" s="46" t="s">
        <v>1976</v>
      </c>
      <c r="P3261" s="47"/>
      <c r="Q3261" s="47"/>
      <c r="R3261" s="48" t="s">
        <v>1976</v>
      </c>
    </row>
    <row r="3262">
      <c r="B3262" s="45"/>
      <c r="N3262" s="46" t="str">
        <f>IFERROR(__xludf.DUMMYFUNCTION("""COMPUTED_VALUE"""),"")</f>
        <v/>
      </c>
      <c r="O3262" s="46" t="s">
        <v>1976</v>
      </c>
      <c r="P3262" s="47"/>
      <c r="Q3262" s="47"/>
      <c r="R3262" s="48" t="s">
        <v>1976</v>
      </c>
    </row>
    <row r="3263">
      <c r="B3263" s="45"/>
      <c r="N3263" s="46" t="str">
        <f>IFERROR(__xludf.DUMMYFUNCTION("""COMPUTED_VALUE"""),"")</f>
        <v/>
      </c>
      <c r="O3263" s="46" t="s">
        <v>1976</v>
      </c>
      <c r="P3263" s="47"/>
      <c r="Q3263" s="47"/>
      <c r="R3263" s="48" t="s">
        <v>1976</v>
      </c>
    </row>
    <row r="3264">
      <c r="B3264" s="45"/>
      <c r="N3264" s="46" t="str">
        <f>IFERROR(__xludf.DUMMYFUNCTION("""COMPUTED_VALUE"""),"")</f>
        <v/>
      </c>
      <c r="O3264" s="46" t="s">
        <v>1976</v>
      </c>
      <c r="P3264" s="47"/>
      <c r="Q3264" s="47"/>
      <c r="R3264" s="48" t="s">
        <v>1976</v>
      </c>
    </row>
    <row r="3265">
      <c r="B3265" s="45"/>
      <c r="N3265" s="46" t="str">
        <f>IFERROR(__xludf.DUMMYFUNCTION("""COMPUTED_VALUE"""),"")</f>
        <v/>
      </c>
      <c r="O3265" s="46" t="s">
        <v>1976</v>
      </c>
      <c r="P3265" s="47"/>
      <c r="Q3265" s="47"/>
      <c r="R3265" s="48" t="s">
        <v>1976</v>
      </c>
    </row>
    <row r="3266">
      <c r="B3266" s="45"/>
      <c r="N3266" s="46" t="str">
        <f>IFERROR(__xludf.DUMMYFUNCTION("""COMPUTED_VALUE"""),"")</f>
        <v/>
      </c>
      <c r="O3266" s="46" t="s">
        <v>1976</v>
      </c>
      <c r="P3266" s="47"/>
      <c r="Q3266" s="47"/>
      <c r="R3266" s="48" t="s">
        <v>1976</v>
      </c>
    </row>
    <row r="3267">
      <c r="B3267" s="45"/>
      <c r="N3267" s="46" t="str">
        <f>IFERROR(__xludf.DUMMYFUNCTION("""COMPUTED_VALUE"""),"")</f>
        <v/>
      </c>
      <c r="O3267" s="46" t="s">
        <v>1976</v>
      </c>
      <c r="P3267" s="47"/>
      <c r="Q3267" s="47"/>
      <c r="R3267" s="48" t="s">
        <v>1976</v>
      </c>
    </row>
    <row r="3268">
      <c r="B3268" s="45"/>
      <c r="N3268" s="46" t="str">
        <f>IFERROR(__xludf.DUMMYFUNCTION("""COMPUTED_VALUE"""),"")</f>
        <v/>
      </c>
      <c r="O3268" s="46" t="s">
        <v>1976</v>
      </c>
      <c r="P3268" s="47"/>
      <c r="Q3268" s="47"/>
      <c r="R3268" s="48" t="s">
        <v>1976</v>
      </c>
    </row>
    <row r="3269">
      <c r="B3269" s="45"/>
      <c r="N3269" s="46" t="str">
        <f>IFERROR(__xludf.DUMMYFUNCTION("""COMPUTED_VALUE"""),"")</f>
        <v/>
      </c>
      <c r="O3269" s="46" t="s">
        <v>1976</v>
      </c>
      <c r="P3269" s="47"/>
      <c r="Q3269" s="47"/>
      <c r="R3269" s="48" t="s">
        <v>1976</v>
      </c>
    </row>
    <row r="3270">
      <c r="B3270" s="45"/>
      <c r="N3270" s="46" t="str">
        <f>IFERROR(__xludf.DUMMYFUNCTION("""COMPUTED_VALUE"""),"")</f>
        <v/>
      </c>
      <c r="O3270" s="46" t="s">
        <v>1976</v>
      </c>
      <c r="P3270" s="47"/>
      <c r="Q3270" s="47"/>
      <c r="R3270" s="48" t="s">
        <v>1976</v>
      </c>
    </row>
    <row r="3271">
      <c r="B3271" s="45"/>
      <c r="N3271" s="46" t="str">
        <f>IFERROR(__xludf.DUMMYFUNCTION("""COMPUTED_VALUE"""),"")</f>
        <v/>
      </c>
      <c r="O3271" s="46" t="s">
        <v>1976</v>
      </c>
      <c r="P3271" s="47"/>
      <c r="Q3271" s="47"/>
      <c r="R3271" s="48" t="s">
        <v>1976</v>
      </c>
    </row>
    <row r="3272">
      <c r="B3272" s="45"/>
      <c r="N3272" s="46" t="str">
        <f>IFERROR(__xludf.DUMMYFUNCTION("""COMPUTED_VALUE"""),"")</f>
        <v/>
      </c>
      <c r="O3272" s="46" t="s">
        <v>1976</v>
      </c>
      <c r="P3272" s="47"/>
      <c r="Q3272" s="47"/>
      <c r="R3272" s="48" t="s">
        <v>1976</v>
      </c>
    </row>
    <row r="3273">
      <c r="B3273" s="45"/>
      <c r="N3273" s="46" t="str">
        <f>IFERROR(__xludf.DUMMYFUNCTION("""COMPUTED_VALUE"""),"")</f>
        <v/>
      </c>
      <c r="O3273" s="46" t="s">
        <v>1976</v>
      </c>
      <c r="P3273" s="47"/>
      <c r="Q3273" s="47"/>
      <c r="R3273" s="48" t="s">
        <v>1976</v>
      </c>
    </row>
    <row r="3274">
      <c r="B3274" s="45"/>
      <c r="N3274" s="46" t="str">
        <f>IFERROR(__xludf.DUMMYFUNCTION("""COMPUTED_VALUE"""),"")</f>
        <v/>
      </c>
      <c r="O3274" s="46" t="s">
        <v>1976</v>
      </c>
      <c r="P3274" s="47"/>
      <c r="Q3274" s="47"/>
      <c r="R3274" s="48" t="s">
        <v>1976</v>
      </c>
    </row>
    <row r="3275">
      <c r="B3275" s="45"/>
      <c r="N3275" s="46" t="str">
        <f>IFERROR(__xludf.DUMMYFUNCTION("""COMPUTED_VALUE"""),"")</f>
        <v/>
      </c>
      <c r="O3275" s="46" t="s">
        <v>1976</v>
      </c>
      <c r="P3275" s="47"/>
      <c r="Q3275" s="47"/>
      <c r="R3275" s="48" t="s">
        <v>1976</v>
      </c>
    </row>
    <row r="3276">
      <c r="B3276" s="45"/>
      <c r="N3276" s="46" t="str">
        <f>IFERROR(__xludf.DUMMYFUNCTION("""COMPUTED_VALUE"""),"")</f>
        <v/>
      </c>
      <c r="O3276" s="46" t="s">
        <v>1976</v>
      </c>
      <c r="P3276" s="47"/>
      <c r="Q3276" s="47"/>
      <c r="R3276" s="48" t="s">
        <v>1976</v>
      </c>
    </row>
    <row r="3277">
      <c r="B3277" s="45"/>
      <c r="N3277" s="46" t="str">
        <f>IFERROR(__xludf.DUMMYFUNCTION("""COMPUTED_VALUE"""),"")</f>
        <v/>
      </c>
      <c r="O3277" s="46" t="s">
        <v>1976</v>
      </c>
      <c r="P3277" s="47"/>
      <c r="Q3277" s="47"/>
      <c r="R3277" s="48" t="s">
        <v>1976</v>
      </c>
    </row>
    <row r="3278">
      <c r="B3278" s="45"/>
      <c r="N3278" s="46" t="str">
        <f>IFERROR(__xludf.DUMMYFUNCTION("""COMPUTED_VALUE"""),"")</f>
        <v/>
      </c>
      <c r="O3278" s="46" t="s">
        <v>1976</v>
      </c>
      <c r="P3278" s="47"/>
      <c r="Q3278" s="47"/>
      <c r="R3278" s="48" t="s">
        <v>1976</v>
      </c>
    </row>
    <row r="3279">
      <c r="B3279" s="45"/>
      <c r="N3279" s="46" t="str">
        <f>IFERROR(__xludf.DUMMYFUNCTION("""COMPUTED_VALUE"""),"")</f>
        <v/>
      </c>
      <c r="O3279" s="46" t="s">
        <v>1976</v>
      </c>
      <c r="P3279" s="47"/>
      <c r="Q3279" s="47"/>
      <c r="R3279" s="48" t="s">
        <v>1976</v>
      </c>
    </row>
    <row r="3280">
      <c r="B3280" s="45"/>
      <c r="N3280" s="46" t="str">
        <f>IFERROR(__xludf.DUMMYFUNCTION("""COMPUTED_VALUE"""),"")</f>
        <v/>
      </c>
      <c r="O3280" s="46" t="s">
        <v>1976</v>
      </c>
      <c r="P3280" s="47"/>
      <c r="Q3280" s="47"/>
    </row>
    <row r="3281">
      <c r="B3281" s="45"/>
      <c r="N3281" s="46" t="str">
        <f>IFERROR(__xludf.DUMMYFUNCTION("""COMPUTED_VALUE"""),"")</f>
        <v/>
      </c>
      <c r="O3281" s="46" t="s">
        <v>1976</v>
      </c>
      <c r="P3281" s="47"/>
      <c r="Q3281" s="47"/>
    </row>
    <row r="3282">
      <c r="B3282" s="45"/>
      <c r="N3282" s="46" t="str">
        <f>IFERROR(__xludf.DUMMYFUNCTION("""COMPUTED_VALUE"""),"")</f>
        <v/>
      </c>
      <c r="O3282" s="46" t="s">
        <v>1976</v>
      </c>
      <c r="P3282" s="47"/>
      <c r="Q3282" s="47"/>
    </row>
    <row r="3283">
      <c r="B3283" s="45"/>
      <c r="N3283" s="46" t="str">
        <f>IFERROR(__xludf.DUMMYFUNCTION("""COMPUTED_VALUE"""),"")</f>
        <v/>
      </c>
      <c r="O3283" s="46" t="s">
        <v>1976</v>
      </c>
      <c r="P3283" s="47"/>
      <c r="Q3283" s="47"/>
    </row>
    <row r="3284">
      <c r="B3284" s="45"/>
      <c r="N3284" s="46" t="str">
        <f>IFERROR(__xludf.DUMMYFUNCTION("""COMPUTED_VALUE"""),"")</f>
        <v/>
      </c>
      <c r="O3284" s="46" t="s">
        <v>1976</v>
      </c>
      <c r="P3284" s="47"/>
      <c r="Q3284" s="47"/>
    </row>
    <row r="3285">
      <c r="B3285" s="45"/>
      <c r="N3285" s="46" t="str">
        <f>IFERROR(__xludf.DUMMYFUNCTION("""COMPUTED_VALUE"""),"")</f>
        <v/>
      </c>
      <c r="O3285" s="46" t="s">
        <v>1976</v>
      </c>
      <c r="P3285" s="47"/>
      <c r="Q3285" s="47"/>
    </row>
    <row r="3286">
      <c r="B3286" s="45"/>
      <c r="N3286" s="46" t="str">
        <f>IFERROR(__xludf.DUMMYFUNCTION("""COMPUTED_VALUE"""),"")</f>
        <v/>
      </c>
      <c r="O3286" s="46" t="s">
        <v>1976</v>
      </c>
      <c r="P3286" s="47"/>
      <c r="Q3286" s="47"/>
    </row>
    <row r="3287">
      <c r="B3287" s="45"/>
      <c r="N3287" s="46" t="str">
        <f>IFERROR(__xludf.DUMMYFUNCTION("""COMPUTED_VALUE"""),"")</f>
        <v/>
      </c>
      <c r="O3287" s="46" t="s">
        <v>1976</v>
      </c>
      <c r="P3287" s="47"/>
      <c r="Q3287" s="47"/>
    </row>
    <row r="3288">
      <c r="B3288" s="45"/>
      <c r="N3288" s="46" t="str">
        <f>IFERROR(__xludf.DUMMYFUNCTION("""COMPUTED_VALUE"""),"")</f>
        <v/>
      </c>
      <c r="O3288" s="46" t="s">
        <v>1976</v>
      </c>
      <c r="P3288" s="47"/>
      <c r="Q3288" s="47"/>
    </row>
    <row r="3289">
      <c r="B3289" s="45"/>
      <c r="N3289" s="46" t="str">
        <f>IFERROR(__xludf.DUMMYFUNCTION("""COMPUTED_VALUE"""),"")</f>
        <v/>
      </c>
      <c r="O3289" s="46" t="s">
        <v>1976</v>
      </c>
      <c r="P3289" s="47"/>
      <c r="Q3289" s="47"/>
    </row>
    <row r="3290">
      <c r="B3290" s="45"/>
      <c r="N3290" s="46" t="str">
        <f>IFERROR(__xludf.DUMMYFUNCTION("""COMPUTED_VALUE"""),"")</f>
        <v/>
      </c>
      <c r="O3290" s="46" t="s">
        <v>1976</v>
      </c>
      <c r="P3290" s="47"/>
      <c r="Q3290" s="47"/>
    </row>
    <row r="3291">
      <c r="B3291" s="45"/>
      <c r="N3291" s="46" t="str">
        <f>IFERROR(__xludf.DUMMYFUNCTION("""COMPUTED_VALUE"""),"")</f>
        <v/>
      </c>
      <c r="O3291" s="46" t="s">
        <v>1976</v>
      </c>
      <c r="P3291" s="47"/>
      <c r="Q3291" s="47"/>
    </row>
    <row r="3292">
      <c r="B3292" s="45"/>
      <c r="N3292" s="46" t="str">
        <f>IFERROR(__xludf.DUMMYFUNCTION("""COMPUTED_VALUE"""),"")</f>
        <v/>
      </c>
      <c r="O3292" s="46" t="s">
        <v>1976</v>
      </c>
      <c r="P3292" s="47"/>
      <c r="Q3292" s="47"/>
    </row>
    <row r="3293">
      <c r="B3293" s="45"/>
      <c r="N3293" s="46" t="str">
        <f>IFERROR(__xludf.DUMMYFUNCTION("""COMPUTED_VALUE"""),"")</f>
        <v/>
      </c>
      <c r="O3293" s="46" t="s">
        <v>1976</v>
      </c>
      <c r="P3293" s="47"/>
      <c r="Q3293" s="47"/>
    </row>
  </sheetData>
  <customSheetViews>
    <customSheetView guid="{B81682E2-F845-4F8E-939C-B0A2C1599B07}" filter="1" showAutoFilter="1">
      <autoFilter ref="$A$1:$X$955"/>
    </customSheetView>
    <customSheetView guid="{2E765813-B5C3-4163-AFA9-3F2FF322C8AE}" filter="1" showAutoFilter="1">
      <autoFilter ref="$A$1:$X$955"/>
    </customSheetView>
    <customSheetView guid="{4D25A5CF-93FA-4FF1-8FC9-EB89BF8C3CF8}" filter="1" showAutoFilter="1">
      <autoFilter ref="$A$1:$X$955">
        <filterColumn colId="10">
          <filters>
            <filter val="Hoàn thành"/>
            <filter val="Nộp thành công - Chờ kết quả"/>
            <filter val="Hủy"/>
          </filters>
        </filterColumn>
      </autoFilter>
    </customSheetView>
    <customSheetView guid="{384298D1-9F8C-4BD3-ACE7-702C201D0EDB}" filter="1" showAutoFilter="1">
      <autoFilter ref="$A$1:$X$955">
        <filterColumn colId="10">
          <filters>
            <filter val="Hoàn thành"/>
            <filter val="Nộp thành công - Chờ kết quả"/>
            <filter val="Hủy"/>
          </filters>
        </filterColumn>
      </autoFilter>
    </customSheetView>
    <customSheetView guid="{BD3F3891-D1D2-4AA3-A6F8-385C54537B6A}" filter="1" showAutoFilter="1">
      <autoFilter ref="$A$1:$X$955"/>
    </customSheetView>
  </customSheetViews>
  <conditionalFormatting sqref="L1:L3293">
    <cfRule type="containsText" dxfId="5" priority="1" operator="containsText" text="QUÁ HẠN">
      <formula>NOT(ISERROR(SEARCH(("QUÁ HẠN"),(L1))))</formula>
    </cfRule>
  </conditionalFormatting>
  <conditionalFormatting sqref="L1:L3293">
    <cfRule type="containsText" dxfId="6" priority="2" operator="containsText" text="Hoàn thành">
      <formula>NOT(ISERROR(SEARCH(("Hoàn thành"),(L1))))</formula>
    </cfRule>
  </conditionalFormatting>
  <conditionalFormatting sqref="L1:L3293">
    <cfRule type="containsText" dxfId="7" priority="3" operator="containsText" text="Trong hạn">
      <formula>NOT(ISERROR(SEARCH(("Trong hạn"),(L1))))</formula>
    </cfRule>
  </conditionalFormatting>
  <conditionalFormatting sqref="L1:L3293">
    <cfRule type="containsText" dxfId="8" priority="4" operator="containsText" text="Đã nộp">
      <formula>NOT(ISERROR(SEARCH(("Đã nộp"),(L1))))</formula>
    </cfRule>
  </conditionalFormatting>
  <conditionalFormatting sqref="K1:K3293 L515">
    <cfRule type="containsText" dxfId="6" priority="5" operator="containsText" text="Hoàn thành">
      <formula>NOT(ISERROR(SEARCH(("Hoàn thành"),(K1))))</formula>
    </cfRule>
  </conditionalFormatting>
  <conditionalFormatting sqref="K1:K3293 L515">
    <cfRule type="containsText" dxfId="9" priority="6" operator="containsText" text="Nộp thành công">
      <formula>NOT(ISERROR(SEARCH(("Nộp thành công"),(K1))))</formula>
    </cfRule>
  </conditionalFormatting>
  <conditionalFormatting sqref="B1:B3293 C887">
    <cfRule type="expression" dxfId="10" priority="7">
      <formula>COUNTIF(B:B, B1)&gt;1</formula>
    </cfRule>
  </conditionalFormatting>
  <conditionalFormatting sqref="J1:J3293">
    <cfRule type="colorScale" priority="8">
      <colorScale>
        <cfvo type="min"/>
        <cfvo type="max"/>
        <color rgb="FFFFFFFF"/>
        <color rgb="FF57BB8A"/>
      </colorScale>
    </cfRule>
  </conditionalFormatting>
  <conditionalFormatting sqref="H1:H887 I2:I2205 A888 H889:H3293">
    <cfRule type="containsText" dxfId="11" priority="9" operator="containsText" text="QUỐC">
      <formula>NOT(ISERROR(SEARCH(("QUỐC"),(H1))))</formula>
    </cfRule>
  </conditionalFormatting>
  <conditionalFormatting sqref="H1:H887 I741 A888 H889:H3293 I954 I957">
    <cfRule type="containsText" dxfId="12" priority="10" operator="containsText" text="DỰNG">
      <formula>NOT(ISERROR(SEARCH(("DỰNG"),(H1))))</formula>
    </cfRule>
  </conditionalFormatting>
  <conditionalFormatting sqref="H1:H887 I741 A888 H889:H3293 I954 I957">
    <cfRule type="containsText" dxfId="13" priority="11" operator="containsText" text="XÂY">
      <formula>NOT(ISERROR(SEARCH(("XÂY"),(H1))))</formula>
    </cfRule>
  </conditionalFormatting>
  <conditionalFormatting sqref="H1:H887 I741 A888 H889:H3293 I954 I957">
    <cfRule type="containsText" dxfId="14" priority="12" operator="containsText" text="THÔNG">
      <formula>NOT(ISERROR(SEARCH(("THÔNG"),(H1))))</formula>
    </cfRule>
  </conditionalFormatting>
  <conditionalFormatting sqref="H1:H887 I2:I2205 A888 H889:H3293">
    <cfRule type="containsText" dxfId="15" priority="13" operator="containsText" text="TẬP">
      <formula>NOT(ISERROR(SEARCH(("TẬP"),(H1))))</formula>
    </cfRule>
  </conditionalFormatting>
  <conditionalFormatting sqref="I1:I503 H509 H515 I556 I589 I598 I886:I953 I955:I956 I958:I3293">
    <cfRule type="containsText" dxfId="16" priority="14" operator="containsText" text="ĐẠT">
      <formula>NOT(ISERROR(SEARCH(("ĐẠT"),(I1))))</formula>
    </cfRule>
  </conditionalFormatting>
  <conditionalFormatting sqref="I1:I503 H509 H515 I556 I589 I598 I886:I953 I955:I956 I958:I3293">
    <cfRule type="containsText" dxfId="17" priority="15" operator="containsText" text="QUỐC">
      <formula>NOT(ISERROR(SEARCH(("QUỐC"),(I1))))</formula>
    </cfRule>
  </conditionalFormatting>
  <conditionalFormatting sqref="I1:I503 H509 H515 I556 I589 I598 I886:I953 I955:I956 I958:I3293">
    <cfRule type="containsText" dxfId="18" priority="16" operator="containsText" text="TẬP">
      <formula>NOT(ISERROR(SEARCH(("TẬP"),(I1))))</formula>
    </cfRule>
  </conditionalFormatting>
  <conditionalFormatting sqref="I1:I503 H509 H515 I556 I589 I598 I886:I953 I955:I956 I958:I3293">
    <cfRule type="containsText" dxfId="19" priority="17" operator="containsText" text="MINH">
      <formula>NOT(ISERROR(SEARCH(("MINH"),(I1))))</formula>
    </cfRule>
  </conditionalFormatting>
  <conditionalFormatting sqref="I1:I503 H509 H515 I556 I589 I598 I886:I953 I955:I956 I958:I3293">
    <cfRule type="containsText" dxfId="20" priority="18" operator="containsText" text="DỰNG">
      <formula>NOT(ISERROR(SEARCH(("DỰNG"),(I1))))</formula>
    </cfRule>
  </conditionalFormatting>
  <conditionalFormatting sqref="U1:V3293">
    <cfRule type="notContainsBlanks" dxfId="21" priority="19">
      <formula>LEN(TRIM(U1))&gt;0</formula>
    </cfRule>
  </conditionalFormatting>
  <conditionalFormatting sqref="C1:C3293">
    <cfRule type="expression" dxfId="22" priority="20">
      <formula>COUNTIF(C:C, C1)&gt;1</formula>
    </cfRule>
  </conditionalFormatting>
  <conditionalFormatting sqref="K1:K3293 L515">
    <cfRule type="containsText" dxfId="23" priority="21" operator="containsText" text="Hủy">
      <formula>NOT(ISERROR(SEARCH(("Hủy"),(K1))))</formula>
    </cfRule>
  </conditionalFormatting>
  <conditionalFormatting sqref="M2:M2356">
    <cfRule type="containsText" dxfId="21" priority="22" operator="containsText" text="Cắm mốc">
      <formula>NOT(ISERROR(SEARCH(("Cắm mốc"),(M2))))</formula>
    </cfRule>
  </conditionalFormatting>
  <conditionalFormatting sqref="M2:M2356">
    <cfRule type="containsText" dxfId="21" priority="23" operator="containsText" text="Kiểm tra hiện trạng">
      <formula>NOT(ISERROR(SEARCH(("Kiểm tra hiện trạng"),(M2))))</formula>
    </cfRule>
  </conditionalFormatting>
  <conditionalFormatting sqref="M2:M2356">
    <cfRule type="containsText" dxfId="21" priority="24" operator="containsText" text="Đo GPS">
      <formula>NOT(ISERROR(SEARCH(("Đo GPS"),(M2))))</formula>
    </cfRule>
  </conditionalFormatting>
  <conditionalFormatting sqref="M2:M2356">
    <cfRule type="containsText" dxfId="21" priority="25" operator="containsText" text="Khảo sát">
      <formula>NOT(ISERROR(SEARCH(("Khảo sát"),(M2))))</formula>
    </cfRule>
  </conditionalFormatting>
  <conditionalFormatting sqref="M2:M2356">
    <cfRule type="containsText" dxfId="21" priority="26" operator="containsText" text="Xác định">
      <formula>NOT(ISERROR(SEARCH(("Xác định"),(M2))))</formula>
    </cfRule>
  </conditionalFormatting>
  <conditionalFormatting sqref="A888">
    <cfRule type="containsText" dxfId="21" priority="27" operator="containsText" text="Hợp">
      <formula>NOT(ISERROR(SEARCH(("Hợp"),(A888))))</formula>
    </cfRule>
  </conditionalFormatting>
  <conditionalFormatting sqref="I1:I953 H2:H2205 I955:I956 I958:I3293">
    <cfRule type="containsText" dxfId="24" priority="28" operator="containsText" text="Hợp">
      <formula>NOT(ISERROR(SEARCH(("Hợp"),(I1))))</formula>
    </cfRule>
  </conditionalFormatting>
  <conditionalFormatting sqref="I1:I953 H509 H515 I955:I956 I958:I3293">
    <cfRule type="containsText" dxfId="25" priority="29" operator="containsText" text="Không">
      <formula>NOT(ISERROR(SEARCH(("Không"),(I1))))</formula>
    </cfRule>
  </conditionalFormatting>
  <conditionalFormatting sqref="F1:F886 F889:F3293">
    <cfRule type="containsText" dxfId="26" priority="30" operator="containsText" text="Công ty">
      <formula>NOT(ISERROR(SEARCH(("Công ty"),(F1))))</formula>
    </cfRule>
  </conditionalFormatting>
  <conditionalFormatting sqref="E1:E886 A887 E888:E3293">
    <cfRule type="containsText" dxfId="27" priority="31" operator="containsText" text="ngoài ">
      <formula>NOT(ISERROR(SEARCH(("ngoài "),(E1))))</formula>
    </cfRule>
  </conditionalFormatting>
  <conditionalFormatting sqref="L1:L3293">
    <cfRule type="containsText" dxfId="25" priority="32" operator="containsText" text="HỦY">
      <formula>NOT(ISERROR(SEARCH(("HỦY"),(L1))))</formula>
    </cfRule>
  </conditionalFormatting>
  <conditionalFormatting sqref="H1:H887 I741 A888 H889:H3293">
    <cfRule type="containsText" dxfId="28" priority="33" operator="containsText" text="mINH">
      <formula>NOT(ISERROR(SEARCH(("mINH"),(H1))))</formula>
    </cfRule>
  </conditionalFormatting>
  <conditionalFormatting sqref="H888">
    <cfRule type="notContainsBlanks" dxfId="21" priority="34">
      <formula>LEN(TRIM(H888))&gt;0</formula>
    </cfRule>
  </conditionalFormatting>
  <conditionalFormatting sqref="M1:M3293">
    <cfRule type="containsText" dxfId="21" priority="35" operator="containsText" text="HỖ TRỢ">
      <formula>NOT(ISERROR(SEARCH(("HỖ TRỢ"),(M1))))</formula>
    </cfRule>
  </conditionalFormatting>
  <conditionalFormatting sqref="H1:H887 I2:I2205 A888 H889:H3293">
    <cfRule type="containsText" dxfId="11" priority="36" operator="containsText" text="QUỐC">
      <formula>NOT(ISERROR(SEARCH(("QUỐC"),(H1))))</formula>
    </cfRule>
  </conditionalFormatting>
  <dataValidations>
    <dataValidation type="list" allowBlank="1" sqref="D2:D955">
      <formula1>"Có,Không"</formula1>
    </dataValidation>
    <dataValidation type="list" allowBlank="1" sqref="V2:V955">
      <formula1>"Đã thanh toán,Chưa thanh toán"</formula1>
    </dataValidation>
    <dataValidation type="list" allowBlank="1" sqref="J2:J955">
      <formula1>"Cao,Trung bình,Thấp "</formula1>
    </dataValidation>
    <dataValidation type="list" allowBlank="1" sqref="U2:U955">
      <formula1>"Đợi phương án,Đã cho phương án,Hủy,Đã nộp lễ tân "</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21.38"/>
    <col customWidth="1" min="3" max="3" width="26.13"/>
    <col customWidth="1" min="4" max="4" width="20.75"/>
    <col customWidth="1" min="5" max="5" width="18.38"/>
    <col customWidth="1" min="6" max="6" width="23.88"/>
    <col customWidth="1" min="7" max="7" width="15.75"/>
    <col customWidth="1" min="8" max="8" width="14.38"/>
    <col customWidth="1" min="10" max="10" width="15.5"/>
  </cols>
  <sheetData>
    <row r="1">
      <c r="A1" s="49"/>
      <c r="B1" s="50" t="s">
        <v>2009</v>
      </c>
      <c r="C1" s="49"/>
      <c r="D1" s="51" t="s">
        <v>2010</v>
      </c>
      <c r="E1" s="49"/>
      <c r="F1" s="52" t="s">
        <v>2011</v>
      </c>
      <c r="G1" s="49"/>
      <c r="H1" s="49"/>
      <c r="I1" s="49"/>
      <c r="J1" s="49"/>
      <c r="K1" s="49"/>
      <c r="L1" s="49"/>
      <c r="M1" s="49"/>
      <c r="N1" s="49"/>
      <c r="O1" s="49"/>
      <c r="P1" s="49"/>
      <c r="Q1" s="49"/>
      <c r="R1" s="49"/>
      <c r="S1" s="49"/>
      <c r="T1" s="49"/>
      <c r="U1" s="49"/>
      <c r="V1" s="49"/>
      <c r="W1" s="49"/>
      <c r="X1" s="49"/>
      <c r="Y1" s="49"/>
      <c r="Z1" s="49"/>
    </row>
    <row r="2">
      <c r="A2" s="53"/>
      <c r="B2" s="54">
        <v>374.0</v>
      </c>
      <c r="C2" s="55"/>
      <c r="D2" s="55"/>
      <c r="E2" s="53"/>
      <c r="F2" s="55"/>
      <c r="G2" s="53"/>
      <c r="H2" s="53"/>
      <c r="I2" s="53"/>
      <c r="J2" s="53"/>
      <c r="K2" s="53"/>
      <c r="L2" s="53"/>
      <c r="M2" s="53"/>
      <c r="N2" s="53"/>
      <c r="O2" s="53"/>
      <c r="P2" s="53"/>
      <c r="Q2" s="53"/>
      <c r="R2" s="53"/>
      <c r="S2" s="53"/>
      <c r="T2" s="53"/>
      <c r="U2" s="53"/>
      <c r="V2" s="53"/>
      <c r="W2" s="53"/>
      <c r="X2" s="53"/>
      <c r="Y2" s="53"/>
      <c r="Z2" s="53"/>
    </row>
    <row r="3">
      <c r="A3" s="53"/>
      <c r="B3" s="53"/>
      <c r="C3" s="53"/>
      <c r="D3" s="53"/>
      <c r="E3" s="53"/>
      <c r="F3" s="53"/>
      <c r="G3" s="53"/>
      <c r="H3" s="53"/>
      <c r="I3" s="53"/>
      <c r="J3" s="53"/>
      <c r="K3" s="53"/>
      <c r="L3" s="53"/>
      <c r="M3" s="53"/>
      <c r="N3" s="53"/>
      <c r="O3" s="53"/>
      <c r="P3" s="53"/>
      <c r="Q3" s="53"/>
      <c r="R3" s="53"/>
      <c r="S3" s="53"/>
      <c r="T3" s="53"/>
      <c r="U3" s="53"/>
      <c r="V3" s="53"/>
      <c r="W3" s="53"/>
      <c r="X3" s="53"/>
      <c r="Y3" s="53"/>
      <c r="Z3" s="53"/>
    </row>
    <row r="4">
      <c r="A4" s="53" t="str">
        <f>IFERROR(__xludf.DUMMYFUNCTION("QUERY(
  'Bảng tổng hợp'!A:Q,
  ""SELECT * WHERE A IS NOT NULL""
  &amp; IF(B2&lt;&gt;"""", "" AND B CONTAINS '""&amp;B2&amp;""'"", """")
  &amp; IF(D2&lt;&gt;"""", "" AND C CONTAINS '""&amp;D2&amp;""'"", """")
  &amp; IF(F2&lt;&gt;"""", "" AND F CONTAINS '""&amp;F2&amp;""'"", """")
)
"),"Dấu thời gian")</f>
        <v>Dấu thời gian</v>
      </c>
      <c r="B4" s="53" t="str">
        <f>IFERROR(__xludf.DUMMYFUNCTION("""COMPUTED_VALUE"""),"Mã hợp đồng")</f>
        <v>Mã hợp đồng</v>
      </c>
      <c r="C4" s="53" t="str">
        <f>IFERROR(__xludf.DUMMYFUNCTION("""COMPUTED_VALUE"""),"Tên hồ sơ")</f>
        <v>Tên hồ sơ</v>
      </c>
      <c r="D4" s="53" t="str">
        <f>IFERROR(__xludf.DUMMYFUNCTION("""COMPUTED_VALUE"""),"Pháp lý")</f>
        <v>Pháp lý</v>
      </c>
      <c r="E4" s="53" t="str">
        <f>IFERROR(__xludf.DUMMYFUNCTION("""COMPUTED_VALUE"""),"Phường
")</f>
        <v>Phường
</v>
      </c>
      <c r="F4" s="53" t="str">
        <f>IFERROR(__xludf.DUMMYFUNCTION("""COMPUTED_VALUE"""),"Tên khách hàng ")</f>
        <v>Tên khách hàng </v>
      </c>
      <c r="G4" s="53" t="str">
        <f>IFERROR(__xludf.DUMMYFUNCTION("""COMPUTED_VALUE"""),"Số Điện Thoại Liên Hệ")</f>
        <v>Số Điện Thoại Liên Hệ</v>
      </c>
      <c r="H4" s="53" t="str">
        <f>IFERROR(__xludf.DUMMYFUNCTION("""COMPUTED_VALUE"""),"Phụ Trách Chính")</f>
        <v>Phụ Trách Chính</v>
      </c>
      <c r="I4" s="53" t="str">
        <f>IFERROR(__xludf.DUMMYFUNCTION("""COMPUTED_VALUE"""),"Phụ đo")</f>
        <v>Phụ đo</v>
      </c>
      <c r="J4" s="53" t="str">
        <f>IFERROR(__xludf.DUMMYFUNCTION("""COMPUTED_VALUE"""),"Độ ưu tiên")</f>
        <v>Độ ưu tiên</v>
      </c>
      <c r="K4" s="53" t="str">
        <f>IFERROR(__xludf.DUMMYFUNCTION("""COMPUTED_VALUE"""),"Trạng thái mới nhất")</f>
        <v>Trạng thái mới nhất</v>
      </c>
      <c r="L4" s="53" t="str">
        <f>IFERROR(__xludf.DUMMYFUNCTION("""COMPUTED_VALUE"""),"Cảnh báo")</f>
        <v>Cảnh báo</v>
      </c>
      <c r="M4" s="53" t="str">
        <f>IFERROR(__xludf.DUMMYFUNCTION("""COMPUTED_VALUE"""),"Hạng mục công việc")</f>
        <v>Hạng mục công việc</v>
      </c>
      <c r="N4" s="53" t="str">
        <f>IFERROR(__xludf.DUMMYFUNCTION("""COMPUTED_VALUE"""),"Ngày bắt đầu")</f>
        <v>Ngày bắt đầu</v>
      </c>
      <c r="O4" s="53" t="str">
        <f>IFERROR(__xludf.DUMMYFUNCTION("""COMPUTED_VALUE"""),"Hạn xử lý")</f>
        <v>Hạn xử lý</v>
      </c>
      <c r="P4" s="53" t="str">
        <f>IFERROR(__xludf.DUMMYFUNCTION("""COMPUTED_VALUE"""),"Ngày nộp ")</f>
        <v>Ngày nộp </v>
      </c>
      <c r="Q4" s="53" t="str">
        <f>IFERROR(__xludf.DUMMYFUNCTION("""COMPUTED_VALUE"""),"Ngày HT")</f>
        <v>Ngày HT</v>
      </c>
      <c r="R4" s="53"/>
      <c r="S4" s="53"/>
      <c r="T4" s="53"/>
      <c r="U4" s="53"/>
      <c r="V4" s="53"/>
      <c r="W4" s="53"/>
      <c r="X4" s="53"/>
      <c r="Y4" s="53"/>
      <c r="Z4" s="53"/>
    </row>
    <row r="5">
      <c r="A5" s="56">
        <f>IFERROR(__xludf.DUMMYFUNCTION("""COMPUTED_VALUE"""),45890.46292042825)</f>
        <v>45890.46292</v>
      </c>
      <c r="B5" s="53" t="str">
        <f>IFERROR(__xludf.DUMMYFUNCTION("""COMPUTED_VALUE"""),"374/BK-2025")</f>
        <v>374/BK-2025</v>
      </c>
      <c r="C5" s="53" t="str">
        <f>IFERROR(__xludf.DUMMYFUNCTION("""COMPUTED_VALUE"""),"Nguyễn Thị Bạch Tuyết")</f>
        <v>Nguyễn Thị Bạch Tuyết</v>
      </c>
      <c r="D5" s="53"/>
      <c r="E5" s="53" t="str">
        <f>IFERROR(__xludf.DUMMYFUNCTION("""COMPUTED_VALUE"""),"Long Phước")</f>
        <v>Long Phước</v>
      </c>
      <c r="F5" s="53" t="str">
        <f>IFERROR(__xludf.DUMMYFUNCTION("""COMPUTED_VALUE"""),"Công Ty")</f>
        <v>Công Ty</v>
      </c>
      <c r="G5" s="53" t="str">
        <f>IFERROR(__xludf.DUMMYFUNCTION("""COMPUTED_VALUE"""),"909794949")</f>
        <v>909794949</v>
      </c>
      <c r="H5" s="53" t="str">
        <f>IFERROR(__xludf.DUMMYFUNCTION("""COMPUTED_VALUE"""),"Lê Văn Dựng")</f>
        <v>Lê Văn Dựng</v>
      </c>
      <c r="I5" s="53" t="str">
        <f>IFERROR(__xludf.DUMMYFUNCTION("""COMPUTED_VALUE"""),"Không cần")</f>
        <v>Không cần</v>
      </c>
      <c r="J5" s="53"/>
      <c r="K5" s="53" t="str">
        <f>IFERROR(__xludf.DUMMYFUNCTION("""COMPUTED_VALUE"""),"Hoàn thành")</f>
        <v>Hoàn thành</v>
      </c>
      <c r="L5" s="53" t="str">
        <f>IFERROR(__xludf.DUMMYFUNCTION("""COMPUTED_VALUE"""),"Hoàn thành")</f>
        <v>Hoàn thành</v>
      </c>
      <c r="M5" s="53" t="str">
        <f>IFERROR(__xludf.DUMMYFUNCTION("""COMPUTED_VALUE"""),"Cấp đổi")</f>
        <v>Cấp đổi</v>
      </c>
      <c r="N5" s="46">
        <f>IFERROR(__xludf.DUMMYFUNCTION("""COMPUTED_VALUE"""),45890.0)</f>
        <v>45890</v>
      </c>
      <c r="O5" s="46">
        <f>IFERROR(__xludf.DUMMYFUNCTION("""COMPUTED_VALUE"""),45893.0)</f>
        <v>45893</v>
      </c>
      <c r="P5" s="46">
        <f>IFERROR(__xludf.DUMMYFUNCTION("""COMPUTED_VALUE"""),45904.0)</f>
        <v>45904</v>
      </c>
      <c r="Q5" s="46">
        <f>IFERROR(__xludf.DUMMYFUNCTION("""COMPUTED_VALUE"""),45904.0)</f>
        <v>45904</v>
      </c>
      <c r="R5" s="53"/>
      <c r="S5" s="53"/>
      <c r="T5" s="53"/>
      <c r="U5" s="53"/>
      <c r="V5" s="53"/>
      <c r="W5" s="53"/>
      <c r="X5" s="53"/>
      <c r="Y5" s="53"/>
      <c r="Z5" s="53"/>
    </row>
    <row r="6">
      <c r="A6" s="56">
        <f>IFERROR(__xludf.DUMMYFUNCTION("""COMPUTED_VALUE"""),46188.755579375)</f>
        <v>46188.75558</v>
      </c>
      <c r="B6" s="53" t="str">
        <f>IFERROR(__xludf.DUMMYFUNCTION("""COMPUTED_VALUE"""),"374/BK-2026")</f>
        <v>374/BK-2026</v>
      </c>
      <c r="C6" s="53" t="str">
        <f>IFERROR(__xludf.DUMMYFUNCTION("""COMPUTED_VALUE"""),"Đỗ Thị Ánh Hằng")</f>
        <v>Đỗ Thị Ánh Hằng</v>
      </c>
      <c r="D6" s="53"/>
      <c r="E6" s="53" t="str">
        <f>IFERROR(__xludf.DUMMYFUNCTION("""COMPUTED_VALUE"""),"Long Phước")</f>
        <v>Long Phước</v>
      </c>
      <c r="F6" s="53" t="str">
        <f>IFERROR(__xludf.DUMMYFUNCTION("""COMPUTED_VALUE"""),"Công Ty")</f>
        <v>Công Ty</v>
      </c>
      <c r="G6" s="53"/>
      <c r="H6" s="53" t="str">
        <f>IFERROR(__xludf.DUMMYFUNCTION("""COMPUTED_VALUE"""),"Tạ Khắc Tập")</f>
        <v>Tạ Khắc Tập</v>
      </c>
      <c r="I6" s="53" t="str">
        <f>IFERROR(__xludf.DUMMYFUNCTION("""COMPUTED_VALUE"""),"Võ Tứ Hợp")</f>
        <v>Võ Tứ Hợp</v>
      </c>
      <c r="J6" s="53"/>
      <c r="K6" s="53" t="str">
        <f>IFERROR(__xludf.DUMMYFUNCTION("""COMPUTED_VALUE"""),"Nộp thành công - Chờ kết quả")</f>
        <v>Nộp thành công - Chờ kết quả</v>
      </c>
      <c r="L6" s="53" t="str">
        <f>IFERROR(__xludf.DUMMYFUNCTION("""COMPUTED_VALUE"""),"Đã nộp")</f>
        <v>Đã nộp</v>
      </c>
      <c r="M6" s="53" t="str">
        <f>IFERROR(__xludf.DUMMYFUNCTION("""COMPUTED_VALUE"""),"Cấp đổi")</f>
        <v>Cấp đổi</v>
      </c>
      <c r="N6" s="46">
        <f>IFERROR(__xludf.DUMMYFUNCTION("""COMPUTED_VALUE"""),46188.0)</f>
        <v>46188</v>
      </c>
      <c r="O6" s="46">
        <f>IFERROR(__xludf.DUMMYFUNCTION("""COMPUTED_VALUE"""),46191.0)</f>
        <v>46191</v>
      </c>
      <c r="P6" s="46">
        <f>IFERROR(__xludf.DUMMYFUNCTION("""COMPUTED_VALUE"""),46191.0)</f>
        <v>46191</v>
      </c>
      <c r="Q6" s="46"/>
      <c r="R6" s="53"/>
      <c r="S6" s="53"/>
      <c r="T6" s="53"/>
      <c r="U6" s="53"/>
      <c r="V6" s="53"/>
      <c r="W6" s="53"/>
      <c r="X6" s="53"/>
      <c r="Y6" s="53"/>
      <c r="Z6" s="53"/>
    </row>
    <row r="7">
      <c r="A7" s="53"/>
      <c r="B7" s="53"/>
      <c r="C7" s="53"/>
      <c r="D7" s="53"/>
      <c r="E7" s="53"/>
      <c r="F7" s="53"/>
      <c r="G7" s="53"/>
      <c r="H7" s="53"/>
      <c r="I7" s="53"/>
      <c r="J7" s="53"/>
      <c r="K7" s="53"/>
      <c r="L7" s="53"/>
      <c r="M7" s="53"/>
      <c r="N7" s="53"/>
      <c r="O7" s="53"/>
      <c r="P7" s="53"/>
      <c r="Q7" s="53"/>
      <c r="R7" s="53"/>
      <c r="S7" s="53"/>
      <c r="T7" s="53"/>
      <c r="U7" s="53"/>
      <c r="V7" s="53"/>
      <c r="W7" s="53"/>
      <c r="X7" s="53"/>
      <c r="Y7" s="53"/>
      <c r="Z7" s="53"/>
    </row>
    <row r="8" hidden="1">
      <c r="A8" s="53"/>
      <c r="B8" s="53"/>
      <c r="C8" s="53"/>
      <c r="D8" s="53"/>
      <c r="E8" s="53"/>
      <c r="F8" s="53"/>
      <c r="G8" s="53"/>
      <c r="H8" s="53"/>
      <c r="I8" s="53"/>
      <c r="J8" s="53"/>
      <c r="K8" s="53"/>
      <c r="L8" s="53"/>
      <c r="M8" s="53"/>
      <c r="N8" s="53"/>
      <c r="O8" s="53"/>
      <c r="P8" s="53"/>
      <c r="Q8" s="53"/>
      <c r="R8" s="53"/>
      <c r="S8" s="53"/>
      <c r="T8" s="53"/>
      <c r="U8" s="53"/>
      <c r="V8" s="53"/>
      <c r="W8" s="53"/>
      <c r="X8" s="53"/>
      <c r="Y8" s="53"/>
      <c r="Z8" s="53"/>
    </row>
    <row r="9" hidden="1">
      <c r="A9" s="53"/>
      <c r="B9" s="53"/>
      <c r="C9" s="53"/>
      <c r="D9" s="53"/>
      <c r="E9" s="53"/>
      <c r="F9" s="53"/>
      <c r="G9" s="53"/>
      <c r="H9" s="53"/>
      <c r="I9" s="53"/>
      <c r="J9" s="53"/>
      <c r="K9" s="53"/>
      <c r="L9" s="53"/>
      <c r="M9" s="53"/>
      <c r="N9" s="53"/>
      <c r="O9" s="53"/>
      <c r="P9" s="53"/>
      <c r="Q9" s="53"/>
      <c r="R9" s="53"/>
      <c r="S9" s="53"/>
      <c r="T9" s="53"/>
      <c r="U9" s="53"/>
      <c r="V9" s="53"/>
      <c r="W9" s="53"/>
      <c r="X9" s="53"/>
      <c r="Y9" s="53"/>
      <c r="Z9" s="53"/>
    </row>
    <row r="10" hidden="1">
      <c r="A10" s="53"/>
      <c r="B10" s="53"/>
      <c r="C10" s="53"/>
      <c r="D10" s="53"/>
      <c r="E10" s="53"/>
      <c r="F10" s="53"/>
      <c r="G10" s="53"/>
      <c r="H10" s="53"/>
      <c r="I10" s="53"/>
      <c r="J10" s="53"/>
      <c r="K10" s="53"/>
      <c r="L10" s="53"/>
      <c r="M10" s="53"/>
      <c r="N10" s="53"/>
      <c r="O10" s="53"/>
      <c r="P10" s="53"/>
      <c r="Q10" s="53"/>
      <c r="R10" s="53"/>
      <c r="S10" s="53"/>
      <c r="T10" s="53"/>
      <c r="U10" s="53"/>
      <c r="V10" s="53"/>
      <c r="W10" s="53"/>
      <c r="X10" s="53"/>
      <c r="Y10" s="53"/>
      <c r="Z10" s="53"/>
    </row>
    <row r="11" hidden="1">
      <c r="A11" s="53"/>
      <c r="B11" s="53"/>
      <c r="C11" s="53"/>
      <c r="D11" s="53"/>
      <c r="E11" s="53"/>
      <c r="F11" s="53"/>
      <c r="G11" s="53"/>
      <c r="H11" s="53"/>
      <c r="I11" s="53"/>
      <c r="J11" s="53"/>
      <c r="K11" s="53"/>
      <c r="L11" s="53"/>
      <c r="M11" s="53"/>
      <c r="N11" s="53"/>
      <c r="O11" s="53"/>
      <c r="P11" s="53"/>
      <c r="Q11" s="53"/>
      <c r="R11" s="53"/>
      <c r="S11" s="53"/>
      <c r="T11" s="53"/>
      <c r="U11" s="53"/>
      <c r="V11" s="53"/>
      <c r="W11" s="53"/>
      <c r="X11" s="53"/>
      <c r="Y11" s="53"/>
      <c r="Z11" s="53"/>
    </row>
    <row r="12" hidden="1">
      <c r="A12" s="53"/>
      <c r="B12" s="53"/>
      <c r="C12" s="53"/>
      <c r="D12" s="53"/>
      <c r="E12" s="53"/>
      <c r="F12" s="53"/>
      <c r="G12" s="53"/>
      <c r="H12" s="53"/>
      <c r="I12" s="53"/>
      <c r="J12" s="53"/>
      <c r="K12" s="53"/>
      <c r="L12" s="53"/>
      <c r="M12" s="53"/>
      <c r="N12" s="53"/>
      <c r="O12" s="53"/>
      <c r="P12" s="53"/>
      <c r="Q12" s="53"/>
      <c r="R12" s="53"/>
      <c r="S12" s="53"/>
      <c r="T12" s="53"/>
      <c r="U12" s="53"/>
      <c r="V12" s="53"/>
      <c r="W12" s="53"/>
      <c r="X12" s="53"/>
      <c r="Y12" s="53"/>
      <c r="Z12" s="53"/>
    </row>
    <row r="13">
      <c r="A13" s="53"/>
      <c r="B13" s="53"/>
      <c r="C13" s="53"/>
      <c r="D13" s="53"/>
      <c r="E13" s="53"/>
      <c r="F13" s="53"/>
      <c r="G13" s="53"/>
      <c r="H13" s="53"/>
      <c r="I13" s="53"/>
      <c r="J13" s="53"/>
      <c r="K13" s="53"/>
      <c r="L13" s="53"/>
      <c r="M13" s="53"/>
      <c r="N13" s="53"/>
      <c r="O13" s="53"/>
      <c r="P13" s="53"/>
      <c r="Q13" s="53"/>
      <c r="R13" s="53"/>
      <c r="S13" s="53"/>
      <c r="T13" s="53"/>
      <c r="U13" s="53"/>
      <c r="V13" s="53"/>
      <c r="W13" s="53"/>
      <c r="X13" s="53"/>
      <c r="Y13" s="53"/>
      <c r="Z13" s="53"/>
    </row>
    <row r="14" hidden="1">
      <c r="A14" s="53"/>
      <c r="B14" s="53"/>
      <c r="C14" s="53"/>
      <c r="D14" s="53"/>
      <c r="E14" s="53"/>
      <c r="F14" s="53"/>
      <c r="G14" s="53"/>
      <c r="H14" s="53"/>
      <c r="I14" s="53"/>
      <c r="J14" s="53"/>
      <c r="K14" s="53"/>
      <c r="L14" s="53"/>
      <c r="M14" s="53"/>
      <c r="N14" s="53"/>
      <c r="O14" s="53"/>
      <c r="P14" s="53"/>
      <c r="Q14" s="53"/>
      <c r="R14" s="53"/>
      <c r="S14" s="53"/>
      <c r="T14" s="53"/>
      <c r="U14" s="53"/>
      <c r="V14" s="53"/>
      <c r="W14" s="53"/>
      <c r="X14" s="53"/>
      <c r="Y14" s="53"/>
      <c r="Z14" s="53"/>
    </row>
    <row r="15" hidden="1">
      <c r="A15" s="53"/>
      <c r="B15" s="53"/>
      <c r="C15" s="53"/>
      <c r="D15" s="53"/>
      <c r="E15" s="53"/>
      <c r="F15" s="53"/>
      <c r="G15" s="53"/>
      <c r="H15" s="53"/>
      <c r="I15" s="53"/>
      <c r="J15" s="53"/>
      <c r="K15" s="53"/>
      <c r="L15" s="53"/>
      <c r="M15" s="53"/>
      <c r="N15" s="53"/>
      <c r="O15" s="53"/>
      <c r="P15" s="53"/>
      <c r="Q15" s="53"/>
      <c r="R15" s="53"/>
      <c r="S15" s="53"/>
      <c r="T15" s="53"/>
      <c r="U15" s="53"/>
      <c r="V15" s="53"/>
      <c r="W15" s="53"/>
      <c r="X15" s="53"/>
      <c r="Y15" s="53"/>
      <c r="Z15" s="53"/>
    </row>
    <row r="16" hidden="1">
      <c r="A16" s="53"/>
      <c r="B16" s="53"/>
      <c r="C16" s="53"/>
      <c r="D16" s="53"/>
      <c r="E16" s="53"/>
      <c r="F16" s="53"/>
      <c r="G16" s="53"/>
      <c r="H16" s="53"/>
      <c r="I16" s="53"/>
      <c r="J16" s="53"/>
      <c r="K16" s="53"/>
      <c r="L16" s="53"/>
      <c r="M16" s="53"/>
      <c r="N16" s="53"/>
      <c r="O16" s="53"/>
      <c r="P16" s="53"/>
      <c r="Q16" s="53"/>
      <c r="R16" s="53"/>
      <c r="S16" s="53"/>
      <c r="T16" s="53"/>
      <c r="U16" s="53"/>
      <c r="V16" s="53"/>
      <c r="W16" s="53"/>
      <c r="X16" s="53"/>
      <c r="Y16" s="53"/>
      <c r="Z16" s="53"/>
    </row>
    <row r="17">
      <c r="A17" s="53"/>
      <c r="B17" s="53"/>
      <c r="D17" s="53"/>
      <c r="E17" s="53"/>
      <c r="F17" s="53"/>
      <c r="G17" s="53"/>
      <c r="H17" s="53"/>
      <c r="I17" s="53"/>
      <c r="J17" s="53"/>
      <c r="K17" s="53"/>
      <c r="L17" s="53"/>
      <c r="M17" s="53"/>
      <c r="N17" s="53"/>
      <c r="O17" s="53"/>
      <c r="P17" s="53"/>
      <c r="Q17" s="53"/>
      <c r="R17" s="53"/>
      <c r="S17" s="53"/>
      <c r="T17" s="53"/>
      <c r="U17" s="53"/>
      <c r="V17" s="53"/>
      <c r="W17" s="53"/>
      <c r="X17" s="53"/>
      <c r="Y17" s="53"/>
      <c r="Z17" s="53"/>
    </row>
    <row r="18">
      <c r="A18" s="53"/>
      <c r="B18" s="53"/>
      <c r="D18" s="53"/>
      <c r="E18" s="53"/>
      <c r="F18" s="53"/>
      <c r="G18" s="53"/>
      <c r="H18" s="53"/>
      <c r="I18" s="53"/>
      <c r="J18" s="53"/>
      <c r="K18" s="53"/>
      <c r="L18" s="53"/>
      <c r="M18" s="53"/>
      <c r="N18" s="53"/>
      <c r="O18" s="53"/>
      <c r="P18" s="53"/>
      <c r="Q18" s="53"/>
      <c r="R18" s="53"/>
      <c r="S18" s="53"/>
      <c r="T18" s="53"/>
      <c r="U18" s="53"/>
      <c r="V18" s="53"/>
      <c r="W18" s="53"/>
      <c r="X18" s="53"/>
      <c r="Y18" s="53"/>
      <c r="Z18" s="53"/>
    </row>
    <row r="19">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row>
    <row r="20">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row>
    <row r="21">
      <c r="A21" s="53"/>
      <c r="B21" s="53"/>
      <c r="C21" s="53"/>
      <c r="D21" s="53"/>
      <c r="E21" s="53"/>
      <c r="F21" s="53"/>
      <c r="G21" s="53"/>
      <c r="H21" s="53"/>
      <c r="I21" s="53"/>
      <c r="J21" s="53"/>
      <c r="K21" s="53"/>
      <c r="L21" s="53"/>
      <c r="M21" s="53"/>
      <c r="N21" s="53"/>
      <c r="O21" s="53"/>
      <c r="P21" s="53"/>
      <c r="Q21" s="53"/>
      <c r="R21" s="53"/>
      <c r="S21" s="53"/>
      <c r="T21" s="53"/>
      <c r="U21" s="53"/>
      <c r="V21" s="53"/>
      <c r="W21" s="53"/>
      <c r="X21" s="53"/>
      <c r="Y21" s="53"/>
      <c r="Z21" s="53"/>
    </row>
    <row r="22" hidden="1">
      <c r="A22" s="53"/>
      <c r="B22" s="53"/>
      <c r="C22" s="53"/>
      <c r="D22" s="53"/>
      <c r="E22" s="53"/>
      <c r="F22" s="53"/>
      <c r="G22" s="53"/>
      <c r="H22" s="53"/>
      <c r="I22" s="53"/>
      <c r="J22" s="53"/>
      <c r="K22" s="53"/>
      <c r="L22" s="53"/>
      <c r="M22" s="53"/>
      <c r="N22" s="53"/>
      <c r="O22" s="53"/>
      <c r="P22" s="53"/>
      <c r="Q22" s="53"/>
      <c r="R22" s="53"/>
      <c r="S22" s="53"/>
      <c r="T22" s="53"/>
      <c r="U22" s="53"/>
      <c r="V22" s="53"/>
      <c r="W22" s="53"/>
      <c r="X22" s="53"/>
      <c r="Y22" s="53"/>
      <c r="Z22" s="53"/>
    </row>
    <row r="23" hidden="1">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row>
    <row r="24">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row>
    <row r="25" hidden="1">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row>
    <row r="26">
      <c r="A26" s="53"/>
      <c r="B26" s="53"/>
      <c r="C26" s="53"/>
      <c r="D26" s="53"/>
      <c r="E26" s="53"/>
      <c r="F26" s="53"/>
      <c r="G26" s="53"/>
      <c r="H26" s="53"/>
      <c r="I26" s="53"/>
      <c r="J26" s="53"/>
      <c r="K26" s="53"/>
      <c r="L26" s="53"/>
      <c r="M26" s="53"/>
      <c r="N26" s="53"/>
      <c r="O26" s="53"/>
      <c r="P26" s="53"/>
      <c r="Q26" s="53"/>
      <c r="R26" s="53"/>
      <c r="S26" s="53"/>
      <c r="T26" s="53"/>
      <c r="U26" s="53"/>
      <c r="V26" s="53"/>
      <c r="W26" s="53"/>
      <c r="X26" s="53"/>
      <c r="Y26" s="53"/>
      <c r="Z26" s="53"/>
    </row>
    <row r="27" hidden="1">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row>
    <row r="28" hidden="1">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row>
    <row r="29" hidden="1">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row>
    <row r="30" hidden="1">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row>
    <row r="31" hidden="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row>
    <row r="32" hidden="1">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row>
    <row r="33" hidden="1">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row>
    <row r="34" hidden="1">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row>
    <row r="35" hidden="1">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row>
    <row r="36" hidden="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hidden="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hidden="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hidden="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hidden="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hidden="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hidden="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hidden="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hidden="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hidden="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hidden="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hidden="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hidden="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hidden="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hidden="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hidden="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hidden="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hidden="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hidden="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hidden="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hidden="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hidden="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hidden="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hidden="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hidden="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hidden="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hidden="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hidden="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hidden="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hidden="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hidden="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hidden="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hidden="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hidden="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hidden="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hidden="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hidden="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hidden="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hidden="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hidden="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hidden="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hidden="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hidden="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hidden="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hidden="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hidden="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hidden="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hidden="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hidden="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hidden="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hidden="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hidden="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hidden="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hidden="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hidden="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hidden="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hidden="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hidden="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hidden="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hidden="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hidden="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hidden="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hidden="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hidden="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hidden="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hidden="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hidden="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hidden="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hidden="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hidden="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hidden="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hidden="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row r="1001">
      <c r="A1001" s="53"/>
      <c r="B1001" s="53"/>
      <c r="C1001" s="53"/>
      <c r="D1001" s="53"/>
      <c r="E1001" s="53"/>
      <c r="F1001" s="53"/>
      <c r="G1001" s="53"/>
      <c r="H1001" s="53"/>
      <c r="I1001" s="53"/>
      <c r="J1001" s="53"/>
      <c r="K1001" s="53"/>
      <c r="L1001" s="53"/>
      <c r="M1001" s="53"/>
      <c r="N1001" s="53"/>
      <c r="O1001" s="53"/>
      <c r="P1001" s="53"/>
      <c r="Q1001" s="53"/>
      <c r="R1001" s="53"/>
      <c r="S1001" s="53"/>
      <c r="T1001" s="53"/>
      <c r="U1001" s="53"/>
      <c r="V1001" s="53"/>
      <c r="W1001" s="53"/>
      <c r="X1001" s="53"/>
      <c r="Y1001" s="53"/>
      <c r="Z1001" s="53"/>
    </row>
    <row r="1002">
      <c r="A1002" s="53"/>
      <c r="B1002" s="53"/>
      <c r="C1002" s="53"/>
      <c r="D1002" s="53"/>
      <c r="E1002" s="53"/>
      <c r="F1002" s="53"/>
      <c r="G1002" s="53"/>
      <c r="H1002" s="53"/>
      <c r="I1002" s="53"/>
      <c r="J1002" s="53"/>
      <c r="K1002" s="53"/>
      <c r="L1002" s="53"/>
      <c r="M1002" s="53"/>
      <c r="N1002" s="53"/>
      <c r="O1002" s="53"/>
      <c r="P1002" s="53"/>
      <c r="Q1002" s="53"/>
      <c r="R1002" s="53"/>
      <c r="S1002" s="53"/>
      <c r="T1002" s="53"/>
      <c r="U1002" s="53"/>
      <c r="V1002" s="53"/>
      <c r="W1002" s="53"/>
      <c r="X1002" s="53"/>
      <c r="Y1002" s="53"/>
      <c r="Z1002" s="53"/>
    </row>
  </sheetData>
  <autoFilter ref="$A$4:$P$137">
    <filterColumn colId="3">
      <filters blank="1"/>
    </filterColumn>
  </autoFilter>
  <conditionalFormatting sqref="D2">
    <cfRule type="expression" dxfId="22" priority="1">
      <formula>COUNTIF(D:D, D2)&gt;1</formula>
    </cfRule>
  </conditionalFormatting>
  <conditionalFormatting sqref="K1:K1002">
    <cfRule type="containsText" dxfId="29" priority="2" operator="containsText" text="quá hạn">
      <formula>NOT(ISERROR(SEARCH(("quá hạn"),(K1))))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8.13"/>
    <col customWidth="1" min="4" max="4" width="20.13"/>
    <col customWidth="1" min="5" max="5" width="31.88"/>
    <col customWidth="1" min="6" max="6" width="20.63"/>
    <col customWidth="1" min="7" max="7" width="19.0"/>
    <col customWidth="1" min="8" max="8" width="22.75"/>
    <col customWidth="1" min="9" max="9" width="24.25"/>
    <col customWidth="1" min="10" max="30" width="18.13"/>
  </cols>
  <sheetData>
    <row r="1">
      <c r="A1" s="57" t="s">
        <v>2012</v>
      </c>
      <c r="B1" s="58" t="s">
        <v>2013</v>
      </c>
      <c r="C1" s="58" t="s">
        <v>2014</v>
      </c>
      <c r="D1" s="58" t="s">
        <v>2015</v>
      </c>
      <c r="E1" s="58" t="s">
        <v>2016</v>
      </c>
      <c r="F1" s="59" t="s">
        <v>2017</v>
      </c>
      <c r="G1" s="60" t="s">
        <v>2018</v>
      </c>
      <c r="H1" s="60" t="s">
        <v>2019</v>
      </c>
      <c r="I1" s="60" t="s">
        <v>2020</v>
      </c>
      <c r="J1" s="57" t="s">
        <v>2021</v>
      </c>
      <c r="K1" s="61"/>
      <c r="L1" s="61"/>
      <c r="M1" s="61"/>
      <c r="N1" s="61"/>
      <c r="O1" s="61"/>
      <c r="P1" s="61"/>
      <c r="Q1" s="61"/>
      <c r="R1" s="61"/>
      <c r="S1" s="61"/>
      <c r="T1" s="61"/>
      <c r="U1" s="61"/>
      <c r="V1" s="61"/>
      <c r="W1" s="61"/>
      <c r="X1" s="61"/>
      <c r="Y1" s="61"/>
      <c r="Z1" s="61"/>
      <c r="AA1" s="61"/>
      <c r="AB1" s="61"/>
      <c r="AC1" s="61"/>
      <c r="AD1" s="61"/>
    </row>
    <row r="2">
      <c r="A2" s="61" t="str">
        <f t="array" ref="A2:I999">SORT('Tải Công Việc'!A2:I1001, 6, TRUE, 9, TRUE, 8, TRUE, 3, TRUE)</f>
        <v>Nguyễn Minh Thông</v>
      </c>
      <c r="B2" s="61">
        <v>0.0</v>
      </c>
      <c r="C2" s="61">
        <v>0.0</v>
      </c>
      <c r="D2" s="61">
        <v>0.0</v>
      </c>
      <c r="E2" s="61">
        <v>0.0</v>
      </c>
      <c r="F2" s="62">
        <v>0.0</v>
      </c>
      <c r="G2" s="61">
        <v>0.0</v>
      </c>
      <c r="H2" s="61">
        <v>0.0</v>
      </c>
      <c r="I2" s="61">
        <v>0.0</v>
      </c>
      <c r="J2" s="61" t="str">
        <f t="shared" ref="J2:J6" si="1">"Ưu tiên số " &amp; ROW(A1)</f>
        <v>Ưu tiên số 1</v>
      </c>
      <c r="K2" s="61"/>
      <c r="L2" s="61"/>
      <c r="M2" s="61"/>
      <c r="N2" s="61"/>
      <c r="O2" s="61"/>
      <c r="P2" s="61"/>
      <c r="Q2" s="61"/>
      <c r="R2" s="61"/>
      <c r="S2" s="61"/>
      <c r="T2" s="61"/>
      <c r="U2" s="61"/>
      <c r="V2" s="61"/>
      <c r="W2" s="61"/>
      <c r="X2" s="61"/>
      <c r="Y2" s="61"/>
      <c r="Z2" s="61"/>
      <c r="AA2" s="61"/>
      <c r="AB2" s="61"/>
      <c r="AC2" s="61"/>
      <c r="AD2" s="61"/>
    </row>
    <row r="3">
      <c r="A3" s="61" t="s">
        <v>69</v>
      </c>
      <c r="B3" s="61">
        <v>0.0</v>
      </c>
      <c r="C3" s="61">
        <v>0.0</v>
      </c>
      <c r="D3" s="61">
        <v>0.0</v>
      </c>
      <c r="E3" s="61">
        <v>0.0</v>
      </c>
      <c r="F3" s="62">
        <v>0.0</v>
      </c>
      <c r="G3" s="61">
        <v>0.0</v>
      </c>
      <c r="H3" s="61">
        <v>1.0</v>
      </c>
      <c r="I3" s="61">
        <v>0.0</v>
      </c>
      <c r="J3" s="61" t="str">
        <f t="shared" si="1"/>
        <v>Ưu tiên số 2</v>
      </c>
      <c r="K3" s="61"/>
      <c r="L3" s="61"/>
      <c r="M3" s="61"/>
      <c r="N3" s="61"/>
      <c r="O3" s="61"/>
      <c r="P3" s="61"/>
      <c r="Q3" s="61"/>
      <c r="R3" s="61"/>
      <c r="S3" s="61"/>
      <c r="T3" s="61"/>
      <c r="U3" s="61"/>
      <c r="V3" s="61"/>
      <c r="W3" s="61"/>
      <c r="X3" s="61"/>
      <c r="Y3" s="61"/>
      <c r="Z3" s="61"/>
      <c r="AA3" s="61"/>
      <c r="AB3" s="61"/>
      <c r="AC3" s="61"/>
      <c r="AD3" s="61"/>
    </row>
    <row r="4">
      <c r="A4" s="61" t="s">
        <v>29</v>
      </c>
      <c r="B4" s="61">
        <v>0.0</v>
      </c>
      <c r="C4" s="61">
        <v>0.0</v>
      </c>
      <c r="D4" s="61">
        <v>0.0</v>
      </c>
      <c r="E4" s="61">
        <v>0.0</v>
      </c>
      <c r="F4" s="62">
        <v>0.0</v>
      </c>
      <c r="G4" s="61">
        <v>2.0</v>
      </c>
      <c r="H4" s="61">
        <v>2.0</v>
      </c>
      <c r="I4" s="61">
        <v>0.0</v>
      </c>
      <c r="J4" s="61" t="str">
        <f t="shared" si="1"/>
        <v>Ưu tiên số 3</v>
      </c>
      <c r="K4" s="61"/>
      <c r="L4" s="61"/>
      <c r="M4" s="61"/>
      <c r="N4" s="61"/>
      <c r="O4" s="61"/>
      <c r="P4" s="61"/>
      <c r="Q4" s="61"/>
      <c r="R4" s="61"/>
      <c r="S4" s="61"/>
      <c r="T4" s="61"/>
      <c r="U4" s="61"/>
      <c r="V4" s="61"/>
      <c r="W4" s="61"/>
      <c r="X4" s="61"/>
      <c r="Y4" s="61"/>
      <c r="Z4" s="61"/>
      <c r="AA4" s="61"/>
      <c r="AB4" s="61"/>
      <c r="AC4" s="61"/>
      <c r="AD4" s="61"/>
    </row>
    <row r="5">
      <c r="A5" s="61" t="s">
        <v>47</v>
      </c>
      <c r="B5" s="61">
        <v>0.0</v>
      </c>
      <c r="C5" s="61">
        <v>0.0</v>
      </c>
      <c r="D5" s="61">
        <v>0.0</v>
      </c>
      <c r="E5" s="61">
        <v>0.0</v>
      </c>
      <c r="F5" s="62">
        <v>0.0</v>
      </c>
      <c r="G5" s="61">
        <v>1.0</v>
      </c>
      <c r="H5" s="61">
        <v>4.0</v>
      </c>
      <c r="I5" s="61">
        <v>0.0</v>
      </c>
      <c r="J5" s="61" t="str">
        <f t="shared" si="1"/>
        <v>Ưu tiên số 4</v>
      </c>
      <c r="K5" s="61"/>
      <c r="L5" s="61"/>
      <c r="M5" s="61"/>
      <c r="N5" s="61"/>
      <c r="O5" s="61"/>
      <c r="P5" s="61"/>
      <c r="Q5" s="61"/>
      <c r="R5" s="61"/>
      <c r="S5" s="61"/>
      <c r="T5" s="61"/>
      <c r="U5" s="61"/>
      <c r="V5" s="61"/>
      <c r="W5" s="61"/>
      <c r="X5" s="61"/>
      <c r="Y5" s="61"/>
      <c r="Z5" s="61"/>
      <c r="AA5" s="61"/>
      <c r="AB5" s="61"/>
      <c r="AC5" s="61"/>
      <c r="AD5" s="61"/>
    </row>
    <row r="6">
      <c r="A6" s="61" t="s">
        <v>28</v>
      </c>
      <c r="B6" s="61">
        <v>1.0</v>
      </c>
      <c r="C6" s="61">
        <v>0.0</v>
      </c>
      <c r="D6" s="61">
        <v>1.0</v>
      </c>
      <c r="E6" s="61">
        <v>0.0</v>
      </c>
      <c r="F6" s="62">
        <v>1.0</v>
      </c>
      <c r="G6" s="61">
        <v>0.0</v>
      </c>
      <c r="H6" s="61">
        <v>3.0</v>
      </c>
      <c r="I6" s="61">
        <v>0.0</v>
      </c>
      <c r="J6" s="61" t="str">
        <f t="shared" si="1"/>
        <v>Ưu tiên số 5</v>
      </c>
      <c r="K6" s="61"/>
      <c r="L6" s="61"/>
      <c r="M6" s="61"/>
      <c r="N6" s="61"/>
      <c r="O6" s="61"/>
      <c r="P6" s="61"/>
      <c r="Q6" s="61"/>
      <c r="R6" s="61"/>
      <c r="S6" s="61"/>
      <c r="T6" s="61"/>
      <c r="U6" s="61"/>
      <c r="V6" s="61"/>
      <c r="W6" s="61"/>
      <c r="X6" s="61"/>
      <c r="Y6" s="61"/>
      <c r="Z6" s="61"/>
      <c r="AA6" s="61"/>
      <c r="AB6" s="61"/>
      <c r="AC6" s="61"/>
      <c r="AD6" s="61"/>
    </row>
    <row r="7">
      <c r="A7" s="61" t="s">
        <v>100</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row>
    <row r="8">
      <c r="A8" s="61" t="s">
        <v>659</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row>
    <row r="9">
      <c r="A9" s="61"/>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row>
    <row r="10">
      <c r="A10" s="61"/>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row>
    <row r="11">
      <c r="A11" s="61"/>
      <c r="B11" s="61"/>
      <c r="C11" s="61"/>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row>
    <row r="12">
      <c r="A12" s="61"/>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row>
    <row r="13">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row>
    <row r="14">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row>
    <row r="15">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row>
    <row r="16">
      <c r="A16" s="61"/>
      <c r="B16" s="61"/>
      <c r="C16" s="61"/>
      <c r="D16" s="63"/>
      <c r="E16" s="63"/>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row>
    <row r="17">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row>
    <row r="18">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row>
    <row r="19">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row>
    <row r="20">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row>
    <row r="2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row>
    <row r="22">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row>
    <row r="23">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row>
    <row r="24">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row>
    <row r="25">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row>
    <row r="26">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c r="AA26" s="61"/>
      <c r="AB26" s="61"/>
      <c r="AC26" s="61"/>
      <c r="AD26" s="61"/>
    </row>
    <row r="27">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row>
    <row r="28">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row>
    <row r="29">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row>
    <row r="30">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row>
    <row r="3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row>
    <row r="32">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row>
    <row r="33">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row>
    <row r="34">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row>
    <row r="35">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row>
    <row r="36">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row>
    <row r="37">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row>
    <row r="38">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row>
    <row r="39">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row>
    <row r="40">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row>
    <row r="4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row>
    <row r="42">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row>
    <row r="43">
      <c r="A43" s="64"/>
      <c r="B43" s="61"/>
      <c r="C43" s="61"/>
      <c r="D43" s="61"/>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row>
    <row r="44">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c r="AA44" s="61"/>
      <c r="AB44" s="61"/>
      <c r="AC44" s="61"/>
      <c r="AD44" s="61"/>
    </row>
    <row r="45">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c r="AA45" s="61"/>
      <c r="AB45" s="61"/>
      <c r="AC45" s="61"/>
      <c r="AD45" s="61"/>
    </row>
    <row r="46">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row>
    <row r="47">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c r="AB47" s="61"/>
      <c r="AC47" s="61"/>
      <c r="AD47" s="61"/>
    </row>
    <row r="48">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row>
    <row r="49">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c r="AB49" s="61"/>
      <c r="AC49" s="61"/>
      <c r="AD49" s="61"/>
    </row>
    <row r="50">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1"/>
      <c r="AC50" s="61"/>
      <c r="AD50" s="61"/>
    </row>
    <row r="5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1"/>
      <c r="AC51" s="61"/>
      <c r="AD51" s="61"/>
    </row>
    <row r="52">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c r="AC52" s="61"/>
      <c r="AD52" s="61"/>
    </row>
    <row r="53">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c r="AB53" s="61"/>
      <c r="AC53" s="61"/>
      <c r="AD53" s="61"/>
    </row>
    <row r="54">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c r="AB54" s="61"/>
      <c r="AC54" s="61"/>
      <c r="AD54" s="61"/>
    </row>
    <row r="55">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row>
    <row r="56">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c r="AB56" s="61"/>
      <c r="AC56" s="61"/>
      <c r="AD56" s="61"/>
    </row>
    <row r="57">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row>
    <row r="58">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1"/>
      <c r="AC58" s="61"/>
      <c r="AD58" s="61"/>
    </row>
    <row r="59">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row>
    <row r="60">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1"/>
      <c r="AC60" s="61"/>
      <c r="AD60" s="61"/>
    </row>
    <row r="6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row>
    <row r="62">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row>
    <row r="63">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row>
    <row r="64">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row>
    <row r="65">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row>
    <row r="66">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row>
    <row r="67">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row>
    <row r="68">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row>
    <row r="69">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row>
    <row r="70">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row>
    <row r="7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row>
    <row r="72">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row>
    <row r="73">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row>
    <row r="74">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row>
    <row r="75">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row>
    <row r="76">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row>
    <row r="77">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row>
    <row r="78">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row>
    <row r="79">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row>
    <row r="80">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row>
    <row r="8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row>
    <row r="82">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row>
    <row r="83">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row>
    <row r="84">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row>
    <row r="85">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row>
    <row r="86">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row>
    <row r="87">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row>
    <row r="88">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row>
    <row r="89">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row>
    <row r="90">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row>
    <row r="9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row>
    <row r="92">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row>
    <row r="93">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row>
    <row r="94">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row>
    <row r="95">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row>
    <row r="96">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row>
    <row r="97">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row>
    <row r="98">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row>
    <row r="99">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row>
    <row r="100">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row>
    <row r="10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row>
    <row r="102">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row>
    <row r="103">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row>
    <row r="104">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row>
    <row r="10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row>
    <row r="106">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row>
    <row r="107">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row>
    <row r="108">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row>
    <row r="109">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row>
    <row r="110">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row>
    <row r="11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row>
    <row r="11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row>
    <row r="113">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row>
    <row r="114">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row>
    <row r="11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row>
    <row r="116">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row>
    <row r="117">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row>
    <row r="118">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row>
    <row r="119">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row>
    <row r="120">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row>
    <row r="12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row>
    <row r="12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row>
    <row r="123">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row>
    <row r="124">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row>
    <row r="1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row>
    <row r="126">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row>
    <row r="127">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row>
    <row r="128">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row>
    <row r="129">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row>
    <row r="130">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row>
    <row r="13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row>
    <row r="13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row>
    <row r="133">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row>
    <row r="134">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row>
    <row r="13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row>
    <row r="136">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row>
    <row r="137">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row>
    <row r="138">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row>
    <row r="139">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row>
    <row r="140">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row>
    <row r="14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row>
    <row r="14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row>
    <row r="143">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row>
    <row r="144">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row>
    <row r="14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row>
    <row r="146">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row>
    <row r="147">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row>
    <row r="148">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row>
    <row r="149">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row>
    <row r="150">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row>
    <row r="15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row>
    <row r="15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row>
    <row r="153">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row>
    <row r="154">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row>
    <row r="15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row>
    <row r="156">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row>
    <row r="157">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row>
    <row r="158">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row>
    <row r="159">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row>
    <row r="160">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row>
    <row r="16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row>
    <row r="16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row>
    <row r="163">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row>
    <row r="164">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row>
    <row r="16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row>
    <row r="166">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row>
    <row r="167">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row>
    <row r="168">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row>
    <row r="169">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row>
    <row r="170">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row>
    <row r="17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row>
    <row r="17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row>
    <row r="173">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row>
    <row r="174">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row>
    <row r="17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row>
    <row r="176">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row>
    <row r="177">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row>
    <row r="178">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row>
    <row r="179">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row>
    <row r="180">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row>
    <row r="18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row>
    <row r="18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row>
    <row r="183">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row>
    <row r="184">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row>
    <row r="18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row>
    <row r="186">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row>
    <row r="187">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row>
    <row r="188">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c r="AC275" s="61"/>
      <c r="AD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c r="AC276" s="61"/>
      <c r="AD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c r="AC277" s="61"/>
      <c r="AD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c r="AC278" s="61"/>
      <c r="AD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c r="AC279" s="61"/>
      <c r="AD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c r="AC280" s="61"/>
      <c r="AD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c r="AC281" s="61"/>
      <c r="AD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c r="AC282" s="61"/>
      <c r="AD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c r="AC283" s="61"/>
      <c r="AD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c r="AC285" s="61"/>
      <c r="AD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c r="AC286" s="61"/>
      <c r="AD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c r="AC288" s="61"/>
      <c r="AD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c r="AC290" s="61"/>
      <c r="AD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c r="AC292" s="61"/>
      <c r="AD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c r="AC293" s="61"/>
      <c r="AD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c r="AC295" s="61"/>
      <c r="AD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c r="AC296" s="61"/>
      <c r="AD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c r="AC297" s="61"/>
      <c r="AD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c r="AC298" s="61"/>
      <c r="AD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c r="AC299" s="61"/>
      <c r="AD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c r="AC301" s="61"/>
      <c r="AD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c r="AC302" s="61"/>
      <c r="AD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c r="AC303" s="61"/>
      <c r="AD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c r="AC304" s="61"/>
      <c r="AD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c r="AC308" s="61"/>
      <c r="AD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c r="AC309" s="61"/>
      <c r="AD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c r="AC311" s="61"/>
      <c r="AD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c r="AC312" s="61"/>
      <c r="AD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c r="AC313" s="61"/>
      <c r="AD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c r="AC314" s="61"/>
      <c r="AD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c r="AC315" s="61"/>
      <c r="AD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c r="AC316" s="61"/>
      <c r="AD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c r="AC317" s="61"/>
      <c r="AD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c r="AC318" s="61"/>
      <c r="AD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c r="AC319" s="61"/>
      <c r="AD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c r="AC320" s="61"/>
      <c r="AD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c r="AC321" s="61"/>
      <c r="AD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c r="AC322" s="61"/>
      <c r="AD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c r="AC323" s="61"/>
      <c r="AD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c r="AC324" s="61"/>
      <c r="AD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c r="AC325" s="61"/>
      <c r="AD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c r="AC326" s="61"/>
      <c r="AD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c r="AC327" s="61"/>
      <c r="AD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c r="AC329" s="61"/>
      <c r="AD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c r="AC331" s="61"/>
      <c r="AD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c r="AC332" s="61"/>
      <c r="AD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c r="AC333" s="61"/>
      <c r="AD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c r="AC334" s="61"/>
      <c r="AD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c r="AC335" s="61"/>
      <c r="AD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c r="AC336" s="61"/>
      <c r="AD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c r="AC337" s="61"/>
      <c r="AD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c r="AC338" s="61"/>
      <c r="AD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c r="AC339" s="61"/>
      <c r="AD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c r="AC340" s="61"/>
      <c r="AD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c r="AC341" s="61"/>
      <c r="AD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c r="AC342" s="61"/>
      <c r="AD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c r="AC343" s="61"/>
      <c r="AD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c r="AC344" s="61"/>
      <c r="AD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c r="AC345" s="61"/>
      <c r="AD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c r="AC346" s="61"/>
      <c r="AD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c r="AC347" s="61"/>
      <c r="AD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c r="AC348" s="61"/>
      <c r="AD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c r="AC350" s="61"/>
      <c r="AD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c r="AC351" s="61"/>
      <c r="AD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c r="AC369" s="61"/>
      <c r="AD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c r="AC370" s="61"/>
      <c r="AD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c r="AC371" s="61"/>
      <c r="AD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c r="AC372" s="61"/>
      <c r="AD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c r="AC373" s="61"/>
      <c r="AD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c r="AC374" s="61"/>
      <c r="AD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c r="AC375" s="61"/>
      <c r="AD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c r="AC376" s="61"/>
      <c r="AD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c r="AC377" s="61"/>
      <c r="AD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c r="AC378" s="61"/>
      <c r="AD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c r="AC379" s="61"/>
      <c r="AD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c r="AC380" s="61"/>
      <c r="AD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c r="AC381" s="61"/>
      <c r="AD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c r="AC382" s="61"/>
      <c r="AD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c r="AC383" s="61"/>
      <c r="AD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c r="AC384" s="61"/>
      <c r="AD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c r="AC385" s="61"/>
      <c r="AD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c r="AC386" s="61"/>
      <c r="AD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c r="AC387" s="61"/>
      <c r="AD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c r="AC388" s="61"/>
      <c r="AD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c r="AC389" s="61"/>
      <c r="AD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c r="AC390" s="61"/>
      <c r="AD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c r="AC391" s="61"/>
      <c r="AD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c r="AC392" s="61"/>
      <c r="AD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c r="AC393" s="61"/>
      <c r="AD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c r="AC394" s="61"/>
      <c r="AD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c r="AC395" s="61"/>
      <c r="AD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c r="AC396" s="61"/>
      <c r="AD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c r="AC397" s="61"/>
      <c r="AD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c r="AC398" s="61"/>
      <c r="AD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c r="AC399" s="61"/>
      <c r="AD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c r="AC400" s="61"/>
      <c r="AD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c r="AC401" s="61"/>
      <c r="AD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c r="AC402" s="61"/>
      <c r="AD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c r="AC403" s="61"/>
      <c r="AD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c r="AC404" s="61"/>
      <c r="AD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c r="AC405" s="61"/>
      <c r="AD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c r="AC406" s="61"/>
      <c r="AD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c r="AC407" s="61"/>
      <c r="AD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c r="AC408" s="61"/>
      <c r="AD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c r="AC409" s="61"/>
      <c r="AD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c r="AC411" s="61"/>
      <c r="AD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c r="AC412" s="61"/>
      <c r="AD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c r="AC413" s="61"/>
      <c r="AD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c r="AC414" s="61"/>
      <c r="AD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c r="AC415" s="61"/>
      <c r="AD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c r="AC416" s="61"/>
      <c r="AD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c r="AC417" s="61"/>
      <c r="AD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c r="AC418" s="61"/>
      <c r="AD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c r="AC419" s="61"/>
      <c r="AD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c r="AC420" s="61"/>
      <c r="AD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c r="AC421" s="61"/>
      <c r="AD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c r="AC422" s="61"/>
      <c r="AD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c r="AC423" s="61"/>
      <c r="AD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c r="AC424" s="61"/>
      <c r="AD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c r="AC425" s="61"/>
      <c r="AD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c r="AC427" s="61"/>
      <c r="AD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c r="AC428" s="61"/>
      <c r="AD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c r="AC429" s="61"/>
      <c r="AD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c r="AC430" s="61"/>
      <c r="AD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c r="AC431" s="61"/>
      <c r="AD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c r="AC432" s="61"/>
      <c r="AD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c r="AC433" s="61"/>
      <c r="AD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c r="AC434" s="61"/>
      <c r="AD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c r="AC435" s="61"/>
      <c r="AD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c r="AC436" s="61"/>
      <c r="AD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c r="AC437" s="61"/>
      <c r="AD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c r="AC438" s="61"/>
      <c r="AD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c r="AC439" s="61"/>
      <c r="AD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c r="AC440" s="61"/>
      <c r="AD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c r="AC441" s="61"/>
      <c r="AD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c r="AC442" s="61"/>
      <c r="AD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c r="AC443" s="61"/>
      <c r="AD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c r="AC444" s="61"/>
      <c r="AD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c r="AC445" s="61"/>
      <c r="AD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c r="AC446" s="61"/>
      <c r="AD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c r="AC447" s="61"/>
      <c r="AD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c r="AC448" s="61"/>
      <c r="AD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c r="AC449" s="61"/>
      <c r="AD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c r="AC450" s="61"/>
      <c r="AD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c r="AC451" s="61"/>
      <c r="AD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c r="AC452" s="61"/>
      <c r="AD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c r="AC453" s="61"/>
      <c r="AD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c r="AC454" s="61"/>
      <c r="AD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c r="AC455" s="61"/>
      <c r="AD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c r="AC456" s="61"/>
      <c r="AD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c r="AC457" s="61"/>
      <c r="AD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c r="AC458" s="61"/>
      <c r="AD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c r="AC459" s="61"/>
      <c r="AD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c r="AC460" s="61"/>
      <c r="AD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c r="AC461" s="61"/>
      <c r="AD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c r="AC462" s="61"/>
      <c r="AD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c r="AC463" s="61"/>
      <c r="AD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c r="AC464" s="61"/>
      <c r="AD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c r="AC465" s="61"/>
      <c r="AD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c r="AC466" s="61"/>
      <c r="AD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c r="AC467" s="61"/>
      <c r="AD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c r="AC468" s="61"/>
      <c r="AD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c r="AC469" s="61"/>
      <c r="AD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c r="AC470" s="61"/>
      <c r="AD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c r="AC472" s="61"/>
      <c r="AD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c r="AC473" s="61"/>
      <c r="AD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c r="AC474" s="61"/>
      <c r="AD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c r="AC475" s="61"/>
      <c r="AD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c r="AC476" s="61"/>
      <c r="AD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c r="AC477" s="61"/>
      <c r="AD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c r="AC478" s="61"/>
      <c r="AD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c r="AC479" s="61"/>
      <c r="AD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c r="AC480" s="61"/>
      <c r="AD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c r="AC481" s="61"/>
      <c r="AD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c r="AC482" s="61"/>
      <c r="AD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c r="AC483" s="61"/>
      <c r="AD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c r="AC484" s="61"/>
      <c r="AD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c r="AC485" s="61"/>
      <c r="AD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c r="AC486" s="61"/>
      <c r="AD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c r="AC487" s="61"/>
      <c r="AD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c r="AC488" s="61"/>
      <c r="AD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c r="AC489" s="61"/>
      <c r="AD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c r="AC490" s="61"/>
      <c r="AD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c r="AC491" s="61"/>
      <c r="AD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c r="AC492" s="61"/>
      <c r="AD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c r="AC493" s="61"/>
      <c r="AD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c r="AC494" s="61"/>
      <c r="AD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c r="AC495" s="61"/>
      <c r="AD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c r="AC496" s="61"/>
      <c r="AD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c r="AC497" s="61"/>
      <c r="AD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c r="AC498" s="61"/>
      <c r="AD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c r="AC500" s="61"/>
      <c r="AD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c r="AC501" s="61"/>
      <c r="AD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c r="AC502" s="61"/>
      <c r="AD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c r="AC503" s="61"/>
      <c r="AD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c r="AC504" s="61"/>
      <c r="AD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c r="AC505" s="61"/>
      <c r="AD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c r="AC506" s="61"/>
      <c r="AD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c r="AC507" s="61"/>
      <c r="AD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c r="AC508" s="61"/>
      <c r="AD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c r="AC511" s="61"/>
      <c r="AD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c r="AC512" s="61"/>
      <c r="AD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c r="AC513" s="61"/>
      <c r="AD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c r="AC514" s="61"/>
      <c r="AD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c r="AC515" s="61"/>
      <c r="AD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c r="AC516" s="61"/>
      <c r="AD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c r="AC517" s="61"/>
      <c r="AD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c r="AC518" s="61"/>
      <c r="AD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c r="AC519" s="61"/>
      <c r="AD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c r="AC520" s="61"/>
      <c r="AD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c r="AC521" s="61"/>
      <c r="AD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c r="AC522" s="61"/>
      <c r="AD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c r="AC523" s="61"/>
      <c r="AD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c r="AC524" s="61"/>
      <c r="AD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c r="AC525" s="61"/>
      <c r="AD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c r="AC526" s="61"/>
      <c r="AD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c r="AC527" s="61"/>
      <c r="AD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c r="AC528" s="61"/>
      <c r="AD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c r="AC529" s="61"/>
      <c r="AD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c r="AC530" s="61"/>
      <c r="AD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c r="AC531" s="61"/>
      <c r="AD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c r="AC532" s="61"/>
      <c r="AD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c r="AC533" s="61"/>
      <c r="AD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c r="AC534" s="61"/>
      <c r="AD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c r="AC535" s="61"/>
      <c r="AD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c r="AC536" s="61"/>
      <c r="AD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c r="AC537" s="61"/>
      <c r="AD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c r="AC538" s="61"/>
      <c r="AD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c r="AC539" s="61"/>
      <c r="AD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c r="AC540" s="61"/>
      <c r="AD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c r="AC541" s="61"/>
      <c r="AD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c r="AC542" s="61"/>
      <c r="AD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c r="AC543" s="61"/>
      <c r="AD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c r="AC544" s="61"/>
      <c r="AD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c r="AC545" s="61"/>
      <c r="AD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c r="AC546" s="61"/>
      <c r="AD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c r="AC547" s="61"/>
      <c r="AD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c r="AC548" s="61"/>
      <c r="AD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c r="AC549" s="61"/>
      <c r="AD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c r="AC550" s="61"/>
      <c r="AD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c r="AC551" s="61"/>
      <c r="AD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c r="AC552" s="61"/>
      <c r="AD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c r="AC553" s="61"/>
      <c r="AD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c r="AC554" s="61"/>
      <c r="AD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c r="AC555" s="61"/>
      <c r="AD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c r="AC556" s="61"/>
      <c r="AD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c r="AC557" s="61"/>
      <c r="AD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c r="AC558" s="61"/>
      <c r="AD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c r="AC559" s="61"/>
      <c r="AD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c r="AC560" s="61"/>
      <c r="AD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c r="AC561" s="61"/>
      <c r="AD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c r="AC562" s="61"/>
      <c r="AD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c r="AC563" s="61"/>
      <c r="AD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c r="AC564" s="61"/>
      <c r="AD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c r="AC565" s="61"/>
      <c r="AD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c r="AC566" s="61"/>
      <c r="AD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c r="AC567" s="61"/>
      <c r="AD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c r="AC568" s="61"/>
      <c r="AD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c r="AC569" s="61"/>
      <c r="AD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c r="AC570" s="61"/>
      <c r="AD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c r="AC571" s="61"/>
      <c r="AD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c r="AC572" s="61"/>
      <c r="AD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c r="AC573" s="61"/>
      <c r="AD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c r="AC574" s="61"/>
      <c r="AD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c r="AC575" s="61"/>
      <c r="AD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c r="AC576" s="61"/>
      <c r="AD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c r="AC577" s="61"/>
      <c r="AD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c r="AC578" s="61"/>
      <c r="AD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c r="AC579" s="61"/>
      <c r="AD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c r="AC580" s="61"/>
      <c r="AD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c r="AC581" s="61"/>
      <c r="AD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c r="AC582" s="61"/>
      <c r="AD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c r="AC583" s="61"/>
      <c r="AD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c r="AC584" s="61"/>
      <c r="AD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c r="AC585" s="61"/>
      <c r="AD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c r="AC586" s="61"/>
      <c r="AD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c r="AC587" s="61"/>
      <c r="AD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c r="AC588" s="61"/>
      <c r="AD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c r="AC589" s="61"/>
      <c r="AD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c r="AC590" s="61"/>
      <c r="AD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c r="AC591" s="61"/>
      <c r="AD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c r="AC592" s="61"/>
      <c r="AD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c r="AC593" s="61"/>
      <c r="AD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c r="AC594" s="61"/>
      <c r="AD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c r="AC595" s="61"/>
      <c r="AD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c r="AC596" s="61"/>
      <c r="AD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c r="AC597" s="61"/>
      <c r="AD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c r="AC598" s="61"/>
      <c r="AD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c r="AC599" s="61"/>
      <c r="AD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c r="AC600" s="61"/>
      <c r="AD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c r="AC601" s="61"/>
      <c r="AD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c r="AC602" s="61"/>
      <c r="AD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c r="AC603" s="61"/>
      <c r="AD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c r="AC604" s="61"/>
      <c r="AD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c r="AC605" s="61"/>
      <c r="AD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c r="AC606" s="61"/>
      <c r="AD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c r="AC607" s="61"/>
      <c r="AD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c r="AC608" s="61"/>
      <c r="AD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c r="AC609" s="61"/>
      <c r="AD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c r="AC610" s="61"/>
      <c r="AD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c r="AC611" s="61"/>
      <c r="AD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c r="AC612" s="61"/>
      <c r="AD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c r="AC613" s="61"/>
      <c r="AD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c r="AC614" s="61"/>
      <c r="AD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c r="AC615" s="61"/>
      <c r="AD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c r="AC616" s="61"/>
      <c r="AD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c r="AC617" s="61"/>
      <c r="AD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c r="AC618" s="61"/>
      <c r="AD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c r="AC619" s="61"/>
      <c r="AD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c r="AC620" s="61"/>
      <c r="AD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c r="AC621" s="61"/>
      <c r="AD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c r="AC622" s="61"/>
      <c r="AD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c r="AC623" s="61"/>
      <c r="AD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c r="AC624" s="61"/>
      <c r="AD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c r="AC625" s="61"/>
      <c r="AD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c r="AC626" s="61"/>
      <c r="AD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c r="AC627" s="61"/>
      <c r="AD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c r="AC628" s="61"/>
      <c r="AD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c r="AC629" s="61"/>
      <c r="AD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c r="AC630" s="61"/>
      <c r="AD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c r="AC631" s="61"/>
      <c r="AD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c r="AC632" s="61"/>
      <c r="AD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c r="AC633" s="61"/>
      <c r="AD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c r="AC634" s="61"/>
      <c r="AD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c r="AC635" s="61"/>
      <c r="AD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c r="AC636" s="61"/>
      <c r="AD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c r="AC637" s="61"/>
      <c r="AD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c r="AC638" s="61"/>
      <c r="AD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c r="AC639" s="61"/>
      <c r="AD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c r="AC640" s="61"/>
      <c r="AD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c r="AC641" s="61"/>
      <c r="AD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c r="AC642" s="61"/>
      <c r="AD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c r="AC643" s="61"/>
      <c r="AD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c r="AC644" s="61"/>
      <c r="AD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c r="AC645" s="61"/>
      <c r="AD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c r="AC646" s="61"/>
      <c r="AD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c r="AC647" s="61"/>
      <c r="AD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c r="AC648" s="61"/>
      <c r="AD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c r="AC649" s="61"/>
      <c r="AD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c r="AC650" s="61"/>
      <c r="AD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c r="AC651" s="61"/>
      <c r="AD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c r="AC652" s="61"/>
      <c r="AD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c r="AC653" s="61"/>
      <c r="AD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c r="AC654" s="61"/>
      <c r="AD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c r="AC655" s="61"/>
      <c r="AD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c r="AC656" s="61"/>
      <c r="AD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c r="AC657" s="61"/>
      <c r="AD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c r="AC658" s="61"/>
      <c r="AD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c r="AC659" s="61"/>
      <c r="AD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c r="AC660" s="61"/>
      <c r="AD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c r="AC661" s="61"/>
      <c r="AD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c r="AC662" s="61"/>
      <c r="AD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c r="AC663" s="61"/>
      <c r="AD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c r="AC664" s="61"/>
      <c r="AD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c r="AC665" s="61"/>
      <c r="AD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c r="AC666" s="61"/>
      <c r="AD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c r="AC667" s="61"/>
      <c r="AD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c r="AC668" s="61"/>
      <c r="AD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c r="AC669" s="61"/>
      <c r="AD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c r="AC670" s="61"/>
      <c r="AD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c r="AC671" s="61"/>
      <c r="AD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c r="AC672" s="61"/>
      <c r="AD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c r="AC673" s="61"/>
      <c r="AD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c r="AC674" s="61"/>
      <c r="AD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c r="AC675" s="61"/>
      <c r="AD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c r="AC676" s="61"/>
      <c r="AD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c r="AC677" s="61"/>
      <c r="AD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c r="AC678" s="61"/>
      <c r="AD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c r="AC679" s="61"/>
      <c r="AD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c r="AC680" s="61"/>
      <c r="AD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c r="AC681" s="61"/>
      <c r="AD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c r="AC682" s="61"/>
      <c r="AD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c r="AC683" s="61"/>
      <c r="AD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c r="AC684" s="61"/>
      <c r="AD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c r="AC685" s="61"/>
      <c r="AD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c r="AC686" s="61"/>
      <c r="AD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c r="AC687" s="61"/>
      <c r="AD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c r="AC688" s="61"/>
      <c r="AD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c r="AC689" s="61"/>
      <c r="AD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c r="AC690" s="61"/>
      <c r="AD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c r="AC691" s="61"/>
      <c r="AD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c r="AC692" s="61"/>
      <c r="AD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c r="AC693" s="61"/>
      <c r="AD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c r="AC694" s="61"/>
      <c r="AD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c r="AC695" s="61"/>
      <c r="AD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c r="AC696" s="61"/>
      <c r="AD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c r="AC697" s="61"/>
      <c r="AD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c r="AC698" s="61"/>
      <c r="AD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c r="AC699" s="61"/>
      <c r="AD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c r="AC700" s="61"/>
      <c r="AD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c r="AC701" s="61"/>
      <c r="AD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c r="AC702" s="61"/>
      <c r="AD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c r="AC703" s="61"/>
      <c r="AD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c r="AC704" s="61"/>
      <c r="AD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c r="AC705" s="61"/>
      <c r="AD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c r="AC706" s="61"/>
      <c r="AD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c r="AC707" s="61"/>
      <c r="AD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c r="AC708" s="61"/>
      <c r="AD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c r="AC709" s="61"/>
      <c r="AD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c r="AC710" s="61"/>
      <c r="AD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c r="AC711" s="61"/>
      <c r="AD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c r="AC712" s="61"/>
      <c r="AD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c r="AC713" s="61"/>
      <c r="AD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c r="AC714" s="61"/>
      <c r="AD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c r="AC715" s="61"/>
      <c r="AD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c r="AC716" s="61"/>
      <c r="AD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c r="AC717" s="61"/>
      <c r="AD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c r="AC718" s="61"/>
      <c r="AD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c r="AC719" s="61"/>
      <c r="AD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c r="AC720" s="61"/>
      <c r="AD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c r="AC721" s="61"/>
      <c r="AD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c r="AC722" s="61"/>
      <c r="AD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c r="AC723" s="61"/>
      <c r="AD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c r="AC724" s="61"/>
      <c r="AD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c r="AC725" s="61"/>
      <c r="AD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c r="AC726" s="61"/>
      <c r="AD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c r="AC727" s="61"/>
      <c r="AD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c r="AC728" s="61"/>
      <c r="AD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c r="AC729" s="61"/>
      <c r="AD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c r="AC730" s="61"/>
      <c r="AD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c r="AC731" s="61"/>
      <c r="AD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c r="AC732" s="61"/>
      <c r="AD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c r="AC733" s="61"/>
      <c r="AD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c r="AC734" s="61"/>
      <c r="AD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c r="AC735" s="61"/>
      <c r="AD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c r="AC736" s="61"/>
      <c r="AD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c r="AC737" s="61"/>
      <c r="AD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c r="AC738" s="61"/>
      <c r="AD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c r="AC739" s="61"/>
      <c r="AD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c r="AC740" s="61"/>
      <c r="AD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c r="AC741" s="61"/>
      <c r="AD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c r="AC742" s="61"/>
      <c r="AD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c r="AC743" s="61"/>
      <c r="AD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c r="AC744" s="61"/>
      <c r="AD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c r="AC745" s="61"/>
      <c r="AD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c r="AC746" s="61"/>
      <c r="AD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c r="AC747" s="61"/>
      <c r="AD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c r="AC748" s="61"/>
      <c r="AD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c r="AC749" s="61"/>
      <c r="AD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c r="AC750" s="61"/>
      <c r="AD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c r="AC751" s="61"/>
      <c r="AD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c r="AC752" s="61"/>
      <c r="AD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c r="AC753" s="61"/>
      <c r="AD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c r="AC754" s="61"/>
      <c r="AD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c r="AC755" s="61"/>
      <c r="AD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c r="AC756" s="61"/>
      <c r="AD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c r="AC757" s="61"/>
      <c r="AD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c r="AC758" s="61"/>
      <c r="AD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c r="AC759" s="61"/>
      <c r="AD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c r="AC760" s="61"/>
      <c r="AD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c r="AC761" s="61"/>
      <c r="AD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c r="AC762" s="61"/>
      <c r="AD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c r="AC763" s="61"/>
      <c r="AD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c r="AC764" s="61"/>
      <c r="AD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c r="AC765" s="61"/>
      <c r="AD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c r="AC766" s="61"/>
      <c r="AD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c r="AC767" s="61"/>
      <c r="AD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c r="AC768" s="61"/>
      <c r="AD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c r="AC769" s="61"/>
      <c r="AD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c r="AC770" s="61"/>
      <c r="AD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c r="AC771" s="61"/>
      <c r="AD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c r="AC772" s="61"/>
      <c r="AD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c r="AC773" s="61"/>
      <c r="AD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c r="AC774" s="61"/>
      <c r="AD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c r="AC775" s="61"/>
      <c r="AD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c r="AC776" s="61"/>
      <c r="AD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c r="AC777" s="61"/>
      <c r="AD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c r="AC778" s="61"/>
      <c r="AD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c r="AC779" s="61"/>
      <c r="AD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c r="AC780" s="61"/>
      <c r="AD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c r="AC781" s="61"/>
      <c r="AD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c r="AC782" s="61"/>
      <c r="AD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c r="AC783" s="61"/>
      <c r="AD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c r="AC784" s="61"/>
      <c r="AD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c r="AC785" s="61"/>
      <c r="AD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c r="AC786" s="61"/>
      <c r="AD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c r="AC787" s="61"/>
      <c r="AD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c r="AC788" s="61"/>
      <c r="AD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c r="AC789" s="61"/>
      <c r="AD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c r="AC790" s="61"/>
      <c r="AD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c r="AC791" s="61"/>
      <c r="AD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c r="AC792" s="61"/>
      <c r="AD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c r="AC793" s="61"/>
      <c r="AD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c r="AC794" s="61"/>
      <c r="AD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c r="AC795" s="61"/>
      <c r="AD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c r="AC796" s="61"/>
      <c r="AD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c r="AC797" s="61"/>
      <c r="AD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c r="AC798" s="61"/>
      <c r="AD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c r="AC799" s="61"/>
      <c r="AD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c r="AC800" s="61"/>
      <c r="AD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c r="AC801" s="61"/>
      <c r="AD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c r="AC802" s="61"/>
      <c r="AD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c r="AC803" s="61"/>
      <c r="AD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c r="AC804" s="61"/>
      <c r="AD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c r="AC805" s="61"/>
      <c r="AD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c r="AC806" s="61"/>
      <c r="AD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c r="AC807" s="61"/>
      <c r="AD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c r="AC808" s="61"/>
      <c r="AD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c r="AC809" s="61"/>
      <c r="AD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c r="AC810" s="61"/>
      <c r="AD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c r="AC811" s="61"/>
      <c r="AD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c r="AC812" s="61"/>
      <c r="AD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c r="AC813" s="61"/>
      <c r="AD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c r="AC814" s="61"/>
      <c r="AD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c r="AC815" s="61"/>
      <c r="AD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c r="AC816" s="61"/>
      <c r="AD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c r="AC817" s="61"/>
      <c r="AD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c r="AC818" s="61"/>
      <c r="AD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c r="AC819" s="61"/>
      <c r="AD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c r="AC820" s="61"/>
      <c r="AD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c r="AC821" s="61"/>
      <c r="AD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c r="AC822" s="61"/>
      <c r="AD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c r="AC823" s="61"/>
      <c r="AD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c r="AC824" s="61"/>
      <c r="AD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c r="AC825" s="61"/>
      <c r="AD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c r="AC826" s="61"/>
      <c r="AD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c r="AC827" s="61"/>
      <c r="AD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c r="AC828" s="61"/>
      <c r="AD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c r="AC829" s="61"/>
      <c r="AD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c r="AC830" s="61"/>
      <c r="AD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c r="AC831" s="61"/>
      <c r="AD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c r="AC832" s="61"/>
      <c r="AD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c r="AC833" s="61"/>
      <c r="AD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c r="AC834" s="61"/>
      <c r="AD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c r="AC835" s="61"/>
      <c r="AD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c r="AC836" s="61"/>
      <c r="AD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c r="AC837" s="61"/>
      <c r="AD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c r="AC838" s="61"/>
      <c r="AD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c r="AC839" s="61"/>
      <c r="AD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c r="AC840" s="61"/>
      <c r="AD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c r="AC841" s="61"/>
      <c r="AD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c r="AC842" s="61"/>
      <c r="AD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c r="AC843" s="61"/>
      <c r="AD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c r="AC844" s="61"/>
      <c r="AD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c r="AC845" s="61"/>
      <c r="AD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c r="AC846" s="61"/>
      <c r="AD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c r="AC847" s="61"/>
      <c r="AD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c r="AC848" s="61"/>
      <c r="AD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c r="AC849" s="61"/>
      <c r="AD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c r="AC850" s="61"/>
      <c r="AD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c r="AC851" s="61"/>
      <c r="AD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c r="AC852" s="61"/>
      <c r="AD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c r="AC853" s="61"/>
      <c r="AD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c r="AC854" s="61"/>
      <c r="AD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c r="AC855" s="61"/>
      <c r="AD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c r="AC856" s="61"/>
      <c r="AD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c r="AC857" s="61"/>
      <c r="AD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c r="AC858" s="61"/>
      <c r="AD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c r="AC859" s="61"/>
      <c r="AD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c r="AC860" s="61"/>
      <c r="AD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c r="AC861" s="61"/>
      <c r="AD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c r="AC862" s="61"/>
      <c r="AD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c r="AC863" s="61"/>
      <c r="AD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c r="AC864" s="61"/>
      <c r="AD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c r="AC865" s="61"/>
      <c r="AD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c r="AC866" s="61"/>
      <c r="AD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c r="AC867" s="61"/>
      <c r="AD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c r="AC868" s="61"/>
      <c r="AD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c r="AC869" s="61"/>
      <c r="AD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c r="AC870" s="61"/>
      <c r="AD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c r="AC871" s="61"/>
      <c r="AD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c r="AC872" s="61"/>
      <c r="AD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c r="AC873" s="61"/>
      <c r="AD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c r="AC874" s="61"/>
      <c r="AD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c r="AC875" s="61"/>
      <c r="AD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c r="AC876" s="61"/>
      <c r="AD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c r="AC877" s="61"/>
      <c r="AD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c r="AC878" s="61"/>
      <c r="AD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c r="AC879" s="61"/>
      <c r="AD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c r="AC880" s="61"/>
      <c r="AD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c r="AC881" s="61"/>
      <c r="AD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c r="AC882" s="61"/>
      <c r="AD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c r="AC883" s="61"/>
      <c r="AD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c r="AC884" s="61"/>
      <c r="AD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c r="AC885" s="61"/>
      <c r="AD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c r="AC886" s="61"/>
      <c r="AD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c r="AC887" s="61"/>
      <c r="AD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c r="AC888" s="61"/>
      <c r="AD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c r="AC889" s="61"/>
      <c r="AD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c r="AC890" s="61"/>
      <c r="AD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c r="AC891" s="61"/>
      <c r="AD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c r="AC892" s="61"/>
      <c r="AD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c r="AC893" s="61"/>
      <c r="AD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c r="AC894" s="61"/>
      <c r="AD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1"/>
      <c r="AC895" s="61"/>
      <c r="AD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1"/>
      <c r="AC896" s="61"/>
      <c r="AD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1"/>
      <c r="AC897" s="61"/>
      <c r="AD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1"/>
      <c r="AC898" s="61"/>
      <c r="AD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1"/>
      <c r="AC899" s="61"/>
      <c r="AD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1"/>
      <c r="AC900" s="61"/>
      <c r="AD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1"/>
      <c r="AC901" s="61"/>
      <c r="AD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1"/>
      <c r="AC902" s="61"/>
      <c r="AD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1"/>
      <c r="AC903" s="61"/>
      <c r="AD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1"/>
      <c r="AC904" s="61"/>
      <c r="AD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1"/>
      <c r="AC905" s="61"/>
      <c r="AD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1"/>
      <c r="AC906" s="61"/>
      <c r="AD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1"/>
      <c r="AC907" s="61"/>
      <c r="AD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1"/>
      <c r="AC908" s="61"/>
      <c r="AD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1"/>
      <c r="AC909" s="61"/>
      <c r="AD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1"/>
      <c r="AC910" s="61"/>
      <c r="AD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1"/>
      <c r="AC911" s="61"/>
      <c r="AD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1"/>
      <c r="AC912" s="61"/>
      <c r="AD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1"/>
      <c r="AC913" s="61"/>
      <c r="AD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1"/>
      <c r="AC914" s="61"/>
      <c r="AD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1"/>
      <c r="AC915" s="61"/>
      <c r="AD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1"/>
      <c r="AC916" s="61"/>
      <c r="AD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1"/>
      <c r="AC917" s="61"/>
      <c r="AD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1"/>
      <c r="AC918" s="61"/>
      <c r="AD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1"/>
      <c r="AC919" s="61"/>
      <c r="AD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1"/>
      <c r="AC920" s="61"/>
      <c r="AD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1"/>
      <c r="AC921" s="61"/>
      <c r="AD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1"/>
      <c r="AC922" s="61"/>
      <c r="AD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1"/>
      <c r="AC923" s="61"/>
      <c r="AD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1"/>
      <c r="AC924" s="61"/>
      <c r="AD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1"/>
      <c r="AC925" s="61"/>
      <c r="AD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1"/>
      <c r="AC926" s="61"/>
      <c r="AD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1"/>
      <c r="AC927" s="61"/>
      <c r="AD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1"/>
      <c r="AC928" s="61"/>
      <c r="AD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1"/>
      <c r="AC929" s="61"/>
      <c r="AD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1"/>
      <c r="AC930" s="61"/>
      <c r="AD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1"/>
      <c r="AC931" s="61"/>
      <c r="AD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1"/>
      <c r="AC932" s="61"/>
      <c r="AD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1"/>
      <c r="AC933" s="61"/>
      <c r="AD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1"/>
      <c r="AC934" s="61"/>
      <c r="AD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1"/>
      <c r="AC935" s="61"/>
      <c r="AD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1"/>
      <c r="AC936" s="61"/>
      <c r="AD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1"/>
      <c r="AC937" s="61"/>
      <c r="AD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1"/>
      <c r="AC938" s="61"/>
      <c r="AD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1"/>
      <c r="AC939" s="61"/>
      <c r="AD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1"/>
      <c r="AC940" s="61"/>
      <c r="AD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1"/>
      <c r="AC941" s="61"/>
      <c r="AD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1"/>
      <c r="AC942" s="61"/>
      <c r="AD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1"/>
      <c r="AC943" s="61"/>
      <c r="AD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1"/>
      <c r="AC944" s="61"/>
      <c r="AD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1"/>
      <c r="AC945" s="61"/>
      <c r="AD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1"/>
      <c r="AC946" s="61"/>
      <c r="AD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1"/>
      <c r="AC947" s="61"/>
      <c r="AD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1"/>
      <c r="AC948" s="61"/>
      <c r="AD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1"/>
      <c r="AC949" s="61"/>
      <c r="AD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1"/>
      <c r="AC950" s="61"/>
      <c r="AD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1"/>
      <c r="AC951" s="61"/>
      <c r="AD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1"/>
      <c r="AC952" s="61"/>
      <c r="AD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1"/>
      <c r="AC953" s="61"/>
      <c r="AD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1"/>
      <c r="AC954" s="61"/>
      <c r="AD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c r="AC955" s="61"/>
      <c r="AD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1"/>
      <c r="AC956" s="61"/>
      <c r="AD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1"/>
      <c r="AC957" s="61"/>
      <c r="AD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1"/>
      <c r="AC958" s="61"/>
      <c r="AD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1"/>
      <c r="AC959" s="61"/>
      <c r="AD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1"/>
      <c r="AC960" s="61"/>
      <c r="AD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1"/>
      <c r="AC961" s="61"/>
      <c r="AD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1"/>
      <c r="AC962" s="61"/>
      <c r="AD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1"/>
      <c r="AC963" s="61"/>
      <c r="AD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1"/>
      <c r="AC964" s="61"/>
      <c r="AD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1"/>
      <c r="AC965" s="61"/>
      <c r="AD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1"/>
      <c r="AC966" s="61"/>
      <c r="AD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1"/>
      <c r="AC967" s="61"/>
      <c r="AD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1"/>
      <c r="AC968" s="61"/>
      <c r="AD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1"/>
      <c r="AC969" s="61"/>
      <c r="AD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1"/>
      <c r="AC970" s="61"/>
      <c r="AD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1"/>
      <c r="AC971" s="61"/>
      <c r="AD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1"/>
      <c r="AC972" s="61"/>
      <c r="AD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1"/>
      <c r="AC973" s="61"/>
      <c r="AD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1"/>
      <c r="AC974" s="61"/>
      <c r="AD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1"/>
      <c r="AC975" s="61"/>
      <c r="AD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c r="AB976" s="61"/>
      <c r="AC976" s="61"/>
      <c r="AD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c r="AB977" s="61"/>
      <c r="AC977" s="61"/>
      <c r="AD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c r="AB978" s="61"/>
      <c r="AC978" s="61"/>
      <c r="AD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c r="AB979" s="61"/>
      <c r="AC979" s="61"/>
      <c r="AD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c r="AB980" s="61"/>
      <c r="AC980" s="61"/>
      <c r="AD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c r="AB981" s="61"/>
      <c r="AC981" s="61"/>
      <c r="AD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c r="AB982" s="61"/>
      <c r="AC982" s="61"/>
      <c r="AD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c r="AB983" s="61"/>
      <c r="AC983" s="61"/>
      <c r="AD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c r="AB984" s="61"/>
      <c r="AC984" s="61"/>
      <c r="AD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c r="AB985" s="61"/>
      <c r="AC985" s="61"/>
      <c r="AD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c r="AB986" s="61"/>
      <c r="AC986" s="61"/>
      <c r="AD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c r="AB987" s="61"/>
      <c r="AC987" s="61"/>
      <c r="AD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c r="AB988" s="61"/>
      <c r="AC988" s="61"/>
      <c r="AD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c r="AB989" s="61"/>
      <c r="AC989" s="61"/>
      <c r="AD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c r="AB990" s="61"/>
      <c r="AC990" s="61"/>
      <c r="AD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c r="AB991" s="61"/>
      <c r="AC991" s="61"/>
      <c r="AD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c r="AB992" s="61"/>
      <c r="AC992" s="61"/>
      <c r="AD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c r="AB993" s="61"/>
      <c r="AC993" s="61"/>
      <c r="AD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c r="AB994" s="61"/>
      <c r="AC994" s="61"/>
      <c r="AD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c r="AB995" s="61"/>
      <c r="AC995" s="61"/>
      <c r="AD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c r="AB996" s="61"/>
      <c r="AC996" s="61"/>
      <c r="AD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c r="AB997" s="61"/>
      <c r="AC997" s="61"/>
      <c r="AD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c r="AB998" s="61"/>
      <c r="AC998" s="61"/>
      <c r="AD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c r="AB999" s="61"/>
      <c r="AC999" s="61"/>
      <c r="AD999" s="61"/>
    </row>
    <row r="1000">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c r="AB1000" s="61"/>
      <c r="AC1000" s="61"/>
      <c r="AD1000" s="61"/>
    </row>
    <row r="1001">
      <c r="A1001" s="61"/>
      <c r="B1001" s="61"/>
      <c r="C1001" s="61"/>
      <c r="D1001" s="61"/>
      <c r="E1001" s="61"/>
      <c r="F1001" s="61"/>
      <c r="G1001" s="61"/>
      <c r="H1001" s="61"/>
      <c r="I1001" s="61"/>
      <c r="J1001" s="61"/>
      <c r="K1001" s="61"/>
      <c r="L1001" s="61"/>
      <c r="M1001" s="61"/>
      <c r="N1001" s="61"/>
      <c r="O1001" s="61"/>
      <c r="P1001" s="61"/>
      <c r="Q1001" s="61"/>
      <c r="R1001" s="61"/>
      <c r="S1001" s="61"/>
      <c r="T1001" s="61"/>
      <c r="U1001" s="61"/>
      <c r="V1001" s="61"/>
      <c r="W1001" s="61"/>
      <c r="X1001" s="61"/>
      <c r="Y1001" s="61"/>
      <c r="Z1001" s="61"/>
      <c r="AA1001" s="61"/>
      <c r="AB1001" s="61"/>
      <c r="AC1001" s="61"/>
      <c r="AD1001" s="61"/>
    </row>
  </sheetData>
  <conditionalFormatting sqref="J1:J1001 G2:I1001">
    <cfRule type="containsText" dxfId="29" priority="1" operator="containsText" text="số 1">
      <formula>NOT(ISERROR(SEARCH(("số 1"),(J1))))</formula>
    </cfRule>
  </conditionalFormatting>
  <conditionalFormatting sqref="J1:J1001 G2:I1001">
    <cfRule type="containsText" dxfId="30" priority="2" operator="containsText" text="số 2">
      <formula>NOT(ISERROR(SEARCH(("số 2"),(J1))))</formula>
    </cfRule>
  </conditionalFormatting>
  <conditionalFormatting sqref="J1:J1001 G2:I1001">
    <cfRule type="containsText" dxfId="9" priority="3" operator="containsText" text="số 3">
      <formula>NOT(ISERROR(SEARCH(("số 3"),(J1))))</formula>
    </cfRule>
  </conditionalFormatting>
  <conditionalFormatting sqref="J1:J1001 G2:I1001">
    <cfRule type="containsText" dxfId="31" priority="4" operator="containsText" text="số 4">
      <formula>NOT(ISERROR(SEARCH(("số 4"),(J1))))</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7.5"/>
    <col customWidth="1" min="3" max="4" width="19.75"/>
    <col customWidth="1" min="5" max="5" width="32.88"/>
    <col customWidth="1" min="6" max="6" width="19.13"/>
    <col customWidth="1" min="7" max="7" width="20.88"/>
    <col customWidth="1" min="8" max="8" width="25.75"/>
    <col customWidth="1" min="9" max="9" width="23.0"/>
    <col customWidth="1" min="10" max="10" width="15.75"/>
    <col customWidth="1" min="11" max="11" width="24.0"/>
    <col customWidth="1" min="12" max="12" width="16.75"/>
    <col customWidth="1" min="13" max="13" width="15.25"/>
    <col customWidth="1" min="15" max="15" width="26.5"/>
    <col customWidth="1" min="17" max="17" width="17.25"/>
    <col customWidth="1" min="18" max="18" width="18.75"/>
    <col customWidth="1" min="19" max="19" width="19.13"/>
    <col customWidth="1" min="20" max="20" width="15.13"/>
  </cols>
  <sheetData>
    <row r="1">
      <c r="A1" s="54" t="s">
        <v>2012</v>
      </c>
      <c r="B1" s="58" t="s">
        <v>2013</v>
      </c>
      <c r="C1" s="58" t="s">
        <v>2014</v>
      </c>
      <c r="D1" s="58" t="s">
        <v>2015</v>
      </c>
      <c r="E1" s="58" t="s">
        <v>2016</v>
      </c>
      <c r="F1" s="58" t="s">
        <v>2022</v>
      </c>
      <c r="G1" s="60" t="s">
        <v>2018</v>
      </c>
      <c r="H1" s="60" t="s">
        <v>2019</v>
      </c>
      <c r="I1" s="60" t="s">
        <v>2023</v>
      </c>
    </row>
    <row r="2">
      <c r="A2" s="48" t="str">
        <f t="array" ref="A2:A9">UNIQUE('Bảng tổng hợp'!H2:H999)</f>
        <v>Lê Văn Dựng</v>
      </c>
      <c r="B2" s="48">
        <f>COUNTIFS('Bảng tổng hợp'!H:H, A2, 'Bảng tổng hợp'!L:L, "trong hạn") </f>
        <v>1</v>
      </c>
      <c r="C2" s="48">
        <f>COUNTIFS('Bảng tổng hợp'!H:H, A2, 'Bảng tổng hợp'!L:L, "Trong hạn", 'Bảng tổng hợp'!T:T, "&lt;&gt;")</f>
        <v>0</v>
      </c>
      <c r="D2" s="48">
        <f t="shared" ref="D2:D6" si="1">sum(B2-C2)</f>
        <v>1</v>
      </c>
      <c r="E2" s="48">
        <f>COUNTIFS('Bảng tổng hợp'!H:H, A2, 'Bảng tổng hợp'!L:L, "Trong hạn", 'Bảng tổng hợp'!T:T, "&lt;&gt;", 'Bảng tổng hợp'!U:U, "Đã cho phương án")</f>
        <v>0</v>
      </c>
      <c r="F2" s="48">
        <f t="shared" ref="F2:F6" si="2">sum(D2+E2)</f>
        <v>1</v>
      </c>
      <c r="G2" s="48">
        <f>COUNTIFS('Giải trình '!F:F, A2, 'Giải trình '!H:H, "&lt;&gt;")</f>
        <v>0</v>
      </c>
      <c r="H2" s="48">
        <f>COUNTIFS('Giải trình '!F:F, A2, 'Giải trình '!H:H, "") </f>
        <v>3</v>
      </c>
      <c r="I2" s="48">
        <f>COUNTIFS('Giải trình '!F:F, A2, 'Giải trình '!I:I, "Đã cho phương án")</f>
        <v>0</v>
      </c>
    </row>
    <row r="3">
      <c r="A3" s="48" t="s">
        <v>29</v>
      </c>
      <c r="B3" s="48">
        <f>COUNTIFS('Bảng tổng hợp'!H:H, A3, 'Bảng tổng hợp'!L:L, "trong hạn") </f>
        <v>0</v>
      </c>
      <c r="C3" s="48">
        <f>COUNTIFS('Bảng tổng hợp'!H:H, A3, 'Bảng tổng hợp'!L:L, "Trong hạn", 'Bảng tổng hợp'!T:T, "&lt;&gt;")</f>
        <v>0</v>
      </c>
      <c r="D3" s="48">
        <f t="shared" si="1"/>
        <v>0</v>
      </c>
      <c r="E3" s="48">
        <f>COUNTIFS('Bảng tổng hợp'!H:H, A3, 'Bảng tổng hợp'!L:L, "Trong hạn", 'Bảng tổng hợp'!T:T, "&lt;&gt;", 'Bảng tổng hợp'!U:U, "Đã cho phương án")</f>
        <v>0</v>
      </c>
      <c r="F3" s="48">
        <f t="shared" si="2"/>
        <v>0</v>
      </c>
      <c r="G3" s="48">
        <f>COUNTIFS('Giải trình '!F:F, A3, 'Giải trình '!H:H, "&lt;&gt;")</f>
        <v>2</v>
      </c>
      <c r="H3" s="48">
        <f>COUNTIFS('Giải trình '!F:F, A3, 'Giải trình '!H:H, "") </f>
        <v>2</v>
      </c>
      <c r="I3" s="48">
        <f>COUNTIFS('Giải trình '!F:F, A3, 'Giải trình '!I:I, "Đã cho phương án")</f>
        <v>0</v>
      </c>
    </row>
    <row r="4">
      <c r="A4" s="48" t="s">
        <v>47</v>
      </c>
      <c r="B4" s="48">
        <f>COUNTIFS('Bảng tổng hợp'!H:H, A4, 'Bảng tổng hợp'!L:L, "trong hạn") </f>
        <v>0</v>
      </c>
      <c r="C4" s="48">
        <f>COUNTIFS('Bảng tổng hợp'!H:H, A4, 'Bảng tổng hợp'!L:L, "Trong hạn", 'Bảng tổng hợp'!T:T, "&lt;&gt;")</f>
        <v>0</v>
      </c>
      <c r="D4" s="48">
        <f t="shared" si="1"/>
        <v>0</v>
      </c>
      <c r="E4" s="48">
        <f>COUNTIFS('Bảng tổng hợp'!H:H, A4, 'Bảng tổng hợp'!L:L, "Trong hạn", 'Bảng tổng hợp'!T:T, "&lt;&gt;", 'Bảng tổng hợp'!U:U, "Đã cho phương án")</f>
        <v>0</v>
      </c>
      <c r="F4" s="48">
        <f t="shared" si="2"/>
        <v>0</v>
      </c>
      <c r="G4" s="48">
        <f>COUNTIFS('Giải trình '!F:F, A4, 'Giải trình '!H:H, "&lt;&gt;")</f>
        <v>1</v>
      </c>
      <c r="H4" s="48">
        <f>COUNTIFS('Giải trình '!F:F, A4, 'Giải trình '!H:H, "") </f>
        <v>4</v>
      </c>
      <c r="I4" s="48">
        <f>COUNTIFS('Giải trình '!F:F, A4, 'Giải trình '!I:I, "Đã cho phương án")</f>
        <v>0</v>
      </c>
    </row>
    <row r="5">
      <c r="A5" s="48" t="s">
        <v>55</v>
      </c>
      <c r="B5" s="48">
        <f>COUNTIFS('Bảng tổng hợp'!H:H, A5, 'Bảng tổng hợp'!L:L, "trong hạn") </f>
        <v>0</v>
      </c>
      <c r="C5" s="48">
        <f>COUNTIFS('Bảng tổng hợp'!H:H, A5, 'Bảng tổng hợp'!L:L, "Trong hạn", 'Bảng tổng hợp'!T:T, "&lt;&gt;")</f>
        <v>0</v>
      </c>
      <c r="D5" s="48">
        <f t="shared" si="1"/>
        <v>0</v>
      </c>
      <c r="E5" s="48">
        <f>COUNTIFS('Bảng tổng hợp'!H:H, A5, 'Bảng tổng hợp'!L:L, "Trong hạn", 'Bảng tổng hợp'!T:T, "&lt;&gt;", 'Bảng tổng hợp'!U:U, "Đã cho phương án")</f>
        <v>0</v>
      </c>
      <c r="F5" s="48">
        <f t="shared" si="2"/>
        <v>0</v>
      </c>
      <c r="G5" s="48">
        <f>COUNTIFS('Giải trình '!F:F, A5, 'Giải trình '!H:H, "&lt;&gt;")</f>
        <v>0</v>
      </c>
      <c r="H5" s="48">
        <f>COUNTIFS('Giải trình '!F:F, A5, 'Giải trình '!H:H, "") </f>
        <v>0</v>
      </c>
      <c r="I5" s="48">
        <f>COUNTIFS('Giải trình '!F:F, A5, 'Giải trình '!I:I, "Đã cho phương án")</f>
        <v>0</v>
      </c>
    </row>
    <row r="6">
      <c r="A6" s="48" t="s">
        <v>69</v>
      </c>
      <c r="B6" s="48">
        <f>COUNTIFS('Bảng tổng hợp'!H:H, A6, 'Bảng tổng hợp'!L:L, "trong hạn") </f>
        <v>0</v>
      </c>
      <c r="C6" s="48">
        <f>COUNTIFS('Bảng tổng hợp'!H:H, A6, 'Bảng tổng hợp'!L:L, "Trong hạn", 'Bảng tổng hợp'!T:T, "&lt;&gt;")</f>
        <v>0</v>
      </c>
      <c r="D6" s="48">
        <f t="shared" si="1"/>
        <v>0</v>
      </c>
      <c r="E6" s="48">
        <f>COUNTIFS('Bảng tổng hợp'!H:H, A6, 'Bảng tổng hợp'!L:L, "Trong hạn", 'Bảng tổng hợp'!T:T, "&lt;&gt;", 'Bảng tổng hợp'!U:U, "Đã cho phương án")</f>
        <v>0</v>
      </c>
      <c r="F6" s="48">
        <f t="shared" si="2"/>
        <v>0</v>
      </c>
      <c r="G6" s="48">
        <f>COUNTIFS('Giải trình '!F:F, A6, 'Giải trình '!H:H, "&lt;&gt;")</f>
        <v>0</v>
      </c>
      <c r="H6" s="48">
        <f>COUNTIFS('Giải trình '!F:F, A6, 'Giải trình '!H:H, "") </f>
        <v>1</v>
      </c>
      <c r="I6" s="48">
        <f>COUNTIFS('Giải trình '!F:F, A6, 'Giải trình '!I:I, "Đã cho phương án")</f>
        <v>0</v>
      </c>
      <c r="S6" s="48">
        <f>COUNTIFS('Bảng tổng hợp'!H:H, #REF!, 'Bảng tổng hợp'!K:K, "") </f>
        <v>0</v>
      </c>
    </row>
    <row r="7">
      <c r="A7" s="48" t="s">
        <v>100</v>
      </c>
    </row>
    <row r="8">
      <c r="A8" s="48" t="s">
        <v>659</v>
      </c>
    </row>
    <row r="9">
      <c r="A9" s="48"/>
    </row>
    <row r="13">
      <c r="G13" s="6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25"/>
    <col customWidth="1" min="3" max="3" width="16.0"/>
    <col customWidth="1" min="4" max="4" width="19.63"/>
    <col customWidth="1" min="5" max="5" width="15.13"/>
    <col customWidth="1" min="6" max="6" width="21.75"/>
    <col customWidth="1" min="7" max="7" width="17.38"/>
    <col customWidth="1" min="8" max="8" width="63.88"/>
    <col customWidth="1" min="9" max="9" width="15.38"/>
    <col customWidth="1" min="10" max="10" width="11.88"/>
  </cols>
  <sheetData>
    <row r="1">
      <c r="A1" s="66" t="str">
        <f>IFERROR(__xludf.DUMMYFUNCTION("QUERY('Bảng tổng hợp'!A:U, ""SELECT B, C, E, F, O, H, I, T, U, L WHERE L = 'QUÁ HẠN' OR L = 'Trong hạn'"")"),"Mã hợp đồng")</f>
        <v>Mã hợp đồng</v>
      </c>
      <c r="B1" s="66" t="str">
        <f>IFERROR(__xludf.DUMMYFUNCTION("""COMPUTED_VALUE"""),"Tên hồ sơ")</f>
        <v>Tên hồ sơ</v>
      </c>
      <c r="C1" s="66" t="str">
        <f>IFERROR(__xludf.DUMMYFUNCTION("""COMPUTED_VALUE"""),"Phường
")</f>
        <v>Phường
</v>
      </c>
      <c r="D1" s="66" t="str">
        <f>IFERROR(__xludf.DUMMYFUNCTION("""COMPUTED_VALUE"""),"Tên khách hàng ")</f>
        <v>Tên khách hàng </v>
      </c>
      <c r="E1" s="66" t="str">
        <f>IFERROR(__xludf.DUMMYFUNCTION("""COMPUTED_VALUE"""),"Hạn xử lý")</f>
        <v>Hạn xử lý</v>
      </c>
      <c r="F1" s="66" t="str">
        <f>IFERROR(__xludf.DUMMYFUNCTION("""COMPUTED_VALUE"""),"Phụ Trách Chính")</f>
        <v>Phụ Trách Chính</v>
      </c>
      <c r="G1" s="67" t="str">
        <f>IFERROR(__xludf.DUMMYFUNCTION("""COMPUTED_VALUE"""),"Phụ đo")</f>
        <v>Phụ đo</v>
      </c>
      <c r="H1" s="66" t="str">
        <f>IFERROR(__xludf.DUMMYFUNCTION("""COMPUTED_VALUE"""),"Giải trình lý do")</f>
        <v>Giải trình lý do</v>
      </c>
      <c r="I1" s="66" t="str">
        <f>IFERROR(__xludf.DUMMYFUNCTION("""COMPUTED_VALUE"""),"Quản lý phê duyệt")</f>
        <v>Quản lý phê duyệt</v>
      </c>
      <c r="J1" s="66" t="str">
        <f>IFERROR(__xludf.DUMMYFUNCTION("""COMPUTED_VALUE"""),"Cảnh báo")</f>
        <v>Cảnh báo</v>
      </c>
      <c r="K1" s="68"/>
      <c r="L1" s="68"/>
      <c r="M1" s="68"/>
      <c r="N1" s="68"/>
      <c r="O1" s="68"/>
      <c r="P1" s="68"/>
      <c r="Q1" s="68"/>
      <c r="R1" s="68"/>
      <c r="S1" s="68"/>
      <c r="T1" s="68"/>
      <c r="U1" s="68"/>
      <c r="V1" s="68"/>
      <c r="W1" s="68"/>
      <c r="X1" s="68"/>
      <c r="Y1" s="68"/>
    </row>
    <row r="2">
      <c r="A2" s="53" t="str">
        <f>IFERROR(__xludf.DUMMYFUNCTION("""COMPUTED_VALUE"""),"168/BK-2026")</f>
        <v>168/BK-2026</v>
      </c>
      <c r="B2" s="53" t="str">
        <f>IFERROR(__xludf.DUMMYFUNCTION("""COMPUTED_VALUE"""),"Trần Thị Tuyết Nhung")</f>
        <v>Trần Thị Tuyết Nhung</v>
      </c>
      <c r="C2" s="53" t="str">
        <f>IFERROR(__xludf.DUMMYFUNCTION("""COMPUTED_VALUE"""),"Cát Lái")</f>
        <v>Cát Lái</v>
      </c>
      <c r="D2" s="53" t="str">
        <f>IFERROR(__xludf.DUMMYFUNCTION("""COMPUTED_VALUE"""),"Nguyễn Hương DV")</f>
        <v>Nguyễn Hương DV</v>
      </c>
      <c r="E2" s="46">
        <f>IFERROR(__xludf.DUMMYFUNCTION("""COMPUTED_VALUE"""),46111.0)</f>
        <v>46111</v>
      </c>
      <c r="F2" s="53" t="str">
        <f>IFERROR(__xludf.DUMMYFUNCTION("""COMPUTED_VALUE"""),"Trương Tấn Quốc")</f>
        <v>Trương Tấn Quốc</v>
      </c>
      <c r="G2" s="55" t="str">
        <f>IFERROR(__xludf.DUMMYFUNCTION("""COMPUTED_VALUE"""),"Tạ Khắc Tập")</f>
        <v>Tạ Khắc Tập</v>
      </c>
      <c r="H2" s="53" t="str">
        <f>IFERROR(__xludf.DUMMYFUNCTION("""COMPUTED_VALUE"""),"Hở ranh chờ trao đổii")</f>
        <v>Hở ranh chờ trao đổii</v>
      </c>
      <c r="I2" s="53"/>
      <c r="J2" s="53" t="str">
        <f>IFERROR(__xludf.DUMMYFUNCTION("""COMPUTED_VALUE"""),"QUÁ HẠN")</f>
        <v>QUÁ HẠN</v>
      </c>
    </row>
    <row r="3">
      <c r="A3" s="53" t="str">
        <f>IFERROR(__xludf.DUMMYFUNCTION("""COMPUTED_VALUE"""),"299/BK-2026")</f>
        <v>299/BK-2026</v>
      </c>
      <c r="B3" s="53" t="str">
        <f>IFERROR(__xludf.DUMMYFUNCTION("""COMPUTED_VALUE"""),"Tô Duy Nam")</f>
        <v>Tô Duy Nam</v>
      </c>
      <c r="C3" s="53" t="str">
        <f>IFERROR(__xludf.DUMMYFUNCTION("""COMPUTED_VALUE"""),"Hiệp Bình")</f>
        <v>Hiệp Bình</v>
      </c>
      <c r="D3" s="53" t="str">
        <f>IFERROR(__xludf.DUMMYFUNCTION("""COMPUTED_VALUE"""),"Cô Hoa")</f>
        <v>Cô Hoa</v>
      </c>
      <c r="E3" s="46">
        <f>IFERROR(__xludf.DUMMYFUNCTION("""COMPUTED_VALUE"""),46158.0)</f>
        <v>46158</v>
      </c>
      <c r="F3" s="53" t="str">
        <f>IFERROR(__xludf.DUMMYFUNCTION("""COMPUTED_VALUE"""),"Lê Văn Xây")</f>
        <v>Lê Văn Xây</v>
      </c>
      <c r="G3" s="53" t="str">
        <f>IFERROR(__xludf.DUMMYFUNCTION("""COMPUTED_VALUE"""),"Võ Tứ Hợp")</f>
        <v>Võ Tứ Hợp</v>
      </c>
      <c r="H3" s="53"/>
      <c r="I3" s="53"/>
      <c r="J3" s="53" t="str">
        <f>IFERROR(__xludf.DUMMYFUNCTION("""COMPUTED_VALUE"""),"QUÁ HẠN")</f>
        <v>QUÁ HẠN</v>
      </c>
    </row>
    <row r="4">
      <c r="A4" s="53" t="str">
        <f>IFERROR(__xludf.DUMMYFUNCTION("""COMPUTED_VALUE"""),"311/BK-2026")</f>
        <v>311/BK-2026</v>
      </c>
      <c r="B4" s="53" t="str">
        <f>IFERROR(__xludf.DUMMYFUNCTION("""COMPUTED_VALUE"""),"Vũ Thanh Hường")</f>
        <v>Vũ Thanh Hường</v>
      </c>
      <c r="C4" s="53" t="str">
        <f>IFERROR(__xludf.DUMMYFUNCTION("""COMPUTED_VALUE"""),"Tam Bình")</f>
        <v>Tam Bình</v>
      </c>
      <c r="D4" s="53" t="str">
        <f>IFERROR(__xludf.DUMMYFUNCTION("""COMPUTED_VALUE"""),"Cô Hoa")</f>
        <v>Cô Hoa</v>
      </c>
      <c r="E4" s="46">
        <f>IFERROR(__xludf.DUMMYFUNCTION("""COMPUTED_VALUE"""),46164.0)</f>
        <v>46164</v>
      </c>
      <c r="F4" s="53" t="str">
        <f>IFERROR(__xludf.DUMMYFUNCTION("""COMPUTED_VALUE"""),"Tạ Khắc Tập")</f>
        <v>Tạ Khắc Tập</v>
      </c>
      <c r="G4" s="53" t="str">
        <f>IFERROR(__xludf.DUMMYFUNCTION("""COMPUTED_VALUE"""),"Võ Tứ Hợp")</f>
        <v>Võ Tứ Hợp</v>
      </c>
      <c r="H4" s="53" t="str">
        <f>IFERROR(__xludf.DUMMYFUNCTION("""COMPUTED_VALUE"""),"chờ trích lục GPĐC, VẼ GIẢM")</f>
        <v>chờ trích lục GPĐC, VẼ GIẢM</v>
      </c>
      <c r="I4" s="53"/>
      <c r="J4" s="53" t="str">
        <f>IFERROR(__xludf.DUMMYFUNCTION("""COMPUTED_VALUE"""),"QUÁ HẠN")</f>
        <v>QUÁ HẠN</v>
      </c>
    </row>
    <row r="5">
      <c r="A5" s="53" t="str">
        <f>IFERROR(__xludf.DUMMYFUNCTION("""COMPUTED_VALUE"""),"317/BK-2026")</f>
        <v>317/BK-2026</v>
      </c>
      <c r="B5" s="53" t="str">
        <f>IFERROR(__xludf.DUMMYFUNCTION("""COMPUTED_VALUE"""),"Lê Hồng Thư")</f>
        <v>Lê Hồng Thư</v>
      </c>
      <c r="C5" s="53" t="str">
        <f>IFERROR(__xludf.DUMMYFUNCTION("""COMPUTED_VALUE"""),"Long Bình")</f>
        <v>Long Bình</v>
      </c>
      <c r="D5" s="53" t="str">
        <f>IFERROR(__xludf.DUMMYFUNCTION("""COMPUTED_VALUE"""),"Công Ty")</f>
        <v>Công Ty</v>
      </c>
      <c r="E5" s="46">
        <f>IFERROR(__xludf.DUMMYFUNCTION("""COMPUTED_VALUE"""),46166.0)</f>
        <v>46166</v>
      </c>
      <c r="F5" s="53" t="str">
        <f>IFERROR(__xludf.DUMMYFUNCTION("""COMPUTED_VALUE"""),"Lê Văn Dựng")</f>
        <v>Lê Văn Dựng</v>
      </c>
      <c r="G5" s="55" t="str">
        <f>IFERROR(__xludf.DUMMYFUNCTION("""COMPUTED_VALUE"""),"Tạ Khắc Tập")</f>
        <v>Tạ Khắc Tập</v>
      </c>
      <c r="H5" s="53"/>
      <c r="I5" s="53"/>
      <c r="J5" s="53" t="str">
        <f>IFERROR(__xludf.DUMMYFUNCTION("""COMPUTED_VALUE"""),"QUÁ HẠN")</f>
        <v>QUÁ HẠN</v>
      </c>
    </row>
    <row r="6">
      <c r="A6" s="53" t="str">
        <f>IFERROR(__xludf.DUMMYFUNCTION("""COMPUTED_VALUE"""),"340/BK-2026")</f>
        <v>340/BK-2026</v>
      </c>
      <c r="B6" s="53" t="str">
        <f>IFERROR(__xludf.DUMMYFUNCTION("""COMPUTED_VALUE"""),"Trịnh Thị Tâm")</f>
        <v>Trịnh Thị Tâm</v>
      </c>
      <c r="C6" s="53" t="str">
        <f>IFERROR(__xludf.DUMMYFUNCTION("""COMPUTED_VALUE"""),"Tam Bình")</f>
        <v>Tam Bình</v>
      </c>
      <c r="D6" s="53" t="str">
        <f>IFERROR(__xludf.DUMMYFUNCTION("""COMPUTED_VALUE"""),"Công Ty")</f>
        <v>Công Ty</v>
      </c>
      <c r="E6" s="46">
        <f>IFERROR(__xludf.DUMMYFUNCTION("""COMPUTED_VALUE"""),46175.0)</f>
        <v>46175</v>
      </c>
      <c r="F6" s="53" t="str">
        <f>IFERROR(__xludf.DUMMYFUNCTION("""COMPUTED_VALUE"""),"Tạ Khắc Tập")</f>
        <v>Tạ Khắc Tập</v>
      </c>
      <c r="G6" s="55" t="str">
        <f>IFERROR(__xludf.DUMMYFUNCTION("""COMPUTED_VALUE"""),"Võ Tứ Hợp")</f>
        <v>Võ Tứ Hợp</v>
      </c>
      <c r="H6" s="53" t="str">
        <f>IFERROR(__xludf.DUMMYFUNCTION("""COMPUTED_VALUE"""),"lệch ranh chờ phương an")</f>
        <v>lệch ranh chờ phương an</v>
      </c>
      <c r="I6" s="53"/>
      <c r="J6" s="53" t="str">
        <f>IFERROR(__xludf.DUMMYFUNCTION("""COMPUTED_VALUE"""),"QUÁ HẠN")</f>
        <v>QUÁ HẠN</v>
      </c>
    </row>
    <row r="7">
      <c r="A7" s="53" t="str">
        <f>IFERROR(__xludf.DUMMYFUNCTION("""COMPUTED_VALUE"""),"347/BK-2026")</f>
        <v>347/BK-2026</v>
      </c>
      <c r="B7" s="53" t="str">
        <f>IFERROR(__xludf.DUMMYFUNCTION("""COMPUTED_VALUE"""),"Nguyễn Văn Đâu")</f>
        <v>Nguyễn Văn Đâu</v>
      </c>
      <c r="C7" s="53" t="str">
        <f>IFERROR(__xludf.DUMMYFUNCTION("""COMPUTED_VALUE"""),"Phước Long")</f>
        <v>Phước Long</v>
      </c>
      <c r="D7" s="53" t="str">
        <f>IFERROR(__xludf.DUMMYFUNCTION("""COMPUTED_VALUE"""),"Đạt Việt Phát Land")</f>
        <v>Đạt Việt Phát Land</v>
      </c>
      <c r="E7" s="46">
        <f>IFERROR(__xludf.DUMMYFUNCTION("""COMPUTED_VALUE"""),46182.0)</f>
        <v>46182</v>
      </c>
      <c r="F7" s="53" t="str">
        <f>IFERROR(__xludf.DUMMYFUNCTION("""COMPUTED_VALUE"""),"Lê Văn Dựng")</f>
        <v>Lê Văn Dựng</v>
      </c>
      <c r="G7" s="55" t="str">
        <f>IFERROR(__xludf.DUMMYFUNCTION("""COMPUTED_VALUE"""),"Võ Tứ Hợp")</f>
        <v>Võ Tứ Hợp</v>
      </c>
      <c r="H7" s="53"/>
      <c r="I7" s="53"/>
      <c r="J7" s="53" t="str">
        <f>IFERROR(__xludf.DUMMYFUNCTION("""COMPUTED_VALUE"""),"QUÁ HẠN")</f>
        <v>QUÁ HẠN</v>
      </c>
    </row>
    <row r="8">
      <c r="A8" s="53" t="str">
        <f>IFERROR(__xludf.DUMMYFUNCTION("""COMPUTED_VALUE"""),"350/BK-2026")</f>
        <v>350/BK-2026</v>
      </c>
      <c r="B8" s="53" t="str">
        <f>IFERROR(__xludf.DUMMYFUNCTION("""COMPUTED_VALUE"""),"Nguyễn Đức Mẫn")</f>
        <v>Nguyễn Đức Mẫn</v>
      </c>
      <c r="C8" s="53" t="str">
        <f>IFERROR(__xludf.DUMMYFUNCTION("""COMPUTED_VALUE"""),"Hiệp Bình")</f>
        <v>Hiệp Bình</v>
      </c>
      <c r="D8" s="53" t="str">
        <f>IFERROR(__xludf.DUMMYFUNCTION("""COMPUTED_VALUE"""),"Công Ty")</f>
        <v>Công Ty</v>
      </c>
      <c r="E8" s="46">
        <f>IFERROR(__xludf.DUMMYFUNCTION("""COMPUTED_VALUE"""),46184.0)</f>
        <v>46184</v>
      </c>
      <c r="F8" s="53" t="str">
        <f>IFERROR(__xludf.DUMMYFUNCTION("""COMPUTED_VALUE"""),"Trương Tấn Quốc")</f>
        <v>Trương Tấn Quốc</v>
      </c>
      <c r="G8" s="55" t="str">
        <f>IFERROR(__xludf.DUMMYFUNCTION("""COMPUTED_VALUE"""),"Võ Tứ Hợp")</f>
        <v>Võ Tứ Hợp</v>
      </c>
      <c r="H8" s="53"/>
      <c r="I8" s="53"/>
      <c r="J8" s="53" t="str">
        <f>IFERROR(__xludf.DUMMYFUNCTION("""COMPUTED_VALUE"""),"QUÁ HẠN")</f>
        <v>QUÁ HẠN</v>
      </c>
    </row>
    <row r="9">
      <c r="A9" s="53" t="str">
        <f>IFERROR(__xludf.DUMMYFUNCTION("""COMPUTED_VALUE"""),"353/BK-2026")</f>
        <v>353/BK-2026</v>
      </c>
      <c r="B9" s="53" t="str">
        <f>IFERROR(__xludf.DUMMYFUNCTION("""COMPUTED_VALUE"""),"Lê Chí Việt")</f>
        <v>Lê Chí Việt</v>
      </c>
      <c r="C9" s="53" t="str">
        <f>IFERROR(__xludf.DUMMYFUNCTION("""COMPUTED_VALUE"""),"Hiệp Bình")</f>
        <v>Hiệp Bình</v>
      </c>
      <c r="D9" s="53" t="str">
        <f>IFERROR(__xludf.DUMMYFUNCTION("""COMPUTED_VALUE"""),"Công Ty")</f>
        <v>Công Ty</v>
      </c>
      <c r="E9" s="46">
        <f>IFERROR(__xludf.DUMMYFUNCTION("""COMPUTED_VALUE"""),46185.0)</f>
        <v>46185</v>
      </c>
      <c r="F9" s="53" t="str">
        <f>IFERROR(__xludf.DUMMYFUNCTION("""COMPUTED_VALUE"""),"Trương Tấn Quốc")</f>
        <v>Trương Tấn Quốc</v>
      </c>
      <c r="G9" s="53" t="str">
        <f>IFERROR(__xludf.DUMMYFUNCTION("""COMPUTED_VALUE"""),"Võ Tứ Hợp")</f>
        <v>Võ Tứ Hợp</v>
      </c>
      <c r="H9" s="53"/>
      <c r="I9" s="53"/>
      <c r="J9" s="53" t="str">
        <f>IFERROR(__xludf.DUMMYFUNCTION("""COMPUTED_VALUE"""),"QUÁ HẠN")</f>
        <v>QUÁ HẠN</v>
      </c>
    </row>
    <row r="10">
      <c r="A10" s="53" t="str">
        <f>IFERROR(__xludf.DUMMYFUNCTION("""COMPUTED_VALUE"""),"356/BK-2026")</f>
        <v>356/BK-2026</v>
      </c>
      <c r="B10" s="53" t="str">
        <f>IFERROR(__xludf.DUMMYFUNCTION("""COMPUTED_VALUE"""),"Bùi Anh Dũng")</f>
        <v>Bùi Anh Dũng</v>
      </c>
      <c r="C10" s="53" t="str">
        <f>IFERROR(__xludf.DUMMYFUNCTION("""COMPUTED_VALUE"""),"Tam Bình")</f>
        <v>Tam Bình</v>
      </c>
      <c r="D10" s="53" t="str">
        <f>IFERROR(__xludf.DUMMYFUNCTION("""COMPUTED_VALUE"""),"Cô Hoa")</f>
        <v>Cô Hoa</v>
      </c>
      <c r="E10" s="46">
        <f>IFERROR(__xludf.DUMMYFUNCTION("""COMPUTED_VALUE"""),46186.0)</f>
        <v>46186</v>
      </c>
      <c r="F10" s="53" t="str">
        <f>IFERROR(__xludf.DUMMYFUNCTION("""COMPUTED_VALUE"""),"Tạ Khắc Tập")</f>
        <v>Tạ Khắc Tập</v>
      </c>
      <c r="G10" s="53" t="str">
        <f>IFERROR(__xludf.DUMMYFUNCTION("""COMPUTED_VALUE"""),"Võ Tứ Hợp")</f>
        <v>Võ Tứ Hợp</v>
      </c>
      <c r="H10" s="53"/>
      <c r="I10" s="53"/>
      <c r="J10" s="53" t="str">
        <f>IFERROR(__xludf.DUMMYFUNCTION("""COMPUTED_VALUE"""),"QUÁ HẠN")</f>
        <v>QUÁ HẠN</v>
      </c>
    </row>
    <row r="11">
      <c r="A11" s="53" t="str">
        <f>IFERROR(__xludf.DUMMYFUNCTION("""COMPUTED_VALUE"""),"357/BK-2026")</f>
        <v>357/BK-2026</v>
      </c>
      <c r="B11" s="53" t="str">
        <f>IFERROR(__xludf.DUMMYFUNCTION("""COMPUTED_VALUE"""),"Nguyễn Văn Quỳnh")</f>
        <v>Nguyễn Văn Quỳnh</v>
      </c>
      <c r="C11" s="53" t="str">
        <f>IFERROR(__xludf.DUMMYFUNCTION("""COMPUTED_VALUE"""),"Tam Bình")</f>
        <v>Tam Bình</v>
      </c>
      <c r="D11" s="53" t="str">
        <f>IFERROR(__xludf.DUMMYFUNCTION("""COMPUTED_VALUE"""),"Cô Hoa")</f>
        <v>Cô Hoa</v>
      </c>
      <c r="E11" s="46">
        <f>IFERROR(__xludf.DUMMYFUNCTION("""COMPUTED_VALUE"""),46186.0)</f>
        <v>46186</v>
      </c>
      <c r="F11" s="53" t="str">
        <f>IFERROR(__xludf.DUMMYFUNCTION("""COMPUTED_VALUE"""),"Tạ Khắc Tập")</f>
        <v>Tạ Khắc Tập</v>
      </c>
      <c r="G11" s="55" t="str">
        <f>IFERROR(__xludf.DUMMYFUNCTION("""COMPUTED_VALUE"""),"Võ Tứ Hợp")</f>
        <v>Võ Tứ Hợp</v>
      </c>
      <c r="H11" s="53"/>
      <c r="I11" s="53"/>
      <c r="J11" s="53" t="str">
        <f>IFERROR(__xludf.DUMMYFUNCTION("""COMPUTED_VALUE"""),"QUÁ HẠN")</f>
        <v>QUÁ HẠN</v>
      </c>
    </row>
    <row r="12">
      <c r="A12" s="53" t="str">
        <f>IFERROR(__xludf.DUMMYFUNCTION("""COMPUTED_VALUE"""),"365/BK-2026")</f>
        <v>365/BK-2026</v>
      </c>
      <c r="B12" s="53" t="str">
        <f>IFERROR(__xludf.DUMMYFUNCTION("""COMPUTED_VALUE"""),"Hồ Trọng Dũng ")</f>
        <v>Hồ Trọng Dũng </v>
      </c>
      <c r="C12" s="53" t="str">
        <f>IFERROR(__xludf.DUMMYFUNCTION("""COMPUTED_VALUE"""),"Hiệp Bình")</f>
        <v>Hiệp Bình</v>
      </c>
      <c r="D12" s="53" t="str">
        <f>IFERROR(__xludf.DUMMYFUNCTION("""COMPUTED_VALUE"""),"Anh Tùng Bất Động Sản")</f>
        <v>Anh Tùng Bất Động Sản</v>
      </c>
      <c r="E12" s="46">
        <f>IFERROR(__xludf.DUMMYFUNCTION("""COMPUTED_VALUE"""),46191.0)</f>
        <v>46191</v>
      </c>
      <c r="F12" s="53" t="str">
        <f>IFERROR(__xludf.DUMMYFUNCTION("""COMPUTED_VALUE"""),"Võ Thành Minh")</f>
        <v>Võ Thành Minh</v>
      </c>
      <c r="G12" s="53" t="str">
        <f>IFERROR(__xludf.DUMMYFUNCTION("""COMPUTED_VALUE"""),"Không cần")</f>
        <v>Không cần</v>
      </c>
      <c r="H12" s="53"/>
      <c r="I12" s="53"/>
      <c r="J12" s="53" t="str">
        <f>IFERROR(__xludf.DUMMYFUNCTION("""COMPUTED_VALUE"""),"QUÁ HẠN")</f>
        <v>QUÁ HẠN</v>
      </c>
    </row>
    <row r="13">
      <c r="A13" s="53" t="str">
        <f>IFERROR(__xludf.DUMMYFUNCTION("""COMPUTED_VALUE"""),"383/BK-2026")</f>
        <v>383/BK-2026</v>
      </c>
      <c r="B13" s="53" t="str">
        <f>IFERROR(__xludf.DUMMYFUNCTION("""COMPUTED_VALUE"""),"Nguyễn Ngọc Thu 1")</f>
        <v>Nguyễn Ngọc Thu 1</v>
      </c>
      <c r="C13" s="53" t="str">
        <f>IFERROR(__xludf.DUMMYFUNCTION("""COMPUTED_VALUE"""),"Tăng Nhơn Phú")</f>
        <v>Tăng Nhơn Phú</v>
      </c>
      <c r="D13" s="53" t="str">
        <f>IFERROR(__xludf.DUMMYFUNCTION("""COMPUTED_VALUE"""),"Đạt Việt Phát Land")</f>
        <v>Đạt Việt Phát Land</v>
      </c>
      <c r="E13" s="46">
        <f>IFERROR(__xludf.DUMMYFUNCTION("""COMPUTED_VALUE"""),46192.0)</f>
        <v>46192</v>
      </c>
      <c r="F13" s="53" t="str">
        <f>IFERROR(__xludf.DUMMYFUNCTION("""COMPUTED_VALUE"""),"Trương Tấn Quốc")</f>
        <v>Trương Tấn Quốc</v>
      </c>
      <c r="G13" s="53" t="str">
        <f>IFERROR(__xludf.DUMMYFUNCTION("""COMPUTED_VALUE"""),"Võ Tứ Hợp")</f>
        <v>Võ Tứ Hợp</v>
      </c>
      <c r="H13" s="53"/>
      <c r="I13" s="53"/>
      <c r="J13" s="53" t="str">
        <f>IFERROR(__xludf.DUMMYFUNCTION("""COMPUTED_VALUE"""),"QUÁ HẠN")</f>
        <v>QUÁ HẠN</v>
      </c>
    </row>
    <row r="14">
      <c r="A14" s="53" t="str">
        <f>IFERROR(__xludf.DUMMYFUNCTION("""COMPUTED_VALUE"""),"384/BK-2026")</f>
        <v>384/BK-2026</v>
      </c>
      <c r="B14" s="53" t="str">
        <f>IFERROR(__xludf.DUMMYFUNCTION("""COMPUTED_VALUE"""),"Nguyễn Ngọc Thu 2")</f>
        <v>Nguyễn Ngọc Thu 2</v>
      </c>
      <c r="C14" s="53" t="str">
        <f>IFERROR(__xludf.DUMMYFUNCTION("""COMPUTED_VALUE"""),"Tăng Nhơn Phú")</f>
        <v>Tăng Nhơn Phú</v>
      </c>
      <c r="D14" s="53" t="str">
        <f>IFERROR(__xludf.DUMMYFUNCTION("""COMPUTED_VALUE"""),"Đạt Việt Phát Land")</f>
        <v>Đạt Việt Phát Land</v>
      </c>
      <c r="E14" s="46">
        <f>IFERROR(__xludf.DUMMYFUNCTION("""COMPUTED_VALUE"""),46192.0)</f>
        <v>46192</v>
      </c>
      <c r="F14" s="53" t="str">
        <f>IFERROR(__xludf.DUMMYFUNCTION("""COMPUTED_VALUE"""),"Trương Tấn Quốc")</f>
        <v>Trương Tấn Quốc</v>
      </c>
      <c r="G14" s="53" t="str">
        <f>IFERROR(__xludf.DUMMYFUNCTION("""COMPUTED_VALUE"""),"Võ Tứ Hợp")</f>
        <v>Võ Tứ Hợp</v>
      </c>
      <c r="H14" s="53"/>
      <c r="I14" s="53"/>
      <c r="J14" s="53" t="str">
        <f>IFERROR(__xludf.DUMMYFUNCTION("""COMPUTED_VALUE"""),"QUÁ HẠN")</f>
        <v>QUÁ HẠN</v>
      </c>
    </row>
    <row r="15">
      <c r="A15" s="53" t="str">
        <f>IFERROR(__xludf.DUMMYFUNCTION("""COMPUTED_VALUE"""),"395/BK-2026")</f>
        <v>395/BK-2026</v>
      </c>
      <c r="B15" s="53" t="str">
        <f>IFERROR(__xludf.DUMMYFUNCTION("""COMPUTED_VALUE"""),"Đinh Văn Hoàng Hải(Bình Thạnh)")</f>
        <v>Đinh Văn Hoàng Hải(Bình Thạnh)</v>
      </c>
      <c r="C15" s="53" t="str">
        <f>IFERROR(__xludf.DUMMYFUNCTION("""COMPUTED_VALUE"""),"Ngoài Thủ Đức")</f>
        <v>Ngoài Thủ Đức</v>
      </c>
      <c r="D15" s="53" t="str">
        <f>IFERROR(__xludf.DUMMYFUNCTION("""COMPUTED_VALUE"""),"Công Ty")</f>
        <v>Công Ty</v>
      </c>
      <c r="E15" s="46">
        <f>IFERROR(__xludf.DUMMYFUNCTION("""COMPUTED_VALUE"""),46199.0)</f>
        <v>46199</v>
      </c>
      <c r="F15" s="53" t="str">
        <f>IFERROR(__xludf.DUMMYFUNCTION("""COMPUTED_VALUE"""),"Lê Văn Dựng")</f>
        <v>Lê Văn Dựng</v>
      </c>
      <c r="G15" s="53" t="str">
        <f>IFERROR(__xludf.DUMMYFUNCTION("""COMPUTED_VALUE"""),"Võ Tứ Hợp")</f>
        <v>Võ Tứ Hợp</v>
      </c>
      <c r="H15" s="53"/>
      <c r="I15" s="53"/>
      <c r="J15" s="53" t="str">
        <f>IFERROR(__xludf.DUMMYFUNCTION("""COMPUTED_VALUE"""),"Trong hạn")</f>
        <v>Trong hạn</v>
      </c>
    </row>
    <row r="16">
      <c r="A16" s="53"/>
      <c r="B16" s="53"/>
      <c r="C16" s="53"/>
      <c r="D16" s="53"/>
      <c r="E16" s="53"/>
      <c r="F16" s="53"/>
      <c r="G16" s="53"/>
      <c r="H16" s="53"/>
      <c r="I16" s="53"/>
      <c r="J16" s="53"/>
    </row>
    <row r="17">
      <c r="A17" s="53"/>
      <c r="B17" s="53"/>
      <c r="C17" s="53"/>
      <c r="D17" s="53"/>
      <c r="E17" s="53"/>
      <c r="F17" s="53"/>
      <c r="G17" s="55"/>
      <c r="H17" s="53"/>
      <c r="I17" s="53"/>
      <c r="J17" s="53"/>
    </row>
    <row r="18">
      <c r="A18" s="53"/>
      <c r="B18" s="53"/>
      <c r="C18" s="53"/>
      <c r="D18" s="53"/>
      <c r="E18" s="53"/>
      <c r="F18" s="53"/>
      <c r="G18" s="53"/>
      <c r="H18" s="53"/>
      <c r="I18" s="53"/>
      <c r="J18" s="53"/>
    </row>
    <row r="19">
      <c r="A19" s="53"/>
      <c r="B19" s="53"/>
      <c r="C19" s="53"/>
      <c r="D19" s="53"/>
      <c r="E19" s="53"/>
      <c r="F19" s="53"/>
      <c r="G19" s="53"/>
      <c r="H19" s="53"/>
      <c r="I19" s="53"/>
      <c r="J19" s="53"/>
    </row>
    <row r="20">
      <c r="A20" s="53"/>
      <c r="B20" s="53"/>
      <c r="C20" s="53"/>
      <c r="D20" s="53"/>
      <c r="E20" s="53"/>
      <c r="F20" s="53"/>
      <c r="G20" s="55"/>
      <c r="H20" s="53"/>
      <c r="I20" s="53"/>
      <c r="J20" s="53"/>
    </row>
    <row r="21">
      <c r="A21" s="53"/>
      <c r="B21" s="53"/>
      <c r="C21" s="53"/>
      <c r="D21" s="53"/>
      <c r="E21" s="53"/>
      <c r="F21" s="53"/>
      <c r="G21" s="55"/>
      <c r="H21" s="53"/>
      <c r="I21" s="53"/>
      <c r="J21" s="53"/>
    </row>
    <row r="22">
      <c r="A22" s="53"/>
      <c r="B22" s="53"/>
      <c r="C22" s="53"/>
      <c r="D22" s="53"/>
      <c r="E22" s="53"/>
      <c r="F22" s="53"/>
      <c r="G22" s="53"/>
      <c r="H22" s="53"/>
      <c r="I22" s="53"/>
      <c r="J22" s="53"/>
    </row>
    <row r="23">
      <c r="A23" s="53"/>
      <c r="B23" s="53"/>
      <c r="C23" s="53"/>
      <c r="D23" s="53"/>
      <c r="E23" s="53"/>
      <c r="F23" s="53"/>
      <c r="G23" s="55"/>
      <c r="H23" s="53"/>
      <c r="I23" s="53"/>
      <c r="J23" s="53"/>
    </row>
    <row r="24">
      <c r="A24" s="53"/>
      <c r="B24" s="53"/>
      <c r="C24" s="53"/>
      <c r="D24" s="53"/>
      <c r="E24" s="53"/>
      <c r="F24" s="53"/>
      <c r="G24" s="53"/>
      <c r="H24" s="53"/>
      <c r="I24" s="53"/>
      <c r="J24" s="53"/>
    </row>
    <row r="25">
      <c r="A25" s="53"/>
      <c r="B25" s="53"/>
      <c r="C25" s="53"/>
      <c r="D25" s="53"/>
      <c r="E25" s="53"/>
      <c r="F25" s="53"/>
      <c r="G25" s="53"/>
      <c r="H25" s="53"/>
      <c r="I25" s="53"/>
      <c r="J25" s="53"/>
    </row>
    <row r="26">
      <c r="A26" s="53"/>
      <c r="B26" s="53"/>
      <c r="C26" s="53"/>
      <c r="D26" s="53"/>
      <c r="E26" s="53"/>
      <c r="F26" s="53"/>
      <c r="G26" s="53"/>
      <c r="H26" s="53"/>
      <c r="I26" s="53"/>
      <c r="J26" s="53"/>
    </row>
    <row r="27">
      <c r="A27" s="53"/>
      <c r="B27" s="53"/>
      <c r="C27" s="53"/>
      <c r="D27" s="53"/>
      <c r="E27" s="53"/>
      <c r="F27" s="53"/>
      <c r="G27" s="53"/>
      <c r="H27" s="53"/>
      <c r="I27" s="53"/>
      <c r="J27" s="53"/>
    </row>
    <row r="28">
      <c r="A28" s="53"/>
      <c r="B28" s="53"/>
      <c r="C28" s="53"/>
      <c r="D28" s="53"/>
      <c r="E28" s="53"/>
      <c r="F28" s="53"/>
      <c r="G28" s="53"/>
      <c r="H28" s="53"/>
      <c r="I28" s="53"/>
      <c r="J28" s="53"/>
    </row>
    <row r="29">
      <c r="A29" s="53"/>
      <c r="B29" s="53"/>
      <c r="C29" s="53"/>
      <c r="D29" s="53"/>
      <c r="E29" s="53"/>
      <c r="F29" s="53"/>
      <c r="G29" s="53"/>
      <c r="H29" s="53"/>
      <c r="I29" s="53"/>
      <c r="J29" s="53"/>
    </row>
    <row r="30">
      <c r="A30" s="53"/>
      <c r="B30" s="53"/>
      <c r="C30" s="53"/>
      <c r="D30" s="53"/>
      <c r="E30" s="53"/>
      <c r="F30" s="53"/>
      <c r="G30" s="53"/>
      <c r="H30" s="53"/>
      <c r="I30" s="53"/>
      <c r="J30" s="53"/>
    </row>
    <row r="31">
      <c r="A31" s="53"/>
      <c r="B31" s="53"/>
      <c r="C31" s="53"/>
      <c r="D31" s="53"/>
      <c r="E31" s="53"/>
      <c r="F31" s="53"/>
      <c r="G31" s="53"/>
      <c r="H31" s="53"/>
      <c r="I31" s="53"/>
      <c r="J31" s="53"/>
    </row>
    <row r="32">
      <c r="A32" s="53"/>
      <c r="B32" s="53"/>
      <c r="C32" s="53"/>
      <c r="D32" s="53"/>
      <c r="E32" s="53"/>
      <c r="F32" s="53"/>
      <c r="G32" s="53"/>
      <c r="H32" s="53"/>
      <c r="I32" s="53"/>
      <c r="J32" s="53"/>
    </row>
    <row r="33">
      <c r="A33" s="53"/>
      <c r="B33" s="53"/>
      <c r="C33" s="53"/>
      <c r="D33" s="53"/>
      <c r="E33" s="53"/>
      <c r="F33" s="53"/>
      <c r="G33" s="53"/>
      <c r="H33" s="53"/>
      <c r="I33" s="53"/>
      <c r="J33" s="53"/>
    </row>
    <row r="34">
      <c r="A34" s="53"/>
      <c r="B34" s="53"/>
      <c r="C34" s="53"/>
      <c r="D34" s="53"/>
      <c r="E34" s="53"/>
      <c r="F34" s="53"/>
      <c r="G34" s="53"/>
      <c r="H34" s="53"/>
      <c r="I34" s="53"/>
      <c r="J34" s="53"/>
    </row>
    <row r="35">
      <c r="A35" s="53"/>
      <c r="B35" s="53"/>
      <c r="C35" s="53"/>
      <c r="D35" s="53"/>
      <c r="E35" s="53"/>
      <c r="F35" s="53"/>
      <c r="G35" s="53"/>
      <c r="H35" s="53"/>
      <c r="I35" s="53"/>
      <c r="J35" s="53"/>
    </row>
    <row r="36">
      <c r="A36" s="53"/>
      <c r="B36" s="53"/>
      <c r="C36" s="53"/>
      <c r="D36" s="53"/>
      <c r="E36" s="53"/>
      <c r="F36" s="53"/>
      <c r="G36" s="55"/>
      <c r="H36" s="53"/>
      <c r="I36" s="53"/>
      <c r="J36" s="53"/>
    </row>
    <row r="37">
      <c r="A37" s="53"/>
      <c r="B37" s="53"/>
      <c r="C37" s="53"/>
      <c r="D37" s="53"/>
      <c r="E37" s="53"/>
      <c r="F37" s="53"/>
      <c r="G37" s="53"/>
      <c r="H37" s="53"/>
      <c r="I37" s="53"/>
      <c r="J37" s="53"/>
    </row>
    <row r="38">
      <c r="A38" s="53"/>
      <c r="B38" s="53"/>
      <c r="C38" s="53"/>
      <c r="D38" s="53"/>
      <c r="E38" s="53"/>
      <c r="F38" s="53"/>
      <c r="G38" s="53"/>
      <c r="H38" s="53"/>
      <c r="I38" s="53"/>
      <c r="J38" s="53"/>
    </row>
    <row r="39">
      <c r="A39" s="53"/>
      <c r="B39" s="53"/>
      <c r="C39" s="53"/>
      <c r="D39" s="53"/>
      <c r="E39" s="53"/>
      <c r="F39" s="53"/>
      <c r="G39" s="53"/>
      <c r="H39" s="53"/>
      <c r="I39" s="53"/>
      <c r="J39" s="53"/>
    </row>
    <row r="40">
      <c r="A40" s="53"/>
      <c r="B40" s="53"/>
      <c r="C40" s="53"/>
      <c r="D40" s="53"/>
      <c r="E40" s="53"/>
      <c r="F40" s="53"/>
      <c r="G40" s="53"/>
      <c r="H40" s="53"/>
      <c r="I40" s="53"/>
      <c r="J40" s="53"/>
    </row>
    <row r="41">
      <c r="A41" s="53"/>
      <c r="B41" s="53"/>
      <c r="C41" s="53"/>
      <c r="D41" s="53"/>
      <c r="E41" s="53"/>
      <c r="F41" s="53"/>
      <c r="G41" s="53"/>
      <c r="H41" s="53"/>
      <c r="I41" s="53"/>
      <c r="J41" s="53"/>
    </row>
    <row r="42">
      <c r="A42" s="53"/>
      <c r="B42" s="53"/>
      <c r="C42" s="53"/>
      <c r="D42" s="53"/>
      <c r="E42" s="53"/>
      <c r="F42" s="53"/>
      <c r="G42" s="53"/>
      <c r="H42" s="53"/>
      <c r="I42" s="53"/>
      <c r="J42" s="53"/>
    </row>
    <row r="43">
      <c r="A43" s="53"/>
      <c r="B43" s="53"/>
      <c r="C43" s="53"/>
      <c r="D43" s="53"/>
      <c r="E43" s="53"/>
      <c r="F43" s="53"/>
      <c r="G43" s="53"/>
      <c r="H43" s="53"/>
      <c r="I43" s="53"/>
      <c r="J43" s="53"/>
    </row>
    <row r="44">
      <c r="A44" s="53"/>
      <c r="B44" s="53"/>
      <c r="C44" s="53"/>
      <c r="D44" s="53"/>
      <c r="E44" s="53"/>
      <c r="F44" s="53"/>
      <c r="G44" s="53"/>
      <c r="H44" s="53"/>
      <c r="I44" s="53"/>
      <c r="J44" s="53"/>
    </row>
    <row r="45">
      <c r="A45" s="53"/>
      <c r="B45" s="53"/>
      <c r="C45" s="53"/>
      <c r="D45" s="53"/>
      <c r="E45" s="53"/>
      <c r="F45" s="53"/>
      <c r="G45" s="53"/>
      <c r="H45" s="53"/>
      <c r="I45" s="53"/>
      <c r="J45" s="53"/>
    </row>
    <row r="46">
      <c r="A46" s="53"/>
      <c r="B46" s="53"/>
      <c r="C46" s="53"/>
      <c r="D46" s="53"/>
      <c r="E46" s="53"/>
      <c r="F46" s="53"/>
      <c r="G46" s="53"/>
      <c r="H46" s="53"/>
      <c r="I46" s="53"/>
      <c r="J46" s="53"/>
    </row>
    <row r="47">
      <c r="A47" s="53"/>
      <c r="B47" s="53"/>
      <c r="C47" s="53"/>
      <c r="D47" s="53"/>
      <c r="E47" s="53"/>
      <c r="F47" s="53"/>
      <c r="G47" s="53"/>
      <c r="H47" s="53"/>
      <c r="I47" s="53"/>
      <c r="J47" s="53"/>
    </row>
    <row r="48">
      <c r="A48" s="53"/>
      <c r="B48" s="53"/>
      <c r="C48" s="53"/>
      <c r="D48" s="53"/>
      <c r="E48" s="53"/>
      <c r="F48" s="53"/>
      <c r="G48" s="53"/>
      <c r="H48" s="53"/>
      <c r="I48" s="53"/>
      <c r="J48" s="53"/>
    </row>
    <row r="49">
      <c r="A49" s="53"/>
      <c r="B49" s="53"/>
      <c r="C49" s="53"/>
      <c r="D49" s="53"/>
      <c r="E49" s="53"/>
      <c r="F49" s="53"/>
      <c r="G49" s="53"/>
      <c r="H49" s="53"/>
      <c r="I49" s="53"/>
      <c r="J49" s="53"/>
    </row>
  </sheetData>
  <conditionalFormatting sqref="G1:G998">
    <cfRule type="containsText" dxfId="9" priority="1" operator="containsText" text="đợi">
      <formula>NOT(ISERROR(SEARCH(("đợi"),(G1))))</formula>
    </cfRule>
  </conditionalFormatting>
  <conditionalFormatting sqref="G1:G998">
    <cfRule type="containsText" dxfId="32" priority="2" operator="containsText" text="đã cho">
      <formula>NOT(ISERROR(SEARCH(("đã cho"),(G1))))</formula>
    </cfRule>
  </conditionalFormatting>
  <conditionalFormatting sqref="G1:G998">
    <cfRule type="containsText" dxfId="29" priority="3" operator="containsText" text="hủy">
      <formula>NOT(ISERROR(SEARCH(("hủy"),(G1))))</formula>
    </cfRule>
  </conditionalFormatting>
  <conditionalFormatting sqref="D1:D998">
    <cfRule type="containsText" dxfId="33" priority="4" operator="containsText" text="XÂY">
      <formula>NOT(ISERROR(SEARCH(("XÂY"),(D1))))</formula>
    </cfRule>
  </conditionalFormatting>
  <conditionalFormatting sqref="D1:D998">
    <cfRule type="containsText" dxfId="9" priority="5" operator="containsText" text="THÔNG">
      <formula>NOT(ISERROR(SEARCH(("THÔNG"),(D1))))</formula>
    </cfRule>
  </conditionalFormatting>
  <conditionalFormatting sqref="D1:D998">
    <cfRule type="containsText" dxfId="34" priority="6" operator="containsText" text="DỰNG">
      <formula>NOT(ISERROR(SEARCH(("DỰNG"),(D1))))</formula>
    </cfRule>
  </conditionalFormatting>
  <conditionalFormatting sqref="D1:D998">
    <cfRule type="containsText" dxfId="35" priority="7" operator="containsText" text="TẬP">
      <formula>NOT(ISERROR(SEARCH(("TẬP"),(D1))))</formula>
    </cfRule>
  </conditionalFormatting>
  <conditionalFormatting sqref="D1:D998">
    <cfRule type="containsText" dxfId="36" priority="8" operator="containsText" text="QUỐC">
      <formula>NOT(ISERROR(SEARCH(("QUỐC"),(D1))))</formula>
    </cfRule>
  </conditionalFormatting>
  <conditionalFormatting sqref="F1:F998">
    <cfRule type="containsText" dxfId="37" priority="9" operator="containsText" text="thông">
      <formula>NOT(ISERROR(SEARCH(("thông"),(F1))))</formula>
    </cfRule>
  </conditionalFormatting>
  <conditionalFormatting sqref="F1:F998">
    <cfRule type="containsText" dxfId="17" priority="10" operator="containsText" text="quốc">
      <formula>NOT(ISERROR(SEARCH(("quốc"),(F1))))</formula>
    </cfRule>
  </conditionalFormatting>
  <conditionalFormatting sqref="F1:F998">
    <cfRule type="containsText" dxfId="38" priority="11" operator="containsText" text="xây">
      <formula>NOT(ISERROR(SEARCH(("xây"),(F1))))</formula>
    </cfRule>
  </conditionalFormatting>
  <conditionalFormatting sqref="F1:F998">
    <cfRule type="containsText" dxfId="20" priority="12" operator="containsText" text="dựng">
      <formula>NOT(ISERROR(SEARCH(("dựng"),(F1))))</formula>
    </cfRule>
  </conditionalFormatting>
  <conditionalFormatting sqref="F1:F998">
    <cfRule type="containsText" dxfId="18" priority="13" operator="containsText" text="tập">
      <formula>NOT(ISERROR(SEARCH(("tập"),(F1))))</formula>
    </cfRule>
  </conditionalFormatting>
  <conditionalFormatting sqref="I1:I998">
    <cfRule type="containsText" dxfId="29" priority="14" operator="containsText" text="hủy">
      <formula>NOT(ISERROR(SEARCH(("hủy"),(I1))))</formula>
    </cfRule>
  </conditionalFormatting>
  <conditionalFormatting sqref="I1:I998">
    <cfRule type="containsText" dxfId="8" priority="15" operator="containsText" text="đã cho">
      <formula>NOT(ISERROR(SEARCH(("đã cho"),(I1))))</formula>
    </cfRule>
  </conditionalFormatting>
  <conditionalFormatting sqref="I1:I998">
    <cfRule type="containsText" dxfId="39" priority="16" operator="containsText" text="đợi ">
      <formula>NOT(ISERROR(SEARCH(("đợi "),(I1))))</formula>
    </cfRule>
  </conditionalFormatting>
  <conditionalFormatting sqref="I1:I998">
    <cfRule type="containsText" dxfId="32" priority="17" operator="containsText" text="NỘP">
      <formula>NOT(ISERROR(SEARCH(("NỘP"),(I1))))</formula>
    </cfRule>
  </conditionalFormatting>
  <conditionalFormatting sqref="J1:J998">
    <cfRule type="containsText" dxfId="40" priority="18" operator="containsText" text="trong">
      <formula>NOT(ISERROR(SEARCH(("trong"),(J1))))</formula>
    </cfRule>
  </conditionalFormatting>
  <conditionalFormatting sqref="J1:J998">
    <cfRule type="containsText" dxfId="41" priority="19" operator="containsText" text="quá">
      <formula>NOT(ISERROR(SEARCH(("quá"),(J1))))</formula>
    </cfRule>
  </conditionalFormatting>
  <conditionalFormatting sqref="H1:H998">
    <cfRule type="containsText" dxfId="42" priority="20" operator="containsText" text="đã nộp">
      <formula>NOT(ISERROR(SEARCH(("đã nộp"),(H1))))</formula>
    </cfRule>
  </conditionalFormatting>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5.25"/>
    <col customWidth="1" min="3" max="3" width="17.75"/>
    <col customWidth="1" min="4" max="4" width="28.5"/>
    <col customWidth="1" min="5" max="5" width="27.88"/>
    <col customWidth="1" min="6" max="6" width="22.25"/>
    <col customWidth="1" min="7" max="7" width="20.75"/>
    <col customWidth="1" min="8" max="8" width="20.25"/>
    <col customWidth="1" min="9" max="9" width="19.0"/>
    <col customWidth="1" min="10" max="16" width="18.88"/>
  </cols>
  <sheetData>
    <row r="1" ht="22.5" customHeight="1">
      <c r="A1" s="69" t="s">
        <v>0</v>
      </c>
      <c r="B1" s="69" t="s">
        <v>2024</v>
      </c>
      <c r="C1" s="69" t="s">
        <v>2025</v>
      </c>
      <c r="D1" s="70" t="s">
        <v>2026</v>
      </c>
      <c r="E1" s="69" t="s">
        <v>2027</v>
      </c>
      <c r="F1" s="69" t="s">
        <v>2028</v>
      </c>
      <c r="G1" s="69" t="s">
        <v>2029</v>
      </c>
      <c r="H1" s="71" t="s">
        <v>2030</v>
      </c>
      <c r="I1" s="71" t="s">
        <v>2031</v>
      </c>
      <c r="J1" s="71" t="s">
        <v>2032</v>
      </c>
      <c r="K1" s="71" t="s">
        <v>2033</v>
      </c>
    </row>
    <row r="2" ht="22.5" hidden="1" customHeight="1">
      <c r="A2" s="35">
        <v>45884.452311493056</v>
      </c>
      <c r="B2" s="15" t="s">
        <v>98</v>
      </c>
      <c r="C2" s="15" t="s">
        <v>81</v>
      </c>
      <c r="D2" s="15" t="s">
        <v>2034</v>
      </c>
      <c r="E2" s="37"/>
      <c r="F2" s="37"/>
      <c r="G2" s="37"/>
      <c r="H2" s="15" t="s">
        <v>2035</v>
      </c>
      <c r="I2" s="72">
        <v>45880.0</v>
      </c>
      <c r="J2" s="73"/>
      <c r="K2" s="73"/>
    </row>
    <row r="3" ht="22.5" hidden="1" customHeight="1">
      <c r="A3" s="35">
        <v>45884.4535108912</v>
      </c>
      <c r="B3" s="15" t="s">
        <v>101</v>
      </c>
      <c r="C3" s="15" t="s">
        <v>81</v>
      </c>
      <c r="D3" s="15" t="s">
        <v>2034</v>
      </c>
      <c r="E3" s="37"/>
      <c r="F3" s="37"/>
      <c r="G3" s="37"/>
      <c r="H3" s="15" t="s">
        <v>2035</v>
      </c>
      <c r="I3" s="72">
        <v>45880.0</v>
      </c>
      <c r="J3" s="73"/>
      <c r="K3" s="73"/>
    </row>
    <row r="4" ht="22.5" hidden="1" customHeight="1">
      <c r="A4" s="35">
        <v>45884.45426745371</v>
      </c>
      <c r="B4" s="15" t="s">
        <v>103</v>
      </c>
      <c r="C4" s="15" t="s">
        <v>81</v>
      </c>
      <c r="D4" s="15" t="s">
        <v>2034</v>
      </c>
      <c r="E4" s="37"/>
      <c r="F4" s="37"/>
      <c r="G4" s="37"/>
      <c r="H4" s="15" t="s">
        <v>2035</v>
      </c>
      <c r="I4" s="72">
        <v>45883.0</v>
      </c>
      <c r="J4" s="73"/>
      <c r="K4" s="73"/>
    </row>
    <row r="5" ht="22.5" hidden="1" customHeight="1">
      <c r="A5" s="35">
        <v>45883.68676709491</v>
      </c>
      <c r="B5" s="15" t="s">
        <v>200</v>
      </c>
      <c r="C5" s="15" t="s">
        <v>2035</v>
      </c>
      <c r="D5" s="15" t="s">
        <v>2036</v>
      </c>
      <c r="E5" s="37"/>
      <c r="F5" s="72">
        <v>45894.0</v>
      </c>
      <c r="G5" s="74" t="s">
        <v>2037</v>
      </c>
      <c r="H5" s="15" t="s">
        <v>2035</v>
      </c>
      <c r="I5" s="72">
        <v>45882.0</v>
      </c>
      <c r="J5" s="73"/>
      <c r="K5" s="73"/>
    </row>
    <row r="6" ht="22.5" hidden="1" customHeight="1">
      <c r="A6" s="35">
        <v>45883.49269615741</v>
      </c>
      <c r="B6" s="15" t="s">
        <v>213</v>
      </c>
      <c r="C6" s="15" t="s">
        <v>81</v>
      </c>
      <c r="D6" s="15" t="s">
        <v>2034</v>
      </c>
      <c r="E6" s="37"/>
      <c r="F6" s="72">
        <v>45878.0</v>
      </c>
      <c r="G6" s="37"/>
      <c r="H6" s="15" t="s">
        <v>2035</v>
      </c>
      <c r="I6" s="72">
        <v>45879.0</v>
      </c>
      <c r="J6" s="73"/>
      <c r="K6" s="73"/>
    </row>
    <row r="7" ht="22.5" hidden="1" customHeight="1">
      <c r="A7" s="75">
        <v>45881.68373509259</v>
      </c>
      <c r="B7" s="76" t="s">
        <v>217</v>
      </c>
      <c r="C7" s="76" t="s">
        <v>2038</v>
      </c>
      <c r="D7" s="76" t="s">
        <v>2036</v>
      </c>
      <c r="E7" s="77"/>
      <c r="F7" s="78">
        <v>45891.0</v>
      </c>
      <c r="G7" s="79" t="s">
        <v>2039</v>
      </c>
      <c r="H7" s="76" t="s">
        <v>2035</v>
      </c>
      <c r="I7" s="78">
        <v>45880.0</v>
      </c>
      <c r="J7" s="80"/>
      <c r="K7" s="80"/>
    </row>
    <row r="8" ht="22.5" hidden="1" customHeight="1">
      <c r="A8" s="35">
        <v>45883.490449108795</v>
      </c>
      <c r="B8" s="15" t="s">
        <v>220</v>
      </c>
      <c r="C8" s="15" t="s">
        <v>81</v>
      </c>
      <c r="D8" s="15" t="s">
        <v>2034</v>
      </c>
      <c r="E8" s="37"/>
      <c r="F8" s="37"/>
      <c r="G8" s="37"/>
      <c r="H8" s="15" t="s">
        <v>2035</v>
      </c>
      <c r="I8" s="72">
        <v>45878.0</v>
      </c>
      <c r="J8" s="73"/>
      <c r="K8" s="73"/>
    </row>
    <row r="9" ht="22.5" hidden="1" customHeight="1">
      <c r="A9" s="35">
        <v>45884.62361001158</v>
      </c>
      <c r="B9" s="15" t="s">
        <v>225</v>
      </c>
      <c r="C9" s="15" t="s">
        <v>2038</v>
      </c>
      <c r="D9" s="15" t="s">
        <v>2036</v>
      </c>
      <c r="E9" s="37"/>
      <c r="F9" s="72">
        <v>45895.0</v>
      </c>
      <c r="G9" s="74" t="s">
        <v>2040</v>
      </c>
      <c r="H9" s="15" t="s">
        <v>2035</v>
      </c>
      <c r="I9" s="72">
        <v>45884.0</v>
      </c>
      <c r="J9" s="73"/>
      <c r="K9" s="73"/>
    </row>
    <row r="10" ht="22.5" hidden="1" customHeight="1">
      <c r="A10" s="35">
        <v>45884.66682784722</v>
      </c>
      <c r="B10" s="15" t="s">
        <v>227</v>
      </c>
      <c r="C10" s="15" t="s">
        <v>2038</v>
      </c>
      <c r="D10" s="15" t="s">
        <v>2036</v>
      </c>
      <c r="E10" s="37"/>
      <c r="F10" s="72">
        <v>45896.0</v>
      </c>
      <c r="G10" s="74" t="s">
        <v>2041</v>
      </c>
      <c r="H10" s="15" t="s">
        <v>2035</v>
      </c>
      <c r="I10" s="72">
        <v>45884.0</v>
      </c>
      <c r="J10" s="73"/>
      <c r="K10" s="73"/>
    </row>
    <row r="11" ht="22.5" hidden="1" customHeight="1">
      <c r="A11" s="35">
        <v>45883.49344172454</v>
      </c>
      <c r="B11" s="15" t="s">
        <v>229</v>
      </c>
      <c r="C11" s="15" t="s">
        <v>81</v>
      </c>
      <c r="D11" s="15" t="s">
        <v>2034</v>
      </c>
      <c r="E11" s="37"/>
      <c r="F11" s="37"/>
      <c r="G11" s="37"/>
      <c r="H11" s="15" t="s">
        <v>2035</v>
      </c>
      <c r="I11" s="72">
        <v>45879.0</v>
      </c>
      <c r="J11" s="73"/>
      <c r="K11" s="73"/>
    </row>
    <row r="12" ht="22.5" hidden="1" customHeight="1">
      <c r="A12" s="35">
        <v>45882.663357453705</v>
      </c>
      <c r="B12" s="15" t="s">
        <v>239</v>
      </c>
      <c r="C12" s="15" t="s">
        <v>2035</v>
      </c>
      <c r="D12" s="15" t="s">
        <v>2036</v>
      </c>
      <c r="E12" s="37"/>
      <c r="F12" s="72">
        <v>45894.0</v>
      </c>
      <c r="G12" s="74" t="s">
        <v>2042</v>
      </c>
      <c r="H12" s="15" t="s">
        <v>2035</v>
      </c>
      <c r="I12" s="72">
        <v>45881.0</v>
      </c>
      <c r="J12" s="73"/>
      <c r="K12" s="73"/>
    </row>
    <row r="13" ht="22.5" hidden="1" customHeight="1">
      <c r="A13" s="35">
        <v>45883.491072696765</v>
      </c>
      <c r="B13" s="15" t="s">
        <v>241</v>
      </c>
      <c r="C13" s="15" t="s">
        <v>81</v>
      </c>
      <c r="D13" s="15" t="s">
        <v>2034</v>
      </c>
      <c r="E13" s="37"/>
      <c r="F13" s="37"/>
      <c r="G13" s="37"/>
      <c r="H13" s="15" t="s">
        <v>2035</v>
      </c>
      <c r="I13" s="72">
        <v>45881.0</v>
      </c>
      <c r="J13" s="73"/>
      <c r="K13" s="73"/>
    </row>
    <row r="14" ht="22.5" hidden="1" customHeight="1">
      <c r="A14" s="35">
        <v>45884.33901822916</v>
      </c>
      <c r="B14" s="15" t="s">
        <v>242</v>
      </c>
      <c r="C14" s="15" t="s">
        <v>81</v>
      </c>
      <c r="D14" s="15" t="s">
        <v>2034</v>
      </c>
      <c r="E14" s="37"/>
      <c r="F14" s="37"/>
      <c r="G14" s="37"/>
      <c r="H14" s="15" t="s">
        <v>2035</v>
      </c>
      <c r="I14" s="72">
        <v>45881.0</v>
      </c>
      <c r="J14" s="73"/>
      <c r="K14" s="73"/>
    </row>
    <row r="15" ht="22.5" hidden="1" customHeight="1">
      <c r="A15" s="35">
        <v>45883.494353622686</v>
      </c>
      <c r="B15" s="15" t="s">
        <v>244</v>
      </c>
      <c r="C15" s="15" t="s">
        <v>81</v>
      </c>
      <c r="D15" s="15" t="s">
        <v>2034</v>
      </c>
      <c r="E15" s="37"/>
      <c r="F15" s="37"/>
      <c r="G15" s="37"/>
      <c r="H15" s="15" t="s">
        <v>2035</v>
      </c>
      <c r="I15" s="72">
        <v>45874.0</v>
      </c>
      <c r="J15" s="73"/>
      <c r="K15" s="73"/>
    </row>
    <row r="16" ht="22.5" hidden="1" customHeight="1">
      <c r="A16" s="35">
        <v>45883.588169421295</v>
      </c>
      <c r="B16" s="15" t="s">
        <v>247</v>
      </c>
      <c r="C16" s="15" t="s">
        <v>2035</v>
      </c>
      <c r="D16" s="15" t="s">
        <v>2036</v>
      </c>
      <c r="E16" s="37"/>
      <c r="F16" s="72">
        <v>45894.0</v>
      </c>
      <c r="G16" s="74" t="s">
        <v>2043</v>
      </c>
      <c r="H16" s="15" t="s">
        <v>2035</v>
      </c>
      <c r="I16" s="72">
        <v>45882.0</v>
      </c>
      <c r="J16" s="73"/>
      <c r="K16" s="73"/>
    </row>
    <row r="17" ht="22.5" hidden="1" customHeight="1">
      <c r="A17" s="35">
        <v>45883.58998600695</v>
      </c>
      <c r="B17" s="15" t="s">
        <v>249</v>
      </c>
      <c r="C17" s="15" t="s">
        <v>2035</v>
      </c>
      <c r="D17" s="15" t="s">
        <v>2036</v>
      </c>
      <c r="E17" s="37"/>
      <c r="F17" s="72">
        <v>45894.0</v>
      </c>
      <c r="G17" s="74" t="s">
        <v>2044</v>
      </c>
      <c r="H17" s="15" t="s">
        <v>2035</v>
      </c>
      <c r="I17" s="72">
        <v>45882.0</v>
      </c>
      <c r="J17" s="73"/>
      <c r="K17" s="73"/>
    </row>
    <row r="18" ht="22.5" hidden="1" customHeight="1">
      <c r="A18" s="35">
        <v>45883.49486259259</v>
      </c>
      <c r="B18" s="15" t="s">
        <v>259</v>
      </c>
      <c r="C18" s="15" t="s">
        <v>81</v>
      </c>
      <c r="D18" s="15" t="s">
        <v>2034</v>
      </c>
      <c r="E18" s="37"/>
      <c r="F18" s="37"/>
      <c r="G18" s="37"/>
      <c r="H18" s="15" t="s">
        <v>2035</v>
      </c>
      <c r="I18" s="72">
        <v>45882.0</v>
      </c>
      <c r="J18" s="73"/>
      <c r="K18" s="73"/>
    </row>
    <row r="19" ht="22.5" hidden="1" customHeight="1">
      <c r="A19" s="35">
        <v>45883.49609842592</v>
      </c>
      <c r="B19" s="15" t="s">
        <v>262</v>
      </c>
      <c r="C19" s="15" t="s">
        <v>81</v>
      </c>
      <c r="D19" s="15" t="s">
        <v>2034</v>
      </c>
      <c r="E19" s="37"/>
      <c r="F19" s="37"/>
      <c r="G19" s="37"/>
      <c r="H19" s="15" t="s">
        <v>2035</v>
      </c>
      <c r="I19" s="72">
        <v>45882.0</v>
      </c>
      <c r="J19" s="73"/>
      <c r="K19" s="73"/>
    </row>
    <row r="20" ht="22.5" hidden="1" customHeight="1">
      <c r="A20" s="35">
        <v>45884.33973760417</v>
      </c>
      <c r="B20" s="15" t="s">
        <v>266</v>
      </c>
      <c r="C20" s="15" t="s">
        <v>81</v>
      </c>
      <c r="D20" s="15" t="s">
        <v>2034</v>
      </c>
      <c r="E20" s="37"/>
      <c r="F20" s="37"/>
      <c r="G20" s="37"/>
      <c r="H20" s="15" t="s">
        <v>2035</v>
      </c>
      <c r="I20" s="72">
        <v>45882.0</v>
      </c>
      <c r="J20" s="73"/>
      <c r="K20" s="73"/>
    </row>
    <row r="21" ht="22.5" hidden="1" customHeight="1">
      <c r="A21" s="35">
        <v>45883.69640048611</v>
      </c>
      <c r="B21" s="15" t="s">
        <v>269</v>
      </c>
      <c r="C21" s="15" t="s">
        <v>81</v>
      </c>
      <c r="D21" s="15" t="s">
        <v>2034</v>
      </c>
      <c r="E21" s="37"/>
      <c r="F21" s="37"/>
      <c r="G21" s="37"/>
      <c r="H21" s="15" t="s">
        <v>2035</v>
      </c>
      <c r="I21" s="72">
        <v>45883.0</v>
      </c>
      <c r="J21" s="73"/>
      <c r="K21" s="73"/>
    </row>
    <row r="22" ht="22.5" hidden="1" customHeight="1">
      <c r="A22" s="35">
        <v>45885.34209747685</v>
      </c>
      <c r="B22" s="15" t="s">
        <v>281</v>
      </c>
      <c r="C22" s="15" t="s">
        <v>81</v>
      </c>
      <c r="D22" s="15" t="s">
        <v>2034</v>
      </c>
      <c r="E22" s="37"/>
      <c r="F22" s="37"/>
      <c r="G22" s="37"/>
      <c r="H22" s="15" t="s">
        <v>2035</v>
      </c>
      <c r="I22" s="72">
        <v>45883.0</v>
      </c>
      <c r="J22" s="73"/>
      <c r="K22" s="73"/>
    </row>
    <row r="23" ht="22.5" hidden="1" customHeight="1">
      <c r="A23" s="35">
        <v>45884.58608923611</v>
      </c>
      <c r="B23" s="15" t="s">
        <v>375</v>
      </c>
      <c r="C23" s="15" t="s">
        <v>2038</v>
      </c>
      <c r="D23" s="15" t="s">
        <v>2036</v>
      </c>
      <c r="E23" s="37"/>
      <c r="F23" s="72">
        <v>45889.0</v>
      </c>
      <c r="G23" s="74" t="s">
        <v>2045</v>
      </c>
      <c r="H23" s="15" t="s">
        <v>2035</v>
      </c>
      <c r="I23" s="72">
        <v>45880.0</v>
      </c>
      <c r="J23" s="73"/>
      <c r="K23" s="73"/>
    </row>
    <row r="24" ht="22.5" hidden="1" customHeight="1">
      <c r="A24" s="35">
        <v>45884.58659443287</v>
      </c>
      <c r="B24" s="15" t="s">
        <v>377</v>
      </c>
      <c r="C24" s="15" t="s">
        <v>2038</v>
      </c>
      <c r="D24" s="15" t="s">
        <v>2036</v>
      </c>
      <c r="E24" s="37"/>
      <c r="F24" s="72">
        <v>45889.0</v>
      </c>
      <c r="G24" s="74" t="s">
        <v>2046</v>
      </c>
      <c r="H24" s="15" t="s">
        <v>2035</v>
      </c>
      <c r="I24" s="72">
        <v>45880.0</v>
      </c>
      <c r="J24" s="73"/>
      <c r="K24" s="73"/>
    </row>
    <row r="25" ht="22.5" hidden="1" customHeight="1">
      <c r="A25" s="35">
        <v>45887.58417459491</v>
      </c>
      <c r="B25" s="15" t="s">
        <v>249</v>
      </c>
      <c r="C25" s="15" t="s">
        <v>2035</v>
      </c>
      <c r="D25" s="15" t="s">
        <v>2034</v>
      </c>
      <c r="E25" s="37"/>
      <c r="F25" s="37"/>
      <c r="G25" s="37"/>
      <c r="H25" s="15" t="s">
        <v>2035</v>
      </c>
      <c r="I25" s="72">
        <v>45887.0</v>
      </c>
      <c r="J25" s="74" t="s">
        <v>2047</v>
      </c>
      <c r="K25" s="73"/>
    </row>
    <row r="26" ht="22.5" hidden="1" customHeight="1">
      <c r="A26" s="35">
        <v>45887.626946006945</v>
      </c>
      <c r="B26" s="15" t="s">
        <v>283</v>
      </c>
      <c r="C26" s="15" t="s">
        <v>2038</v>
      </c>
      <c r="D26" s="15" t="s">
        <v>2036</v>
      </c>
      <c r="E26" s="37"/>
      <c r="F26" s="72">
        <v>45896.0</v>
      </c>
      <c r="G26" s="74" t="s">
        <v>2048</v>
      </c>
      <c r="H26" s="15" t="s">
        <v>2035</v>
      </c>
      <c r="I26" s="72">
        <v>45887.0</v>
      </c>
      <c r="J26" s="37"/>
      <c r="K26" s="37"/>
    </row>
    <row r="27" ht="22.5" hidden="1" customHeight="1">
      <c r="A27" s="35">
        <v>45887.62929885417</v>
      </c>
      <c r="B27" s="15" t="s">
        <v>66</v>
      </c>
      <c r="C27" s="15" t="s">
        <v>2038</v>
      </c>
      <c r="D27" s="15" t="s">
        <v>2036</v>
      </c>
      <c r="E27" s="37"/>
      <c r="F27" s="72">
        <v>45896.0</v>
      </c>
      <c r="G27" s="74" t="s">
        <v>2049</v>
      </c>
      <c r="H27" s="15" t="s">
        <v>2035</v>
      </c>
      <c r="I27" s="72">
        <v>45887.0</v>
      </c>
      <c r="J27" s="37"/>
      <c r="K27" s="37"/>
    </row>
    <row r="28" ht="22.5" hidden="1" customHeight="1">
      <c r="A28" s="35">
        <v>45887.630399270834</v>
      </c>
      <c r="B28" s="15" t="s">
        <v>285</v>
      </c>
      <c r="C28" s="15" t="s">
        <v>81</v>
      </c>
      <c r="D28" s="15" t="s">
        <v>2034</v>
      </c>
      <c r="E28" s="37"/>
      <c r="F28" s="37"/>
      <c r="G28" s="37"/>
      <c r="H28" s="15" t="s">
        <v>2035</v>
      </c>
      <c r="I28" s="72">
        <v>45887.0</v>
      </c>
      <c r="J28" s="37"/>
      <c r="K28" s="37"/>
    </row>
    <row r="29" ht="22.5" hidden="1" customHeight="1">
      <c r="A29" s="35">
        <v>45887.71850371528</v>
      </c>
      <c r="B29" s="15" t="s">
        <v>200</v>
      </c>
      <c r="C29" s="15" t="s">
        <v>2035</v>
      </c>
      <c r="D29" s="15" t="s">
        <v>2034</v>
      </c>
      <c r="E29" s="37"/>
      <c r="F29" s="37"/>
      <c r="G29" s="37"/>
      <c r="H29" s="15" t="s">
        <v>2035</v>
      </c>
      <c r="I29" s="72">
        <v>45887.0</v>
      </c>
      <c r="J29" s="74" t="s">
        <v>2050</v>
      </c>
      <c r="K29" s="73"/>
    </row>
    <row r="30" ht="22.5" hidden="1" customHeight="1">
      <c r="A30" s="35">
        <v>45888.41386883102</v>
      </c>
      <c r="B30" s="15" t="s">
        <v>273</v>
      </c>
      <c r="C30" s="15" t="s">
        <v>2035</v>
      </c>
      <c r="D30" s="15" t="s">
        <v>2036</v>
      </c>
      <c r="E30" s="37"/>
      <c r="F30" s="72">
        <v>45897.0</v>
      </c>
      <c r="G30" s="74" t="s">
        <v>2051</v>
      </c>
      <c r="H30" s="15" t="s">
        <v>2035</v>
      </c>
      <c r="I30" s="72">
        <v>45887.0</v>
      </c>
      <c r="J30" s="37"/>
      <c r="K30" s="37"/>
    </row>
    <row r="31" ht="22.5" hidden="1" customHeight="1">
      <c r="A31" s="35">
        <v>45889.380588252316</v>
      </c>
      <c r="B31" s="15" t="s">
        <v>299</v>
      </c>
      <c r="C31" s="15" t="s">
        <v>81</v>
      </c>
      <c r="D31" s="15" t="s">
        <v>2034</v>
      </c>
      <c r="E31" s="37"/>
      <c r="F31" s="37"/>
      <c r="G31" s="37"/>
      <c r="H31" s="15" t="s">
        <v>2035</v>
      </c>
      <c r="I31" s="72">
        <v>45888.0</v>
      </c>
      <c r="J31" s="37"/>
      <c r="K31" s="37"/>
    </row>
    <row r="32" ht="22.5" hidden="1" customHeight="1">
      <c r="A32" s="35">
        <v>45889.38117494213</v>
      </c>
      <c r="B32" s="15" t="s">
        <v>302</v>
      </c>
      <c r="C32" s="15" t="s">
        <v>81</v>
      </c>
      <c r="D32" s="15" t="s">
        <v>2034</v>
      </c>
      <c r="E32" s="37"/>
      <c r="F32" s="37"/>
      <c r="G32" s="37"/>
      <c r="H32" s="15" t="s">
        <v>2035</v>
      </c>
      <c r="I32" s="72">
        <v>45888.0</v>
      </c>
      <c r="J32" s="37"/>
      <c r="K32" s="37"/>
    </row>
    <row r="33" ht="22.5" hidden="1" customHeight="1">
      <c r="A33" s="35">
        <v>45889.38160778936</v>
      </c>
      <c r="B33" s="15" t="s">
        <v>304</v>
      </c>
      <c r="C33" s="15" t="s">
        <v>81</v>
      </c>
      <c r="D33" s="15" t="s">
        <v>2034</v>
      </c>
      <c r="E33" s="37"/>
      <c r="F33" s="37"/>
      <c r="G33" s="37"/>
      <c r="H33" s="15" t="s">
        <v>2035</v>
      </c>
      <c r="I33" s="72">
        <v>45888.0</v>
      </c>
      <c r="J33" s="37"/>
      <c r="K33" s="37"/>
    </row>
    <row r="34" ht="22.5" hidden="1" customHeight="1">
      <c r="A34" s="35">
        <v>45889.38357767361</v>
      </c>
      <c r="B34" s="15" t="s">
        <v>306</v>
      </c>
      <c r="C34" s="15" t="s">
        <v>81</v>
      </c>
      <c r="D34" s="15" t="s">
        <v>2034</v>
      </c>
      <c r="E34" s="37"/>
      <c r="F34" s="37"/>
      <c r="G34" s="37"/>
      <c r="H34" s="15" t="s">
        <v>2035</v>
      </c>
      <c r="I34" s="72">
        <v>45888.0</v>
      </c>
      <c r="J34" s="37"/>
      <c r="K34" s="37"/>
    </row>
    <row r="35" ht="22.5" hidden="1" customHeight="1">
      <c r="A35" s="35">
        <v>45889.42456319444</v>
      </c>
      <c r="B35" s="15" t="s">
        <v>290</v>
      </c>
      <c r="C35" s="15" t="s">
        <v>81</v>
      </c>
      <c r="D35" s="15" t="s">
        <v>2034</v>
      </c>
      <c r="E35" s="37"/>
      <c r="F35" s="37"/>
      <c r="G35" s="37"/>
      <c r="H35" s="15" t="s">
        <v>2035</v>
      </c>
      <c r="I35" s="72">
        <v>45888.0</v>
      </c>
      <c r="J35" s="37"/>
      <c r="K35" s="37"/>
    </row>
    <row r="36" ht="22.5" hidden="1" customHeight="1">
      <c r="A36" s="35">
        <v>45889.581745393516</v>
      </c>
      <c r="B36" s="15" t="s">
        <v>297</v>
      </c>
      <c r="C36" s="15" t="s">
        <v>81</v>
      </c>
      <c r="D36" s="15" t="s">
        <v>2034</v>
      </c>
      <c r="E36" s="37"/>
      <c r="F36" s="37"/>
      <c r="G36" s="37"/>
      <c r="H36" s="15" t="s">
        <v>2035</v>
      </c>
      <c r="I36" s="72">
        <v>45889.0</v>
      </c>
      <c r="J36" s="37"/>
      <c r="K36" s="37"/>
    </row>
    <row r="37" ht="22.5" hidden="1" customHeight="1">
      <c r="A37" s="35">
        <v>45890.456402118056</v>
      </c>
      <c r="B37" s="15" t="s">
        <v>225</v>
      </c>
      <c r="C37" s="15" t="s">
        <v>2038</v>
      </c>
      <c r="D37" s="15" t="s">
        <v>2034</v>
      </c>
      <c r="E37" s="37"/>
      <c r="F37" s="37"/>
      <c r="G37" s="37"/>
      <c r="H37" s="15" t="s">
        <v>2035</v>
      </c>
      <c r="I37" s="72">
        <v>45890.0</v>
      </c>
      <c r="J37" s="74" t="s">
        <v>2052</v>
      </c>
      <c r="K37" s="73"/>
    </row>
    <row r="38" ht="22.5" hidden="1" customHeight="1">
      <c r="A38" s="35">
        <v>45890.69221421296</v>
      </c>
      <c r="B38" s="15" t="s">
        <v>308</v>
      </c>
      <c r="C38" s="15" t="s">
        <v>2038</v>
      </c>
      <c r="D38" s="15" t="s">
        <v>2036</v>
      </c>
      <c r="E38" s="37"/>
      <c r="F38" s="72">
        <v>45903.0</v>
      </c>
      <c r="G38" s="74" t="s">
        <v>2053</v>
      </c>
      <c r="H38" s="15" t="s">
        <v>2035</v>
      </c>
      <c r="I38" s="72">
        <v>45889.0</v>
      </c>
      <c r="J38" s="37"/>
      <c r="K38" s="37"/>
    </row>
    <row r="39" ht="22.5" hidden="1" customHeight="1">
      <c r="A39" s="35">
        <v>45890.695676689815</v>
      </c>
      <c r="B39" s="15" t="s">
        <v>316</v>
      </c>
      <c r="C39" s="15" t="s">
        <v>81</v>
      </c>
      <c r="D39" s="15" t="s">
        <v>2034</v>
      </c>
      <c r="E39" s="37"/>
      <c r="F39" s="37"/>
      <c r="G39" s="37"/>
      <c r="H39" s="15" t="s">
        <v>2035</v>
      </c>
      <c r="I39" s="72">
        <v>45890.0</v>
      </c>
      <c r="J39" s="37"/>
      <c r="K39" s="37"/>
    </row>
    <row r="40" ht="22.5" hidden="1" customHeight="1">
      <c r="A40" s="35">
        <v>45891.406247060186</v>
      </c>
      <c r="B40" s="15" t="s">
        <v>314</v>
      </c>
      <c r="C40" s="15" t="s">
        <v>2038</v>
      </c>
      <c r="D40" s="15" t="s">
        <v>2036</v>
      </c>
      <c r="E40" s="37"/>
      <c r="F40" s="72">
        <v>45904.0</v>
      </c>
      <c r="G40" s="74" t="s">
        <v>2054</v>
      </c>
      <c r="H40" s="15" t="s">
        <v>2035</v>
      </c>
      <c r="I40" s="72">
        <v>45890.0</v>
      </c>
      <c r="J40" s="37"/>
      <c r="K40" s="37"/>
    </row>
    <row r="41" ht="22.5" hidden="1" customHeight="1">
      <c r="A41" s="35">
        <v>45891.60460248843</v>
      </c>
      <c r="B41" s="15" t="s">
        <v>196</v>
      </c>
      <c r="C41" s="15" t="s">
        <v>2038</v>
      </c>
      <c r="D41" s="15" t="s">
        <v>2036</v>
      </c>
      <c r="E41" s="37"/>
      <c r="F41" s="72">
        <v>45889.0</v>
      </c>
      <c r="G41" s="74" t="s">
        <v>2055</v>
      </c>
      <c r="H41" s="15" t="s">
        <v>2035</v>
      </c>
      <c r="I41" s="72">
        <v>45877.0</v>
      </c>
      <c r="J41" s="37"/>
      <c r="K41" s="37"/>
    </row>
    <row r="42" ht="22.5" hidden="1" customHeight="1">
      <c r="A42" s="35">
        <v>45891.60555332176</v>
      </c>
      <c r="B42" s="15" t="s">
        <v>199</v>
      </c>
      <c r="C42" s="15" t="s">
        <v>2038</v>
      </c>
      <c r="D42" s="15" t="s">
        <v>2036</v>
      </c>
      <c r="E42" s="37"/>
      <c r="F42" s="72">
        <v>45889.0</v>
      </c>
      <c r="G42" s="74" t="s">
        <v>2056</v>
      </c>
      <c r="H42" s="15" t="s">
        <v>2035</v>
      </c>
      <c r="I42" s="72">
        <v>45877.0</v>
      </c>
      <c r="J42" s="37"/>
      <c r="K42" s="37"/>
    </row>
    <row r="43" ht="22.5" hidden="1" customHeight="1">
      <c r="A43" s="35">
        <v>45891.60965775463</v>
      </c>
      <c r="B43" s="15" t="s">
        <v>198</v>
      </c>
      <c r="C43" s="15" t="s">
        <v>2038</v>
      </c>
      <c r="D43" s="15" t="s">
        <v>2036</v>
      </c>
      <c r="E43" s="37"/>
      <c r="F43" s="72">
        <v>45889.0</v>
      </c>
      <c r="G43" s="74" t="s">
        <v>2057</v>
      </c>
      <c r="H43" s="15" t="s">
        <v>2035</v>
      </c>
      <c r="I43" s="72">
        <v>45877.0</v>
      </c>
      <c r="J43" s="37"/>
      <c r="K43" s="37"/>
    </row>
    <row r="44" ht="22.5" hidden="1" customHeight="1">
      <c r="A44" s="35">
        <v>45891.613302604164</v>
      </c>
      <c r="B44" s="15" t="s">
        <v>193</v>
      </c>
      <c r="C44" s="15" t="s">
        <v>81</v>
      </c>
      <c r="D44" s="15" t="s">
        <v>2034</v>
      </c>
      <c r="E44" s="37"/>
      <c r="F44" s="37"/>
      <c r="G44" s="37"/>
      <c r="H44" s="15" t="s">
        <v>2035</v>
      </c>
      <c r="I44" s="72">
        <v>45876.0</v>
      </c>
      <c r="J44" s="37"/>
      <c r="K44" s="37"/>
    </row>
    <row r="45" ht="22.5" hidden="1" customHeight="1">
      <c r="A45" s="35">
        <v>45891.62398576389</v>
      </c>
      <c r="B45" s="15" t="s">
        <v>189</v>
      </c>
      <c r="C45" s="15" t="s">
        <v>2038</v>
      </c>
      <c r="D45" s="15" t="s">
        <v>2036</v>
      </c>
      <c r="E45" s="37"/>
      <c r="F45" s="72">
        <v>45898.0</v>
      </c>
      <c r="G45" s="74" t="s">
        <v>2058</v>
      </c>
      <c r="H45" s="15" t="s">
        <v>2035</v>
      </c>
      <c r="I45" s="72">
        <v>45889.0</v>
      </c>
      <c r="J45" s="37"/>
      <c r="K45" s="37"/>
    </row>
    <row r="46" ht="22.5" hidden="1" customHeight="1">
      <c r="A46" s="35">
        <v>45891.6336790162</v>
      </c>
      <c r="B46" s="15" t="s">
        <v>321</v>
      </c>
      <c r="C46" s="15" t="s">
        <v>81</v>
      </c>
      <c r="D46" s="15" t="s">
        <v>2034</v>
      </c>
      <c r="E46" s="37"/>
      <c r="F46" s="37"/>
      <c r="G46" s="37"/>
      <c r="H46" s="15" t="s">
        <v>2035</v>
      </c>
      <c r="I46" s="72">
        <v>45891.0</v>
      </c>
      <c r="J46" s="37"/>
      <c r="K46" s="37"/>
    </row>
    <row r="47" ht="22.5" hidden="1" customHeight="1">
      <c r="A47" s="35">
        <v>45891.638619375</v>
      </c>
      <c r="B47" s="15" t="s">
        <v>247</v>
      </c>
      <c r="C47" s="15" t="s">
        <v>2038</v>
      </c>
      <c r="D47" s="15" t="s">
        <v>2034</v>
      </c>
      <c r="E47" s="37"/>
      <c r="F47" s="37"/>
      <c r="G47" s="37"/>
      <c r="H47" s="15" t="s">
        <v>2035</v>
      </c>
      <c r="I47" s="72">
        <v>45891.0</v>
      </c>
      <c r="J47" s="74" t="s">
        <v>2059</v>
      </c>
      <c r="K47" s="73"/>
    </row>
    <row r="48" ht="22.5" hidden="1" customHeight="1">
      <c r="A48" s="35">
        <v>45891.64055521991</v>
      </c>
      <c r="B48" s="15" t="s">
        <v>185</v>
      </c>
      <c r="C48" s="15" t="s">
        <v>2038</v>
      </c>
      <c r="D48" s="15" t="s">
        <v>2034</v>
      </c>
      <c r="E48" s="37"/>
      <c r="F48" s="37"/>
      <c r="G48" s="37"/>
      <c r="H48" s="15" t="s">
        <v>2035</v>
      </c>
      <c r="I48" s="72">
        <v>45883.0</v>
      </c>
      <c r="J48" s="74" t="s">
        <v>2060</v>
      </c>
      <c r="K48" s="73"/>
    </row>
    <row r="49" ht="22.5" hidden="1" customHeight="1">
      <c r="A49" s="35">
        <v>45891.64142006944</v>
      </c>
      <c r="B49" s="15" t="s">
        <v>183</v>
      </c>
      <c r="C49" s="15" t="s">
        <v>81</v>
      </c>
      <c r="D49" s="15" t="s">
        <v>2034</v>
      </c>
      <c r="E49" s="37"/>
      <c r="F49" s="37"/>
      <c r="G49" s="37"/>
      <c r="H49" s="15" t="s">
        <v>2035</v>
      </c>
      <c r="I49" s="72">
        <v>45875.0</v>
      </c>
      <c r="J49" s="37"/>
      <c r="K49" s="37"/>
    </row>
    <row r="50" ht="22.5" hidden="1" customHeight="1">
      <c r="A50" s="35">
        <v>45891.64262</v>
      </c>
      <c r="B50" s="15" t="s">
        <v>179</v>
      </c>
      <c r="C50" s="15" t="s">
        <v>81</v>
      </c>
      <c r="D50" s="15" t="s">
        <v>2034</v>
      </c>
      <c r="E50" s="37"/>
      <c r="F50" s="37"/>
      <c r="G50" s="37"/>
      <c r="H50" s="15" t="s">
        <v>2035</v>
      </c>
      <c r="I50" s="72">
        <v>45874.0</v>
      </c>
      <c r="J50" s="37"/>
      <c r="K50" s="37"/>
    </row>
    <row r="51" ht="22.5" hidden="1" customHeight="1">
      <c r="A51" s="35">
        <v>45891.68063109954</v>
      </c>
      <c r="B51" s="15" t="s">
        <v>158</v>
      </c>
      <c r="C51" s="15" t="s">
        <v>2038</v>
      </c>
      <c r="D51" s="15" t="s">
        <v>2036</v>
      </c>
      <c r="E51" s="37"/>
      <c r="F51" s="72">
        <v>45884.0</v>
      </c>
      <c r="G51" s="74" t="s">
        <v>2061</v>
      </c>
      <c r="H51" s="15" t="s">
        <v>2035</v>
      </c>
      <c r="I51" s="72">
        <v>45875.0</v>
      </c>
      <c r="J51" s="37"/>
      <c r="K51" s="37"/>
    </row>
    <row r="52" ht="22.5" hidden="1" customHeight="1">
      <c r="A52" s="35">
        <v>45891.68263707176</v>
      </c>
      <c r="B52" s="15" t="s">
        <v>158</v>
      </c>
      <c r="C52" s="15" t="s">
        <v>2038</v>
      </c>
      <c r="D52" s="15" t="s">
        <v>2036</v>
      </c>
      <c r="E52" s="37"/>
      <c r="F52" s="72">
        <v>45896.0</v>
      </c>
      <c r="G52" s="74" t="s">
        <v>2062</v>
      </c>
      <c r="H52" s="15" t="s">
        <v>2035</v>
      </c>
      <c r="I52" s="72">
        <v>45887.0</v>
      </c>
      <c r="J52" s="37"/>
      <c r="K52" s="37"/>
    </row>
    <row r="53" ht="22.5" hidden="1" customHeight="1">
      <c r="A53" s="35">
        <v>45892.39384476852</v>
      </c>
      <c r="B53" s="15" t="s">
        <v>279</v>
      </c>
      <c r="C53" s="15" t="s">
        <v>2038</v>
      </c>
      <c r="D53" s="15" t="s">
        <v>2036</v>
      </c>
      <c r="E53" s="37"/>
      <c r="F53" s="72">
        <v>45905.0</v>
      </c>
      <c r="G53" s="74" t="s">
        <v>2063</v>
      </c>
      <c r="H53" s="15" t="s">
        <v>2035</v>
      </c>
      <c r="I53" s="72">
        <v>45885.0</v>
      </c>
      <c r="J53" s="37"/>
      <c r="K53" s="37"/>
    </row>
    <row r="54" ht="22.5" hidden="1" customHeight="1">
      <c r="A54" s="35">
        <v>45892.481146817125</v>
      </c>
      <c r="B54" s="15" t="s">
        <v>114</v>
      </c>
      <c r="C54" s="15" t="s">
        <v>2038</v>
      </c>
      <c r="D54" s="15" t="s">
        <v>2034</v>
      </c>
      <c r="E54" s="37"/>
      <c r="F54" s="37"/>
      <c r="G54" s="37"/>
      <c r="H54" s="15" t="s">
        <v>2035</v>
      </c>
      <c r="I54" s="72">
        <v>45877.0</v>
      </c>
      <c r="J54" s="74" t="s">
        <v>2064</v>
      </c>
      <c r="K54" s="73"/>
    </row>
    <row r="55" ht="22.5" hidden="1" customHeight="1">
      <c r="A55" s="35">
        <v>45892.48316894676</v>
      </c>
      <c r="B55" s="15" t="s">
        <v>168</v>
      </c>
      <c r="C55" s="15" t="s">
        <v>2035</v>
      </c>
      <c r="D55" s="15" t="s">
        <v>2036</v>
      </c>
      <c r="E55" s="37"/>
      <c r="F55" s="72">
        <v>45882.0</v>
      </c>
      <c r="G55" s="74" t="s">
        <v>2065</v>
      </c>
      <c r="H55" s="15" t="s">
        <v>2035</v>
      </c>
      <c r="I55" s="72">
        <v>45871.0</v>
      </c>
      <c r="J55" s="37"/>
      <c r="K55" s="37"/>
    </row>
    <row r="56" ht="22.5" hidden="1" customHeight="1">
      <c r="A56" s="35">
        <v>45892.48455400463</v>
      </c>
      <c r="B56" s="15" t="s">
        <v>168</v>
      </c>
      <c r="C56" s="15" t="s">
        <v>2038</v>
      </c>
      <c r="D56" s="15" t="s">
        <v>2036</v>
      </c>
      <c r="E56" s="37"/>
      <c r="F56" s="72">
        <v>45894.0</v>
      </c>
      <c r="G56" s="74" t="s">
        <v>2066</v>
      </c>
      <c r="H56" s="15" t="s">
        <v>2035</v>
      </c>
      <c r="I56" s="72">
        <v>45883.0</v>
      </c>
      <c r="J56" s="37"/>
      <c r="K56" s="37"/>
    </row>
    <row r="57" ht="22.5" hidden="1" customHeight="1">
      <c r="A57" s="35">
        <v>45892.490893888884</v>
      </c>
      <c r="B57" s="15" t="s">
        <v>160</v>
      </c>
      <c r="C57" s="15" t="s">
        <v>81</v>
      </c>
      <c r="D57" s="15" t="s">
        <v>2034</v>
      </c>
      <c r="E57" s="37"/>
      <c r="F57" s="37"/>
      <c r="G57" s="37"/>
      <c r="H57" s="15" t="s">
        <v>2035</v>
      </c>
      <c r="I57" s="72">
        <v>45870.0</v>
      </c>
      <c r="J57" s="37"/>
      <c r="K57" s="37"/>
    </row>
    <row r="58" ht="22.5" hidden="1" customHeight="1">
      <c r="A58" s="35">
        <v>45892.49210682871</v>
      </c>
      <c r="B58" s="15" t="s">
        <v>149</v>
      </c>
      <c r="C58" s="15" t="s">
        <v>2038</v>
      </c>
      <c r="D58" s="15" t="s">
        <v>2034</v>
      </c>
      <c r="E58" s="37"/>
      <c r="F58" s="37"/>
      <c r="G58" s="37"/>
      <c r="H58" s="15" t="s">
        <v>2035</v>
      </c>
      <c r="I58" s="72">
        <v>45882.0</v>
      </c>
      <c r="J58" s="74" t="s">
        <v>2067</v>
      </c>
      <c r="K58" s="73"/>
    </row>
    <row r="59" ht="22.5" hidden="1" customHeight="1">
      <c r="A59" s="35">
        <v>45892.493952916666</v>
      </c>
      <c r="B59" s="15" t="s">
        <v>141</v>
      </c>
      <c r="C59" s="15" t="s">
        <v>81</v>
      </c>
      <c r="D59" s="15" t="s">
        <v>2034</v>
      </c>
      <c r="E59" s="37"/>
      <c r="F59" s="37"/>
      <c r="G59" s="37"/>
      <c r="H59" s="15" t="s">
        <v>2035</v>
      </c>
      <c r="I59" s="72">
        <v>45867.0</v>
      </c>
      <c r="J59" s="37"/>
      <c r="K59" s="37"/>
    </row>
    <row r="60" ht="22.5" hidden="1" customHeight="1">
      <c r="A60" s="35">
        <v>45892.49450162037</v>
      </c>
      <c r="B60" s="15" t="s">
        <v>147</v>
      </c>
      <c r="C60" s="15" t="s">
        <v>81</v>
      </c>
      <c r="D60" s="15" t="s">
        <v>2034</v>
      </c>
      <c r="E60" s="37"/>
      <c r="F60" s="37"/>
      <c r="G60" s="37"/>
      <c r="H60" s="15" t="s">
        <v>2035</v>
      </c>
      <c r="I60" s="72">
        <v>45867.0</v>
      </c>
      <c r="J60" s="37"/>
      <c r="K60" s="37"/>
    </row>
    <row r="61" ht="22.5" hidden="1" customHeight="1">
      <c r="A61" s="35">
        <v>45892.49638965278</v>
      </c>
      <c r="B61" s="15" t="s">
        <v>137</v>
      </c>
      <c r="C61" s="15" t="s">
        <v>2038</v>
      </c>
      <c r="D61" s="15" t="s">
        <v>2034</v>
      </c>
      <c r="E61" s="37"/>
      <c r="F61" s="37"/>
      <c r="G61" s="37"/>
      <c r="H61" s="15" t="s">
        <v>2035</v>
      </c>
      <c r="I61" s="72">
        <v>45877.0</v>
      </c>
      <c r="J61" s="74" t="s">
        <v>2068</v>
      </c>
      <c r="K61" s="73"/>
    </row>
    <row r="62" ht="22.5" hidden="1" customHeight="1">
      <c r="A62" s="35">
        <v>45892.49936221065</v>
      </c>
      <c r="B62" s="15" t="s">
        <v>128</v>
      </c>
      <c r="C62" s="15" t="s">
        <v>2038</v>
      </c>
      <c r="D62" s="15" t="s">
        <v>2034</v>
      </c>
      <c r="E62" s="37"/>
      <c r="F62" s="37"/>
      <c r="G62" s="37"/>
      <c r="H62" s="15" t="s">
        <v>2035</v>
      </c>
      <c r="I62" s="72">
        <v>45881.0</v>
      </c>
      <c r="J62" s="74" t="s">
        <v>2069</v>
      </c>
      <c r="K62" s="73"/>
    </row>
    <row r="63" ht="22.5" hidden="1" customHeight="1">
      <c r="A63" s="35">
        <v>45892.5002653125</v>
      </c>
      <c r="B63" s="15" t="s">
        <v>2070</v>
      </c>
      <c r="C63" s="15" t="s">
        <v>2038</v>
      </c>
      <c r="D63" s="15" t="s">
        <v>2036</v>
      </c>
      <c r="E63" s="37"/>
      <c r="F63" s="72">
        <v>45891.0</v>
      </c>
      <c r="G63" s="74" t="s">
        <v>2071</v>
      </c>
      <c r="H63" s="15" t="s">
        <v>2035</v>
      </c>
      <c r="I63" s="72">
        <v>45857.0</v>
      </c>
      <c r="J63" s="37"/>
      <c r="K63" s="37"/>
    </row>
    <row r="64" ht="22.5" hidden="1" customHeight="1">
      <c r="A64" s="35">
        <v>45892.50089351852</v>
      </c>
      <c r="B64" s="15" t="s">
        <v>173</v>
      </c>
      <c r="C64" s="15" t="s">
        <v>81</v>
      </c>
      <c r="D64" s="15" t="s">
        <v>2034</v>
      </c>
      <c r="E64" s="37"/>
      <c r="F64" s="37"/>
      <c r="G64" s="37"/>
      <c r="H64" s="15" t="s">
        <v>2035</v>
      </c>
      <c r="I64" s="72">
        <v>45849.0</v>
      </c>
      <c r="J64" s="37"/>
      <c r="K64" s="37"/>
    </row>
    <row r="65" ht="22.5" hidden="1" customHeight="1">
      <c r="A65" s="35">
        <v>45892.519437511575</v>
      </c>
      <c r="B65" s="15" t="s">
        <v>168</v>
      </c>
      <c r="C65" s="15" t="s">
        <v>2038</v>
      </c>
      <c r="D65" s="15" t="s">
        <v>2034</v>
      </c>
      <c r="E65" s="37"/>
      <c r="F65" s="37"/>
      <c r="G65" s="37"/>
      <c r="H65" s="15" t="s">
        <v>2035</v>
      </c>
      <c r="I65" s="72">
        <v>45891.0</v>
      </c>
      <c r="J65" s="74" t="s">
        <v>2072</v>
      </c>
      <c r="K65" s="73"/>
    </row>
    <row r="66" ht="22.5" hidden="1" customHeight="1">
      <c r="A66" s="35">
        <v>45892.52024246528</v>
      </c>
      <c r="B66" s="15" t="s">
        <v>2073</v>
      </c>
      <c r="C66" s="15" t="s">
        <v>81</v>
      </c>
      <c r="D66" s="15" t="s">
        <v>2034</v>
      </c>
      <c r="E66" s="37"/>
      <c r="F66" s="37"/>
      <c r="G66" s="37"/>
      <c r="H66" s="15" t="s">
        <v>2035</v>
      </c>
      <c r="I66" s="72">
        <v>45832.0</v>
      </c>
      <c r="J66" s="37"/>
      <c r="K66" s="37"/>
    </row>
    <row r="67" ht="22.5" hidden="1" customHeight="1">
      <c r="A67" s="35">
        <v>45892.52258774306</v>
      </c>
      <c r="B67" s="15" t="s">
        <v>58</v>
      </c>
      <c r="C67" s="15" t="s">
        <v>81</v>
      </c>
      <c r="D67" s="15" t="s">
        <v>2074</v>
      </c>
      <c r="E67" s="37"/>
      <c r="F67" s="37"/>
      <c r="G67" s="37"/>
      <c r="H67" s="15" t="s">
        <v>2035</v>
      </c>
      <c r="I67" s="72">
        <v>46123.0</v>
      </c>
      <c r="J67" s="37"/>
      <c r="K67" s="37"/>
    </row>
    <row r="68" ht="22.5" hidden="1" customHeight="1">
      <c r="A68" s="35">
        <v>45892.52299745371</v>
      </c>
      <c r="B68" s="15" t="s">
        <v>37</v>
      </c>
      <c r="C68" s="15" t="s">
        <v>81</v>
      </c>
      <c r="D68" s="15" t="s">
        <v>2034</v>
      </c>
      <c r="E68" s="37"/>
      <c r="F68" s="37"/>
      <c r="G68" s="37"/>
      <c r="H68" s="15" t="s">
        <v>2035</v>
      </c>
      <c r="I68" s="72">
        <v>45873.0</v>
      </c>
      <c r="J68" s="37"/>
      <c r="K68" s="37"/>
    </row>
    <row r="69" ht="22.5" hidden="1" customHeight="1">
      <c r="A69" s="35">
        <v>45892.52373303241</v>
      </c>
      <c r="B69" s="15" t="s">
        <v>174</v>
      </c>
      <c r="C69" s="15" t="s">
        <v>81</v>
      </c>
      <c r="D69" s="15" t="s">
        <v>85</v>
      </c>
      <c r="E69" s="37"/>
      <c r="F69" s="37"/>
      <c r="G69" s="37"/>
      <c r="H69" s="15" t="s">
        <v>2035</v>
      </c>
      <c r="I69" s="72">
        <v>45874.0</v>
      </c>
      <c r="J69" s="37"/>
      <c r="K69" s="37"/>
    </row>
    <row r="70" ht="22.5" hidden="1" customHeight="1">
      <c r="A70" s="35">
        <v>45892.524858310186</v>
      </c>
      <c r="B70" s="15" t="s">
        <v>2075</v>
      </c>
      <c r="C70" s="15" t="s">
        <v>81</v>
      </c>
      <c r="D70" s="15" t="s">
        <v>2034</v>
      </c>
      <c r="E70" s="37"/>
      <c r="F70" s="37"/>
      <c r="G70" s="37"/>
      <c r="H70" s="15" t="s">
        <v>2035</v>
      </c>
      <c r="I70" s="72">
        <v>45892.0</v>
      </c>
      <c r="J70" s="37"/>
      <c r="K70" s="37"/>
    </row>
    <row r="71" ht="22.5" hidden="1" customHeight="1">
      <c r="A71" s="35">
        <v>45894.451058113424</v>
      </c>
      <c r="B71" s="15" t="s">
        <v>145</v>
      </c>
      <c r="C71" s="15" t="s">
        <v>81</v>
      </c>
      <c r="D71" s="15" t="s">
        <v>2034</v>
      </c>
      <c r="E71" s="37"/>
      <c r="F71" s="37"/>
      <c r="G71" s="37"/>
      <c r="H71" s="15" t="s">
        <v>2035</v>
      </c>
      <c r="I71" s="72">
        <v>45867.0</v>
      </c>
      <c r="J71" s="37"/>
      <c r="K71" s="37"/>
    </row>
    <row r="72" ht="22.5" hidden="1" customHeight="1">
      <c r="A72" s="35">
        <v>45894.45195127315</v>
      </c>
      <c r="B72" s="15" t="s">
        <v>2076</v>
      </c>
      <c r="C72" s="15" t="s">
        <v>2038</v>
      </c>
      <c r="D72" s="15" t="s">
        <v>2034</v>
      </c>
      <c r="E72" s="37"/>
      <c r="F72" s="37"/>
      <c r="G72" s="37"/>
      <c r="H72" s="15" t="s">
        <v>2035</v>
      </c>
      <c r="I72" s="72">
        <v>45880.0</v>
      </c>
      <c r="J72" s="74" t="s">
        <v>2077</v>
      </c>
      <c r="K72" s="37"/>
    </row>
    <row r="73" ht="22.5" hidden="1" customHeight="1">
      <c r="A73" s="35">
        <v>45894.45245960648</v>
      </c>
      <c r="B73" s="15" t="s">
        <v>155</v>
      </c>
      <c r="C73" s="15" t="s">
        <v>81</v>
      </c>
      <c r="D73" s="15" t="s">
        <v>2034</v>
      </c>
      <c r="E73" s="37"/>
      <c r="F73" s="37"/>
      <c r="G73" s="37"/>
      <c r="H73" s="15" t="s">
        <v>2035</v>
      </c>
      <c r="I73" s="72">
        <v>45869.0</v>
      </c>
      <c r="J73" s="37"/>
      <c r="K73" s="37"/>
    </row>
    <row r="74" ht="22.5" hidden="1" customHeight="1">
      <c r="A74" s="35">
        <v>45894.45645900463</v>
      </c>
      <c r="B74" s="15" t="s">
        <v>72</v>
      </c>
      <c r="C74" s="15" t="s">
        <v>2038</v>
      </c>
      <c r="D74" s="15" t="s">
        <v>2036</v>
      </c>
      <c r="E74" s="37"/>
      <c r="F74" s="72">
        <v>45894.0</v>
      </c>
      <c r="G74" s="74" t="s">
        <v>2078</v>
      </c>
      <c r="H74" s="15" t="s">
        <v>2035</v>
      </c>
      <c r="I74" s="72">
        <v>45883.0</v>
      </c>
      <c r="J74" s="37"/>
      <c r="K74" s="37"/>
    </row>
    <row r="75" ht="22.5" hidden="1" customHeight="1">
      <c r="A75" s="35">
        <v>45894.45740993056</v>
      </c>
      <c r="B75" s="15" t="s">
        <v>72</v>
      </c>
      <c r="C75" s="15" t="s">
        <v>2038</v>
      </c>
      <c r="D75" s="15" t="s">
        <v>2036</v>
      </c>
      <c r="E75" s="37"/>
      <c r="F75" s="72">
        <v>45904.0</v>
      </c>
      <c r="G75" s="74" t="s">
        <v>2079</v>
      </c>
      <c r="H75" s="15" t="s">
        <v>2035</v>
      </c>
      <c r="I75" s="72">
        <v>45891.0</v>
      </c>
      <c r="J75" s="37"/>
      <c r="K75" s="37"/>
    </row>
    <row r="76" ht="22.5" hidden="1" customHeight="1">
      <c r="A76" s="35">
        <v>45894.48295737269</v>
      </c>
      <c r="B76" s="15" t="s">
        <v>105</v>
      </c>
      <c r="C76" s="15" t="s">
        <v>81</v>
      </c>
      <c r="D76" s="15" t="s">
        <v>2034</v>
      </c>
      <c r="E76" s="37"/>
      <c r="F76" s="37"/>
      <c r="G76" s="37"/>
      <c r="H76" s="15" t="s">
        <v>2035</v>
      </c>
      <c r="I76" s="72">
        <v>45863.0</v>
      </c>
      <c r="J76" s="37"/>
      <c r="K76" s="37"/>
    </row>
    <row r="77" ht="22.5" hidden="1" customHeight="1">
      <c r="A77" s="35">
        <v>45894.48472146991</v>
      </c>
      <c r="B77" s="15" t="s">
        <v>163</v>
      </c>
      <c r="C77" s="15" t="s">
        <v>2038</v>
      </c>
      <c r="D77" s="15" t="s">
        <v>2034</v>
      </c>
      <c r="E77" s="37"/>
      <c r="F77" s="37"/>
      <c r="G77" s="37"/>
      <c r="H77" s="15" t="s">
        <v>2035</v>
      </c>
      <c r="I77" s="72">
        <v>45890.0</v>
      </c>
      <c r="J77" s="74" t="s">
        <v>2080</v>
      </c>
      <c r="K77" s="37"/>
    </row>
    <row r="78" ht="22.5" hidden="1" customHeight="1">
      <c r="A78" s="35">
        <v>45894.4870103588</v>
      </c>
      <c r="B78" s="15" t="s">
        <v>165</v>
      </c>
      <c r="C78" s="15" t="s">
        <v>2038</v>
      </c>
      <c r="D78" s="15" t="s">
        <v>2036</v>
      </c>
      <c r="E78" s="37"/>
      <c r="F78" s="72">
        <v>45889.0</v>
      </c>
      <c r="G78" s="74" t="s">
        <v>2081</v>
      </c>
      <c r="H78" s="15" t="s">
        <v>2035</v>
      </c>
      <c r="I78" s="72">
        <v>45877.0</v>
      </c>
      <c r="J78" s="37"/>
      <c r="K78" s="37"/>
    </row>
    <row r="79" ht="22.5" hidden="1" customHeight="1">
      <c r="A79" s="35">
        <v>45894.48761847222</v>
      </c>
      <c r="B79" s="15" t="s">
        <v>165</v>
      </c>
      <c r="C79" s="15" t="s">
        <v>2038</v>
      </c>
      <c r="D79" s="15" t="s">
        <v>2036</v>
      </c>
      <c r="E79" s="37"/>
      <c r="F79" s="72">
        <v>45898.0</v>
      </c>
      <c r="G79" s="74" t="s">
        <v>2082</v>
      </c>
      <c r="H79" s="15" t="s">
        <v>2035</v>
      </c>
      <c r="I79" s="72">
        <v>45889.0</v>
      </c>
      <c r="J79" s="37"/>
      <c r="K79" s="37"/>
    </row>
    <row r="80" ht="22.5" hidden="1" customHeight="1">
      <c r="A80" s="35">
        <v>45894.66663655093</v>
      </c>
      <c r="B80" s="15" t="s">
        <v>118</v>
      </c>
      <c r="C80" s="15" t="s">
        <v>2038</v>
      </c>
      <c r="D80" s="15" t="s">
        <v>2036</v>
      </c>
      <c r="E80" s="37"/>
      <c r="F80" s="72">
        <v>45908.0</v>
      </c>
      <c r="G80" s="74" t="s">
        <v>2083</v>
      </c>
      <c r="H80" s="15" t="s">
        <v>2035</v>
      </c>
      <c r="I80" s="72">
        <v>45894.0</v>
      </c>
      <c r="J80" s="37"/>
      <c r="K80" s="37"/>
    </row>
    <row r="81" ht="22.5" hidden="1" customHeight="1">
      <c r="A81" s="35">
        <v>45894.66861576389</v>
      </c>
      <c r="B81" s="15" t="s">
        <v>288</v>
      </c>
      <c r="C81" s="15" t="s">
        <v>2038</v>
      </c>
      <c r="D81" s="15" t="s">
        <v>2036</v>
      </c>
      <c r="E81" s="37"/>
      <c r="F81" s="72">
        <v>45908.0</v>
      </c>
      <c r="G81" s="74" t="s">
        <v>2084</v>
      </c>
      <c r="H81" s="15" t="s">
        <v>2035</v>
      </c>
      <c r="I81" s="72">
        <v>45891.0</v>
      </c>
      <c r="J81" s="37"/>
      <c r="K81" s="37"/>
    </row>
    <row r="82" ht="22.5" hidden="1" customHeight="1">
      <c r="A82" s="35">
        <v>45894.6705061574</v>
      </c>
      <c r="B82" s="15" t="s">
        <v>324</v>
      </c>
      <c r="C82" s="15" t="s">
        <v>2038</v>
      </c>
      <c r="D82" s="15" t="s">
        <v>2036</v>
      </c>
      <c r="E82" s="37"/>
      <c r="F82" s="72">
        <v>45908.0</v>
      </c>
      <c r="G82" s="74" t="s">
        <v>2085</v>
      </c>
      <c r="H82" s="15" t="s">
        <v>2035</v>
      </c>
      <c r="I82" s="72">
        <v>45894.0</v>
      </c>
      <c r="J82" s="37"/>
      <c r="K82" s="37"/>
    </row>
    <row r="83" ht="22.5" hidden="1" customHeight="1">
      <c r="A83" s="35">
        <v>45894.672629340275</v>
      </c>
      <c r="B83" s="15" t="s">
        <v>86</v>
      </c>
      <c r="C83" s="15" t="s">
        <v>2038</v>
      </c>
      <c r="D83" s="15" t="s">
        <v>2036</v>
      </c>
      <c r="E83" s="37"/>
      <c r="F83" s="72">
        <v>45908.0</v>
      </c>
      <c r="G83" s="74" t="s">
        <v>2086</v>
      </c>
      <c r="H83" s="15" t="s">
        <v>2035</v>
      </c>
      <c r="I83" s="72">
        <v>45894.0</v>
      </c>
      <c r="J83" s="37"/>
      <c r="K83" s="37"/>
    </row>
    <row r="84" ht="22.5" hidden="1" customHeight="1">
      <c r="A84" s="35">
        <v>45895.47995782408</v>
      </c>
      <c r="B84" s="15" t="s">
        <v>158</v>
      </c>
      <c r="C84" s="15" t="s">
        <v>2038</v>
      </c>
      <c r="D84" s="15" t="s">
        <v>2034</v>
      </c>
      <c r="E84" s="37"/>
      <c r="F84" s="37"/>
      <c r="G84" s="37"/>
      <c r="H84" s="15" t="s">
        <v>2035</v>
      </c>
      <c r="I84" s="72">
        <v>45895.0</v>
      </c>
      <c r="J84" s="74" t="s">
        <v>2087</v>
      </c>
      <c r="K84" s="37"/>
    </row>
    <row r="85" ht="22.5" hidden="1" customHeight="1">
      <c r="A85" s="35">
        <v>45895.48090519676</v>
      </c>
      <c r="B85" s="15" t="s">
        <v>283</v>
      </c>
      <c r="C85" s="15" t="s">
        <v>2038</v>
      </c>
      <c r="D85" s="15" t="s">
        <v>2034</v>
      </c>
      <c r="E85" s="37"/>
      <c r="F85" s="37"/>
      <c r="G85" s="37"/>
      <c r="H85" s="15" t="s">
        <v>2035</v>
      </c>
      <c r="I85" s="72">
        <v>45895.0</v>
      </c>
      <c r="J85" s="74" t="s">
        <v>2088</v>
      </c>
      <c r="K85" s="37"/>
    </row>
    <row r="86" ht="22.5" hidden="1" customHeight="1">
      <c r="A86" s="35">
        <v>45895.66110197917</v>
      </c>
      <c r="B86" s="15" t="s">
        <v>317</v>
      </c>
      <c r="C86" s="15" t="s">
        <v>2035</v>
      </c>
      <c r="D86" s="15" t="s">
        <v>2036</v>
      </c>
      <c r="E86" s="37"/>
      <c r="F86" s="72">
        <v>45909.0</v>
      </c>
      <c r="G86" s="74" t="s">
        <v>2089</v>
      </c>
      <c r="H86" s="15" t="s">
        <v>2035</v>
      </c>
      <c r="I86" s="72">
        <v>45895.0</v>
      </c>
      <c r="J86" s="37"/>
      <c r="K86" s="37"/>
    </row>
    <row r="87" ht="22.5" hidden="1" customHeight="1">
      <c r="A87" s="35">
        <v>45896.4140244213</v>
      </c>
      <c r="B87" s="15" t="s">
        <v>308</v>
      </c>
      <c r="C87" s="15" t="s">
        <v>2038</v>
      </c>
      <c r="D87" s="15" t="s">
        <v>2034</v>
      </c>
      <c r="E87" s="37"/>
      <c r="F87" s="37"/>
      <c r="G87" s="37"/>
      <c r="H87" s="15" t="s">
        <v>2035</v>
      </c>
      <c r="I87" s="72">
        <v>45896.0</v>
      </c>
      <c r="J87" s="74" t="s">
        <v>2090</v>
      </c>
      <c r="K87" s="37"/>
    </row>
    <row r="88" ht="22.5" hidden="1" customHeight="1">
      <c r="A88" s="35">
        <v>45896.4154121875</v>
      </c>
      <c r="B88" s="15" t="s">
        <v>273</v>
      </c>
      <c r="C88" s="15" t="s">
        <v>2038</v>
      </c>
      <c r="D88" s="15" t="s">
        <v>2034</v>
      </c>
      <c r="E88" s="37"/>
      <c r="F88" s="37"/>
      <c r="G88" s="37"/>
      <c r="H88" s="15" t="s">
        <v>2035</v>
      </c>
      <c r="I88" s="72">
        <v>45896.0</v>
      </c>
      <c r="J88" s="74" t="s">
        <v>2091</v>
      </c>
      <c r="K88" s="37"/>
    </row>
    <row r="89" ht="22.5" hidden="1" customHeight="1">
      <c r="A89" s="35">
        <v>45897.45378364583</v>
      </c>
      <c r="B89" s="15" t="s">
        <v>233</v>
      </c>
      <c r="C89" s="15" t="s">
        <v>2038</v>
      </c>
      <c r="D89" s="15" t="s">
        <v>2036</v>
      </c>
      <c r="E89" s="37"/>
      <c r="F89" s="72">
        <v>45910.0</v>
      </c>
      <c r="G89" s="74" t="s">
        <v>2092</v>
      </c>
      <c r="H89" s="15" t="s">
        <v>2035</v>
      </c>
      <c r="I89" s="72">
        <v>45890.0</v>
      </c>
      <c r="J89" s="37"/>
      <c r="K89" s="37"/>
    </row>
    <row r="90" ht="22.5" hidden="1" customHeight="1">
      <c r="A90" s="35">
        <v>45897.56060894676</v>
      </c>
      <c r="B90" s="15" t="s">
        <v>359</v>
      </c>
      <c r="C90" s="15" t="s">
        <v>81</v>
      </c>
      <c r="D90" s="15" t="s">
        <v>2034</v>
      </c>
      <c r="E90" s="37"/>
      <c r="F90" s="37"/>
      <c r="G90" s="37"/>
      <c r="H90" s="15" t="s">
        <v>2035</v>
      </c>
      <c r="I90" s="72">
        <v>45892.0</v>
      </c>
      <c r="J90" s="37"/>
      <c r="K90" s="37"/>
    </row>
    <row r="91" ht="22.5" hidden="1" customHeight="1">
      <c r="A91" s="35">
        <v>45897.56131196759</v>
      </c>
      <c r="B91" s="15" t="s">
        <v>364</v>
      </c>
      <c r="C91" s="15" t="s">
        <v>81</v>
      </c>
      <c r="D91" s="15" t="s">
        <v>2034</v>
      </c>
      <c r="E91" s="37"/>
      <c r="F91" s="37"/>
      <c r="G91" s="37"/>
      <c r="H91" s="15" t="s">
        <v>2035</v>
      </c>
      <c r="I91" s="72">
        <v>45890.0</v>
      </c>
      <c r="J91" s="37"/>
      <c r="K91" s="37"/>
    </row>
    <row r="92" ht="22.5" hidden="1" customHeight="1">
      <c r="A92" s="35">
        <v>45897.561838946756</v>
      </c>
      <c r="B92" s="15" t="s">
        <v>374</v>
      </c>
      <c r="C92" s="15" t="s">
        <v>81</v>
      </c>
      <c r="D92" s="15" t="s">
        <v>2034</v>
      </c>
      <c r="E92" s="37"/>
      <c r="F92" s="37"/>
      <c r="G92" s="37"/>
      <c r="H92" s="15" t="s">
        <v>2035</v>
      </c>
      <c r="I92" s="72">
        <v>45897.0</v>
      </c>
      <c r="J92" s="37"/>
      <c r="K92" s="37"/>
    </row>
    <row r="93" ht="22.5" hidden="1" customHeight="1">
      <c r="A93" s="35">
        <v>45897.5692496875</v>
      </c>
      <c r="B93" s="15" t="s">
        <v>203</v>
      </c>
      <c r="C93" s="15" t="s">
        <v>81</v>
      </c>
      <c r="D93" s="15" t="s">
        <v>2034</v>
      </c>
      <c r="E93" s="37"/>
      <c r="F93" s="37"/>
      <c r="G93" s="37"/>
      <c r="H93" s="15" t="s">
        <v>2035</v>
      </c>
      <c r="I93" s="72">
        <v>45882.0</v>
      </c>
      <c r="J93" s="37"/>
      <c r="K93" s="37"/>
    </row>
    <row r="94" ht="22.5" hidden="1" customHeight="1">
      <c r="A94" s="35">
        <v>45897.570487731486</v>
      </c>
      <c r="B94" s="15" t="s">
        <v>120</v>
      </c>
      <c r="C94" s="15" t="s">
        <v>2038</v>
      </c>
      <c r="D94" s="15" t="s">
        <v>2034</v>
      </c>
      <c r="E94" s="37"/>
      <c r="F94" s="37"/>
      <c r="G94" s="37"/>
      <c r="H94" s="15" t="s">
        <v>2035</v>
      </c>
      <c r="I94" s="72">
        <v>45897.0</v>
      </c>
      <c r="J94" s="74" t="s">
        <v>2093</v>
      </c>
      <c r="K94" s="37"/>
    </row>
    <row r="95" ht="22.5" hidden="1" customHeight="1">
      <c r="A95" s="35">
        <v>45897.57271111111</v>
      </c>
      <c r="B95" s="15" t="s">
        <v>189</v>
      </c>
      <c r="C95" s="15" t="s">
        <v>2038</v>
      </c>
      <c r="D95" s="15" t="s">
        <v>2034</v>
      </c>
      <c r="E95" s="37"/>
      <c r="F95" s="37"/>
      <c r="G95" s="37"/>
      <c r="H95" s="15" t="s">
        <v>2035</v>
      </c>
      <c r="I95" s="72">
        <v>45897.0</v>
      </c>
      <c r="J95" s="74" t="s">
        <v>2094</v>
      </c>
      <c r="K95" s="37"/>
    </row>
    <row r="96" ht="22.5" hidden="1" customHeight="1">
      <c r="A96" s="35">
        <v>45897.67657030093</v>
      </c>
      <c r="B96" s="15" t="s">
        <v>227</v>
      </c>
      <c r="C96" s="15" t="s">
        <v>2038</v>
      </c>
      <c r="D96" s="15" t="s">
        <v>2036</v>
      </c>
      <c r="E96" s="37"/>
      <c r="F96" s="72">
        <v>45911.0</v>
      </c>
      <c r="G96" s="74" t="s">
        <v>2095</v>
      </c>
      <c r="H96" s="15" t="s">
        <v>2035</v>
      </c>
      <c r="I96" s="72">
        <v>45896.0</v>
      </c>
      <c r="J96" s="37"/>
      <c r="K96" s="37"/>
    </row>
    <row r="97" ht="22.5" hidden="1" customHeight="1">
      <c r="A97" s="35">
        <v>45897.677930949074</v>
      </c>
      <c r="B97" s="15" t="s">
        <v>257</v>
      </c>
      <c r="C97" s="15" t="s">
        <v>2038</v>
      </c>
      <c r="D97" s="15" t="s">
        <v>2036</v>
      </c>
      <c r="E97" s="37"/>
      <c r="F97" s="72">
        <v>45911.0</v>
      </c>
      <c r="G97" s="74" t="s">
        <v>2096</v>
      </c>
      <c r="H97" s="15" t="s">
        <v>2035</v>
      </c>
      <c r="I97" s="72">
        <v>45896.0</v>
      </c>
      <c r="J97" s="37"/>
      <c r="K97" s="37"/>
    </row>
    <row r="98" ht="22.5" hidden="1" customHeight="1">
      <c r="A98" s="35">
        <v>45897.67973234954</v>
      </c>
      <c r="B98" s="15" t="s">
        <v>251</v>
      </c>
      <c r="C98" s="15" t="s">
        <v>2038</v>
      </c>
      <c r="D98" s="15" t="s">
        <v>2036</v>
      </c>
      <c r="E98" s="37"/>
      <c r="F98" s="72">
        <v>45911.0</v>
      </c>
      <c r="G98" s="74" t="s">
        <v>2097</v>
      </c>
      <c r="H98" s="15" t="s">
        <v>2035</v>
      </c>
      <c r="I98" s="72">
        <v>45896.0</v>
      </c>
      <c r="J98" s="37"/>
      <c r="K98" s="37"/>
    </row>
    <row r="99" ht="22.5" hidden="1" customHeight="1">
      <c r="A99" s="35">
        <v>45897.68035405093</v>
      </c>
      <c r="B99" s="15" t="s">
        <v>255</v>
      </c>
      <c r="C99" s="15" t="s">
        <v>2038</v>
      </c>
      <c r="D99" s="15" t="s">
        <v>2036</v>
      </c>
      <c r="E99" s="37"/>
      <c r="F99" s="72">
        <v>45911.0</v>
      </c>
      <c r="G99" s="74" t="s">
        <v>2098</v>
      </c>
      <c r="H99" s="15" t="s">
        <v>2035</v>
      </c>
      <c r="I99" s="72">
        <v>45896.0</v>
      </c>
      <c r="J99" s="37"/>
      <c r="K99" s="37"/>
    </row>
    <row r="100" ht="22.5" hidden="1" customHeight="1">
      <c r="A100" s="35">
        <v>45897.681239756945</v>
      </c>
      <c r="B100" s="15" t="s">
        <v>256</v>
      </c>
      <c r="C100" s="15" t="s">
        <v>2038</v>
      </c>
      <c r="D100" s="15" t="s">
        <v>2036</v>
      </c>
      <c r="E100" s="37"/>
      <c r="F100" s="72">
        <v>45911.0</v>
      </c>
      <c r="G100" s="74" t="s">
        <v>2099</v>
      </c>
      <c r="H100" s="15" t="s">
        <v>2035</v>
      </c>
      <c r="I100" s="72">
        <v>45896.0</v>
      </c>
      <c r="J100" s="37"/>
      <c r="K100" s="37"/>
    </row>
    <row r="101" ht="22.5" hidden="1" customHeight="1">
      <c r="A101" s="35">
        <v>45897.68212964121</v>
      </c>
      <c r="B101" s="15" t="s">
        <v>293</v>
      </c>
      <c r="C101" s="15" t="s">
        <v>2038</v>
      </c>
      <c r="D101" s="15" t="s">
        <v>2036</v>
      </c>
      <c r="E101" s="37"/>
      <c r="F101" s="72">
        <v>45911.0</v>
      </c>
      <c r="G101" s="74" t="s">
        <v>2100</v>
      </c>
      <c r="H101" s="15" t="s">
        <v>2035</v>
      </c>
      <c r="I101" s="72">
        <v>45896.0</v>
      </c>
      <c r="J101" s="37"/>
      <c r="K101" s="37"/>
    </row>
    <row r="102" ht="22.5" hidden="1" customHeight="1">
      <c r="A102" s="35">
        <v>45897.68396238426</v>
      </c>
      <c r="B102" s="15" t="s">
        <v>311</v>
      </c>
      <c r="C102" s="15" t="s">
        <v>2038</v>
      </c>
      <c r="D102" s="15" t="s">
        <v>2036</v>
      </c>
      <c r="E102" s="37"/>
      <c r="F102" s="37"/>
      <c r="G102" s="74" t="s">
        <v>2101</v>
      </c>
      <c r="H102" s="15" t="s">
        <v>2035</v>
      </c>
      <c r="I102" s="72">
        <v>45896.0</v>
      </c>
      <c r="J102" s="37"/>
      <c r="K102" s="37"/>
    </row>
    <row r="103" ht="22.5" hidden="1" customHeight="1">
      <c r="A103" s="35">
        <v>45897.68568334491</v>
      </c>
      <c r="B103" s="15" t="s">
        <v>165</v>
      </c>
      <c r="C103" s="15" t="s">
        <v>2038</v>
      </c>
      <c r="D103" s="15" t="s">
        <v>2036</v>
      </c>
      <c r="E103" s="37"/>
      <c r="F103" s="72">
        <v>45878.0</v>
      </c>
      <c r="G103" s="74" t="s">
        <v>2102</v>
      </c>
      <c r="H103" s="15" t="s">
        <v>2035</v>
      </c>
      <c r="I103" s="72">
        <v>45896.0</v>
      </c>
      <c r="J103" s="37"/>
      <c r="K103" s="37"/>
    </row>
    <row r="104" ht="22.5" hidden="1" customHeight="1">
      <c r="A104" s="35">
        <v>45897.687619027776</v>
      </c>
      <c r="B104" s="15" t="s">
        <v>336</v>
      </c>
      <c r="C104" s="15" t="s">
        <v>2038</v>
      </c>
      <c r="D104" s="15" t="s">
        <v>2036</v>
      </c>
      <c r="E104" s="37"/>
      <c r="F104" s="72">
        <v>45911.0</v>
      </c>
      <c r="G104" s="74" t="s">
        <v>2103</v>
      </c>
      <c r="H104" s="15" t="s">
        <v>2035</v>
      </c>
      <c r="I104" s="72">
        <v>45896.0</v>
      </c>
      <c r="J104" s="37"/>
      <c r="K104" s="37"/>
    </row>
    <row r="105" ht="22.5" hidden="1" customHeight="1">
      <c r="A105" s="35">
        <v>45897.689015138894</v>
      </c>
      <c r="B105" s="15" t="s">
        <v>355</v>
      </c>
      <c r="C105" s="15" t="s">
        <v>2038</v>
      </c>
      <c r="D105" s="15" t="s">
        <v>2036</v>
      </c>
      <c r="E105" s="37"/>
      <c r="F105" s="37"/>
      <c r="G105" s="74" t="s">
        <v>2104</v>
      </c>
      <c r="H105" s="15" t="s">
        <v>2035</v>
      </c>
      <c r="I105" s="72">
        <v>45897.0</v>
      </c>
      <c r="J105" s="37"/>
      <c r="K105" s="37"/>
    </row>
    <row r="106" ht="22.5" hidden="1" customHeight="1">
      <c r="A106" s="35">
        <v>45903.68431540509</v>
      </c>
      <c r="B106" s="15" t="s">
        <v>347</v>
      </c>
      <c r="C106" s="15" t="s">
        <v>2038</v>
      </c>
      <c r="D106" s="15" t="s">
        <v>2036</v>
      </c>
      <c r="E106" s="37"/>
      <c r="F106" s="72">
        <v>45912.0</v>
      </c>
      <c r="G106" s="74" t="s">
        <v>2105</v>
      </c>
      <c r="H106" s="15" t="s">
        <v>2035</v>
      </c>
      <c r="I106" s="72">
        <v>45897.0</v>
      </c>
      <c r="J106" s="37"/>
      <c r="K106" s="37"/>
    </row>
    <row r="107" ht="22.5" hidden="1" customHeight="1">
      <c r="A107" s="35">
        <v>45904.49504015046</v>
      </c>
      <c r="B107" s="15" t="s">
        <v>288</v>
      </c>
      <c r="C107" s="15" t="s">
        <v>2038</v>
      </c>
      <c r="D107" s="15" t="s">
        <v>2034</v>
      </c>
      <c r="E107" s="37"/>
      <c r="F107" s="37"/>
      <c r="G107" s="37"/>
      <c r="H107" s="15" t="s">
        <v>2035</v>
      </c>
      <c r="I107" s="72">
        <v>45904.0</v>
      </c>
      <c r="J107" s="74" t="s">
        <v>2106</v>
      </c>
      <c r="K107" s="37"/>
    </row>
    <row r="108" ht="22.5" hidden="1" customHeight="1">
      <c r="A108" s="35">
        <v>45904.4967087963</v>
      </c>
      <c r="B108" s="15" t="s">
        <v>118</v>
      </c>
      <c r="C108" s="15" t="s">
        <v>2038</v>
      </c>
      <c r="D108" s="15" t="s">
        <v>2034</v>
      </c>
      <c r="E108" s="37"/>
      <c r="F108" s="37"/>
      <c r="G108" s="37"/>
      <c r="H108" s="15" t="s">
        <v>2035</v>
      </c>
      <c r="I108" s="72">
        <v>45904.0</v>
      </c>
      <c r="J108" s="74" t="s">
        <v>2107</v>
      </c>
      <c r="K108" s="37"/>
    </row>
    <row r="109" ht="22.5" hidden="1" customHeight="1">
      <c r="A109" s="35">
        <v>45904.49729885417</v>
      </c>
      <c r="B109" s="15" t="s">
        <v>397</v>
      </c>
      <c r="C109" s="15" t="s">
        <v>81</v>
      </c>
      <c r="D109" s="15" t="s">
        <v>2034</v>
      </c>
      <c r="E109" s="37"/>
      <c r="F109" s="37"/>
      <c r="G109" s="37"/>
      <c r="H109" s="15" t="s">
        <v>2035</v>
      </c>
      <c r="I109" s="72">
        <v>45897.0</v>
      </c>
      <c r="J109" s="37"/>
      <c r="K109" s="37"/>
    </row>
    <row r="110" ht="22.5" hidden="1" customHeight="1">
      <c r="A110" s="35">
        <v>45904.59297519676</v>
      </c>
      <c r="B110" s="15" t="s">
        <v>353</v>
      </c>
      <c r="C110" s="15" t="s">
        <v>2035</v>
      </c>
      <c r="D110" s="15" t="s">
        <v>2036</v>
      </c>
      <c r="E110" s="37"/>
      <c r="F110" s="72">
        <v>45915.0</v>
      </c>
      <c r="G110" s="74" t="s">
        <v>2108</v>
      </c>
      <c r="H110" s="15" t="s">
        <v>2035</v>
      </c>
      <c r="I110" s="72">
        <v>45903.0</v>
      </c>
      <c r="J110" s="37"/>
      <c r="K110" s="37"/>
    </row>
    <row r="111" ht="22.5" hidden="1" customHeight="1">
      <c r="A111" s="35"/>
      <c r="B111" s="15"/>
      <c r="C111" s="15"/>
      <c r="D111" s="15"/>
      <c r="E111" s="37"/>
      <c r="F111" s="37"/>
      <c r="G111" s="37"/>
      <c r="H111" s="15"/>
      <c r="I111" s="72"/>
      <c r="J111" s="37"/>
      <c r="K111" s="37"/>
    </row>
    <row r="112" ht="22.5" hidden="1" customHeight="1">
      <c r="A112" s="35">
        <v>45904.61181809028</v>
      </c>
      <c r="B112" s="15" t="s">
        <v>124</v>
      </c>
      <c r="C112" s="15" t="s">
        <v>81</v>
      </c>
      <c r="D112" s="15" t="s">
        <v>85</v>
      </c>
      <c r="E112" s="37"/>
      <c r="F112" s="37"/>
      <c r="G112" s="37"/>
      <c r="H112" s="15" t="s">
        <v>2035</v>
      </c>
      <c r="I112" s="72">
        <v>45899.0</v>
      </c>
      <c r="J112" s="37"/>
      <c r="K112" s="37"/>
    </row>
    <row r="113" ht="22.5" hidden="1" customHeight="1">
      <c r="A113" s="35">
        <v>45904.61292827546</v>
      </c>
      <c r="B113" s="15" t="s">
        <v>95</v>
      </c>
      <c r="C113" s="15" t="s">
        <v>81</v>
      </c>
      <c r="D113" s="15" t="s">
        <v>85</v>
      </c>
      <c r="E113" s="37"/>
      <c r="F113" s="37"/>
      <c r="G113" s="37"/>
      <c r="H113" s="15" t="s">
        <v>2035</v>
      </c>
      <c r="I113" s="72">
        <v>45899.0</v>
      </c>
      <c r="J113" s="37"/>
      <c r="K113" s="37"/>
    </row>
    <row r="114" ht="22.5" hidden="1" customHeight="1">
      <c r="A114" s="35">
        <v>45904.61368311342</v>
      </c>
      <c r="B114" s="15" t="s">
        <v>77</v>
      </c>
      <c r="C114" s="15" t="s">
        <v>81</v>
      </c>
      <c r="D114" s="15" t="s">
        <v>85</v>
      </c>
      <c r="E114" s="37"/>
      <c r="F114" s="37"/>
      <c r="G114" s="37"/>
      <c r="H114" s="15" t="s">
        <v>2035</v>
      </c>
      <c r="I114" s="72">
        <v>45899.0</v>
      </c>
      <c r="J114" s="37"/>
      <c r="K114" s="37"/>
    </row>
    <row r="115" ht="22.5" hidden="1" customHeight="1">
      <c r="A115" s="35">
        <v>45904.70485324074</v>
      </c>
      <c r="B115" s="15" t="s">
        <v>390</v>
      </c>
      <c r="C115" s="15" t="s">
        <v>2035</v>
      </c>
      <c r="D115" s="15" t="s">
        <v>2036</v>
      </c>
      <c r="E115" s="37"/>
      <c r="F115" s="72">
        <v>45915.0</v>
      </c>
      <c r="G115" s="74" t="s">
        <v>2109</v>
      </c>
      <c r="H115" s="15" t="s">
        <v>2035</v>
      </c>
      <c r="I115" s="72">
        <v>45903.0</v>
      </c>
      <c r="J115" s="37"/>
      <c r="K115" s="37"/>
    </row>
    <row r="116" ht="22.5" hidden="1" customHeight="1">
      <c r="A116" s="35">
        <v>45904.70611837963</v>
      </c>
      <c r="B116" s="15" t="s">
        <v>393</v>
      </c>
      <c r="C116" s="15" t="s">
        <v>2035</v>
      </c>
      <c r="D116" s="15" t="s">
        <v>2036</v>
      </c>
      <c r="E116" s="37"/>
      <c r="F116" s="72">
        <v>45915.0</v>
      </c>
      <c r="G116" s="74" t="s">
        <v>2110</v>
      </c>
      <c r="H116" s="15" t="s">
        <v>2035</v>
      </c>
      <c r="I116" s="72">
        <v>45903.0</v>
      </c>
      <c r="J116" s="37"/>
      <c r="K116" s="37"/>
    </row>
    <row r="117" ht="22.5" hidden="1" customHeight="1">
      <c r="A117" s="35">
        <v>45904.7071015625</v>
      </c>
      <c r="B117" s="15" t="s">
        <v>381</v>
      </c>
      <c r="C117" s="15" t="s">
        <v>2035</v>
      </c>
      <c r="D117" s="15" t="s">
        <v>2036</v>
      </c>
      <c r="E117" s="37"/>
      <c r="F117" s="72">
        <v>45915.0</v>
      </c>
      <c r="G117" s="74" t="s">
        <v>2111</v>
      </c>
      <c r="H117" s="15" t="s">
        <v>2035</v>
      </c>
      <c r="I117" s="72">
        <v>45903.0</v>
      </c>
      <c r="J117" s="37"/>
      <c r="K117" s="37"/>
    </row>
    <row r="118" ht="22.5" hidden="1" customHeight="1">
      <c r="A118" s="35">
        <v>45904.710225902774</v>
      </c>
      <c r="B118" s="15" t="s">
        <v>324</v>
      </c>
      <c r="C118" s="15" t="s">
        <v>2035</v>
      </c>
      <c r="D118" s="15" t="s">
        <v>2036</v>
      </c>
      <c r="E118" s="37"/>
      <c r="F118" s="72">
        <v>45915.0</v>
      </c>
      <c r="G118" s="74" t="s">
        <v>2112</v>
      </c>
      <c r="H118" s="15" t="s">
        <v>2035</v>
      </c>
      <c r="I118" s="72">
        <v>45904.0</v>
      </c>
      <c r="J118" s="37"/>
      <c r="K118" s="37"/>
    </row>
    <row r="119" ht="22.5" hidden="1" customHeight="1">
      <c r="A119" s="35">
        <v>45904.71585476852</v>
      </c>
      <c r="B119" s="15" t="s">
        <v>239</v>
      </c>
      <c r="C119" s="15" t="s">
        <v>2038</v>
      </c>
      <c r="D119" s="15" t="s">
        <v>2034</v>
      </c>
      <c r="E119" s="37"/>
      <c r="F119" s="37"/>
      <c r="G119" s="37"/>
      <c r="H119" s="15" t="s">
        <v>2035</v>
      </c>
      <c r="I119" s="72">
        <v>45904.0</v>
      </c>
      <c r="J119" s="74" t="s">
        <v>2113</v>
      </c>
      <c r="K119" s="37"/>
    </row>
    <row r="120" ht="22.5" hidden="1" customHeight="1">
      <c r="A120" s="35">
        <v>45904.717196956015</v>
      </c>
      <c r="B120" s="15" t="s">
        <v>72</v>
      </c>
      <c r="C120" s="15" t="s">
        <v>2038</v>
      </c>
      <c r="D120" s="15" t="s">
        <v>2034</v>
      </c>
      <c r="E120" s="37"/>
      <c r="F120" s="37"/>
      <c r="G120" s="37"/>
      <c r="H120" s="15" t="s">
        <v>2035</v>
      </c>
      <c r="I120" s="72">
        <v>45904.0</v>
      </c>
      <c r="J120" s="74" t="s">
        <v>2114</v>
      </c>
      <c r="K120" s="37"/>
    </row>
    <row r="121" ht="22.5" hidden="1" customHeight="1">
      <c r="A121" s="35">
        <v>45904.717825555555</v>
      </c>
      <c r="B121" s="15" t="s">
        <v>314</v>
      </c>
      <c r="C121" s="15" t="s">
        <v>2038</v>
      </c>
      <c r="D121" s="15" t="s">
        <v>2034</v>
      </c>
      <c r="E121" s="37"/>
      <c r="F121" s="37"/>
      <c r="G121" s="37"/>
      <c r="H121" s="15" t="s">
        <v>2035</v>
      </c>
      <c r="I121" s="72">
        <v>45904.0</v>
      </c>
      <c r="J121" s="74" t="s">
        <v>2115</v>
      </c>
      <c r="K121" s="37"/>
    </row>
    <row r="122" ht="22.5" hidden="1" customHeight="1">
      <c r="A122" s="35">
        <v>45904.71831964121</v>
      </c>
      <c r="B122" s="15" t="s">
        <v>401</v>
      </c>
      <c r="C122" s="15" t="s">
        <v>81</v>
      </c>
      <c r="D122" s="15" t="s">
        <v>2034</v>
      </c>
      <c r="E122" s="37"/>
      <c r="F122" s="37"/>
      <c r="G122" s="37"/>
      <c r="H122" s="15" t="s">
        <v>2035</v>
      </c>
      <c r="I122" s="72">
        <v>45899.0</v>
      </c>
      <c r="J122" s="37"/>
      <c r="K122" s="37"/>
    </row>
    <row r="123" ht="22.5" hidden="1" customHeight="1">
      <c r="A123" s="35">
        <v>45905.39641997685</v>
      </c>
      <c r="B123" s="15" t="s">
        <v>339</v>
      </c>
      <c r="C123" s="15" t="s">
        <v>2035</v>
      </c>
      <c r="D123" s="15" t="s">
        <v>2036</v>
      </c>
      <c r="E123" s="37"/>
      <c r="F123" s="72">
        <v>45916.0</v>
      </c>
      <c r="G123" s="74" t="s">
        <v>2116</v>
      </c>
      <c r="H123" s="15" t="s">
        <v>2035</v>
      </c>
      <c r="I123" s="72">
        <v>45904.0</v>
      </c>
      <c r="J123" s="37"/>
      <c r="K123" s="37"/>
    </row>
    <row r="124" ht="22.5" hidden="1" customHeight="1">
      <c r="A124" s="35">
        <v>45905.396848634264</v>
      </c>
      <c r="B124" s="15" t="s">
        <v>342</v>
      </c>
      <c r="C124" s="15" t="s">
        <v>2035</v>
      </c>
      <c r="D124" s="15" t="s">
        <v>2036</v>
      </c>
      <c r="E124" s="37"/>
      <c r="F124" s="72">
        <v>45916.0</v>
      </c>
      <c r="G124" s="74" t="s">
        <v>2117</v>
      </c>
      <c r="H124" s="15" t="s">
        <v>2035</v>
      </c>
      <c r="I124" s="72">
        <v>45904.0</v>
      </c>
      <c r="J124" s="37"/>
      <c r="K124" s="37"/>
    </row>
    <row r="125" ht="22.5" hidden="1" customHeight="1">
      <c r="A125" s="35">
        <v>45905.39732975695</v>
      </c>
      <c r="B125" s="15" t="s">
        <v>345</v>
      </c>
      <c r="C125" s="15" t="s">
        <v>2035</v>
      </c>
      <c r="D125" s="15" t="s">
        <v>2036</v>
      </c>
      <c r="E125" s="37"/>
      <c r="F125" s="72">
        <v>45916.0</v>
      </c>
      <c r="G125" s="74" t="s">
        <v>2118</v>
      </c>
      <c r="H125" s="15" t="s">
        <v>2035</v>
      </c>
      <c r="I125" s="72">
        <v>45904.0</v>
      </c>
      <c r="J125" s="37"/>
      <c r="K125" s="37"/>
    </row>
    <row r="126" ht="22.5" hidden="1" customHeight="1">
      <c r="A126" s="35">
        <v>45905.39846570602</v>
      </c>
      <c r="B126" s="15" t="s">
        <v>369</v>
      </c>
      <c r="C126" s="15" t="s">
        <v>2038</v>
      </c>
      <c r="D126" s="15" t="s">
        <v>2036</v>
      </c>
      <c r="E126" s="37"/>
      <c r="F126" s="72">
        <v>45916.0</v>
      </c>
      <c r="G126" s="74" t="s">
        <v>2119</v>
      </c>
      <c r="H126" s="15" t="s">
        <v>2035</v>
      </c>
      <c r="I126" s="72">
        <v>45905.0</v>
      </c>
      <c r="J126" s="37"/>
      <c r="K126" s="37"/>
    </row>
    <row r="127" ht="22.5" hidden="1" customHeight="1">
      <c r="A127" s="35">
        <v>45905.39897219907</v>
      </c>
      <c r="B127" s="15" t="s">
        <v>372</v>
      </c>
      <c r="C127" s="15" t="s">
        <v>2038</v>
      </c>
      <c r="D127" s="15" t="s">
        <v>2036</v>
      </c>
      <c r="E127" s="37"/>
      <c r="F127" s="72">
        <v>45916.0</v>
      </c>
      <c r="G127" s="74" t="s">
        <v>2120</v>
      </c>
      <c r="H127" s="15" t="s">
        <v>2035</v>
      </c>
      <c r="I127" s="72">
        <v>45905.0</v>
      </c>
      <c r="J127" s="37"/>
      <c r="K127" s="37"/>
    </row>
    <row r="128" ht="22.5" hidden="1" customHeight="1">
      <c r="A128" s="35">
        <v>45905.39937368056</v>
      </c>
      <c r="B128" s="15" t="s">
        <v>373</v>
      </c>
      <c r="C128" s="15" t="s">
        <v>2038</v>
      </c>
      <c r="D128" s="15" t="s">
        <v>2036</v>
      </c>
      <c r="E128" s="37"/>
      <c r="F128" s="72">
        <v>45916.0</v>
      </c>
      <c r="G128" s="74" t="s">
        <v>2121</v>
      </c>
      <c r="H128" s="15" t="s">
        <v>2035</v>
      </c>
      <c r="I128" s="72">
        <v>45905.0</v>
      </c>
      <c r="J128" s="37"/>
      <c r="K128" s="37"/>
    </row>
    <row r="129" ht="22.5" hidden="1" customHeight="1">
      <c r="A129" s="35">
        <v>45905.467960208334</v>
      </c>
      <c r="B129" s="15" t="s">
        <v>388</v>
      </c>
      <c r="C129" s="15" t="s">
        <v>2035</v>
      </c>
      <c r="D129" s="15" t="s">
        <v>2036</v>
      </c>
      <c r="E129" s="37"/>
      <c r="F129" s="72">
        <v>45916.0</v>
      </c>
      <c r="G129" s="74" t="s">
        <v>2122</v>
      </c>
      <c r="H129" s="15" t="s">
        <v>2035</v>
      </c>
      <c r="I129" s="72">
        <v>45904.0</v>
      </c>
      <c r="J129" s="37"/>
      <c r="K129" s="37"/>
    </row>
    <row r="130" ht="22.5" hidden="1" customHeight="1">
      <c r="A130" s="35">
        <v>45905.46874549768</v>
      </c>
      <c r="B130" s="15" t="s">
        <v>311</v>
      </c>
      <c r="C130" s="15" t="s">
        <v>2035</v>
      </c>
      <c r="D130" s="15" t="s">
        <v>2036</v>
      </c>
      <c r="E130" s="37"/>
      <c r="F130" s="72">
        <v>45905.0</v>
      </c>
      <c r="G130" s="74" t="s">
        <v>2123</v>
      </c>
      <c r="H130" s="15" t="s">
        <v>2035</v>
      </c>
      <c r="I130" s="72">
        <v>45905.0</v>
      </c>
      <c r="J130" s="37"/>
      <c r="K130" s="37"/>
    </row>
    <row r="131" ht="22.5" hidden="1" customHeight="1">
      <c r="A131" s="35">
        <v>45905.47102053241</v>
      </c>
      <c r="B131" s="15" t="s">
        <v>86</v>
      </c>
      <c r="C131" s="15" t="s">
        <v>2035</v>
      </c>
      <c r="D131" s="15" t="s">
        <v>2036</v>
      </c>
      <c r="E131" s="37"/>
      <c r="F131" s="72">
        <v>45916.0</v>
      </c>
      <c r="G131" s="74" t="s">
        <v>2124</v>
      </c>
      <c r="H131" s="15" t="s">
        <v>2035</v>
      </c>
      <c r="I131" s="72">
        <v>45904.0</v>
      </c>
      <c r="J131" s="37"/>
      <c r="K131" s="37"/>
    </row>
    <row r="132" ht="22.5" hidden="1" customHeight="1">
      <c r="A132" s="35">
        <v>45905.471547430556</v>
      </c>
      <c r="B132" s="15" t="s">
        <v>317</v>
      </c>
      <c r="C132" s="15" t="s">
        <v>2035</v>
      </c>
      <c r="D132" s="15" t="s">
        <v>2036</v>
      </c>
      <c r="E132" s="37"/>
      <c r="F132" s="72">
        <v>45916.0</v>
      </c>
      <c r="G132" s="74" t="s">
        <v>2125</v>
      </c>
      <c r="H132" s="15" t="s">
        <v>2035</v>
      </c>
      <c r="I132" s="72">
        <v>45905.0</v>
      </c>
      <c r="J132" s="37"/>
      <c r="K132" s="37"/>
    </row>
    <row r="133" ht="22.5" hidden="1" customHeight="1">
      <c r="A133" s="35">
        <v>45905.47712915509</v>
      </c>
      <c r="B133" s="15" t="s">
        <v>398</v>
      </c>
      <c r="C133" s="15" t="s">
        <v>2038</v>
      </c>
      <c r="D133" s="15" t="s">
        <v>2036</v>
      </c>
      <c r="E133" s="37"/>
      <c r="F133" s="72">
        <v>45916.0</v>
      </c>
      <c r="G133" s="74" t="s">
        <v>2126</v>
      </c>
      <c r="H133" s="15" t="s">
        <v>2035</v>
      </c>
      <c r="I133" s="72">
        <v>45904.0</v>
      </c>
      <c r="J133" s="37"/>
      <c r="K133" s="37"/>
    </row>
    <row r="134" ht="22.5" hidden="1" customHeight="1">
      <c r="A134" s="35">
        <v>45905.47976802083</v>
      </c>
      <c r="B134" s="15" t="s">
        <v>361</v>
      </c>
      <c r="C134" s="15" t="s">
        <v>81</v>
      </c>
      <c r="D134" s="15" t="s">
        <v>2034</v>
      </c>
      <c r="E134" s="37"/>
      <c r="F134" s="37"/>
      <c r="G134" s="37"/>
      <c r="H134" s="15" t="s">
        <v>2035</v>
      </c>
      <c r="I134" s="72">
        <v>45904.0</v>
      </c>
      <c r="J134" s="74" t="s">
        <v>2127</v>
      </c>
      <c r="K134" s="37"/>
    </row>
    <row r="135" ht="22.5" hidden="1" customHeight="1">
      <c r="A135" s="35">
        <v>45905.59086664351</v>
      </c>
      <c r="B135" s="15" t="s">
        <v>407</v>
      </c>
      <c r="C135" s="15" t="s">
        <v>81</v>
      </c>
      <c r="D135" s="15" t="s">
        <v>2034</v>
      </c>
      <c r="E135" s="37"/>
      <c r="F135" s="37"/>
      <c r="G135" s="37"/>
      <c r="H135" s="15" t="s">
        <v>2035</v>
      </c>
      <c r="I135" s="72">
        <v>45905.0</v>
      </c>
      <c r="J135" s="74" t="s">
        <v>2128</v>
      </c>
      <c r="K135" s="37"/>
    </row>
    <row r="136" ht="22.5" hidden="1" customHeight="1">
      <c r="A136" s="35">
        <v>45905.601315127315</v>
      </c>
      <c r="B136" s="15" t="s">
        <v>170</v>
      </c>
      <c r="C136" s="15" t="s">
        <v>81</v>
      </c>
      <c r="D136" s="15" t="s">
        <v>85</v>
      </c>
      <c r="E136" s="37"/>
      <c r="F136" s="37"/>
      <c r="G136" s="37"/>
      <c r="H136" s="15" t="s">
        <v>2035</v>
      </c>
      <c r="I136" s="72">
        <v>45905.0</v>
      </c>
      <c r="J136" s="37"/>
      <c r="K136" s="37"/>
    </row>
    <row r="137" ht="22.5" hidden="1" customHeight="1">
      <c r="A137" s="35">
        <v>45906.43657568287</v>
      </c>
      <c r="B137" s="15" t="s">
        <v>412</v>
      </c>
      <c r="C137" s="15" t="s">
        <v>2035</v>
      </c>
      <c r="D137" s="15" t="s">
        <v>2036</v>
      </c>
      <c r="E137" s="37"/>
      <c r="F137" s="72">
        <v>45916.0</v>
      </c>
      <c r="G137" s="74" t="s">
        <v>2129</v>
      </c>
      <c r="H137" s="15" t="s">
        <v>2035</v>
      </c>
      <c r="I137" s="72">
        <v>45905.0</v>
      </c>
      <c r="J137" s="37"/>
      <c r="K137" s="37"/>
    </row>
    <row r="138" ht="22.5" hidden="1" customHeight="1">
      <c r="A138" s="35">
        <v>45908.69274758102</v>
      </c>
      <c r="B138" s="15" t="s">
        <v>415</v>
      </c>
      <c r="C138" s="15" t="s">
        <v>2038</v>
      </c>
      <c r="D138" s="15" t="s">
        <v>2036</v>
      </c>
      <c r="E138" s="37"/>
      <c r="F138" s="72">
        <v>45917.0</v>
      </c>
      <c r="G138" s="74" t="s">
        <v>2130</v>
      </c>
      <c r="H138" s="15" t="s">
        <v>2035</v>
      </c>
      <c r="I138" s="72">
        <v>45908.0</v>
      </c>
      <c r="J138" s="37"/>
      <c r="K138" s="37"/>
    </row>
    <row r="139" ht="22.5" hidden="1" customHeight="1">
      <c r="A139" s="35">
        <v>45908.71209168981</v>
      </c>
      <c r="B139" s="15" t="s">
        <v>206</v>
      </c>
      <c r="C139" s="15" t="s">
        <v>2038</v>
      </c>
      <c r="D139" s="15" t="s">
        <v>2036</v>
      </c>
      <c r="E139" s="37"/>
      <c r="F139" s="37"/>
      <c r="G139" s="74" t="s">
        <v>2131</v>
      </c>
      <c r="H139" s="15" t="s">
        <v>2035</v>
      </c>
      <c r="I139" s="72">
        <v>45905.0</v>
      </c>
      <c r="J139" s="37"/>
      <c r="K139" s="37"/>
    </row>
    <row r="140" ht="22.5" hidden="1" customHeight="1">
      <c r="A140" s="35">
        <v>45908.71386929398</v>
      </c>
      <c r="B140" s="15" t="s">
        <v>431</v>
      </c>
      <c r="C140" s="15" t="s">
        <v>81</v>
      </c>
      <c r="D140" s="15" t="s">
        <v>2034</v>
      </c>
      <c r="E140" s="37"/>
      <c r="F140" s="37"/>
      <c r="G140" s="37"/>
      <c r="H140" s="15" t="s">
        <v>2035</v>
      </c>
      <c r="I140" s="72">
        <v>45908.0</v>
      </c>
      <c r="J140" s="74" t="s">
        <v>2132</v>
      </c>
      <c r="K140" s="37"/>
    </row>
    <row r="141" ht="22.5" hidden="1" customHeight="1">
      <c r="A141" s="35">
        <v>45908.71420783565</v>
      </c>
      <c r="B141" s="15" t="s">
        <v>426</v>
      </c>
      <c r="C141" s="15" t="s">
        <v>81</v>
      </c>
      <c r="D141" s="15" t="s">
        <v>2034</v>
      </c>
      <c r="E141" s="37"/>
      <c r="F141" s="37"/>
      <c r="G141" s="37"/>
      <c r="H141" s="15" t="s">
        <v>2035</v>
      </c>
      <c r="I141" s="72">
        <v>45906.0</v>
      </c>
      <c r="J141" s="37"/>
      <c r="K141" s="37"/>
    </row>
    <row r="142" ht="22.5" hidden="1" customHeight="1">
      <c r="A142" s="35">
        <v>45909.45718023148</v>
      </c>
      <c r="B142" s="15" t="s">
        <v>410</v>
      </c>
      <c r="C142" s="15" t="s">
        <v>2035</v>
      </c>
      <c r="D142" s="15" t="s">
        <v>2036</v>
      </c>
      <c r="E142" s="37"/>
      <c r="F142" s="72">
        <v>45918.0</v>
      </c>
      <c r="G142" s="74" t="s">
        <v>2133</v>
      </c>
      <c r="H142" s="15" t="s">
        <v>2035</v>
      </c>
      <c r="I142" s="72">
        <v>45906.0</v>
      </c>
      <c r="J142" s="37"/>
      <c r="K142" s="37"/>
    </row>
    <row r="143" ht="22.5" hidden="1" customHeight="1">
      <c r="A143" s="35">
        <v>45909.47761641204</v>
      </c>
      <c r="B143" s="15" t="s">
        <v>336</v>
      </c>
      <c r="C143" s="15" t="s">
        <v>2035</v>
      </c>
      <c r="D143" s="15" t="s">
        <v>2036</v>
      </c>
      <c r="E143" s="37"/>
      <c r="F143" s="72">
        <v>45918.0</v>
      </c>
      <c r="G143" s="74" t="s">
        <v>2134</v>
      </c>
      <c r="H143" s="15" t="s">
        <v>2035</v>
      </c>
      <c r="I143" s="72">
        <v>45908.0</v>
      </c>
      <c r="J143" s="37"/>
      <c r="K143" s="37"/>
    </row>
    <row r="144" ht="22.5" hidden="1" customHeight="1">
      <c r="A144" s="35">
        <v>45909.47807858796</v>
      </c>
      <c r="B144" s="15" t="s">
        <v>424</v>
      </c>
      <c r="C144" s="15" t="s">
        <v>2035</v>
      </c>
      <c r="D144" s="15" t="s">
        <v>2036</v>
      </c>
      <c r="E144" s="37"/>
      <c r="F144" s="72">
        <v>45918.0</v>
      </c>
      <c r="G144" s="74" t="s">
        <v>2135</v>
      </c>
      <c r="H144" s="15" t="s">
        <v>2035</v>
      </c>
      <c r="I144" s="72">
        <v>45908.0</v>
      </c>
      <c r="J144" s="37"/>
      <c r="K144" s="37"/>
    </row>
    <row r="145" ht="22.5" hidden="1" customHeight="1">
      <c r="A145" s="35">
        <v>45909.48019130787</v>
      </c>
      <c r="B145" s="15" t="s">
        <v>434</v>
      </c>
      <c r="C145" s="15" t="s">
        <v>81</v>
      </c>
      <c r="D145" s="15" t="s">
        <v>2034</v>
      </c>
      <c r="E145" s="37"/>
      <c r="F145" s="37"/>
      <c r="G145" s="37"/>
      <c r="H145" s="15" t="s">
        <v>2035</v>
      </c>
      <c r="I145" s="72">
        <v>45908.0</v>
      </c>
      <c r="J145" s="37"/>
      <c r="K145" s="37"/>
    </row>
    <row r="146" ht="22.5" hidden="1" customHeight="1">
      <c r="A146" s="35">
        <v>45909.515758043985</v>
      </c>
      <c r="B146" s="15" t="s">
        <v>437</v>
      </c>
      <c r="C146" s="15" t="s">
        <v>2038</v>
      </c>
      <c r="D146" s="15" t="s">
        <v>2036</v>
      </c>
      <c r="E146" s="37"/>
      <c r="F146" s="72">
        <v>45918.0</v>
      </c>
      <c r="G146" s="74" t="s">
        <v>2136</v>
      </c>
      <c r="H146" s="15" t="s">
        <v>2035</v>
      </c>
      <c r="I146" s="72">
        <v>45908.0</v>
      </c>
      <c r="J146" s="37"/>
      <c r="K146" s="37"/>
    </row>
    <row r="147" ht="22.5" hidden="1" customHeight="1">
      <c r="A147" s="35">
        <v>45909.639312245374</v>
      </c>
      <c r="B147" s="15" t="s">
        <v>353</v>
      </c>
      <c r="C147" s="15" t="s">
        <v>2038</v>
      </c>
      <c r="D147" s="15" t="s">
        <v>2036</v>
      </c>
      <c r="E147" s="37"/>
      <c r="F147" s="72">
        <v>45919.0</v>
      </c>
      <c r="G147" s="74" t="s">
        <v>2137</v>
      </c>
      <c r="H147" s="15" t="s">
        <v>2035</v>
      </c>
      <c r="I147" s="72">
        <v>45909.0</v>
      </c>
      <c r="J147" s="37"/>
      <c r="K147" s="37"/>
    </row>
    <row r="148" ht="22.5" hidden="1" customHeight="1">
      <c r="A148" s="35">
        <v>45909.64038303241</v>
      </c>
      <c r="B148" s="15" t="s">
        <v>422</v>
      </c>
      <c r="C148" s="15" t="s">
        <v>2038</v>
      </c>
      <c r="D148" s="15" t="s">
        <v>2036</v>
      </c>
      <c r="E148" s="37"/>
      <c r="F148" s="72">
        <v>45919.0</v>
      </c>
      <c r="G148" s="74" t="s">
        <v>2138</v>
      </c>
      <c r="H148" s="15" t="s">
        <v>2035</v>
      </c>
      <c r="I148" s="72">
        <v>45909.0</v>
      </c>
      <c r="J148" s="37"/>
      <c r="K148" s="37"/>
    </row>
    <row r="149" ht="22.5" hidden="1" customHeight="1">
      <c r="A149" s="35">
        <v>45910.70745569444</v>
      </c>
      <c r="B149" s="15" t="s">
        <v>384</v>
      </c>
      <c r="C149" s="15" t="s">
        <v>2038</v>
      </c>
      <c r="D149" s="15" t="s">
        <v>2036</v>
      </c>
      <c r="E149" s="37"/>
      <c r="F149" s="72">
        <v>45919.0</v>
      </c>
      <c r="G149" s="74" t="s">
        <v>2139</v>
      </c>
      <c r="H149" s="15" t="s">
        <v>2035</v>
      </c>
      <c r="I149" s="72">
        <v>45909.0</v>
      </c>
      <c r="J149" s="37"/>
      <c r="K149" s="37"/>
    </row>
    <row r="150" ht="22.5" hidden="1" customHeight="1">
      <c r="A150" s="35">
        <v>45910.713311921296</v>
      </c>
      <c r="B150" s="15" t="s">
        <v>233</v>
      </c>
      <c r="C150" s="15" t="s">
        <v>2035</v>
      </c>
      <c r="D150" s="15" t="s">
        <v>2036</v>
      </c>
      <c r="E150" s="37"/>
      <c r="F150" s="72">
        <v>45919.0</v>
      </c>
      <c r="G150" s="74" t="s">
        <v>2140</v>
      </c>
      <c r="H150" s="15" t="s">
        <v>2035</v>
      </c>
      <c r="I150" s="72">
        <v>45909.0</v>
      </c>
      <c r="J150" s="37"/>
      <c r="K150" s="37"/>
    </row>
    <row r="151" ht="22.5" hidden="1" customHeight="1">
      <c r="A151" s="35">
        <v>45910.714083680556</v>
      </c>
      <c r="B151" s="15" t="s">
        <v>388</v>
      </c>
      <c r="C151" s="15" t="s">
        <v>2035</v>
      </c>
      <c r="D151" s="15" t="s">
        <v>2036</v>
      </c>
      <c r="E151" s="37"/>
      <c r="F151" s="72">
        <v>45919.0</v>
      </c>
      <c r="G151" s="74" t="s">
        <v>2141</v>
      </c>
      <c r="H151" s="15" t="s">
        <v>2035</v>
      </c>
      <c r="I151" s="72">
        <v>45910.0</v>
      </c>
      <c r="J151" s="37"/>
      <c r="K151" s="37"/>
    </row>
    <row r="152" ht="22.5" hidden="1" customHeight="1">
      <c r="A152" s="35">
        <v>45910.71485042824</v>
      </c>
      <c r="B152" s="15" t="s">
        <v>442</v>
      </c>
      <c r="C152" s="15" t="s">
        <v>2035</v>
      </c>
      <c r="D152" s="15" t="s">
        <v>2036</v>
      </c>
      <c r="E152" s="37"/>
      <c r="F152" s="72">
        <v>45919.0</v>
      </c>
      <c r="G152" s="74" t="s">
        <v>2142</v>
      </c>
      <c r="H152" s="15" t="s">
        <v>2035</v>
      </c>
      <c r="I152" s="72">
        <v>45910.0</v>
      </c>
      <c r="J152" s="37"/>
      <c r="K152" s="37"/>
    </row>
    <row r="153" ht="22.5" hidden="1" customHeight="1">
      <c r="A153" s="35">
        <v>45910.71559141204</v>
      </c>
      <c r="B153" s="15" t="s">
        <v>333</v>
      </c>
      <c r="C153" s="15" t="s">
        <v>2035</v>
      </c>
      <c r="D153" s="15" t="s">
        <v>2036</v>
      </c>
      <c r="E153" s="37"/>
      <c r="F153" s="72">
        <v>45919.0</v>
      </c>
      <c r="G153" s="74" t="s">
        <v>2143</v>
      </c>
      <c r="H153" s="15" t="s">
        <v>2035</v>
      </c>
      <c r="I153" s="72">
        <v>45910.0</v>
      </c>
      <c r="J153" s="37"/>
      <c r="K153" s="37"/>
    </row>
    <row r="154" ht="22.5" hidden="1" customHeight="1">
      <c r="A154" s="35">
        <v>45910.71729519676</v>
      </c>
      <c r="B154" s="15" t="s">
        <v>227</v>
      </c>
      <c r="C154" s="15" t="s">
        <v>2038</v>
      </c>
      <c r="D154" s="15" t="s">
        <v>2034</v>
      </c>
      <c r="E154" s="37"/>
      <c r="F154" s="37"/>
      <c r="G154" s="37"/>
      <c r="H154" s="15" t="s">
        <v>2035</v>
      </c>
      <c r="I154" s="72">
        <v>45910.0</v>
      </c>
      <c r="J154" s="74" t="s">
        <v>2144</v>
      </c>
      <c r="K154" s="37"/>
    </row>
    <row r="155" ht="22.5" hidden="1" customHeight="1">
      <c r="A155" s="35">
        <v>45910.71795693287</v>
      </c>
      <c r="B155" s="15" t="s">
        <v>355</v>
      </c>
      <c r="C155" s="15" t="s">
        <v>2038</v>
      </c>
      <c r="D155" s="15" t="s">
        <v>2034</v>
      </c>
      <c r="E155" s="37"/>
      <c r="F155" s="37"/>
      <c r="G155" s="37"/>
      <c r="H155" s="15" t="s">
        <v>2035</v>
      </c>
      <c r="I155" s="72">
        <v>45910.0</v>
      </c>
      <c r="J155" s="74" t="s">
        <v>2145</v>
      </c>
      <c r="K155" s="37"/>
    </row>
    <row r="156" ht="22.5" hidden="1" customHeight="1">
      <c r="A156" s="35">
        <v>45910.71852115741</v>
      </c>
      <c r="B156" s="15" t="s">
        <v>165</v>
      </c>
      <c r="C156" s="15" t="s">
        <v>2038</v>
      </c>
      <c r="D156" s="15" t="s">
        <v>2034</v>
      </c>
      <c r="E156" s="37"/>
      <c r="F156" s="37"/>
      <c r="G156" s="37"/>
      <c r="H156" s="15" t="s">
        <v>2035</v>
      </c>
      <c r="I156" s="72">
        <v>45910.0</v>
      </c>
      <c r="J156" s="74" t="s">
        <v>2146</v>
      </c>
      <c r="K156" s="37"/>
    </row>
    <row r="157" ht="22.5" hidden="1" customHeight="1">
      <c r="A157" s="35">
        <v>45911.40860461806</v>
      </c>
      <c r="B157" s="15" t="s">
        <v>444</v>
      </c>
      <c r="C157" s="15" t="s">
        <v>2035</v>
      </c>
      <c r="D157" s="15" t="s">
        <v>2036</v>
      </c>
      <c r="E157" s="37"/>
      <c r="F157" s="72">
        <v>45922.0</v>
      </c>
      <c r="G157" s="74" t="s">
        <v>2147</v>
      </c>
      <c r="H157" s="15" t="s">
        <v>2035</v>
      </c>
      <c r="I157" s="72">
        <v>45910.0</v>
      </c>
      <c r="J157" s="37"/>
      <c r="K157" s="37"/>
    </row>
    <row r="158" ht="22.5" hidden="1" customHeight="1">
      <c r="A158" s="35">
        <v>45911.40926652778</v>
      </c>
      <c r="B158" s="15" t="s">
        <v>460</v>
      </c>
      <c r="C158" s="15" t="s">
        <v>2038</v>
      </c>
      <c r="D158" s="15" t="s">
        <v>2036</v>
      </c>
      <c r="E158" s="37"/>
      <c r="F158" s="72">
        <v>45922.0</v>
      </c>
      <c r="G158" s="74" t="s">
        <v>2148</v>
      </c>
      <c r="H158" s="15" t="s">
        <v>2035</v>
      </c>
      <c r="I158" s="72">
        <v>45911.0</v>
      </c>
      <c r="J158" s="37"/>
      <c r="K158" s="37"/>
    </row>
    <row r="159" ht="22.5" hidden="1" customHeight="1">
      <c r="A159" s="35">
        <v>45911.41557517361</v>
      </c>
      <c r="B159" s="15" t="s">
        <v>463</v>
      </c>
      <c r="C159" s="15" t="s">
        <v>81</v>
      </c>
      <c r="D159" s="15" t="s">
        <v>2034</v>
      </c>
      <c r="E159" s="37"/>
      <c r="F159" s="37"/>
      <c r="G159" s="37"/>
      <c r="H159" s="15" t="s">
        <v>2035</v>
      </c>
      <c r="I159" s="72">
        <v>45911.0</v>
      </c>
      <c r="J159" s="37"/>
      <c r="K159" s="37"/>
    </row>
    <row r="160" ht="22.5" hidden="1" customHeight="1">
      <c r="A160" s="35">
        <v>45911.59960008102</v>
      </c>
      <c r="B160" s="15" t="s">
        <v>251</v>
      </c>
      <c r="C160" s="15" t="s">
        <v>2035</v>
      </c>
      <c r="D160" s="15" t="s">
        <v>2036</v>
      </c>
      <c r="E160" s="37"/>
      <c r="F160" s="72">
        <v>45922.0</v>
      </c>
      <c r="G160" s="74" t="s">
        <v>2149</v>
      </c>
      <c r="H160" s="15" t="s">
        <v>2035</v>
      </c>
      <c r="I160" s="72">
        <v>45910.0</v>
      </c>
      <c r="J160" s="37"/>
      <c r="K160" s="37"/>
    </row>
    <row r="161" ht="22.5" hidden="1" customHeight="1">
      <c r="A161" s="35">
        <v>45911.60031488426</v>
      </c>
      <c r="B161" s="15" t="s">
        <v>255</v>
      </c>
      <c r="C161" s="15" t="s">
        <v>2035</v>
      </c>
      <c r="D161" s="15" t="s">
        <v>2036</v>
      </c>
      <c r="E161" s="37"/>
      <c r="F161" s="72">
        <v>45922.0</v>
      </c>
      <c r="G161" s="74" t="s">
        <v>2150</v>
      </c>
      <c r="H161" s="15" t="s">
        <v>2035</v>
      </c>
      <c r="I161" s="72">
        <v>45910.0</v>
      </c>
      <c r="J161" s="37"/>
      <c r="K161" s="37"/>
    </row>
    <row r="162" ht="22.5" hidden="1" customHeight="1">
      <c r="A162" s="35">
        <v>45911.60089084491</v>
      </c>
      <c r="B162" s="15" t="s">
        <v>256</v>
      </c>
      <c r="C162" s="15" t="s">
        <v>2035</v>
      </c>
      <c r="D162" s="15" t="s">
        <v>2036</v>
      </c>
      <c r="E162" s="37"/>
      <c r="F162" s="72">
        <v>45922.0</v>
      </c>
      <c r="G162" s="74" t="s">
        <v>2151</v>
      </c>
      <c r="H162" s="15" t="s">
        <v>2035</v>
      </c>
      <c r="I162" s="72">
        <v>45910.0</v>
      </c>
      <c r="J162" s="37"/>
      <c r="K162" s="37"/>
    </row>
    <row r="163" ht="22.5" hidden="1" customHeight="1">
      <c r="A163" s="35">
        <v>45911.601661064815</v>
      </c>
      <c r="B163" s="15" t="s">
        <v>293</v>
      </c>
      <c r="C163" s="15" t="s">
        <v>2035</v>
      </c>
      <c r="D163" s="15" t="s">
        <v>2036</v>
      </c>
      <c r="E163" s="37"/>
      <c r="F163" s="72">
        <v>45922.0</v>
      </c>
      <c r="G163" s="74" t="s">
        <v>2152</v>
      </c>
      <c r="H163" s="15" t="s">
        <v>2035</v>
      </c>
      <c r="I163" s="72">
        <v>45910.0</v>
      </c>
      <c r="J163" s="37"/>
      <c r="K163" s="37"/>
    </row>
    <row r="164" ht="22.5" hidden="1" customHeight="1">
      <c r="A164" s="35">
        <v>45911.6023821875</v>
      </c>
      <c r="B164" s="15" t="s">
        <v>251</v>
      </c>
      <c r="C164" s="15" t="s">
        <v>2035</v>
      </c>
      <c r="D164" s="15" t="s">
        <v>2036</v>
      </c>
      <c r="E164" s="37"/>
      <c r="F164" s="72">
        <v>45922.0</v>
      </c>
      <c r="G164" s="74" t="s">
        <v>2153</v>
      </c>
      <c r="H164" s="15" t="s">
        <v>2035</v>
      </c>
      <c r="I164" s="72">
        <v>45910.0</v>
      </c>
      <c r="J164" s="37"/>
      <c r="K164" s="37"/>
    </row>
    <row r="165" ht="22.5" hidden="1" customHeight="1">
      <c r="A165" s="35">
        <v>45911.67420915509</v>
      </c>
      <c r="B165" s="15" t="s">
        <v>447</v>
      </c>
      <c r="C165" s="15" t="s">
        <v>2035</v>
      </c>
      <c r="D165" s="15" t="s">
        <v>2036</v>
      </c>
      <c r="E165" s="37"/>
      <c r="F165" s="72">
        <v>45923.0</v>
      </c>
      <c r="G165" s="74" t="s">
        <v>2154</v>
      </c>
      <c r="H165" s="15" t="s">
        <v>2035</v>
      </c>
      <c r="I165" s="72">
        <v>45911.0</v>
      </c>
      <c r="J165" s="37"/>
      <c r="K165" s="37"/>
    </row>
    <row r="166" ht="22.5" hidden="1" customHeight="1">
      <c r="A166" s="35">
        <v>45912.45643525463</v>
      </c>
      <c r="B166" s="15" t="s">
        <v>381</v>
      </c>
      <c r="C166" s="15" t="s">
        <v>2038</v>
      </c>
      <c r="D166" s="15" t="s">
        <v>2034</v>
      </c>
      <c r="E166" s="37"/>
      <c r="F166" s="37"/>
      <c r="G166" s="37"/>
      <c r="H166" s="15" t="s">
        <v>2035</v>
      </c>
      <c r="I166" s="72">
        <v>45912.0</v>
      </c>
      <c r="J166" s="74" t="s">
        <v>2155</v>
      </c>
      <c r="K166" s="37"/>
    </row>
    <row r="167" ht="22.5" hidden="1" customHeight="1">
      <c r="A167" s="35">
        <v>45912.59179148148</v>
      </c>
      <c r="B167" s="15" t="s">
        <v>375</v>
      </c>
      <c r="C167" s="15" t="s">
        <v>2035</v>
      </c>
      <c r="D167" s="15" t="s">
        <v>2034</v>
      </c>
      <c r="E167" s="37"/>
      <c r="F167" s="37"/>
      <c r="G167" s="37"/>
      <c r="H167" s="15" t="s">
        <v>2035</v>
      </c>
      <c r="I167" s="72">
        <v>45912.0</v>
      </c>
      <c r="J167" s="37"/>
      <c r="K167" s="37"/>
    </row>
    <row r="168" ht="22.5" hidden="1" customHeight="1">
      <c r="A168" s="35">
        <v>45912.59284034722</v>
      </c>
      <c r="B168" s="15" t="s">
        <v>377</v>
      </c>
      <c r="C168" s="15" t="s">
        <v>2035</v>
      </c>
      <c r="D168" s="15" t="s">
        <v>2034</v>
      </c>
      <c r="E168" s="37"/>
      <c r="F168" s="37"/>
      <c r="G168" s="37"/>
      <c r="H168" s="15" t="s">
        <v>2035</v>
      </c>
      <c r="I168" s="72">
        <v>45912.0</v>
      </c>
      <c r="J168" s="37"/>
      <c r="K168" s="37"/>
    </row>
    <row r="169" ht="22.5" hidden="1" customHeight="1">
      <c r="A169" s="35">
        <v>45912.605270844906</v>
      </c>
      <c r="B169" s="15" t="s">
        <v>326</v>
      </c>
      <c r="C169" s="15" t="s">
        <v>2038</v>
      </c>
      <c r="D169" s="15" t="s">
        <v>2036</v>
      </c>
      <c r="E169" s="37"/>
      <c r="F169" s="72">
        <v>45923.0</v>
      </c>
      <c r="G169" s="74" t="s">
        <v>2156</v>
      </c>
      <c r="H169" s="15" t="s">
        <v>2035</v>
      </c>
      <c r="I169" s="72">
        <v>45912.0</v>
      </c>
      <c r="J169" s="37"/>
      <c r="K169" s="37"/>
    </row>
    <row r="170" ht="22.5" hidden="1" customHeight="1">
      <c r="A170" s="35">
        <v>45912.634341365745</v>
      </c>
      <c r="B170" s="15" t="s">
        <v>311</v>
      </c>
      <c r="C170" s="15" t="s">
        <v>2038</v>
      </c>
      <c r="D170" s="15" t="s">
        <v>2034</v>
      </c>
      <c r="E170" s="37"/>
      <c r="F170" s="37"/>
      <c r="G170" s="37"/>
      <c r="H170" s="15" t="s">
        <v>2035</v>
      </c>
      <c r="I170" s="72">
        <v>45912.0</v>
      </c>
      <c r="J170" s="74" t="s">
        <v>2157</v>
      </c>
      <c r="K170" s="37"/>
    </row>
    <row r="171" ht="22.5" hidden="1" customHeight="1">
      <c r="A171" s="35">
        <v>45912.637357060186</v>
      </c>
      <c r="B171" s="15" t="s">
        <v>317</v>
      </c>
      <c r="C171" s="15" t="s">
        <v>2038</v>
      </c>
      <c r="D171" s="15" t="s">
        <v>2034</v>
      </c>
      <c r="E171" s="37"/>
      <c r="F171" s="37"/>
      <c r="G171" s="37"/>
      <c r="H171" s="15" t="s">
        <v>2035</v>
      </c>
      <c r="I171" s="72">
        <v>45912.0</v>
      </c>
      <c r="J171" s="74" t="s">
        <v>2158</v>
      </c>
      <c r="K171" s="37"/>
    </row>
    <row r="172" ht="22.5" hidden="1" customHeight="1">
      <c r="A172" s="35">
        <v>45912.63819268519</v>
      </c>
      <c r="B172" s="15" t="s">
        <v>86</v>
      </c>
      <c r="C172" s="15" t="s">
        <v>2038</v>
      </c>
      <c r="D172" s="15" t="s">
        <v>2034</v>
      </c>
      <c r="E172" s="37"/>
      <c r="F172" s="37"/>
      <c r="G172" s="37"/>
      <c r="H172" s="15" t="s">
        <v>2035</v>
      </c>
      <c r="I172" s="72">
        <v>45912.0</v>
      </c>
      <c r="J172" s="74" t="s">
        <v>2159</v>
      </c>
      <c r="K172" s="37"/>
    </row>
    <row r="173" ht="22.5" hidden="1" customHeight="1">
      <c r="A173" s="35">
        <v>45912.63915087963</v>
      </c>
      <c r="B173" s="15" t="s">
        <v>398</v>
      </c>
      <c r="C173" s="15" t="s">
        <v>2038</v>
      </c>
      <c r="D173" s="15" t="s">
        <v>2034</v>
      </c>
      <c r="E173" s="37"/>
      <c r="F173" s="37"/>
      <c r="G173" s="37"/>
      <c r="H173" s="15" t="s">
        <v>2035</v>
      </c>
      <c r="I173" s="72">
        <v>45912.0</v>
      </c>
      <c r="J173" s="74" t="s">
        <v>2160</v>
      </c>
      <c r="K173" s="37"/>
    </row>
    <row r="174" ht="22.5" hidden="1" customHeight="1">
      <c r="A174" s="35">
        <v>45912.64001805555</v>
      </c>
      <c r="B174" s="15" t="s">
        <v>372</v>
      </c>
      <c r="C174" s="15" t="s">
        <v>2038</v>
      </c>
      <c r="D174" s="15" t="s">
        <v>2034</v>
      </c>
      <c r="E174" s="37"/>
      <c r="F174" s="37"/>
      <c r="G174" s="37"/>
      <c r="H174" s="15" t="s">
        <v>2035</v>
      </c>
      <c r="I174" s="72">
        <v>45912.0</v>
      </c>
      <c r="J174" s="74" t="s">
        <v>2161</v>
      </c>
      <c r="K174" s="37"/>
    </row>
    <row r="175" ht="22.5" hidden="1" customHeight="1">
      <c r="A175" s="35">
        <v>45912.640798865745</v>
      </c>
      <c r="B175" s="15" t="s">
        <v>373</v>
      </c>
      <c r="C175" s="15" t="s">
        <v>2038</v>
      </c>
      <c r="D175" s="15" t="s">
        <v>2034</v>
      </c>
      <c r="E175" s="37"/>
      <c r="F175" s="37"/>
      <c r="G175" s="37"/>
      <c r="H175" s="15" t="s">
        <v>2035</v>
      </c>
      <c r="I175" s="72">
        <v>45912.0</v>
      </c>
      <c r="J175" s="74" t="s">
        <v>2162</v>
      </c>
      <c r="K175" s="37"/>
    </row>
    <row r="176" ht="22.5" hidden="1" customHeight="1">
      <c r="A176" s="35">
        <v>45912.64386923611</v>
      </c>
      <c r="B176" s="15" t="s">
        <v>458</v>
      </c>
      <c r="C176" s="15" t="s">
        <v>2035</v>
      </c>
      <c r="D176" s="15" t="s">
        <v>2036</v>
      </c>
      <c r="E176" s="37"/>
      <c r="F176" s="72">
        <v>45923.0</v>
      </c>
      <c r="G176" s="74" t="s">
        <v>2163</v>
      </c>
      <c r="H176" s="15" t="s">
        <v>2035</v>
      </c>
      <c r="I176" s="72">
        <v>45912.0</v>
      </c>
      <c r="J176" s="37"/>
      <c r="K176" s="37"/>
    </row>
    <row r="177" ht="22.5" hidden="1" customHeight="1">
      <c r="A177" s="35">
        <v>45913.45728754629</v>
      </c>
      <c r="B177" s="15" t="s">
        <v>369</v>
      </c>
      <c r="C177" s="15" t="s">
        <v>2038</v>
      </c>
      <c r="D177" s="15" t="s">
        <v>2036</v>
      </c>
      <c r="E177" s="37"/>
      <c r="F177" s="72">
        <v>45924.0</v>
      </c>
      <c r="G177" s="74" t="s">
        <v>2164</v>
      </c>
      <c r="H177" s="15" t="s">
        <v>2035</v>
      </c>
      <c r="I177" s="72">
        <v>45913.0</v>
      </c>
      <c r="J177" s="37"/>
      <c r="K177" s="37"/>
    </row>
    <row r="178" ht="22.5" hidden="1" customHeight="1">
      <c r="A178" s="35">
        <v>45913.458387210645</v>
      </c>
      <c r="B178" s="15" t="s">
        <v>415</v>
      </c>
      <c r="C178" s="15" t="s">
        <v>2038</v>
      </c>
      <c r="D178" s="15" t="s">
        <v>2036</v>
      </c>
      <c r="E178" s="37"/>
      <c r="F178" s="72">
        <v>45924.0</v>
      </c>
      <c r="G178" s="74" t="s">
        <v>2165</v>
      </c>
      <c r="H178" s="15" t="s">
        <v>2035</v>
      </c>
      <c r="I178" s="72">
        <v>45913.0</v>
      </c>
      <c r="J178" s="37"/>
      <c r="K178" s="37"/>
    </row>
    <row r="179" ht="22.5" hidden="1" customHeight="1">
      <c r="A179" s="35">
        <v>45913.459422604166</v>
      </c>
      <c r="B179" s="15" t="s">
        <v>477</v>
      </c>
      <c r="C179" s="15" t="s">
        <v>2035</v>
      </c>
      <c r="D179" s="15" t="s">
        <v>2036</v>
      </c>
      <c r="E179" s="37"/>
      <c r="F179" s="72">
        <v>45924.0</v>
      </c>
      <c r="G179" s="74" t="s">
        <v>2166</v>
      </c>
      <c r="H179" s="15" t="s">
        <v>2035</v>
      </c>
      <c r="I179" s="72">
        <v>45913.0</v>
      </c>
      <c r="J179" s="37"/>
      <c r="K179" s="37"/>
    </row>
    <row r="180" ht="22.5" hidden="1" customHeight="1">
      <c r="A180" s="35">
        <v>45913.460433078704</v>
      </c>
      <c r="B180" s="15" t="s">
        <v>478</v>
      </c>
      <c r="C180" s="15" t="s">
        <v>81</v>
      </c>
      <c r="D180" s="15" t="s">
        <v>2034</v>
      </c>
      <c r="E180" s="37"/>
      <c r="F180" s="37"/>
      <c r="G180" s="37"/>
      <c r="H180" s="15" t="s">
        <v>2035</v>
      </c>
      <c r="I180" s="72">
        <v>45912.0</v>
      </c>
      <c r="J180" s="37"/>
      <c r="K180" s="37"/>
    </row>
    <row r="181" ht="22.5" hidden="1" customHeight="1">
      <c r="A181" s="35">
        <v>45913.46098778935</v>
      </c>
      <c r="B181" s="15" t="s">
        <v>482</v>
      </c>
      <c r="C181" s="15" t="s">
        <v>81</v>
      </c>
      <c r="D181" s="15" t="s">
        <v>2034</v>
      </c>
      <c r="E181" s="37"/>
      <c r="F181" s="37"/>
      <c r="G181" s="37"/>
      <c r="H181" s="15" t="s">
        <v>2035</v>
      </c>
      <c r="I181" s="72">
        <v>45912.0</v>
      </c>
      <c r="J181" s="37"/>
      <c r="K181" s="37"/>
    </row>
    <row r="182" ht="22.5" hidden="1" customHeight="1">
      <c r="A182" s="35">
        <v>45913.46133788195</v>
      </c>
      <c r="B182" s="15" t="s">
        <v>484</v>
      </c>
      <c r="C182" s="15" t="s">
        <v>81</v>
      </c>
      <c r="D182" s="15" t="s">
        <v>2034</v>
      </c>
      <c r="E182" s="37"/>
      <c r="F182" s="37"/>
      <c r="G182" s="37"/>
      <c r="H182" s="15" t="s">
        <v>2035</v>
      </c>
      <c r="I182" s="72">
        <v>45912.0</v>
      </c>
      <c r="J182" s="37"/>
      <c r="K182" s="37"/>
    </row>
    <row r="183" ht="22.5" hidden="1" customHeight="1">
      <c r="A183" s="35">
        <v>45915.43941508102</v>
      </c>
      <c r="B183" s="15" t="s">
        <v>454</v>
      </c>
      <c r="C183" s="15" t="s">
        <v>2035</v>
      </c>
      <c r="D183" s="15" t="s">
        <v>2036</v>
      </c>
      <c r="E183" s="37"/>
      <c r="F183" s="72">
        <v>45924.0</v>
      </c>
      <c r="G183" s="74" t="s">
        <v>2167</v>
      </c>
      <c r="H183" s="15" t="s">
        <v>2035</v>
      </c>
      <c r="I183" s="72">
        <v>45915.0</v>
      </c>
      <c r="J183" s="37"/>
      <c r="K183" s="37"/>
    </row>
    <row r="184" ht="22.5" hidden="1" customHeight="1">
      <c r="A184" s="35">
        <v>45915.633916516206</v>
      </c>
      <c r="B184" s="15" t="s">
        <v>388</v>
      </c>
      <c r="C184" s="15" t="s">
        <v>2038</v>
      </c>
      <c r="D184" s="15" t="s">
        <v>2034</v>
      </c>
      <c r="E184" s="37"/>
      <c r="F184" s="37"/>
      <c r="G184" s="37"/>
      <c r="H184" s="15" t="s">
        <v>2035</v>
      </c>
      <c r="I184" s="72">
        <v>45912.0</v>
      </c>
      <c r="J184" s="74" t="s">
        <v>2168</v>
      </c>
      <c r="K184" s="37"/>
    </row>
    <row r="185" ht="22.5" hidden="1" customHeight="1">
      <c r="A185" s="35">
        <v>45915.63526202546</v>
      </c>
      <c r="B185" s="15" t="s">
        <v>488</v>
      </c>
      <c r="C185" s="15" t="s">
        <v>81</v>
      </c>
      <c r="D185" s="15" t="s">
        <v>2034</v>
      </c>
      <c r="E185" s="37"/>
      <c r="F185" s="37"/>
      <c r="G185" s="37"/>
      <c r="H185" s="15" t="s">
        <v>2035</v>
      </c>
      <c r="I185" s="72">
        <v>45913.0</v>
      </c>
      <c r="J185" s="37"/>
      <c r="K185" s="37"/>
    </row>
    <row r="186" ht="22.5" hidden="1" customHeight="1">
      <c r="A186" s="35">
        <v>45916.43659293982</v>
      </c>
      <c r="B186" s="15" t="s">
        <v>471</v>
      </c>
      <c r="C186" s="15" t="s">
        <v>2038</v>
      </c>
      <c r="D186" s="15" t="s">
        <v>2036</v>
      </c>
      <c r="E186" s="37"/>
      <c r="F186" s="72">
        <v>45925.0</v>
      </c>
      <c r="G186" s="74" t="s">
        <v>2169</v>
      </c>
      <c r="H186" s="15" t="s">
        <v>2035</v>
      </c>
      <c r="I186" s="72">
        <v>45916.0</v>
      </c>
      <c r="J186" s="37"/>
      <c r="K186" s="37"/>
    </row>
    <row r="187" ht="22.5" hidden="1" customHeight="1">
      <c r="A187" s="35">
        <v>45916.43787363426</v>
      </c>
      <c r="B187" s="15" t="s">
        <v>427</v>
      </c>
      <c r="C187" s="15" t="s">
        <v>2038</v>
      </c>
      <c r="D187" s="15" t="s">
        <v>2036</v>
      </c>
      <c r="E187" s="37"/>
      <c r="F187" s="72">
        <v>45925.0</v>
      </c>
      <c r="G187" s="74" t="s">
        <v>2170</v>
      </c>
      <c r="H187" s="15" t="s">
        <v>2035</v>
      </c>
      <c r="I187" s="72">
        <v>45916.0</v>
      </c>
      <c r="J187" s="37"/>
      <c r="K187" s="37"/>
    </row>
    <row r="188" ht="22.5" hidden="1" customHeight="1">
      <c r="A188" s="35">
        <v>45916.438794560185</v>
      </c>
      <c r="B188" s="15" t="s">
        <v>479</v>
      </c>
      <c r="C188" s="15" t="s">
        <v>2038</v>
      </c>
      <c r="D188" s="15" t="s">
        <v>2036</v>
      </c>
      <c r="E188" s="37"/>
      <c r="F188" s="72">
        <v>45925.0</v>
      </c>
      <c r="G188" s="74" t="s">
        <v>2171</v>
      </c>
      <c r="H188" s="15" t="s">
        <v>2035</v>
      </c>
      <c r="I188" s="72">
        <v>45916.0</v>
      </c>
      <c r="J188" s="37"/>
      <c r="K188" s="37"/>
    </row>
    <row r="189" ht="22.5" hidden="1" customHeight="1">
      <c r="A189" s="35">
        <v>45916.43945982639</v>
      </c>
      <c r="B189" s="15" t="s">
        <v>483</v>
      </c>
      <c r="C189" s="15" t="s">
        <v>2038</v>
      </c>
      <c r="D189" s="15" t="s">
        <v>2036</v>
      </c>
      <c r="E189" s="37"/>
      <c r="F189" s="72">
        <v>45925.0</v>
      </c>
      <c r="G189" s="74" t="s">
        <v>2172</v>
      </c>
      <c r="H189" s="15" t="s">
        <v>2035</v>
      </c>
      <c r="I189" s="72">
        <v>45916.0</v>
      </c>
      <c r="J189" s="37"/>
      <c r="K189" s="37"/>
    </row>
    <row r="190" ht="22.5" hidden="1" customHeight="1">
      <c r="A190" s="35">
        <v>45916.44053086806</v>
      </c>
      <c r="B190" s="15" t="s">
        <v>464</v>
      </c>
      <c r="C190" s="15" t="s">
        <v>2035</v>
      </c>
      <c r="D190" s="15" t="s">
        <v>2036</v>
      </c>
      <c r="E190" s="37"/>
      <c r="F190" s="72">
        <v>45925.0</v>
      </c>
      <c r="G190" s="74" t="s">
        <v>2173</v>
      </c>
      <c r="H190" s="15" t="s">
        <v>2035</v>
      </c>
      <c r="I190" s="72">
        <v>45916.0</v>
      </c>
      <c r="J190" s="37"/>
      <c r="K190" s="37"/>
    </row>
    <row r="191" ht="22.5" hidden="1" customHeight="1">
      <c r="A191" s="35">
        <v>45916.44140998843</v>
      </c>
      <c r="B191" s="15" t="s">
        <v>393</v>
      </c>
      <c r="C191" s="15" t="s">
        <v>2035</v>
      </c>
      <c r="D191" s="15" t="s">
        <v>2036</v>
      </c>
      <c r="E191" s="37"/>
      <c r="F191" s="72">
        <v>45925.0</v>
      </c>
      <c r="G191" s="74" t="s">
        <v>2174</v>
      </c>
      <c r="H191" s="15" t="s">
        <v>2035</v>
      </c>
      <c r="I191" s="72">
        <v>45916.0</v>
      </c>
      <c r="J191" s="37"/>
      <c r="K191" s="37"/>
    </row>
    <row r="192" ht="22.5" hidden="1" customHeight="1">
      <c r="A192" s="35">
        <v>45916.4443522338</v>
      </c>
      <c r="B192" s="15" t="s">
        <v>2175</v>
      </c>
      <c r="C192" s="15" t="s">
        <v>81</v>
      </c>
      <c r="D192" s="15" t="s">
        <v>85</v>
      </c>
      <c r="E192" s="37"/>
      <c r="F192" s="37"/>
      <c r="G192" s="37"/>
      <c r="H192" s="15" t="s">
        <v>2035</v>
      </c>
      <c r="I192" s="72">
        <v>45916.0</v>
      </c>
      <c r="J192" s="37"/>
      <c r="K192" s="37"/>
    </row>
    <row r="193" ht="22.5" hidden="1" customHeight="1">
      <c r="A193" s="35">
        <v>45916.444901863426</v>
      </c>
      <c r="B193" s="15" t="s">
        <v>498</v>
      </c>
      <c r="C193" s="15" t="s">
        <v>81</v>
      </c>
      <c r="D193" s="15" t="s">
        <v>2034</v>
      </c>
      <c r="E193" s="37"/>
      <c r="F193" s="37"/>
      <c r="G193" s="37"/>
      <c r="H193" s="15" t="s">
        <v>2035</v>
      </c>
      <c r="I193" s="72">
        <v>45916.0</v>
      </c>
      <c r="J193" s="37"/>
      <c r="K193" s="37"/>
    </row>
    <row r="194" ht="22.5" hidden="1" customHeight="1">
      <c r="A194" s="35">
        <v>45916.595700509264</v>
      </c>
      <c r="B194" s="15" t="s">
        <v>424</v>
      </c>
      <c r="C194" s="15" t="s">
        <v>2035</v>
      </c>
      <c r="D194" s="15" t="s">
        <v>2036</v>
      </c>
      <c r="E194" s="37"/>
      <c r="F194" s="72">
        <v>45925.0</v>
      </c>
      <c r="G194" s="74" t="s">
        <v>2176</v>
      </c>
      <c r="H194" s="15" t="s">
        <v>2035</v>
      </c>
      <c r="I194" s="72">
        <v>45916.0</v>
      </c>
      <c r="J194" s="37"/>
      <c r="K194" s="37"/>
    </row>
    <row r="195" ht="22.5" hidden="1" customHeight="1">
      <c r="A195" s="35">
        <v>45917.395149918986</v>
      </c>
      <c r="B195" s="15" t="s">
        <v>333</v>
      </c>
      <c r="C195" s="15" t="s">
        <v>2035</v>
      </c>
      <c r="D195" s="15" t="s">
        <v>2036</v>
      </c>
      <c r="E195" s="37"/>
      <c r="F195" s="72">
        <v>45926.0</v>
      </c>
      <c r="G195" s="74" t="s">
        <v>2177</v>
      </c>
      <c r="H195" s="15" t="s">
        <v>2035</v>
      </c>
      <c r="I195" s="72">
        <v>45917.0</v>
      </c>
      <c r="J195" s="37"/>
      <c r="K195" s="37"/>
    </row>
    <row r="196" ht="22.5" hidden="1" customHeight="1">
      <c r="A196" s="35">
        <v>45917.39646138889</v>
      </c>
      <c r="B196" s="15" t="s">
        <v>422</v>
      </c>
      <c r="C196" s="15" t="s">
        <v>2035</v>
      </c>
      <c r="D196" s="15" t="s">
        <v>2036</v>
      </c>
      <c r="E196" s="37"/>
      <c r="F196" s="72">
        <v>45926.0</v>
      </c>
      <c r="G196" s="74" t="s">
        <v>2178</v>
      </c>
      <c r="H196" s="15" t="s">
        <v>2035</v>
      </c>
      <c r="I196" s="72">
        <v>45917.0</v>
      </c>
      <c r="J196" s="37"/>
      <c r="K196" s="37"/>
    </row>
    <row r="197" ht="22.5" hidden="1" customHeight="1">
      <c r="A197" s="35">
        <v>45917.39746148148</v>
      </c>
      <c r="B197" s="15" t="s">
        <v>419</v>
      </c>
      <c r="C197" s="15" t="s">
        <v>2035</v>
      </c>
      <c r="D197" s="15" t="s">
        <v>2036</v>
      </c>
      <c r="E197" s="37"/>
      <c r="F197" s="72">
        <v>45926.0</v>
      </c>
      <c r="G197" s="74" t="s">
        <v>2179</v>
      </c>
      <c r="H197" s="15" t="s">
        <v>2035</v>
      </c>
      <c r="I197" s="72">
        <v>45917.0</v>
      </c>
      <c r="J197" s="37"/>
      <c r="K197" s="37"/>
    </row>
    <row r="198" ht="22.5" hidden="1" customHeight="1">
      <c r="A198" s="35">
        <v>45917.45178166666</v>
      </c>
      <c r="B198" s="15" t="s">
        <v>502</v>
      </c>
      <c r="C198" s="15" t="s">
        <v>81</v>
      </c>
      <c r="D198" s="15" t="s">
        <v>2034</v>
      </c>
      <c r="E198" s="37"/>
      <c r="F198" s="37"/>
      <c r="G198" s="37"/>
      <c r="H198" s="15" t="s">
        <v>2035</v>
      </c>
      <c r="I198" s="72">
        <v>45915.0</v>
      </c>
      <c r="J198" s="37"/>
      <c r="K198" s="37"/>
    </row>
    <row r="199" ht="22.5" hidden="1" customHeight="1">
      <c r="A199" s="35">
        <v>45917.60170122686</v>
      </c>
      <c r="B199" s="15" t="s">
        <v>477</v>
      </c>
      <c r="C199" s="15" t="s">
        <v>2038</v>
      </c>
      <c r="D199" s="15" t="s">
        <v>2034</v>
      </c>
      <c r="E199" s="37"/>
      <c r="F199" s="37"/>
      <c r="G199" s="37"/>
      <c r="H199" s="15" t="s">
        <v>2035</v>
      </c>
      <c r="I199" s="72">
        <v>45917.0</v>
      </c>
      <c r="J199" s="74" t="s">
        <v>2180</v>
      </c>
      <c r="K199" s="37"/>
    </row>
    <row r="200" ht="22.5" hidden="1" customHeight="1">
      <c r="A200" s="35">
        <v>45917.71044974537</v>
      </c>
      <c r="B200" s="15" t="s">
        <v>503</v>
      </c>
      <c r="C200" s="15" t="s">
        <v>81</v>
      </c>
      <c r="D200" s="15" t="s">
        <v>2034</v>
      </c>
      <c r="E200" s="37"/>
      <c r="F200" s="37"/>
      <c r="G200" s="37"/>
      <c r="H200" s="15" t="s">
        <v>2035</v>
      </c>
      <c r="I200" s="72">
        <v>45917.0</v>
      </c>
      <c r="J200" s="37"/>
      <c r="K200" s="37"/>
    </row>
    <row r="201" ht="22.5" hidden="1" customHeight="1">
      <c r="A201" s="35">
        <v>45917.71213496527</v>
      </c>
      <c r="B201" s="15" t="s">
        <v>206</v>
      </c>
      <c r="C201" s="15" t="s">
        <v>2038</v>
      </c>
      <c r="D201" s="15" t="s">
        <v>2034</v>
      </c>
      <c r="E201" s="37"/>
      <c r="F201" s="37"/>
      <c r="G201" s="37"/>
      <c r="H201" s="15" t="s">
        <v>2035</v>
      </c>
      <c r="I201" s="72">
        <v>45917.0</v>
      </c>
      <c r="J201" s="74" t="s">
        <v>2181</v>
      </c>
      <c r="K201" s="37"/>
    </row>
    <row r="202" ht="22.5" hidden="1" customHeight="1">
      <c r="A202" s="35">
        <v>45917.71354635416</v>
      </c>
      <c r="B202" s="15" t="s">
        <v>412</v>
      </c>
      <c r="C202" s="15" t="s">
        <v>2035</v>
      </c>
      <c r="D202" s="15" t="s">
        <v>2034</v>
      </c>
      <c r="E202" s="37"/>
      <c r="F202" s="37"/>
      <c r="G202" s="37"/>
      <c r="H202" s="15" t="s">
        <v>2035</v>
      </c>
      <c r="I202" s="72">
        <v>45917.0</v>
      </c>
      <c r="J202" s="74" t="s">
        <v>2182</v>
      </c>
      <c r="K202" s="37"/>
    </row>
    <row r="203" ht="22.5" hidden="1" customHeight="1">
      <c r="A203" s="35">
        <v>45918.418994039355</v>
      </c>
      <c r="B203" s="15" t="s">
        <v>437</v>
      </c>
      <c r="C203" s="15" t="s">
        <v>2038</v>
      </c>
      <c r="D203" s="15" t="s">
        <v>2034</v>
      </c>
      <c r="E203" s="37"/>
      <c r="F203" s="37"/>
      <c r="G203" s="37"/>
      <c r="H203" s="15" t="s">
        <v>2035</v>
      </c>
      <c r="I203" s="72">
        <v>45918.0</v>
      </c>
      <c r="J203" s="74" t="s">
        <v>2183</v>
      </c>
      <c r="K203" s="37"/>
    </row>
    <row r="204" ht="22.5" hidden="1" customHeight="1">
      <c r="A204" s="35">
        <v>45918.41991996528</v>
      </c>
      <c r="B204" s="15" t="s">
        <v>336</v>
      </c>
      <c r="C204" s="15" t="s">
        <v>2035</v>
      </c>
      <c r="D204" s="15" t="s">
        <v>2034</v>
      </c>
      <c r="E204" s="37"/>
      <c r="F204" s="37"/>
      <c r="G204" s="37"/>
      <c r="H204" s="15" t="s">
        <v>2035</v>
      </c>
      <c r="I204" s="72">
        <v>45918.0</v>
      </c>
      <c r="J204" s="74" t="s">
        <v>2184</v>
      </c>
      <c r="K204" s="37"/>
    </row>
    <row r="205" ht="22.5" hidden="1" customHeight="1">
      <c r="A205" s="35">
        <v>45918.42027446759</v>
      </c>
      <c r="B205" s="15" t="s">
        <v>504</v>
      </c>
      <c r="C205" s="15" t="s">
        <v>81</v>
      </c>
      <c r="D205" s="15" t="s">
        <v>2034</v>
      </c>
      <c r="E205" s="37"/>
      <c r="F205" s="37"/>
      <c r="G205" s="37"/>
      <c r="H205" s="15" t="s">
        <v>2035</v>
      </c>
      <c r="I205" s="72">
        <v>45918.0</v>
      </c>
      <c r="J205" s="37"/>
      <c r="K205" s="37"/>
    </row>
    <row r="206" ht="22.5" hidden="1" customHeight="1">
      <c r="A206" s="35">
        <v>45918.59748761574</v>
      </c>
      <c r="B206" s="15" t="s">
        <v>500</v>
      </c>
      <c r="C206" s="15" t="s">
        <v>2038</v>
      </c>
      <c r="D206" s="15" t="s">
        <v>2036</v>
      </c>
      <c r="E206" s="37"/>
      <c r="F206" s="72">
        <v>45929.0</v>
      </c>
      <c r="G206" s="74" t="s">
        <v>2185</v>
      </c>
      <c r="H206" s="15" t="s">
        <v>2035</v>
      </c>
      <c r="I206" s="72">
        <v>45918.0</v>
      </c>
      <c r="J206" s="37"/>
      <c r="K206" s="37"/>
    </row>
    <row r="207" ht="22.5" hidden="1" customHeight="1">
      <c r="A207" s="35">
        <v>45918.599030150464</v>
      </c>
      <c r="B207" s="15" t="s">
        <v>468</v>
      </c>
      <c r="C207" s="15" t="s">
        <v>2038</v>
      </c>
      <c r="D207" s="15" t="s">
        <v>2036</v>
      </c>
      <c r="E207" s="37"/>
      <c r="F207" s="72">
        <v>45929.0</v>
      </c>
      <c r="G207" s="74" t="s">
        <v>2186</v>
      </c>
      <c r="H207" s="15" t="s">
        <v>2035</v>
      </c>
      <c r="I207" s="72">
        <v>45918.0</v>
      </c>
      <c r="J207" s="37"/>
      <c r="K207" s="37"/>
    </row>
    <row r="208" ht="22.5" hidden="1" customHeight="1">
      <c r="A208" s="35">
        <v>45918.63625420139</v>
      </c>
      <c r="B208" s="15" t="s">
        <v>233</v>
      </c>
      <c r="C208" s="15" t="s">
        <v>2035</v>
      </c>
      <c r="D208" s="15" t="s">
        <v>2036</v>
      </c>
      <c r="E208" s="37"/>
      <c r="F208" s="72">
        <v>45929.0</v>
      </c>
      <c r="G208" s="74" t="s">
        <v>2187</v>
      </c>
      <c r="H208" s="15" t="s">
        <v>2035</v>
      </c>
      <c r="I208" s="72">
        <v>45918.0</v>
      </c>
      <c r="J208" s="37"/>
      <c r="K208" s="37"/>
    </row>
    <row r="209" ht="22.5" hidden="1" customHeight="1">
      <c r="A209" s="35">
        <v>45918.64907510417</v>
      </c>
      <c r="B209" s="15" t="s">
        <v>442</v>
      </c>
      <c r="C209" s="15" t="s">
        <v>2035</v>
      </c>
      <c r="D209" s="15" t="s">
        <v>2034</v>
      </c>
      <c r="E209" s="37"/>
      <c r="F209" s="37"/>
      <c r="G209" s="37"/>
      <c r="H209" s="15" t="s">
        <v>2035</v>
      </c>
      <c r="I209" s="72">
        <v>45918.0</v>
      </c>
      <c r="J209" s="74" t="s">
        <v>2188</v>
      </c>
      <c r="K209" s="37"/>
    </row>
    <row r="210" ht="22.5" hidden="1" customHeight="1">
      <c r="A210" s="35">
        <v>45918.652180694444</v>
      </c>
      <c r="B210" s="15" t="s">
        <v>390</v>
      </c>
      <c r="C210" s="15" t="s">
        <v>2035</v>
      </c>
      <c r="D210" s="15" t="s">
        <v>2034</v>
      </c>
      <c r="E210" s="37"/>
      <c r="F210" s="37"/>
      <c r="G210" s="37"/>
      <c r="H210" s="15" t="s">
        <v>2035</v>
      </c>
      <c r="I210" s="72">
        <v>45918.0</v>
      </c>
      <c r="J210" s="74" t="s">
        <v>2189</v>
      </c>
      <c r="K210" s="37"/>
    </row>
    <row r="211" ht="22.5" hidden="1" customHeight="1">
      <c r="A211" s="35">
        <v>45918.65281571759</v>
      </c>
      <c r="B211" s="15" t="s">
        <v>353</v>
      </c>
      <c r="C211" s="15" t="s">
        <v>2035</v>
      </c>
      <c r="D211" s="15" t="s">
        <v>2034</v>
      </c>
      <c r="E211" s="37"/>
      <c r="F211" s="37"/>
      <c r="G211" s="37"/>
      <c r="H211" s="15" t="s">
        <v>2035</v>
      </c>
      <c r="I211" s="72">
        <v>45918.0</v>
      </c>
      <c r="J211" s="74" t="s">
        <v>2190</v>
      </c>
      <c r="K211" s="37"/>
    </row>
    <row r="212" ht="22.5" hidden="1" customHeight="1">
      <c r="A212" s="35">
        <v>45919.64656184027</v>
      </c>
      <c r="B212" s="15" t="s">
        <v>293</v>
      </c>
      <c r="C212" s="15" t="s">
        <v>2035</v>
      </c>
      <c r="D212" s="15" t="s">
        <v>2036</v>
      </c>
      <c r="E212" s="37"/>
      <c r="F212" s="72">
        <v>45931.0</v>
      </c>
      <c r="G212" s="74" t="s">
        <v>2191</v>
      </c>
      <c r="H212" s="15" t="s">
        <v>2035</v>
      </c>
      <c r="I212" s="72">
        <v>45919.0</v>
      </c>
      <c r="J212" s="37"/>
      <c r="K212" s="37"/>
    </row>
    <row r="213" ht="22.5" hidden="1" customHeight="1">
      <c r="A213" s="35">
        <v>45919.64737799768</v>
      </c>
      <c r="B213" s="15" t="s">
        <v>519</v>
      </c>
      <c r="C213" s="15" t="s">
        <v>2035</v>
      </c>
      <c r="D213" s="15" t="s">
        <v>2036</v>
      </c>
      <c r="E213" s="37"/>
      <c r="F213" s="72">
        <v>45931.0</v>
      </c>
      <c r="G213" s="74" t="s">
        <v>2192</v>
      </c>
      <c r="H213" s="15" t="s">
        <v>2035</v>
      </c>
      <c r="I213" s="72">
        <v>45919.0</v>
      </c>
      <c r="J213" s="37"/>
      <c r="K213" s="37"/>
    </row>
    <row r="214" ht="22.5" hidden="1" customHeight="1">
      <c r="A214" s="35">
        <v>45919.65011516203</v>
      </c>
      <c r="B214" s="15" t="s">
        <v>458</v>
      </c>
      <c r="C214" s="15" t="s">
        <v>2035</v>
      </c>
      <c r="D214" s="15" t="s">
        <v>2036</v>
      </c>
      <c r="E214" s="37"/>
      <c r="F214" s="72">
        <v>45931.0</v>
      </c>
      <c r="G214" s="74" t="s">
        <v>2193</v>
      </c>
      <c r="H214" s="15" t="s">
        <v>2035</v>
      </c>
      <c r="I214" s="72">
        <v>45919.0</v>
      </c>
      <c r="J214" s="37"/>
      <c r="K214" s="37"/>
    </row>
    <row r="215" ht="22.5" hidden="1" customHeight="1">
      <c r="A215" s="35">
        <v>45922.43729967593</v>
      </c>
      <c r="B215" s="15" t="s">
        <v>447</v>
      </c>
      <c r="C215" s="15" t="s">
        <v>2038</v>
      </c>
      <c r="D215" s="15" t="s">
        <v>2034</v>
      </c>
      <c r="E215" s="37"/>
      <c r="F215" s="37"/>
      <c r="G215" s="37"/>
      <c r="H215" s="15" t="s">
        <v>2035</v>
      </c>
      <c r="I215" s="72">
        <v>45922.0</v>
      </c>
      <c r="J215" s="74" t="s">
        <v>2194</v>
      </c>
      <c r="K215" s="37"/>
    </row>
    <row r="216" ht="22.5" hidden="1" customHeight="1">
      <c r="A216" s="35">
        <v>45922.68410829861</v>
      </c>
      <c r="B216" s="15" t="s">
        <v>508</v>
      </c>
      <c r="C216" s="15" t="s">
        <v>2038</v>
      </c>
      <c r="D216" s="15" t="s">
        <v>2036</v>
      </c>
      <c r="E216" s="37"/>
      <c r="F216" s="72">
        <v>45931.0</v>
      </c>
      <c r="G216" s="74" t="s">
        <v>2195</v>
      </c>
      <c r="H216" s="15" t="s">
        <v>2035</v>
      </c>
      <c r="I216" s="72">
        <v>45922.0</v>
      </c>
      <c r="J216" s="37"/>
      <c r="K216" s="37"/>
    </row>
    <row r="217" ht="22.5" hidden="1" customHeight="1">
      <c r="A217" s="35">
        <v>45922.68496881945</v>
      </c>
      <c r="B217" s="15" t="s">
        <v>521</v>
      </c>
      <c r="C217" s="15" t="s">
        <v>2038</v>
      </c>
      <c r="D217" s="15" t="s">
        <v>2036</v>
      </c>
      <c r="E217" s="37"/>
      <c r="F217" s="72">
        <v>45931.0</v>
      </c>
      <c r="G217" s="74" t="s">
        <v>2196</v>
      </c>
      <c r="H217" s="15" t="s">
        <v>2035</v>
      </c>
      <c r="I217" s="72">
        <v>45922.0</v>
      </c>
      <c r="J217" s="37"/>
      <c r="K217" s="37"/>
    </row>
    <row r="218" ht="22.5" hidden="1" customHeight="1">
      <c r="A218" s="35">
        <v>45922.68593041667</v>
      </c>
      <c r="B218" s="15" t="s">
        <v>525</v>
      </c>
      <c r="C218" s="15" t="s">
        <v>2038</v>
      </c>
      <c r="D218" s="15" t="s">
        <v>2036</v>
      </c>
      <c r="E218" s="37"/>
      <c r="F218" s="72">
        <v>45931.0</v>
      </c>
      <c r="G218" s="74" t="s">
        <v>2197</v>
      </c>
      <c r="H218" s="15" t="s">
        <v>2035</v>
      </c>
      <c r="I218" s="72">
        <v>45922.0</v>
      </c>
      <c r="J218" s="37"/>
      <c r="K218" s="37"/>
    </row>
    <row r="219" ht="22.5" hidden="1" customHeight="1">
      <c r="A219" s="35">
        <v>45922.687247766204</v>
      </c>
      <c r="B219" s="15" t="s">
        <v>527</v>
      </c>
      <c r="C219" s="15" t="s">
        <v>81</v>
      </c>
      <c r="D219" s="15" t="s">
        <v>2034</v>
      </c>
      <c r="E219" s="37"/>
      <c r="F219" s="37"/>
      <c r="G219" s="37"/>
      <c r="H219" s="15" t="s">
        <v>2035</v>
      </c>
      <c r="I219" s="72">
        <v>45922.0</v>
      </c>
      <c r="J219" s="37"/>
      <c r="K219" s="37"/>
    </row>
    <row r="220" ht="22.5" hidden="1" customHeight="1">
      <c r="A220" s="35">
        <v>45922.68799534722</v>
      </c>
      <c r="B220" s="15" t="s">
        <v>510</v>
      </c>
      <c r="C220" s="15" t="s">
        <v>2038</v>
      </c>
      <c r="D220" s="15" t="s">
        <v>2036</v>
      </c>
      <c r="E220" s="37"/>
      <c r="F220" s="72">
        <v>45931.0</v>
      </c>
      <c r="G220" s="74" t="s">
        <v>2198</v>
      </c>
      <c r="H220" s="15" t="s">
        <v>2035</v>
      </c>
      <c r="I220" s="72">
        <v>45922.0</v>
      </c>
      <c r="J220" s="37"/>
      <c r="K220" s="37"/>
    </row>
    <row r="221" ht="22.5" hidden="1" customHeight="1">
      <c r="A221" s="35">
        <v>45923.4360040625</v>
      </c>
      <c r="B221" s="15" t="s">
        <v>523</v>
      </c>
      <c r="C221" s="15" t="s">
        <v>81</v>
      </c>
      <c r="D221" s="15" t="s">
        <v>2034</v>
      </c>
      <c r="E221" s="37"/>
      <c r="F221" s="37"/>
      <c r="G221" s="37"/>
      <c r="H221" s="15" t="s">
        <v>2035</v>
      </c>
      <c r="I221" s="72">
        <v>45919.0</v>
      </c>
      <c r="J221" s="37"/>
      <c r="K221" s="37"/>
    </row>
    <row r="222" ht="22.5" hidden="1" customHeight="1">
      <c r="A222" s="35">
        <v>45923.436448356486</v>
      </c>
      <c r="B222" s="15" t="s">
        <v>532</v>
      </c>
      <c r="C222" s="15" t="s">
        <v>81</v>
      </c>
      <c r="D222" s="15" t="s">
        <v>2034</v>
      </c>
      <c r="E222" s="37"/>
      <c r="F222" s="37"/>
      <c r="G222" s="37"/>
      <c r="H222" s="15" t="s">
        <v>2035</v>
      </c>
      <c r="I222" s="72">
        <v>45923.0</v>
      </c>
      <c r="J222" s="37"/>
      <c r="K222" s="37"/>
    </row>
    <row r="223" ht="22.5" hidden="1" customHeight="1">
      <c r="A223" s="35">
        <v>45923.437496493054</v>
      </c>
      <c r="B223" s="15" t="s">
        <v>535</v>
      </c>
      <c r="C223" s="15" t="s">
        <v>2038</v>
      </c>
      <c r="D223" s="15" t="s">
        <v>2036</v>
      </c>
      <c r="E223" s="37"/>
      <c r="F223" s="72">
        <v>45932.0</v>
      </c>
      <c r="G223" s="74" t="s">
        <v>2199</v>
      </c>
      <c r="H223" s="15" t="s">
        <v>2035</v>
      </c>
      <c r="I223" s="72">
        <v>45923.0</v>
      </c>
      <c r="J223" s="37"/>
      <c r="K223" s="37"/>
    </row>
    <row r="224" ht="22.5" hidden="1" customHeight="1">
      <c r="A224" s="35">
        <v>45923.44258509259</v>
      </c>
      <c r="B224" s="15" t="s">
        <v>536</v>
      </c>
      <c r="C224" s="15" t="s">
        <v>2038</v>
      </c>
      <c r="D224" s="15" t="s">
        <v>2036</v>
      </c>
      <c r="E224" s="37"/>
      <c r="F224" s="72">
        <v>45932.0</v>
      </c>
      <c r="G224" s="74" t="s">
        <v>2200</v>
      </c>
      <c r="H224" s="15" t="s">
        <v>2035</v>
      </c>
      <c r="I224" s="72">
        <v>45923.0</v>
      </c>
      <c r="J224" s="37"/>
      <c r="K224" s="37"/>
    </row>
    <row r="225" ht="22.5" hidden="1" customHeight="1">
      <c r="A225" s="35">
        <v>45923.64978842593</v>
      </c>
      <c r="B225" s="15" t="s">
        <v>505</v>
      </c>
      <c r="C225" s="15" t="s">
        <v>2038</v>
      </c>
      <c r="D225" s="15" t="s">
        <v>2036</v>
      </c>
      <c r="E225" s="37"/>
      <c r="F225" s="72">
        <v>45933.0</v>
      </c>
      <c r="G225" s="74" t="s">
        <v>2201</v>
      </c>
      <c r="H225" s="15" t="s">
        <v>2035</v>
      </c>
      <c r="I225" s="72">
        <v>45923.0</v>
      </c>
      <c r="J225" s="37"/>
      <c r="K225" s="37"/>
    </row>
    <row r="226" ht="22.5" hidden="1" customHeight="1">
      <c r="A226" s="35">
        <v>45923.6515224537</v>
      </c>
      <c r="B226" s="15" t="s">
        <v>464</v>
      </c>
      <c r="C226" s="15" t="s">
        <v>2038</v>
      </c>
      <c r="D226" s="15" t="s">
        <v>2036</v>
      </c>
      <c r="E226" s="37"/>
      <c r="F226" s="72">
        <v>45933.0</v>
      </c>
      <c r="G226" s="74" t="s">
        <v>2202</v>
      </c>
      <c r="H226" s="15" t="s">
        <v>2035</v>
      </c>
      <c r="I226" s="72">
        <v>45923.0</v>
      </c>
      <c r="J226" s="37"/>
      <c r="K226" s="37"/>
    </row>
    <row r="227" ht="22.5" hidden="1" customHeight="1">
      <c r="A227" s="35">
        <v>45924.44882106481</v>
      </c>
      <c r="B227" s="15" t="s">
        <v>415</v>
      </c>
      <c r="C227" s="15" t="s">
        <v>2038</v>
      </c>
      <c r="D227" s="15" t="s">
        <v>2036</v>
      </c>
      <c r="E227" s="37"/>
      <c r="F227" s="72">
        <v>45933.0</v>
      </c>
      <c r="G227" s="74" t="s">
        <v>2203</v>
      </c>
      <c r="H227" s="15" t="s">
        <v>2035</v>
      </c>
      <c r="I227" s="72">
        <v>45924.0</v>
      </c>
      <c r="J227" s="37"/>
      <c r="K227" s="37"/>
    </row>
    <row r="228" ht="22.5" hidden="1" customHeight="1">
      <c r="A228" s="35">
        <v>45925.40557857639</v>
      </c>
      <c r="B228" s="15" t="s">
        <v>541</v>
      </c>
      <c r="C228" s="15" t="s">
        <v>2038</v>
      </c>
      <c r="D228" s="15" t="s">
        <v>2036</v>
      </c>
      <c r="E228" s="37"/>
      <c r="F228" s="72">
        <v>45936.0</v>
      </c>
      <c r="G228" s="74" t="s">
        <v>2204</v>
      </c>
      <c r="H228" s="15" t="s">
        <v>2035</v>
      </c>
      <c r="I228" s="72">
        <v>45925.0</v>
      </c>
      <c r="J228" s="37"/>
      <c r="K228" s="37"/>
    </row>
    <row r="229" ht="22.5" hidden="1" customHeight="1">
      <c r="A229" s="35">
        <v>45925.40639292824</v>
      </c>
      <c r="B229" s="15" t="s">
        <v>543</v>
      </c>
      <c r="C229" s="15" t="s">
        <v>2038</v>
      </c>
      <c r="D229" s="15" t="s">
        <v>2036</v>
      </c>
      <c r="E229" s="37"/>
      <c r="F229" s="72">
        <v>45936.0</v>
      </c>
      <c r="G229" s="74" t="s">
        <v>2205</v>
      </c>
      <c r="H229" s="15" t="s">
        <v>2035</v>
      </c>
      <c r="I229" s="72">
        <v>45925.0</v>
      </c>
      <c r="J229" s="37"/>
      <c r="K229" s="37"/>
    </row>
    <row r="230" ht="22.5" hidden="1" customHeight="1">
      <c r="A230" s="35">
        <v>45925.40745576389</v>
      </c>
      <c r="B230" s="15" t="s">
        <v>339</v>
      </c>
      <c r="C230" s="15" t="s">
        <v>2035</v>
      </c>
      <c r="D230" s="15" t="s">
        <v>2036</v>
      </c>
      <c r="E230" s="37"/>
      <c r="F230" s="72">
        <v>45936.0</v>
      </c>
      <c r="G230" s="74" t="s">
        <v>2206</v>
      </c>
      <c r="H230" s="15" t="s">
        <v>2035</v>
      </c>
      <c r="I230" s="72">
        <v>45925.0</v>
      </c>
      <c r="J230" s="37"/>
      <c r="K230" s="37"/>
    </row>
    <row r="231" ht="22.5" hidden="1" customHeight="1">
      <c r="A231" s="35">
        <v>45925.40795741898</v>
      </c>
      <c r="B231" s="15" t="s">
        <v>342</v>
      </c>
      <c r="C231" s="15" t="s">
        <v>2035</v>
      </c>
      <c r="D231" s="15" t="s">
        <v>2036</v>
      </c>
      <c r="E231" s="37"/>
      <c r="F231" s="72">
        <v>45936.0</v>
      </c>
      <c r="G231" s="74" t="s">
        <v>2207</v>
      </c>
      <c r="H231" s="15" t="s">
        <v>2035</v>
      </c>
      <c r="I231" s="72">
        <v>45925.0</v>
      </c>
      <c r="J231" s="37"/>
      <c r="K231" s="37"/>
    </row>
    <row r="232" ht="22.5" hidden="1" customHeight="1">
      <c r="A232" s="35">
        <v>45925.40840561343</v>
      </c>
      <c r="B232" s="15" t="s">
        <v>345</v>
      </c>
      <c r="C232" s="15" t="s">
        <v>2035</v>
      </c>
      <c r="D232" s="15" t="s">
        <v>2036</v>
      </c>
      <c r="E232" s="37"/>
      <c r="F232" s="72">
        <v>45936.0</v>
      </c>
      <c r="G232" s="74" t="s">
        <v>2208</v>
      </c>
      <c r="H232" s="15" t="s">
        <v>2035</v>
      </c>
      <c r="I232" s="72">
        <v>45925.0</v>
      </c>
      <c r="J232" s="37"/>
      <c r="K232" s="37"/>
    </row>
    <row r="233" ht="22.5" hidden="1" customHeight="1">
      <c r="A233" s="35">
        <v>45925.40937065972</v>
      </c>
      <c r="B233" s="15" t="s">
        <v>427</v>
      </c>
      <c r="C233" s="15" t="s">
        <v>2035</v>
      </c>
      <c r="D233" s="15" t="s">
        <v>2036</v>
      </c>
      <c r="E233" s="37"/>
      <c r="F233" s="72">
        <v>45936.0</v>
      </c>
      <c r="G233" s="74" t="s">
        <v>2209</v>
      </c>
      <c r="H233" s="15" t="s">
        <v>2035</v>
      </c>
      <c r="I233" s="72">
        <v>45925.0</v>
      </c>
      <c r="J233" s="37"/>
      <c r="K233" s="37"/>
    </row>
    <row r="234" ht="22.5" hidden="1" customHeight="1">
      <c r="A234" s="35">
        <v>45925.42225052083</v>
      </c>
      <c r="B234" s="15" t="s">
        <v>514</v>
      </c>
      <c r="C234" s="15" t="s">
        <v>2038</v>
      </c>
      <c r="D234" s="15" t="s">
        <v>2036</v>
      </c>
      <c r="E234" s="37"/>
      <c r="F234" s="72">
        <v>45933.0</v>
      </c>
      <c r="G234" s="74" t="s">
        <v>2210</v>
      </c>
      <c r="H234" s="15" t="s">
        <v>2035</v>
      </c>
      <c r="I234" s="72">
        <v>45924.0</v>
      </c>
      <c r="J234" s="37"/>
      <c r="K234" s="37"/>
    </row>
    <row r="235" ht="22.5" hidden="1" customHeight="1">
      <c r="A235" s="35">
        <v>45925.49217053241</v>
      </c>
      <c r="B235" s="15" t="s">
        <v>422</v>
      </c>
      <c r="C235" s="15" t="s">
        <v>2035</v>
      </c>
      <c r="D235" s="15" t="s">
        <v>2034</v>
      </c>
      <c r="E235" s="37"/>
      <c r="F235" s="37"/>
      <c r="G235" s="37"/>
      <c r="H235" s="15" t="s">
        <v>2035</v>
      </c>
      <c r="I235" s="72">
        <v>45925.0</v>
      </c>
      <c r="J235" s="74" t="s">
        <v>2211</v>
      </c>
      <c r="K235" s="37"/>
    </row>
    <row r="236" ht="22.5" hidden="1" customHeight="1">
      <c r="A236" s="35">
        <v>45925.49285444444</v>
      </c>
      <c r="B236" s="15" t="s">
        <v>419</v>
      </c>
      <c r="C236" s="15" t="s">
        <v>2038</v>
      </c>
      <c r="D236" s="15" t="s">
        <v>2034</v>
      </c>
      <c r="E236" s="37"/>
      <c r="F236" s="37"/>
      <c r="G236" s="37"/>
      <c r="H236" s="15" t="s">
        <v>2035</v>
      </c>
      <c r="I236" s="72">
        <v>45925.0</v>
      </c>
      <c r="J236" s="74" t="s">
        <v>2212</v>
      </c>
      <c r="K236" s="37"/>
    </row>
    <row r="237" ht="22.5" hidden="1" customHeight="1">
      <c r="A237" s="35">
        <v>45925.49341435185</v>
      </c>
      <c r="B237" s="15" t="s">
        <v>424</v>
      </c>
      <c r="C237" s="15" t="s">
        <v>2035</v>
      </c>
      <c r="D237" s="15" t="s">
        <v>2034</v>
      </c>
      <c r="E237" s="37"/>
      <c r="F237" s="37"/>
      <c r="G237" s="37"/>
      <c r="H237" s="15" t="s">
        <v>2035</v>
      </c>
      <c r="I237" s="72">
        <v>45925.0</v>
      </c>
      <c r="J237" s="74" t="s">
        <v>2213</v>
      </c>
      <c r="K237" s="37"/>
    </row>
    <row r="238" ht="22.5" hidden="1" customHeight="1">
      <c r="A238" s="35">
        <v>45925.49404474537</v>
      </c>
      <c r="B238" s="15" t="s">
        <v>464</v>
      </c>
      <c r="C238" s="15" t="s">
        <v>2035</v>
      </c>
      <c r="D238" s="15" t="s">
        <v>2034</v>
      </c>
      <c r="E238" s="37"/>
      <c r="F238" s="37"/>
      <c r="G238" s="37"/>
      <c r="H238" s="15" t="s">
        <v>2035</v>
      </c>
      <c r="I238" s="72">
        <v>45925.0</v>
      </c>
      <c r="J238" s="74" t="s">
        <v>2214</v>
      </c>
      <c r="K238" s="37"/>
    </row>
    <row r="239" ht="22.5" hidden="1" customHeight="1">
      <c r="A239" s="35">
        <v>45925.49480339121</v>
      </c>
      <c r="B239" s="15" t="s">
        <v>333</v>
      </c>
      <c r="C239" s="15" t="s">
        <v>2035</v>
      </c>
      <c r="D239" s="15" t="s">
        <v>2034</v>
      </c>
      <c r="E239" s="37"/>
      <c r="F239" s="37"/>
      <c r="G239" s="37"/>
      <c r="H239" s="15" t="s">
        <v>2035</v>
      </c>
      <c r="I239" s="72">
        <v>45925.0</v>
      </c>
      <c r="J239" s="74" t="s">
        <v>2215</v>
      </c>
      <c r="K239" s="37"/>
    </row>
    <row r="240" ht="22.5" hidden="1" customHeight="1">
      <c r="A240" s="35">
        <v>45925.49529651621</v>
      </c>
      <c r="B240" s="15" t="s">
        <v>217</v>
      </c>
      <c r="C240" s="15" t="s">
        <v>2035</v>
      </c>
      <c r="D240" s="15" t="s">
        <v>2034</v>
      </c>
      <c r="E240" s="37"/>
      <c r="F240" s="37"/>
      <c r="G240" s="37"/>
      <c r="H240" s="15" t="s">
        <v>2035</v>
      </c>
      <c r="I240" s="72">
        <v>45925.0</v>
      </c>
      <c r="J240" s="74" t="s">
        <v>2216</v>
      </c>
      <c r="K240" s="37"/>
    </row>
    <row r="241" ht="22.5" hidden="1" customHeight="1">
      <c r="A241" s="35">
        <v>45925.610898680556</v>
      </c>
      <c r="B241" s="15" t="s">
        <v>555</v>
      </c>
      <c r="C241" s="15" t="s">
        <v>81</v>
      </c>
      <c r="D241" s="15" t="s">
        <v>2034</v>
      </c>
      <c r="E241" s="37"/>
      <c r="F241" s="37"/>
      <c r="G241" s="37"/>
      <c r="H241" s="15" t="s">
        <v>2035</v>
      </c>
      <c r="I241" s="72">
        <v>45924.0</v>
      </c>
      <c r="J241" s="37"/>
      <c r="K241" s="37"/>
    </row>
    <row r="242" ht="22.5" hidden="1" customHeight="1">
      <c r="A242" s="35">
        <v>45925.611232337964</v>
      </c>
      <c r="B242" s="15" t="s">
        <v>558</v>
      </c>
      <c r="C242" s="15" t="s">
        <v>81</v>
      </c>
      <c r="D242" s="15" t="s">
        <v>2034</v>
      </c>
      <c r="E242" s="37"/>
      <c r="F242" s="37"/>
      <c r="G242" s="37"/>
      <c r="H242" s="15" t="s">
        <v>2035</v>
      </c>
      <c r="I242" s="72">
        <v>45924.0</v>
      </c>
      <c r="J242" s="37"/>
      <c r="K242" s="37"/>
    </row>
    <row r="243" ht="22.5" hidden="1" customHeight="1">
      <c r="A243" s="35">
        <v>45925.61144414352</v>
      </c>
      <c r="B243" s="15" t="s">
        <v>560</v>
      </c>
      <c r="C243" s="15" t="s">
        <v>81</v>
      </c>
      <c r="D243" s="15" t="s">
        <v>2034</v>
      </c>
      <c r="E243" s="37"/>
      <c r="F243" s="37"/>
      <c r="G243" s="37"/>
      <c r="H243" s="15" t="s">
        <v>2035</v>
      </c>
      <c r="I243" s="72">
        <v>45924.0</v>
      </c>
      <c r="J243" s="37"/>
      <c r="K243" s="37"/>
    </row>
    <row r="244" ht="22.5" hidden="1" customHeight="1">
      <c r="A244" s="35">
        <v>45925.61187461806</v>
      </c>
      <c r="B244" s="15" t="s">
        <v>562</v>
      </c>
      <c r="C244" s="15" t="s">
        <v>81</v>
      </c>
      <c r="D244" s="15" t="s">
        <v>2034</v>
      </c>
      <c r="E244" s="37"/>
      <c r="F244" s="37"/>
      <c r="G244" s="37"/>
      <c r="H244" s="15" t="s">
        <v>2035</v>
      </c>
      <c r="I244" s="72">
        <v>45924.0</v>
      </c>
      <c r="J244" s="37"/>
      <c r="K244" s="37"/>
    </row>
    <row r="245" ht="22.5" hidden="1" customHeight="1">
      <c r="A245" s="35">
        <v>45925.61209322917</v>
      </c>
      <c r="B245" s="15" t="s">
        <v>564</v>
      </c>
      <c r="C245" s="15" t="s">
        <v>81</v>
      </c>
      <c r="D245" s="15" t="s">
        <v>2034</v>
      </c>
      <c r="E245" s="37"/>
      <c r="F245" s="37"/>
      <c r="G245" s="37"/>
      <c r="H245" s="15" t="s">
        <v>2035</v>
      </c>
      <c r="I245" s="72">
        <v>45924.0</v>
      </c>
      <c r="J245" s="37"/>
      <c r="K245" s="37"/>
    </row>
    <row r="246" ht="22.5" hidden="1" customHeight="1">
      <c r="A246" s="35">
        <v>45925.61297253473</v>
      </c>
      <c r="B246" s="15" t="s">
        <v>567</v>
      </c>
      <c r="C246" s="15" t="s">
        <v>81</v>
      </c>
      <c r="D246" s="15" t="s">
        <v>2034</v>
      </c>
      <c r="E246" s="37"/>
      <c r="F246" s="37"/>
      <c r="G246" s="37"/>
      <c r="H246" s="15" t="s">
        <v>2035</v>
      </c>
      <c r="I246" s="72">
        <v>45924.0</v>
      </c>
      <c r="J246" s="37"/>
      <c r="K246" s="37"/>
    </row>
    <row r="247" ht="22.5" hidden="1" customHeight="1">
      <c r="A247" s="35">
        <v>45925.613586273146</v>
      </c>
      <c r="B247" s="15" t="s">
        <v>570</v>
      </c>
      <c r="C247" s="15" t="s">
        <v>81</v>
      </c>
      <c r="D247" s="15" t="s">
        <v>2034</v>
      </c>
      <c r="E247" s="37"/>
      <c r="F247" s="37"/>
      <c r="G247" s="37"/>
      <c r="H247" s="15" t="s">
        <v>2035</v>
      </c>
      <c r="I247" s="72">
        <v>45924.0</v>
      </c>
      <c r="J247" s="37"/>
      <c r="K247" s="37"/>
    </row>
    <row r="248" ht="22.5" hidden="1" customHeight="1">
      <c r="A248" s="35">
        <v>45925.613913622685</v>
      </c>
      <c r="B248" s="15" t="s">
        <v>572</v>
      </c>
      <c r="C248" s="15" t="s">
        <v>81</v>
      </c>
      <c r="D248" s="15" t="s">
        <v>2034</v>
      </c>
      <c r="E248" s="37"/>
      <c r="F248" s="37"/>
      <c r="G248" s="37"/>
      <c r="H248" s="15" t="s">
        <v>2035</v>
      </c>
      <c r="I248" s="72">
        <v>45924.0</v>
      </c>
      <c r="J248" s="37"/>
      <c r="K248" s="37"/>
    </row>
    <row r="249" ht="22.5" hidden="1" customHeight="1">
      <c r="A249" s="35">
        <v>45925.66675953704</v>
      </c>
      <c r="B249" s="15" t="s">
        <v>454</v>
      </c>
      <c r="C249" s="15" t="s">
        <v>2035</v>
      </c>
      <c r="D249" s="15" t="s">
        <v>2036</v>
      </c>
      <c r="E249" s="37"/>
      <c r="F249" s="72">
        <v>45936.0</v>
      </c>
      <c r="G249" s="74" t="s">
        <v>2217</v>
      </c>
      <c r="H249" s="15" t="s">
        <v>2035</v>
      </c>
      <c r="I249" s="72">
        <v>45925.0</v>
      </c>
      <c r="J249" s="37"/>
      <c r="K249" s="37"/>
    </row>
    <row r="250" ht="22.5" hidden="1" customHeight="1">
      <c r="A250" s="35">
        <v>45925.68091380787</v>
      </c>
      <c r="B250" s="15" t="s">
        <v>324</v>
      </c>
      <c r="C250" s="15" t="s">
        <v>2035</v>
      </c>
      <c r="D250" s="15" t="s">
        <v>2036</v>
      </c>
      <c r="E250" s="37"/>
      <c r="F250" s="72">
        <v>45936.0</v>
      </c>
      <c r="G250" s="74" t="s">
        <v>2218</v>
      </c>
      <c r="H250" s="15" t="s">
        <v>2035</v>
      </c>
      <c r="I250" s="72">
        <v>45925.0</v>
      </c>
      <c r="J250" s="37"/>
      <c r="K250" s="37"/>
    </row>
    <row r="251" ht="22.5" hidden="1" customHeight="1">
      <c r="A251" s="35">
        <v>45925.68176564814</v>
      </c>
      <c r="B251" s="15" t="s">
        <v>581</v>
      </c>
      <c r="C251" s="15" t="s">
        <v>2035</v>
      </c>
      <c r="D251" s="15" t="s">
        <v>2036</v>
      </c>
      <c r="E251" s="37"/>
      <c r="F251" s="72">
        <v>45936.0</v>
      </c>
      <c r="G251" s="74" t="s">
        <v>2219</v>
      </c>
      <c r="H251" s="15" t="s">
        <v>2035</v>
      </c>
      <c r="I251" s="72">
        <v>45925.0</v>
      </c>
      <c r="J251" s="37"/>
      <c r="K251" s="37"/>
    </row>
    <row r="252" ht="22.5" hidden="1" customHeight="1">
      <c r="A252" s="35">
        <v>45926.49301202546</v>
      </c>
      <c r="B252" s="15" t="s">
        <v>479</v>
      </c>
      <c r="C252" s="15" t="s">
        <v>2035</v>
      </c>
      <c r="D252" s="15" t="s">
        <v>2036</v>
      </c>
      <c r="E252" s="37"/>
      <c r="F252" s="72">
        <v>45937.0</v>
      </c>
      <c r="G252" s="74" t="s">
        <v>2220</v>
      </c>
      <c r="H252" s="15" t="s">
        <v>2035</v>
      </c>
      <c r="I252" s="72">
        <v>45925.0</v>
      </c>
      <c r="J252" s="37"/>
      <c r="K252" s="37"/>
    </row>
    <row r="253" ht="22.5" hidden="1" customHeight="1">
      <c r="A253" s="35">
        <v>45926.49375421296</v>
      </c>
      <c r="B253" s="15" t="s">
        <v>483</v>
      </c>
      <c r="C253" s="15" t="s">
        <v>2035</v>
      </c>
      <c r="D253" s="15" t="s">
        <v>2036</v>
      </c>
      <c r="E253" s="37"/>
      <c r="F253" s="72">
        <v>45937.0</v>
      </c>
      <c r="G253" s="74" t="s">
        <v>2221</v>
      </c>
      <c r="H253" s="15" t="s">
        <v>2035</v>
      </c>
      <c r="I253" s="72">
        <v>45925.0</v>
      </c>
      <c r="J253" s="37"/>
      <c r="K253" s="37"/>
    </row>
    <row r="254" ht="22.5" hidden="1" customHeight="1">
      <c r="A254" s="35">
        <v>45926.49506804398</v>
      </c>
      <c r="B254" s="15" t="s">
        <v>550</v>
      </c>
      <c r="C254" s="15" t="s">
        <v>2035</v>
      </c>
      <c r="D254" s="15" t="s">
        <v>2036</v>
      </c>
      <c r="E254" s="37"/>
      <c r="F254" s="72">
        <v>45937.0</v>
      </c>
      <c r="G254" s="74" t="s">
        <v>2222</v>
      </c>
      <c r="H254" s="15" t="s">
        <v>2035</v>
      </c>
      <c r="I254" s="72">
        <v>45925.0</v>
      </c>
      <c r="J254" s="37"/>
      <c r="K254" s="37"/>
    </row>
    <row r="255" ht="22.5" hidden="1" customHeight="1">
      <c r="A255" s="35">
        <v>45926.49589907407</v>
      </c>
      <c r="B255" s="15" t="s">
        <v>533</v>
      </c>
      <c r="C255" s="15" t="s">
        <v>2035</v>
      </c>
      <c r="D255" s="15" t="s">
        <v>2036</v>
      </c>
      <c r="E255" s="37"/>
      <c r="F255" s="72">
        <v>45937.0</v>
      </c>
      <c r="G255" s="74" t="s">
        <v>2223</v>
      </c>
      <c r="H255" s="15" t="s">
        <v>2035</v>
      </c>
      <c r="I255" s="72">
        <v>45925.0</v>
      </c>
      <c r="J255" s="37"/>
      <c r="K255" s="37"/>
    </row>
    <row r="256" ht="22.5" hidden="1" customHeight="1">
      <c r="A256" s="35">
        <v>45926.49845219907</v>
      </c>
      <c r="B256" s="15" t="s">
        <v>582</v>
      </c>
      <c r="C256" s="15" t="s">
        <v>2038</v>
      </c>
      <c r="D256" s="15" t="s">
        <v>2036</v>
      </c>
      <c r="E256" s="37"/>
      <c r="F256" s="72">
        <v>45938.0</v>
      </c>
      <c r="G256" s="74" t="s">
        <v>2224</v>
      </c>
      <c r="H256" s="15" t="s">
        <v>2035</v>
      </c>
      <c r="I256" s="72">
        <v>45926.0</v>
      </c>
      <c r="J256" s="37"/>
      <c r="K256" s="37"/>
    </row>
    <row r="257" ht="22.5" hidden="1" customHeight="1">
      <c r="A257" s="35">
        <v>45926.65740490741</v>
      </c>
      <c r="B257" s="15" t="s">
        <v>275</v>
      </c>
      <c r="C257" s="15" t="s">
        <v>2038</v>
      </c>
      <c r="D257" s="15" t="s">
        <v>2036</v>
      </c>
      <c r="E257" s="37"/>
      <c r="F257" s="72">
        <v>45938.0</v>
      </c>
      <c r="G257" s="74" t="s">
        <v>2225</v>
      </c>
      <c r="H257" s="15" t="s">
        <v>2035</v>
      </c>
      <c r="I257" s="72">
        <v>45926.0</v>
      </c>
      <c r="J257" s="37"/>
      <c r="K257" s="37"/>
    </row>
    <row r="258" ht="22.5" hidden="1" customHeight="1">
      <c r="A258" s="35">
        <v>45926.713725891204</v>
      </c>
      <c r="B258" s="15" t="s">
        <v>583</v>
      </c>
      <c r="C258" s="15" t="s">
        <v>81</v>
      </c>
      <c r="D258" s="15" t="s">
        <v>2034</v>
      </c>
      <c r="E258" s="37"/>
      <c r="F258" s="37"/>
      <c r="G258" s="37"/>
      <c r="H258" s="15" t="s">
        <v>2035</v>
      </c>
      <c r="I258" s="72">
        <v>45926.0</v>
      </c>
      <c r="J258" s="37"/>
      <c r="K258" s="37"/>
    </row>
    <row r="259" ht="22.5" hidden="1" customHeight="1">
      <c r="A259" s="35">
        <v>45927.42123423611</v>
      </c>
      <c r="B259" s="15" t="s">
        <v>573</v>
      </c>
      <c r="C259" s="15" t="s">
        <v>2038</v>
      </c>
      <c r="D259" s="15" t="s">
        <v>2036</v>
      </c>
      <c r="E259" s="37"/>
      <c r="F259" s="72">
        <v>45938.0</v>
      </c>
      <c r="G259" s="74" t="s">
        <v>2226</v>
      </c>
      <c r="H259" s="15" t="s">
        <v>2035</v>
      </c>
      <c r="I259" s="72">
        <v>45927.0</v>
      </c>
      <c r="J259" s="37"/>
      <c r="K259" s="37"/>
    </row>
    <row r="260" ht="22.5" hidden="1" customHeight="1">
      <c r="A260" s="35">
        <v>45927.42365804398</v>
      </c>
      <c r="B260" s="15" t="s">
        <v>474</v>
      </c>
      <c r="C260" s="15" t="s">
        <v>2038</v>
      </c>
      <c r="D260" s="15" t="s">
        <v>2036</v>
      </c>
      <c r="E260" s="37"/>
      <c r="F260" s="72">
        <v>45938.0</v>
      </c>
      <c r="G260" s="74" t="s">
        <v>2227</v>
      </c>
      <c r="H260" s="15" t="s">
        <v>2035</v>
      </c>
      <c r="I260" s="72">
        <v>45927.0</v>
      </c>
      <c r="J260" s="37"/>
      <c r="K260" s="37"/>
    </row>
    <row r="261" ht="22.5" hidden="1" customHeight="1">
      <c r="A261" s="35">
        <v>45927.424089699074</v>
      </c>
      <c r="B261" s="15" t="s">
        <v>476</v>
      </c>
      <c r="C261" s="15" t="s">
        <v>2038</v>
      </c>
      <c r="D261" s="15" t="s">
        <v>2036</v>
      </c>
      <c r="E261" s="37"/>
      <c r="F261" s="72">
        <v>45938.0</v>
      </c>
      <c r="G261" s="74" t="s">
        <v>2228</v>
      </c>
      <c r="H261" s="15" t="s">
        <v>2035</v>
      </c>
      <c r="I261" s="72">
        <v>45927.0</v>
      </c>
      <c r="J261" s="37"/>
      <c r="K261" s="37"/>
    </row>
    <row r="262" ht="22.5" hidden="1" customHeight="1">
      <c r="A262" s="35">
        <v>45929.39279357639</v>
      </c>
      <c r="B262" s="15" t="s">
        <v>233</v>
      </c>
      <c r="C262" s="15" t="s">
        <v>2035</v>
      </c>
      <c r="D262" s="15" t="s">
        <v>2036</v>
      </c>
      <c r="E262" s="37"/>
      <c r="F262" s="72">
        <v>45938.0</v>
      </c>
      <c r="G262" s="74" t="s">
        <v>2229</v>
      </c>
      <c r="H262" s="15" t="s">
        <v>2035</v>
      </c>
      <c r="I262" s="72">
        <v>45929.0</v>
      </c>
      <c r="J262" s="37"/>
      <c r="K262" s="37"/>
    </row>
    <row r="263" ht="22.5" hidden="1" customHeight="1">
      <c r="A263" s="35">
        <v>45929.62847082176</v>
      </c>
      <c r="B263" s="15" t="s">
        <v>510</v>
      </c>
      <c r="C263" s="15" t="s">
        <v>2035</v>
      </c>
      <c r="D263" s="15" t="s">
        <v>2036</v>
      </c>
      <c r="E263" s="37"/>
      <c r="F263" s="72">
        <v>45938.0</v>
      </c>
      <c r="G263" s="74" t="s">
        <v>2230</v>
      </c>
      <c r="H263" s="15" t="s">
        <v>2035</v>
      </c>
      <c r="I263" s="72">
        <v>45929.0</v>
      </c>
      <c r="J263" s="37"/>
      <c r="K263" s="37"/>
    </row>
    <row r="264" ht="22.5" hidden="1" customHeight="1">
      <c r="A264" s="35">
        <v>45929.63117179398</v>
      </c>
      <c r="B264" s="15" t="s">
        <v>326</v>
      </c>
      <c r="C264" s="15" t="s">
        <v>2035</v>
      </c>
      <c r="D264" s="15" t="s">
        <v>2036</v>
      </c>
      <c r="E264" s="37"/>
      <c r="F264" s="72">
        <v>45938.0</v>
      </c>
      <c r="G264" s="74" t="s">
        <v>2231</v>
      </c>
      <c r="H264" s="15" t="s">
        <v>2035</v>
      </c>
      <c r="I264" s="72">
        <v>45929.0</v>
      </c>
      <c r="J264" s="37"/>
      <c r="K264" s="37"/>
    </row>
    <row r="265" ht="22.5" hidden="1" customHeight="1">
      <c r="A265" s="35">
        <v>45929.63279013889</v>
      </c>
      <c r="B265" s="15" t="s">
        <v>548</v>
      </c>
      <c r="C265" s="15" t="s">
        <v>2035</v>
      </c>
      <c r="D265" s="15" t="s">
        <v>2036</v>
      </c>
      <c r="E265" s="37"/>
      <c r="F265" s="72">
        <v>45938.0</v>
      </c>
      <c r="G265" s="74" t="s">
        <v>2232</v>
      </c>
      <c r="H265" s="15" t="s">
        <v>2035</v>
      </c>
      <c r="I265" s="72">
        <v>45929.0</v>
      </c>
      <c r="J265" s="37"/>
      <c r="K265" s="37"/>
    </row>
    <row r="266" ht="22.5" hidden="1" customHeight="1">
      <c r="A266" s="81">
        <v>45930.460824270835</v>
      </c>
      <c r="B266" s="82" t="s">
        <v>589</v>
      </c>
      <c r="C266" s="82" t="s">
        <v>81</v>
      </c>
      <c r="D266" s="82" t="s">
        <v>2034</v>
      </c>
      <c r="H266" s="82" t="s">
        <v>2035</v>
      </c>
      <c r="I266" s="83">
        <v>45903.0</v>
      </c>
    </row>
    <row r="267" ht="22.5" hidden="1" customHeight="1">
      <c r="A267" s="81">
        <v>45930.461772083334</v>
      </c>
      <c r="B267" s="82" t="s">
        <v>594</v>
      </c>
      <c r="C267" s="82" t="s">
        <v>81</v>
      </c>
      <c r="D267" s="82" t="s">
        <v>2034</v>
      </c>
      <c r="H267" s="82" t="s">
        <v>2035</v>
      </c>
      <c r="I267" s="83">
        <v>45903.0</v>
      </c>
    </row>
    <row r="268" ht="22.5" hidden="1" customHeight="1">
      <c r="A268" s="81">
        <v>45930.58235542824</v>
      </c>
      <c r="B268" s="82" t="s">
        <v>584</v>
      </c>
      <c r="C268" s="82" t="s">
        <v>81</v>
      </c>
      <c r="D268" s="82" t="s">
        <v>2034</v>
      </c>
      <c r="H268" s="82" t="s">
        <v>2035</v>
      </c>
      <c r="I268" s="83">
        <v>45929.0</v>
      </c>
      <c r="J268" s="84" t="s">
        <v>2233</v>
      </c>
    </row>
    <row r="269" ht="22.5" hidden="1" customHeight="1">
      <c r="A269" s="81">
        <v>45930.58450684028</v>
      </c>
      <c r="B269" s="82" t="s">
        <v>600</v>
      </c>
      <c r="C269" s="82" t="s">
        <v>81</v>
      </c>
      <c r="D269" s="82" t="s">
        <v>2034</v>
      </c>
      <c r="H269" s="82" t="s">
        <v>2035</v>
      </c>
      <c r="I269" s="83">
        <v>45930.0</v>
      </c>
    </row>
    <row r="270" ht="22.5" hidden="1" customHeight="1">
      <c r="A270" s="81">
        <v>45930.655239513886</v>
      </c>
      <c r="B270" s="82" t="s">
        <v>471</v>
      </c>
      <c r="C270" s="82" t="s">
        <v>2038</v>
      </c>
      <c r="D270" s="82" t="s">
        <v>2036</v>
      </c>
      <c r="F270" s="83">
        <v>45939.0</v>
      </c>
      <c r="G270" s="84" t="s">
        <v>2234</v>
      </c>
      <c r="H270" s="82" t="s">
        <v>2035</v>
      </c>
      <c r="I270" s="83">
        <v>45930.0</v>
      </c>
    </row>
    <row r="271" ht="22.5" hidden="1" customHeight="1">
      <c r="A271" s="81">
        <v>45930.66837195602</v>
      </c>
      <c r="B271" s="82" t="s">
        <v>552</v>
      </c>
      <c r="C271" s="82" t="s">
        <v>2038</v>
      </c>
      <c r="D271" s="82" t="s">
        <v>2036</v>
      </c>
      <c r="F271" s="83">
        <v>45939.0</v>
      </c>
      <c r="G271" s="84" t="s">
        <v>2235</v>
      </c>
      <c r="H271" s="82" t="s">
        <v>2035</v>
      </c>
      <c r="I271" s="83">
        <v>45930.0</v>
      </c>
    </row>
    <row r="272" ht="22.5" hidden="1" customHeight="1">
      <c r="A272" s="81">
        <v>45930.66965273148</v>
      </c>
      <c r="B272" s="82" t="s">
        <v>556</v>
      </c>
      <c r="C272" s="82" t="s">
        <v>2038</v>
      </c>
      <c r="D272" s="82" t="s">
        <v>2036</v>
      </c>
      <c r="F272" s="83">
        <v>45939.0</v>
      </c>
      <c r="G272" s="84" t="s">
        <v>2236</v>
      </c>
      <c r="H272" s="82" t="s">
        <v>2035</v>
      </c>
      <c r="I272" s="83">
        <v>45930.0</v>
      </c>
    </row>
    <row r="273" ht="22.5" hidden="1" customHeight="1">
      <c r="A273" s="81">
        <v>45930.67023916666</v>
      </c>
      <c r="B273" s="82" t="s">
        <v>559</v>
      </c>
      <c r="C273" s="82" t="s">
        <v>2038</v>
      </c>
      <c r="D273" s="82" t="s">
        <v>2036</v>
      </c>
      <c r="F273" s="83">
        <v>45939.0</v>
      </c>
      <c r="G273" s="84" t="s">
        <v>2237</v>
      </c>
      <c r="H273" s="82" t="s">
        <v>2035</v>
      </c>
      <c r="I273" s="83">
        <v>45930.0</v>
      </c>
    </row>
    <row r="274" ht="22.5" hidden="1" customHeight="1">
      <c r="A274" s="81">
        <v>45930.67088430555</v>
      </c>
      <c r="B274" s="82" t="s">
        <v>561</v>
      </c>
      <c r="C274" s="82" t="s">
        <v>2038</v>
      </c>
      <c r="D274" s="82" t="s">
        <v>2036</v>
      </c>
      <c r="F274" s="83">
        <v>45939.0</v>
      </c>
      <c r="G274" s="84" t="s">
        <v>2238</v>
      </c>
      <c r="H274" s="82" t="s">
        <v>2035</v>
      </c>
      <c r="I274" s="83">
        <v>45930.0</v>
      </c>
    </row>
    <row r="275" ht="22.5" hidden="1" customHeight="1">
      <c r="A275" s="81">
        <v>45930.67179148148</v>
      </c>
      <c r="B275" s="82" t="s">
        <v>565</v>
      </c>
      <c r="C275" s="82" t="s">
        <v>2038</v>
      </c>
      <c r="D275" s="82" t="s">
        <v>2036</v>
      </c>
      <c r="F275" s="83">
        <v>45939.0</v>
      </c>
      <c r="G275" s="84" t="s">
        <v>2239</v>
      </c>
      <c r="H275" s="82" t="s">
        <v>2035</v>
      </c>
      <c r="I275" s="83">
        <v>45930.0</v>
      </c>
    </row>
    <row r="276" ht="22.5" hidden="1" customHeight="1">
      <c r="A276" s="81">
        <v>45930.67273414352</v>
      </c>
      <c r="B276" s="82" t="s">
        <v>610</v>
      </c>
      <c r="C276" s="82" t="s">
        <v>81</v>
      </c>
      <c r="D276" s="82" t="s">
        <v>2034</v>
      </c>
      <c r="H276" s="82" t="s">
        <v>2035</v>
      </c>
      <c r="I276" s="83">
        <v>45921.0</v>
      </c>
    </row>
    <row r="277" ht="22.5" hidden="1" customHeight="1">
      <c r="A277" s="81">
        <v>45930.67295917824</v>
      </c>
      <c r="B277" s="82" t="s">
        <v>611</v>
      </c>
      <c r="C277" s="82" t="s">
        <v>81</v>
      </c>
      <c r="D277" s="82" t="s">
        <v>2034</v>
      </c>
      <c r="H277" s="82" t="s">
        <v>2035</v>
      </c>
      <c r="I277" s="83">
        <v>45921.0</v>
      </c>
    </row>
    <row r="278" ht="22.5" hidden="1" customHeight="1">
      <c r="A278" s="81">
        <v>45930.6732094676</v>
      </c>
      <c r="B278" s="82" t="s">
        <v>613</v>
      </c>
      <c r="C278" s="82" t="s">
        <v>81</v>
      </c>
      <c r="D278" s="82" t="s">
        <v>2034</v>
      </c>
      <c r="H278" s="82" t="s">
        <v>2035</v>
      </c>
      <c r="I278" s="83">
        <v>45921.0</v>
      </c>
    </row>
    <row r="279" ht="22.5" hidden="1" customHeight="1">
      <c r="A279" s="81">
        <v>45931.43413913195</v>
      </c>
      <c r="B279" s="82" t="s">
        <v>415</v>
      </c>
      <c r="C279" s="82" t="s">
        <v>2038</v>
      </c>
      <c r="D279" s="82" t="s">
        <v>2034</v>
      </c>
      <c r="H279" s="82" t="s">
        <v>2035</v>
      </c>
      <c r="I279" s="83">
        <v>45931.0</v>
      </c>
      <c r="J279" s="84" t="s">
        <v>2240</v>
      </c>
    </row>
    <row r="280" ht="22.5" hidden="1" customHeight="1">
      <c r="A280" s="81">
        <v>45931.44707282407</v>
      </c>
      <c r="B280" s="82" t="s">
        <v>521</v>
      </c>
      <c r="C280" s="82" t="s">
        <v>2038</v>
      </c>
      <c r="D280" s="82" t="s">
        <v>2036</v>
      </c>
      <c r="F280" s="83">
        <v>45940.0</v>
      </c>
      <c r="G280" s="84" t="s">
        <v>2241</v>
      </c>
      <c r="H280" s="82" t="s">
        <v>2035</v>
      </c>
      <c r="I280" s="83">
        <v>45931.0</v>
      </c>
    </row>
    <row r="281" ht="22.5" hidden="1" customHeight="1">
      <c r="A281" s="81">
        <v>45931.45053623842</v>
      </c>
      <c r="B281" s="82" t="s">
        <v>471</v>
      </c>
      <c r="C281" s="82" t="s">
        <v>2038</v>
      </c>
      <c r="D281" s="82" t="s">
        <v>2036</v>
      </c>
      <c r="F281" s="83">
        <v>45940.0</v>
      </c>
      <c r="G281" s="84" t="s">
        <v>2242</v>
      </c>
      <c r="H281" s="82" t="s">
        <v>2035</v>
      </c>
      <c r="I281" s="83">
        <v>45931.0</v>
      </c>
    </row>
    <row r="282" ht="22.5" hidden="1" customHeight="1">
      <c r="A282" s="81">
        <v>45931.45121035879</v>
      </c>
      <c r="B282" s="82" t="s">
        <v>468</v>
      </c>
      <c r="C282" s="82" t="s">
        <v>2038</v>
      </c>
      <c r="D282" s="82" t="s">
        <v>2036</v>
      </c>
      <c r="F282" s="83">
        <v>45940.0</v>
      </c>
      <c r="G282" s="84" t="s">
        <v>2243</v>
      </c>
      <c r="H282" s="82" t="s">
        <v>2035</v>
      </c>
      <c r="I282" s="83">
        <v>45931.0</v>
      </c>
    </row>
    <row r="283" ht="22.5" hidden="1" customHeight="1">
      <c r="A283" s="81">
        <v>45931.58776065972</v>
      </c>
      <c r="B283" s="82" t="s">
        <v>347</v>
      </c>
      <c r="C283" s="82" t="s">
        <v>2038</v>
      </c>
      <c r="D283" s="82" t="s">
        <v>2036</v>
      </c>
      <c r="F283" s="83">
        <v>45940.0</v>
      </c>
      <c r="G283" s="84" t="s">
        <v>2244</v>
      </c>
      <c r="H283" s="82" t="s">
        <v>2035</v>
      </c>
      <c r="I283" s="83">
        <v>45931.0</v>
      </c>
    </row>
    <row r="284" ht="22.5" hidden="1" customHeight="1">
      <c r="A284" s="81">
        <v>45931.588647627315</v>
      </c>
      <c r="B284" s="82" t="s">
        <v>608</v>
      </c>
      <c r="C284" s="82" t="s">
        <v>2038</v>
      </c>
      <c r="D284" s="82" t="s">
        <v>2036</v>
      </c>
      <c r="F284" s="83">
        <v>45940.0</v>
      </c>
      <c r="G284" s="84" t="s">
        <v>2245</v>
      </c>
      <c r="H284" s="82" t="s">
        <v>2035</v>
      </c>
      <c r="I284" s="83">
        <v>45931.0</v>
      </c>
    </row>
    <row r="285" ht="22.5" hidden="1" customHeight="1">
      <c r="A285" s="81">
        <v>45931.59592306713</v>
      </c>
      <c r="B285" s="82" t="s">
        <v>571</v>
      </c>
      <c r="C285" s="82" t="s">
        <v>2038</v>
      </c>
      <c r="D285" s="82" t="s">
        <v>2036</v>
      </c>
      <c r="F285" s="83">
        <v>45940.0</v>
      </c>
      <c r="G285" s="84" t="s">
        <v>2246</v>
      </c>
      <c r="H285" s="82" t="s">
        <v>2035</v>
      </c>
      <c r="I285" s="83">
        <v>45931.0</v>
      </c>
    </row>
    <row r="286" ht="22.5" hidden="1" customHeight="1">
      <c r="A286" s="81">
        <v>45932.59137030093</v>
      </c>
      <c r="B286" s="82" t="s">
        <v>643</v>
      </c>
      <c r="C286" s="82" t="s">
        <v>81</v>
      </c>
      <c r="D286" s="82" t="s">
        <v>2034</v>
      </c>
      <c r="H286" s="82" t="s">
        <v>2035</v>
      </c>
      <c r="I286" s="83">
        <v>45932.0</v>
      </c>
    </row>
    <row r="287" ht="22.5" hidden="1" customHeight="1">
      <c r="A287" s="81">
        <v>45932.64897226852</v>
      </c>
      <c r="B287" s="82" t="s">
        <v>525</v>
      </c>
      <c r="C287" s="82" t="s">
        <v>2035</v>
      </c>
      <c r="D287" s="82" t="s">
        <v>2036</v>
      </c>
      <c r="F287" s="83">
        <v>45943.0</v>
      </c>
      <c r="G287" s="84" t="s">
        <v>2247</v>
      </c>
      <c r="H287" s="82" t="s">
        <v>2035</v>
      </c>
      <c r="I287" s="83">
        <v>45932.0</v>
      </c>
    </row>
    <row r="288" ht="22.5" hidden="1" customHeight="1">
      <c r="A288" s="81">
        <v>45932.6503228588</v>
      </c>
      <c r="B288" s="82" t="s">
        <v>324</v>
      </c>
      <c r="C288" s="82" t="s">
        <v>2035</v>
      </c>
      <c r="D288" s="82" t="s">
        <v>2036</v>
      </c>
      <c r="F288" s="83">
        <v>45943.0</v>
      </c>
      <c r="G288" s="84" t="s">
        <v>2248</v>
      </c>
      <c r="H288" s="82" t="s">
        <v>2035</v>
      </c>
      <c r="I288" s="83">
        <v>45932.0</v>
      </c>
    </row>
    <row r="289" ht="22.5" hidden="1" customHeight="1">
      <c r="A289" s="81">
        <v>45933.60554109953</v>
      </c>
      <c r="B289" s="82" t="s">
        <v>586</v>
      </c>
      <c r="C289" s="82" t="s">
        <v>81</v>
      </c>
      <c r="D289" s="82" t="s">
        <v>2036</v>
      </c>
      <c r="H289" s="82" t="s">
        <v>2035</v>
      </c>
      <c r="I289" s="83">
        <v>45933.0</v>
      </c>
    </row>
    <row r="290" ht="22.5" hidden="1" customHeight="1">
      <c r="A290" s="81">
        <v>45933.673819143514</v>
      </c>
      <c r="B290" s="82" t="s">
        <v>581</v>
      </c>
      <c r="C290" s="82" t="s">
        <v>2035</v>
      </c>
      <c r="D290" s="82" t="s">
        <v>2034</v>
      </c>
      <c r="H290" s="82" t="s">
        <v>2035</v>
      </c>
      <c r="I290" s="83">
        <v>45933.0</v>
      </c>
      <c r="J290" s="84" t="s">
        <v>2249</v>
      </c>
    </row>
    <row r="291" ht="22.5" hidden="1" customHeight="1">
      <c r="A291" s="81">
        <v>45934.42888763889</v>
      </c>
      <c r="B291" s="82" t="s">
        <v>514</v>
      </c>
      <c r="C291" s="82" t="s">
        <v>2035</v>
      </c>
      <c r="D291" s="82" t="s">
        <v>2036</v>
      </c>
      <c r="F291" s="83">
        <v>45945.0</v>
      </c>
      <c r="G291" s="84" t="s">
        <v>2250</v>
      </c>
      <c r="H291" s="82" t="s">
        <v>2035</v>
      </c>
      <c r="I291" s="83">
        <v>45933.0</v>
      </c>
    </row>
    <row r="292" ht="22.5" hidden="1" customHeight="1">
      <c r="A292" s="81">
        <v>45934.4296522338</v>
      </c>
      <c r="B292" s="82" t="s">
        <v>517</v>
      </c>
      <c r="C292" s="82" t="s">
        <v>2035</v>
      </c>
      <c r="D292" s="82" t="s">
        <v>2036</v>
      </c>
      <c r="F292" s="83">
        <v>45945.0</v>
      </c>
      <c r="G292" s="84" t="s">
        <v>2251</v>
      </c>
      <c r="H292" s="82" t="s">
        <v>2035</v>
      </c>
      <c r="I292" s="83">
        <v>45933.0</v>
      </c>
    </row>
    <row r="293" ht="22.5" hidden="1" customHeight="1">
      <c r="A293" s="81">
        <v>45934.43088457176</v>
      </c>
      <c r="B293" s="82" t="s">
        <v>339</v>
      </c>
      <c r="C293" s="82" t="s">
        <v>2035</v>
      </c>
      <c r="D293" s="82" t="s">
        <v>2036</v>
      </c>
      <c r="F293" s="83">
        <v>45945.0</v>
      </c>
      <c r="G293" s="84" t="s">
        <v>2252</v>
      </c>
      <c r="H293" s="82" t="s">
        <v>2035</v>
      </c>
      <c r="I293" s="83">
        <v>45933.0</v>
      </c>
    </row>
    <row r="294" ht="22.5" hidden="1" customHeight="1">
      <c r="A294" s="81">
        <v>45934.43127003472</v>
      </c>
      <c r="B294" s="82" t="s">
        <v>342</v>
      </c>
      <c r="C294" s="82" t="s">
        <v>2035</v>
      </c>
      <c r="D294" s="82" t="s">
        <v>2036</v>
      </c>
      <c r="F294" s="83">
        <v>45945.0</v>
      </c>
      <c r="G294" s="84" t="s">
        <v>2253</v>
      </c>
      <c r="H294" s="82" t="s">
        <v>2035</v>
      </c>
      <c r="I294" s="83">
        <v>45933.0</v>
      </c>
    </row>
    <row r="295" ht="22.5" hidden="1" customHeight="1">
      <c r="A295" s="81">
        <v>45934.4320778125</v>
      </c>
      <c r="B295" s="82" t="s">
        <v>345</v>
      </c>
      <c r="C295" s="82" t="s">
        <v>2035</v>
      </c>
      <c r="D295" s="82" t="s">
        <v>2036</v>
      </c>
      <c r="F295" s="83">
        <v>45945.0</v>
      </c>
      <c r="G295" s="84" t="s">
        <v>2254</v>
      </c>
      <c r="H295" s="82" t="s">
        <v>2035</v>
      </c>
      <c r="I295" s="83">
        <v>45933.0</v>
      </c>
    </row>
    <row r="296" ht="22.5" hidden="1" customHeight="1">
      <c r="A296" s="81">
        <v>45934.434136145836</v>
      </c>
      <c r="B296" s="82" t="s">
        <v>519</v>
      </c>
      <c r="C296" s="82" t="s">
        <v>2035</v>
      </c>
      <c r="D296" s="82" t="s">
        <v>2036</v>
      </c>
      <c r="F296" s="83">
        <v>45945.0</v>
      </c>
      <c r="G296" s="84" t="s">
        <v>2255</v>
      </c>
      <c r="H296" s="82" t="s">
        <v>2035</v>
      </c>
      <c r="I296" s="83">
        <v>45933.0</v>
      </c>
    </row>
    <row r="297" ht="22.5" hidden="1" customHeight="1">
      <c r="A297" s="81">
        <v>45934.43493837963</v>
      </c>
      <c r="B297" s="82" t="s">
        <v>427</v>
      </c>
      <c r="C297" s="82" t="s">
        <v>2035</v>
      </c>
      <c r="D297" s="82" t="s">
        <v>2036</v>
      </c>
      <c r="F297" s="83">
        <v>45945.0</v>
      </c>
      <c r="G297" s="84" t="s">
        <v>2256</v>
      </c>
      <c r="H297" s="82" t="s">
        <v>2035</v>
      </c>
      <c r="I297" s="83">
        <v>45934.0</v>
      </c>
    </row>
    <row r="298" ht="22.5" hidden="1" customHeight="1">
      <c r="A298" s="81">
        <v>45934.4374059838</v>
      </c>
      <c r="B298" s="82" t="s">
        <v>652</v>
      </c>
      <c r="C298" s="82" t="s">
        <v>81</v>
      </c>
      <c r="D298" s="82" t="s">
        <v>2034</v>
      </c>
      <c r="H298" s="82" t="s">
        <v>2035</v>
      </c>
      <c r="I298" s="83">
        <v>45934.0</v>
      </c>
    </row>
    <row r="299" ht="22.5" hidden="1" customHeight="1">
      <c r="A299" s="81">
        <v>45934.66180287037</v>
      </c>
      <c r="B299" s="82" t="s">
        <v>656</v>
      </c>
      <c r="C299" s="82" t="s">
        <v>2035</v>
      </c>
      <c r="D299" s="82" t="s">
        <v>2034</v>
      </c>
      <c r="F299" s="83">
        <v>45934.0</v>
      </c>
      <c r="H299" s="82" t="s">
        <v>2035</v>
      </c>
      <c r="I299" s="83">
        <v>45934.0</v>
      </c>
    </row>
    <row r="300" ht="22.5" hidden="1" customHeight="1">
      <c r="A300" s="81">
        <v>45936.41220111111</v>
      </c>
      <c r="B300" s="82" t="s">
        <v>544</v>
      </c>
      <c r="C300" s="82" t="s">
        <v>2035</v>
      </c>
      <c r="D300" s="82" t="s">
        <v>2036</v>
      </c>
      <c r="F300" s="83">
        <v>45945.0</v>
      </c>
      <c r="G300" s="84" t="s">
        <v>2257</v>
      </c>
      <c r="H300" s="82" t="s">
        <v>2035</v>
      </c>
      <c r="I300" s="83">
        <v>45934.0</v>
      </c>
    </row>
    <row r="301" ht="22.5" hidden="1" customHeight="1">
      <c r="A301" s="81">
        <v>45936.6618840625</v>
      </c>
      <c r="B301" s="82" t="s">
        <v>615</v>
      </c>
      <c r="C301" s="82" t="s">
        <v>2035</v>
      </c>
      <c r="D301" s="82" t="s">
        <v>2036</v>
      </c>
      <c r="F301" s="83">
        <v>45947.0</v>
      </c>
      <c r="G301" s="84" t="s">
        <v>2258</v>
      </c>
      <c r="H301" s="82" t="s">
        <v>2035</v>
      </c>
      <c r="I301" s="83">
        <v>45936.0</v>
      </c>
    </row>
    <row r="302" ht="22.5" hidden="1" customHeight="1">
      <c r="A302" s="81">
        <v>45936.66258060186</v>
      </c>
      <c r="B302" s="82" t="s">
        <v>495</v>
      </c>
      <c r="C302" s="82" t="s">
        <v>2035</v>
      </c>
      <c r="D302" s="82" t="s">
        <v>2036</v>
      </c>
      <c r="F302" s="83">
        <v>45947.0</v>
      </c>
      <c r="G302" s="84" t="s">
        <v>2259</v>
      </c>
      <c r="H302" s="82" t="s">
        <v>2035</v>
      </c>
      <c r="I302" s="83">
        <v>45936.0</v>
      </c>
    </row>
    <row r="303" ht="22.5" hidden="1" customHeight="1">
      <c r="A303" s="81">
        <v>45936.66922802084</v>
      </c>
      <c r="B303" s="82" t="s">
        <v>497</v>
      </c>
      <c r="C303" s="82" t="s">
        <v>2035</v>
      </c>
      <c r="D303" s="82" t="s">
        <v>2036</v>
      </c>
      <c r="F303" s="83">
        <v>45947.0</v>
      </c>
      <c r="G303" s="84" t="s">
        <v>2260</v>
      </c>
      <c r="H303" s="82" t="s">
        <v>2035</v>
      </c>
      <c r="I303" s="83">
        <v>45936.0</v>
      </c>
    </row>
    <row r="304" ht="22.5" hidden="1" customHeight="1">
      <c r="A304" s="81">
        <v>45936.6716916088</v>
      </c>
      <c r="B304" s="82" t="s">
        <v>460</v>
      </c>
      <c r="C304" s="82" t="s">
        <v>2035</v>
      </c>
      <c r="D304" s="82" t="s">
        <v>2036</v>
      </c>
      <c r="F304" s="83">
        <v>45947.0</v>
      </c>
      <c r="G304" s="84" t="s">
        <v>2261</v>
      </c>
      <c r="H304" s="82" t="s">
        <v>2035</v>
      </c>
      <c r="I304" s="83">
        <v>45936.0</v>
      </c>
    </row>
    <row r="305" ht="22.5" hidden="1" customHeight="1">
      <c r="A305" s="81">
        <v>45936.7207403125</v>
      </c>
      <c r="B305" s="82" t="s">
        <v>663</v>
      </c>
      <c r="C305" s="82" t="s">
        <v>81</v>
      </c>
      <c r="D305" s="82" t="s">
        <v>2034</v>
      </c>
      <c r="H305" s="82" t="s">
        <v>2035</v>
      </c>
      <c r="I305" s="83">
        <v>45936.0</v>
      </c>
    </row>
    <row r="306" ht="22.5" hidden="1" customHeight="1">
      <c r="A306" s="81">
        <v>45936.721033622685</v>
      </c>
      <c r="B306" s="82" t="s">
        <v>664</v>
      </c>
      <c r="C306" s="82" t="s">
        <v>81</v>
      </c>
      <c r="D306" s="82" t="s">
        <v>2034</v>
      </c>
      <c r="H306" s="82" t="s">
        <v>2035</v>
      </c>
      <c r="I306" s="83">
        <v>45936.0</v>
      </c>
    </row>
    <row r="307" ht="22.5" hidden="1" customHeight="1">
      <c r="A307" s="81">
        <v>45936.7213662963</v>
      </c>
      <c r="B307" s="82" t="s">
        <v>667</v>
      </c>
      <c r="C307" s="82" t="s">
        <v>81</v>
      </c>
      <c r="D307" s="82" t="s">
        <v>2034</v>
      </c>
      <c r="H307" s="82" t="s">
        <v>2035</v>
      </c>
      <c r="I307" s="83">
        <v>45936.0</v>
      </c>
    </row>
    <row r="308" ht="22.5" hidden="1" customHeight="1">
      <c r="A308" s="81">
        <v>45937.43391332176</v>
      </c>
      <c r="B308" s="82" t="s">
        <v>550</v>
      </c>
      <c r="C308" s="82" t="s">
        <v>2035</v>
      </c>
      <c r="D308" s="82" t="s">
        <v>2036</v>
      </c>
      <c r="F308" s="83">
        <v>45946.0</v>
      </c>
      <c r="G308" s="84" t="s">
        <v>2262</v>
      </c>
      <c r="H308" s="82" t="s">
        <v>2035</v>
      </c>
      <c r="I308" s="83">
        <v>45937.0</v>
      </c>
    </row>
    <row r="309" ht="22.5" hidden="1" customHeight="1">
      <c r="A309" s="81">
        <v>45937.451362141204</v>
      </c>
      <c r="B309" s="82" t="s">
        <v>651</v>
      </c>
      <c r="C309" s="82" t="s">
        <v>81</v>
      </c>
      <c r="D309" s="82" t="s">
        <v>2034</v>
      </c>
      <c r="H309" s="82" t="s">
        <v>2035</v>
      </c>
      <c r="I309" s="83">
        <v>45932.0</v>
      </c>
    </row>
    <row r="310" ht="22.5" hidden="1" customHeight="1">
      <c r="A310" s="81">
        <v>45937.62505724537</v>
      </c>
      <c r="B310" s="82" t="s">
        <v>347</v>
      </c>
      <c r="C310" s="82" t="s">
        <v>2035</v>
      </c>
      <c r="D310" s="82" t="s">
        <v>2036</v>
      </c>
      <c r="F310" s="83">
        <v>45946.0</v>
      </c>
      <c r="G310" s="84" t="s">
        <v>2263</v>
      </c>
      <c r="H310" s="82" t="s">
        <v>2035</v>
      </c>
      <c r="I310" s="83">
        <v>45937.0</v>
      </c>
    </row>
    <row r="311" ht="22.5" hidden="1" customHeight="1">
      <c r="A311" s="81">
        <v>45937.625689733795</v>
      </c>
      <c r="B311" s="82" t="s">
        <v>233</v>
      </c>
      <c r="C311" s="82" t="s">
        <v>2035</v>
      </c>
      <c r="D311" s="82" t="s">
        <v>2036</v>
      </c>
      <c r="F311" s="83">
        <v>45946.0</v>
      </c>
      <c r="G311" s="84" t="s">
        <v>2264</v>
      </c>
      <c r="H311" s="82" t="s">
        <v>2035</v>
      </c>
      <c r="I311" s="83">
        <v>45937.0</v>
      </c>
    </row>
    <row r="312" ht="22.5" hidden="1" customHeight="1">
      <c r="A312" s="81">
        <v>45937.627036053236</v>
      </c>
      <c r="B312" s="82" t="s">
        <v>644</v>
      </c>
      <c r="C312" s="82" t="s">
        <v>2035</v>
      </c>
      <c r="D312" s="82" t="s">
        <v>2036</v>
      </c>
      <c r="F312" s="83">
        <v>45946.0</v>
      </c>
      <c r="G312" s="84" t="s">
        <v>2265</v>
      </c>
      <c r="H312" s="82" t="s">
        <v>2035</v>
      </c>
      <c r="I312" s="83">
        <v>45937.0</v>
      </c>
    </row>
    <row r="313" ht="22.5" hidden="1" customHeight="1">
      <c r="A313" s="81">
        <v>45937.62776290509</v>
      </c>
      <c r="B313" s="82" t="s">
        <v>605</v>
      </c>
      <c r="C313" s="82" t="s">
        <v>2035</v>
      </c>
      <c r="D313" s="82" t="s">
        <v>2036</v>
      </c>
      <c r="F313" s="83">
        <v>45946.0</v>
      </c>
      <c r="G313" s="84" t="s">
        <v>2266</v>
      </c>
      <c r="H313" s="82" t="s">
        <v>2035</v>
      </c>
      <c r="I313" s="83">
        <v>45937.0</v>
      </c>
    </row>
    <row r="314" ht="22.5" hidden="1" customHeight="1">
      <c r="A314" s="81">
        <v>45937.7231855787</v>
      </c>
      <c r="B314" s="82" t="s">
        <v>669</v>
      </c>
      <c r="C314" s="82" t="s">
        <v>2035</v>
      </c>
      <c r="D314" s="82" t="s">
        <v>2036</v>
      </c>
      <c r="H314" s="82" t="s">
        <v>2035</v>
      </c>
      <c r="I314" s="83">
        <v>45937.0</v>
      </c>
    </row>
    <row r="315" ht="22.5" hidden="1" customHeight="1">
      <c r="A315" s="81">
        <v>45938.43336019676</v>
      </c>
      <c r="B315" s="82" t="s">
        <v>660</v>
      </c>
      <c r="C315" s="82" t="s">
        <v>2035</v>
      </c>
      <c r="D315" s="82" t="s">
        <v>2036</v>
      </c>
      <c r="F315" s="83">
        <v>45947.0</v>
      </c>
      <c r="G315" s="84" t="s">
        <v>2267</v>
      </c>
      <c r="H315" s="82" t="s">
        <v>2035</v>
      </c>
      <c r="I315" s="83">
        <v>45938.0</v>
      </c>
    </row>
    <row r="316" ht="22.5" hidden="1" customHeight="1">
      <c r="A316" s="81">
        <v>45938.57243422454</v>
      </c>
      <c r="B316" s="82" t="s">
        <v>529</v>
      </c>
      <c r="C316" s="82" t="s">
        <v>2035</v>
      </c>
      <c r="D316" s="82" t="s">
        <v>2036</v>
      </c>
      <c r="F316" s="83">
        <v>45947.0</v>
      </c>
      <c r="G316" s="84" t="s">
        <v>2268</v>
      </c>
      <c r="H316" s="82" t="s">
        <v>2035</v>
      </c>
      <c r="I316" s="83">
        <v>45938.0</v>
      </c>
    </row>
    <row r="317" ht="22.5" hidden="1" customHeight="1">
      <c r="A317" s="81">
        <v>45938.6434469213</v>
      </c>
      <c r="B317" s="82" t="s">
        <v>618</v>
      </c>
      <c r="C317" s="82" t="s">
        <v>81</v>
      </c>
      <c r="D317" s="82" t="s">
        <v>2034</v>
      </c>
      <c r="H317" s="82" t="s">
        <v>2035</v>
      </c>
      <c r="I317" s="83">
        <v>45932.0</v>
      </c>
    </row>
    <row r="318" ht="22.5" hidden="1" customHeight="1">
      <c r="A318" s="81">
        <v>45939.37723085648</v>
      </c>
      <c r="B318" s="82" t="s">
        <v>674</v>
      </c>
      <c r="C318" s="82" t="s">
        <v>81</v>
      </c>
      <c r="D318" s="82" t="s">
        <v>2034</v>
      </c>
      <c r="H318" s="82" t="s">
        <v>2035</v>
      </c>
      <c r="I318" s="83">
        <v>45939.0</v>
      </c>
    </row>
    <row r="319" ht="22.5" hidden="1" customHeight="1">
      <c r="A319" s="81">
        <v>45939.377614004625</v>
      </c>
      <c r="B319" s="82" t="s">
        <v>677</v>
      </c>
      <c r="C319" s="82" t="s">
        <v>81</v>
      </c>
      <c r="D319" s="82" t="s">
        <v>2034</v>
      </c>
      <c r="H319" s="82" t="s">
        <v>2035</v>
      </c>
      <c r="I319" s="83">
        <v>45939.0</v>
      </c>
    </row>
    <row r="320" ht="22.5" hidden="1" customHeight="1">
      <c r="A320" s="81">
        <v>45939.3780563426</v>
      </c>
      <c r="B320" s="82" t="s">
        <v>680</v>
      </c>
      <c r="C320" s="82" t="s">
        <v>81</v>
      </c>
      <c r="D320" s="82" t="s">
        <v>2034</v>
      </c>
      <c r="H320" s="82" t="s">
        <v>2035</v>
      </c>
      <c r="I320" s="83">
        <v>45939.0</v>
      </c>
    </row>
    <row r="321" ht="22.5" hidden="1" customHeight="1">
      <c r="A321" s="81">
        <v>45939.48046802083</v>
      </c>
      <c r="B321" s="82" t="s">
        <v>471</v>
      </c>
      <c r="C321" s="82" t="s">
        <v>2035</v>
      </c>
      <c r="D321" s="82" t="s">
        <v>2036</v>
      </c>
      <c r="F321" s="83">
        <v>45950.0</v>
      </c>
      <c r="G321" s="84" t="s">
        <v>2269</v>
      </c>
      <c r="H321" s="82" t="s">
        <v>2035</v>
      </c>
      <c r="I321" s="83">
        <v>45939.0</v>
      </c>
    </row>
    <row r="322" ht="22.5" hidden="1" customHeight="1">
      <c r="A322" s="81">
        <v>45939.48266097222</v>
      </c>
      <c r="B322" s="82" t="s">
        <v>552</v>
      </c>
      <c r="C322" s="82" t="s">
        <v>2035</v>
      </c>
      <c r="D322" s="82" t="s">
        <v>2036</v>
      </c>
      <c r="F322" s="83">
        <v>45950.0</v>
      </c>
      <c r="G322" s="84" t="s">
        <v>2270</v>
      </c>
      <c r="H322" s="82" t="s">
        <v>2035</v>
      </c>
      <c r="I322" s="83">
        <v>45939.0</v>
      </c>
    </row>
    <row r="323" ht="22.5" hidden="1" customHeight="1">
      <c r="A323" s="81">
        <v>45939.63338932871</v>
      </c>
      <c r="B323" s="82" t="s">
        <v>686</v>
      </c>
      <c r="C323" s="82" t="s">
        <v>81</v>
      </c>
      <c r="D323" s="82" t="s">
        <v>2034</v>
      </c>
      <c r="H323" s="82" t="s">
        <v>2035</v>
      </c>
      <c r="I323" s="83">
        <v>45939.0</v>
      </c>
    </row>
    <row r="324" ht="22.5" hidden="1" customHeight="1">
      <c r="A324" s="81">
        <v>45939.63369503472</v>
      </c>
      <c r="B324" s="82" t="s">
        <v>688</v>
      </c>
      <c r="C324" s="82" t="s">
        <v>81</v>
      </c>
      <c r="D324" s="82" t="s">
        <v>2034</v>
      </c>
      <c r="H324" s="82" t="s">
        <v>2035</v>
      </c>
      <c r="I324" s="83">
        <v>45939.0</v>
      </c>
    </row>
    <row r="325" ht="22.5" hidden="1" customHeight="1">
      <c r="A325" s="81">
        <v>45939.63410978009</v>
      </c>
      <c r="B325" s="82" t="s">
        <v>689</v>
      </c>
      <c r="C325" s="82" t="s">
        <v>81</v>
      </c>
      <c r="D325" s="82" t="s">
        <v>2034</v>
      </c>
      <c r="H325" s="82" t="s">
        <v>2035</v>
      </c>
      <c r="I325" s="83">
        <v>45939.0</v>
      </c>
    </row>
    <row r="326" ht="22.5" hidden="1" customHeight="1">
      <c r="A326" s="81">
        <v>45939.63438459491</v>
      </c>
      <c r="B326" s="82" t="s">
        <v>690</v>
      </c>
      <c r="C326" s="82" t="s">
        <v>81</v>
      </c>
      <c r="D326" s="82" t="s">
        <v>2034</v>
      </c>
      <c r="H326" s="82" t="s">
        <v>2035</v>
      </c>
      <c r="I326" s="83">
        <v>45939.0</v>
      </c>
    </row>
    <row r="327" ht="22.5" hidden="1" customHeight="1">
      <c r="A327" s="81">
        <v>45939.63473987269</v>
      </c>
      <c r="B327" s="82" t="s">
        <v>691</v>
      </c>
      <c r="C327" s="82" t="s">
        <v>81</v>
      </c>
      <c r="D327" s="82" t="s">
        <v>2034</v>
      </c>
      <c r="H327" s="82" t="s">
        <v>2035</v>
      </c>
      <c r="I327" s="83">
        <v>45939.0</v>
      </c>
    </row>
    <row r="328" ht="22.5" hidden="1" customHeight="1">
      <c r="A328" s="81">
        <v>45940.36879896991</v>
      </c>
      <c r="B328" s="82" t="s">
        <v>673</v>
      </c>
      <c r="C328" s="82" t="s">
        <v>2035</v>
      </c>
      <c r="D328" s="82" t="s">
        <v>2036</v>
      </c>
      <c r="F328" s="83">
        <v>45951.0</v>
      </c>
      <c r="G328" s="84" t="s">
        <v>2271</v>
      </c>
      <c r="H328" s="82" t="s">
        <v>2035</v>
      </c>
      <c r="I328" s="83">
        <v>45940.0</v>
      </c>
    </row>
    <row r="329" ht="22.5" hidden="1" customHeight="1">
      <c r="A329" s="81">
        <v>45940.36978966436</v>
      </c>
      <c r="B329" s="82" t="s">
        <v>661</v>
      </c>
      <c r="C329" s="82" t="s">
        <v>2035</v>
      </c>
      <c r="D329" s="82" t="s">
        <v>2036</v>
      </c>
      <c r="F329" s="83">
        <v>45951.0</v>
      </c>
      <c r="G329" s="84" t="s">
        <v>2272</v>
      </c>
      <c r="H329" s="82" t="s">
        <v>2035</v>
      </c>
      <c r="I329" s="83">
        <v>45940.0</v>
      </c>
    </row>
    <row r="330" ht="22.5" hidden="1" customHeight="1">
      <c r="A330" s="81">
        <v>45940.3706809838</v>
      </c>
      <c r="B330" s="82" t="s">
        <v>329</v>
      </c>
      <c r="C330" s="82" t="s">
        <v>2035</v>
      </c>
      <c r="D330" s="82" t="s">
        <v>2036</v>
      </c>
      <c r="F330" s="83">
        <v>45951.0</v>
      </c>
      <c r="G330" s="84" t="s">
        <v>2273</v>
      </c>
      <c r="H330" s="82" t="s">
        <v>2035</v>
      </c>
      <c r="I330" s="83">
        <v>45940.0</v>
      </c>
    </row>
    <row r="331" ht="22.5" hidden="1" customHeight="1">
      <c r="A331" s="81">
        <v>45940.45574621527</v>
      </c>
      <c r="B331" s="82" t="s">
        <v>326</v>
      </c>
      <c r="C331" s="82" t="s">
        <v>2038</v>
      </c>
      <c r="D331" s="82" t="s">
        <v>2036</v>
      </c>
      <c r="F331" s="83">
        <v>45951.0</v>
      </c>
      <c r="G331" s="84" t="s">
        <v>2274</v>
      </c>
      <c r="H331" s="82" t="s">
        <v>2035</v>
      </c>
      <c r="I331" s="83">
        <v>45940.0</v>
      </c>
    </row>
    <row r="332" ht="22.5" hidden="1" customHeight="1">
      <c r="A332" s="81">
        <v>45940.52847153935</v>
      </c>
      <c r="B332" s="82" t="s">
        <v>521</v>
      </c>
      <c r="C332" s="82" t="s">
        <v>2038</v>
      </c>
      <c r="D332" s="82" t="s">
        <v>2034</v>
      </c>
      <c r="H332" s="82" t="s">
        <v>2035</v>
      </c>
      <c r="I332" s="83">
        <v>45940.0</v>
      </c>
      <c r="J332" s="84" t="s">
        <v>2275</v>
      </c>
    </row>
    <row r="333" ht="22.5" hidden="1" customHeight="1">
      <c r="A333" s="81">
        <v>45940.61288966435</v>
      </c>
      <c r="B333" s="82" t="s">
        <v>692</v>
      </c>
      <c r="C333" s="82" t="s">
        <v>81</v>
      </c>
      <c r="D333" s="82" t="s">
        <v>2034</v>
      </c>
      <c r="H333" s="82" t="s">
        <v>2035</v>
      </c>
      <c r="I333" s="83">
        <v>45940.0</v>
      </c>
    </row>
    <row r="334" ht="22.5" hidden="1" customHeight="1">
      <c r="A334" s="81">
        <v>45940.61317619213</v>
      </c>
      <c r="B334" s="82" t="s">
        <v>693</v>
      </c>
      <c r="C334" s="82" t="s">
        <v>81</v>
      </c>
      <c r="D334" s="82" t="s">
        <v>2034</v>
      </c>
      <c r="H334" s="82" t="s">
        <v>2035</v>
      </c>
      <c r="I334" s="83">
        <v>45940.0</v>
      </c>
    </row>
    <row r="335" ht="22.5" hidden="1" customHeight="1">
      <c r="A335" s="81">
        <v>45940.61383497685</v>
      </c>
      <c r="B335" s="82" t="s">
        <v>695</v>
      </c>
      <c r="C335" s="82" t="s">
        <v>81</v>
      </c>
      <c r="D335" s="82" t="s">
        <v>2034</v>
      </c>
      <c r="H335" s="82" t="s">
        <v>2035</v>
      </c>
      <c r="I335" s="83">
        <v>45940.0</v>
      </c>
    </row>
    <row r="336" ht="22.5" hidden="1" customHeight="1">
      <c r="A336" s="81">
        <v>45940.657214942126</v>
      </c>
      <c r="B336" s="82" t="s">
        <v>573</v>
      </c>
      <c r="C336" s="82" t="s">
        <v>2038</v>
      </c>
      <c r="D336" s="82" t="s">
        <v>2036</v>
      </c>
      <c r="F336" s="83">
        <v>45952.0</v>
      </c>
      <c r="G336" s="84" t="s">
        <v>2276</v>
      </c>
      <c r="H336" s="82" t="s">
        <v>2035</v>
      </c>
      <c r="I336" s="83">
        <v>45940.0</v>
      </c>
    </row>
    <row r="337" ht="22.5" hidden="1" customHeight="1">
      <c r="A337" s="81">
        <v>45940.67478423611</v>
      </c>
      <c r="B337" s="82" t="s">
        <v>508</v>
      </c>
      <c r="C337" s="82" t="s">
        <v>2038</v>
      </c>
      <c r="D337" s="82" t="s">
        <v>2036</v>
      </c>
      <c r="F337" s="83">
        <v>45952.0</v>
      </c>
      <c r="G337" s="84" t="s">
        <v>2277</v>
      </c>
      <c r="H337" s="82" t="s">
        <v>2035</v>
      </c>
      <c r="I337" s="83">
        <v>45940.0</v>
      </c>
    </row>
    <row r="338" ht="22.5" hidden="1" customHeight="1">
      <c r="A338" s="81">
        <v>45940.67588064815</v>
      </c>
      <c r="B338" s="82" t="s">
        <v>657</v>
      </c>
      <c r="C338" s="82" t="s">
        <v>2038</v>
      </c>
      <c r="D338" s="82" t="s">
        <v>2036</v>
      </c>
      <c r="F338" s="83">
        <v>45952.0</v>
      </c>
      <c r="G338" s="84" t="s">
        <v>2278</v>
      </c>
      <c r="H338" s="82" t="s">
        <v>2035</v>
      </c>
      <c r="I338" s="83">
        <v>45940.0</v>
      </c>
    </row>
    <row r="339" ht="22.5" hidden="1" customHeight="1">
      <c r="A339" s="81">
        <v>45940.67785525463</v>
      </c>
      <c r="B339" s="82" t="s">
        <v>369</v>
      </c>
      <c r="C339" s="82" t="s">
        <v>2038</v>
      </c>
      <c r="D339" s="82" t="s">
        <v>2036</v>
      </c>
      <c r="F339" s="83">
        <v>45952.0</v>
      </c>
      <c r="G339" s="84" t="s">
        <v>2279</v>
      </c>
      <c r="H339" s="82" t="s">
        <v>2035</v>
      </c>
      <c r="I339" s="83">
        <v>45940.0</v>
      </c>
    </row>
    <row r="340" ht="22.5" hidden="1" customHeight="1">
      <c r="A340" s="81">
        <v>45941.41426290509</v>
      </c>
      <c r="B340" s="82" t="s">
        <v>339</v>
      </c>
      <c r="C340" s="82" t="s">
        <v>2038</v>
      </c>
      <c r="D340" s="82" t="s">
        <v>2036</v>
      </c>
      <c r="F340" s="83">
        <v>45952.0</v>
      </c>
      <c r="G340" s="84" t="s">
        <v>2280</v>
      </c>
      <c r="H340" s="82" t="s">
        <v>2035</v>
      </c>
      <c r="I340" s="83">
        <v>45941.0</v>
      </c>
    </row>
    <row r="341" ht="22.5" hidden="1" customHeight="1">
      <c r="A341" s="81">
        <v>45941.414709756944</v>
      </c>
      <c r="B341" s="82" t="s">
        <v>342</v>
      </c>
      <c r="C341" s="82" t="s">
        <v>2038</v>
      </c>
      <c r="D341" s="82" t="s">
        <v>2036</v>
      </c>
      <c r="F341" s="83">
        <v>45952.0</v>
      </c>
      <c r="G341" s="84" t="s">
        <v>2281</v>
      </c>
      <c r="H341" s="82" t="s">
        <v>2035</v>
      </c>
      <c r="I341" s="83">
        <v>45941.0</v>
      </c>
    </row>
    <row r="342" ht="22.5" hidden="1" customHeight="1">
      <c r="A342" s="81">
        <v>45941.41518606481</v>
      </c>
      <c r="B342" s="82" t="s">
        <v>345</v>
      </c>
      <c r="C342" s="82" t="s">
        <v>2038</v>
      </c>
      <c r="D342" s="82" t="s">
        <v>2036</v>
      </c>
      <c r="F342" s="83">
        <v>45952.0</v>
      </c>
      <c r="G342" s="84" t="s">
        <v>2282</v>
      </c>
      <c r="H342" s="82" t="s">
        <v>2035</v>
      </c>
      <c r="I342" s="83">
        <v>45941.0</v>
      </c>
    </row>
    <row r="343" ht="22.5" hidden="1" customHeight="1">
      <c r="A343" s="81">
        <v>45941.43674761574</v>
      </c>
      <c r="B343" s="82" t="s">
        <v>621</v>
      </c>
      <c r="C343" s="82" t="s">
        <v>2035</v>
      </c>
      <c r="D343" s="82" t="s">
        <v>2036</v>
      </c>
      <c r="F343" s="83">
        <v>45950.0</v>
      </c>
      <c r="G343" s="84" t="s">
        <v>2283</v>
      </c>
      <c r="H343" s="82" t="s">
        <v>2035</v>
      </c>
      <c r="I343" s="83">
        <v>45939.0</v>
      </c>
    </row>
    <row r="344" ht="22.5" hidden="1" customHeight="1">
      <c r="A344" s="81">
        <v>45943.44781533565</v>
      </c>
      <c r="B344" s="82" t="s">
        <v>702</v>
      </c>
      <c r="C344" s="82" t="s">
        <v>81</v>
      </c>
      <c r="D344" s="82" t="s">
        <v>2034</v>
      </c>
      <c r="H344" s="82" t="s">
        <v>2035</v>
      </c>
      <c r="I344" s="83">
        <v>45943.0</v>
      </c>
    </row>
    <row r="345" ht="22.5" hidden="1" customHeight="1">
      <c r="A345" s="81">
        <v>45943.44952951389</v>
      </c>
      <c r="B345" s="82" t="s">
        <v>510</v>
      </c>
      <c r="C345" s="82" t="s">
        <v>2035</v>
      </c>
      <c r="D345" s="82" t="s">
        <v>2034</v>
      </c>
      <c r="H345" s="82" t="s">
        <v>2035</v>
      </c>
      <c r="I345" s="83">
        <v>45936.0</v>
      </c>
      <c r="J345" s="84" t="s">
        <v>2284</v>
      </c>
    </row>
    <row r="346" ht="22.5" hidden="1" customHeight="1">
      <c r="A346" s="81">
        <v>45943.45001508102</v>
      </c>
      <c r="B346" s="82" t="s">
        <v>454</v>
      </c>
      <c r="C346" s="82" t="s">
        <v>2035</v>
      </c>
      <c r="D346" s="82" t="s">
        <v>2034</v>
      </c>
      <c r="H346" s="82" t="s">
        <v>2035</v>
      </c>
      <c r="I346" s="83">
        <v>45936.0</v>
      </c>
      <c r="J346" s="84" t="s">
        <v>2285</v>
      </c>
    </row>
    <row r="347" ht="22.5" hidden="1" customHeight="1">
      <c r="A347" s="81">
        <v>45943.45134085648</v>
      </c>
      <c r="B347" s="82" t="s">
        <v>525</v>
      </c>
      <c r="C347" s="82" t="s">
        <v>2035</v>
      </c>
      <c r="D347" s="82" t="s">
        <v>2034</v>
      </c>
      <c r="H347" s="82" t="s">
        <v>2035</v>
      </c>
      <c r="I347" s="83">
        <v>45943.0</v>
      </c>
      <c r="J347" s="84" t="s">
        <v>2286</v>
      </c>
    </row>
    <row r="348" ht="22.5" hidden="1" customHeight="1">
      <c r="A348" s="81">
        <v>45943.57937877315</v>
      </c>
      <c r="B348" s="82" t="s">
        <v>648</v>
      </c>
      <c r="C348" s="82" t="s">
        <v>2038</v>
      </c>
      <c r="D348" s="82" t="s">
        <v>2036</v>
      </c>
      <c r="F348" s="83">
        <v>45952.0</v>
      </c>
      <c r="G348" s="84" t="s">
        <v>2287</v>
      </c>
      <c r="H348" s="82" t="s">
        <v>2035</v>
      </c>
      <c r="I348" s="83">
        <v>45943.0</v>
      </c>
    </row>
    <row r="349" ht="22.5" hidden="1" customHeight="1">
      <c r="A349" s="81">
        <v>45943.621082025464</v>
      </c>
      <c r="B349" s="82" t="s">
        <v>468</v>
      </c>
      <c r="C349" s="82" t="s">
        <v>2038</v>
      </c>
      <c r="D349" s="82" t="s">
        <v>2036</v>
      </c>
      <c r="F349" s="83">
        <v>45952.0</v>
      </c>
      <c r="G349" s="84" t="s">
        <v>2288</v>
      </c>
      <c r="H349" s="82" t="s">
        <v>2035</v>
      </c>
      <c r="I349" s="83">
        <v>45943.0</v>
      </c>
    </row>
    <row r="350" ht="22.5" hidden="1" customHeight="1">
      <c r="A350" s="81">
        <v>45943.628058055554</v>
      </c>
      <c r="B350" s="82" t="s">
        <v>324</v>
      </c>
      <c r="C350" s="82" t="s">
        <v>2038</v>
      </c>
      <c r="D350" s="82" t="s">
        <v>2034</v>
      </c>
      <c r="F350" s="83">
        <v>45952.0</v>
      </c>
      <c r="H350" s="82" t="s">
        <v>2035</v>
      </c>
      <c r="I350" s="83">
        <v>45943.0</v>
      </c>
      <c r="J350" s="84" t="s">
        <v>2289</v>
      </c>
    </row>
    <row r="351" ht="22.5" hidden="1" customHeight="1">
      <c r="A351" s="81">
        <v>45944.580586261574</v>
      </c>
      <c r="B351" s="82" t="s">
        <v>544</v>
      </c>
      <c r="C351" s="82" t="s">
        <v>2038</v>
      </c>
      <c r="D351" s="82" t="s">
        <v>2034</v>
      </c>
      <c r="H351" s="82" t="s">
        <v>2035</v>
      </c>
      <c r="I351" s="83">
        <v>45944.0</v>
      </c>
      <c r="J351" s="84" t="s">
        <v>2290</v>
      </c>
    </row>
    <row r="352" ht="22.5" hidden="1" customHeight="1">
      <c r="A352" s="81">
        <v>45944.58113519676</v>
      </c>
      <c r="B352" s="82" t="s">
        <v>519</v>
      </c>
      <c r="C352" s="82" t="s">
        <v>2038</v>
      </c>
      <c r="D352" s="82" t="s">
        <v>2034</v>
      </c>
      <c r="H352" s="82" t="s">
        <v>2035</v>
      </c>
      <c r="I352" s="83">
        <v>45944.0</v>
      </c>
      <c r="J352" s="84" t="s">
        <v>2291</v>
      </c>
    </row>
    <row r="353" ht="22.5" hidden="1" customHeight="1">
      <c r="A353" s="81">
        <v>45944.581692569445</v>
      </c>
      <c r="B353" s="82" t="s">
        <v>427</v>
      </c>
      <c r="C353" s="82" t="s">
        <v>2038</v>
      </c>
      <c r="D353" s="82" t="s">
        <v>2034</v>
      </c>
      <c r="H353" s="82" t="s">
        <v>2035</v>
      </c>
      <c r="I353" s="83">
        <v>45944.0</v>
      </c>
      <c r="J353" s="84" t="s">
        <v>2292</v>
      </c>
    </row>
    <row r="354" ht="22.5" hidden="1" customHeight="1">
      <c r="A354" s="81">
        <v>45944.69147130787</v>
      </c>
      <c r="B354" s="82" t="s">
        <v>347</v>
      </c>
      <c r="C354" s="82" t="s">
        <v>2035</v>
      </c>
      <c r="D354" s="82" t="s">
        <v>2034</v>
      </c>
      <c r="H354" s="82" t="s">
        <v>2035</v>
      </c>
      <c r="I354" s="83">
        <v>45944.0</v>
      </c>
      <c r="J354" s="84" t="s">
        <v>2293</v>
      </c>
    </row>
    <row r="355" ht="22.5" hidden="1" customHeight="1">
      <c r="A355" s="81">
        <v>45944.69273180555</v>
      </c>
      <c r="B355" s="82" t="s">
        <v>550</v>
      </c>
      <c r="C355" s="82" t="s">
        <v>2035</v>
      </c>
      <c r="D355" s="82" t="s">
        <v>2034</v>
      </c>
      <c r="H355" s="82" t="s">
        <v>2035</v>
      </c>
      <c r="I355" s="83">
        <v>45944.0</v>
      </c>
      <c r="J355" s="84" t="s">
        <v>2294</v>
      </c>
    </row>
    <row r="356" ht="22.5" hidden="1" customHeight="1">
      <c r="A356" s="81">
        <v>45944.69354175926</v>
      </c>
      <c r="B356" s="82" t="s">
        <v>644</v>
      </c>
      <c r="C356" s="82" t="s">
        <v>2035</v>
      </c>
      <c r="D356" s="82" t="s">
        <v>2034</v>
      </c>
      <c r="H356" s="82" t="s">
        <v>2035</v>
      </c>
      <c r="I356" s="83">
        <v>45944.0</v>
      </c>
      <c r="J356" s="84" t="s">
        <v>2295</v>
      </c>
    </row>
    <row r="357" ht="22.5" hidden="1" customHeight="1">
      <c r="A357" s="81">
        <v>45945.4533289699</v>
      </c>
      <c r="B357" s="82" t="s">
        <v>712</v>
      </c>
      <c r="C357" s="82" t="s">
        <v>81</v>
      </c>
      <c r="D357" s="82" t="s">
        <v>2034</v>
      </c>
      <c r="H357" s="82" t="s">
        <v>2035</v>
      </c>
      <c r="I357" s="83">
        <v>45945.0</v>
      </c>
      <c r="J357" s="84" t="s">
        <v>2296</v>
      </c>
    </row>
    <row r="358" ht="22.5" hidden="1" customHeight="1">
      <c r="A358" s="81">
        <v>45945.46350149305</v>
      </c>
      <c r="B358" s="82" t="s">
        <v>707</v>
      </c>
      <c r="C358" s="82" t="s">
        <v>2035</v>
      </c>
      <c r="D358" s="82" t="s">
        <v>2036</v>
      </c>
      <c r="F358" s="83">
        <v>45954.0</v>
      </c>
      <c r="G358" s="84" t="s">
        <v>2297</v>
      </c>
      <c r="H358" s="82" t="s">
        <v>2035</v>
      </c>
      <c r="I358" s="83">
        <v>45945.0</v>
      </c>
    </row>
    <row r="359" ht="22.5" hidden="1" customHeight="1">
      <c r="A359" s="81">
        <v>45945.5621690625</v>
      </c>
      <c r="B359" s="82" t="s">
        <v>715</v>
      </c>
      <c r="C359" s="82" t="s">
        <v>2035</v>
      </c>
      <c r="D359" s="82" t="s">
        <v>2036</v>
      </c>
      <c r="F359" s="83">
        <v>45953.0</v>
      </c>
      <c r="G359" s="84" t="s">
        <v>2298</v>
      </c>
      <c r="H359" s="82" t="s">
        <v>2035</v>
      </c>
      <c r="I359" s="83">
        <v>45944.0</v>
      </c>
    </row>
    <row r="360" ht="22.5" hidden="1" customHeight="1">
      <c r="A360" s="81">
        <v>45945.66929871528</v>
      </c>
      <c r="B360" s="82" t="s">
        <v>714</v>
      </c>
      <c r="C360" s="82" t="s">
        <v>81</v>
      </c>
      <c r="D360" s="82" t="s">
        <v>2034</v>
      </c>
      <c r="H360" s="82" t="s">
        <v>2035</v>
      </c>
      <c r="I360" s="83">
        <v>45945.0</v>
      </c>
    </row>
    <row r="361" ht="22.5" hidden="1" customHeight="1">
      <c r="A361" s="81">
        <v>45945.669725740736</v>
      </c>
      <c r="B361" s="82" t="s">
        <v>339</v>
      </c>
      <c r="C361" s="82" t="s">
        <v>2038</v>
      </c>
      <c r="D361" s="82" t="s">
        <v>2034</v>
      </c>
      <c r="H361" s="82" t="s">
        <v>2035</v>
      </c>
      <c r="I361" s="83">
        <v>45945.0</v>
      </c>
      <c r="J361" s="84" t="s">
        <v>2299</v>
      </c>
    </row>
    <row r="362" ht="22.5" hidden="1" customHeight="1">
      <c r="A362" s="81">
        <v>45945.67013627315</v>
      </c>
      <c r="B362" s="82" t="s">
        <v>342</v>
      </c>
      <c r="C362" s="82" t="s">
        <v>2038</v>
      </c>
      <c r="D362" s="82" t="s">
        <v>2034</v>
      </c>
      <c r="H362" s="82" t="s">
        <v>2035</v>
      </c>
      <c r="I362" s="83">
        <v>45945.0</v>
      </c>
      <c r="J362" s="84" t="s">
        <v>2300</v>
      </c>
    </row>
    <row r="363" ht="22.5" hidden="1" customHeight="1">
      <c r="A363" s="81">
        <v>45945.670533807875</v>
      </c>
      <c r="B363" s="82" t="s">
        <v>345</v>
      </c>
      <c r="C363" s="82" t="s">
        <v>2038</v>
      </c>
      <c r="D363" s="82" t="s">
        <v>2034</v>
      </c>
      <c r="H363" s="82" t="s">
        <v>2035</v>
      </c>
      <c r="I363" s="83">
        <v>45945.0</v>
      </c>
      <c r="J363" s="84" t="s">
        <v>2301</v>
      </c>
    </row>
    <row r="364" ht="22.5" hidden="1" customHeight="1">
      <c r="A364" s="81">
        <v>45945.71149001157</v>
      </c>
      <c r="B364" s="82" t="s">
        <v>548</v>
      </c>
      <c r="C364" s="82" t="s">
        <v>2038</v>
      </c>
      <c r="D364" s="82" t="s">
        <v>2036</v>
      </c>
      <c r="F364" s="83">
        <v>45954.0</v>
      </c>
      <c r="G364" s="84" t="s">
        <v>2302</v>
      </c>
      <c r="H364" s="82" t="s">
        <v>2035</v>
      </c>
      <c r="I364" s="83">
        <v>45945.0</v>
      </c>
    </row>
    <row r="365" ht="22.5" hidden="1" customHeight="1">
      <c r="A365" s="81">
        <v>45945.71254511574</v>
      </c>
      <c r="B365" s="82" t="s">
        <v>517</v>
      </c>
      <c r="C365" s="82" t="s">
        <v>2038</v>
      </c>
      <c r="D365" s="82" t="s">
        <v>2036</v>
      </c>
      <c r="F365" s="83">
        <v>45954.0</v>
      </c>
      <c r="G365" s="84" t="s">
        <v>2303</v>
      </c>
      <c r="H365" s="82" t="s">
        <v>2035</v>
      </c>
      <c r="I365" s="83">
        <v>45945.0</v>
      </c>
    </row>
    <row r="366" ht="22.5" hidden="1" customHeight="1">
      <c r="A366" s="81">
        <v>45946.466278541666</v>
      </c>
      <c r="B366" s="82" t="s">
        <v>660</v>
      </c>
      <c r="C366" s="82" t="s">
        <v>2035</v>
      </c>
      <c r="D366" s="82" t="s">
        <v>2034</v>
      </c>
      <c r="H366" s="82" t="s">
        <v>2035</v>
      </c>
      <c r="I366" s="83">
        <v>45946.0</v>
      </c>
      <c r="J366" s="84" t="s">
        <v>2304</v>
      </c>
    </row>
    <row r="367" ht="22.5" hidden="1" customHeight="1">
      <c r="A367" s="81">
        <v>45946.63103899306</v>
      </c>
      <c r="B367" s="82" t="s">
        <v>681</v>
      </c>
      <c r="C367" s="82" t="s">
        <v>2035</v>
      </c>
      <c r="D367" s="82" t="s">
        <v>2036</v>
      </c>
      <c r="F367" s="83">
        <v>45957.0</v>
      </c>
      <c r="G367" s="84" t="s">
        <v>2305</v>
      </c>
      <c r="H367" s="82" t="s">
        <v>2035</v>
      </c>
      <c r="I367" s="83">
        <v>45946.0</v>
      </c>
    </row>
    <row r="368" ht="22.5" hidden="1" customHeight="1">
      <c r="A368" s="81">
        <v>45946.63205547453</v>
      </c>
      <c r="B368" s="82" t="s">
        <v>514</v>
      </c>
      <c r="C368" s="82" t="s">
        <v>2035</v>
      </c>
      <c r="D368" s="82" t="s">
        <v>2036</v>
      </c>
      <c r="F368" s="83">
        <v>45957.0</v>
      </c>
      <c r="G368" s="84" t="s">
        <v>2306</v>
      </c>
      <c r="H368" s="82" t="s">
        <v>2035</v>
      </c>
      <c r="I368" s="83">
        <v>45946.0</v>
      </c>
    </row>
    <row r="369" ht="22.5" hidden="1" customHeight="1">
      <c r="A369" s="81">
        <v>45946.63376540509</v>
      </c>
      <c r="B369" s="82" t="s">
        <v>669</v>
      </c>
      <c r="C369" s="82" t="s">
        <v>2035</v>
      </c>
      <c r="D369" s="82" t="s">
        <v>2036</v>
      </c>
      <c r="F369" s="83">
        <v>45957.0</v>
      </c>
      <c r="G369" s="84" t="s">
        <v>2307</v>
      </c>
      <c r="H369" s="82" t="s">
        <v>2035</v>
      </c>
      <c r="I369" s="83">
        <v>45946.0</v>
      </c>
    </row>
    <row r="370" ht="22.5" hidden="1" customHeight="1">
      <c r="A370" s="81">
        <v>45946.634594247684</v>
      </c>
      <c r="B370" s="82" t="s">
        <v>529</v>
      </c>
      <c r="C370" s="82" t="s">
        <v>2038</v>
      </c>
      <c r="D370" s="82" t="s">
        <v>2034</v>
      </c>
      <c r="H370" s="82" t="s">
        <v>2035</v>
      </c>
      <c r="I370" s="83">
        <v>45946.0</v>
      </c>
      <c r="J370" s="84" t="s">
        <v>2308</v>
      </c>
    </row>
    <row r="371" ht="22.5" hidden="1" customHeight="1">
      <c r="A371" s="81">
        <v>45947.37240392361</v>
      </c>
      <c r="B371" s="82" t="s">
        <v>725</v>
      </c>
      <c r="C371" s="82" t="s">
        <v>81</v>
      </c>
      <c r="D371" s="82" t="s">
        <v>2034</v>
      </c>
      <c r="H371" s="82" t="s">
        <v>2035</v>
      </c>
      <c r="I371" s="83">
        <v>45947.0</v>
      </c>
    </row>
    <row r="372" ht="22.5" hidden="1" customHeight="1">
      <c r="A372" s="81">
        <v>45947.66389435185</v>
      </c>
      <c r="B372" s="82" t="s">
        <v>495</v>
      </c>
      <c r="C372" s="82" t="s">
        <v>2035</v>
      </c>
      <c r="D372" s="82" t="s">
        <v>2036</v>
      </c>
      <c r="F372" s="83">
        <v>45958.0</v>
      </c>
      <c r="G372" s="84" t="s">
        <v>2309</v>
      </c>
      <c r="H372" s="82" t="s">
        <v>2035</v>
      </c>
      <c r="I372" s="83">
        <v>45947.0</v>
      </c>
    </row>
    <row r="373" ht="22.5" hidden="1" customHeight="1">
      <c r="A373" s="81">
        <v>45947.66440695601</v>
      </c>
      <c r="B373" s="82" t="s">
        <v>497</v>
      </c>
      <c r="C373" s="82" t="s">
        <v>2035</v>
      </c>
      <c r="D373" s="82" t="s">
        <v>2036</v>
      </c>
      <c r="F373" s="83">
        <v>45958.0</v>
      </c>
      <c r="G373" s="84" t="s">
        <v>2310</v>
      </c>
      <c r="H373" s="82" t="s">
        <v>2035</v>
      </c>
      <c r="I373" s="83">
        <v>45947.0</v>
      </c>
    </row>
    <row r="374" ht="22.5" hidden="1" customHeight="1">
      <c r="A374" s="81">
        <v>45948.38733900463</v>
      </c>
      <c r="B374" s="82" t="s">
        <v>730</v>
      </c>
      <c r="C374" s="82" t="s">
        <v>81</v>
      </c>
      <c r="D374" s="82" t="s">
        <v>2034</v>
      </c>
      <c r="H374" s="82" t="s">
        <v>2035</v>
      </c>
      <c r="I374" s="83">
        <v>45948.0</v>
      </c>
    </row>
    <row r="375" ht="22.5" hidden="1" customHeight="1">
      <c r="A375" s="81">
        <v>45948.38758841435</v>
      </c>
      <c r="B375" s="82" t="s">
        <v>731</v>
      </c>
      <c r="C375" s="82" t="s">
        <v>81</v>
      </c>
      <c r="D375" s="82" t="s">
        <v>2034</v>
      </c>
      <c r="H375" s="82" t="s">
        <v>2035</v>
      </c>
      <c r="I375" s="83">
        <v>45948.0</v>
      </c>
    </row>
    <row r="376" ht="22.5" hidden="1" customHeight="1">
      <c r="A376" s="81">
        <v>45948.38784268519</v>
      </c>
      <c r="B376" s="82" t="s">
        <v>732</v>
      </c>
      <c r="C376" s="82" t="s">
        <v>81</v>
      </c>
      <c r="D376" s="82" t="s">
        <v>2034</v>
      </c>
      <c r="H376" s="82" t="s">
        <v>2035</v>
      </c>
      <c r="I376" s="83">
        <v>45948.0</v>
      </c>
    </row>
    <row r="377" ht="22.5" hidden="1" customHeight="1">
      <c r="A377" s="81">
        <v>45948.38820472222</v>
      </c>
      <c r="B377" s="82" t="s">
        <v>733</v>
      </c>
      <c r="C377" s="82" t="s">
        <v>81</v>
      </c>
      <c r="D377" s="82" t="s">
        <v>2034</v>
      </c>
      <c r="H377" s="82" t="s">
        <v>2035</v>
      </c>
      <c r="I377" s="83">
        <v>45948.0</v>
      </c>
    </row>
    <row r="378" ht="22.5" hidden="1" customHeight="1">
      <c r="A378" s="81">
        <v>45948.38849400463</v>
      </c>
      <c r="B378" s="82" t="s">
        <v>734</v>
      </c>
      <c r="C378" s="82" t="s">
        <v>81</v>
      </c>
      <c r="D378" s="82" t="s">
        <v>2034</v>
      </c>
      <c r="H378" s="82" t="s">
        <v>2035</v>
      </c>
      <c r="I378" s="83">
        <v>45948.0</v>
      </c>
    </row>
    <row r="379" ht="22.5" hidden="1" customHeight="1">
      <c r="A379" s="81">
        <v>45948.38875</v>
      </c>
      <c r="B379" s="82" t="s">
        <v>735</v>
      </c>
      <c r="C379" s="82" t="s">
        <v>81</v>
      </c>
      <c r="D379" s="82" t="s">
        <v>2034</v>
      </c>
      <c r="H379" s="82" t="s">
        <v>2035</v>
      </c>
      <c r="I379" s="83">
        <v>45948.0</v>
      </c>
    </row>
    <row r="380" ht="22.5" hidden="1" customHeight="1">
      <c r="A380" s="81">
        <v>45948.38900196759</v>
      </c>
      <c r="B380" s="82" t="s">
        <v>736</v>
      </c>
      <c r="C380" s="82" t="s">
        <v>81</v>
      </c>
      <c r="D380" s="82" t="s">
        <v>2034</v>
      </c>
      <c r="H380" s="82" t="s">
        <v>2035</v>
      </c>
      <c r="I380" s="83">
        <v>45948.0</v>
      </c>
    </row>
    <row r="381" ht="22.5" hidden="1" customHeight="1">
      <c r="A381" s="81">
        <v>45948.43900414352</v>
      </c>
      <c r="B381" s="82" t="s">
        <v>696</v>
      </c>
      <c r="C381" s="82" t="s">
        <v>2035</v>
      </c>
      <c r="D381" s="82" t="s">
        <v>2036</v>
      </c>
      <c r="F381" s="83">
        <v>45959.0</v>
      </c>
      <c r="G381" s="84" t="s">
        <v>2311</v>
      </c>
      <c r="H381" s="82" t="s">
        <v>2035</v>
      </c>
      <c r="I381" s="83">
        <v>45948.0</v>
      </c>
    </row>
    <row r="382" ht="22.5" hidden="1" customHeight="1">
      <c r="A382" s="81">
        <v>45948.445740717594</v>
      </c>
      <c r="B382" s="82" t="s">
        <v>728</v>
      </c>
      <c r="C382" s="82" t="s">
        <v>2035</v>
      </c>
      <c r="D382" s="82" t="s">
        <v>2036</v>
      </c>
      <c r="F382" s="83">
        <v>45948.0</v>
      </c>
      <c r="G382" s="84" t="s">
        <v>2312</v>
      </c>
      <c r="H382" s="82" t="s">
        <v>2035</v>
      </c>
      <c r="I382" s="83">
        <v>45948.0</v>
      </c>
    </row>
    <row r="383" ht="22.5" hidden="1" customHeight="1">
      <c r="A383" s="81">
        <v>45948.44774679399</v>
      </c>
      <c r="B383" s="82" t="s">
        <v>576</v>
      </c>
      <c r="C383" s="82" t="s">
        <v>2035</v>
      </c>
      <c r="D383" s="82" t="s">
        <v>2036</v>
      </c>
      <c r="F383" s="83">
        <v>45959.0</v>
      </c>
      <c r="G383" s="84" t="s">
        <v>2313</v>
      </c>
      <c r="H383" s="82" t="s">
        <v>2035</v>
      </c>
      <c r="I383" s="83">
        <v>45948.0</v>
      </c>
    </row>
    <row r="384" ht="22.5" hidden="1" customHeight="1">
      <c r="A384" s="81">
        <v>45948.44910894676</v>
      </c>
      <c r="B384" s="82" t="s">
        <v>724</v>
      </c>
      <c r="C384" s="82" t="s">
        <v>2035</v>
      </c>
      <c r="D384" s="82" t="s">
        <v>2036</v>
      </c>
      <c r="F384" s="83">
        <v>45959.0</v>
      </c>
      <c r="G384" s="84" t="s">
        <v>2314</v>
      </c>
      <c r="H384" s="82" t="s">
        <v>2035</v>
      </c>
      <c r="I384" s="83">
        <v>45948.0</v>
      </c>
    </row>
    <row r="385" ht="22.5" hidden="1" customHeight="1">
      <c r="A385" s="81">
        <v>45948.45017239584</v>
      </c>
      <c r="B385" s="82" t="s">
        <v>605</v>
      </c>
      <c r="C385" s="82" t="s">
        <v>2035</v>
      </c>
      <c r="D385" s="82" t="s">
        <v>2036</v>
      </c>
      <c r="F385" s="83">
        <v>45959.0</v>
      </c>
      <c r="G385" s="84" t="s">
        <v>2315</v>
      </c>
      <c r="H385" s="82" t="s">
        <v>2035</v>
      </c>
      <c r="I385" s="83">
        <v>45948.0</v>
      </c>
    </row>
    <row r="386" ht="22.5" hidden="1" customHeight="1">
      <c r="A386" s="81">
        <v>45950.429617870366</v>
      </c>
      <c r="B386" s="82" t="s">
        <v>460</v>
      </c>
      <c r="C386" s="82" t="s">
        <v>2035</v>
      </c>
      <c r="D386" s="82" t="s">
        <v>2036</v>
      </c>
      <c r="F386" s="83">
        <v>45959.0</v>
      </c>
      <c r="G386" s="84" t="s">
        <v>2316</v>
      </c>
      <c r="H386" s="82" t="s">
        <v>2035</v>
      </c>
      <c r="I386" s="83">
        <v>45950.0</v>
      </c>
    </row>
    <row r="387" ht="22.5" hidden="1" customHeight="1">
      <c r="A387" s="81">
        <v>45950.43507378473</v>
      </c>
      <c r="B387" s="82" t="s">
        <v>471</v>
      </c>
      <c r="C387" s="82" t="s">
        <v>2035</v>
      </c>
      <c r="D387" s="82" t="s">
        <v>2036</v>
      </c>
      <c r="F387" s="83">
        <v>45959.0</v>
      </c>
      <c r="G387" s="84" t="s">
        <v>2317</v>
      </c>
      <c r="H387" s="82" t="s">
        <v>2035</v>
      </c>
      <c r="I387" s="83">
        <v>45950.0</v>
      </c>
    </row>
    <row r="388" ht="22.5" hidden="1" customHeight="1">
      <c r="A388" s="81">
        <v>45951.38970670139</v>
      </c>
      <c r="B388" s="82" t="s">
        <v>631</v>
      </c>
      <c r="C388" s="82" t="s">
        <v>2035</v>
      </c>
      <c r="D388" s="82" t="s">
        <v>2036</v>
      </c>
      <c r="F388" s="83">
        <v>45959.0</v>
      </c>
      <c r="G388" s="84" t="s">
        <v>2318</v>
      </c>
      <c r="H388" s="82" t="s">
        <v>2035</v>
      </c>
      <c r="I388" s="83">
        <v>45950.0</v>
      </c>
    </row>
    <row r="389" ht="22.5" hidden="1" customHeight="1">
      <c r="A389" s="81">
        <v>45951.39064344908</v>
      </c>
      <c r="B389" s="82" t="s">
        <v>661</v>
      </c>
      <c r="C389" s="82" t="s">
        <v>2035</v>
      </c>
      <c r="D389" s="82" t="s">
        <v>2036</v>
      </c>
      <c r="F389" s="83">
        <v>45959.0</v>
      </c>
      <c r="G389" s="84" t="s">
        <v>2319</v>
      </c>
      <c r="H389" s="82" t="s">
        <v>2035</v>
      </c>
      <c r="I389" s="83">
        <v>45950.0</v>
      </c>
    </row>
    <row r="390" ht="22.5" hidden="1" customHeight="1">
      <c r="A390" s="81">
        <v>45951.3914042824</v>
      </c>
      <c r="B390" s="82" t="s">
        <v>718</v>
      </c>
      <c r="C390" s="82" t="s">
        <v>2035</v>
      </c>
      <c r="D390" s="82" t="s">
        <v>2036</v>
      </c>
      <c r="F390" s="83">
        <v>45959.0</v>
      </c>
      <c r="G390" s="84" t="s">
        <v>2320</v>
      </c>
      <c r="H390" s="82" t="s">
        <v>2035</v>
      </c>
      <c r="I390" s="83">
        <v>45950.0</v>
      </c>
    </row>
    <row r="391" ht="22.5" hidden="1" customHeight="1">
      <c r="A391" s="81">
        <v>45951.39239172454</v>
      </c>
      <c r="B391" s="82" t="s">
        <v>633</v>
      </c>
      <c r="C391" s="82" t="s">
        <v>2035</v>
      </c>
      <c r="D391" s="82" t="s">
        <v>2036</v>
      </c>
      <c r="F391" s="83">
        <v>45959.0</v>
      </c>
      <c r="G391" s="84" t="s">
        <v>2321</v>
      </c>
      <c r="H391" s="82" t="s">
        <v>2035</v>
      </c>
      <c r="I391" s="83">
        <v>45950.0</v>
      </c>
    </row>
    <row r="392" ht="22.5" hidden="1" customHeight="1">
      <c r="A392" s="81">
        <v>45951.39296297454</v>
      </c>
      <c r="B392" s="82" t="s">
        <v>552</v>
      </c>
      <c r="C392" s="82" t="s">
        <v>2035</v>
      </c>
      <c r="D392" s="82" t="s">
        <v>2036</v>
      </c>
      <c r="F392" s="83">
        <v>45959.0</v>
      </c>
      <c r="G392" s="84" t="s">
        <v>2322</v>
      </c>
      <c r="H392" s="82" t="s">
        <v>2035</v>
      </c>
      <c r="I392" s="83">
        <v>45950.0</v>
      </c>
    </row>
    <row r="393" ht="22.5" hidden="1" customHeight="1">
      <c r="A393" s="81">
        <v>45951.39345606482</v>
      </c>
      <c r="B393" s="82" t="s">
        <v>565</v>
      </c>
      <c r="C393" s="82" t="s">
        <v>2035</v>
      </c>
      <c r="D393" s="82" t="s">
        <v>2036</v>
      </c>
      <c r="F393" s="83">
        <v>45959.0</v>
      </c>
      <c r="G393" s="84" t="s">
        <v>2323</v>
      </c>
      <c r="H393" s="82" t="s">
        <v>2035</v>
      </c>
      <c r="I393" s="83">
        <v>45950.0</v>
      </c>
    </row>
    <row r="394" ht="22.5" hidden="1" customHeight="1">
      <c r="A394" s="81">
        <v>45951.39383584491</v>
      </c>
      <c r="B394" s="82" t="s">
        <v>556</v>
      </c>
      <c r="C394" s="82" t="s">
        <v>2035</v>
      </c>
      <c r="D394" s="82" t="s">
        <v>2036</v>
      </c>
      <c r="F394" s="83">
        <v>45959.0</v>
      </c>
      <c r="G394" s="84" t="s">
        <v>2324</v>
      </c>
      <c r="H394" s="82" t="s">
        <v>2035</v>
      </c>
      <c r="I394" s="83">
        <v>45950.0</v>
      </c>
    </row>
    <row r="395" ht="22.5" hidden="1" customHeight="1">
      <c r="A395" s="81">
        <v>45951.39434857639</v>
      </c>
      <c r="B395" s="82" t="s">
        <v>559</v>
      </c>
      <c r="C395" s="82" t="s">
        <v>2035</v>
      </c>
      <c r="D395" s="82" t="s">
        <v>2036</v>
      </c>
      <c r="F395" s="83">
        <v>45959.0</v>
      </c>
      <c r="G395" s="84" t="s">
        <v>2325</v>
      </c>
      <c r="H395" s="82" t="s">
        <v>2035</v>
      </c>
      <c r="I395" s="83">
        <v>45950.0</v>
      </c>
    </row>
    <row r="396" ht="22.5" hidden="1" customHeight="1">
      <c r="A396" s="81">
        <v>45951.39486260417</v>
      </c>
      <c r="B396" s="82" t="s">
        <v>561</v>
      </c>
      <c r="C396" s="82" t="s">
        <v>2035</v>
      </c>
      <c r="D396" s="82" t="s">
        <v>2036</v>
      </c>
      <c r="F396" s="83">
        <v>45959.0</v>
      </c>
      <c r="G396" s="84" t="s">
        <v>2326</v>
      </c>
      <c r="H396" s="82" t="s">
        <v>2035</v>
      </c>
      <c r="I396" s="83">
        <v>45950.0</v>
      </c>
    </row>
    <row r="397" ht="22.5" hidden="1" customHeight="1">
      <c r="A397" s="81">
        <v>45951.395348391205</v>
      </c>
      <c r="B397" s="82" t="s">
        <v>571</v>
      </c>
      <c r="C397" s="82" t="s">
        <v>2035</v>
      </c>
      <c r="D397" s="82" t="s">
        <v>2036</v>
      </c>
      <c r="F397" s="83">
        <v>45959.0</v>
      </c>
      <c r="G397" s="84" t="s">
        <v>2327</v>
      </c>
      <c r="H397" s="82" t="s">
        <v>2035</v>
      </c>
      <c r="I397" s="83">
        <v>45950.0</v>
      </c>
    </row>
    <row r="398" ht="22.5" hidden="1" customHeight="1">
      <c r="A398" s="81">
        <v>45951.395980127316</v>
      </c>
      <c r="B398" s="82" t="s">
        <v>699</v>
      </c>
      <c r="C398" s="82" t="s">
        <v>2035</v>
      </c>
      <c r="D398" s="82" t="s">
        <v>2036</v>
      </c>
      <c r="F398" s="83">
        <v>45959.0</v>
      </c>
      <c r="G398" s="84" t="s">
        <v>2328</v>
      </c>
      <c r="H398" s="82" t="s">
        <v>2035</v>
      </c>
      <c r="I398" s="83">
        <v>45950.0</v>
      </c>
    </row>
    <row r="399" ht="22.5" hidden="1" customHeight="1">
      <c r="A399" s="81">
        <v>45951.42963747685</v>
      </c>
      <c r="B399" s="82" t="s">
        <v>450</v>
      </c>
      <c r="C399" s="82" t="s">
        <v>81</v>
      </c>
      <c r="D399" s="82" t="s">
        <v>85</v>
      </c>
      <c r="H399" s="82" t="s">
        <v>2035</v>
      </c>
      <c r="I399" s="83">
        <v>45951.0</v>
      </c>
    </row>
    <row r="400" ht="22.5" hidden="1" customHeight="1">
      <c r="A400" s="81">
        <v>45951.60452158564</v>
      </c>
      <c r="B400" s="82" t="s">
        <v>742</v>
      </c>
      <c r="C400" s="82" t="s">
        <v>81</v>
      </c>
      <c r="D400" s="82" t="s">
        <v>2034</v>
      </c>
      <c r="H400" s="82" t="s">
        <v>2035</v>
      </c>
      <c r="I400" s="83">
        <v>45951.0</v>
      </c>
    </row>
    <row r="401" ht="22.5" hidden="1" customHeight="1">
      <c r="A401" s="81">
        <v>45951.60481959491</v>
      </c>
      <c r="B401" s="82" t="s">
        <v>743</v>
      </c>
      <c r="C401" s="82" t="s">
        <v>2035</v>
      </c>
      <c r="D401" s="82" t="s">
        <v>2034</v>
      </c>
      <c r="H401" s="82" t="s">
        <v>2035</v>
      </c>
      <c r="I401" s="83">
        <v>45951.0</v>
      </c>
    </row>
    <row r="402" ht="22.5" hidden="1" customHeight="1">
      <c r="A402" s="81">
        <v>45951.60534616898</v>
      </c>
      <c r="B402" s="82" t="s">
        <v>744</v>
      </c>
      <c r="C402" s="82" t="s">
        <v>81</v>
      </c>
      <c r="D402" s="82" t="s">
        <v>2034</v>
      </c>
      <c r="H402" s="82" t="s">
        <v>2035</v>
      </c>
      <c r="I402" s="83">
        <v>45951.0</v>
      </c>
    </row>
    <row r="403" ht="22.5" hidden="1" customHeight="1">
      <c r="A403" s="81">
        <v>45951.681724560185</v>
      </c>
      <c r="B403" s="82" t="s">
        <v>745</v>
      </c>
      <c r="C403" s="82" t="s">
        <v>81</v>
      </c>
      <c r="D403" s="82" t="s">
        <v>2034</v>
      </c>
      <c r="H403" s="82" t="s">
        <v>2035</v>
      </c>
      <c r="I403" s="83">
        <v>45951.0</v>
      </c>
    </row>
    <row r="404" ht="22.5" hidden="1" customHeight="1">
      <c r="A404" s="81">
        <v>45951.682494340275</v>
      </c>
      <c r="B404" s="82" t="s">
        <v>746</v>
      </c>
      <c r="C404" s="82" t="s">
        <v>81</v>
      </c>
      <c r="D404" s="82" t="s">
        <v>2034</v>
      </c>
      <c r="H404" s="82" t="s">
        <v>2035</v>
      </c>
      <c r="I404" s="83">
        <v>45951.0</v>
      </c>
    </row>
    <row r="405" ht="22.5" hidden="1" customHeight="1">
      <c r="A405" s="81">
        <v>45951.68355265046</v>
      </c>
      <c r="B405" s="82" t="s">
        <v>752</v>
      </c>
      <c r="C405" s="82" t="s">
        <v>81</v>
      </c>
      <c r="D405" s="82" t="s">
        <v>2034</v>
      </c>
      <c r="H405" s="82" t="s">
        <v>2035</v>
      </c>
      <c r="I405" s="83">
        <v>45951.0</v>
      </c>
    </row>
    <row r="406" ht="22.5" hidden="1" customHeight="1">
      <c r="A406" s="81">
        <v>45951.683901111115</v>
      </c>
      <c r="B406" s="82" t="s">
        <v>753</v>
      </c>
      <c r="C406" s="82" t="s">
        <v>81</v>
      </c>
      <c r="D406" s="82" t="s">
        <v>2034</v>
      </c>
      <c r="H406" s="82" t="s">
        <v>2035</v>
      </c>
      <c r="I406" s="83">
        <v>45951.0</v>
      </c>
    </row>
    <row r="407" ht="22.5" hidden="1" customHeight="1">
      <c r="A407" s="81">
        <v>45951.68418503473</v>
      </c>
      <c r="B407" s="82" t="s">
        <v>754</v>
      </c>
      <c r="C407" s="82" t="s">
        <v>81</v>
      </c>
      <c r="D407" s="82" t="s">
        <v>2034</v>
      </c>
      <c r="H407" s="82" t="s">
        <v>2035</v>
      </c>
      <c r="I407" s="83">
        <v>45951.0</v>
      </c>
    </row>
    <row r="408" ht="22.5" hidden="1" customHeight="1">
      <c r="A408" s="81">
        <v>45951.68457625</v>
      </c>
      <c r="B408" s="82" t="s">
        <v>755</v>
      </c>
      <c r="C408" s="82" t="s">
        <v>81</v>
      </c>
      <c r="D408" s="82" t="s">
        <v>2034</v>
      </c>
      <c r="H408" s="82" t="s">
        <v>2035</v>
      </c>
      <c r="I408" s="83">
        <v>45951.0</v>
      </c>
    </row>
    <row r="409" ht="22.5" hidden="1" customHeight="1">
      <c r="A409" s="81">
        <v>45951.684831770835</v>
      </c>
      <c r="B409" s="82" t="s">
        <v>756</v>
      </c>
      <c r="C409" s="82" t="s">
        <v>81</v>
      </c>
      <c r="D409" s="82" t="s">
        <v>2034</v>
      </c>
      <c r="H409" s="82" t="s">
        <v>2035</v>
      </c>
      <c r="I409" s="83">
        <v>45951.0</v>
      </c>
    </row>
    <row r="410" ht="22.5" hidden="1" customHeight="1">
      <c r="A410" s="81">
        <v>45951.68810825232</v>
      </c>
      <c r="B410" s="82" t="s">
        <v>471</v>
      </c>
      <c r="C410" s="82" t="s">
        <v>2035</v>
      </c>
      <c r="D410" s="82" t="s">
        <v>2036</v>
      </c>
      <c r="F410" s="83">
        <v>45960.0</v>
      </c>
      <c r="G410" s="84" t="s">
        <v>2329</v>
      </c>
      <c r="H410" s="82" t="s">
        <v>2035</v>
      </c>
      <c r="I410" s="83">
        <v>45951.0</v>
      </c>
    </row>
    <row r="411" ht="22.5" hidden="1" customHeight="1">
      <c r="A411" s="81">
        <v>45951.68933277778</v>
      </c>
      <c r="B411" s="82" t="s">
        <v>726</v>
      </c>
      <c r="C411" s="82" t="s">
        <v>2035</v>
      </c>
      <c r="D411" s="82" t="s">
        <v>2036</v>
      </c>
      <c r="F411" s="83">
        <v>45960.0</v>
      </c>
      <c r="G411" s="84" t="s">
        <v>2330</v>
      </c>
      <c r="H411" s="82" t="s">
        <v>2035</v>
      </c>
      <c r="I411" s="83">
        <v>45951.0</v>
      </c>
    </row>
    <row r="412" ht="22.5" hidden="1" customHeight="1">
      <c r="A412" s="81">
        <v>45951.69033055556</v>
      </c>
      <c r="B412" s="82" t="s">
        <v>621</v>
      </c>
      <c r="C412" s="82" t="s">
        <v>2035</v>
      </c>
      <c r="D412" s="82" t="s">
        <v>2036</v>
      </c>
      <c r="F412" s="83">
        <v>45960.0</v>
      </c>
      <c r="G412" s="84" t="s">
        <v>2331</v>
      </c>
      <c r="H412" s="82" t="s">
        <v>2035</v>
      </c>
      <c r="I412" s="83">
        <v>45951.0</v>
      </c>
    </row>
    <row r="413" ht="22.5" hidden="1" customHeight="1">
      <c r="A413" s="81">
        <v>45951.69099150463</v>
      </c>
      <c r="B413" s="82" t="s">
        <v>722</v>
      </c>
      <c r="C413" s="82" t="s">
        <v>2035</v>
      </c>
      <c r="D413" s="82" t="s">
        <v>2036</v>
      </c>
      <c r="F413" s="83">
        <v>45960.0</v>
      </c>
      <c r="G413" s="84" t="s">
        <v>2332</v>
      </c>
      <c r="H413" s="82" t="s">
        <v>2035</v>
      </c>
      <c r="I413" s="83">
        <v>45951.0</v>
      </c>
    </row>
    <row r="414" ht="22.5" hidden="1" customHeight="1">
      <c r="A414" s="81">
        <v>45951.69354461806</v>
      </c>
      <c r="B414" s="82" t="s">
        <v>648</v>
      </c>
      <c r="C414" s="82" t="s">
        <v>2035</v>
      </c>
      <c r="D414" s="82" t="s">
        <v>2036</v>
      </c>
      <c r="F414" s="83">
        <v>45960.0</v>
      </c>
      <c r="G414" s="84" t="s">
        <v>2333</v>
      </c>
      <c r="H414" s="82" t="s">
        <v>2035</v>
      </c>
      <c r="I414" s="83">
        <v>45951.0</v>
      </c>
    </row>
    <row r="415" ht="22.5" hidden="1" customHeight="1">
      <c r="A415" s="81">
        <v>45951.693935902775</v>
      </c>
      <c r="B415" s="82" t="s">
        <v>568</v>
      </c>
      <c r="C415" s="82" t="s">
        <v>2035</v>
      </c>
      <c r="D415" s="82" t="s">
        <v>2036</v>
      </c>
      <c r="F415" s="83">
        <v>45960.0</v>
      </c>
      <c r="G415" s="84" t="s">
        <v>2334</v>
      </c>
      <c r="H415" s="82" t="s">
        <v>2035</v>
      </c>
      <c r="I415" s="83">
        <v>45951.0</v>
      </c>
    </row>
    <row r="416" ht="22.5" hidden="1" customHeight="1">
      <c r="A416" s="81">
        <v>45951.6949837037</v>
      </c>
      <c r="B416" s="82" t="s">
        <v>637</v>
      </c>
      <c r="C416" s="82" t="s">
        <v>2035</v>
      </c>
      <c r="D416" s="82" t="s">
        <v>2036</v>
      </c>
      <c r="F416" s="83">
        <v>45960.0</v>
      </c>
      <c r="G416" s="84" t="s">
        <v>2335</v>
      </c>
      <c r="H416" s="82" t="s">
        <v>2035</v>
      </c>
      <c r="I416" s="83">
        <v>45951.0</v>
      </c>
    </row>
    <row r="417" ht="22.5" hidden="1" customHeight="1">
      <c r="A417" s="81">
        <v>45951.696483645836</v>
      </c>
      <c r="B417" s="82" t="s">
        <v>635</v>
      </c>
      <c r="C417" s="82" t="s">
        <v>2035</v>
      </c>
      <c r="D417" s="82" t="s">
        <v>2036</v>
      </c>
      <c r="F417" s="83">
        <v>45960.0</v>
      </c>
      <c r="G417" s="84" t="s">
        <v>2336</v>
      </c>
      <c r="H417" s="82" t="s">
        <v>2035</v>
      </c>
      <c r="I417" s="83">
        <v>45951.0</v>
      </c>
    </row>
    <row r="418" ht="22.5" hidden="1" customHeight="1">
      <c r="A418" s="81">
        <v>45951.701266759264</v>
      </c>
      <c r="B418" s="82" t="s">
        <v>608</v>
      </c>
      <c r="C418" s="82" t="s">
        <v>2035</v>
      </c>
      <c r="D418" s="82" t="s">
        <v>2036</v>
      </c>
      <c r="F418" s="83">
        <v>45960.0</v>
      </c>
      <c r="G418" s="84" t="s">
        <v>2337</v>
      </c>
      <c r="H418" s="82" t="s">
        <v>2035</v>
      </c>
      <c r="I418" s="83">
        <v>45951.0</v>
      </c>
    </row>
    <row r="419" ht="22.5" hidden="1" customHeight="1">
      <c r="A419" s="81">
        <v>45951.7018168287</v>
      </c>
      <c r="B419" s="82" t="s">
        <v>760</v>
      </c>
      <c r="C419" s="82" t="s">
        <v>81</v>
      </c>
      <c r="D419" s="82" t="s">
        <v>2034</v>
      </c>
      <c r="H419" s="82" t="s">
        <v>2035</v>
      </c>
      <c r="I419" s="83">
        <v>45951.0</v>
      </c>
    </row>
    <row r="420" ht="22.5" hidden="1" customHeight="1">
      <c r="A420" s="81">
        <v>45952.50671356481</v>
      </c>
      <c r="B420" s="82" t="s">
        <v>233</v>
      </c>
      <c r="C420" s="82" t="s">
        <v>2038</v>
      </c>
      <c r="D420" s="82" t="s">
        <v>2034</v>
      </c>
      <c r="H420" s="82" t="s">
        <v>2035</v>
      </c>
      <c r="I420" s="83">
        <v>45951.0</v>
      </c>
      <c r="J420" s="84" t="s">
        <v>2338</v>
      </c>
    </row>
    <row r="421" ht="22.5" hidden="1" customHeight="1">
      <c r="A421" s="81">
        <v>45952.72112402778</v>
      </c>
      <c r="B421" s="82" t="s">
        <v>747</v>
      </c>
      <c r="C421" s="82" t="s">
        <v>2035</v>
      </c>
      <c r="D421" s="82" t="s">
        <v>2036</v>
      </c>
      <c r="F421" s="83">
        <v>45961.0</v>
      </c>
      <c r="G421" s="84" t="s">
        <v>2339</v>
      </c>
      <c r="H421" s="82" t="s">
        <v>2035</v>
      </c>
      <c r="I421" s="83">
        <v>45952.0</v>
      </c>
    </row>
    <row r="422" ht="22.5" hidden="1" customHeight="1">
      <c r="A422" s="81">
        <v>45952.72170952546</v>
      </c>
      <c r="B422" s="82" t="s">
        <v>369</v>
      </c>
      <c r="C422" s="82" t="s">
        <v>2035</v>
      </c>
      <c r="D422" s="82" t="s">
        <v>2036</v>
      </c>
      <c r="F422" s="83">
        <v>45961.0</v>
      </c>
      <c r="G422" s="84" t="s">
        <v>2340</v>
      </c>
      <c r="H422" s="82" t="s">
        <v>2035</v>
      </c>
      <c r="I422" s="83">
        <v>45952.0</v>
      </c>
    </row>
    <row r="423" ht="22.5" hidden="1" customHeight="1">
      <c r="A423" s="81">
        <v>45952.72218787037</v>
      </c>
      <c r="B423" s="82" t="s">
        <v>738</v>
      </c>
      <c r="C423" s="82" t="s">
        <v>2035</v>
      </c>
      <c r="D423" s="82" t="s">
        <v>2036</v>
      </c>
      <c r="F423" s="83">
        <v>45961.0</v>
      </c>
      <c r="G423" s="84" t="s">
        <v>2341</v>
      </c>
      <c r="H423" s="82" t="s">
        <v>2035</v>
      </c>
      <c r="I423" s="83">
        <v>45952.0</v>
      </c>
    </row>
    <row r="424" ht="22.5" hidden="1" customHeight="1">
      <c r="A424" s="81">
        <v>45952.722585358795</v>
      </c>
      <c r="B424" s="82" t="s">
        <v>573</v>
      </c>
      <c r="C424" s="82" t="s">
        <v>2035</v>
      </c>
      <c r="D424" s="82" t="s">
        <v>2036</v>
      </c>
      <c r="F424" s="83">
        <v>45961.0</v>
      </c>
      <c r="G424" s="84" t="s">
        <v>2342</v>
      </c>
      <c r="H424" s="82" t="s">
        <v>2035</v>
      </c>
      <c r="I424" s="83">
        <v>45952.0</v>
      </c>
    </row>
    <row r="425" ht="22.5" hidden="1" customHeight="1">
      <c r="A425" s="81">
        <v>45952.723147662036</v>
      </c>
      <c r="B425" s="82" t="s">
        <v>704</v>
      </c>
      <c r="C425" s="82" t="s">
        <v>2035</v>
      </c>
      <c r="D425" s="82" t="s">
        <v>2036</v>
      </c>
      <c r="F425" s="83">
        <v>45961.0</v>
      </c>
      <c r="G425" s="84" t="s">
        <v>2343</v>
      </c>
      <c r="H425" s="82" t="s">
        <v>2035</v>
      </c>
      <c r="I425" s="83">
        <v>45952.0</v>
      </c>
    </row>
    <row r="426" ht="22.5" hidden="1" customHeight="1">
      <c r="A426" s="81">
        <v>45952.72352467592</v>
      </c>
      <c r="B426" s="82" t="s">
        <v>615</v>
      </c>
      <c r="C426" s="82" t="s">
        <v>2035</v>
      </c>
      <c r="D426" s="82" t="s">
        <v>2036</v>
      </c>
      <c r="F426" s="83">
        <v>45961.0</v>
      </c>
      <c r="G426" s="84" t="s">
        <v>2344</v>
      </c>
      <c r="H426" s="82" t="s">
        <v>2035</v>
      </c>
      <c r="I426" s="83">
        <v>45952.0</v>
      </c>
    </row>
    <row r="427" ht="22.5" hidden="1" customHeight="1">
      <c r="A427" s="81">
        <v>45953.45436459491</v>
      </c>
      <c r="B427" s="82" t="s">
        <v>757</v>
      </c>
      <c r="C427" s="82" t="s">
        <v>2035</v>
      </c>
      <c r="D427" s="82" t="s">
        <v>2036</v>
      </c>
      <c r="F427" s="83">
        <v>45964.0</v>
      </c>
      <c r="G427" s="84" t="s">
        <v>2345</v>
      </c>
      <c r="H427" s="82" t="s">
        <v>2035</v>
      </c>
      <c r="I427" s="83">
        <v>45953.0</v>
      </c>
    </row>
    <row r="428" ht="22.5" hidden="1" customHeight="1">
      <c r="A428" s="81">
        <v>45953.4548112037</v>
      </c>
      <c r="B428" s="82" t="s">
        <v>673</v>
      </c>
      <c r="C428" s="82" t="s">
        <v>2035</v>
      </c>
      <c r="D428" s="82" t="s">
        <v>2036</v>
      </c>
      <c r="F428" s="83">
        <v>45964.0</v>
      </c>
      <c r="G428" s="84" t="s">
        <v>2346</v>
      </c>
      <c r="H428" s="82" t="s">
        <v>2035</v>
      </c>
      <c r="I428" s="83">
        <v>45953.0</v>
      </c>
    </row>
    <row r="429" ht="22.5" hidden="1" customHeight="1">
      <c r="A429" s="81">
        <v>45954.467364502314</v>
      </c>
      <c r="B429" s="82" t="s">
        <v>495</v>
      </c>
      <c r="C429" s="82" t="s">
        <v>2038</v>
      </c>
      <c r="D429" s="82" t="s">
        <v>2034</v>
      </c>
      <c r="H429" s="82" t="s">
        <v>2035</v>
      </c>
      <c r="I429" s="83">
        <v>45953.0</v>
      </c>
      <c r="J429" s="84" t="s">
        <v>2347</v>
      </c>
    </row>
    <row r="430" ht="22.5" hidden="1" customHeight="1">
      <c r="A430" s="81">
        <v>45954.468841863425</v>
      </c>
      <c r="B430" s="82" t="s">
        <v>605</v>
      </c>
      <c r="C430" s="82" t="s">
        <v>2038</v>
      </c>
      <c r="D430" s="82" t="s">
        <v>2034</v>
      </c>
      <c r="H430" s="82" t="s">
        <v>2035</v>
      </c>
      <c r="I430" s="83">
        <v>45953.0</v>
      </c>
      <c r="J430" s="84" t="s">
        <v>2348</v>
      </c>
    </row>
    <row r="431" ht="22.5" hidden="1" customHeight="1">
      <c r="A431" s="81">
        <v>45954.47014936343</v>
      </c>
      <c r="B431" s="82" t="s">
        <v>728</v>
      </c>
      <c r="C431" s="82" t="s">
        <v>2038</v>
      </c>
      <c r="D431" s="82" t="s">
        <v>2034</v>
      </c>
      <c r="H431" s="82" t="s">
        <v>2035</v>
      </c>
      <c r="I431" s="83">
        <v>45953.0</v>
      </c>
      <c r="J431" s="84" t="s">
        <v>2349</v>
      </c>
    </row>
    <row r="432" ht="22.5" hidden="1" customHeight="1">
      <c r="A432" s="81">
        <v>45954.47085827547</v>
      </c>
      <c r="B432" s="82" t="s">
        <v>497</v>
      </c>
      <c r="C432" s="82" t="s">
        <v>2038</v>
      </c>
      <c r="D432" s="82" t="s">
        <v>2034</v>
      </c>
      <c r="H432" s="82" t="s">
        <v>2035</v>
      </c>
      <c r="I432" s="83">
        <v>45953.0</v>
      </c>
      <c r="J432" s="84" t="s">
        <v>2350</v>
      </c>
    </row>
    <row r="433" ht="22.5" hidden="1" customHeight="1">
      <c r="A433" s="81">
        <v>45955.46673888889</v>
      </c>
      <c r="B433" s="82" t="s">
        <v>762</v>
      </c>
      <c r="C433" s="82" t="s">
        <v>2035</v>
      </c>
      <c r="D433" s="82" t="s">
        <v>2036</v>
      </c>
      <c r="F433" s="83">
        <v>45966.0</v>
      </c>
      <c r="G433" s="84" t="s">
        <v>2351</v>
      </c>
      <c r="H433" s="82" t="s">
        <v>2035</v>
      </c>
      <c r="I433" s="83">
        <v>45955.0</v>
      </c>
    </row>
    <row r="434" ht="22.5" hidden="1" customHeight="1">
      <c r="A434" s="81">
        <v>45955.47310054398</v>
      </c>
      <c r="B434" s="82" t="s">
        <v>576</v>
      </c>
      <c r="C434" s="82" t="s">
        <v>2035</v>
      </c>
      <c r="D434" s="82" t="s">
        <v>2036</v>
      </c>
      <c r="F434" s="83">
        <v>45966.0</v>
      </c>
      <c r="G434" s="84" t="s">
        <v>2352</v>
      </c>
      <c r="H434" s="82" t="s">
        <v>2035</v>
      </c>
      <c r="I434" s="83">
        <v>45955.0</v>
      </c>
    </row>
    <row r="435" ht="22.5" hidden="1" customHeight="1">
      <c r="A435" s="81">
        <v>45955.47740386574</v>
      </c>
      <c r="B435" s="82" t="s">
        <v>740</v>
      </c>
      <c r="C435" s="82" t="s">
        <v>2035</v>
      </c>
      <c r="D435" s="82" t="s">
        <v>2036</v>
      </c>
      <c r="F435" s="83">
        <v>45966.0</v>
      </c>
      <c r="G435" s="84" t="s">
        <v>2353</v>
      </c>
      <c r="H435" s="82" t="s">
        <v>2035</v>
      </c>
      <c r="I435" s="83">
        <v>45955.0</v>
      </c>
    </row>
    <row r="436" ht="22.5" hidden="1" customHeight="1">
      <c r="A436" s="81">
        <v>45955.48143112268</v>
      </c>
      <c r="B436" s="82" t="s">
        <v>770</v>
      </c>
      <c r="C436" s="82" t="s">
        <v>81</v>
      </c>
      <c r="D436" s="82" t="s">
        <v>2034</v>
      </c>
      <c r="H436" s="82" t="s">
        <v>2035</v>
      </c>
      <c r="I436" s="83">
        <v>45955.0</v>
      </c>
    </row>
    <row r="437" ht="22.5" hidden="1" customHeight="1">
      <c r="A437" s="81">
        <v>45955.48170877315</v>
      </c>
      <c r="B437" s="82" t="s">
        <v>771</v>
      </c>
      <c r="C437" s="82" t="s">
        <v>81</v>
      </c>
      <c r="D437" s="82" t="s">
        <v>2034</v>
      </c>
      <c r="H437" s="82" t="s">
        <v>2035</v>
      </c>
      <c r="I437" s="83">
        <v>45955.0</v>
      </c>
    </row>
    <row r="438" ht="22.5" hidden="1" customHeight="1">
      <c r="A438" s="81">
        <v>45955.482033831024</v>
      </c>
      <c r="B438" s="82" t="s">
        <v>773</v>
      </c>
      <c r="C438" s="82" t="s">
        <v>81</v>
      </c>
      <c r="D438" s="82" t="s">
        <v>2034</v>
      </c>
      <c r="H438" s="82" t="s">
        <v>2035</v>
      </c>
      <c r="I438" s="83">
        <v>45955.0</v>
      </c>
    </row>
    <row r="439" ht="22.5" hidden="1" customHeight="1">
      <c r="A439" s="81">
        <v>45955.482441134256</v>
      </c>
      <c r="B439" s="82" t="s">
        <v>774</v>
      </c>
      <c r="C439" s="82" t="s">
        <v>81</v>
      </c>
      <c r="D439" s="82" t="s">
        <v>2034</v>
      </c>
      <c r="H439" s="82" t="s">
        <v>2035</v>
      </c>
      <c r="I439" s="83">
        <v>45955.0</v>
      </c>
    </row>
    <row r="440" ht="22.5" hidden="1" customHeight="1">
      <c r="A440" s="81">
        <v>45955.48273938657</v>
      </c>
      <c r="B440" s="82" t="s">
        <v>775</v>
      </c>
      <c r="C440" s="82" t="s">
        <v>81</v>
      </c>
      <c r="D440" s="82" t="s">
        <v>2034</v>
      </c>
      <c r="H440" s="82" t="s">
        <v>2035</v>
      </c>
      <c r="I440" s="83">
        <v>45955.0</v>
      </c>
    </row>
    <row r="441" ht="22.5" hidden="1" customHeight="1">
      <c r="A441" s="81">
        <v>45955.48310324074</v>
      </c>
      <c r="B441" s="82" t="s">
        <v>776</v>
      </c>
      <c r="C441" s="82" t="s">
        <v>81</v>
      </c>
      <c r="D441" s="82" t="s">
        <v>2034</v>
      </c>
      <c r="H441" s="82" t="s">
        <v>2035</v>
      </c>
      <c r="I441" s="83">
        <v>45955.0</v>
      </c>
    </row>
    <row r="442" ht="22.5" hidden="1" customHeight="1">
      <c r="A442" s="81">
        <v>45955.48363702546</v>
      </c>
      <c r="B442" s="82" t="s">
        <v>777</v>
      </c>
      <c r="C442" s="82" t="s">
        <v>81</v>
      </c>
      <c r="D442" s="82" t="s">
        <v>2034</v>
      </c>
      <c r="H442" s="82" t="s">
        <v>2035</v>
      </c>
      <c r="I442" s="83">
        <v>45955.0</v>
      </c>
    </row>
    <row r="443" ht="22.5" hidden="1" customHeight="1">
      <c r="A443" s="81">
        <v>45955.55276186342</v>
      </c>
      <c r="B443" s="82" t="s">
        <v>2354</v>
      </c>
      <c r="C443" s="82" t="s">
        <v>2035</v>
      </c>
      <c r="D443" s="82" t="s">
        <v>2036</v>
      </c>
      <c r="F443" s="83">
        <v>45966.0</v>
      </c>
      <c r="G443" s="84" t="s">
        <v>2355</v>
      </c>
      <c r="H443" s="82" t="s">
        <v>2035</v>
      </c>
      <c r="I443" s="83">
        <v>45955.0</v>
      </c>
    </row>
    <row r="444" ht="22.5" hidden="1" customHeight="1">
      <c r="A444" s="81">
        <v>45955.553206296296</v>
      </c>
      <c r="B444" s="82" t="s">
        <v>2356</v>
      </c>
      <c r="C444" s="82" t="s">
        <v>2035</v>
      </c>
      <c r="D444" s="82" t="s">
        <v>2036</v>
      </c>
      <c r="F444" s="83">
        <v>45966.0</v>
      </c>
      <c r="G444" s="84" t="s">
        <v>2357</v>
      </c>
      <c r="H444" s="82" t="s">
        <v>2035</v>
      </c>
      <c r="I444" s="83">
        <v>45955.0</v>
      </c>
    </row>
    <row r="445" ht="22.5" hidden="1" customHeight="1">
      <c r="A445" s="81">
        <v>45957.64991759259</v>
      </c>
      <c r="B445" s="82" t="s">
        <v>548</v>
      </c>
      <c r="C445" s="82" t="s">
        <v>2035</v>
      </c>
      <c r="D445" s="82" t="s">
        <v>2036</v>
      </c>
      <c r="F445" s="83">
        <v>45966.0</v>
      </c>
      <c r="G445" s="84" t="s">
        <v>2358</v>
      </c>
      <c r="H445" s="82" t="s">
        <v>2035</v>
      </c>
      <c r="I445" s="83">
        <v>45957.0</v>
      </c>
    </row>
    <row r="446" ht="22.5" hidden="1" customHeight="1">
      <c r="A446" s="81">
        <v>45957.65763741898</v>
      </c>
      <c r="B446" s="82" t="s">
        <v>778</v>
      </c>
      <c r="C446" s="82" t="s">
        <v>2035</v>
      </c>
      <c r="D446" s="82" t="s">
        <v>2036</v>
      </c>
      <c r="F446" s="83">
        <v>45966.0</v>
      </c>
      <c r="G446" s="84" t="s">
        <v>2359</v>
      </c>
      <c r="H446" s="82" t="s">
        <v>2035</v>
      </c>
      <c r="I446" s="83">
        <v>45957.0</v>
      </c>
    </row>
    <row r="447" ht="22.5" hidden="1" customHeight="1">
      <c r="A447" s="81">
        <v>45957.661289525466</v>
      </c>
      <c r="B447" s="82" t="s">
        <v>696</v>
      </c>
      <c r="C447" s="82" t="s">
        <v>2035</v>
      </c>
      <c r="D447" s="82" t="s">
        <v>2036</v>
      </c>
      <c r="F447" s="83">
        <v>45966.0</v>
      </c>
      <c r="G447" s="84" t="s">
        <v>2360</v>
      </c>
      <c r="H447" s="82" t="s">
        <v>2035</v>
      </c>
      <c r="I447" s="83">
        <v>45957.0</v>
      </c>
    </row>
    <row r="448" ht="22.5" hidden="1" customHeight="1">
      <c r="A448" s="81">
        <v>45957.663873240745</v>
      </c>
      <c r="B448" s="82" t="s">
        <v>657</v>
      </c>
      <c r="C448" s="82" t="s">
        <v>2035</v>
      </c>
      <c r="D448" s="82" t="s">
        <v>2036</v>
      </c>
      <c r="F448" s="83">
        <v>45966.0</v>
      </c>
      <c r="G448" s="84" t="s">
        <v>2361</v>
      </c>
      <c r="H448" s="82" t="s">
        <v>2035</v>
      </c>
      <c r="I448" s="83">
        <v>45957.0</v>
      </c>
    </row>
    <row r="449" ht="22.5" hidden="1" customHeight="1">
      <c r="A449" s="81">
        <v>45957.66536270833</v>
      </c>
      <c r="B449" s="82" t="s">
        <v>750</v>
      </c>
      <c r="C449" s="82" t="s">
        <v>2035</v>
      </c>
      <c r="D449" s="82" t="s">
        <v>2036</v>
      </c>
      <c r="F449" s="83">
        <v>45966.0</v>
      </c>
      <c r="G449" s="84" t="s">
        <v>2362</v>
      </c>
      <c r="H449" s="82" t="s">
        <v>2035</v>
      </c>
      <c r="I449" s="83">
        <v>45957.0</v>
      </c>
    </row>
    <row r="450" ht="22.5" hidden="1" customHeight="1">
      <c r="A450" s="81">
        <v>45957.66611697916</v>
      </c>
      <c r="B450" s="82" t="s">
        <v>769</v>
      </c>
      <c r="C450" s="82" t="s">
        <v>2035</v>
      </c>
      <c r="D450" s="82" t="s">
        <v>2036</v>
      </c>
      <c r="F450" s="83">
        <v>45966.0</v>
      </c>
      <c r="G450" s="84" t="s">
        <v>2363</v>
      </c>
      <c r="H450" s="82" t="s">
        <v>2035</v>
      </c>
      <c r="I450" s="83">
        <v>45957.0</v>
      </c>
    </row>
    <row r="451" ht="22.5" hidden="1" customHeight="1">
      <c r="A451" s="81">
        <v>45957.666545451386</v>
      </c>
      <c r="B451" s="82" t="s">
        <v>781</v>
      </c>
      <c r="C451" s="82" t="s">
        <v>81</v>
      </c>
      <c r="D451" s="82" t="s">
        <v>2034</v>
      </c>
      <c r="H451" s="82" t="s">
        <v>2035</v>
      </c>
      <c r="I451" s="83">
        <v>45957.0</v>
      </c>
    </row>
    <row r="452" ht="22.5" hidden="1" customHeight="1">
      <c r="A452" s="81">
        <v>45957.66773006944</v>
      </c>
      <c r="B452" s="82" t="s">
        <v>782</v>
      </c>
      <c r="C452" s="82" t="s">
        <v>81</v>
      </c>
      <c r="D452" s="82" t="s">
        <v>2034</v>
      </c>
      <c r="H452" s="82" t="s">
        <v>2035</v>
      </c>
      <c r="I452" s="83">
        <v>45957.0</v>
      </c>
    </row>
    <row r="453" ht="22.5" hidden="1" customHeight="1">
      <c r="A453" s="81">
        <v>45957.66952739583</v>
      </c>
      <c r="B453" s="82" t="s">
        <v>765</v>
      </c>
      <c r="C453" s="82" t="s">
        <v>2035</v>
      </c>
      <c r="D453" s="82" t="s">
        <v>2036</v>
      </c>
      <c r="F453" s="83">
        <v>45966.0</v>
      </c>
      <c r="G453" s="84" t="s">
        <v>2364</v>
      </c>
      <c r="H453" s="82" t="s">
        <v>2035</v>
      </c>
      <c r="I453" s="83">
        <v>45955.0</v>
      </c>
    </row>
    <row r="454" ht="22.5" hidden="1" customHeight="1">
      <c r="A454" s="81">
        <v>45957.669893819446</v>
      </c>
      <c r="B454" s="82" t="s">
        <v>766</v>
      </c>
      <c r="C454" s="82" t="s">
        <v>2035</v>
      </c>
      <c r="D454" s="82" t="s">
        <v>2036</v>
      </c>
      <c r="F454" s="83">
        <v>45966.0</v>
      </c>
      <c r="G454" s="84" t="s">
        <v>2365</v>
      </c>
      <c r="H454" s="82" t="s">
        <v>2035</v>
      </c>
      <c r="I454" s="83">
        <v>45955.0</v>
      </c>
    </row>
    <row r="455" ht="22.5" hidden="1" customHeight="1">
      <c r="A455" s="81">
        <v>45958.39482689815</v>
      </c>
      <c r="B455" s="82" t="s">
        <v>715</v>
      </c>
      <c r="C455" s="82" t="s">
        <v>2035</v>
      </c>
      <c r="D455" s="82" t="s">
        <v>2036</v>
      </c>
      <c r="F455" s="83">
        <v>45967.0</v>
      </c>
      <c r="G455" s="84" t="s">
        <v>2366</v>
      </c>
      <c r="H455" s="82" t="s">
        <v>2035</v>
      </c>
      <c r="I455" s="83">
        <v>45958.0</v>
      </c>
    </row>
    <row r="456" ht="22.5" hidden="1" customHeight="1">
      <c r="A456" s="81">
        <v>45958.396053020835</v>
      </c>
      <c r="B456" s="82" t="s">
        <v>767</v>
      </c>
      <c r="C456" s="82" t="s">
        <v>2035</v>
      </c>
      <c r="D456" s="82" t="s">
        <v>2036</v>
      </c>
      <c r="F456" s="83">
        <v>45967.0</v>
      </c>
      <c r="G456" s="84" t="s">
        <v>2367</v>
      </c>
      <c r="H456" s="82" t="s">
        <v>2035</v>
      </c>
      <c r="I456" s="83">
        <v>45958.0</v>
      </c>
    </row>
    <row r="457" ht="22.5" hidden="1" customHeight="1">
      <c r="A457" s="81">
        <v>45958.3970609838</v>
      </c>
      <c r="B457" s="82" t="s">
        <v>772</v>
      </c>
      <c r="C457" s="82" t="s">
        <v>2035</v>
      </c>
      <c r="D457" s="82" t="s">
        <v>2036</v>
      </c>
      <c r="F457" s="83">
        <v>45967.0</v>
      </c>
      <c r="G457" s="84" t="s">
        <v>2368</v>
      </c>
      <c r="H457" s="82" t="s">
        <v>2035</v>
      </c>
      <c r="I457" s="83">
        <v>45958.0</v>
      </c>
    </row>
    <row r="458" ht="22.5" hidden="1" customHeight="1">
      <c r="A458" s="81">
        <v>45958.40087615741</v>
      </c>
      <c r="B458" s="82" t="s">
        <v>508</v>
      </c>
      <c r="C458" s="82" t="s">
        <v>2035</v>
      </c>
      <c r="D458" s="82" t="s">
        <v>2036</v>
      </c>
      <c r="F458" s="83">
        <v>45967.0</v>
      </c>
      <c r="G458" s="84" t="s">
        <v>2369</v>
      </c>
      <c r="H458" s="82" t="s">
        <v>2035</v>
      </c>
      <c r="I458" s="83">
        <v>45958.0</v>
      </c>
    </row>
    <row r="459" ht="22.5" hidden="1" customHeight="1">
      <c r="A459" s="81">
        <v>45960.3854131713</v>
      </c>
      <c r="B459" s="82" t="s">
        <v>559</v>
      </c>
      <c r="C459" s="82" t="s">
        <v>2038</v>
      </c>
      <c r="D459" s="82" t="s">
        <v>2036</v>
      </c>
      <c r="F459" s="83">
        <v>45968.0</v>
      </c>
      <c r="G459" s="84" t="s">
        <v>2370</v>
      </c>
      <c r="H459" s="82" t="s">
        <v>2035</v>
      </c>
      <c r="I459" s="83">
        <v>45959.0</v>
      </c>
    </row>
    <row r="460" ht="22.5" hidden="1" customHeight="1">
      <c r="A460" s="81">
        <v>45960.38587525463</v>
      </c>
      <c r="B460" s="82" t="s">
        <v>561</v>
      </c>
      <c r="C460" s="82" t="s">
        <v>2038</v>
      </c>
      <c r="D460" s="82" t="s">
        <v>2036</v>
      </c>
      <c r="F460" s="83">
        <v>45968.0</v>
      </c>
      <c r="G460" s="84" t="s">
        <v>2371</v>
      </c>
      <c r="H460" s="82" t="s">
        <v>2035</v>
      </c>
      <c r="I460" s="83">
        <v>45959.0</v>
      </c>
    </row>
    <row r="461" ht="22.5" hidden="1" customHeight="1">
      <c r="A461" s="81">
        <v>45960.386524664355</v>
      </c>
      <c r="B461" s="82" t="s">
        <v>631</v>
      </c>
      <c r="C461" s="82" t="s">
        <v>2038</v>
      </c>
      <c r="D461" s="82" t="s">
        <v>2036</v>
      </c>
      <c r="F461" s="83">
        <v>45968.0</v>
      </c>
      <c r="G461" s="84" t="s">
        <v>2372</v>
      </c>
      <c r="H461" s="82" t="s">
        <v>2035</v>
      </c>
      <c r="I461" s="83">
        <v>45959.0</v>
      </c>
    </row>
    <row r="462" ht="22.5" hidden="1" customHeight="1">
      <c r="A462" s="81">
        <v>45960.39585114583</v>
      </c>
      <c r="B462" s="82" t="s">
        <v>633</v>
      </c>
      <c r="C462" s="82" t="s">
        <v>2038</v>
      </c>
      <c r="D462" s="82" t="s">
        <v>2036</v>
      </c>
      <c r="F462" s="83">
        <v>45968.0</v>
      </c>
      <c r="G462" s="84" t="s">
        <v>2373</v>
      </c>
      <c r="H462" s="82" t="s">
        <v>2035</v>
      </c>
      <c r="I462" s="83">
        <v>45959.0</v>
      </c>
    </row>
    <row r="463" ht="22.5" hidden="1" customHeight="1">
      <c r="A463" s="81">
        <v>45960.39741684028</v>
      </c>
      <c r="B463" s="82" t="s">
        <v>637</v>
      </c>
      <c r="C463" s="82" t="s">
        <v>2038</v>
      </c>
      <c r="D463" s="82" t="s">
        <v>2036</v>
      </c>
      <c r="F463" s="83">
        <v>45968.0</v>
      </c>
      <c r="G463" s="84" t="s">
        <v>2374</v>
      </c>
      <c r="H463" s="82" t="s">
        <v>2035</v>
      </c>
      <c r="I463" s="83">
        <v>45959.0</v>
      </c>
    </row>
    <row r="464" ht="22.5" hidden="1" customHeight="1">
      <c r="A464" s="81">
        <v>45960.398420219906</v>
      </c>
      <c r="B464" s="82" t="s">
        <v>552</v>
      </c>
      <c r="C464" s="82" t="s">
        <v>2038</v>
      </c>
      <c r="D464" s="82" t="s">
        <v>2036</v>
      </c>
      <c r="F464" s="83">
        <v>45971.0</v>
      </c>
      <c r="G464" s="84" t="s">
        <v>2375</v>
      </c>
      <c r="H464" s="82" t="s">
        <v>2035</v>
      </c>
      <c r="I464" s="83">
        <v>45959.0</v>
      </c>
    </row>
    <row r="465" ht="22.5" hidden="1" customHeight="1">
      <c r="A465" s="81">
        <v>45960.40209591435</v>
      </c>
      <c r="B465" s="82" t="s">
        <v>565</v>
      </c>
      <c r="C465" s="82" t="s">
        <v>2038</v>
      </c>
      <c r="D465" s="82" t="s">
        <v>2036</v>
      </c>
      <c r="F465" s="83">
        <v>45971.0</v>
      </c>
      <c r="G465" s="84" t="s">
        <v>2376</v>
      </c>
      <c r="H465" s="82" t="s">
        <v>2035</v>
      </c>
      <c r="I465" s="83">
        <v>45959.0</v>
      </c>
    </row>
    <row r="466" ht="22.5" hidden="1" customHeight="1">
      <c r="A466" s="81">
        <v>45960.402902291666</v>
      </c>
      <c r="B466" s="82" t="s">
        <v>738</v>
      </c>
      <c r="C466" s="82" t="s">
        <v>2038</v>
      </c>
      <c r="D466" s="82" t="s">
        <v>2036</v>
      </c>
      <c r="F466" s="83">
        <v>45971.0</v>
      </c>
      <c r="G466" s="84" t="s">
        <v>2377</v>
      </c>
      <c r="H466" s="82" t="s">
        <v>2035</v>
      </c>
      <c r="I466" s="83">
        <v>45959.0</v>
      </c>
    </row>
    <row r="467" ht="22.5" hidden="1" customHeight="1">
      <c r="A467" s="81">
        <v>45960.40347428241</v>
      </c>
      <c r="B467" s="82" t="s">
        <v>471</v>
      </c>
      <c r="C467" s="82" t="s">
        <v>2038</v>
      </c>
      <c r="D467" s="82" t="s">
        <v>2036</v>
      </c>
      <c r="F467" s="83">
        <v>45971.0</v>
      </c>
      <c r="G467" s="84" t="s">
        <v>2378</v>
      </c>
      <c r="H467" s="82" t="s">
        <v>2035</v>
      </c>
      <c r="I467" s="83">
        <v>45959.0</v>
      </c>
    </row>
    <row r="468" ht="22.5" hidden="1" customHeight="1">
      <c r="A468" s="81">
        <v>45960.40389905093</v>
      </c>
      <c r="B468" s="82" t="s">
        <v>514</v>
      </c>
      <c r="C468" s="82" t="s">
        <v>2038</v>
      </c>
      <c r="D468" s="82" t="s">
        <v>2036</v>
      </c>
      <c r="F468" s="83">
        <v>45971.0</v>
      </c>
      <c r="G468" s="84" t="s">
        <v>2379</v>
      </c>
      <c r="H468" s="82" t="s">
        <v>2035</v>
      </c>
      <c r="I468" s="83">
        <v>45959.0</v>
      </c>
    </row>
    <row r="469" ht="22.5" hidden="1" customHeight="1">
      <c r="A469" s="81">
        <v>45960.46479600694</v>
      </c>
      <c r="B469" s="82" t="s">
        <v>661</v>
      </c>
      <c r="C469" s="82" t="s">
        <v>2038</v>
      </c>
      <c r="D469" s="82" t="s">
        <v>2036</v>
      </c>
      <c r="F469" s="83">
        <v>45972.0</v>
      </c>
      <c r="G469" s="84" t="s">
        <v>2380</v>
      </c>
      <c r="H469" s="82" t="s">
        <v>2035</v>
      </c>
      <c r="I469" s="83">
        <v>45960.0</v>
      </c>
    </row>
    <row r="470" ht="22.5" hidden="1" customHeight="1">
      <c r="A470" s="81">
        <v>45960.48094083334</v>
      </c>
      <c r="B470" s="82" t="s">
        <v>635</v>
      </c>
      <c r="C470" s="82" t="s">
        <v>2038</v>
      </c>
      <c r="D470" s="82" t="s">
        <v>2036</v>
      </c>
      <c r="F470" s="83">
        <v>45972.0</v>
      </c>
      <c r="G470" s="84" t="s">
        <v>2381</v>
      </c>
      <c r="H470" s="82" t="s">
        <v>2035</v>
      </c>
      <c r="I470" s="83">
        <v>45960.0</v>
      </c>
    </row>
    <row r="471" ht="22.5" hidden="1" customHeight="1">
      <c r="A471" s="81">
        <v>45960.48157636574</v>
      </c>
      <c r="B471" s="82" t="s">
        <v>571</v>
      </c>
      <c r="C471" s="82" t="s">
        <v>2038</v>
      </c>
      <c r="D471" s="82" t="s">
        <v>2036</v>
      </c>
      <c r="F471" s="83">
        <v>45972.0</v>
      </c>
      <c r="G471" s="84" t="s">
        <v>2382</v>
      </c>
      <c r="H471" s="82" t="s">
        <v>2035</v>
      </c>
      <c r="I471" s="83">
        <v>45960.0</v>
      </c>
    </row>
    <row r="472" ht="22.5" hidden="1" customHeight="1">
      <c r="A472" s="81">
        <v>45960.48199375</v>
      </c>
      <c r="B472" s="82" t="s">
        <v>556</v>
      </c>
      <c r="C472" s="82" t="s">
        <v>2038</v>
      </c>
      <c r="D472" s="82" t="s">
        <v>2036</v>
      </c>
      <c r="F472" s="83">
        <v>45972.0</v>
      </c>
      <c r="G472" s="84" t="s">
        <v>2383</v>
      </c>
      <c r="H472" s="82" t="s">
        <v>2035</v>
      </c>
      <c r="I472" s="83">
        <v>45960.0</v>
      </c>
    </row>
    <row r="473" ht="22.5" hidden="1" customHeight="1">
      <c r="A473" s="81">
        <v>45960.484833124996</v>
      </c>
      <c r="B473" s="82" t="s">
        <v>568</v>
      </c>
      <c r="C473" s="82" t="s">
        <v>2038</v>
      </c>
      <c r="D473" s="82" t="s">
        <v>2036</v>
      </c>
      <c r="F473" s="83">
        <v>45972.0</v>
      </c>
      <c r="G473" s="84" t="s">
        <v>2384</v>
      </c>
      <c r="H473" s="82" t="s">
        <v>2035</v>
      </c>
      <c r="I473" s="83">
        <v>45960.0</v>
      </c>
    </row>
    <row r="474" ht="22.5" hidden="1" customHeight="1">
      <c r="A474" s="81">
        <v>45960.70440787037</v>
      </c>
      <c r="B474" s="82" t="s">
        <v>568</v>
      </c>
      <c r="C474" s="82" t="s">
        <v>2038</v>
      </c>
      <c r="D474" s="82" t="s">
        <v>2036</v>
      </c>
      <c r="F474" s="83">
        <v>45972.0</v>
      </c>
      <c r="G474" s="84" t="s">
        <v>2385</v>
      </c>
      <c r="H474" s="82" t="s">
        <v>2035</v>
      </c>
      <c r="I474" s="83">
        <v>45960.0</v>
      </c>
    </row>
    <row r="475" ht="22.5" hidden="1" customHeight="1">
      <c r="A475" s="81">
        <v>45960.70743460648</v>
      </c>
      <c r="B475" s="82" t="s">
        <v>608</v>
      </c>
      <c r="C475" s="82" t="s">
        <v>2035</v>
      </c>
      <c r="D475" s="82" t="s">
        <v>2036</v>
      </c>
      <c r="F475" s="83">
        <v>45972.0</v>
      </c>
      <c r="G475" s="84" t="s">
        <v>2386</v>
      </c>
      <c r="H475" s="82" t="s">
        <v>2035</v>
      </c>
      <c r="I475" s="83">
        <v>45960.0</v>
      </c>
    </row>
    <row r="476" ht="22.5" hidden="1" customHeight="1">
      <c r="A476" s="81">
        <v>45960.7098955324</v>
      </c>
      <c r="B476" s="82" t="s">
        <v>621</v>
      </c>
      <c r="C476" s="82" t="s">
        <v>2035</v>
      </c>
      <c r="D476" s="82" t="s">
        <v>2036</v>
      </c>
      <c r="F476" s="83">
        <v>45972.0</v>
      </c>
      <c r="G476" s="84" t="s">
        <v>2387</v>
      </c>
      <c r="H476" s="82" t="s">
        <v>2035</v>
      </c>
      <c r="I476" s="83">
        <v>45960.0</v>
      </c>
    </row>
    <row r="477" ht="22.5" hidden="1" customHeight="1">
      <c r="A477" s="81">
        <v>45960.71040055556</v>
      </c>
      <c r="B477" s="82" t="s">
        <v>794</v>
      </c>
      <c r="C477" s="82" t="s">
        <v>2035</v>
      </c>
      <c r="D477" s="82" t="s">
        <v>2036</v>
      </c>
      <c r="F477" s="83">
        <v>45972.0</v>
      </c>
      <c r="G477" s="84" t="s">
        <v>2388</v>
      </c>
      <c r="H477" s="82" t="s">
        <v>2035</v>
      </c>
      <c r="I477" s="83">
        <v>45960.0</v>
      </c>
    </row>
    <row r="478" ht="22.5" hidden="1" customHeight="1">
      <c r="A478" s="81">
        <v>45960.71888303241</v>
      </c>
      <c r="B478" s="82" t="s">
        <v>737</v>
      </c>
      <c r="C478" s="82" t="s">
        <v>81</v>
      </c>
      <c r="D478" s="82" t="s">
        <v>2034</v>
      </c>
      <c r="H478" s="82" t="s">
        <v>2035</v>
      </c>
      <c r="I478" s="83">
        <v>45947.0</v>
      </c>
    </row>
    <row r="479" ht="22.5" hidden="1" customHeight="1">
      <c r="A479" s="81">
        <v>45960.71929630787</v>
      </c>
      <c r="B479" s="82" t="s">
        <v>787</v>
      </c>
      <c r="C479" s="82" t="s">
        <v>81</v>
      </c>
      <c r="D479" s="82" t="s">
        <v>2034</v>
      </c>
      <c r="H479" s="82" t="s">
        <v>2035</v>
      </c>
      <c r="I479" s="83">
        <v>45957.0</v>
      </c>
    </row>
    <row r="480" ht="22.5" hidden="1" customHeight="1">
      <c r="A480" s="81">
        <v>45960.7200075463</v>
      </c>
      <c r="B480" s="82" t="s">
        <v>788</v>
      </c>
      <c r="C480" s="82" t="s">
        <v>81</v>
      </c>
      <c r="D480" s="82" t="s">
        <v>2034</v>
      </c>
      <c r="H480" s="82" t="s">
        <v>2035</v>
      </c>
      <c r="I480" s="83">
        <v>45957.0</v>
      </c>
    </row>
    <row r="481" ht="22.5" hidden="1" customHeight="1">
      <c r="A481" s="81">
        <v>45960.720539305556</v>
      </c>
      <c r="B481" s="82" t="s">
        <v>790</v>
      </c>
      <c r="C481" s="82" t="s">
        <v>81</v>
      </c>
      <c r="D481" s="82" t="s">
        <v>2034</v>
      </c>
      <c r="H481" s="82" t="s">
        <v>2035</v>
      </c>
      <c r="I481" s="83">
        <v>45958.0</v>
      </c>
    </row>
    <row r="482" ht="22.5" hidden="1" customHeight="1">
      <c r="A482" s="81">
        <v>45960.72148204861</v>
      </c>
      <c r="B482" s="82" t="s">
        <v>792</v>
      </c>
      <c r="C482" s="82" t="s">
        <v>81</v>
      </c>
      <c r="D482" s="82" t="s">
        <v>2034</v>
      </c>
      <c r="H482" s="82" t="s">
        <v>2035</v>
      </c>
      <c r="I482" s="83">
        <v>45958.0</v>
      </c>
    </row>
    <row r="483" ht="22.5" hidden="1" customHeight="1">
      <c r="A483" s="81">
        <v>45960.72272996527</v>
      </c>
      <c r="B483" s="82" t="s">
        <v>797</v>
      </c>
      <c r="C483" s="82" t="s">
        <v>81</v>
      </c>
      <c r="D483" s="82" t="s">
        <v>2034</v>
      </c>
      <c r="H483" s="82" t="s">
        <v>2035</v>
      </c>
      <c r="I483" s="83">
        <v>45959.0</v>
      </c>
    </row>
    <row r="484" ht="22.5" hidden="1" customHeight="1">
      <c r="A484" s="81">
        <v>45960.73066635417</v>
      </c>
      <c r="B484" s="82" t="s">
        <v>468</v>
      </c>
      <c r="C484" s="82" t="s">
        <v>2038</v>
      </c>
      <c r="D484" s="82" t="s">
        <v>2034</v>
      </c>
      <c r="H484" s="82" t="s">
        <v>2035</v>
      </c>
      <c r="I484" s="83">
        <v>45960.0</v>
      </c>
      <c r="J484" s="84" t="s">
        <v>2389</v>
      </c>
    </row>
    <row r="485" ht="22.5" hidden="1" customHeight="1">
      <c r="A485" s="81">
        <v>45960.73124633102</v>
      </c>
      <c r="B485" s="82" t="s">
        <v>573</v>
      </c>
      <c r="C485" s="82" t="s">
        <v>2038</v>
      </c>
      <c r="D485" s="82" t="s">
        <v>2034</v>
      </c>
      <c r="H485" s="82" t="s">
        <v>2035</v>
      </c>
      <c r="I485" s="83">
        <v>45960.0</v>
      </c>
      <c r="J485" s="84" t="s">
        <v>2390</v>
      </c>
    </row>
    <row r="486" ht="22.5" hidden="1" customHeight="1">
      <c r="A486" s="81">
        <v>45961.44951167824</v>
      </c>
      <c r="B486" s="82" t="s">
        <v>704</v>
      </c>
      <c r="C486" s="82" t="s">
        <v>2035</v>
      </c>
      <c r="D486" s="82" t="s">
        <v>2036</v>
      </c>
      <c r="F486" s="83">
        <v>45973.0</v>
      </c>
      <c r="G486" s="84" t="s">
        <v>2391</v>
      </c>
      <c r="H486" s="82" t="s">
        <v>2035</v>
      </c>
      <c r="I486" s="83">
        <v>45961.0</v>
      </c>
    </row>
    <row r="487" ht="22.5" hidden="1" customHeight="1">
      <c r="A487" s="81">
        <v>45961.45050517361</v>
      </c>
      <c r="B487" s="82" t="s">
        <v>757</v>
      </c>
      <c r="C487" s="82" t="s">
        <v>2035</v>
      </c>
      <c r="D487" s="82" t="s">
        <v>2036</v>
      </c>
      <c r="F487" s="83">
        <v>45973.0</v>
      </c>
      <c r="G487" s="84" t="s">
        <v>2392</v>
      </c>
      <c r="H487" s="82" t="s">
        <v>2035</v>
      </c>
      <c r="I487" s="83">
        <v>45961.0</v>
      </c>
    </row>
    <row r="488" ht="22.5" hidden="1" customHeight="1">
      <c r="A488" s="81">
        <v>45961.45097175926</v>
      </c>
      <c r="B488" s="82" t="s">
        <v>699</v>
      </c>
      <c r="C488" s="82" t="s">
        <v>2035</v>
      </c>
      <c r="D488" s="82" t="s">
        <v>2036</v>
      </c>
      <c r="F488" s="83">
        <v>45973.0</v>
      </c>
      <c r="G488" s="84" t="s">
        <v>2393</v>
      </c>
      <c r="H488" s="82" t="s">
        <v>2035</v>
      </c>
      <c r="I488" s="83">
        <v>45961.0</v>
      </c>
    </row>
    <row r="489" ht="22.5" hidden="1" customHeight="1">
      <c r="A489" s="81">
        <v>45961.46248903935</v>
      </c>
      <c r="B489" s="82" t="s">
        <v>802</v>
      </c>
      <c r="C489" s="82" t="s">
        <v>81</v>
      </c>
      <c r="D489" s="82" t="s">
        <v>2034</v>
      </c>
      <c r="H489" s="82" t="s">
        <v>2035</v>
      </c>
      <c r="I489" s="83">
        <v>45961.0</v>
      </c>
    </row>
    <row r="490" ht="22.5" hidden="1" customHeight="1">
      <c r="A490" s="81">
        <v>45961.462675208335</v>
      </c>
      <c r="B490" s="82" t="s">
        <v>2394</v>
      </c>
      <c r="C490" s="82" t="s">
        <v>81</v>
      </c>
      <c r="D490" s="82" t="s">
        <v>2034</v>
      </c>
      <c r="H490" s="82" t="s">
        <v>2035</v>
      </c>
      <c r="I490" s="83">
        <v>45961.0</v>
      </c>
    </row>
    <row r="491" ht="22.5" hidden="1" customHeight="1">
      <c r="A491" s="81">
        <v>45961.46350114583</v>
      </c>
      <c r="B491" s="82" t="s">
        <v>2395</v>
      </c>
      <c r="C491" s="82" t="s">
        <v>81</v>
      </c>
      <c r="D491" s="82" t="s">
        <v>2034</v>
      </c>
      <c r="H491" s="82" t="s">
        <v>2035</v>
      </c>
      <c r="I491" s="83">
        <v>45961.0</v>
      </c>
    </row>
    <row r="492" ht="22.5" hidden="1" customHeight="1">
      <c r="A492" s="81">
        <v>45961.463738900464</v>
      </c>
      <c r="B492" s="82" t="s">
        <v>2396</v>
      </c>
      <c r="C492" s="82" t="s">
        <v>81</v>
      </c>
      <c r="D492" s="82" t="s">
        <v>2034</v>
      </c>
      <c r="H492" s="82" t="s">
        <v>2035</v>
      </c>
      <c r="I492" s="83">
        <v>45961.0</v>
      </c>
    </row>
    <row r="493" ht="22.5" hidden="1" customHeight="1">
      <c r="A493" s="81">
        <v>45961.61557047453</v>
      </c>
      <c r="B493" s="82" t="s">
        <v>681</v>
      </c>
      <c r="C493" s="82" t="s">
        <v>2035</v>
      </c>
      <c r="D493" s="82" t="s">
        <v>2036</v>
      </c>
      <c r="F493" s="83">
        <v>45973.0</v>
      </c>
      <c r="G493" s="84" t="s">
        <v>2397</v>
      </c>
      <c r="H493" s="82" t="s">
        <v>2035</v>
      </c>
      <c r="I493" s="83">
        <v>45961.0</v>
      </c>
    </row>
    <row r="494" ht="22.5" hidden="1" customHeight="1">
      <c r="A494" s="81">
        <v>45962.43062947917</v>
      </c>
      <c r="B494" s="82" t="s">
        <v>369</v>
      </c>
      <c r="C494" s="82" t="s">
        <v>2035</v>
      </c>
      <c r="D494" s="82" t="s">
        <v>2036</v>
      </c>
      <c r="F494" s="83">
        <v>45973.0</v>
      </c>
      <c r="G494" s="84" t="s">
        <v>2398</v>
      </c>
      <c r="H494" s="82" t="s">
        <v>2035</v>
      </c>
      <c r="I494" s="83">
        <v>45962.0</v>
      </c>
    </row>
    <row r="495" ht="22.5" hidden="1" customHeight="1">
      <c r="A495" s="81">
        <v>45962.431016041664</v>
      </c>
      <c r="B495" s="82" t="s">
        <v>726</v>
      </c>
      <c r="C495" s="82" t="s">
        <v>2035</v>
      </c>
      <c r="D495" s="82" t="s">
        <v>2036</v>
      </c>
      <c r="F495" s="83">
        <v>45973.0</v>
      </c>
      <c r="G495" s="84" t="s">
        <v>2399</v>
      </c>
      <c r="H495" s="82" t="s">
        <v>2035</v>
      </c>
      <c r="I495" s="83">
        <v>45962.0</v>
      </c>
    </row>
    <row r="496" ht="22.5" hidden="1" customHeight="1">
      <c r="A496" s="81">
        <v>45964.396073958334</v>
      </c>
      <c r="B496" s="82" t="s">
        <v>460</v>
      </c>
      <c r="C496" s="82" t="s">
        <v>2038</v>
      </c>
      <c r="D496" s="82" t="s">
        <v>2036</v>
      </c>
      <c r="F496" s="83">
        <v>45973.0</v>
      </c>
      <c r="G496" s="84" t="s">
        <v>2400</v>
      </c>
      <c r="H496" s="82" t="s">
        <v>2035</v>
      </c>
      <c r="I496" s="83">
        <v>45964.0</v>
      </c>
    </row>
    <row r="497" ht="22.5" hidden="1" customHeight="1">
      <c r="A497" s="81">
        <v>45964.64057369213</v>
      </c>
      <c r="B497" s="82" t="s">
        <v>707</v>
      </c>
      <c r="C497" s="82" t="s">
        <v>2038</v>
      </c>
      <c r="D497" s="82" t="s">
        <v>2034</v>
      </c>
      <c r="H497" s="82" t="s">
        <v>2035</v>
      </c>
      <c r="I497" s="83">
        <v>45964.0</v>
      </c>
      <c r="J497" s="84" t="s">
        <v>2401</v>
      </c>
    </row>
    <row r="498" ht="22.5" hidden="1" customHeight="1">
      <c r="A498" s="81">
        <v>45964.6412612037</v>
      </c>
      <c r="B498" s="82" t="s">
        <v>673</v>
      </c>
      <c r="C498" s="82" t="s">
        <v>2038</v>
      </c>
      <c r="D498" s="82" t="s">
        <v>2034</v>
      </c>
      <c r="H498" s="82" t="s">
        <v>2035</v>
      </c>
      <c r="I498" s="83">
        <v>45964.0</v>
      </c>
      <c r="J498" s="84" t="s">
        <v>2402</v>
      </c>
    </row>
    <row r="499" ht="22.5" hidden="1" customHeight="1">
      <c r="A499" s="81">
        <v>45965.74220825231</v>
      </c>
      <c r="B499" s="82" t="s">
        <v>750</v>
      </c>
      <c r="C499" s="82" t="s">
        <v>2035</v>
      </c>
      <c r="D499" s="82" t="s">
        <v>2034</v>
      </c>
      <c r="H499" s="82" t="s">
        <v>2035</v>
      </c>
      <c r="I499" s="83">
        <v>45965.0</v>
      </c>
      <c r="J499" s="84" t="s">
        <v>2403</v>
      </c>
    </row>
    <row r="500" ht="22.5" hidden="1" customHeight="1">
      <c r="A500" s="81">
        <v>45965.74381704861</v>
      </c>
      <c r="B500" s="82" t="s">
        <v>657</v>
      </c>
      <c r="C500" s="82" t="s">
        <v>2035</v>
      </c>
      <c r="D500" s="82" t="s">
        <v>2034</v>
      </c>
      <c r="H500" s="82" t="s">
        <v>2035</v>
      </c>
      <c r="I500" s="83">
        <v>45965.0</v>
      </c>
      <c r="J500" s="84" t="s">
        <v>2404</v>
      </c>
    </row>
    <row r="501" ht="22.5" hidden="1" customHeight="1">
      <c r="A501" s="81">
        <v>45965.744766655094</v>
      </c>
      <c r="B501" s="82" t="s">
        <v>762</v>
      </c>
      <c r="C501" s="82" t="s">
        <v>2035</v>
      </c>
      <c r="D501" s="82" t="s">
        <v>2034</v>
      </c>
      <c r="H501" s="82" t="s">
        <v>2035</v>
      </c>
      <c r="I501" s="83">
        <v>45965.0</v>
      </c>
      <c r="J501" s="84" t="s">
        <v>2405</v>
      </c>
    </row>
    <row r="502" ht="22.5" hidden="1" customHeight="1">
      <c r="A502" s="81">
        <v>45965.745146851856</v>
      </c>
      <c r="B502" s="82" t="s">
        <v>740</v>
      </c>
      <c r="C502" s="82" t="s">
        <v>2035</v>
      </c>
      <c r="D502" s="82" t="s">
        <v>2034</v>
      </c>
      <c r="H502" s="82" t="s">
        <v>2035</v>
      </c>
      <c r="I502" s="83">
        <v>45965.0</v>
      </c>
      <c r="J502" s="84" t="s">
        <v>2406</v>
      </c>
    </row>
    <row r="503" ht="22.5" hidden="1" customHeight="1">
      <c r="A503" s="81">
        <v>45966.40819203704</v>
      </c>
      <c r="B503" s="82" t="s">
        <v>813</v>
      </c>
      <c r="C503" s="82" t="s">
        <v>81</v>
      </c>
      <c r="D503" s="82" t="s">
        <v>2034</v>
      </c>
      <c r="H503" s="82" t="s">
        <v>2035</v>
      </c>
      <c r="I503" s="83">
        <v>45965.0</v>
      </c>
    </row>
    <row r="504" ht="22.5" hidden="1" customHeight="1">
      <c r="A504" s="81">
        <v>45966.410305185185</v>
      </c>
      <c r="B504" s="82" t="s">
        <v>809</v>
      </c>
      <c r="C504" s="82" t="s">
        <v>81</v>
      </c>
      <c r="D504" s="82" t="s">
        <v>2034</v>
      </c>
      <c r="H504" s="82" t="s">
        <v>2035</v>
      </c>
      <c r="I504" s="83">
        <v>45965.0</v>
      </c>
      <c r="J504" s="84" t="s">
        <v>2407</v>
      </c>
    </row>
    <row r="505" ht="22.5" hidden="1" customHeight="1">
      <c r="A505" s="81">
        <v>45966.624471863426</v>
      </c>
      <c r="B505" s="82" t="s">
        <v>765</v>
      </c>
      <c r="C505" s="82" t="s">
        <v>2035</v>
      </c>
      <c r="D505" s="82" t="s">
        <v>2036</v>
      </c>
      <c r="F505" s="83">
        <v>45975.0</v>
      </c>
      <c r="G505" s="84" t="s">
        <v>2408</v>
      </c>
      <c r="H505" s="82" t="s">
        <v>2035</v>
      </c>
      <c r="I505" s="83">
        <v>45966.0</v>
      </c>
    </row>
    <row r="506" ht="22.5" hidden="1" customHeight="1">
      <c r="A506" s="81">
        <v>45966.62487322917</v>
      </c>
      <c r="B506" s="82" t="s">
        <v>766</v>
      </c>
      <c r="C506" s="82" t="s">
        <v>2035</v>
      </c>
      <c r="D506" s="82" t="s">
        <v>2036</v>
      </c>
      <c r="F506" s="83">
        <v>45975.0</v>
      </c>
      <c r="G506" s="84" t="s">
        <v>2409</v>
      </c>
      <c r="H506" s="82" t="s">
        <v>2035</v>
      </c>
      <c r="I506" s="83">
        <v>45966.0</v>
      </c>
    </row>
    <row r="507" ht="22.5" hidden="1" customHeight="1">
      <c r="A507" s="81">
        <v>45966.626421215275</v>
      </c>
      <c r="B507" s="82" t="s">
        <v>648</v>
      </c>
      <c r="C507" s="82" t="s">
        <v>2035</v>
      </c>
      <c r="D507" s="82" t="s">
        <v>2036</v>
      </c>
      <c r="F507" s="83">
        <v>45975.0</v>
      </c>
      <c r="G507" s="84" t="s">
        <v>2410</v>
      </c>
      <c r="H507" s="82" t="s">
        <v>2035</v>
      </c>
      <c r="I507" s="83">
        <v>45966.0</v>
      </c>
    </row>
    <row r="508" ht="22.5" hidden="1" customHeight="1">
      <c r="A508" s="81">
        <v>45966.64001458333</v>
      </c>
      <c r="B508" s="82" t="s">
        <v>615</v>
      </c>
      <c r="C508" s="82" t="s">
        <v>2035</v>
      </c>
      <c r="D508" s="82" t="s">
        <v>2036</v>
      </c>
      <c r="F508" s="83">
        <v>45975.0</v>
      </c>
      <c r="G508" s="84" t="s">
        <v>2411</v>
      </c>
      <c r="H508" s="82" t="s">
        <v>2035</v>
      </c>
      <c r="I508" s="83">
        <v>45966.0</v>
      </c>
    </row>
    <row r="509" ht="22.5" hidden="1" customHeight="1">
      <c r="A509" s="81">
        <v>45967.43165445601</v>
      </c>
      <c r="B509" s="82" t="s">
        <v>767</v>
      </c>
      <c r="C509" s="82" t="s">
        <v>2038</v>
      </c>
      <c r="D509" s="82" t="s">
        <v>2036</v>
      </c>
      <c r="F509" s="83">
        <v>45978.0</v>
      </c>
      <c r="G509" s="84" t="s">
        <v>2412</v>
      </c>
      <c r="H509" s="82" t="s">
        <v>2035</v>
      </c>
      <c r="I509" s="83">
        <v>45967.0</v>
      </c>
    </row>
    <row r="510" ht="22.5" hidden="1" customHeight="1">
      <c r="A510" s="81">
        <v>45967.4325903125</v>
      </c>
      <c r="B510" s="82" t="s">
        <v>576</v>
      </c>
      <c r="C510" s="82" t="s">
        <v>2038</v>
      </c>
      <c r="D510" s="82" t="s">
        <v>2036</v>
      </c>
      <c r="F510" s="83">
        <v>45978.0</v>
      </c>
      <c r="G510" s="84" t="s">
        <v>2413</v>
      </c>
      <c r="H510" s="82" t="s">
        <v>2035</v>
      </c>
      <c r="I510" s="83">
        <v>45967.0</v>
      </c>
    </row>
    <row r="511" ht="22.5" hidden="1" customHeight="1">
      <c r="A511" s="81">
        <v>45967.43375361111</v>
      </c>
      <c r="B511" s="82" t="s">
        <v>778</v>
      </c>
      <c r="C511" s="82" t="s">
        <v>2038</v>
      </c>
      <c r="D511" s="82" t="s">
        <v>2036</v>
      </c>
      <c r="F511" s="83">
        <v>45978.0</v>
      </c>
      <c r="G511" s="84" t="s">
        <v>2414</v>
      </c>
      <c r="H511" s="82" t="s">
        <v>2035</v>
      </c>
      <c r="I511" s="83">
        <v>45967.0</v>
      </c>
    </row>
    <row r="512" ht="22.5" hidden="1" customHeight="1">
      <c r="A512" s="81">
        <v>45967.43527765047</v>
      </c>
      <c r="B512" s="82" t="s">
        <v>772</v>
      </c>
      <c r="C512" s="82" t="s">
        <v>2038</v>
      </c>
      <c r="D512" s="82" t="s">
        <v>2036</v>
      </c>
      <c r="F512" s="83">
        <v>45978.0</v>
      </c>
      <c r="G512" s="84" t="s">
        <v>2415</v>
      </c>
      <c r="H512" s="82" t="s">
        <v>2035</v>
      </c>
      <c r="I512" s="83">
        <v>45967.0</v>
      </c>
    </row>
    <row r="513" ht="22.5" hidden="1" customHeight="1">
      <c r="A513" s="81">
        <v>45967.43634369213</v>
      </c>
      <c r="B513" s="82" t="s">
        <v>696</v>
      </c>
      <c r="C513" s="82" t="s">
        <v>2038</v>
      </c>
      <c r="D513" s="82" t="s">
        <v>2036</v>
      </c>
      <c r="F513" s="83">
        <v>45978.0</v>
      </c>
      <c r="G513" s="84" t="s">
        <v>2416</v>
      </c>
      <c r="H513" s="82" t="s">
        <v>2035</v>
      </c>
      <c r="I513" s="83">
        <v>45967.0</v>
      </c>
    </row>
    <row r="514" ht="22.5" hidden="1" customHeight="1">
      <c r="A514" s="81">
        <v>45967.4382246875</v>
      </c>
      <c r="B514" s="82" t="s">
        <v>559</v>
      </c>
      <c r="C514" s="82" t="s">
        <v>2038</v>
      </c>
      <c r="D514" s="82" t="s">
        <v>2034</v>
      </c>
      <c r="H514" s="82" t="s">
        <v>2035</v>
      </c>
      <c r="I514" s="83">
        <v>45966.0</v>
      </c>
      <c r="J514" s="84" t="s">
        <v>2417</v>
      </c>
    </row>
    <row r="515" ht="22.5" hidden="1" customHeight="1">
      <c r="A515" s="81">
        <v>45967.438742812505</v>
      </c>
      <c r="B515" s="82" t="s">
        <v>633</v>
      </c>
      <c r="C515" s="82" t="s">
        <v>2038</v>
      </c>
      <c r="D515" s="82" t="s">
        <v>2034</v>
      </c>
      <c r="H515" s="82" t="s">
        <v>2035</v>
      </c>
      <c r="I515" s="83">
        <v>45966.0</v>
      </c>
      <c r="J515" s="84" t="s">
        <v>2418</v>
      </c>
    </row>
    <row r="516" ht="22.5" hidden="1" customHeight="1">
      <c r="A516" s="81">
        <v>45967.43910800926</v>
      </c>
      <c r="B516" s="82" t="s">
        <v>556</v>
      </c>
      <c r="C516" s="82" t="s">
        <v>2038</v>
      </c>
      <c r="D516" s="82" t="s">
        <v>2034</v>
      </c>
      <c r="H516" s="82" t="s">
        <v>2035</v>
      </c>
      <c r="I516" s="83">
        <v>45967.0</v>
      </c>
      <c r="J516" s="84" t="s">
        <v>2419</v>
      </c>
    </row>
    <row r="517" ht="22.5" hidden="1" customHeight="1">
      <c r="A517" s="81">
        <v>45967.43949633102</v>
      </c>
      <c r="B517" s="82" t="s">
        <v>631</v>
      </c>
      <c r="C517" s="82" t="s">
        <v>2038</v>
      </c>
      <c r="D517" s="82" t="s">
        <v>2034</v>
      </c>
      <c r="H517" s="82" t="s">
        <v>2035</v>
      </c>
      <c r="I517" s="83">
        <v>45967.0</v>
      </c>
      <c r="J517" s="84" t="s">
        <v>2420</v>
      </c>
    </row>
    <row r="518" ht="22.5" hidden="1" customHeight="1">
      <c r="A518" s="81">
        <v>45967.440411759264</v>
      </c>
      <c r="B518" s="82" t="s">
        <v>637</v>
      </c>
      <c r="C518" s="82" t="s">
        <v>2038</v>
      </c>
      <c r="D518" s="82" t="s">
        <v>2034</v>
      </c>
      <c r="H518" s="82" t="s">
        <v>2035</v>
      </c>
      <c r="I518" s="83">
        <v>45967.0</v>
      </c>
      <c r="J518" s="84" t="s">
        <v>2421</v>
      </c>
    </row>
    <row r="519" ht="22.5" hidden="1" customHeight="1">
      <c r="A519" s="81">
        <v>45967.650264027776</v>
      </c>
      <c r="B519" s="82" t="s">
        <v>724</v>
      </c>
      <c r="C519" s="82" t="s">
        <v>2035</v>
      </c>
      <c r="D519" s="82" t="s">
        <v>2036</v>
      </c>
      <c r="F519" s="83">
        <v>45978.0</v>
      </c>
      <c r="G519" s="84" t="s">
        <v>2422</v>
      </c>
      <c r="H519" s="82" t="s">
        <v>2035</v>
      </c>
      <c r="I519" s="83">
        <v>45967.0</v>
      </c>
    </row>
    <row r="520" ht="22.5" hidden="1" customHeight="1">
      <c r="A520" s="81">
        <v>45967.650628483796</v>
      </c>
      <c r="B520" s="82" t="s">
        <v>653</v>
      </c>
      <c r="C520" s="82" t="s">
        <v>2035</v>
      </c>
      <c r="D520" s="82" t="s">
        <v>2036</v>
      </c>
      <c r="F520" s="83">
        <v>45978.0</v>
      </c>
      <c r="G520" s="84" t="s">
        <v>2423</v>
      </c>
      <c r="H520" s="82" t="s">
        <v>2035</v>
      </c>
      <c r="I520" s="83">
        <v>45967.0</v>
      </c>
    </row>
    <row r="521" ht="22.5" hidden="1" customHeight="1">
      <c r="A521" s="81">
        <v>45967.65552221065</v>
      </c>
      <c r="B521" s="82" t="s">
        <v>514</v>
      </c>
      <c r="C521" s="82" t="s">
        <v>2038</v>
      </c>
      <c r="D521" s="82" t="s">
        <v>2034</v>
      </c>
      <c r="H521" s="82" t="s">
        <v>2035</v>
      </c>
      <c r="I521" s="83">
        <v>45967.0</v>
      </c>
      <c r="J521" s="84" t="s">
        <v>2424</v>
      </c>
    </row>
    <row r="522" ht="22.5" hidden="1" customHeight="1">
      <c r="A522" s="81">
        <v>45967.65839331019</v>
      </c>
      <c r="B522" s="82" t="s">
        <v>738</v>
      </c>
      <c r="C522" s="82" t="s">
        <v>2038</v>
      </c>
      <c r="D522" s="82" t="s">
        <v>2034</v>
      </c>
      <c r="H522" s="82" t="s">
        <v>2035</v>
      </c>
      <c r="I522" s="83">
        <v>45967.0</v>
      </c>
      <c r="J522" s="84" t="s">
        <v>2425</v>
      </c>
    </row>
    <row r="523" ht="22.5" hidden="1" customHeight="1">
      <c r="A523" s="81">
        <v>45967.65881245371</v>
      </c>
      <c r="B523" s="82" t="s">
        <v>552</v>
      </c>
      <c r="C523" s="82" t="s">
        <v>2038</v>
      </c>
      <c r="D523" s="82" t="s">
        <v>2034</v>
      </c>
      <c r="H523" s="82" t="s">
        <v>2035</v>
      </c>
      <c r="I523" s="83">
        <v>45967.0</v>
      </c>
      <c r="J523" s="84" t="s">
        <v>2426</v>
      </c>
    </row>
    <row r="524" ht="22.5" hidden="1" customHeight="1">
      <c r="A524" s="81">
        <v>45967.65921269676</v>
      </c>
      <c r="B524" s="82" t="s">
        <v>565</v>
      </c>
      <c r="C524" s="82" t="s">
        <v>2038</v>
      </c>
      <c r="D524" s="82" t="s">
        <v>2034</v>
      </c>
      <c r="H524" s="82" t="s">
        <v>2035</v>
      </c>
      <c r="I524" s="83">
        <v>45967.0</v>
      </c>
      <c r="J524" s="84" t="s">
        <v>2427</v>
      </c>
    </row>
    <row r="525" ht="22.5" hidden="1" customHeight="1">
      <c r="A525" s="81">
        <v>45967.66016141204</v>
      </c>
      <c r="B525" s="82" t="s">
        <v>460</v>
      </c>
      <c r="C525" s="82" t="s">
        <v>2038</v>
      </c>
      <c r="D525" s="82" t="s">
        <v>2034</v>
      </c>
      <c r="H525" s="82" t="s">
        <v>2035</v>
      </c>
      <c r="I525" s="83">
        <v>45967.0</v>
      </c>
      <c r="J525" s="84" t="s">
        <v>2428</v>
      </c>
    </row>
    <row r="526" ht="22.5" hidden="1" customHeight="1">
      <c r="A526" s="81">
        <v>45967.66070017361</v>
      </c>
      <c r="B526" s="82" t="s">
        <v>568</v>
      </c>
      <c r="C526" s="82" t="s">
        <v>2038</v>
      </c>
      <c r="D526" s="82" t="s">
        <v>2034</v>
      </c>
      <c r="H526" s="82" t="s">
        <v>2035</v>
      </c>
      <c r="I526" s="83">
        <v>45967.0</v>
      </c>
      <c r="J526" s="84" t="s">
        <v>2429</v>
      </c>
    </row>
    <row r="527" ht="22.5" hidden="1" customHeight="1">
      <c r="A527" s="81">
        <v>45967.66291072917</v>
      </c>
      <c r="B527" s="82" t="s">
        <v>571</v>
      </c>
      <c r="C527" s="82" t="s">
        <v>2038</v>
      </c>
      <c r="D527" s="82" t="s">
        <v>2034</v>
      </c>
      <c r="H527" s="82" t="s">
        <v>2035</v>
      </c>
      <c r="I527" s="83">
        <v>45967.0</v>
      </c>
      <c r="J527" s="84" t="s">
        <v>2430</v>
      </c>
    </row>
    <row r="528" ht="22.5" hidden="1" customHeight="1">
      <c r="A528" s="81">
        <v>45968.684177083334</v>
      </c>
      <c r="B528" s="82" t="s">
        <v>722</v>
      </c>
      <c r="C528" s="82" t="s">
        <v>2035</v>
      </c>
      <c r="D528" s="82" t="s">
        <v>2036</v>
      </c>
      <c r="F528" s="83">
        <v>45979.0</v>
      </c>
      <c r="G528" s="84" t="s">
        <v>2431</v>
      </c>
      <c r="H528" s="82" t="s">
        <v>2035</v>
      </c>
      <c r="I528" s="83">
        <v>45968.0</v>
      </c>
    </row>
    <row r="529" ht="22.5" hidden="1" customHeight="1">
      <c r="A529" s="81">
        <v>45968.69593637731</v>
      </c>
      <c r="B529" s="82" t="s">
        <v>718</v>
      </c>
      <c r="C529" s="82" t="s">
        <v>2035</v>
      </c>
      <c r="D529" s="82" t="s">
        <v>2036</v>
      </c>
      <c r="F529" s="83">
        <v>45979.0</v>
      </c>
      <c r="G529" s="84" t="s">
        <v>2432</v>
      </c>
      <c r="H529" s="82" t="s">
        <v>2035</v>
      </c>
      <c r="I529" s="83">
        <v>45968.0</v>
      </c>
    </row>
    <row r="530" ht="22.5" hidden="1" customHeight="1">
      <c r="A530" s="81">
        <v>45968.69687501158</v>
      </c>
      <c r="B530" s="82" t="s">
        <v>825</v>
      </c>
      <c r="C530" s="82" t="s">
        <v>2035</v>
      </c>
      <c r="D530" s="82" t="s">
        <v>2036</v>
      </c>
      <c r="F530" s="83">
        <v>45979.0</v>
      </c>
      <c r="G530" s="84" t="s">
        <v>2433</v>
      </c>
      <c r="H530" s="82" t="s">
        <v>2035</v>
      </c>
      <c r="I530" s="83">
        <v>45968.0</v>
      </c>
    </row>
    <row r="531" ht="22.5" hidden="1" customHeight="1">
      <c r="A531" s="81">
        <v>45968.699210833336</v>
      </c>
      <c r="B531" s="82" t="s">
        <v>806</v>
      </c>
      <c r="C531" s="82" t="s">
        <v>2035</v>
      </c>
      <c r="D531" s="82" t="s">
        <v>2036</v>
      </c>
      <c r="F531" s="83">
        <v>45979.0</v>
      </c>
      <c r="G531" s="84" t="s">
        <v>2434</v>
      </c>
      <c r="H531" s="82" t="s">
        <v>2035</v>
      </c>
      <c r="I531" s="83">
        <v>45968.0</v>
      </c>
    </row>
    <row r="532" ht="22.5" hidden="1" customHeight="1">
      <c r="A532" s="81">
        <v>45968.70979248843</v>
      </c>
      <c r="B532" s="82" t="s">
        <v>661</v>
      </c>
      <c r="C532" s="82" t="s">
        <v>2038</v>
      </c>
      <c r="D532" s="82" t="s">
        <v>2034</v>
      </c>
      <c r="H532" s="82" t="s">
        <v>2035</v>
      </c>
      <c r="I532" s="83">
        <v>45968.0</v>
      </c>
      <c r="J532" s="84" t="s">
        <v>2435</v>
      </c>
    </row>
    <row r="533" ht="22.5" hidden="1" customHeight="1">
      <c r="A533" s="81">
        <v>45968.71134792824</v>
      </c>
      <c r="B533" s="82" t="s">
        <v>561</v>
      </c>
      <c r="C533" s="82" t="s">
        <v>2035</v>
      </c>
      <c r="D533" s="82" t="s">
        <v>2034</v>
      </c>
      <c r="H533" s="82" t="s">
        <v>2035</v>
      </c>
      <c r="I533" s="83">
        <v>45968.0</v>
      </c>
      <c r="J533" s="84" t="s">
        <v>2436</v>
      </c>
    </row>
    <row r="534" ht="22.5" hidden="1" customHeight="1">
      <c r="A534" s="81">
        <v>45968.71194527778</v>
      </c>
      <c r="B534" s="82" t="s">
        <v>778</v>
      </c>
      <c r="C534" s="82" t="s">
        <v>2035</v>
      </c>
      <c r="D534" s="82" t="s">
        <v>2034</v>
      </c>
      <c r="H534" s="82" t="s">
        <v>2035</v>
      </c>
      <c r="I534" s="83">
        <v>45968.0</v>
      </c>
      <c r="J534" s="84" t="s">
        <v>2437</v>
      </c>
    </row>
    <row r="535" ht="22.5" hidden="1" customHeight="1">
      <c r="A535" s="81">
        <v>45968.71267175926</v>
      </c>
      <c r="B535" s="82" t="s">
        <v>765</v>
      </c>
      <c r="C535" s="82" t="s">
        <v>2035</v>
      </c>
      <c r="D535" s="82" t="s">
        <v>2034</v>
      </c>
      <c r="H535" s="82" t="s">
        <v>2035</v>
      </c>
      <c r="I535" s="83">
        <v>45968.0</v>
      </c>
      <c r="J535" s="84" t="s">
        <v>2438</v>
      </c>
    </row>
    <row r="536" ht="22.5" hidden="1" customHeight="1">
      <c r="A536" s="81">
        <v>45968.71320086806</v>
      </c>
      <c r="B536" s="82" t="s">
        <v>766</v>
      </c>
      <c r="C536" s="82" t="s">
        <v>2035</v>
      </c>
      <c r="D536" s="82" t="s">
        <v>2034</v>
      </c>
      <c r="H536" s="82" t="s">
        <v>2035</v>
      </c>
      <c r="I536" s="83">
        <v>45968.0</v>
      </c>
      <c r="J536" s="84" t="s">
        <v>2439</v>
      </c>
    </row>
    <row r="537" ht="22.5" hidden="1" customHeight="1">
      <c r="A537" s="81">
        <v>45968.71470202546</v>
      </c>
      <c r="B537" s="82" t="s">
        <v>824</v>
      </c>
      <c r="C537" s="82" t="s">
        <v>81</v>
      </c>
      <c r="D537" s="82" t="s">
        <v>2034</v>
      </c>
      <c r="H537" s="82" t="s">
        <v>2035</v>
      </c>
      <c r="I537" s="83">
        <v>45966.0</v>
      </c>
    </row>
    <row r="538" ht="22.5" hidden="1" customHeight="1">
      <c r="A538" s="81">
        <v>45968.71507579861</v>
      </c>
      <c r="B538" s="82" t="s">
        <v>827</v>
      </c>
      <c r="C538" s="82" t="s">
        <v>81</v>
      </c>
      <c r="D538" s="82" t="s">
        <v>2034</v>
      </c>
      <c r="H538" s="82" t="s">
        <v>2035</v>
      </c>
      <c r="I538" s="83">
        <v>45967.0</v>
      </c>
    </row>
    <row r="539" ht="22.5" hidden="1" customHeight="1">
      <c r="A539" s="81">
        <v>45968.71537950232</v>
      </c>
      <c r="B539" s="82" t="s">
        <v>830</v>
      </c>
      <c r="C539" s="82" t="s">
        <v>81</v>
      </c>
      <c r="D539" s="82" t="s">
        <v>2034</v>
      </c>
      <c r="H539" s="82" t="s">
        <v>2035</v>
      </c>
      <c r="I539" s="83">
        <v>45968.0</v>
      </c>
    </row>
    <row r="540" ht="22.5" hidden="1" customHeight="1">
      <c r="A540" s="81">
        <v>45969.48972582176</v>
      </c>
      <c r="B540" s="82" t="s">
        <v>821</v>
      </c>
      <c r="C540" s="82" t="s">
        <v>2035</v>
      </c>
      <c r="D540" s="82" t="s">
        <v>2036</v>
      </c>
      <c r="F540" s="83">
        <v>45980.0</v>
      </c>
      <c r="G540" s="84" t="s">
        <v>2440</v>
      </c>
      <c r="H540" s="82" t="s">
        <v>2035</v>
      </c>
      <c r="I540" s="83">
        <v>45969.0</v>
      </c>
    </row>
    <row r="541" ht="22.5" hidden="1" customHeight="1">
      <c r="A541" s="81">
        <v>45969.49015863426</v>
      </c>
      <c r="B541" s="82" t="s">
        <v>823</v>
      </c>
      <c r="C541" s="82" t="s">
        <v>2035</v>
      </c>
      <c r="D541" s="82" t="s">
        <v>2036</v>
      </c>
      <c r="F541" s="83">
        <v>45980.0</v>
      </c>
      <c r="G541" s="84" t="s">
        <v>2441</v>
      </c>
      <c r="H541" s="82" t="s">
        <v>2035</v>
      </c>
      <c r="I541" s="83">
        <v>45969.0</v>
      </c>
    </row>
    <row r="542" ht="22.5" hidden="1" customHeight="1">
      <c r="A542" s="81">
        <v>45971.70753503472</v>
      </c>
      <c r="B542" s="82" t="s">
        <v>110</v>
      </c>
      <c r="C542" s="82" t="s">
        <v>2038</v>
      </c>
      <c r="D542" s="82" t="s">
        <v>2036</v>
      </c>
      <c r="F542" s="83">
        <v>45980.0</v>
      </c>
      <c r="G542" s="84" t="s">
        <v>2442</v>
      </c>
      <c r="H542" s="82" t="s">
        <v>2035</v>
      </c>
      <c r="I542" s="83">
        <v>45971.0</v>
      </c>
    </row>
    <row r="543" ht="22.5" hidden="1" customHeight="1">
      <c r="A543" s="81">
        <v>45971.70826645833</v>
      </c>
      <c r="B543" s="82" t="s">
        <v>669</v>
      </c>
      <c r="C543" s="82" t="s">
        <v>2038</v>
      </c>
      <c r="D543" s="82" t="s">
        <v>2036</v>
      </c>
      <c r="F543" s="83">
        <v>45980.0</v>
      </c>
      <c r="G543" s="84" t="s">
        <v>2443</v>
      </c>
      <c r="H543" s="82" t="s">
        <v>2035</v>
      </c>
      <c r="I543" s="83">
        <v>45971.0</v>
      </c>
    </row>
    <row r="544" ht="22.5" hidden="1" customHeight="1">
      <c r="A544" s="81">
        <v>45971.70910645834</v>
      </c>
      <c r="B544" s="82" t="s">
        <v>828</v>
      </c>
      <c r="C544" s="82" t="s">
        <v>2038</v>
      </c>
      <c r="D544" s="82" t="s">
        <v>2036</v>
      </c>
      <c r="F544" s="83">
        <v>45980.0</v>
      </c>
      <c r="G544" s="84" t="s">
        <v>2444</v>
      </c>
      <c r="H544" s="82" t="s">
        <v>2035</v>
      </c>
      <c r="I544" s="83">
        <v>45971.0</v>
      </c>
    </row>
    <row r="545" ht="22.5" hidden="1" customHeight="1">
      <c r="A545" s="81">
        <v>45971.71015805556</v>
      </c>
      <c r="B545" s="82" t="s">
        <v>799</v>
      </c>
      <c r="C545" s="82" t="s">
        <v>2038</v>
      </c>
      <c r="D545" s="82" t="s">
        <v>2036</v>
      </c>
      <c r="F545" s="83">
        <v>45980.0</v>
      </c>
      <c r="G545" s="84" t="s">
        <v>2445</v>
      </c>
      <c r="H545" s="82" t="s">
        <v>2035</v>
      </c>
      <c r="I545" s="83">
        <v>45971.0</v>
      </c>
    </row>
    <row r="546" ht="22.5" hidden="1" customHeight="1">
      <c r="A546" s="81">
        <v>45971.71088908565</v>
      </c>
      <c r="B546" s="82" t="s">
        <v>838</v>
      </c>
      <c r="C546" s="82" t="s">
        <v>2035</v>
      </c>
      <c r="D546" s="82" t="s">
        <v>2036</v>
      </c>
      <c r="F546" s="83">
        <v>45980.0</v>
      </c>
      <c r="G546" s="84" t="s">
        <v>2446</v>
      </c>
      <c r="H546" s="82" t="s">
        <v>2035</v>
      </c>
      <c r="I546" s="83">
        <v>45971.0</v>
      </c>
    </row>
    <row r="547" ht="22.5" hidden="1" customHeight="1">
      <c r="A547" s="81">
        <v>45971.711388055555</v>
      </c>
      <c r="B547" s="82" t="s">
        <v>834</v>
      </c>
      <c r="C547" s="82" t="s">
        <v>81</v>
      </c>
      <c r="D547" s="82" t="s">
        <v>2034</v>
      </c>
      <c r="H547" s="82" t="s">
        <v>2035</v>
      </c>
      <c r="I547" s="83">
        <v>45969.0</v>
      </c>
    </row>
    <row r="548" ht="22.5" hidden="1" customHeight="1">
      <c r="A548" s="81">
        <v>45971.71255340277</v>
      </c>
      <c r="B548" s="82" t="s">
        <v>835</v>
      </c>
      <c r="C548" s="82" t="s">
        <v>81</v>
      </c>
      <c r="D548" s="82" t="s">
        <v>2034</v>
      </c>
      <c r="H548" s="82" t="s">
        <v>2035</v>
      </c>
      <c r="I548" s="83">
        <v>45969.0</v>
      </c>
    </row>
    <row r="549" ht="22.5" hidden="1" customHeight="1">
      <c r="A549" s="81">
        <v>45971.71289657407</v>
      </c>
      <c r="B549" s="82" t="s">
        <v>841</v>
      </c>
      <c r="C549" s="82" t="s">
        <v>81</v>
      </c>
      <c r="D549" s="82" t="s">
        <v>2034</v>
      </c>
      <c r="H549" s="82" t="s">
        <v>2035</v>
      </c>
      <c r="I549" s="83">
        <v>45971.0</v>
      </c>
    </row>
    <row r="550" ht="22.5" hidden="1" customHeight="1">
      <c r="A550" s="81">
        <v>45972.35006967593</v>
      </c>
      <c r="B550" s="82" t="s">
        <v>844</v>
      </c>
      <c r="C550" s="82" t="s">
        <v>81</v>
      </c>
      <c r="D550" s="82" t="s">
        <v>2034</v>
      </c>
      <c r="H550" s="82" t="s">
        <v>2035</v>
      </c>
      <c r="I550" s="83">
        <v>45971.0</v>
      </c>
      <c r="J550" s="84" t="s">
        <v>2447</v>
      </c>
    </row>
    <row r="551" ht="22.5" hidden="1" customHeight="1">
      <c r="A551" s="81">
        <v>45972.351128587965</v>
      </c>
      <c r="B551" s="82" t="s">
        <v>845</v>
      </c>
      <c r="C551" s="82" t="s">
        <v>81</v>
      </c>
      <c r="D551" s="82" t="s">
        <v>2034</v>
      </c>
      <c r="H551" s="82" t="s">
        <v>2035</v>
      </c>
      <c r="I551" s="83">
        <v>45971.0</v>
      </c>
      <c r="J551" s="84" t="s">
        <v>2448</v>
      </c>
    </row>
    <row r="552" ht="22.5" hidden="1" customHeight="1">
      <c r="A552" s="81">
        <v>45972.351436956014</v>
      </c>
      <c r="B552" s="82" t="s">
        <v>847</v>
      </c>
      <c r="C552" s="82" t="s">
        <v>81</v>
      </c>
      <c r="D552" s="82" t="s">
        <v>2034</v>
      </c>
      <c r="H552" s="82" t="s">
        <v>2035</v>
      </c>
      <c r="I552" s="83">
        <v>45971.0</v>
      </c>
      <c r="J552" s="84" t="s">
        <v>2449</v>
      </c>
    </row>
    <row r="553" ht="22.5" hidden="1" customHeight="1">
      <c r="A553" s="81">
        <v>45972.460841458334</v>
      </c>
      <c r="B553" s="82" t="s">
        <v>704</v>
      </c>
      <c r="C553" s="82" t="s">
        <v>2035</v>
      </c>
      <c r="D553" s="82" t="s">
        <v>2036</v>
      </c>
      <c r="F553" s="83">
        <v>45981.0</v>
      </c>
      <c r="G553" s="84" t="s">
        <v>2450</v>
      </c>
      <c r="H553" s="82" t="s">
        <v>2035</v>
      </c>
      <c r="I553" s="83">
        <v>45972.0</v>
      </c>
    </row>
    <row r="554" ht="22.5" hidden="1" customHeight="1">
      <c r="A554" s="81">
        <v>45972.46949472222</v>
      </c>
      <c r="B554" s="82" t="s">
        <v>747</v>
      </c>
      <c r="C554" s="82" t="s">
        <v>2035</v>
      </c>
      <c r="D554" s="82" t="s">
        <v>2036</v>
      </c>
      <c r="F554" s="83">
        <v>45981.0</v>
      </c>
      <c r="G554" s="84" t="s">
        <v>2451</v>
      </c>
      <c r="H554" s="82" t="s">
        <v>2035</v>
      </c>
      <c r="I554" s="83">
        <v>45972.0</v>
      </c>
    </row>
    <row r="555" ht="22.5" hidden="1" customHeight="1">
      <c r="A555" s="81">
        <v>45972.55997116899</v>
      </c>
      <c r="B555" s="82" t="s">
        <v>817</v>
      </c>
      <c r="C555" s="82" t="s">
        <v>81</v>
      </c>
      <c r="D555" s="82" t="s">
        <v>2034</v>
      </c>
      <c r="H555" s="82" t="s">
        <v>2035</v>
      </c>
      <c r="I555" s="83">
        <v>45968.0</v>
      </c>
      <c r="J555" s="84" t="s">
        <v>2452</v>
      </c>
    </row>
    <row r="556" ht="22.5" hidden="1" customHeight="1">
      <c r="A556" s="81">
        <v>45973.40996097222</v>
      </c>
      <c r="B556" s="82" t="s">
        <v>699</v>
      </c>
      <c r="C556" s="82" t="s">
        <v>2038</v>
      </c>
      <c r="D556" s="82" t="s">
        <v>2036</v>
      </c>
      <c r="F556" s="83">
        <v>45982.0</v>
      </c>
      <c r="G556" s="84" t="s">
        <v>2453</v>
      </c>
      <c r="H556" s="82" t="s">
        <v>2035</v>
      </c>
      <c r="I556" s="83">
        <v>45973.0</v>
      </c>
    </row>
    <row r="557" ht="22.5" hidden="1" customHeight="1">
      <c r="A557" s="81">
        <v>45973.454067025465</v>
      </c>
      <c r="B557" s="82" t="s">
        <v>757</v>
      </c>
      <c r="C557" s="82" t="s">
        <v>2038</v>
      </c>
      <c r="D557" s="82" t="s">
        <v>2034</v>
      </c>
      <c r="H557" s="82" t="s">
        <v>2035</v>
      </c>
      <c r="I557" s="83">
        <v>45971.0</v>
      </c>
      <c r="J557" s="84" t="s">
        <v>2454</v>
      </c>
    </row>
    <row r="558" ht="22.5" hidden="1" customHeight="1">
      <c r="A558" s="81">
        <v>45973.454531689815</v>
      </c>
      <c r="B558" s="82" t="s">
        <v>794</v>
      </c>
      <c r="C558" s="82" t="s">
        <v>2038</v>
      </c>
      <c r="D558" s="82" t="s">
        <v>2034</v>
      </c>
      <c r="H558" s="82" t="s">
        <v>2035</v>
      </c>
      <c r="I558" s="83">
        <v>45971.0</v>
      </c>
      <c r="J558" s="84" t="s">
        <v>2455</v>
      </c>
    </row>
    <row r="559" ht="22.5" hidden="1" customHeight="1">
      <c r="A559" s="81">
        <v>45973.45614675926</v>
      </c>
      <c r="B559" s="82" t="s">
        <v>855</v>
      </c>
      <c r="C559" s="82" t="s">
        <v>2038</v>
      </c>
      <c r="D559" s="82" t="s">
        <v>2036</v>
      </c>
      <c r="F559" s="83">
        <v>45982.0</v>
      </c>
      <c r="G559" s="84" t="s">
        <v>2456</v>
      </c>
      <c r="H559" s="82" t="s">
        <v>2035</v>
      </c>
      <c r="I559" s="83">
        <v>45973.0</v>
      </c>
    </row>
    <row r="560" ht="22.5" hidden="1" customHeight="1">
      <c r="A560" s="81">
        <v>45973.67368841435</v>
      </c>
      <c r="B560" s="82" t="s">
        <v>849</v>
      </c>
      <c r="C560" s="82" t="s">
        <v>2035</v>
      </c>
      <c r="D560" s="82" t="s">
        <v>2036</v>
      </c>
      <c r="F560" s="83">
        <v>45982.0</v>
      </c>
      <c r="G560" s="84" t="s">
        <v>2457</v>
      </c>
      <c r="H560" s="82" t="s">
        <v>2035</v>
      </c>
      <c r="I560" s="83">
        <v>45973.0</v>
      </c>
    </row>
    <row r="561" ht="22.5" hidden="1" customHeight="1">
      <c r="A561" s="81">
        <v>45974.480020821764</v>
      </c>
      <c r="B561" s="82" t="s">
        <v>836</v>
      </c>
      <c r="C561" s="82" t="s">
        <v>2038</v>
      </c>
      <c r="D561" s="82" t="s">
        <v>2036</v>
      </c>
      <c r="F561" s="83">
        <v>45985.0</v>
      </c>
      <c r="G561" s="84" t="s">
        <v>2458</v>
      </c>
      <c r="H561" s="82" t="s">
        <v>2035</v>
      </c>
      <c r="I561" s="83">
        <v>45974.0</v>
      </c>
    </row>
    <row r="562" ht="22.5" hidden="1" customHeight="1">
      <c r="A562" s="81">
        <v>45974.482279606484</v>
      </c>
      <c r="B562" s="82" t="s">
        <v>621</v>
      </c>
      <c r="C562" s="82" t="s">
        <v>2038</v>
      </c>
      <c r="D562" s="82" t="s">
        <v>2036</v>
      </c>
      <c r="F562" s="83">
        <v>45985.0</v>
      </c>
      <c r="G562" s="84" t="s">
        <v>2459</v>
      </c>
      <c r="H562" s="82" t="s">
        <v>2035</v>
      </c>
      <c r="I562" s="83">
        <v>45974.0</v>
      </c>
    </row>
    <row r="563" ht="22.5" hidden="1" customHeight="1">
      <c r="A563" s="81">
        <v>45974.483410347224</v>
      </c>
      <c r="B563" s="82" t="s">
        <v>696</v>
      </c>
      <c r="C563" s="82" t="s">
        <v>2038</v>
      </c>
      <c r="D563" s="82" t="s">
        <v>2034</v>
      </c>
      <c r="H563" s="82" t="s">
        <v>2035</v>
      </c>
      <c r="I563" s="83">
        <v>45974.0</v>
      </c>
      <c r="J563" s="84" t="s">
        <v>2460</v>
      </c>
    </row>
    <row r="564" ht="22.5" hidden="1" customHeight="1">
      <c r="A564" s="81">
        <v>45975.45403424768</v>
      </c>
      <c r="B564" s="82" t="s">
        <v>615</v>
      </c>
      <c r="C564" s="82" t="s">
        <v>2038</v>
      </c>
      <c r="D564" s="82" t="s">
        <v>2034</v>
      </c>
      <c r="H564" s="82" t="s">
        <v>2035</v>
      </c>
      <c r="I564" s="83">
        <v>45975.0</v>
      </c>
      <c r="J564" s="84" t="s">
        <v>2461</v>
      </c>
    </row>
    <row r="565" ht="22.5" hidden="1" customHeight="1">
      <c r="A565" s="81">
        <v>45975.45503914352</v>
      </c>
      <c r="B565" s="82" t="s">
        <v>648</v>
      </c>
      <c r="C565" s="82" t="s">
        <v>2038</v>
      </c>
      <c r="D565" s="82" t="s">
        <v>2034</v>
      </c>
      <c r="H565" s="82" t="s">
        <v>2035</v>
      </c>
      <c r="I565" s="83">
        <v>45975.0</v>
      </c>
      <c r="J565" s="84" t="s">
        <v>2462</v>
      </c>
    </row>
    <row r="566" ht="22.5" hidden="1" customHeight="1">
      <c r="A566" s="81">
        <v>45976.46025456018</v>
      </c>
      <c r="B566" s="82" t="s">
        <v>576</v>
      </c>
      <c r="C566" s="82" t="s">
        <v>2038</v>
      </c>
      <c r="D566" s="82" t="s">
        <v>2034</v>
      </c>
      <c r="H566" s="82" t="s">
        <v>2035</v>
      </c>
      <c r="I566" s="83">
        <v>45975.0</v>
      </c>
      <c r="J566" s="84" t="s">
        <v>2463</v>
      </c>
    </row>
    <row r="567" ht="22.5" hidden="1" customHeight="1">
      <c r="A567" s="81">
        <v>45976.461241412035</v>
      </c>
      <c r="B567" s="82" t="s">
        <v>772</v>
      </c>
      <c r="C567" s="82" t="s">
        <v>2038</v>
      </c>
      <c r="D567" s="82" t="s">
        <v>2034</v>
      </c>
      <c r="H567" s="82" t="s">
        <v>2035</v>
      </c>
      <c r="I567" s="83">
        <v>45975.0</v>
      </c>
      <c r="J567" s="84" t="s">
        <v>2464</v>
      </c>
    </row>
    <row r="568" ht="22.5" hidden="1" customHeight="1">
      <c r="A568" s="81">
        <v>45976.46455038195</v>
      </c>
      <c r="B568" s="82" t="s">
        <v>369</v>
      </c>
      <c r="C568" s="82" t="s">
        <v>2038</v>
      </c>
      <c r="D568" s="82" t="s">
        <v>2036</v>
      </c>
      <c r="F568" s="83">
        <v>45987.0</v>
      </c>
      <c r="G568" s="84" t="s">
        <v>2465</v>
      </c>
      <c r="H568" s="82" t="s">
        <v>2035</v>
      </c>
      <c r="I568" s="83">
        <v>45975.0</v>
      </c>
    </row>
    <row r="569" ht="22.5" hidden="1" customHeight="1">
      <c r="A569" s="81">
        <v>45976.46541215278</v>
      </c>
      <c r="B569" s="82" t="s">
        <v>726</v>
      </c>
      <c r="C569" s="82" t="s">
        <v>2038</v>
      </c>
      <c r="D569" s="82" t="s">
        <v>2036</v>
      </c>
      <c r="F569" s="83">
        <v>45987.0</v>
      </c>
      <c r="G569" s="84" t="s">
        <v>2466</v>
      </c>
      <c r="H569" s="82" t="s">
        <v>2035</v>
      </c>
      <c r="I569" s="83">
        <v>45975.0</v>
      </c>
    </row>
    <row r="570" ht="22.5" hidden="1" customHeight="1">
      <c r="A570" s="81">
        <v>45976.46714091435</v>
      </c>
      <c r="B570" s="82" t="s">
        <v>681</v>
      </c>
      <c r="C570" s="82" t="s">
        <v>2038</v>
      </c>
      <c r="D570" s="82" t="s">
        <v>2036</v>
      </c>
      <c r="F570" s="83">
        <v>45987.0</v>
      </c>
      <c r="G570" s="84" t="s">
        <v>2467</v>
      </c>
      <c r="H570" s="82" t="s">
        <v>2035</v>
      </c>
      <c r="I570" s="83">
        <v>45975.0</v>
      </c>
    </row>
    <row r="571" ht="22.5" hidden="1" customHeight="1">
      <c r="A571" s="81">
        <v>45976.468031446755</v>
      </c>
      <c r="B571" s="82" t="s">
        <v>601</v>
      </c>
      <c r="C571" s="82" t="s">
        <v>2038</v>
      </c>
      <c r="D571" s="82" t="s">
        <v>2036</v>
      </c>
      <c r="F571" s="83">
        <v>45988.0</v>
      </c>
      <c r="G571" s="84" t="s">
        <v>2468</v>
      </c>
      <c r="H571" s="82" t="s">
        <v>2035</v>
      </c>
      <c r="I571" s="83">
        <v>45976.0</v>
      </c>
    </row>
    <row r="572" ht="22.5" hidden="1" customHeight="1">
      <c r="A572" s="81">
        <v>45978.42971159722</v>
      </c>
      <c r="B572" s="82" t="s">
        <v>653</v>
      </c>
      <c r="C572" s="82" t="s">
        <v>2038</v>
      </c>
      <c r="D572" s="82" t="s">
        <v>2034</v>
      </c>
      <c r="H572" s="82" t="s">
        <v>2035</v>
      </c>
      <c r="I572" s="83">
        <v>45978.0</v>
      </c>
      <c r="J572" s="84" t="s">
        <v>2469</v>
      </c>
    </row>
    <row r="573" ht="22.5" hidden="1" customHeight="1">
      <c r="A573" s="81">
        <v>45978.43048247685</v>
      </c>
      <c r="B573" s="82" t="s">
        <v>767</v>
      </c>
      <c r="C573" s="82" t="s">
        <v>2038</v>
      </c>
      <c r="D573" s="82" t="s">
        <v>2034</v>
      </c>
      <c r="H573" s="82" t="s">
        <v>2035</v>
      </c>
      <c r="I573" s="83">
        <v>45978.0</v>
      </c>
      <c r="J573" s="84" t="s">
        <v>2470</v>
      </c>
    </row>
    <row r="574" ht="22.5" hidden="1" customHeight="1">
      <c r="A574" s="81">
        <v>45978.43177232639</v>
      </c>
      <c r="B574" s="82" t="s">
        <v>722</v>
      </c>
      <c r="C574" s="82" t="s">
        <v>2038</v>
      </c>
      <c r="D574" s="82" t="s">
        <v>2034</v>
      </c>
      <c r="H574" s="82" t="s">
        <v>2035</v>
      </c>
      <c r="I574" s="83">
        <v>45978.0</v>
      </c>
      <c r="J574" s="84" t="s">
        <v>2471</v>
      </c>
    </row>
    <row r="575" ht="22.5" hidden="1" customHeight="1">
      <c r="A575" s="81">
        <v>45978.590375405096</v>
      </c>
      <c r="B575" s="82" t="s">
        <v>718</v>
      </c>
      <c r="C575" s="82" t="s">
        <v>2035</v>
      </c>
      <c r="D575" s="82" t="s">
        <v>2036</v>
      </c>
      <c r="F575" s="83">
        <v>45987.0</v>
      </c>
      <c r="G575" s="84" t="s">
        <v>2472</v>
      </c>
      <c r="H575" s="82" t="s">
        <v>2035</v>
      </c>
      <c r="I575" s="83">
        <v>45978.0</v>
      </c>
    </row>
    <row r="576" ht="22.5" hidden="1" customHeight="1">
      <c r="A576" s="81">
        <v>45978.59149315972</v>
      </c>
      <c r="B576" s="82" t="s">
        <v>608</v>
      </c>
      <c r="C576" s="82" t="s">
        <v>2038</v>
      </c>
      <c r="D576" s="82" t="s">
        <v>2036</v>
      </c>
      <c r="F576" s="83">
        <v>45987.0</v>
      </c>
      <c r="G576" s="84" t="s">
        <v>2473</v>
      </c>
      <c r="H576" s="82" t="s">
        <v>2035</v>
      </c>
      <c r="I576" s="83">
        <v>45978.0</v>
      </c>
    </row>
    <row r="577" ht="22.5" hidden="1" customHeight="1">
      <c r="A577" s="81">
        <v>45979.69248140046</v>
      </c>
      <c r="B577" s="82" t="s">
        <v>821</v>
      </c>
      <c r="C577" s="82" t="s">
        <v>2035</v>
      </c>
      <c r="D577" s="82" t="s">
        <v>2036</v>
      </c>
      <c r="F577" s="83">
        <v>45989.0</v>
      </c>
      <c r="G577" s="84" t="s">
        <v>2474</v>
      </c>
      <c r="H577" s="82" t="s">
        <v>2035</v>
      </c>
      <c r="I577" s="83">
        <v>45979.0</v>
      </c>
    </row>
    <row r="578" ht="22.5" hidden="1" customHeight="1">
      <c r="A578" s="81">
        <v>45979.692943159724</v>
      </c>
      <c r="B578" s="82" t="s">
        <v>823</v>
      </c>
      <c r="C578" s="82" t="s">
        <v>2035</v>
      </c>
      <c r="D578" s="82" t="s">
        <v>2036</v>
      </c>
      <c r="F578" s="83">
        <v>45989.0</v>
      </c>
      <c r="G578" s="84" t="s">
        <v>2475</v>
      </c>
      <c r="H578" s="82" t="s">
        <v>2035</v>
      </c>
      <c r="I578" s="83">
        <v>45979.0</v>
      </c>
    </row>
    <row r="579" ht="22.5" hidden="1" customHeight="1">
      <c r="A579" s="81">
        <v>45979.69361203704</v>
      </c>
      <c r="B579" s="82" t="s">
        <v>804</v>
      </c>
      <c r="C579" s="82" t="s">
        <v>2035</v>
      </c>
      <c r="D579" s="82" t="s">
        <v>2036</v>
      </c>
      <c r="F579" s="83">
        <v>45989.0</v>
      </c>
      <c r="G579" s="84" t="s">
        <v>2476</v>
      </c>
      <c r="H579" s="82" t="s">
        <v>2035</v>
      </c>
      <c r="I579" s="83">
        <v>45979.0</v>
      </c>
    </row>
    <row r="580" ht="22.5" hidden="1" customHeight="1">
      <c r="A580" s="81">
        <v>45979.69439596064</v>
      </c>
      <c r="B580" s="82" t="s">
        <v>861</v>
      </c>
      <c r="C580" s="82" t="s">
        <v>2035</v>
      </c>
      <c r="D580" s="82" t="s">
        <v>2036</v>
      </c>
      <c r="F580" s="83">
        <v>45989.0</v>
      </c>
      <c r="G580" s="84" t="s">
        <v>2477</v>
      </c>
      <c r="H580" s="82" t="s">
        <v>2035</v>
      </c>
      <c r="I580" s="83">
        <v>45979.0</v>
      </c>
    </row>
    <row r="581" ht="22.5" hidden="1" customHeight="1">
      <c r="A581" s="81">
        <v>45979.696642800925</v>
      </c>
      <c r="B581" s="82" t="s">
        <v>828</v>
      </c>
      <c r="C581" s="82" t="s">
        <v>2038</v>
      </c>
      <c r="D581" s="82" t="s">
        <v>2034</v>
      </c>
      <c r="H581" s="82" t="s">
        <v>2035</v>
      </c>
      <c r="I581" s="83">
        <v>45979.0</v>
      </c>
      <c r="J581" s="84" t="s">
        <v>2478</v>
      </c>
    </row>
    <row r="582" ht="22.5" hidden="1" customHeight="1">
      <c r="A582" s="81">
        <v>45979.70449377315</v>
      </c>
      <c r="B582" s="82" t="s">
        <v>669</v>
      </c>
      <c r="C582" s="82" t="s">
        <v>2035</v>
      </c>
      <c r="D582" s="82" t="s">
        <v>2034</v>
      </c>
      <c r="H582" s="82" t="s">
        <v>2035</v>
      </c>
      <c r="I582" s="83">
        <v>45979.0</v>
      </c>
      <c r="J582" s="84" t="s">
        <v>2479</v>
      </c>
    </row>
    <row r="583" ht="22.5" hidden="1" customHeight="1">
      <c r="A583" s="81">
        <v>45980.55888240741</v>
      </c>
      <c r="B583" s="82" t="s">
        <v>747</v>
      </c>
      <c r="C583" s="82" t="s">
        <v>2038</v>
      </c>
      <c r="D583" s="82" t="s">
        <v>2034</v>
      </c>
      <c r="H583" s="82" t="s">
        <v>2035</v>
      </c>
      <c r="I583" s="83">
        <v>45980.0</v>
      </c>
      <c r="J583" s="84" t="s">
        <v>2480</v>
      </c>
    </row>
    <row r="584" ht="22.5" hidden="1" customHeight="1">
      <c r="A584" s="81">
        <v>45980.710367974534</v>
      </c>
      <c r="B584" s="82" t="s">
        <v>864</v>
      </c>
      <c r="C584" s="82" t="s">
        <v>2035</v>
      </c>
      <c r="D584" s="82" t="s">
        <v>2036</v>
      </c>
      <c r="F584" s="83">
        <v>45989.0</v>
      </c>
      <c r="G584" s="84" t="s">
        <v>2481</v>
      </c>
      <c r="H584" s="82" t="s">
        <v>2035</v>
      </c>
      <c r="I584" s="83">
        <v>45980.0</v>
      </c>
    </row>
    <row r="585" ht="22.5" hidden="1" customHeight="1">
      <c r="A585" s="81">
        <v>45980.71102185185</v>
      </c>
      <c r="B585" s="82" t="s">
        <v>474</v>
      </c>
      <c r="C585" s="82" t="s">
        <v>2035</v>
      </c>
      <c r="D585" s="82" t="s">
        <v>2036</v>
      </c>
      <c r="F585" s="83">
        <v>45989.0</v>
      </c>
      <c r="G585" s="84" t="s">
        <v>2482</v>
      </c>
      <c r="H585" s="82" t="s">
        <v>2035</v>
      </c>
      <c r="I585" s="83">
        <v>45980.0</v>
      </c>
    </row>
    <row r="586" ht="22.5" hidden="1" customHeight="1">
      <c r="A586" s="81">
        <v>45980.711412916666</v>
      </c>
      <c r="B586" s="82" t="s">
        <v>476</v>
      </c>
      <c r="C586" s="82" t="s">
        <v>2035</v>
      </c>
      <c r="D586" s="82" t="s">
        <v>2036</v>
      </c>
      <c r="F586" s="83">
        <v>45989.0</v>
      </c>
      <c r="G586" s="84" t="s">
        <v>2483</v>
      </c>
      <c r="H586" s="82" t="s">
        <v>2035</v>
      </c>
      <c r="I586" s="83">
        <v>45980.0</v>
      </c>
    </row>
    <row r="587" ht="22.5" hidden="1" customHeight="1">
      <c r="A587" s="81">
        <v>45981.6613595949</v>
      </c>
      <c r="B587" s="82" t="s">
        <v>869</v>
      </c>
      <c r="C587" s="82" t="s">
        <v>81</v>
      </c>
      <c r="D587" s="82" t="s">
        <v>2034</v>
      </c>
      <c r="H587" s="82" t="s">
        <v>2035</v>
      </c>
      <c r="I587" s="83">
        <v>45979.0</v>
      </c>
    </row>
    <row r="588" ht="22.5" hidden="1" customHeight="1">
      <c r="A588" s="81">
        <v>45981.66171673611</v>
      </c>
      <c r="B588" s="82" t="s">
        <v>870</v>
      </c>
      <c r="C588" s="82" t="s">
        <v>81</v>
      </c>
      <c r="D588" s="82" t="s">
        <v>2034</v>
      </c>
      <c r="H588" s="82" t="s">
        <v>2035</v>
      </c>
      <c r="I588" s="83">
        <v>45979.0</v>
      </c>
    </row>
    <row r="589" ht="22.5" hidden="1" customHeight="1">
      <c r="A589" s="81">
        <v>45982.40660837963</v>
      </c>
      <c r="B589" s="82" t="s">
        <v>878</v>
      </c>
      <c r="C589" s="82" t="s">
        <v>2038</v>
      </c>
      <c r="D589" s="82" t="s">
        <v>2036</v>
      </c>
      <c r="F589" s="83">
        <v>45992.0</v>
      </c>
      <c r="G589" s="84" t="s">
        <v>2484</v>
      </c>
      <c r="H589" s="82" t="s">
        <v>2035</v>
      </c>
      <c r="I589" s="83">
        <v>45981.0</v>
      </c>
    </row>
    <row r="590" ht="22.5" hidden="1" customHeight="1">
      <c r="A590" s="81">
        <v>45982.40756366898</v>
      </c>
      <c r="B590" s="82" t="s">
        <v>505</v>
      </c>
      <c r="C590" s="82" t="s">
        <v>2038</v>
      </c>
      <c r="D590" s="82" t="s">
        <v>2036</v>
      </c>
      <c r="F590" s="83">
        <v>45992.0</v>
      </c>
      <c r="G590" s="84" t="s">
        <v>2485</v>
      </c>
      <c r="H590" s="82" t="s">
        <v>2035</v>
      </c>
      <c r="I590" s="83">
        <v>45981.0</v>
      </c>
    </row>
    <row r="591" ht="22.5" hidden="1" customHeight="1">
      <c r="A591" s="81">
        <v>45982.437387303245</v>
      </c>
      <c r="B591" s="82" t="s">
        <v>884</v>
      </c>
      <c r="C591" s="82" t="s">
        <v>2038</v>
      </c>
      <c r="D591" s="82" t="s">
        <v>2036</v>
      </c>
      <c r="F591" s="83">
        <v>45993.0</v>
      </c>
      <c r="G591" s="84" t="s">
        <v>2486</v>
      </c>
      <c r="H591" s="82" t="s">
        <v>2035</v>
      </c>
      <c r="I591" s="83">
        <v>45982.0</v>
      </c>
    </row>
    <row r="592" ht="22.5" hidden="1" customHeight="1">
      <c r="A592" s="81">
        <v>45982.437718981484</v>
      </c>
      <c r="B592" s="82" t="s">
        <v>886</v>
      </c>
      <c r="C592" s="82" t="s">
        <v>2038</v>
      </c>
      <c r="D592" s="82" t="s">
        <v>2036</v>
      </c>
      <c r="F592" s="83">
        <v>45993.0</v>
      </c>
      <c r="G592" s="84" t="s">
        <v>2487</v>
      </c>
      <c r="H592" s="82" t="s">
        <v>2035</v>
      </c>
      <c r="I592" s="83">
        <v>45982.0</v>
      </c>
    </row>
    <row r="593" ht="22.5" hidden="1" customHeight="1">
      <c r="A593" s="81">
        <v>45982.43824982639</v>
      </c>
      <c r="B593" s="82" t="s">
        <v>887</v>
      </c>
      <c r="C593" s="82" t="s">
        <v>2038</v>
      </c>
      <c r="D593" s="82" t="s">
        <v>2036</v>
      </c>
      <c r="F593" s="83">
        <v>45993.0</v>
      </c>
      <c r="G593" s="84" t="s">
        <v>2488</v>
      </c>
      <c r="H593" s="82" t="s">
        <v>2035</v>
      </c>
      <c r="I593" s="83">
        <v>45982.0</v>
      </c>
    </row>
    <row r="594" ht="22.5" hidden="1" customHeight="1">
      <c r="A594" s="81">
        <v>45982.572905497684</v>
      </c>
      <c r="B594" s="82" t="s">
        <v>710</v>
      </c>
      <c r="C594" s="82" t="s">
        <v>2035</v>
      </c>
      <c r="D594" s="82" t="s">
        <v>2036</v>
      </c>
      <c r="F594" s="83">
        <v>45993.0</v>
      </c>
      <c r="G594" s="84" t="s">
        <v>2489</v>
      </c>
      <c r="H594" s="82" t="s">
        <v>2035</v>
      </c>
      <c r="I594" s="83">
        <v>45982.0</v>
      </c>
    </row>
    <row r="595" ht="22.5" hidden="1" customHeight="1">
      <c r="A595" s="81">
        <v>45982.67420432871</v>
      </c>
      <c r="B595" s="82" t="s">
        <v>704</v>
      </c>
      <c r="C595" s="82" t="s">
        <v>2038</v>
      </c>
      <c r="D595" s="82" t="s">
        <v>2034</v>
      </c>
      <c r="H595" s="82" t="s">
        <v>2035</v>
      </c>
      <c r="I595" s="83">
        <v>45982.0</v>
      </c>
      <c r="J595" s="84" t="s">
        <v>2490</v>
      </c>
    </row>
    <row r="596" ht="22.5" hidden="1" customHeight="1">
      <c r="A596" s="81">
        <v>45983.45216180556</v>
      </c>
      <c r="B596" s="82" t="s">
        <v>890</v>
      </c>
      <c r="C596" s="82" t="s">
        <v>81</v>
      </c>
      <c r="D596" s="82" t="s">
        <v>2034</v>
      </c>
      <c r="H596" s="82" t="s">
        <v>2035</v>
      </c>
      <c r="I596" s="83">
        <v>45982.0</v>
      </c>
    </row>
    <row r="597" ht="22.5" hidden="1" customHeight="1">
      <c r="A597" s="81">
        <v>45985.424888587964</v>
      </c>
      <c r="B597" s="82" t="s">
        <v>621</v>
      </c>
      <c r="C597" s="82" t="s">
        <v>2038</v>
      </c>
      <c r="D597" s="82" t="s">
        <v>2034</v>
      </c>
      <c r="H597" s="82" t="s">
        <v>2035</v>
      </c>
      <c r="I597" s="83">
        <v>45985.0</v>
      </c>
      <c r="J597" s="84" t="s">
        <v>2491</v>
      </c>
    </row>
    <row r="598" ht="22.5" hidden="1" customHeight="1">
      <c r="A598" s="81">
        <v>45985.42544011574</v>
      </c>
      <c r="B598" s="82" t="s">
        <v>836</v>
      </c>
      <c r="C598" s="82" t="s">
        <v>2038</v>
      </c>
      <c r="D598" s="82" t="s">
        <v>2034</v>
      </c>
      <c r="H598" s="82" t="s">
        <v>2035</v>
      </c>
      <c r="I598" s="83">
        <v>45985.0</v>
      </c>
      <c r="J598" s="84" t="s">
        <v>2492</v>
      </c>
    </row>
    <row r="599" ht="22.5" hidden="1" customHeight="1">
      <c r="A599" s="81">
        <v>45985.73968621528</v>
      </c>
      <c r="B599" s="82" t="s">
        <v>806</v>
      </c>
      <c r="C599" s="82" t="s">
        <v>2035</v>
      </c>
      <c r="D599" s="82" t="s">
        <v>2036</v>
      </c>
      <c r="F599" s="83">
        <v>45994.0</v>
      </c>
      <c r="G599" s="84" t="s">
        <v>2493</v>
      </c>
      <c r="H599" s="82" t="s">
        <v>2035</v>
      </c>
      <c r="I599" s="83">
        <v>45985.0</v>
      </c>
    </row>
    <row r="600" ht="22.5" hidden="1" customHeight="1">
      <c r="A600" s="81">
        <v>45985.74655106482</v>
      </c>
      <c r="B600" s="82" t="s">
        <v>882</v>
      </c>
      <c r="C600" s="82" t="s">
        <v>2035</v>
      </c>
      <c r="D600" s="82" t="s">
        <v>2036</v>
      </c>
      <c r="F600" s="83">
        <v>45994.0</v>
      </c>
      <c r="G600" s="84" t="s">
        <v>2494</v>
      </c>
      <c r="H600" s="82" t="s">
        <v>2035</v>
      </c>
      <c r="I600" s="83">
        <v>45985.0</v>
      </c>
    </row>
    <row r="601" ht="22.5" hidden="1" customHeight="1">
      <c r="A601" s="81">
        <v>45986.434783749995</v>
      </c>
      <c r="B601" s="82" t="s">
        <v>888</v>
      </c>
      <c r="C601" s="82" t="s">
        <v>2038</v>
      </c>
      <c r="D601" s="82" t="s">
        <v>2036</v>
      </c>
      <c r="F601" s="83">
        <v>45995.0</v>
      </c>
      <c r="G601" s="84" t="s">
        <v>2495</v>
      </c>
      <c r="H601" s="82" t="s">
        <v>2035</v>
      </c>
      <c r="I601" s="83">
        <v>45986.0</v>
      </c>
    </row>
    <row r="602" ht="22.5" hidden="1" customHeight="1">
      <c r="A602" s="81">
        <v>45986.43532895834</v>
      </c>
      <c r="B602" s="82" t="s">
        <v>871</v>
      </c>
      <c r="C602" s="82" t="s">
        <v>2038</v>
      </c>
      <c r="D602" s="82" t="s">
        <v>2036</v>
      </c>
      <c r="F602" s="83">
        <v>45995.0</v>
      </c>
      <c r="G602" s="84" t="s">
        <v>2496</v>
      </c>
      <c r="H602" s="82" t="s">
        <v>2035</v>
      </c>
      <c r="I602" s="83">
        <v>45986.0</v>
      </c>
    </row>
    <row r="603" ht="22.5" hidden="1" customHeight="1">
      <c r="A603" s="81">
        <v>45986.461844247686</v>
      </c>
      <c r="B603" s="82" t="s">
        <v>855</v>
      </c>
      <c r="C603" s="82" t="s">
        <v>2038</v>
      </c>
      <c r="D603" s="82" t="s">
        <v>2034</v>
      </c>
      <c r="H603" s="82" t="s">
        <v>2035</v>
      </c>
      <c r="I603" s="83">
        <v>45986.0</v>
      </c>
      <c r="J603" s="84" t="s">
        <v>2497</v>
      </c>
    </row>
    <row r="604" ht="22.5" hidden="1" customHeight="1">
      <c r="A604" s="81">
        <v>45987.415958125</v>
      </c>
      <c r="B604" s="82" t="s">
        <v>884</v>
      </c>
      <c r="C604" s="82" t="s">
        <v>2038</v>
      </c>
      <c r="D604" s="82" t="s">
        <v>2034</v>
      </c>
      <c r="H604" s="82" t="s">
        <v>2035</v>
      </c>
      <c r="I604" s="83">
        <v>45986.0</v>
      </c>
      <c r="J604" s="84" t="s">
        <v>2498</v>
      </c>
    </row>
    <row r="605" ht="22.5" hidden="1" customHeight="1">
      <c r="A605" s="81">
        <v>45987.41627888889</v>
      </c>
      <c r="B605" s="82" t="s">
        <v>886</v>
      </c>
      <c r="C605" s="82" t="s">
        <v>2038</v>
      </c>
      <c r="D605" s="82" t="s">
        <v>2034</v>
      </c>
      <c r="H605" s="82" t="s">
        <v>2035</v>
      </c>
      <c r="I605" s="83">
        <v>45986.0</v>
      </c>
      <c r="J605" s="84" t="s">
        <v>2499</v>
      </c>
    </row>
    <row r="606" ht="22.5" hidden="1" customHeight="1">
      <c r="A606" s="81">
        <v>45987.41661684027</v>
      </c>
      <c r="B606" s="82" t="s">
        <v>887</v>
      </c>
      <c r="C606" s="82" t="s">
        <v>2038</v>
      </c>
      <c r="D606" s="82" t="s">
        <v>2034</v>
      </c>
      <c r="H606" s="82" t="s">
        <v>2035</v>
      </c>
      <c r="I606" s="83">
        <v>45986.0</v>
      </c>
      <c r="J606" s="84" t="s">
        <v>2500</v>
      </c>
    </row>
    <row r="607" ht="22.5" hidden="1" customHeight="1">
      <c r="A607" s="81">
        <v>45987.41816707176</v>
      </c>
      <c r="B607" s="82" t="s">
        <v>601</v>
      </c>
      <c r="C607" s="82" t="s">
        <v>2038</v>
      </c>
      <c r="D607" s="82" t="s">
        <v>2036</v>
      </c>
      <c r="F607" s="83">
        <v>45996.0</v>
      </c>
      <c r="G607" s="84" t="s">
        <v>2501</v>
      </c>
      <c r="H607" s="82" t="s">
        <v>2035</v>
      </c>
      <c r="I607" s="83">
        <v>45987.0</v>
      </c>
    </row>
    <row r="608" ht="22.5" hidden="1" customHeight="1">
      <c r="A608" s="81">
        <v>45987.48378818287</v>
      </c>
      <c r="B608" s="82" t="s">
        <v>681</v>
      </c>
      <c r="C608" s="82" t="s">
        <v>2038</v>
      </c>
      <c r="D608" s="82" t="s">
        <v>2034</v>
      </c>
      <c r="H608" s="82" t="s">
        <v>2035</v>
      </c>
      <c r="I608" s="83">
        <v>45987.0</v>
      </c>
      <c r="J608" s="84" t="s">
        <v>2502</v>
      </c>
    </row>
    <row r="609" ht="22.5" hidden="1" customHeight="1">
      <c r="A609" s="81">
        <v>45987.48853777778</v>
      </c>
      <c r="B609" s="82" t="s">
        <v>718</v>
      </c>
      <c r="C609" s="82" t="s">
        <v>2038</v>
      </c>
      <c r="D609" s="82" t="s">
        <v>2034</v>
      </c>
      <c r="H609" s="82" t="s">
        <v>2035</v>
      </c>
      <c r="I609" s="83">
        <v>45987.0</v>
      </c>
      <c r="J609" s="84" t="s">
        <v>2503</v>
      </c>
    </row>
    <row r="610" ht="22.5" hidden="1" customHeight="1">
      <c r="A610" s="81">
        <v>45987.490973148146</v>
      </c>
      <c r="B610" s="82" t="s">
        <v>608</v>
      </c>
      <c r="C610" s="82" t="s">
        <v>2038</v>
      </c>
      <c r="D610" s="82" t="s">
        <v>2034</v>
      </c>
      <c r="H610" s="82" t="s">
        <v>2035</v>
      </c>
      <c r="I610" s="83">
        <v>45987.0</v>
      </c>
      <c r="J610" s="84" t="s">
        <v>2504</v>
      </c>
    </row>
    <row r="611" ht="22.5" hidden="1" customHeight="1">
      <c r="A611" s="81">
        <v>45987.4942659375</v>
      </c>
      <c r="B611" s="82" t="s">
        <v>369</v>
      </c>
      <c r="C611" s="82" t="s">
        <v>2038</v>
      </c>
      <c r="D611" s="82" t="s">
        <v>2034</v>
      </c>
      <c r="H611" s="82" t="s">
        <v>2035</v>
      </c>
      <c r="I611" s="83">
        <v>45987.0</v>
      </c>
      <c r="J611" s="84" t="s">
        <v>2505</v>
      </c>
    </row>
    <row r="612" ht="22.5" hidden="1" customHeight="1">
      <c r="A612" s="81">
        <v>45988.40105068287</v>
      </c>
      <c r="B612" s="82" t="s">
        <v>724</v>
      </c>
      <c r="C612" s="82" t="s">
        <v>2038</v>
      </c>
      <c r="D612" s="82" t="s">
        <v>2034</v>
      </c>
      <c r="H612" s="82" t="s">
        <v>2035</v>
      </c>
      <c r="I612" s="83">
        <v>45988.0</v>
      </c>
      <c r="J612" s="84" t="s">
        <v>2506</v>
      </c>
    </row>
    <row r="613" ht="22.5" hidden="1" customHeight="1">
      <c r="A613" s="81">
        <v>45988.724386828704</v>
      </c>
      <c r="B613" s="82" t="s">
        <v>804</v>
      </c>
      <c r="C613" s="82" t="s">
        <v>2038</v>
      </c>
      <c r="D613" s="82" t="s">
        <v>2034</v>
      </c>
      <c r="H613" s="82" t="s">
        <v>2035</v>
      </c>
      <c r="I613" s="83">
        <v>45988.0</v>
      </c>
      <c r="J613" s="84" t="s">
        <v>2507</v>
      </c>
    </row>
    <row r="614" ht="22.5" hidden="1" customHeight="1">
      <c r="A614" s="81">
        <v>45988.72536376158</v>
      </c>
      <c r="B614" s="82" t="s">
        <v>861</v>
      </c>
      <c r="C614" s="82" t="s">
        <v>2038</v>
      </c>
      <c r="D614" s="82" t="s">
        <v>2034</v>
      </c>
      <c r="H614" s="82" t="s">
        <v>2035</v>
      </c>
      <c r="I614" s="83">
        <v>45988.0</v>
      </c>
      <c r="J614" s="84" t="s">
        <v>2508</v>
      </c>
    </row>
    <row r="615" ht="22.5" hidden="1" customHeight="1">
      <c r="A615" s="81">
        <v>45989.45644596065</v>
      </c>
      <c r="B615" s="82" t="s">
        <v>849</v>
      </c>
      <c r="C615" s="82" t="s">
        <v>2035</v>
      </c>
      <c r="D615" s="82" t="s">
        <v>2036</v>
      </c>
      <c r="F615" s="83">
        <v>46000.0</v>
      </c>
      <c r="G615" s="84" t="s">
        <v>2509</v>
      </c>
      <c r="H615" s="82" t="s">
        <v>2035</v>
      </c>
      <c r="I615" s="83">
        <v>45989.0</v>
      </c>
    </row>
    <row r="616" ht="22.5" hidden="1" customHeight="1">
      <c r="A616" s="81">
        <v>45989.456910775465</v>
      </c>
      <c r="B616" s="82" t="s">
        <v>895</v>
      </c>
      <c r="C616" s="82" t="s">
        <v>2035</v>
      </c>
      <c r="D616" s="82" t="s">
        <v>2036</v>
      </c>
      <c r="F616" s="83">
        <v>46000.0</v>
      </c>
      <c r="G616" s="84" t="s">
        <v>2510</v>
      </c>
      <c r="H616" s="82" t="s">
        <v>2035</v>
      </c>
      <c r="I616" s="83">
        <v>45989.0</v>
      </c>
    </row>
    <row r="617" ht="22.5" hidden="1" customHeight="1">
      <c r="A617" s="81">
        <v>45989.45741123843</v>
      </c>
      <c r="B617" s="82" t="s">
        <v>897</v>
      </c>
      <c r="C617" s="82" t="s">
        <v>2035</v>
      </c>
      <c r="D617" s="82" t="s">
        <v>2036</v>
      </c>
      <c r="F617" s="83">
        <v>46000.0</v>
      </c>
      <c r="G617" s="84" t="s">
        <v>2511</v>
      </c>
      <c r="H617" s="82" t="s">
        <v>2035</v>
      </c>
      <c r="I617" s="83">
        <v>45989.0</v>
      </c>
    </row>
    <row r="618" ht="22.5" hidden="1" customHeight="1">
      <c r="A618" s="81">
        <v>45989.457795787035</v>
      </c>
      <c r="B618" s="82" t="s">
        <v>912</v>
      </c>
      <c r="C618" s="82" t="s">
        <v>2035</v>
      </c>
      <c r="D618" s="82" t="s">
        <v>2036</v>
      </c>
      <c r="F618" s="83">
        <v>46000.0</v>
      </c>
      <c r="G618" s="84" t="s">
        <v>2512</v>
      </c>
      <c r="H618" s="82" t="s">
        <v>2035</v>
      </c>
      <c r="I618" s="83">
        <v>45989.0</v>
      </c>
    </row>
    <row r="619" ht="22.5" hidden="1" customHeight="1">
      <c r="A619" s="81">
        <v>45989.45821712963</v>
      </c>
      <c r="B619" s="82" t="s">
        <v>911</v>
      </c>
      <c r="C619" s="82" t="s">
        <v>2035</v>
      </c>
      <c r="D619" s="82" t="s">
        <v>2036</v>
      </c>
      <c r="F619" s="83">
        <v>46000.0</v>
      </c>
      <c r="G619" s="84" t="s">
        <v>2513</v>
      </c>
      <c r="H619" s="82" t="s">
        <v>2035</v>
      </c>
      <c r="I619" s="83">
        <v>45989.0</v>
      </c>
    </row>
    <row r="620" ht="22.5" hidden="1" customHeight="1">
      <c r="A620" s="81">
        <v>45989.45860201389</v>
      </c>
      <c r="B620" s="82" t="s">
        <v>913</v>
      </c>
      <c r="C620" s="82" t="s">
        <v>2035</v>
      </c>
      <c r="D620" s="82" t="s">
        <v>2036</v>
      </c>
      <c r="F620" s="83">
        <v>46000.0</v>
      </c>
      <c r="G620" s="84" t="s">
        <v>2514</v>
      </c>
      <c r="H620" s="82" t="s">
        <v>2035</v>
      </c>
      <c r="I620" s="83">
        <v>45989.0</v>
      </c>
    </row>
    <row r="621" ht="22.5" hidden="1" customHeight="1">
      <c r="A621" s="81">
        <v>45989.459773229166</v>
      </c>
      <c r="B621" s="82" t="s">
        <v>914</v>
      </c>
      <c r="C621" s="82" t="s">
        <v>81</v>
      </c>
      <c r="D621" s="82" t="s">
        <v>2034</v>
      </c>
      <c r="H621" s="82" t="s">
        <v>2035</v>
      </c>
      <c r="I621" s="83">
        <v>45988.0</v>
      </c>
    </row>
    <row r="622" ht="22.5" hidden="1" customHeight="1">
      <c r="A622" s="81">
        <v>45989.608033553246</v>
      </c>
      <c r="B622" s="82" t="s">
        <v>563</v>
      </c>
      <c r="C622" s="82" t="s">
        <v>2035</v>
      </c>
      <c r="D622" s="82" t="s">
        <v>2036</v>
      </c>
      <c r="F622" s="83">
        <v>46000.0</v>
      </c>
      <c r="G622" s="84" t="s">
        <v>2515</v>
      </c>
      <c r="H622" s="82" t="s">
        <v>2035</v>
      </c>
      <c r="I622" s="83">
        <v>45989.0</v>
      </c>
    </row>
    <row r="623" ht="22.5" hidden="1" customHeight="1">
      <c r="A623" s="81">
        <v>45990.57161388889</v>
      </c>
      <c r="B623" s="82" t="s">
        <v>925</v>
      </c>
      <c r="C623" s="82" t="s">
        <v>81</v>
      </c>
      <c r="D623" s="82" t="s">
        <v>2034</v>
      </c>
      <c r="H623" s="82" t="s">
        <v>2035</v>
      </c>
      <c r="I623" s="83">
        <v>45990.0</v>
      </c>
    </row>
    <row r="624" ht="22.5" hidden="1" customHeight="1">
      <c r="A624" s="81">
        <v>45990.57185100694</v>
      </c>
      <c r="B624" s="82" t="s">
        <v>927</v>
      </c>
      <c r="C624" s="82" t="s">
        <v>81</v>
      </c>
      <c r="D624" s="82" t="s">
        <v>2034</v>
      </c>
      <c r="H624" s="82" t="s">
        <v>2035</v>
      </c>
      <c r="I624" s="83">
        <v>45990.0</v>
      </c>
    </row>
    <row r="625" ht="22.5" hidden="1" customHeight="1">
      <c r="A625" s="81">
        <v>45990.57215152778</v>
      </c>
      <c r="B625" s="82" t="s">
        <v>928</v>
      </c>
      <c r="C625" s="82" t="s">
        <v>81</v>
      </c>
      <c r="D625" s="82" t="s">
        <v>2034</v>
      </c>
      <c r="H625" s="82" t="s">
        <v>2035</v>
      </c>
      <c r="I625" s="83">
        <v>45990.0</v>
      </c>
    </row>
    <row r="626" ht="22.5" hidden="1" customHeight="1">
      <c r="A626" s="81">
        <v>45990.572542002315</v>
      </c>
      <c r="B626" s="82" t="s">
        <v>930</v>
      </c>
      <c r="C626" s="82" t="s">
        <v>81</v>
      </c>
      <c r="D626" s="82" t="s">
        <v>2034</v>
      </c>
      <c r="H626" s="82" t="s">
        <v>2035</v>
      </c>
      <c r="I626" s="83">
        <v>45990.0</v>
      </c>
    </row>
    <row r="627" ht="22.5" hidden="1" customHeight="1">
      <c r="A627" s="81">
        <v>45990.57279731482</v>
      </c>
      <c r="B627" s="82" t="s">
        <v>933</v>
      </c>
      <c r="C627" s="82" t="s">
        <v>81</v>
      </c>
      <c r="D627" s="82" t="s">
        <v>2034</v>
      </c>
      <c r="H627" s="82" t="s">
        <v>2035</v>
      </c>
      <c r="I627" s="83">
        <v>45990.0</v>
      </c>
    </row>
    <row r="628" ht="22.5" hidden="1" customHeight="1">
      <c r="A628" s="81">
        <v>45990.57323465278</v>
      </c>
      <c r="B628" s="82" t="s">
        <v>909</v>
      </c>
      <c r="C628" s="82" t="s">
        <v>81</v>
      </c>
      <c r="D628" s="82" t="s">
        <v>2034</v>
      </c>
      <c r="H628" s="82" t="s">
        <v>2035</v>
      </c>
      <c r="I628" s="83">
        <v>45987.0</v>
      </c>
    </row>
    <row r="629" ht="22.5" hidden="1" customHeight="1">
      <c r="A629" s="81">
        <v>45992.3933046412</v>
      </c>
      <c r="B629" s="82" t="s">
        <v>942</v>
      </c>
      <c r="C629" s="82" t="s">
        <v>81</v>
      </c>
      <c r="D629" s="82" t="s">
        <v>2034</v>
      </c>
      <c r="H629" s="82" t="s">
        <v>2035</v>
      </c>
      <c r="I629" s="83">
        <v>45992.0</v>
      </c>
    </row>
    <row r="630" ht="22.5" hidden="1" customHeight="1">
      <c r="A630" s="81">
        <v>45992.39354497685</v>
      </c>
      <c r="B630" s="82" t="s">
        <v>943</v>
      </c>
      <c r="C630" s="82" t="s">
        <v>81</v>
      </c>
      <c r="D630" s="82" t="s">
        <v>2034</v>
      </c>
      <c r="H630" s="82" t="s">
        <v>2035</v>
      </c>
      <c r="I630" s="83">
        <v>45992.0</v>
      </c>
    </row>
    <row r="631" ht="22.5" hidden="1" customHeight="1">
      <c r="A631" s="81">
        <v>45992.393786064815</v>
      </c>
      <c r="B631" s="82" t="s">
        <v>945</v>
      </c>
      <c r="C631" s="82" t="s">
        <v>81</v>
      </c>
      <c r="D631" s="82" t="s">
        <v>2034</v>
      </c>
      <c r="H631" s="82" t="s">
        <v>2035</v>
      </c>
      <c r="I631" s="83">
        <v>45992.0</v>
      </c>
    </row>
    <row r="632" ht="22.5" hidden="1" customHeight="1">
      <c r="A632" s="81">
        <v>45992.39398680556</v>
      </c>
      <c r="B632" s="82" t="s">
        <v>946</v>
      </c>
      <c r="C632" s="82" t="s">
        <v>81</v>
      </c>
      <c r="D632" s="82" t="s">
        <v>2034</v>
      </c>
      <c r="H632" s="82" t="s">
        <v>2035</v>
      </c>
      <c r="I632" s="83">
        <v>45992.0</v>
      </c>
    </row>
    <row r="633" ht="22.5" hidden="1" customHeight="1">
      <c r="A633" s="81">
        <v>45992.39425203703</v>
      </c>
      <c r="B633" s="82" t="s">
        <v>948</v>
      </c>
      <c r="C633" s="82" t="s">
        <v>81</v>
      </c>
      <c r="D633" s="82" t="s">
        <v>2034</v>
      </c>
      <c r="H633" s="82" t="s">
        <v>2035</v>
      </c>
      <c r="I633" s="83">
        <v>45992.0</v>
      </c>
    </row>
    <row r="634" ht="22.5" hidden="1" customHeight="1">
      <c r="A634" s="81">
        <v>45992.394411180554</v>
      </c>
      <c r="B634" s="82" t="s">
        <v>949</v>
      </c>
      <c r="C634" s="82" t="s">
        <v>81</v>
      </c>
      <c r="D634" s="82" t="s">
        <v>2034</v>
      </c>
      <c r="H634" s="82" t="s">
        <v>2035</v>
      </c>
      <c r="I634" s="83">
        <v>45992.0</v>
      </c>
    </row>
    <row r="635" ht="22.5" hidden="1" customHeight="1">
      <c r="A635" s="81">
        <v>45992.39469861111</v>
      </c>
      <c r="B635" s="82" t="s">
        <v>950</v>
      </c>
      <c r="C635" s="82" t="s">
        <v>81</v>
      </c>
      <c r="D635" s="82" t="s">
        <v>2034</v>
      </c>
      <c r="H635" s="82" t="s">
        <v>2035</v>
      </c>
      <c r="I635" s="83">
        <v>45992.0</v>
      </c>
    </row>
    <row r="636" ht="22.5" hidden="1" customHeight="1">
      <c r="A636" s="81">
        <v>45992.39489877315</v>
      </c>
      <c r="B636" s="82" t="s">
        <v>952</v>
      </c>
      <c r="C636" s="82" t="s">
        <v>81</v>
      </c>
      <c r="D636" s="82" t="s">
        <v>2034</v>
      </c>
      <c r="H636" s="82" t="s">
        <v>2035</v>
      </c>
      <c r="I636" s="83">
        <v>45992.0</v>
      </c>
    </row>
    <row r="637" ht="22.5" hidden="1" customHeight="1">
      <c r="A637" s="81">
        <v>45992.66056123843</v>
      </c>
      <c r="B637" s="82" t="s">
        <v>878</v>
      </c>
      <c r="C637" s="82" t="s">
        <v>2035</v>
      </c>
      <c r="D637" s="82" t="s">
        <v>2034</v>
      </c>
      <c r="H637" s="82" t="s">
        <v>2035</v>
      </c>
      <c r="I637" s="83">
        <v>45992.0</v>
      </c>
      <c r="J637" s="84" t="s">
        <v>2516</v>
      </c>
    </row>
    <row r="638" ht="22.5" hidden="1" customHeight="1">
      <c r="A638" s="81">
        <v>45992.66112178241</v>
      </c>
      <c r="B638" s="82" t="s">
        <v>864</v>
      </c>
      <c r="C638" s="82" t="s">
        <v>2035</v>
      </c>
      <c r="D638" s="82" t="s">
        <v>2034</v>
      </c>
      <c r="H638" s="82" t="s">
        <v>2035</v>
      </c>
      <c r="I638" s="83">
        <v>45992.0</v>
      </c>
      <c r="J638" s="84" t="s">
        <v>2517</v>
      </c>
    </row>
    <row r="639" ht="22.5" hidden="1" customHeight="1">
      <c r="A639" s="81">
        <v>45992.66240505787</v>
      </c>
      <c r="B639" s="82" t="s">
        <v>926</v>
      </c>
      <c r="C639" s="82" t="s">
        <v>2035</v>
      </c>
      <c r="D639" s="82" t="s">
        <v>2036</v>
      </c>
      <c r="F639" s="83">
        <v>46001.0</v>
      </c>
      <c r="G639" s="84" t="s">
        <v>2518</v>
      </c>
      <c r="H639" s="82" t="s">
        <v>2035</v>
      </c>
      <c r="I639" s="83">
        <v>45992.0</v>
      </c>
    </row>
    <row r="640" ht="22.5" hidden="1" customHeight="1">
      <c r="A640" s="81">
        <v>45992.66288334491</v>
      </c>
      <c r="B640" s="82" t="s">
        <v>941</v>
      </c>
      <c r="C640" s="82" t="s">
        <v>2035</v>
      </c>
      <c r="D640" s="82" t="s">
        <v>2036</v>
      </c>
      <c r="F640" s="83">
        <v>46001.0</v>
      </c>
      <c r="G640" s="84" t="s">
        <v>2519</v>
      </c>
      <c r="H640" s="82" t="s">
        <v>2035</v>
      </c>
      <c r="I640" s="83">
        <v>45992.0</v>
      </c>
    </row>
    <row r="641" ht="22.5" hidden="1" customHeight="1">
      <c r="A641" s="81">
        <v>45992.66357989583</v>
      </c>
      <c r="B641" s="82" t="s">
        <v>821</v>
      </c>
      <c r="C641" s="82" t="s">
        <v>2035</v>
      </c>
      <c r="D641" s="82" t="s">
        <v>2036</v>
      </c>
      <c r="F641" s="83">
        <v>46001.0</v>
      </c>
      <c r="G641" s="84" t="s">
        <v>2520</v>
      </c>
      <c r="H641" s="82" t="s">
        <v>2035</v>
      </c>
      <c r="I641" s="83">
        <v>45992.0</v>
      </c>
    </row>
    <row r="642" ht="22.5" hidden="1" customHeight="1">
      <c r="A642" s="81">
        <v>45992.66391811342</v>
      </c>
      <c r="B642" s="82" t="s">
        <v>823</v>
      </c>
      <c r="C642" s="82" t="s">
        <v>2035</v>
      </c>
      <c r="D642" s="82" t="s">
        <v>2036</v>
      </c>
      <c r="F642" s="83">
        <v>46001.0</v>
      </c>
      <c r="G642" s="84" t="s">
        <v>2521</v>
      </c>
      <c r="H642" s="82" t="s">
        <v>2035</v>
      </c>
      <c r="I642" s="83">
        <v>45992.0</v>
      </c>
    </row>
    <row r="643" ht="22.5" hidden="1" customHeight="1">
      <c r="A643" s="81">
        <v>45993.37189520833</v>
      </c>
      <c r="B643" s="82" t="s">
        <v>879</v>
      </c>
      <c r="C643" s="82" t="s">
        <v>2038</v>
      </c>
      <c r="D643" s="82" t="s">
        <v>2036</v>
      </c>
      <c r="F643" s="83">
        <v>45999.0</v>
      </c>
      <c r="G643" s="84" t="s">
        <v>2522</v>
      </c>
      <c r="H643" s="82" t="s">
        <v>2035</v>
      </c>
      <c r="I643" s="83">
        <v>45987.0</v>
      </c>
    </row>
    <row r="644" ht="22.5" hidden="1" customHeight="1">
      <c r="A644" s="81">
        <v>45993.65859907407</v>
      </c>
      <c r="B644" s="82" t="s">
        <v>944</v>
      </c>
      <c r="C644" s="82" t="s">
        <v>2035</v>
      </c>
      <c r="D644" s="82" t="s">
        <v>2036</v>
      </c>
      <c r="F644" s="83">
        <v>46002.0</v>
      </c>
      <c r="G644" s="84" t="s">
        <v>2523</v>
      </c>
      <c r="H644" s="82" t="s">
        <v>2035</v>
      </c>
      <c r="I644" s="83">
        <v>45993.0</v>
      </c>
    </row>
    <row r="645" ht="22.5" hidden="1" customHeight="1">
      <c r="A645" s="81">
        <v>45993.659229780096</v>
      </c>
      <c r="B645" s="82" t="s">
        <v>710</v>
      </c>
      <c r="C645" s="82" t="s">
        <v>2035</v>
      </c>
      <c r="D645" s="82" t="s">
        <v>2036</v>
      </c>
      <c r="F645" s="83">
        <v>46002.0</v>
      </c>
      <c r="G645" s="84" t="s">
        <v>2524</v>
      </c>
      <c r="H645" s="82" t="s">
        <v>2035</v>
      </c>
      <c r="I645" s="83">
        <v>45993.0</v>
      </c>
    </row>
    <row r="646" ht="22.5" hidden="1" customHeight="1">
      <c r="A646" s="81">
        <v>45993.6629088426</v>
      </c>
      <c r="B646" s="82" t="s">
        <v>505</v>
      </c>
      <c r="C646" s="82" t="s">
        <v>2038</v>
      </c>
      <c r="D646" s="82" t="s">
        <v>2036</v>
      </c>
      <c r="F646" s="83">
        <v>46002.0</v>
      </c>
      <c r="G646" s="84" t="s">
        <v>2525</v>
      </c>
      <c r="H646" s="82" t="s">
        <v>2035</v>
      </c>
      <c r="I646" s="83">
        <v>45993.0</v>
      </c>
    </row>
    <row r="647" ht="22.5" hidden="1" customHeight="1">
      <c r="A647" s="81">
        <v>45993.663498194444</v>
      </c>
      <c r="B647" s="82" t="s">
        <v>915</v>
      </c>
      <c r="C647" s="82" t="s">
        <v>2038</v>
      </c>
      <c r="D647" s="82" t="s">
        <v>2036</v>
      </c>
      <c r="F647" s="83">
        <v>46002.0</v>
      </c>
      <c r="G647" s="84" t="s">
        <v>2526</v>
      </c>
      <c r="H647" s="82" t="s">
        <v>2035</v>
      </c>
      <c r="I647" s="83">
        <v>45993.0</v>
      </c>
    </row>
    <row r="648" ht="22.5" hidden="1" customHeight="1">
      <c r="A648" s="81">
        <v>45993.66412452546</v>
      </c>
      <c r="B648" s="82" t="s">
        <v>947</v>
      </c>
      <c r="C648" s="82" t="s">
        <v>2038</v>
      </c>
      <c r="D648" s="82" t="s">
        <v>2036</v>
      </c>
      <c r="F648" s="83">
        <v>46002.0</v>
      </c>
      <c r="G648" s="84" t="s">
        <v>2527</v>
      </c>
      <c r="H648" s="82" t="s">
        <v>2035</v>
      </c>
      <c r="I648" s="83">
        <v>45993.0</v>
      </c>
    </row>
    <row r="649" ht="22.5" hidden="1" customHeight="1">
      <c r="A649" s="81">
        <v>45993.76148984954</v>
      </c>
      <c r="B649" s="82" t="s">
        <v>586</v>
      </c>
      <c r="C649" s="82" t="s">
        <v>81</v>
      </c>
      <c r="D649" s="82" t="s">
        <v>2034</v>
      </c>
      <c r="H649" s="82" t="s">
        <v>2035</v>
      </c>
      <c r="I649" s="83">
        <v>45993.0</v>
      </c>
    </row>
    <row r="650" ht="22.5" hidden="1" customHeight="1">
      <c r="A650" s="81">
        <v>45994.50038686342</v>
      </c>
      <c r="B650" s="82" t="s">
        <v>966</v>
      </c>
      <c r="C650" s="82" t="s">
        <v>81</v>
      </c>
      <c r="D650" s="82" t="s">
        <v>2034</v>
      </c>
      <c r="H650" s="82" t="s">
        <v>2035</v>
      </c>
      <c r="I650" s="83">
        <v>45991.0</v>
      </c>
    </row>
    <row r="651" ht="22.5" hidden="1" customHeight="1">
      <c r="A651" s="81">
        <v>45994.50075042824</v>
      </c>
      <c r="B651" s="82" t="s">
        <v>968</v>
      </c>
      <c r="C651" s="82" t="s">
        <v>81</v>
      </c>
      <c r="D651" s="82" t="s">
        <v>2034</v>
      </c>
      <c r="H651" s="82" t="s">
        <v>2035</v>
      </c>
      <c r="I651" s="83">
        <v>45991.0</v>
      </c>
    </row>
    <row r="652" ht="22.5" hidden="1" customHeight="1">
      <c r="A652" s="81">
        <v>45994.506038680556</v>
      </c>
      <c r="B652" s="82" t="s">
        <v>964</v>
      </c>
      <c r="C652" s="82" t="s">
        <v>81</v>
      </c>
      <c r="D652" s="82" t="s">
        <v>2036</v>
      </c>
      <c r="H652" s="82" t="s">
        <v>2035</v>
      </c>
      <c r="I652" s="83">
        <v>45992.0</v>
      </c>
    </row>
    <row r="653" ht="22.5" hidden="1" customHeight="1">
      <c r="A653" s="81">
        <v>45994.69112148148</v>
      </c>
      <c r="B653" s="82" t="s">
        <v>871</v>
      </c>
      <c r="C653" s="82" t="s">
        <v>2038</v>
      </c>
      <c r="D653" s="82" t="s">
        <v>2034</v>
      </c>
      <c r="H653" s="82" t="s">
        <v>2035</v>
      </c>
      <c r="I653" s="83">
        <v>45994.0</v>
      </c>
      <c r="J653" s="84" t="s">
        <v>2528</v>
      </c>
    </row>
    <row r="654" ht="22.5" hidden="1" customHeight="1">
      <c r="A654" s="81">
        <v>45994.69484273148</v>
      </c>
      <c r="B654" s="82" t="s">
        <v>918</v>
      </c>
      <c r="C654" s="82" t="s">
        <v>2035</v>
      </c>
      <c r="D654" s="82" t="s">
        <v>2036</v>
      </c>
      <c r="F654" s="83">
        <v>46003.0</v>
      </c>
      <c r="G654" s="84" t="s">
        <v>2529</v>
      </c>
      <c r="H654" s="82" t="s">
        <v>2035</v>
      </c>
      <c r="I654" s="83">
        <v>45994.0</v>
      </c>
    </row>
    <row r="655" ht="22.5" hidden="1" customHeight="1">
      <c r="A655" s="81">
        <v>45994.710216990745</v>
      </c>
      <c r="B655" s="82" t="s">
        <v>902</v>
      </c>
      <c r="C655" s="82" t="s">
        <v>2035</v>
      </c>
      <c r="D655" s="82" t="s">
        <v>2036</v>
      </c>
      <c r="F655" s="83">
        <v>46003.0</v>
      </c>
      <c r="G655" s="84" t="s">
        <v>2530</v>
      </c>
      <c r="H655" s="82" t="s">
        <v>2035</v>
      </c>
      <c r="I655" s="83">
        <v>45994.0</v>
      </c>
    </row>
    <row r="656" ht="22.5" hidden="1" customHeight="1">
      <c r="A656" s="81">
        <v>45994.71276623843</v>
      </c>
      <c r="B656" s="82" t="s">
        <v>956</v>
      </c>
      <c r="C656" s="82" t="s">
        <v>2035</v>
      </c>
      <c r="D656" s="82" t="s">
        <v>2036</v>
      </c>
      <c r="F656" s="83">
        <v>46003.0</v>
      </c>
      <c r="G656" s="84" t="s">
        <v>2531</v>
      </c>
      <c r="H656" s="82" t="s">
        <v>2035</v>
      </c>
      <c r="I656" s="83">
        <v>45994.0</v>
      </c>
    </row>
    <row r="657" ht="22.5" hidden="1" customHeight="1">
      <c r="A657" s="81">
        <v>45994.71574118055</v>
      </c>
      <c r="B657" s="82" t="s">
        <v>904</v>
      </c>
      <c r="C657" s="82" t="s">
        <v>2035</v>
      </c>
      <c r="D657" s="82" t="s">
        <v>2036</v>
      </c>
      <c r="F657" s="83">
        <v>46003.0</v>
      </c>
      <c r="G657" s="84" t="s">
        <v>2532</v>
      </c>
      <c r="H657" s="82" t="s">
        <v>2035</v>
      </c>
      <c r="I657" s="83">
        <v>45994.0</v>
      </c>
    </row>
    <row r="658" ht="22.5" hidden="1" customHeight="1">
      <c r="A658" s="81">
        <v>45995.35147822917</v>
      </c>
      <c r="B658" s="82" t="s">
        <v>971</v>
      </c>
      <c r="C658" s="82" t="s">
        <v>2035</v>
      </c>
      <c r="D658" s="82" t="s">
        <v>2036</v>
      </c>
      <c r="F658" s="83">
        <v>46003.0</v>
      </c>
      <c r="G658" s="84" t="s">
        <v>2533</v>
      </c>
      <c r="H658" s="82" t="s">
        <v>2035</v>
      </c>
      <c r="I658" s="83">
        <v>45994.0</v>
      </c>
    </row>
    <row r="659" ht="22.5" hidden="1" customHeight="1">
      <c r="A659" s="81">
        <v>45995.51666995371</v>
      </c>
      <c r="B659" s="82" t="s">
        <v>970</v>
      </c>
      <c r="C659" s="82" t="s">
        <v>2035</v>
      </c>
      <c r="D659" s="82" t="s">
        <v>2036</v>
      </c>
      <c r="F659" s="83">
        <v>46004.0</v>
      </c>
      <c r="G659" s="84" t="s">
        <v>2534</v>
      </c>
      <c r="H659" s="82" t="s">
        <v>2035</v>
      </c>
      <c r="I659" s="83">
        <v>45995.0</v>
      </c>
    </row>
    <row r="660" ht="22.5" hidden="1" customHeight="1">
      <c r="A660" s="81">
        <v>45995.651601157406</v>
      </c>
      <c r="B660" s="82" t="s">
        <v>2175</v>
      </c>
      <c r="C660" s="82" t="s">
        <v>2035</v>
      </c>
      <c r="D660" s="82" t="s">
        <v>2036</v>
      </c>
      <c r="F660" s="83">
        <v>46005.0</v>
      </c>
      <c r="G660" s="84" t="s">
        <v>2535</v>
      </c>
      <c r="H660" s="82" t="s">
        <v>2035</v>
      </c>
      <c r="I660" s="83">
        <v>45995.0</v>
      </c>
    </row>
    <row r="661" ht="22.5" hidden="1" customHeight="1">
      <c r="A661" s="81">
        <v>45995.68972733796</v>
      </c>
      <c r="B661" s="82" t="s">
        <v>977</v>
      </c>
      <c r="C661" s="82" t="s">
        <v>81</v>
      </c>
      <c r="D661" s="82" t="s">
        <v>2034</v>
      </c>
      <c r="H661" s="82" t="s">
        <v>2035</v>
      </c>
      <c r="I661" s="83">
        <v>45995.0</v>
      </c>
      <c r="J661" s="84" t="s">
        <v>2536</v>
      </c>
    </row>
    <row r="662" ht="22.5" hidden="1" customHeight="1">
      <c r="A662" s="81">
        <v>45995.69018013889</v>
      </c>
      <c r="B662" s="82" t="s">
        <v>980</v>
      </c>
      <c r="C662" s="82" t="s">
        <v>81</v>
      </c>
      <c r="D662" s="82" t="s">
        <v>2034</v>
      </c>
      <c r="H662" s="82" t="s">
        <v>2035</v>
      </c>
      <c r="I662" s="83">
        <v>45995.0</v>
      </c>
      <c r="J662" s="84" t="s">
        <v>2537</v>
      </c>
    </row>
    <row r="663" ht="22.5" hidden="1" customHeight="1">
      <c r="A663" s="81">
        <v>45995.69622056713</v>
      </c>
      <c r="B663" s="82" t="s">
        <v>601</v>
      </c>
      <c r="C663" s="82" t="s">
        <v>2038</v>
      </c>
      <c r="D663" s="82" t="s">
        <v>2034</v>
      </c>
      <c r="H663" s="82" t="s">
        <v>2035</v>
      </c>
      <c r="I663" s="83">
        <v>45995.0</v>
      </c>
      <c r="J663" s="84" t="s">
        <v>2538</v>
      </c>
    </row>
    <row r="664" ht="22.5" hidden="1" customHeight="1">
      <c r="A664" s="81">
        <v>45996.42979200232</v>
      </c>
      <c r="B664" s="82" t="s">
        <v>981</v>
      </c>
      <c r="C664" s="82" t="s">
        <v>2035</v>
      </c>
      <c r="D664" s="82" t="s">
        <v>2036</v>
      </c>
      <c r="F664" s="83">
        <v>46006.0</v>
      </c>
      <c r="G664" s="84" t="s">
        <v>2539</v>
      </c>
      <c r="H664" s="82" t="s">
        <v>2035</v>
      </c>
      <c r="I664" s="83">
        <v>45995.0</v>
      </c>
    </row>
    <row r="665" ht="22.5" hidden="1" customHeight="1">
      <c r="A665" s="81">
        <v>45996.66609932871</v>
      </c>
      <c r="B665" s="82" t="s">
        <v>882</v>
      </c>
      <c r="C665" s="82" t="s">
        <v>2035</v>
      </c>
      <c r="D665" s="82" t="s">
        <v>2036</v>
      </c>
      <c r="F665" s="83">
        <v>46007.0</v>
      </c>
      <c r="G665" s="84" t="s">
        <v>2540</v>
      </c>
      <c r="H665" s="82" t="s">
        <v>2035</v>
      </c>
      <c r="I665" s="83">
        <v>45996.0</v>
      </c>
    </row>
    <row r="666" ht="22.5" hidden="1" customHeight="1">
      <c r="A666" s="81">
        <v>45996.66686287037</v>
      </c>
      <c r="B666" s="82" t="s">
        <v>987</v>
      </c>
      <c r="C666" s="82" t="s">
        <v>2035</v>
      </c>
      <c r="D666" s="82" t="s">
        <v>2036</v>
      </c>
      <c r="F666" s="83">
        <v>46007.0</v>
      </c>
      <c r="G666" s="84" t="s">
        <v>2541</v>
      </c>
      <c r="H666" s="82" t="s">
        <v>2035</v>
      </c>
      <c r="I666" s="83">
        <v>45996.0</v>
      </c>
    </row>
    <row r="667" ht="22.5" hidden="1" customHeight="1">
      <c r="A667" s="81">
        <v>45996.66861375</v>
      </c>
      <c r="B667" s="82" t="s">
        <v>988</v>
      </c>
      <c r="C667" s="82" t="s">
        <v>2035</v>
      </c>
      <c r="D667" s="82" t="s">
        <v>2036</v>
      </c>
      <c r="F667" s="83">
        <v>46007.0</v>
      </c>
      <c r="G667" s="84" t="s">
        <v>2542</v>
      </c>
      <c r="H667" s="82" t="s">
        <v>2035</v>
      </c>
      <c r="I667" s="83">
        <v>45996.0</v>
      </c>
    </row>
    <row r="668" ht="22.5" hidden="1" customHeight="1">
      <c r="A668" s="81">
        <v>45996.66918298611</v>
      </c>
      <c r="B668" s="82" t="s">
        <v>888</v>
      </c>
      <c r="C668" s="82" t="s">
        <v>2035</v>
      </c>
      <c r="D668" s="82" t="s">
        <v>2036</v>
      </c>
      <c r="F668" s="83">
        <v>46007.0</v>
      </c>
      <c r="G668" s="84" t="s">
        <v>2543</v>
      </c>
      <c r="H668" s="82" t="s">
        <v>2035</v>
      </c>
      <c r="I668" s="83">
        <v>45996.0</v>
      </c>
    </row>
    <row r="669" ht="22.5" hidden="1" customHeight="1">
      <c r="A669" s="81">
        <v>45996.70724340278</v>
      </c>
      <c r="B669" s="82" t="s">
        <v>879</v>
      </c>
      <c r="C669" s="82" t="s">
        <v>2038</v>
      </c>
      <c r="D669" s="82" t="s">
        <v>2034</v>
      </c>
      <c r="H669" s="82" t="s">
        <v>2035</v>
      </c>
      <c r="I669" s="83">
        <v>45996.0</v>
      </c>
      <c r="J669" s="84" t="s">
        <v>2544</v>
      </c>
    </row>
    <row r="670" ht="22.5" hidden="1" customHeight="1">
      <c r="A670" s="81">
        <v>45997.44401673611</v>
      </c>
      <c r="B670" s="82" t="s">
        <v>517</v>
      </c>
      <c r="C670" s="82" t="s">
        <v>2035</v>
      </c>
      <c r="D670" s="82" t="s">
        <v>2036</v>
      </c>
      <c r="F670" s="83">
        <v>46008.0</v>
      </c>
      <c r="G670" s="84" t="s">
        <v>2545</v>
      </c>
      <c r="H670" s="82" t="s">
        <v>2035</v>
      </c>
      <c r="I670" s="83">
        <v>45997.0</v>
      </c>
    </row>
    <row r="671" ht="22.5" hidden="1" customHeight="1">
      <c r="A671" s="81">
        <v>45997.44490953704</v>
      </c>
      <c r="B671" s="82" t="s">
        <v>474</v>
      </c>
      <c r="C671" s="82" t="s">
        <v>2035</v>
      </c>
      <c r="D671" s="82" t="s">
        <v>2036</v>
      </c>
      <c r="F671" s="83">
        <v>46008.0</v>
      </c>
      <c r="G671" s="84" t="s">
        <v>2546</v>
      </c>
      <c r="H671" s="82" t="s">
        <v>2035</v>
      </c>
      <c r="I671" s="83">
        <v>45997.0</v>
      </c>
    </row>
    <row r="672" ht="22.5" hidden="1" customHeight="1">
      <c r="A672" s="81">
        <v>45997.44554925926</v>
      </c>
      <c r="B672" s="82" t="s">
        <v>476</v>
      </c>
      <c r="C672" s="82" t="s">
        <v>2035</v>
      </c>
      <c r="D672" s="82" t="s">
        <v>2036</v>
      </c>
      <c r="F672" s="83">
        <v>46008.0</v>
      </c>
      <c r="G672" s="84" t="s">
        <v>2547</v>
      </c>
      <c r="H672" s="82" t="s">
        <v>2035</v>
      </c>
      <c r="I672" s="83">
        <v>45997.0</v>
      </c>
    </row>
    <row r="673" ht="22.5" hidden="1" customHeight="1">
      <c r="A673" s="81">
        <v>45999.6241050463</v>
      </c>
      <c r="B673" s="82" t="s">
        <v>982</v>
      </c>
      <c r="C673" s="82" t="s">
        <v>81</v>
      </c>
      <c r="D673" s="82" t="s">
        <v>2034</v>
      </c>
      <c r="H673" s="82" t="s">
        <v>2035</v>
      </c>
      <c r="I673" s="83">
        <v>45996.0</v>
      </c>
      <c r="J673" s="84" t="s">
        <v>2548</v>
      </c>
    </row>
    <row r="674" ht="22.5" hidden="1" customHeight="1">
      <c r="A674" s="81">
        <v>45999.63706616898</v>
      </c>
      <c r="B674" s="82" t="s">
        <v>905</v>
      </c>
      <c r="C674" s="82" t="s">
        <v>2038</v>
      </c>
      <c r="D674" s="82" t="s">
        <v>2036</v>
      </c>
      <c r="F674" s="83">
        <v>46008.0</v>
      </c>
      <c r="G674" s="84" t="s">
        <v>2549</v>
      </c>
      <c r="H674" s="82" t="s">
        <v>2035</v>
      </c>
      <c r="I674" s="83">
        <v>45999.0</v>
      </c>
    </row>
    <row r="675" ht="22.5" hidden="1" customHeight="1">
      <c r="A675" s="81">
        <v>45999.63999924768</v>
      </c>
      <c r="B675" s="82" t="s">
        <v>953</v>
      </c>
      <c r="C675" s="82" t="s">
        <v>2038</v>
      </c>
      <c r="D675" s="82" t="s">
        <v>2036</v>
      </c>
      <c r="F675" s="83">
        <v>46008.0</v>
      </c>
      <c r="G675" s="84" t="s">
        <v>2550</v>
      </c>
      <c r="H675" s="82" t="s">
        <v>2035</v>
      </c>
      <c r="I675" s="83">
        <v>45999.0</v>
      </c>
    </row>
    <row r="676" ht="22.5" hidden="1" customHeight="1">
      <c r="A676" s="81">
        <v>45999.64126052083</v>
      </c>
      <c r="B676" s="82" t="s">
        <v>989</v>
      </c>
      <c r="C676" s="82" t="s">
        <v>2035</v>
      </c>
      <c r="D676" s="82" t="s">
        <v>2036</v>
      </c>
      <c r="F676" s="83">
        <v>46010.0</v>
      </c>
      <c r="G676" s="84" t="s">
        <v>2551</v>
      </c>
      <c r="H676" s="82" t="s">
        <v>2035</v>
      </c>
      <c r="I676" s="83">
        <v>45999.0</v>
      </c>
    </row>
    <row r="677" ht="22.5" hidden="1" customHeight="1">
      <c r="A677" s="81">
        <v>45999.66870488426</v>
      </c>
      <c r="B677" s="82" t="s">
        <v>929</v>
      </c>
      <c r="C677" s="82" t="s">
        <v>2035</v>
      </c>
      <c r="D677" s="82" t="s">
        <v>2036</v>
      </c>
      <c r="F677" s="83">
        <v>46008.0</v>
      </c>
      <c r="G677" s="84" t="s">
        <v>2552</v>
      </c>
      <c r="H677" s="82" t="s">
        <v>2035</v>
      </c>
      <c r="I677" s="83">
        <v>45997.0</v>
      </c>
    </row>
    <row r="678" ht="22.5" hidden="1" customHeight="1">
      <c r="A678" s="81">
        <v>46000.41302460648</v>
      </c>
      <c r="B678" s="82" t="s">
        <v>852</v>
      </c>
      <c r="C678" s="82" t="s">
        <v>2035</v>
      </c>
      <c r="D678" s="82" t="s">
        <v>2036</v>
      </c>
      <c r="F678" s="83">
        <v>46011.0</v>
      </c>
      <c r="G678" s="84" t="s">
        <v>2553</v>
      </c>
      <c r="H678" s="82" t="s">
        <v>2035</v>
      </c>
      <c r="I678" s="83">
        <v>46000.0</v>
      </c>
    </row>
    <row r="679" ht="22.5" hidden="1" customHeight="1">
      <c r="A679" s="81">
        <v>46000.413377997684</v>
      </c>
      <c r="B679" s="82" t="s">
        <v>858</v>
      </c>
      <c r="C679" s="82" t="s">
        <v>2035</v>
      </c>
      <c r="D679" s="82" t="s">
        <v>2036</v>
      </c>
      <c r="F679" s="83">
        <v>46011.0</v>
      </c>
      <c r="G679" s="84" t="s">
        <v>2554</v>
      </c>
      <c r="H679" s="82" t="s">
        <v>2035</v>
      </c>
      <c r="I679" s="83">
        <v>46000.0</v>
      </c>
    </row>
    <row r="680" ht="22.5" hidden="1" customHeight="1">
      <c r="A680" s="81">
        <v>46000.43735317129</v>
      </c>
      <c r="B680" s="82" t="s">
        <v>985</v>
      </c>
      <c r="C680" s="82" t="s">
        <v>2035</v>
      </c>
      <c r="D680" s="82" t="s">
        <v>2036</v>
      </c>
      <c r="F680" s="83">
        <v>46011.0</v>
      </c>
      <c r="G680" s="84" t="s">
        <v>2555</v>
      </c>
      <c r="H680" s="82" t="s">
        <v>2035</v>
      </c>
      <c r="I680" s="83">
        <v>46000.0</v>
      </c>
    </row>
    <row r="681" ht="22.5" hidden="1" customHeight="1">
      <c r="A681" s="81">
        <v>46000.481586435184</v>
      </c>
      <c r="B681" s="82" t="s">
        <v>913</v>
      </c>
      <c r="C681" s="82" t="s">
        <v>2038</v>
      </c>
      <c r="D681" s="82" t="s">
        <v>2034</v>
      </c>
      <c r="H681" s="82" t="s">
        <v>2035</v>
      </c>
      <c r="I681" s="83">
        <v>46000.0</v>
      </c>
      <c r="J681" s="84" t="s">
        <v>2556</v>
      </c>
    </row>
    <row r="682" ht="22.5" hidden="1" customHeight="1">
      <c r="A682" s="81">
        <v>46000.48235386574</v>
      </c>
      <c r="B682" s="82" t="s">
        <v>987</v>
      </c>
      <c r="C682" s="82" t="s">
        <v>2038</v>
      </c>
      <c r="D682" s="82" t="s">
        <v>2034</v>
      </c>
      <c r="H682" s="82" t="s">
        <v>2035</v>
      </c>
      <c r="I682" s="83">
        <v>46000.0</v>
      </c>
      <c r="J682" s="84" t="s">
        <v>2557</v>
      </c>
    </row>
    <row r="683" ht="22.5" hidden="1" customHeight="1">
      <c r="A683" s="81">
        <v>46000.482698576394</v>
      </c>
      <c r="B683" s="82" t="s">
        <v>988</v>
      </c>
      <c r="C683" s="82" t="s">
        <v>2038</v>
      </c>
      <c r="D683" s="82" t="s">
        <v>2034</v>
      </c>
      <c r="H683" s="82" t="s">
        <v>2035</v>
      </c>
      <c r="I683" s="83">
        <v>46000.0</v>
      </c>
      <c r="J683" s="84" t="s">
        <v>2558</v>
      </c>
    </row>
    <row r="684" ht="22.5" hidden="1" customHeight="1">
      <c r="A684" s="81">
        <v>46000.48313571759</v>
      </c>
      <c r="B684" s="82" t="s">
        <v>897</v>
      </c>
      <c r="C684" s="82" t="s">
        <v>2038</v>
      </c>
      <c r="D684" s="82" t="s">
        <v>2034</v>
      </c>
      <c r="H684" s="82" t="s">
        <v>2035</v>
      </c>
      <c r="I684" s="83">
        <v>46000.0</v>
      </c>
      <c r="J684" s="84" t="s">
        <v>2559</v>
      </c>
    </row>
    <row r="685" ht="22.5" hidden="1" customHeight="1">
      <c r="A685" s="81">
        <v>46000.483456030095</v>
      </c>
      <c r="B685" s="82" t="s">
        <v>895</v>
      </c>
      <c r="C685" s="82" t="s">
        <v>2038</v>
      </c>
      <c r="D685" s="82" t="s">
        <v>2034</v>
      </c>
      <c r="H685" s="82" t="s">
        <v>2035</v>
      </c>
      <c r="I685" s="83">
        <v>46000.0</v>
      </c>
      <c r="J685" s="84" t="s">
        <v>2560</v>
      </c>
    </row>
    <row r="686" ht="22.5" hidden="1" customHeight="1">
      <c r="A686" s="81">
        <v>46000.633923333335</v>
      </c>
      <c r="B686" s="82" t="s">
        <v>110</v>
      </c>
      <c r="C686" s="82" t="s">
        <v>2035</v>
      </c>
      <c r="D686" s="82" t="s">
        <v>2036</v>
      </c>
      <c r="F686" s="83">
        <v>46011.0</v>
      </c>
      <c r="G686" s="84" t="s">
        <v>2561</v>
      </c>
      <c r="H686" s="82" t="s">
        <v>2035</v>
      </c>
      <c r="I686" s="83">
        <v>46000.0</v>
      </c>
    </row>
    <row r="687" ht="22.5" hidden="1" customHeight="1">
      <c r="A687" s="81">
        <v>46000.635081238426</v>
      </c>
      <c r="B687" s="82" t="s">
        <v>994</v>
      </c>
      <c r="C687" s="82" t="s">
        <v>2035</v>
      </c>
      <c r="D687" s="82" t="s">
        <v>2036</v>
      </c>
      <c r="F687" s="83">
        <v>46011.0</v>
      </c>
      <c r="G687" s="84" t="s">
        <v>2562</v>
      </c>
      <c r="H687" s="82" t="s">
        <v>2035</v>
      </c>
      <c r="I687" s="83">
        <v>46000.0</v>
      </c>
    </row>
    <row r="688" ht="22.5" hidden="1" customHeight="1">
      <c r="A688" s="81">
        <v>46001.368547314814</v>
      </c>
      <c r="B688" s="82" t="s">
        <v>996</v>
      </c>
      <c r="C688" s="82" t="s">
        <v>81</v>
      </c>
      <c r="D688" s="82" t="s">
        <v>2034</v>
      </c>
      <c r="H688" s="82" t="s">
        <v>2035</v>
      </c>
      <c r="I688" s="83">
        <v>46000.0</v>
      </c>
    </row>
    <row r="689" ht="22.5" hidden="1" customHeight="1">
      <c r="A689" s="81">
        <v>46001.36875203704</v>
      </c>
      <c r="B689" s="82" t="s">
        <v>997</v>
      </c>
      <c r="C689" s="82" t="s">
        <v>81</v>
      </c>
      <c r="D689" s="82" t="s">
        <v>2034</v>
      </c>
      <c r="H689" s="82" t="s">
        <v>2035</v>
      </c>
      <c r="I689" s="83">
        <v>46000.0</v>
      </c>
    </row>
    <row r="690" ht="22.5" hidden="1" customHeight="1">
      <c r="A690" s="81">
        <v>46001.36914525463</v>
      </c>
      <c r="B690" s="82" t="s">
        <v>998</v>
      </c>
      <c r="C690" s="82" t="s">
        <v>81</v>
      </c>
      <c r="D690" s="82" t="s">
        <v>2034</v>
      </c>
      <c r="H690" s="82" t="s">
        <v>2035</v>
      </c>
      <c r="I690" s="83">
        <v>46000.0</v>
      </c>
    </row>
    <row r="691" ht="22.5" hidden="1" customHeight="1">
      <c r="A691" s="81">
        <v>46001.36957756944</v>
      </c>
      <c r="B691" s="82" t="s">
        <v>1010</v>
      </c>
      <c r="C691" s="82" t="s">
        <v>81</v>
      </c>
      <c r="D691" s="82" t="s">
        <v>2034</v>
      </c>
      <c r="H691" s="82" t="s">
        <v>2035</v>
      </c>
      <c r="I691" s="83">
        <v>46000.0</v>
      </c>
    </row>
    <row r="692" ht="22.5" hidden="1" customHeight="1">
      <c r="A692" s="81">
        <v>46001.42214060185</v>
      </c>
      <c r="B692" s="82" t="s">
        <v>1014</v>
      </c>
      <c r="C692" s="82" t="s">
        <v>81</v>
      </c>
      <c r="D692" s="82" t="s">
        <v>2034</v>
      </c>
      <c r="H692" s="82" t="s">
        <v>2035</v>
      </c>
      <c r="I692" s="83">
        <v>46000.0</v>
      </c>
      <c r="J692" s="84" t="s">
        <v>2563</v>
      </c>
    </row>
    <row r="693" ht="22.5" hidden="1" customHeight="1">
      <c r="A693" s="81">
        <v>46001.42751177083</v>
      </c>
      <c r="B693" s="82" t="s">
        <v>1017</v>
      </c>
      <c r="C693" s="82" t="s">
        <v>81</v>
      </c>
      <c r="D693" s="82" t="s">
        <v>2034</v>
      </c>
      <c r="H693" s="82" t="s">
        <v>2035</v>
      </c>
      <c r="I693" s="83">
        <v>46000.0</v>
      </c>
      <c r="J693" s="84" t="s">
        <v>2564</v>
      </c>
    </row>
    <row r="694" ht="22.5" hidden="1" customHeight="1">
      <c r="A694" s="81">
        <v>46001.431065613426</v>
      </c>
      <c r="B694" s="82" t="s">
        <v>1019</v>
      </c>
      <c r="C694" s="82" t="s">
        <v>81</v>
      </c>
      <c r="D694" s="82" t="s">
        <v>2034</v>
      </c>
      <c r="H694" s="82" t="s">
        <v>2035</v>
      </c>
      <c r="I694" s="83">
        <v>46000.0</v>
      </c>
      <c r="J694" s="84" t="s">
        <v>2565</v>
      </c>
    </row>
    <row r="695" ht="22.5" hidden="1" customHeight="1">
      <c r="A695" s="81">
        <v>46001.43214390046</v>
      </c>
      <c r="B695" s="82" t="s">
        <v>1021</v>
      </c>
      <c r="C695" s="82" t="s">
        <v>81</v>
      </c>
      <c r="D695" s="82" t="s">
        <v>2034</v>
      </c>
      <c r="H695" s="82" t="s">
        <v>2035</v>
      </c>
      <c r="I695" s="83">
        <v>46000.0</v>
      </c>
      <c r="J695" s="84" t="s">
        <v>2566</v>
      </c>
    </row>
    <row r="696" ht="22.5" hidden="1" customHeight="1">
      <c r="A696" s="81">
        <v>46001.49157162037</v>
      </c>
      <c r="B696" s="82" t="s">
        <v>995</v>
      </c>
      <c r="C696" s="82" t="s">
        <v>2035</v>
      </c>
      <c r="D696" s="82" t="s">
        <v>2036</v>
      </c>
      <c r="F696" s="83">
        <v>46010.0</v>
      </c>
      <c r="G696" s="84" t="s">
        <v>2567</v>
      </c>
      <c r="H696" s="82" t="s">
        <v>2035</v>
      </c>
      <c r="I696" s="83">
        <v>46001.0</v>
      </c>
    </row>
    <row r="697" ht="22.5" hidden="1" customHeight="1">
      <c r="A697" s="81">
        <v>46002.44617060185</v>
      </c>
      <c r="B697" s="82" t="s">
        <v>849</v>
      </c>
      <c r="C697" s="82" t="s">
        <v>2035</v>
      </c>
      <c r="D697" s="82" t="s">
        <v>2036</v>
      </c>
      <c r="F697" s="83">
        <v>46012.0</v>
      </c>
      <c r="G697" s="84" t="s">
        <v>2568</v>
      </c>
      <c r="H697" s="82" t="s">
        <v>2035</v>
      </c>
      <c r="I697" s="83">
        <v>46002.0</v>
      </c>
    </row>
    <row r="698" ht="22.5" hidden="1" customHeight="1">
      <c r="A698" s="81">
        <v>46002.4586728125</v>
      </c>
      <c r="B698" s="82" t="s">
        <v>941</v>
      </c>
      <c r="C698" s="82" t="s">
        <v>2035</v>
      </c>
      <c r="D698" s="82" t="s">
        <v>2036</v>
      </c>
      <c r="F698" s="83">
        <v>46012.0</v>
      </c>
      <c r="G698" s="84" t="s">
        <v>2569</v>
      </c>
      <c r="H698" s="82" t="s">
        <v>2035</v>
      </c>
      <c r="I698" s="83">
        <v>46002.0</v>
      </c>
    </row>
    <row r="699" ht="22.5" hidden="1" customHeight="1">
      <c r="A699" s="81">
        <v>46002.46306880787</v>
      </c>
      <c r="B699" s="82" t="s">
        <v>821</v>
      </c>
      <c r="C699" s="82" t="s">
        <v>2035</v>
      </c>
      <c r="D699" s="82" t="s">
        <v>2036</v>
      </c>
      <c r="F699" s="83">
        <v>46012.0</v>
      </c>
      <c r="G699" s="84" t="s">
        <v>2570</v>
      </c>
      <c r="H699" s="82" t="s">
        <v>2035</v>
      </c>
      <c r="I699" s="83">
        <v>46002.0</v>
      </c>
    </row>
    <row r="700" ht="22.5" hidden="1" customHeight="1">
      <c r="A700" s="81">
        <v>46002.46346179398</v>
      </c>
      <c r="B700" s="82" t="s">
        <v>823</v>
      </c>
      <c r="C700" s="82" t="s">
        <v>2035</v>
      </c>
      <c r="D700" s="82" t="s">
        <v>2036</v>
      </c>
      <c r="F700" s="83">
        <v>46012.0</v>
      </c>
      <c r="G700" s="84" t="s">
        <v>2571</v>
      </c>
      <c r="H700" s="82" t="s">
        <v>2035</v>
      </c>
      <c r="I700" s="83">
        <v>46002.0</v>
      </c>
    </row>
    <row r="701" ht="22.5" hidden="1" customHeight="1">
      <c r="A701" s="81">
        <v>46002.480478310186</v>
      </c>
      <c r="B701" s="82" t="s">
        <v>710</v>
      </c>
      <c r="C701" s="82" t="s">
        <v>2038</v>
      </c>
      <c r="D701" s="82" t="s">
        <v>2034</v>
      </c>
      <c r="H701" s="82" t="s">
        <v>2035</v>
      </c>
      <c r="I701" s="83">
        <v>46002.0</v>
      </c>
      <c r="J701" s="84" t="s">
        <v>2572</v>
      </c>
    </row>
    <row r="702" ht="22.5" hidden="1" customHeight="1">
      <c r="A702" s="81">
        <v>46002.481111608795</v>
      </c>
      <c r="B702" s="82" t="s">
        <v>971</v>
      </c>
      <c r="C702" s="82" t="s">
        <v>2038</v>
      </c>
      <c r="D702" s="82" t="s">
        <v>2034</v>
      </c>
      <c r="H702" s="82" t="s">
        <v>2035</v>
      </c>
      <c r="I702" s="83">
        <v>46002.0</v>
      </c>
      <c r="J702" s="84" t="s">
        <v>2573</v>
      </c>
    </row>
    <row r="703" ht="22.5" hidden="1" customHeight="1">
      <c r="A703" s="81">
        <v>46002.482077569446</v>
      </c>
      <c r="B703" s="82" t="s">
        <v>947</v>
      </c>
      <c r="C703" s="82" t="s">
        <v>2038</v>
      </c>
      <c r="D703" s="82" t="s">
        <v>2034</v>
      </c>
      <c r="H703" s="82" t="s">
        <v>2035</v>
      </c>
      <c r="I703" s="83">
        <v>46002.0</v>
      </c>
      <c r="J703" s="84" t="s">
        <v>2574</v>
      </c>
    </row>
    <row r="704" ht="22.5" hidden="1" customHeight="1">
      <c r="A704" s="81">
        <v>46002.48297828704</v>
      </c>
      <c r="B704" s="82" t="s">
        <v>505</v>
      </c>
      <c r="C704" s="82" t="s">
        <v>2038</v>
      </c>
      <c r="D704" s="82" t="s">
        <v>2034</v>
      </c>
      <c r="H704" s="82" t="s">
        <v>2035</v>
      </c>
      <c r="I704" s="83">
        <v>46002.0</v>
      </c>
      <c r="J704" s="84" t="s">
        <v>2575</v>
      </c>
    </row>
    <row r="705" ht="22.5" hidden="1" customHeight="1">
      <c r="A705" s="81">
        <v>46002.61724736111</v>
      </c>
      <c r="B705" s="82" t="s">
        <v>1039</v>
      </c>
      <c r="C705" s="82" t="s">
        <v>81</v>
      </c>
      <c r="D705" s="82" t="s">
        <v>2034</v>
      </c>
      <c r="H705" s="82" t="s">
        <v>2035</v>
      </c>
      <c r="I705" s="83">
        <v>46002.0</v>
      </c>
    </row>
    <row r="706" ht="22.5" hidden="1" customHeight="1">
      <c r="A706" s="81">
        <v>46003.401244374996</v>
      </c>
      <c r="B706" s="82" t="s">
        <v>806</v>
      </c>
      <c r="C706" s="82" t="s">
        <v>2035</v>
      </c>
      <c r="D706" s="82" t="s">
        <v>2036</v>
      </c>
      <c r="F706" s="83">
        <v>46013.0</v>
      </c>
      <c r="G706" s="84" t="s">
        <v>2576</v>
      </c>
      <c r="H706" s="82" t="s">
        <v>2035</v>
      </c>
      <c r="I706" s="83">
        <v>46003.0</v>
      </c>
    </row>
    <row r="707" ht="22.5" hidden="1" customHeight="1">
      <c r="A707" s="81">
        <v>46003.40266755787</v>
      </c>
      <c r="B707" s="82" t="s">
        <v>1028</v>
      </c>
      <c r="C707" s="82" t="s">
        <v>2035</v>
      </c>
      <c r="D707" s="82" t="s">
        <v>2036</v>
      </c>
      <c r="F707" s="83">
        <v>46013.0</v>
      </c>
      <c r="G707" s="84" t="s">
        <v>2577</v>
      </c>
      <c r="H707" s="82" t="s">
        <v>2035</v>
      </c>
      <c r="I707" s="83">
        <v>46003.0</v>
      </c>
    </row>
    <row r="708" ht="22.5" hidden="1" customHeight="1">
      <c r="A708" s="81">
        <v>46003.40321636574</v>
      </c>
      <c r="B708" s="82" t="s">
        <v>915</v>
      </c>
      <c r="C708" s="82" t="s">
        <v>2035</v>
      </c>
      <c r="D708" s="82" t="s">
        <v>2036</v>
      </c>
      <c r="F708" s="83">
        <v>46013.0</v>
      </c>
      <c r="G708" s="84" t="s">
        <v>2578</v>
      </c>
      <c r="H708" s="82" t="s">
        <v>2035</v>
      </c>
      <c r="I708" s="83">
        <v>46003.0</v>
      </c>
    </row>
    <row r="709" ht="22.5" hidden="1" customHeight="1">
      <c r="A709" s="81">
        <v>46003.44084115741</v>
      </c>
      <c r="B709" s="82" t="s">
        <v>904</v>
      </c>
      <c r="C709" s="82" t="s">
        <v>2038</v>
      </c>
      <c r="D709" s="82" t="s">
        <v>2034</v>
      </c>
      <c r="H709" s="82" t="s">
        <v>2035</v>
      </c>
      <c r="I709" s="83">
        <v>46003.0</v>
      </c>
      <c r="J709" s="84" t="s">
        <v>2579</v>
      </c>
    </row>
    <row r="710" ht="22.5" hidden="1" customHeight="1">
      <c r="A710" s="81">
        <v>46003.44404894676</v>
      </c>
      <c r="B710" s="82" t="s">
        <v>918</v>
      </c>
      <c r="C710" s="82" t="s">
        <v>2038</v>
      </c>
      <c r="D710" s="82" t="s">
        <v>2034</v>
      </c>
      <c r="H710" s="82" t="s">
        <v>2035</v>
      </c>
      <c r="I710" s="83">
        <v>46003.0</v>
      </c>
      <c r="J710" s="84" t="s">
        <v>2580</v>
      </c>
    </row>
    <row r="711" ht="22.5" hidden="1" customHeight="1">
      <c r="A711" s="81">
        <v>46003.44491954861</v>
      </c>
      <c r="B711" s="82" t="s">
        <v>902</v>
      </c>
      <c r="C711" s="82" t="s">
        <v>2038</v>
      </c>
      <c r="D711" s="82" t="s">
        <v>2034</v>
      </c>
      <c r="H711" s="82" t="s">
        <v>2035</v>
      </c>
      <c r="I711" s="83">
        <v>46003.0</v>
      </c>
      <c r="J711" s="84" t="s">
        <v>2581</v>
      </c>
    </row>
    <row r="712" ht="22.5" hidden="1" customHeight="1">
      <c r="A712" s="81">
        <v>46003.60175341435</v>
      </c>
      <c r="B712" s="82" t="s">
        <v>1041</v>
      </c>
      <c r="C712" s="82" t="s">
        <v>2035</v>
      </c>
      <c r="D712" s="82" t="s">
        <v>2036</v>
      </c>
      <c r="F712" s="83">
        <v>46014.0</v>
      </c>
      <c r="G712" s="84" t="s">
        <v>2582</v>
      </c>
      <c r="H712" s="82" t="s">
        <v>2035</v>
      </c>
      <c r="I712" s="83">
        <v>46003.0</v>
      </c>
    </row>
    <row r="713" ht="22.5" hidden="1" customHeight="1">
      <c r="A713" s="81">
        <v>46003.602188460645</v>
      </c>
      <c r="B713" s="82" t="s">
        <v>199</v>
      </c>
      <c r="C713" s="82" t="s">
        <v>2035</v>
      </c>
      <c r="D713" s="82" t="s">
        <v>2036</v>
      </c>
      <c r="F713" s="83">
        <v>46014.0</v>
      </c>
      <c r="G713" s="84" t="s">
        <v>2583</v>
      </c>
      <c r="H713" s="82" t="s">
        <v>2035</v>
      </c>
      <c r="I713" s="83">
        <v>46003.0</v>
      </c>
    </row>
    <row r="714" ht="22.5" hidden="1" customHeight="1">
      <c r="A714" s="81">
        <v>46004.555718738426</v>
      </c>
      <c r="B714" s="82" t="s">
        <v>1044</v>
      </c>
      <c r="C714" s="82" t="s">
        <v>2035</v>
      </c>
      <c r="D714" s="82" t="s">
        <v>2036</v>
      </c>
      <c r="F714" s="83">
        <v>46015.0</v>
      </c>
      <c r="G714" s="84" t="s">
        <v>2584</v>
      </c>
      <c r="H714" s="82" t="s">
        <v>2035</v>
      </c>
      <c r="I714" s="83">
        <v>46004.0</v>
      </c>
    </row>
    <row r="715" ht="22.5" hidden="1" customHeight="1">
      <c r="A715" s="81">
        <v>46006.725565416666</v>
      </c>
      <c r="B715" s="82" t="s">
        <v>899</v>
      </c>
      <c r="C715" s="82" t="s">
        <v>2038</v>
      </c>
      <c r="D715" s="82" t="s">
        <v>2036</v>
      </c>
      <c r="F715" s="83">
        <v>46015.0</v>
      </c>
      <c r="G715" s="84" t="s">
        <v>2585</v>
      </c>
      <c r="H715" s="82" t="s">
        <v>2035</v>
      </c>
      <c r="I715" s="83">
        <v>46006.0</v>
      </c>
    </row>
    <row r="716" ht="22.5" hidden="1" customHeight="1">
      <c r="A716" s="81">
        <v>46006.727226435185</v>
      </c>
      <c r="B716" s="82" t="s">
        <v>1052</v>
      </c>
      <c r="C716" s="82" t="s">
        <v>2038</v>
      </c>
      <c r="D716" s="82" t="s">
        <v>2036</v>
      </c>
      <c r="F716" s="83">
        <v>46015.0</v>
      </c>
      <c r="G716" s="84" t="s">
        <v>2586</v>
      </c>
      <c r="H716" s="82" t="s">
        <v>2035</v>
      </c>
      <c r="I716" s="83">
        <v>46006.0</v>
      </c>
    </row>
    <row r="717" ht="22.5" hidden="1" customHeight="1">
      <c r="A717" s="81">
        <v>46006.730176446756</v>
      </c>
      <c r="B717" s="82" t="s">
        <v>1054</v>
      </c>
      <c r="C717" s="82" t="s">
        <v>2038</v>
      </c>
      <c r="D717" s="82" t="s">
        <v>2036</v>
      </c>
      <c r="F717" s="83">
        <v>46015.0</v>
      </c>
      <c r="G717" s="84" t="s">
        <v>2587</v>
      </c>
      <c r="H717" s="82" t="s">
        <v>2035</v>
      </c>
      <c r="I717" s="83">
        <v>46006.0</v>
      </c>
    </row>
    <row r="718" ht="22.5" hidden="1" customHeight="1">
      <c r="A718" s="81">
        <v>46006.730981053246</v>
      </c>
      <c r="B718" s="82" t="s">
        <v>1055</v>
      </c>
      <c r="C718" s="82" t="s">
        <v>2038</v>
      </c>
      <c r="D718" s="82" t="s">
        <v>2036</v>
      </c>
      <c r="F718" s="83">
        <v>46015.0</v>
      </c>
      <c r="G718" s="84" t="s">
        <v>2588</v>
      </c>
      <c r="H718" s="82" t="s">
        <v>2035</v>
      </c>
      <c r="I718" s="83">
        <v>46006.0</v>
      </c>
    </row>
    <row r="719" ht="22.5" hidden="1" customHeight="1">
      <c r="A719" s="81">
        <v>46006.73476770833</v>
      </c>
      <c r="B719" s="82" t="s">
        <v>1056</v>
      </c>
      <c r="C719" s="82" t="s">
        <v>2038</v>
      </c>
      <c r="D719" s="82" t="s">
        <v>2036</v>
      </c>
      <c r="F719" s="83">
        <v>46015.0</v>
      </c>
      <c r="G719" s="84" t="s">
        <v>2589</v>
      </c>
      <c r="H719" s="82" t="s">
        <v>2035</v>
      </c>
      <c r="I719" s="83">
        <v>46006.0</v>
      </c>
    </row>
    <row r="720" ht="22.5" hidden="1" customHeight="1">
      <c r="A720" s="81">
        <v>46006.735848958335</v>
      </c>
      <c r="B720" s="82" t="s">
        <v>1025</v>
      </c>
      <c r="C720" s="82" t="s">
        <v>2038</v>
      </c>
      <c r="D720" s="82" t="s">
        <v>2036</v>
      </c>
      <c r="F720" s="83">
        <v>46015.0</v>
      </c>
      <c r="G720" s="84" t="s">
        <v>2590</v>
      </c>
      <c r="H720" s="82" t="s">
        <v>2035</v>
      </c>
      <c r="I720" s="83">
        <v>46006.0</v>
      </c>
    </row>
    <row r="721" ht="22.5" hidden="1" customHeight="1">
      <c r="A721" s="81">
        <v>46006.73633461806</v>
      </c>
      <c r="B721" s="82" t="s">
        <v>1034</v>
      </c>
      <c r="C721" s="82" t="s">
        <v>2038</v>
      </c>
      <c r="D721" s="82" t="s">
        <v>2036</v>
      </c>
      <c r="F721" s="83">
        <v>46015.0</v>
      </c>
      <c r="G721" s="84" t="s">
        <v>2591</v>
      </c>
      <c r="H721" s="82" t="s">
        <v>2035</v>
      </c>
      <c r="I721" s="83">
        <v>46006.0</v>
      </c>
    </row>
    <row r="722" ht="22.5" hidden="1" customHeight="1">
      <c r="A722" s="81">
        <v>46007.72176659723</v>
      </c>
      <c r="B722" s="82" t="s">
        <v>888</v>
      </c>
      <c r="C722" s="82" t="s">
        <v>2038</v>
      </c>
      <c r="D722" s="82" t="s">
        <v>2034</v>
      </c>
      <c r="H722" s="82" t="s">
        <v>2035</v>
      </c>
      <c r="I722" s="83">
        <v>46007.0</v>
      </c>
      <c r="J722" s="84" t="s">
        <v>2592</v>
      </c>
    </row>
    <row r="723" ht="22.5" hidden="1" customHeight="1">
      <c r="A723" s="81">
        <v>46007.72259347222</v>
      </c>
      <c r="B723" s="82" t="s">
        <v>882</v>
      </c>
      <c r="C723" s="82" t="s">
        <v>2038</v>
      </c>
      <c r="D723" s="82" t="s">
        <v>2034</v>
      </c>
      <c r="H723" s="82" t="s">
        <v>2035</v>
      </c>
      <c r="I723" s="83">
        <v>46007.0</v>
      </c>
      <c r="J723" s="84" t="s">
        <v>2593</v>
      </c>
    </row>
    <row r="724" ht="22.5" hidden="1" customHeight="1">
      <c r="A724" s="81">
        <v>46008.74149001157</v>
      </c>
      <c r="B724" s="82" t="s">
        <v>929</v>
      </c>
      <c r="C724" s="82" t="s">
        <v>2035</v>
      </c>
      <c r="D724" s="82" t="s">
        <v>2034</v>
      </c>
      <c r="H724" s="82" t="s">
        <v>2035</v>
      </c>
      <c r="I724" s="83">
        <v>46008.0</v>
      </c>
      <c r="J724" s="84" t="s">
        <v>2594</v>
      </c>
    </row>
    <row r="725" ht="22.5" hidden="1" customHeight="1">
      <c r="A725" s="81">
        <v>46009.59807150463</v>
      </c>
      <c r="B725" s="82" t="s">
        <v>715</v>
      </c>
      <c r="C725" s="82" t="s">
        <v>2038</v>
      </c>
      <c r="D725" s="82" t="s">
        <v>2036</v>
      </c>
      <c r="F725" s="83">
        <v>46017.0</v>
      </c>
      <c r="G725" s="84" t="s">
        <v>2595</v>
      </c>
      <c r="H725" s="82" t="s">
        <v>2035</v>
      </c>
      <c r="I725" s="83">
        <v>46007.0</v>
      </c>
    </row>
    <row r="726" ht="22.5" hidden="1" customHeight="1">
      <c r="A726" s="81">
        <v>46009.600372581015</v>
      </c>
      <c r="B726" s="82" t="s">
        <v>926</v>
      </c>
      <c r="C726" s="82" t="s">
        <v>2038</v>
      </c>
      <c r="D726" s="82" t="s">
        <v>2036</v>
      </c>
      <c r="F726" s="83">
        <v>46017.0</v>
      </c>
      <c r="G726" s="84" t="s">
        <v>2596</v>
      </c>
      <c r="H726" s="82" t="s">
        <v>2035</v>
      </c>
      <c r="I726" s="83">
        <v>46007.0</v>
      </c>
    </row>
    <row r="727" ht="22.5" hidden="1" customHeight="1">
      <c r="A727" s="81">
        <v>46009.60121545139</v>
      </c>
      <c r="B727" s="82" t="s">
        <v>130</v>
      </c>
      <c r="C727" s="82" t="s">
        <v>2038</v>
      </c>
      <c r="D727" s="82" t="s">
        <v>2036</v>
      </c>
      <c r="F727" s="83">
        <v>46017.0</v>
      </c>
      <c r="G727" s="84" t="s">
        <v>2597</v>
      </c>
      <c r="H727" s="82" t="s">
        <v>2035</v>
      </c>
      <c r="I727" s="83">
        <v>46007.0</v>
      </c>
    </row>
    <row r="728" ht="22.5" hidden="1" customHeight="1">
      <c r="A728" s="81">
        <v>46009.601842986114</v>
      </c>
      <c r="B728" s="82" t="s">
        <v>1062</v>
      </c>
      <c r="C728" s="82" t="s">
        <v>2038</v>
      </c>
      <c r="D728" s="82" t="s">
        <v>2036</v>
      </c>
      <c r="F728" s="83">
        <v>46017.0</v>
      </c>
      <c r="G728" s="84" t="s">
        <v>2598</v>
      </c>
      <c r="H728" s="82" t="s">
        <v>2035</v>
      </c>
      <c r="I728" s="83">
        <v>46007.0</v>
      </c>
    </row>
    <row r="729" ht="22.5" hidden="1" customHeight="1">
      <c r="A729" s="81">
        <v>46009.61904263889</v>
      </c>
      <c r="B729" s="82" t="s">
        <v>970</v>
      </c>
      <c r="C729" s="82" t="s">
        <v>2035</v>
      </c>
      <c r="D729" s="82" t="s">
        <v>2036</v>
      </c>
      <c r="F729" s="83">
        <v>46020.0</v>
      </c>
      <c r="G729" s="84" t="s">
        <v>2599</v>
      </c>
      <c r="H729" s="82" t="s">
        <v>2035</v>
      </c>
      <c r="I729" s="83">
        <v>46009.0</v>
      </c>
    </row>
    <row r="730" ht="22.5" hidden="1" customHeight="1">
      <c r="A730" s="81">
        <v>46009.63142607639</v>
      </c>
      <c r="B730" s="82" t="s">
        <v>905</v>
      </c>
      <c r="C730" s="82" t="s">
        <v>2035</v>
      </c>
      <c r="D730" s="82" t="s">
        <v>2036</v>
      </c>
      <c r="F730" s="83">
        <v>46020.0</v>
      </c>
      <c r="G730" s="84" t="s">
        <v>2600</v>
      </c>
      <c r="H730" s="82" t="s">
        <v>2035</v>
      </c>
      <c r="I730" s="83">
        <v>46009.0</v>
      </c>
    </row>
    <row r="731" ht="22.5" hidden="1" customHeight="1">
      <c r="A731" s="81">
        <v>46009.63363200231</v>
      </c>
      <c r="B731" s="82" t="s">
        <v>973</v>
      </c>
      <c r="C731" s="82" t="s">
        <v>2035</v>
      </c>
      <c r="D731" s="82" t="s">
        <v>2036</v>
      </c>
      <c r="F731" s="83">
        <v>46020.0</v>
      </c>
      <c r="G731" s="84" t="s">
        <v>2601</v>
      </c>
      <c r="H731" s="82" t="s">
        <v>2035</v>
      </c>
      <c r="I731" s="83">
        <v>46009.0</v>
      </c>
    </row>
    <row r="732" ht="22.5" hidden="1" customHeight="1">
      <c r="A732" s="81">
        <v>46009.634818645834</v>
      </c>
      <c r="B732" s="82" t="s">
        <v>1036</v>
      </c>
      <c r="C732" s="82" t="s">
        <v>2035</v>
      </c>
      <c r="D732" s="82" t="s">
        <v>2036</v>
      </c>
      <c r="F732" s="83">
        <v>46020.0</v>
      </c>
      <c r="G732" s="84" t="s">
        <v>2602</v>
      </c>
      <c r="H732" s="82" t="s">
        <v>2035</v>
      </c>
      <c r="I732" s="83">
        <v>46009.0</v>
      </c>
    </row>
    <row r="733" ht="22.5" hidden="1" customHeight="1">
      <c r="A733" s="81">
        <v>46009.636239224536</v>
      </c>
      <c r="B733" s="82" t="s">
        <v>110</v>
      </c>
      <c r="C733" s="82" t="s">
        <v>2035</v>
      </c>
      <c r="D733" s="82" t="s">
        <v>2036</v>
      </c>
      <c r="F733" s="83">
        <v>46020.0</v>
      </c>
      <c r="G733" s="84" t="s">
        <v>2603</v>
      </c>
      <c r="H733" s="82" t="s">
        <v>2035</v>
      </c>
      <c r="I733" s="83">
        <v>46009.0</v>
      </c>
    </row>
    <row r="734" ht="22.5" hidden="1" customHeight="1">
      <c r="A734" s="81">
        <v>46009.636910416666</v>
      </c>
      <c r="B734" s="82" t="s">
        <v>985</v>
      </c>
      <c r="C734" s="82" t="s">
        <v>2035</v>
      </c>
      <c r="D734" s="82" t="s">
        <v>2034</v>
      </c>
      <c r="H734" s="82" t="s">
        <v>2035</v>
      </c>
      <c r="I734" s="83">
        <v>46009.0</v>
      </c>
      <c r="J734" s="84" t="s">
        <v>2604</v>
      </c>
    </row>
    <row r="735" ht="22.5" hidden="1" customHeight="1">
      <c r="A735" s="81">
        <v>46009.63728167824</v>
      </c>
      <c r="B735" s="82" t="s">
        <v>994</v>
      </c>
      <c r="C735" s="82" t="s">
        <v>2035</v>
      </c>
      <c r="D735" s="82" t="s">
        <v>2034</v>
      </c>
      <c r="H735" s="82" t="s">
        <v>2035</v>
      </c>
      <c r="I735" s="83">
        <v>46009.0</v>
      </c>
      <c r="J735" s="84" t="s">
        <v>2605</v>
      </c>
    </row>
    <row r="736" ht="22.5" hidden="1" customHeight="1">
      <c r="A736" s="81">
        <v>46010.414860069446</v>
      </c>
      <c r="B736" s="82" t="s">
        <v>726</v>
      </c>
      <c r="C736" s="82" t="s">
        <v>2035</v>
      </c>
      <c r="D736" s="82" t="s">
        <v>2036</v>
      </c>
      <c r="F736" s="83">
        <v>46021.0</v>
      </c>
      <c r="G736" s="84" t="s">
        <v>2606</v>
      </c>
      <c r="H736" s="82" t="s">
        <v>2035</v>
      </c>
      <c r="I736" s="83">
        <v>46010.0</v>
      </c>
    </row>
    <row r="737" ht="22.5" hidden="1" customHeight="1">
      <c r="A737" s="81">
        <v>46010.41600082176</v>
      </c>
      <c r="B737" s="82" t="s">
        <v>995</v>
      </c>
      <c r="C737" s="82" t="s">
        <v>2035</v>
      </c>
      <c r="D737" s="82" t="s">
        <v>2034</v>
      </c>
      <c r="H737" s="82" t="s">
        <v>2035</v>
      </c>
      <c r="I737" s="83">
        <v>46010.0</v>
      </c>
      <c r="J737" s="84" t="s">
        <v>2607</v>
      </c>
    </row>
    <row r="738" ht="22.5" hidden="1" customHeight="1">
      <c r="A738" s="81">
        <v>46011.483018252315</v>
      </c>
      <c r="B738" s="82" t="s">
        <v>1059</v>
      </c>
      <c r="C738" s="82" t="s">
        <v>2038</v>
      </c>
      <c r="D738" s="82" t="s">
        <v>2036</v>
      </c>
      <c r="F738" s="83">
        <v>46022.0</v>
      </c>
      <c r="G738" s="84" t="s">
        <v>2608</v>
      </c>
      <c r="H738" s="82" t="s">
        <v>2035</v>
      </c>
      <c r="I738" s="83">
        <v>46011.0</v>
      </c>
    </row>
    <row r="739" ht="22.5" hidden="1" customHeight="1">
      <c r="A739" s="81">
        <v>46011.48478994213</v>
      </c>
      <c r="B739" s="82" t="s">
        <v>1065</v>
      </c>
      <c r="C739" s="82" t="s">
        <v>2038</v>
      </c>
      <c r="D739" s="82" t="s">
        <v>2036</v>
      </c>
      <c r="F739" s="83">
        <v>46022.0</v>
      </c>
      <c r="G739" s="84" t="s">
        <v>2609</v>
      </c>
      <c r="H739" s="82" t="s">
        <v>2035</v>
      </c>
      <c r="I739" s="83">
        <v>46011.0</v>
      </c>
    </row>
    <row r="740" ht="22.5" hidden="1" customHeight="1">
      <c r="A740" s="81">
        <v>46014.35581366898</v>
      </c>
      <c r="B740" s="82" t="s">
        <v>1076</v>
      </c>
      <c r="C740" s="82" t="s">
        <v>81</v>
      </c>
      <c r="D740" s="82" t="s">
        <v>2034</v>
      </c>
      <c r="H740" s="82" t="s">
        <v>2035</v>
      </c>
      <c r="I740" s="83">
        <v>46008.0</v>
      </c>
    </row>
    <row r="741" ht="22.5" hidden="1" customHeight="1">
      <c r="A741" s="81">
        <v>46014.356052222225</v>
      </c>
      <c r="B741" s="82" t="s">
        <v>1077</v>
      </c>
      <c r="C741" s="82" t="s">
        <v>81</v>
      </c>
      <c r="D741" s="82" t="s">
        <v>2034</v>
      </c>
      <c r="H741" s="82" t="s">
        <v>2035</v>
      </c>
      <c r="I741" s="83">
        <v>46009.0</v>
      </c>
    </row>
    <row r="742" ht="22.5" hidden="1" customHeight="1">
      <c r="A742" s="81">
        <v>46014.36004994213</v>
      </c>
      <c r="B742" s="82" t="s">
        <v>921</v>
      </c>
      <c r="C742" s="82" t="s">
        <v>2038</v>
      </c>
      <c r="D742" s="82" t="s">
        <v>2036</v>
      </c>
      <c r="F742" s="83">
        <v>46022.0</v>
      </c>
      <c r="G742" s="84" t="s">
        <v>2610</v>
      </c>
      <c r="H742" s="82" t="s">
        <v>2035</v>
      </c>
      <c r="I742" s="83">
        <v>46013.0</v>
      </c>
    </row>
    <row r="743" ht="22.5" hidden="1" customHeight="1">
      <c r="A743" s="81">
        <v>46014.36063821759</v>
      </c>
      <c r="B743" s="82" t="s">
        <v>899</v>
      </c>
      <c r="C743" s="82" t="s">
        <v>2038</v>
      </c>
      <c r="D743" s="82" t="s">
        <v>2036</v>
      </c>
      <c r="F743" s="83">
        <v>46022.0</v>
      </c>
      <c r="G743" s="84" t="s">
        <v>2611</v>
      </c>
      <c r="H743" s="82" t="s">
        <v>2035</v>
      </c>
      <c r="I743" s="83">
        <v>46013.0</v>
      </c>
    </row>
    <row r="744" ht="22.5" hidden="1" customHeight="1">
      <c r="A744" s="81">
        <v>46014.36131078703</v>
      </c>
      <c r="B744" s="82" t="s">
        <v>1049</v>
      </c>
      <c r="C744" s="82" t="s">
        <v>2038</v>
      </c>
      <c r="D744" s="82" t="s">
        <v>2036</v>
      </c>
      <c r="F744" s="83">
        <v>46022.0</v>
      </c>
      <c r="G744" s="84" t="s">
        <v>2612</v>
      </c>
      <c r="H744" s="82" t="s">
        <v>2035</v>
      </c>
      <c r="I744" s="83">
        <v>46013.0</v>
      </c>
    </row>
    <row r="745" ht="22.5" hidden="1" customHeight="1">
      <c r="A745" s="81">
        <v>46014.36173780092</v>
      </c>
      <c r="B745" s="82" t="s">
        <v>1081</v>
      </c>
      <c r="C745" s="82" t="s">
        <v>2038</v>
      </c>
      <c r="D745" s="82" t="s">
        <v>2036</v>
      </c>
      <c r="F745" s="83">
        <v>46022.0</v>
      </c>
      <c r="G745" s="84" t="s">
        <v>2613</v>
      </c>
      <c r="H745" s="82" t="s">
        <v>2035</v>
      </c>
      <c r="I745" s="83">
        <v>46013.0</v>
      </c>
    </row>
    <row r="746" ht="22.5" hidden="1" customHeight="1">
      <c r="A746" s="81">
        <v>46014.36295728009</v>
      </c>
      <c r="B746" s="82" t="s">
        <v>849</v>
      </c>
      <c r="C746" s="82" t="s">
        <v>2038</v>
      </c>
      <c r="D746" s="82" t="s">
        <v>2034</v>
      </c>
      <c r="H746" s="82" t="s">
        <v>2035</v>
      </c>
      <c r="I746" s="83">
        <v>46013.0</v>
      </c>
      <c r="J746" s="84" t="s">
        <v>2614</v>
      </c>
    </row>
    <row r="747" ht="22.5" hidden="1" customHeight="1">
      <c r="A747" s="81">
        <v>46014.363415196756</v>
      </c>
      <c r="B747" s="82" t="s">
        <v>941</v>
      </c>
      <c r="C747" s="82" t="s">
        <v>2038</v>
      </c>
      <c r="D747" s="82" t="s">
        <v>2034</v>
      </c>
      <c r="H747" s="82" t="s">
        <v>2035</v>
      </c>
      <c r="I747" s="83">
        <v>46013.0</v>
      </c>
      <c r="J747" s="84" t="s">
        <v>2615</v>
      </c>
    </row>
    <row r="748" ht="22.5" hidden="1" customHeight="1">
      <c r="A748" s="81">
        <v>46014.501571712965</v>
      </c>
      <c r="B748" s="82" t="s">
        <v>953</v>
      </c>
      <c r="C748" s="82" t="s">
        <v>2038</v>
      </c>
      <c r="D748" s="82" t="s">
        <v>2036</v>
      </c>
      <c r="F748" s="83">
        <v>46024.0</v>
      </c>
      <c r="G748" s="84" t="s">
        <v>2616</v>
      </c>
      <c r="H748" s="82" t="s">
        <v>2035</v>
      </c>
      <c r="I748" s="83">
        <v>46014.0</v>
      </c>
    </row>
    <row r="749" ht="22.5" hidden="1" customHeight="1">
      <c r="A749" s="81">
        <v>46014.502194560184</v>
      </c>
      <c r="B749" s="82" t="s">
        <v>1023</v>
      </c>
      <c r="C749" s="82" t="s">
        <v>2038</v>
      </c>
      <c r="D749" s="82" t="s">
        <v>2036</v>
      </c>
      <c r="F749" s="83">
        <v>46024.0</v>
      </c>
      <c r="G749" s="84" t="s">
        <v>2617</v>
      </c>
      <c r="H749" s="82" t="s">
        <v>2035</v>
      </c>
      <c r="I749" s="83">
        <v>46014.0</v>
      </c>
    </row>
    <row r="750" ht="22.5" hidden="1" customHeight="1">
      <c r="A750" s="81">
        <v>46014.57284086806</v>
      </c>
      <c r="B750" s="82" t="s">
        <v>1084</v>
      </c>
      <c r="C750" s="82" t="s">
        <v>81</v>
      </c>
      <c r="D750" s="82" t="s">
        <v>2034</v>
      </c>
      <c r="H750" s="82" t="s">
        <v>2035</v>
      </c>
      <c r="I750" s="83">
        <v>46014.0</v>
      </c>
    </row>
    <row r="751" ht="22.5" hidden="1" customHeight="1">
      <c r="A751" s="81">
        <v>46014.573351307874</v>
      </c>
      <c r="B751" s="82" t="s">
        <v>1085</v>
      </c>
      <c r="C751" s="82" t="s">
        <v>81</v>
      </c>
      <c r="D751" s="82" t="s">
        <v>2034</v>
      </c>
      <c r="H751" s="82" t="s">
        <v>2035</v>
      </c>
      <c r="I751" s="83">
        <v>46011.0</v>
      </c>
    </row>
    <row r="752" ht="22.5" hidden="1" customHeight="1">
      <c r="A752" s="81">
        <v>46014.666407129625</v>
      </c>
      <c r="B752" s="82" t="s">
        <v>806</v>
      </c>
      <c r="C752" s="82" t="s">
        <v>2038</v>
      </c>
      <c r="D752" s="82" t="s">
        <v>2034</v>
      </c>
      <c r="H752" s="82" t="s">
        <v>2035</v>
      </c>
      <c r="I752" s="83">
        <v>46014.0</v>
      </c>
      <c r="J752" s="84" t="s">
        <v>2618</v>
      </c>
    </row>
    <row r="753" ht="22.5" hidden="1" customHeight="1">
      <c r="A753" s="81">
        <v>46014.666702546296</v>
      </c>
      <c r="B753" s="82" t="s">
        <v>915</v>
      </c>
      <c r="C753" s="82" t="s">
        <v>2038</v>
      </c>
      <c r="D753" s="82" t="s">
        <v>2034</v>
      </c>
      <c r="H753" s="82" t="s">
        <v>2035</v>
      </c>
      <c r="I753" s="83">
        <v>46014.0</v>
      </c>
      <c r="J753" s="84" t="s">
        <v>2619</v>
      </c>
    </row>
    <row r="754" ht="22.5" hidden="1" customHeight="1">
      <c r="A754" s="81">
        <v>46014.66703887732</v>
      </c>
      <c r="B754" s="82" t="s">
        <v>970</v>
      </c>
      <c r="C754" s="82" t="s">
        <v>2035</v>
      </c>
      <c r="D754" s="82" t="s">
        <v>2034</v>
      </c>
      <c r="H754" s="82" t="s">
        <v>2035</v>
      </c>
      <c r="I754" s="83">
        <v>46014.0</v>
      </c>
      <c r="J754" s="84" t="s">
        <v>2620</v>
      </c>
    </row>
    <row r="755" ht="22.5" hidden="1" customHeight="1">
      <c r="A755" s="81">
        <v>46015.40567364583</v>
      </c>
      <c r="B755" s="82" t="s">
        <v>1087</v>
      </c>
      <c r="C755" s="82" t="s">
        <v>81</v>
      </c>
      <c r="D755" s="82" t="s">
        <v>2034</v>
      </c>
      <c r="H755" s="82" t="s">
        <v>2035</v>
      </c>
      <c r="I755" s="83">
        <v>46014.0</v>
      </c>
    </row>
    <row r="756" ht="22.5" hidden="1" customHeight="1">
      <c r="A756" s="81">
        <v>46015.68344122685</v>
      </c>
      <c r="B756" s="82" t="s">
        <v>1028</v>
      </c>
      <c r="C756" s="82" t="s">
        <v>2035</v>
      </c>
      <c r="D756" s="82" t="s">
        <v>2036</v>
      </c>
      <c r="F756" s="83">
        <v>46027.0</v>
      </c>
      <c r="G756" s="84" t="s">
        <v>2621</v>
      </c>
      <c r="H756" s="82" t="s">
        <v>2035</v>
      </c>
      <c r="I756" s="83">
        <v>46015.0</v>
      </c>
    </row>
    <row r="757" ht="22.5" hidden="1" customHeight="1">
      <c r="A757" s="81">
        <v>46015.684368159724</v>
      </c>
      <c r="B757" s="82" t="s">
        <v>1052</v>
      </c>
      <c r="C757" s="82" t="s">
        <v>2035</v>
      </c>
      <c r="D757" s="82" t="s">
        <v>2034</v>
      </c>
      <c r="H757" s="82" t="s">
        <v>2035</v>
      </c>
      <c r="I757" s="83">
        <v>46015.0</v>
      </c>
      <c r="J757" s="84" t="s">
        <v>2622</v>
      </c>
    </row>
    <row r="758" ht="22.5" hidden="1" customHeight="1">
      <c r="A758" s="81">
        <v>46015.68486328704</v>
      </c>
      <c r="B758" s="82" t="s">
        <v>1054</v>
      </c>
      <c r="C758" s="82" t="s">
        <v>2035</v>
      </c>
      <c r="D758" s="82" t="s">
        <v>2034</v>
      </c>
      <c r="H758" s="82" t="s">
        <v>2035</v>
      </c>
      <c r="I758" s="83">
        <v>46015.0</v>
      </c>
      <c r="J758" s="84" t="s">
        <v>2623</v>
      </c>
    </row>
    <row r="759" ht="22.5" hidden="1" customHeight="1">
      <c r="A759" s="81">
        <v>46015.68524210648</v>
      </c>
      <c r="B759" s="82" t="s">
        <v>1055</v>
      </c>
      <c r="C759" s="82" t="s">
        <v>2035</v>
      </c>
      <c r="D759" s="82" t="s">
        <v>2034</v>
      </c>
      <c r="H759" s="82" t="s">
        <v>2035</v>
      </c>
      <c r="I759" s="83">
        <v>46015.0</v>
      </c>
      <c r="J759" s="84" t="s">
        <v>2624</v>
      </c>
    </row>
    <row r="760" ht="22.5" hidden="1" customHeight="1">
      <c r="A760" s="81">
        <v>46015.68577140046</v>
      </c>
      <c r="B760" s="82" t="s">
        <v>1056</v>
      </c>
      <c r="C760" s="82" t="s">
        <v>2035</v>
      </c>
      <c r="D760" s="82" t="s">
        <v>2034</v>
      </c>
      <c r="H760" s="82" t="s">
        <v>2035</v>
      </c>
      <c r="I760" s="83">
        <v>46015.0</v>
      </c>
      <c r="J760" s="84" t="s">
        <v>2625</v>
      </c>
    </row>
    <row r="761" ht="22.5" hidden="1" customHeight="1">
      <c r="A761" s="81">
        <v>46016.374797233795</v>
      </c>
      <c r="B761" s="82" t="s">
        <v>1093</v>
      </c>
      <c r="C761" s="82" t="s">
        <v>81</v>
      </c>
      <c r="D761" s="82" t="s">
        <v>2034</v>
      </c>
      <c r="H761" s="82" t="s">
        <v>2035</v>
      </c>
      <c r="I761" s="83">
        <v>46011.0</v>
      </c>
    </row>
    <row r="762" ht="22.5" hidden="1" customHeight="1">
      <c r="A762" s="81">
        <v>46016.43769219908</v>
      </c>
      <c r="B762" s="82" t="s">
        <v>1090</v>
      </c>
      <c r="C762" s="82" t="s">
        <v>81</v>
      </c>
      <c r="D762" s="82" t="s">
        <v>2034</v>
      </c>
      <c r="H762" s="82" t="s">
        <v>2035</v>
      </c>
      <c r="I762" s="83">
        <v>46016.0</v>
      </c>
      <c r="J762" s="84" t="s">
        <v>2626</v>
      </c>
    </row>
    <row r="763" ht="22.5" hidden="1" customHeight="1">
      <c r="A763" s="81">
        <v>46016.58958943287</v>
      </c>
      <c r="B763" s="82" t="s">
        <v>1099</v>
      </c>
      <c r="C763" s="82" t="s">
        <v>81</v>
      </c>
      <c r="D763" s="82" t="s">
        <v>2034</v>
      </c>
      <c r="H763" s="82" t="s">
        <v>2035</v>
      </c>
      <c r="I763" s="83">
        <v>46016.0</v>
      </c>
      <c r="J763" s="84" t="s">
        <v>2627</v>
      </c>
    </row>
    <row r="764" ht="22.5" hidden="1" customHeight="1">
      <c r="A764" s="81">
        <v>46016.5936028125</v>
      </c>
      <c r="B764" s="82" t="s">
        <v>899</v>
      </c>
      <c r="C764" s="82" t="s">
        <v>2038</v>
      </c>
      <c r="D764" s="82" t="s">
        <v>2034</v>
      </c>
      <c r="H764" s="82" t="s">
        <v>2035</v>
      </c>
      <c r="I764" s="83">
        <v>46016.0</v>
      </c>
      <c r="J764" s="84" t="s">
        <v>2628</v>
      </c>
    </row>
    <row r="765" ht="22.5" hidden="1" customHeight="1">
      <c r="A765" s="81">
        <v>46016.595513692126</v>
      </c>
      <c r="B765" s="82" t="s">
        <v>926</v>
      </c>
      <c r="C765" s="82" t="s">
        <v>2038</v>
      </c>
      <c r="D765" s="82" t="s">
        <v>2034</v>
      </c>
      <c r="H765" s="82" t="s">
        <v>2035</v>
      </c>
      <c r="I765" s="83">
        <v>46016.0</v>
      </c>
      <c r="J765" s="84" t="s">
        <v>2629</v>
      </c>
    </row>
    <row r="766" ht="22.5" hidden="1" customHeight="1">
      <c r="A766" s="81">
        <v>46016.59915555555</v>
      </c>
      <c r="B766" s="82" t="s">
        <v>975</v>
      </c>
      <c r="C766" s="82" t="s">
        <v>2035</v>
      </c>
      <c r="D766" s="82" t="s">
        <v>2036</v>
      </c>
      <c r="F766" s="83">
        <v>46028.0</v>
      </c>
      <c r="G766" s="84" t="s">
        <v>2630</v>
      </c>
      <c r="H766" s="82" t="s">
        <v>2035</v>
      </c>
      <c r="I766" s="83">
        <v>46016.0</v>
      </c>
    </row>
    <row r="767" ht="22.5" hidden="1" customHeight="1">
      <c r="A767" s="81">
        <v>46016.59973887731</v>
      </c>
      <c r="B767" s="82" t="s">
        <v>821</v>
      </c>
      <c r="C767" s="82" t="s">
        <v>2035</v>
      </c>
      <c r="D767" s="82" t="s">
        <v>2036</v>
      </c>
      <c r="F767" s="83">
        <v>46028.0</v>
      </c>
      <c r="G767" s="84" t="s">
        <v>2631</v>
      </c>
      <c r="H767" s="82" t="s">
        <v>2035</v>
      </c>
      <c r="I767" s="83">
        <v>46016.0</v>
      </c>
    </row>
    <row r="768" ht="22.5" hidden="1" customHeight="1">
      <c r="A768" s="81">
        <v>46016.60030560185</v>
      </c>
      <c r="B768" s="82" t="s">
        <v>823</v>
      </c>
      <c r="C768" s="82" t="s">
        <v>2035</v>
      </c>
      <c r="D768" s="82" t="s">
        <v>2036</v>
      </c>
      <c r="F768" s="83">
        <v>46028.0</v>
      </c>
      <c r="G768" s="84" t="s">
        <v>2632</v>
      </c>
      <c r="H768" s="82" t="s">
        <v>2035</v>
      </c>
      <c r="I768" s="83">
        <v>46016.0</v>
      </c>
    </row>
    <row r="769" ht="22.5" hidden="1" customHeight="1">
      <c r="A769" s="81">
        <v>46016.605950150464</v>
      </c>
      <c r="B769" s="82" t="s">
        <v>130</v>
      </c>
      <c r="C769" s="82" t="s">
        <v>2035</v>
      </c>
      <c r="D769" s="82" t="s">
        <v>2036</v>
      </c>
      <c r="F769" s="83">
        <v>46028.0</v>
      </c>
      <c r="G769" s="84" t="s">
        <v>2633</v>
      </c>
      <c r="H769" s="82" t="s">
        <v>2035</v>
      </c>
      <c r="I769" s="83">
        <v>46016.0</v>
      </c>
    </row>
    <row r="770" ht="22.5" hidden="1" customHeight="1">
      <c r="A770" s="81">
        <v>46016.607556365736</v>
      </c>
      <c r="B770" s="82" t="s">
        <v>1062</v>
      </c>
      <c r="C770" s="82" t="s">
        <v>2035</v>
      </c>
      <c r="D770" s="82" t="s">
        <v>2036</v>
      </c>
      <c r="F770" s="83">
        <v>46028.0</v>
      </c>
      <c r="G770" s="84" t="s">
        <v>2634</v>
      </c>
      <c r="H770" s="82" t="s">
        <v>2035</v>
      </c>
      <c r="I770" s="83">
        <v>46016.0</v>
      </c>
    </row>
    <row r="771" ht="22.5" hidden="1" customHeight="1">
      <c r="A771" s="81">
        <v>46016.60809274306</v>
      </c>
      <c r="B771" s="82" t="s">
        <v>1063</v>
      </c>
      <c r="C771" s="82" t="s">
        <v>2035</v>
      </c>
      <c r="D771" s="82" t="s">
        <v>2036</v>
      </c>
      <c r="F771" s="83">
        <v>46028.0</v>
      </c>
      <c r="G771" s="84" t="s">
        <v>2635</v>
      </c>
      <c r="H771" s="82" t="s">
        <v>2035</v>
      </c>
      <c r="I771" s="83">
        <v>46016.0</v>
      </c>
    </row>
    <row r="772" ht="22.5" hidden="1" customHeight="1">
      <c r="A772" s="81">
        <v>46016.60853239583</v>
      </c>
      <c r="B772" s="82" t="s">
        <v>1097</v>
      </c>
      <c r="C772" s="82" t="s">
        <v>81</v>
      </c>
      <c r="D772" s="82" t="s">
        <v>2034</v>
      </c>
      <c r="H772" s="82" t="s">
        <v>2035</v>
      </c>
      <c r="I772" s="83">
        <v>46016.0</v>
      </c>
    </row>
    <row r="773" ht="22.5" hidden="1" customHeight="1">
      <c r="A773" s="81">
        <v>46016.60870600694</v>
      </c>
      <c r="B773" s="82" t="s">
        <v>1098</v>
      </c>
      <c r="C773" s="82" t="s">
        <v>81</v>
      </c>
      <c r="D773" s="82" t="s">
        <v>2034</v>
      </c>
      <c r="H773" s="82" t="s">
        <v>2035</v>
      </c>
      <c r="I773" s="83">
        <v>46016.0</v>
      </c>
    </row>
    <row r="774" ht="22.5" hidden="1" customHeight="1">
      <c r="A774" s="81">
        <v>46017.409595902776</v>
      </c>
      <c r="B774" s="82" t="s">
        <v>1091</v>
      </c>
      <c r="C774" s="82" t="s">
        <v>2035</v>
      </c>
      <c r="D774" s="82" t="s">
        <v>2036</v>
      </c>
      <c r="F774" s="83">
        <v>46030.0</v>
      </c>
      <c r="G774" s="84" t="s">
        <v>2636</v>
      </c>
      <c r="H774" s="82" t="s">
        <v>2035</v>
      </c>
      <c r="I774" s="83">
        <v>46017.0</v>
      </c>
    </row>
    <row r="775" ht="22.5" hidden="1" customHeight="1">
      <c r="A775" s="81">
        <v>46017.41030899306</v>
      </c>
      <c r="B775" s="82" t="s">
        <v>1068</v>
      </c>
      <c r="C775" s="82" t="s">
        <v>2035</v>
      </c>
      <c r="D775" s="82" t="s">
        <v>2036</v>
      </c>
      <c r="F775" s="83">
        <v>45665.0</v>
      </c>
      <c r="G775" s="84" t="s">
        <v>2637</v>
      </c>
      <c r="H775" s="82" t="s">
        <v>2035</v>
      </c>
      <c r="I775" s="83">
        <v>46017.0</v>
      </c>
    </row>
    <row r="776" ht="22.5" hidden="1" customHeight="1">
      <c r="A776" s="81">
        <v>46017.65916429398</v>
      </c>
      <c r="B776" s="82" t="s">
        <v>956</v>
      </c>
      <c r="C776" s="82" t="s">
        <v>2035</v>
      </c>
      <c r="D776" s="82" t="s">
        <v>2036</v>
      </c>
      <c r="F776" s="83">
        <v>46030.0</v>
      </c>
      <c r="G776" s="84" t="s">
        <v>2638</v>
      </c>
      <c r="H776" s="82" t="s">
        <v>2035</v>
      </c>
      <c r="I776" s="83">
        <v>46017.0</v>
      </c>
    </row>
    <row r="777" ht="22.5" hidden="1" customHeight="1">
      <c r="A777" s="81">
        <v>46017.65979635417</v>
      </c>
      <c r="B777" s="82" t="s">
        <v>905</v>
      </c>
      <c r="C777" s="82" t="s">
        <v>2035</v>
      </c>
      <c r="D777" s="82" t="s">
        <v>2034</v>
      </c>
      <c r="H777" s="82" t="s">
        <v>2035</v>
      </c>
      <c r="I777" s="83">
        <v>46017.0</v>
      </c>
      <c r="J777" s="84" t="s">
        <v>2639</v>
      </c>
    </row>
    <row r="778" ht="22.5" hidden="1" customHeight="1">
      <c r="A778" s="81">
        <v>46017.660315057874</v>
      </c>
      <c r="B778" s="82" t="s">
        <v>1102</v>
      </c>
      <c r="C778" s="82" t="s">
        <v>81</v>
      </c>
      <c r="D778" s="82" t="s">
        <v>2034</v>
      </c>
      <c r="H778" s="82" t="s">
        <v>2035</v>
      </c>
      <c r="I778" s="83">
        <v>46017.0</v>
      </c>
      <c r="J778" s="84" t="s">
        <v>2640</v>
      </c>
    </row>
    <row r="779" ht="22.5" hidden="1" customHeight="1">
      <c r="A779" s="81">
        <v>46017.66087871528</v>
      </c>
      <c r="B779" s="82" t="s">
        <v>1101</v>
      </c>
      <c r="C779" s="82" t="s">
        <v>81</v>
      </c>
      <c r="D779" s="82" t="s">
        <v>2034</v>
      </c>
      <c r="H779" s="82" t="s">
        <v>2035</v>
      </c>
      <c r="I779" s="83">
        <v>46017.0</v>
      </c>
    </row>
    <row r="780" ht="22.5" hidden="1" customHeight="1">
      <c r="A780" s="81">
        <v>46020.425436527774</v>
      </c>
      <c r="B780" s="82" t="s">
        <v>973</v>
      </c>
      <c r="C780" s="82" t="s">
        <v>2035</v>
      </c>
      <c r="D780" s="82" t="s">
        <v>2036</v>
      </c>
      <c r="F780" s="83">
        <v>46031.0</v>
      </c>
      <c r="G780" s="84" t="s">
        <v>2641</v>
      </c>
      <c r="H780" s="82" t="s">
        <v>2035</v>
      </c>
      <c r="I780" s="83">
        <v>46020.0</v>
      </c>
    </row>
    <row r="781" ht="22.5" hidden="1" customHeight="1">
      <c r="A781" s="81">
        <v>46021.41019751158</v>
      </c>
      <c r="B781" s="82" t="s">
        <v>1072</v>
      </c>
      <c r="C781" s="82" t="s">
        <v>2035</v>
      </c>
      <c r="D781" s="82" t="s">
        <v>2036</v>
      </c>
      <c r="F781" s="83">
        <v>46034.0</v>
      </c>
      <c r="G781" s="84" t="s">
        <v>2642</v>
      </c>
      <c r="H781" s="82" t="s">
        <v>2035</v>
      </c>
      <c r="I781" s="83">
        <v>46021.0</v>
      </c>
    </row>
    <row r="782" ht="22.5" hidden="1" customHeight="1">
      <c r="A782" s="81">
        <v>46021.41350945602</v>
      </c>
      <c r="B782" s="82" t="s">
        <v>1117</v>
      </c>
      <c r="C782" s="82" t="s">
        <v>2035</v>
      </c>
      <c r="D782" s="82" t="s">
        <v>2036</v>
      </c>
      <c r="F782" s="83">
        <v>46034.0</v>
      </c>
      <c r="G782" s="84" t="s">
        <v>2643</v>
      </c>
      <c r="H782" s="82" t="s">
        <v>2035</v>
      </c>
      <c r="I782" s="83">
        <v>46021.0</v>
      </c>
    </row>
    <row r="783" ht="22.5" hidden="1" customHeight="1">
      <c r="A783" s="81">
        <v>46021.41476043982</v>
      </c>
      <c r="B783" s="82" t="s">
        <v>921</v>
      </c>
      <c r="C783" s="82" t="s">
        <v>2035</v>
      </c>
      <c r="D783" s="82" t="s">
        <v>2036</v>
      </c>
      <c r="F783" s="83">
        <v>46034.0</v>
      </c>
      <c r="G783" s="84" t="s">
        <v>2644</v>
      </c>
      <c r="H783" s="82" t="s">
        <v>2035</v>
      </c>
      <c r="I783" s="83">
        <v>46021.0</v>
      </c>
    </row>
    <row r="784" ht="22.5" hidden="1" customHeight="1">
      <c r="A784" s="81">
        <v>46021.41536677083</v>
      </c>
      <c r="B784" s="82" t="s">
        <v>953</v>
      </c>
      <c r="C784" s="82" t="s">
        <v>2035</v>
      </c>
      <c r="D784" s="82" t="s">
        <v>2036</v>
      </c>
      <c r="F784" s="83">
        <v>46034.0</v>
      </c>
      <c r="G784" s="84" t="s">
        <v>2645</v>
      </c>
      <c r="H784" s="82" t="s">
        <v>2035</v>
      </c>
      <c r="I784" s="83">
        <v>46021.0</v>
      </c>
    </row>
    <row r="785" ht="22.5" hidden="1" customHeight="1">
      <c r="A785" s="81">
        <v>46021.41603449074</v>
      </c>
      <c r="B785" s="82" t="s">
        <v>1041</v>
      </c>
      <c r="C785" s="82" t="s">
        <v>2035</v>
      </c>
      <c r="D785" s="82" t="s">
        <v>2036</v>
      </c>
      <c r="F785" s="83">
        <v>46034.0</v>
      </c>
      <c r="G785" s="84" t="s">
        <v>2646</v>
      </c>
      <c r="H785" s="82" t="s">
        <v>2035</v>
      </c>
      <c r="I785" s="83">
        <v>46021.0</v>
      </c>
    </row>
    <row r="786" ht="22.5" hidden="1" customHeight="1">
      <c r="A786" s="81">
        <v>46021.41748041667</v>
      </c>
      <c r="B786" s="82" t="s">
        <v>110</v>
      </c>
      <c r="C786" s="82" t="s">
        <v>2035</v>
      </c>
      <c r="D786" s="82" t="s">
        <v>2036</v>
      </c>
      <c r="F786" s="83">
        <v>46034.0</v>
      </c>
      <c r="G786" s="84" t="s">
        <v>2647</v>
      </c>
      <c r="H786" s="82" t="s">
        <v>2035</v>
      </c>
      <c r="I786" s="83">
        <v>46021.0</v>
      </c>
    </row>
    <row r="787" ht="22.5" hidden="1" customHeight="1">
      <c r="A787" s="81">
        <v>46021.636412210646</v>
      </c>
      <c r="B787" s="82" t="s">
        <v>1120</v>
      </c>
      <c r="C787" s="82" t="s">
        <v>2038</v>
      </c>
      <c r="D787" s="82" t="s">
        <v>2036</v>
      </c>
      <c r="F787" s="83">
        <v>46034.0</v>
      </c>
      <c r="G787" s="84" t="s">
        <v>2648</v>
      </c>
      <c r="H787" s="82" t="s">
        <v>2035</v>
      </c>
      <c r="I787" s="83">
        <v>46021.0</v>
      </c>
    </row>
    <row r="788" ht="22.5" hidden="1" customHeight="1">
      <c r="A788" s="81">
        <v>46021.63685009259</v>
      </c>
      <c r="B788" s="82" t="s">
        <v>1109</v>
      </c>
      <c r="C788" s="82" t="s">
        <v>2038</v>
      </c>
      <c r="D788" s="82" t="s">
        <v>2036</v>
      </c>
      <c r="F788" s="83">
        <v>46034.0</v>
      </c>
      <c r="G788" s="84" t="s">
        <v>2649</v>
      </c>
      <c r="H788" s="82" t="s">
        <v>2035</v>
      </c>
      <c r="I788" s="83">
        <v>46021.0</v>
      </c>
    </row>
    <row r="789" ht="22.5" hidden="1" customHeight="1">
      <c r="A789" s="81">
        <v>46021.672612372684</v>
      </c>
      <c r="B789" s="82" t="s">
        <v>1123</v>
      </c>
      <c r="C789" s="82" t="s">
        <v>81</v>
      </c>
      <c r="D789" s="82" t="s">
        <v>2034</v>
      </c>
      <c r="H789" s="82" t="s">
        <v>2035</v>
      </c>
      <c r="I789" s="83">
        <v>46020.0</v>
      </c>
    </row>
    <row r="790" ht="22.5" hidden="1" customHeight="1">
      <c r="A790" s="81">
        <v>46021.67300086806</v>
      </c>
      <c r="B790" s="82" t="s">
        <v>1127</v>
      </c>
      <c r="C790" s="82" t="s">
        <v>81</v>
      </c>
      <c r="D790" s="82" t="s">
        <v>2034</v>
      </c>
      <c r="H790" s="82" t="s">
        <v>2035</v>
      </c>
      <c r="I790" s="83">
        <v>46021.0</v>
      </c>
    </row>
    <row r="791" ht="22.5" hidden="1" customHeight="1">
      <c r="A791" s="81">
        <v>46022.48159697917</v>
      </c>
      <c r="B791" s="82" t="s">
        <v>991</v>
      </c>
      <c r="C791" s="82" t="s">
        <v>2035</v>
      </c>
      <c r="D791" s="82" t="s">
        <v>2036</v>
      </c>
      <c r="F791" s="83">
        <v>46034.0</v>
      </c>
      <c r="G791" s="84" t="s">
        <v>2650</v>
      </c>
      <c r="H791" s="82" t="s">
        <v>2035</v>
      </c>
      <c r="I791" s="83">
        <v>46022.0</v>
      </c>
    </row>
    <row r="792" ht="22.5" hidden="1" customHeight="1">
      <c r="A792" s="81">
        <v>46022.4821700926</v>
      </c>
      <c r="B792" s="82" t="s">
        <v>1049</v>
      </c>
      <c r="C792" s="82" t="s">
        <v>2035</v>
      </c>
      <c r="D792" s="82" t="s">
        <v>2036</v>
      </c>
      <c r="F792" s="83">
        <v>46034.0</v>
      </c>
      <c r="G792" s="84" t="s">
        <v>2651</v>
      </c>
      <c r="H792" s="82" t="s">
        <v>2035</v>
      </c>
      <c r="I792" s="83">
        <v>46022.0</v>
      </c>
    </row>
    <row r="793" ht="22.5" hidden="1" customHeight="1">
      <c r="A793" s="81">
        <v>46022.48263596065</v>
      </c>
      <c r="B793" s="82" t="s">
        <v>1036</v>
      </c>
      <c r="C793" s="82" t="s">
        <v>2035</v>
      </c>
      <c r="D793" s="82" t="s">
        <v>2036</v>
      </c>
      <c r="F793" s="83">
        <v>46034.0</v>
      </c>
      <c r="G793" s="84" t="s">
        <v>2652</v>
      </c>
      <c r="H793" s="82" t="s">
        <v>2035</v>
      </c>
      <c r="I793" s="83">
        <v>46022.0</v>
      </c>
    </row>
    <row r="794" ht="22.5" hidden="1" customHeight="1">
      <c r="A794" s="81">
        <v>46022.48352310185</v>
      </c>
      <c r="B794" s="82" t="s">
        <v>1065</v>
      </c>
      <c r="C794" s="82" t="s">
        <v>2035</v>
      </c>
      <c r="D794" s="82" t="s">
        <v>2036</v>
      </c>
      <c r="F794" s="83">
        <v>46034.0</v>
      </c>
      <c r="G794" s="84" t="s">
        <v>2653</v>
      </c>
      <c r="H794" s="82" t="s">
        <v>2035</v>
      </c>
      <c r="I794" s="83">
        <v>46022.0</v>
      </c>
    </row>
    <row r="795" ht="22.5" hidden="1" customHeight="1">
      <c r="A795" s="81">
        <v>46022.484011354165</v>
      </c>
      <c r="B795" s="82" t="s">
        <v>1023</v>
      </c>
      <c r="C795" s="82" t="s">
        <v>2035</v>
      </c>
      <c r="D795" s="82" t="s">
        <v>2036</v>
      </c>
      <c r="F795" s="83">
        <v>46034.0</v>
      </c>
      <c r="G795" s="84" t="s">
        <v>2654</v>
      </c>
      <c r="H795" s="82" t="s">
        <v>2035</v>
      </c>
      <c r="I795" s="83">
        <v>46022.0</v>
      </c>
    </row>
    <row r="796" ht="22.5" hidden="1" customHeight="1">
      <c r="A796" s="81">
        <v>46022.485047951384</v>
      </c>
      <c r="B796" s="82" t="s">
        <v>1081</v>
      </c>
      <c r="C796" s="82" t="s">
        <v>2035</v>
      </c>
      <c r="D796" s="82" t="s">
        <v>2036</v>
      </c>
      <c r="F796" s="83">
        <v>46034.0</v>
      </c>
      <c r="G796" s="84" t="s">
        <v>2655</v>
      </c>
      <c r="H796" s="82" t="s">
        <v>2035</v>
      </c>
      <c r="I796" s="83">
        <v>46022.0</v>
      </c>
    </row>
    <row r="797" ht="22.5" hidden="1" customHeight="1">
      <c r="A797" s="81">
        <v>46022.58622734954</v>
      </c>
      <c r="B797" s="82" t="s">
        <v>1135</v>
      </c>
      <c r="C797" s="82" t="s">
        <v>81</v>
      </c>
      <c r="D797" s="82" t="s">
        <v>2034</v>
      </c>
      <c r="H797" s="82" t="s">
        <v>2035</v>
      </c>
      <c r="I797" s="83">
        <v>46022.0</v>
      </c>
      <c r="J797" s="84" t="s">
        <v>2656</v>
      </c>
    </row>
    <row r="798" ht="22.5" hidden="1" customHeight="1">
      <c r="A798" s="81">
        <v>46027.674442662035</v>
      </c>
      <c r="B798" s="82" t="s">
        <v>1106</v>
      </c>
      <c r="C798" s="82" t="s">
        <v>2035</v>
      </c>
      <c r="D798" s="82" t="s">
        <v>2036</v>
      </c>
      <c r="F798" s="83">
        <v>46036.0</v>
      </c>
      <c r="G798" s="84" t="s">
        <v>2657</v>
      </c>
      <c r="H798" s="82" t="s">
        <v>2035</v>
      </c>
      <c r="I798" s="83">
        <v>46027.0</v>
      </c>
    </row>
    <row r="799" ht="22.5" hidden="1" customHeight="1">
      <c r="A799" s="81">
        <v>46027.675189120375</v>
      </c>
      <c r="B799" s="82" t="s">
        <v>2658</v>
      </c>
      <c r="C799" s="82" t="s">
        <v>2035</v>
      </c>
      <c r="D799" s="82" t="s">
        <v>2036</v>
      </c>
      <c r="F799" s="83">
        <v>46036.0</v>
      </c>
      <c r="G799" s="84" t="s">
        <v>2659</v>
      </c>
      <c r="H799" s="82" t="s">
        <v>2035</v>
      </c>
      <c r="I799" s="83">
        <v>46027.0</v>
      </c>
    </row>
    <row r="800" ht="22.5" hidden="1" customHeight="1">
      <c r="A800" s="81">
        <v>46027.67568472222</v>
      </c>
      <c r="B800" s="82" t="s">
        <v>1133</v>
      </c>
      <c r="C800" s="82" t="s">
        <v>2035</v>
      </c>
      <c r="D800" s="82" t="s">
        <v>2036</v>
      </c>
      <c r="F800" s="83">
        <v>46036.0</v>
      </c>
      <c r="G800" s="84" t="s">
        <v>2660</v>
      </c>
      <c r="H800" s="82" t="s">
        <v>2035</v>
      </c>
      <c r="I800" s="83">
        <v>46027.0</v>
      </c>
    </row>
    <row r="801" ht="22.5" hidden="1" customHeight="1">
      <c r="A801" s="81">
        <v>46027.67614928241</v>
      </c>
      <c r="B801" s="82" t="s">
        <v>1103</v>
      </c>
      <c r="C801" s="82" t="s">
        <v>2035</v>
      </c>
      <c r="D801" s="82" t="s">
        <v>2036</v>
      </c>
      <c r="F801" s="83">
        <v>46036.0</v>
      </c>
      <c r="G801" s="84" t="s">
        <v>2661</v>
      </c>
      <c r="H801" s="82" t="s">
        <v>2035</v>
      </c>
      <c r="I801" s="83">
        <v>46027.0</v>
      </c>
    </row>
    <row r="802" ht="22.5" hidden="1" customHeight="1">
      <c r="A802" s="81">
        <v>46027.67703364583</v>
      </c>
      <c r="B802" s="82" t="s">
        <v>821</v>
      </c>
      <c r="C802" s="82" t="s">
        <v>2035</v>
      </c>
      <c r="D802" s="82" t="s">
        <v>2036</v>
      </c>
      <c r="F802" s="83">
        <v>46036.0</v>
      </c>
      <c r="G802" s="84" t="s">
        <v>2662</v>
      </c>
      <c r="H802" s="82" t="s">
        <v>2035</v>
      </c>
      <c r="I802" s="83">
        <v>46027.0</v>
      </c>
    </row>
    <row r="803" ht="22.5" hidden="1" customHeight="1">
      <c r="A803" s="81">
        <v>46027.677509733796</v>
      </c>
      <c r="B803" s="82" t="s">
        <v>823</v>
      </c>
      <c r="C803" s="82" t="s">
        <v>2035</v>
      </c>
      <c r="D803" s="82" t="s">
        <v>2036</v>
      </c>
      <c r="F803" s="83">
        <v>46036.0</v>
      </c>
      <c r="G803" s="84" t="s">
        <v>2663</v>
      </c>
      <c r="H803" s="82" t="s">
        <v>2035</v>
      </c>
      <c r="I803" s="83">
        <v>46027.0</v>
      </c>
    </row>
    <row r="804" ht="22.5" hidden="1" customHeight="1">
      <c r="A804" s="81">
        <v>46027.6778896412</v>
      </c>
      <c r="B804" s="82" t="s">
        <v>1126</v>
      </c>
      <c r="C804" s="82" t="s">
        <v>2035</v>
      </c>
      <c r="D804" s="82" t="s">
        <v>2036</v>
      </c>
      <c r="F804" s="83">
        <v>46036.0</v>
      </c>
      <c r="G804" s="84" t="s">
        <v>2664</v>
      </c>
      <c r="H804" s="82" t="s">
        <v>2035</v>
      </c>
      <c r="I804" s="83">
        <v>46027.0</v>
      </c>
    </row>
    <row r="805" ht="22.5" hidden="1" customHeight="1">
      <c r="A805" s="81">
        <v>46027.67902732639</v>
      </c>
      <c r="B805" s="82" t="s">
        <v>1028</v>
      </c>
      <c r="C805" s="82" t="s">
        <v>2035</v>
      </c>
      <c r="D805" s="82" t="s">
        <v>2034</v>
      </c>
      <c r="H805" s="82" t="s">
        <v>2035</v>
      </c>
      <c r="I805" s="83">
        <v>46027.0</v>
      </c>
      <c r="J805" s="84" t="s">
        <v>2665</v>
      </c>
    </row>
    <row r="806" ht="22.5" hidden="1" customHeight="1">
      <c r="A806" s="81">
        <v>46028.613885706014</v>
      </c>
      <c r="B806" s="82" t="s">
        <v>1114</v>
      </c>
      <c r="C806" s="82" t="s">
        <v>2038</v>
      </c>
      <c r="D806" s="82" t="s">
        <v>2036</v>
      </c>
      <c r="F806" s="83">
        <v>46037.0</v>
      </c>
      <c r="G806" s="84" t="s">
        <v>2666</v>
      </c>
      <c r="H806" s="82" t="s">
        <v>2035</v>
      </c>
      <c r="I806" s="83">
        <v>46028.0</v>
      </c>
    </row>
    <row r="807" ht="22.5" hidden="1" customHeight="1">
      <c r="A807" s="81">
        <v>46029.46129741898</v>
      </c>
      <c r="B807" s="82" t="s">
        <v>975</v>
      </c>
      <c r="C807" s="82" t="s">
        <v>2035</v>
      </c>
      <c r="D807" s="82" t="s">
        <v>2036</v>
      </c>
      <c r="F807" s="83">
        <v>46037.0</v>
      </c>
      <c r="G807" s="84" t="s">
        <v>2667</v>
      </c>
      <c r="H807" s="82" t="s">
        <v>2035</v>
      </c>
      <c r="I807" s="83">
        <v>46029.0</v>
      </c>
    </row>
    <row r="808" ht="22.5" hidden="1" customHeight="1">
      <c r="A808" s="81">
        <v>46029.46183076389</v>
      </c>
      <c r="B808" s="82" t="s">
        <v>956</v>
      </c>
      <c r="C808" s="82" t="s">
        <v>2035</v>
      </c>
      <c r="D808" s="82" t="s">
        <v>2036</v>
      </c>
      <c r="F808" s="83">
        <v>46037.0</v>
      </c>
      <c r="G808" s="84" t="s">
        <v>2668</v>
      </c>
      <c r="H808" s="82" t="s">
        <v>2035</v>
      </c>
      <c r="I808" s="83">
        <v>46029.0</v>
      </c>
    </row>
    <row r="809" ht="22.5" hidden="1" customHeight="1">
      <c r="A809" s="81">
        <v>46029.48108599537</v>
      </c>
      <c r="B809" s="82" t="s">
        <v>799</v>
      </c>
      <c r="C809" s="82" t="s">
        <v>2038</v>
      </c>
      <c r="D809" s="82" t="s">
        <v>2036</v>
      </c>
      <c r="F809" s="83">
        <v>46037.0</v>
      </c>
      <c r="G809" s="84" t="s">
        <v>2669</v>
      </c>
      <c r="H809" s="82" t="s">
        <v>2035</v>
      </c>
      <c r="I809" s="83">
        <v>46029.0</v>
      </c>
    </row>
    <row r="810" ht="22.5" hidden="1" customHeight="1">
      <c r="A810" s="81">
        <v>46029.481526076386</v>
      </c>
      <c r="B810" s="82" t="s">
        <v>1129</v>
      </c>
      <c r="C810" s="82" t="s">
        <v>2038</v>
      </c>
      <c r="D810" s="82" t="s">
        <v>2036</v>
      </c>
      <c r="F810" s="83">
        <v>46037.0</v>
      </c>
      <c r="G810" s="84" t="s">
        <v>2670</v>
      </c>
      <c r="H810" s="82" t="s">
        <v>2035</v>
      </c>
      <c r="I810" s="83">
        <v>46029.0</v>
      </c>
    </row>
    <row r="811" ht="22.5" hidden="1" customHeight="1">
      <c r="A811" s="81">
        <v>46029.48188384259</v>
      </c>
      <c r="B811" s="82" t="s">
        <v>1062</v>
      </c>
      <c r="C811" s="82" t="s">
        <v>2038</v>
      </c>
      <c r="D811" s="82" t="s">
        <v>2036</v>
      </c>
      <c r="F811" s="83">
        <v>46037.0</v>
      </c>
      <c r="G811" s="84" t="s">
        <v>2671</v>
      </c>
      <c r="H811" s="82" t="s">
        <v>2035</v>
      </c>
      <c r="I811" s="83">
        <v>46029.0</v>
      </c>
    </row>
    <row r="812" ht="22.5" hidden="1" customHeight="1">
      <c r="A812" s="81">
        <v>46029.48240678241</v>
      </c>
      <c r="B812" s="82" t="s">
        <v>1091</v>
      </c>
      <c r="C812" s="82" t="s">
        <v>2035</v>
      </c>
      <c r="D812" s="82" t="s">
        <v>2034</v>
      </c>
      <c r="H812" s="82" t="s">
        <v>2035</v>
      </c>
      <c r="I812" s="83">
        <v>46029.0</v>
      </c>
      <c r="J812" s="84" t="s">
        <v>2672</v>
      </c>
    </row>
    <row r="813" ht="22.5" hidden="1" customHeight="1">
      <c r="A813" s="81">
        <v>46029.492611435184</v>
      </c>
      <c r="B813" s="82" t="s">
        <v>1141</v>
      </c>
      <c r="C813" s="82" t="s">
        <v>81</v>
      </c>
      <c r="D813" s="82" t="s">
        <v>2034</v>
      </c>
      <c r="H813" s="82" t="s">
        <v>2035</v>
      </c>
      <c r="I813" s="83">
        <v>46028.0</v>
      </c>
    </row>
    <row r="814" ht="22.5" hidden="1" customHeight="1">
      <c r="A814" s="81">
        <v>46029.49334590278</v>
      </c>
      <c r="B814" s="82" t="s">
        <v>1142</v>
      </c>
      <c r="C814" s="82" t="s">
        <v>81</v>
      </c>
      <c r="D814" s="82" t="s">
        <v>2034</v>
      </c>
      <c r="H814" s="82" t="s">
        <v>2035</v>
      </c>
      <c r="I814" s="83">
        <v>46029.0</v>
      </c>
    </row>
    <row r="815" ht="22.5" hidden="1" customHeight="1">
      <c r="A815" s="81">
        <v>46030.458103784724</v>
      </c>
      <c r="B815" s="82" t="s">
        <v>1154</v>
      </c>
      <c r="C815" s="82" t="s">
        <v>81</v>
      </c>
      <c r="D815" s="82" t="s">
        <v>2034</v>
      </c>
      <c r="H815" s="82" t="s">
        <v>2035</v>
      </c>
      <c r="I815" s="83">
        <v>46029.0</v>
      </c>
    </row>
    <row r="816" ht="22.5" hidden="1" customHeight="1">
      <c r="A816" s="81">
        <v>46030.64879157407</v>
      </c>
      <c r="B816" s="82" t="s">
        <v>1165</v>
      </c>
      <c r="C816" s="82" t="s">
        <v>81</v>
      </c>
      <c r="D816" s="82" t="s">
        <v>2034</v>
      </c>
      <c r="H816" s="82" t="s">
        <v>2035</v>
      </c>
      <c r="I816" s="83">
        <v>46030.0</v>
      </c>
    </row>
    <row r="817" ht="22.5" hidden="1" customHeight="1">
      <c r="A817" s="81">
        <v>46030.65411204861</v>
      </c>
      <c r="B817" s="82" t="s">
        <v>1138</v>
      </c>
      <c r="C817" s="82" t="s">
        <v>2035</v>
      </c>
      <c r="D817" s="82" t="s">
        <v>2036</v>
      </c>
      <c r="F817" s="83">
        <v>46038.0</v>
      </c>
      <c r="G817" s="84" t="s">
        <v>2673</v>
      </c>
      <c r="H817" s="82" t="s">
        <v>2035</v>
      </c>
      <c r="I817" s="83">
        <v>46030.0</v>
      </c>
    </row>
    <row r="818" ht="22.5" hidden="1" customHeight="1">
      <c r="A818" s="81">
        <v>46030.656980671294</v>
      </c>
      <c r="B818" s="82" t="s">
        <v>1157</v>
      </c>
      <c r="C818" s="82" t="s">
        <v>2035</v>
      </c>
      <c r="D818" s="82" t="s">
        <v>2036</v>
      </c>
      <c r="F818" s="83">
        <v>46038.0</v>
      </c>
      <c r="G818" s="84" t="s">
        <v>2674</v>
      </c>
      <c r="H818" s="82" t="s">
        <v>2035</v>
      </c>
      <c r="I818" s="83">
        <v>46030.0</v>
      </c>
    </row>
    <row r="819" ht="22.5" hidden="1" customHeight="1">
      <c r="A819" s="81">
        <v>46031.4501575926</v>
      </c>
      <c r="B819" s="82" t="s">
        <v>973</v>
      </c>
      <c r="C819" s="82" t="s">
        <v>2035</v>
      </c>
      <c r="D819" s="82" t="s">
        <v>2036</v>
      </c>
      <c r="F819" s="83">
        <v>46042.0</v>
      </c>
      <c r="G819" s="84" t="s">
        <v>2675</v>
      </c>
      <c r="H819" s="82" t="s">
        <v>2035</v>
      </c>
      <c r="I819" s="83">
        <v>46031.0</v>
      </c>
    </row>
    <row r="820" ht="22.5" hidden="1" customHeight="1">
      <c r="A820" s="81">
        <v>46031.45072175926</v>
      </c>
      <c r="B820" s="82" t="s">
        <v>726</v>
      </c>
      <c r="C820" s="82" t="s">
        <v>2035</v>
      </c>
      <c r="D820" s="82" t="s">
        <v>2036</v>
      </c>
      <c r="F820" s="83">
        <v>46042.0</v>
      </c>
      <c r="G820" s="84" t="s">
        <v>2676</v>
      </c>
      <c r="H820" s="82" t="s">
        <v>2035</v>
      </c>
      <c r="I820" s="83">
        <v>46031.0</v>
      </c>
    </row>
    <row r="821" ht="22.5" hidden="1" customHeight="1">
      <c r="A821" s="81">
        <v>46031.45670498842</v>
      </c>
      <c r="B821" s="82" t="s">
        <v>1117</v>
      </c>
      <c r="C821" s="82" t="s">
        <v>2038</v>
      </c>
      <c r="D821" s="82" t="s">
        <v>2034</v>
      </c>
      <c r="H821" s="82" t="s">
        <v>2035</v>
      </c>
      <c r="I821" s="83">
        <v>46031.0</v>
      </c>
      <c r="J821" s="84" t="s">
        <v>2677</v>
      </c>
    </row>
    <row r="822" ht="22.5" hidden="1" customHeight="1">
      <c r="A822" s="81">
        <v>46031.45705149305</v>
      </c>
      <c r="B822" s="82" t="s">
        <v>1041</v>
      </c>
      <c r="C822" s="82" t="s">
        <v>2038</v>
      </c>
      <c r="D822" s="82" t="s">
        <v>2034</v>
      </c>
      <c r="H822" s="82" t="s">
        <v>2035</v>
      </c>
      <c r="I822" s="83">
        <v>46031.0</v>
      </c>
      <c r="J822" s="84" t="s">
        <v>2678</v>
      </c>
    </row>
    <row r="823" ht="22.5" hidden="1" customHeight="1">
      <c r="A823" s="81">
        <v>46031.457574942135</v>
      </c>
      <c r="B823" s="82" t="s">
        <v>921</v>
      </c>
      <c r="C823" s="82" t="s">
        <v>2038</v>
      </c>
      <c r="D823" s="82" t="s">
        <v>2034</v>
      </c>
      <c r="H823" s="82" t="s">
        <v>2035</v>
      </c>
      <c r="I823" s="83">
        <v>46031.0</v>
      </c>
      <c r="J823" s="84" t="s">
        <v>2679</v>
      </c>
    </row>
    <row r="824" ht="22.5" hidden="1" customHeight="1">
      <c r="A824" s="81">
        <v>46032.43688324074</v>
      </c>
      <c r="B824" s="82" t="s">
        <v>1072</v>
      </c>
      <c r="C824" s="82" t="s">
        <v>2038</v>
      </c>
      <c r="D824" s="82" t="s">
        <v>2036</v>
      </c>
      <c r="F824" s="83">
        <v>46042.0</v>
      </c>
      <c r="G824" s="84" t="s">
        <v>2680</v>
      </c>
      <c r="H824" s="82" t="s">
        <v>2035</v>
      </c>
      <c r="I824" s="83">
        <v>46031.0</v>
      </c>
    </row>
    <row r="825" ht="22.5" hidden="1" customHeight="1">
      <c r="A825" s="81">
        <v>46032.437332824076</v>
      </c>
      <c r="B825" s="82" t="s">
        <v>474</v>
      </c>
      <c r="C825" s="82" t="s">
        <v>2038</v>
      </c>
      <c r="D825" s="82" t="s">
        <v>2036</v>
      </c>
      <c r="F825" s="83">
        <v>46042.0</v>
      </c>
      <c r="G825" s="84" t="s">
        <v>2681</v>
      </c>
      <c r="H825" s="82" t="s">
        <v>2035</v>
      </c>
      <c r="I825" s="83">
        <v>46031.0</v>
      </c>
    </row>
    <row r="826" ht="22.5" hidden="1" customHeight="1">
      <c r="A826" s="81">
        <v>46032.43782077546</v>
      </c>
      <c r="B826" s="82" t="s">
        <v>476</v>
      </c>
      <c r="C826" s="82" t="s">
        <v>2038</v>
      </c>
      <c r="D826" s="82" t="s">
        <v>2036</v>
      </c>
      <c r="F826" s="83">
        <v>46042.0</v>
      </c>
      <c r="G826" s="84" t="s">
        <v>2682</v>
      </c>
      <c r="H826" s="82" t="s">
        <v>2035</v>
      </c>
      <c r="I826" s="83">
        <v>46031.0</v>
      </c>
    </row>
    <row r="827" ht="22.5" hidden="1" customHeight="1">
      <c r="A827" s="81">
        <v>46032.4382309838</v>
      </c>
      <c r="B827" s="82" t="s">
        <v>1169</v>
      </c>
      <c r="C827" s="82" t="s">
        <v>2038</v>
      </c>
      <c r="D827" s="82" t="s">
        <v>2036</v>
      </c>
      <c r="F827" s="83">
        <v>46043.0</v>
      </c>
      <c r="G827" s="84" t="s">
        <v>2683</v>
      </c>
      <c r="H827" s="82" t="s">
        <v>2035</v>
      </c>
      <c r="I827" s="83">
        <v>46032.0</v>
      </c>
    </row>
    <row r="828" ht="22.5" hidden="1" customHeight="1">
      <c r="A828" s="81">
        <v>46032.43870034722</v>
      </c>
      <c r="B828" s="82" t="s">
        <v>1003</v>
      </c>
      <c r="C828" s="82" t="s">
        <v>2038</v>
      </c>
      <c r="D828" s="82" t="s">
        <v>2036</v>
      </c>
      <c r="F828" s="83">
        <v>46043.0</v>
      </c>
      <c r="G828" s="84" t="s">
        <v>2684</v>
      </c>
      <c r="H828" s="82" t="s">
        <v>2035</v>
      </c>
      <c r="I828" s="83">
        <v>46032.0</v>
      </c>
    </row>
    <row r="829" ht="22.5" hidden="1" customHeight="1">
      <c r="A829" s="81">
        <v>46032.43975615741</v>
      </c>
      <c r="B829" s="82" t="s">
        <v>1109</v>
      </c>
      <c r="C829" s="82" t="s">
        <v>2038</v>
      </c>
      <c r="D829" s="82" t="s">
        <v>2034</v>
      </c>
      <c r="H829" s="82" t="s">
        <v>2035</v>
      </c>
      <c r="I829" s="83">
        <v>46032.0</v>
      </c>
      <c r="J829" s="84" t="s">
        <v>2685</v>
      </c>
    </row>
    <row r="830" ht="22.5" hidden="1" customHeight="1">
      <c r="A830" s="81">
        <v>46032.440121875</v>
      </c>
      <c r="B830" s="82" t="s">
        <v>1081</v>
      </c>
      <c r="C830" s="82" t="s">
        <v>2038</v>
      </c>
      <c r="D830" s="82" t="s">
        <v>2034</v>
      </c>
      <c r="H830" s="82" t="s">
        <v>2035</v>
      </c>
      <c r="I830" s="83">
        <v>46032.0</v>
      </c>
      <c r="J830" s="84" t="s">
        <v>2686</v>
      </c>
    </row>
    <row r="831" ht="22.5" hidden="1" customHeight="1">
      <c r="A831" s="81">
        <v>46034.4552028125</v>
      </c>
      <c r="B831" s="82" t="s">
        <v>1159</v>
      </c>
      <c r="C831" s="82" t="s">
        <v>81</v>
      </c>
      <c r="D831" s="82" t="s">
        <v>2034</v>
      </c>
      <c r="H831" s="82" t="s">
        <v>2035</v>
      </c>
      <c r="I831" s="83">
        <v>46031.0</v>
      </c>
    </row>
    <row r="832" ht="22.5" hidden="1" customHeight="1">
      <c r="A832" s="81">
        <v>46034.45538190972</v>
      </c>
      <c r="B832" s="82" t="s">
        <v>1161</v>
      </c>
      <c r="C832" s="82" t="s">
        <v>81</v>
      </c>
      <c r="D832" s="82" t="s">
        <v>2034</v>
      </c>
      <c r="H832" s="82" t="s">
        <v>2035</v>
      </c>
      <c r="I832" s="83">
        <v>46031.0</v>
      </c>
    </row>
    <row r="833" ht="22.5" hidden="1" customHeight="1">
      <c r="A833" s="81">
        <v>46034.460994444446</v>
      </c>
      <c r="B833" s="82" t="s">
        <v>1166</v>
      </c>
      <c r="C833" s="82" t="s">
        <v>81</v>
      </c>
      <c r="D833" s="82" t="s">
        <v>2034</v>
      </c>
      <c r="H833" s="82" t="s">
        <v>2035</v>
      </c>
      <c r="I833" s="83">
        <v>46031.0</v>
      </c>
    </row>
    <row r="834" ht="22.5" hidden="1" customHeight="1">
      <c r="A834" s="81">
        <v>46034.46142795139</v>
      </c>
      <c r="B834" s="82" t="s">
        <v>1173</v>
      </c>
      <c r="C834" s="82" t="s">
        <v>81</v>
      </c>
      <c r="D834" s="82" t="s">
        <v>2034</v>
      </c>
      <c r="H834" s="82" t="s">
        <v>2035</v>
      </c>
      <c r="I834" s="83">
        <v>46031.0</v>
      </c>
    </row>
    <row r="835" ht="22.5" hidden="1" customHeight="1">
      <c r="A835" s="81">
        <v>46034.461713425924</v>
      </c>
      <c r="B835" s="82" t="s">
        <v>1175</v>
      </c>
      <c r="C835" s="82" t="s">
        <v>81</v>
      </c>
      <c r="D835" s="82" t="s">
        <v>2034</v>
      </c>
      <c r="H835" s="82" t="s">
        <v>2035</v>
      </c>
      <c r="I835" s="83">
        <v>46031.0</v>
      </c>
    </row>
    <row r="836" ht="22.5" hidden="1" customHeight="1">
      <c r="A836" s="81">
        <v>46034.46199791667</v>
      </c>
      <c r="B836" s="82" t="s">
        <v>1182</v>
      </c>
      <c r="C836" s="82" t="s">
        <v>81</v>
      </c>
      <c r="D836" s="82" t="s">
        <v>2034</v>
      </c>
      <c r="H836" s="82" t="s">
        <v>2035</v>
      </c>
      <c r="I836" s="83">
        <v>46032.0</v>
      </c>
    </row>
    <row r="837" ht="22.5" hidden="1" customHeight="1">
      <c r="A837" s="81">
        <v>46034.512049247685</v>
      </c>
      <c r="B837" s="82" t="s">
        <v>1143</v>
      </c>
      <c r="C837" s="82" t="s">
        <v>2035</v>
      </c>
      <c r="D837" s="82" t="s">
        <v>2036</v>
      </c>
      <c r="F837" s="83">
        <v>46043.0</v>
      </c>
      <c r="G837" s="84" t="s">
        <v>2687</v>
      </c>
      <c r="H837" s="82" t="s">
        <v>2035</v>
      </c>
      <c r="I837" s="83">
        <v>46034.0</v>
      </c>
    </row>
    <row r="838" ht="22.5" hidden="1" customHeight="1">
      <c r="A838" s="81">
        <v>46034.51295418981</v>
      </c>
      <c r="B838" s="82" t="s">
        <v>1065</v>
      </c>
      <c r="C838" s="82" t="s">
        <v>2038</v>
      </c>
      <c r="D838" s="82" t="s">
        <v>2034</v>
      </c>
      <c r="H838" s="82" t="s">
        <v>2035</v>
      </c>
      <c r="I838" s="83">
        <v>46034.0</v>
      </c>
      <c r="J838" s="84" t="s">
        <v>2688</v>
      </c>
    </row>
    <row r="839" ht="22.5" hidden="1" customHeight="1">
      <c r="A839" s="81">
        <v>46034.513420497686</v>
      </c>
      <c r="B839" s="82" t="s">
        <v>1049</v>
      </c>
      <c r="C839" s="82" t="s">
        <v>2038</v>
      </c>
      <c r="D839" s="82" t="s">
        <v>2034</v>
      </c>
      <c r="H839" s="82" t="s">
        <v>2035</v>
      </c>
      <c r="I839" s="83">
        <v>46034.0</v>
      </c>
      <c r="J839" s="84" t="s">
        <v>2689</v>
      </c>
    </row>
    <row r="840" ht="22.5" hidden="1" customHeight="1">
      <c r="A840" s="81">
        <v>46034.51389324074</v>
      </c>
      <c r="B840" s="82" t="s">
        <v>1036</v>
      </c>
      <c r="C840" s="82" t="s">
        <v>2038</v>
      </c>
      <c r="D840" s="82" t="s">
        <v>2034</v>
      </c>
      <c r="H840" s="82" t="s">
        <v>2035</v>
      </c>
      <c r="I840" s="83">
        <v>46034.0</v>
      </c>
      <c r="J840" s="84" t="s">
        <v>2690</v>
      </c>
    </row>
    <row r="841" ht="22.5" hidden="1" customHeight="1">
      <c r="A841" s="81">
        <v>46034.65364283565</v>
      </c>
      <c r="B841" s="82" t="s">
        <v>1120</v>
      </c>
      <c r="C841" s="82" t="s">
        <v>2035</v>
      </c>
      <c r="D841" s="82" t="s">
        <v>2036</v>
      </c>
      <c r="F841" s="83">
        <v>46043.0</v>
      </c>
      <c r="G841" s="84" t="s">
        <v>2691</v>
      </c>
      <c r="H841" s="82" t="s">
        <v>2035</v>
      </c>
      <c r="I841" s="83">
        <v>46034.0</v>
      </c>
    </row>
    <row r="842" ht="22.5" hidden="1" customHeight="1">
      <c r="A842" s="81">
        <v>46034.654313113424</v>
      </c>
      <c r="B842" s="82" t="s">
        <v>1183</v>
      </c>
      <c r="C842" s="82" t="s">
        <v>2035</v>
      </c>
      <c r="D842" s="82" t="s">
        <v>2036</v>
      </c>
      <c r="F842" s="83">
        <v>46043.0</v>
      </c>
      <c r="G842" s="84" t="s">
        <v>2692</v>
      </c>
      <c r="H842" s="82" t="s">
        <v>2035</v>
      </c>
      <c r="I842" s="83">
        <v>46034.0</v>
      </c>
    </row>
    <row r="843" ht="22.5" hidden="1" customHeight="1">
      <c r="A843" s="81">
        <v>46034.654833078705</v>
      </c>
      <c r="B843" s="82" t="s">
        <v>1171</v>
      </c>
      <c r="C843" s="82" t="s">
        <v>2035</v>
      </c>
      <c r="D843" s="82" t="s">
        <v>2036</v>
      </c>
      <c r="F843" s="83">
        <v>46043.0</v>
      </c>
      <c r="G843" s="84" t="s">
        <v>2693</v>
      </c>
      <c r="H843" s="82" t="s">
        <v>2035</v>
      </c>
      <c r="I843" s="83">
        <v>46034.0</v>
      </c>
    </row>
    <row r="844" ht="22.5" hidden="1" customHeight="1">
      <c r="A844" s="81">
        <v>46034.65529733796</v>
      </c>
      <c r="B844" s="82" t="s">
        <v>953</v>
      </c>
      <c r="C844" s="82" t="s">
        <v>2035</v>
      </c>
      <c r="D844" s="82" t="s">
        <v>2036</v>
      </c>
      <c r="F844" s="83">
        <v>46043.0</v>
      </c>
      <c r="G844" s="84" t="s">
        <v>2694</v>
      </c>
      <c r="H844" s="82" t="s">
        <v>2035</v>
      </c>
      <c r="I844" s="83">
        <v>46034.0</v>
      </c>
    </row>
    <row r="845" ht="22.5" hidden="1" customHeight="1">
      <c r="A845" s="81">
        <v>46034.655688252315</v>
      </c>
      <c r="B845" s="82" t="s">
        <v>1163</v>
      </c>
      <c r="C845" s="82" t="s">
        <v>2035</v>
      </c>
      <c r="D845" s="82" t="s">
        <v>2036</v>
      </c>
      <c r="F845" s="83">
        <v>46043.0</v>
      </c>
      <c r="G845" s="84" t="s">
        <v>2695</v>
      </c>
      <c r="H845" s="82" t="s">
        <v>2035</v>
      </c>
      <c r="I845" s="83">
        <v>46034.0</v>
      </c>
    </row>
    <row r="846" ht="22.5" hidden="1" customHeight="1">
      <c r="A846" s="81">
        <v>46034.65607668982</v>
      </c>
      <c r="B846" s="82" t="s">
        <v>2658</v>
      </c>
      <c r="C846" s="82" t="s">
        <v>2038</v>
      </c>
      <c r="D846" s="82" t="s">
        <v>2034</v>
      </c>
      <c r="H846" s="82" t="s">
        <v>2035</v>
      </c>
      <c r="I846" s="83">
        <v>46034.0</v>
      </c>
      <c r="J846" s="84" t="s">
        <v>2696</v>
      </c>
    </row>
    <row r="847" ht="22.5" hidden="1" customHeight="1">
      <c r="A847" s="81">
        <v>46034.65640866898</v>
      </c>
      <c r="B847" s="82" t="s">
        <v>1106</v>
      </c>
      <c r="C847" s="82" t="s">
        <v>2038</v>
      </c>
      <c r="D847" s="82" t="s">
        <v>2034</v>
      </c>
      <c r="H847" s="82" t="s">
        <v>2035</v>
      </c>
      <c r="I847" s="83">
        <v>46034.0</v>
      </c>
      <c r="J847" s="84" t="s">
        <v>2697</v>
      </c>
    </row>
    <row r="848" ht="22.5" hidden="1" customHeight="1">
      <c r="A848" s="81">
        <v>46035.483709259264</v>
      </c>
      <c r="B848" s="82" t="s">
        <v>1133</v>
      </c>
      <c r="C848" s="82" t="s">
        <v>2035</v>
      </c>
      <c r="D848" s="82" t="s">
        <v>2036</v>
      </c>
      <c r="F848" s="83">
        <v>46044.0</v>
      </c>
      <c r="G848" s="84" t="s">
        <v>2698</v>
      </c>
      <c r="H848" s="82" t="s">
        <v>2035</v>
      </c>
      <c r="I848" s="83">
        <v>46035.0</v>
      </c>
    </row>
    <row r="849" ht="22.5" hidden="1" customHeight="1">
      <c r="A849" s="81">
        <v>46035.4850344213</v>
      </c>
      <c r="B849" s="82" t="s">
        <v>1103</v>
      </c>
      <c r="C849" s="82" t="s">
        <v>2035</v>
      </c>
      <c r="D849" s="82" t="s">
        <v>2034</v>
      </c>
      <c r="H849" s="82" t="s">
        <v>2035</v>
      </c>
      <c r="I849" s="83">
        <v>46035.0</v>
      </c>
      <c r="J849" s="84" t="s">
        <v>2699</v>
      </c>
    </row>
    <row r="850" ht="22.5" hidden="1" customHeight="1">
      <c r="A850" s="81">
        <v>46035.485396874996</v>
      </c>
      <c r="B850" s="82" t="s">
        <v>1126</v>
      </c>
      <c r="C850" s="82" t="s">
        <v>2035</v>
      </c>
      <c r="D850" s="82" t="s">
        <v>2034</v>
      </c>
      <c r="H850" s="82" t="s">
        <v>2035</v>
      </c>
      <c r="I850" s="83">
        <v>46035.0</v>
      </c>
      <c r="J850" s="84" t="s">
        <v>2700</v>
      </c>
    </row>
    <row r="851" ht="22.5" hidden="1" customHeight="1">
      <c r="A851" s="81">
        <v>46035.65774724537</v>
      </c>
      <c r="B851" s="82" t="s">
        <v>1023</v>
      </c>
      <c r="C851" s="82" t="s">
        <v>2035</v>
      </c>
      <c r="D851" s="82" t="s">
        <v>2036</v>
      </c>
      <c r="F851" s="83">
        <v>46045.0</v>
      </c>
      <c r="G851" s="84" t="s">
        <v>2701</v>
      </c>
      <c r="H851" s="82" t="s">
        <v>2035</v>
      </c>
      <c r="I851" s="83">
        <v>46035.0</v>
      </c>
    </row>
    <row r="852" ht="22.5" hidden="1" customHeight="1">
      <c r="A852" s="81">
        <v>46035.682919768515</v>
      </c>
      <c r="B852" s="82" t="s">
        <v>1185</v>
      </c>
      <c r="C852" s="82" t="s">
        <v>81</v>
      </c>
      <c r="D852" s="82" t="s">
        <v>2034</v>
      </c>
      <c r="H852" s="82" t="s">
        <v>2035</v>
      </c>
      <c r="I852" s="83">
        <v>46035.0</v>
      </c>
    </row>
    <row r="853" ht="22.5" hidden="1" customHeight="1">
      <c r="A853" s="81">
        <v>46035.68537327547</v>
      </c>
      <c r="B853" s="82" t="s">
        <v>1186</v>
      </c>
      <c r="C853" s="82" t="s">
        <v>81</v>
      </c>
      <c r="D853" s="82" t="s">
        <v>2034</v>
      </c>
      <c r="H853" s="82" t="s">
        <v>2035</v>
      </c>
      <c r="I853" s="83">
        <v>46035.0</v>
      </c>
      <c r="J853" s="84" t="s">
        <v>2702</v>
      </c>
    </row>
    <row r="854" ht="22.5" hidden="1" customHeight="1">
      <c r="A854" s="81">
        <v>46036.57019658565</v>
      </c>
      <c r="B854" s="82" t="s">
        <v>821</v>
      </c>
      <c r="C854" s="82" t="s">
        <v>2038</v>
      </c>
      <c r="D854" s="82" t="s">
        <v>2036</v>
      </c>
      <c r="F854" s="83">
        <v>46045.0</v>
      </c>
      <c r="G854" s="84" t="s">
        <v>2703</v>
      </c>
      <c r="H854" s="82" t="s">
        <v>2035</v>
      </c>
      <c r="I854" s="83">
        <v>46036.0</v>
      </c>
    </row>
    <row r="855" ht="22.5" hidden="1" customHeight="1">
      <c r="A855" s="81">
        <v>46036.57058850695</v>
      </c>
      <c r="B855" s="82" t="s">
        <v>823</v>
      </c>
      <c r="C855" s="82" t="s">
        <v>2038</v>
      </c>
      <c r="D855" s="82" t="s">
        <v>2036</v>
      </c>
      <c r="F855" s="83">
        <v>46045.0</v>
      </c>
      <c r="G855" s="84" t="s">
        <v>2704</v>
      </c>
      <c r="H855" s="82" t="s">
        <v>2035</v>
      </c>
      <c r="I855" s="83">
        <v>46036.0</v>
      </c>
    </row>
    <row r="856" ht="22.5" hidden="1" customHeight="1">
      <c r="A856" s="81">
        <v>46036.57115315972</v>
      </c>
      <c r="B856" s="82" t="s">
        <v>991</v>
      </c>
      <c r="C856" s="82" t="s">
        <v>2038</v>
      </c>
      <c r="D856" s="82" t="s">
        <v>2036</v>
      </c>
      <c r="F856" s="83">
        <v>46045.0</v>
      </c>
      <c r="G856" s="84" t="s">
        <v>2705</v>
      </c>
      <c r="H856" s="82" t="s">
        <v>2035</v>
      </c>
      <c r="I856" s="83">
        <v>46036.0</v>
      </c>
    </row>
    <row r="857" ht="22.5" hidden="1" customHeight="1">
      <c r="A857" s="81">
        <v>46036.57227059027</v>
      </c>
      <c r="B857" s="82" t="s">
        <v>975</v>
      </c>
      <c r="C857" s="82" t="s">
        <v>2038</v>
      </c>
      <c r="D857" s="82" t="s">
        <v>2034</v>
      </c>
      <c r="H857" s="82" t="s">
        <v>2035</v>
      </c>
      <c r="I857" s="83">
        <v>46036.0</v>
      </c>
      <c r="J857" s="84" t="s">
        <v>2706</v>
      </c>
    </row>
    <row r="858" ht="22.5" hidden="1" customHeight="1">
      <c r="A858" s="81">
        <v>46036.57265998842</v>
      </c>
      <c r="B858" s="82" t="s">
        <v>956</v>
      </c>
      <c r="C858" s="82" t="s">
        <v>2038</v>
      </c>
      <c r="D858" s="82" t="s">
        <v>2034</v>
      </c>
      <c r="G858" s="84" t="s">
        <v>2707</v>
      </c>
      <c r="H858" s="82" t="s">
        <v>2035</v>
      </c>
      <c r="I858" s="83">
        <v>46036.0</v>
      </c>
    </row>
    <row r="859" ht="22.5" hidden="1" customHeight="1">
      <c r="A859" s="81">
        <v>46036.573083634255</v>
      </c>
      <c r="B859" s="82" t="s">
        <v>1187</v>
      </c>
      <c r="C859" s="82" t="s">
        <v>81</v>
      </c>
      <c r="D859" s="82" t="s">
        <v>2034</v>
      </c>
      <c r="H859" s="82" t="s">
        <v>2035</v>
      </c>
      <c r="I859" s="83">
        <v>46035.0</v>
      </c>
    </row>
    <row r="860" ht="22.5" hidden="1" customHeight="1">
      <c r="A860" s="81">
        <v>46037.37101570602</v>
      </c>
      <c r="B860" s="82" t="s">
        <v>852</v>
      </c>
      <c r="C860" s="82" t="s">
        <v>2038</v>
      </c>
      <c r="D860" s="82" t="s">
        <v>2036</v>
      </c>
      <c r="F860" s="83">
        <v>46046.0</v>
      </c>
      <c r="G860" s="84" t="s">
        <v>2708</v>
      </c>
      <c r="H860" s="82" t="s">
        <v>2035</v>
      </c>
      <c r="I860" s="83">
        <v>46037.0</v>
      </c>
    </row>
    <row r="861" ht="22.5" hidden="1" customHeight="1">
      <c r="A861" s="81">
        <v>46037.371776851855</v>
      </c>
      <c r="B861" s="82" t="s">
        <v>1197</v>
      </c>
      <c r="C861" s="82" t="s">
        <v>81</v>
      </c>
      <c r="D861" s="82" t="s">
        <v>2034</v>
      </c>
      <c r="H861" s="82" t="s">
        <v>2035</v>
      </c>
      <c r="I861" s="83">
        <v>46036.0</v>
      </c>
    </row>
    <row r="862" ht="22.5" hidden="1" customHeight="1">
      <c r="A862" s="81">
        <v>46037.43433049769</v>
      </c>
      <c r="B862" s="82" t="s">
        <v>130</v>
      </c>
      <c r="C862" s="82" t="s">
        <v>2038</v>
      </c>
      <c r="D862" s="82" t="s">
        <v>2034</v>
      </c>
      <c r="H862" s="82" t="s">
        <v>2035</v>
      </c>
      <c r="I862" s="83">
        <v>46037.0</v>
      </c>
      <c r="J862" s="84" t="s">
        <v>2709</v>
      </c>
    </row>
    <row r="863" ht="22.5" hidden="1" customHeight="1">
      <c r="A863" s="81">
        <v>46037.434684884254</v>
      </c>
      <c r="B863" s="82" t="s">
        <v>1062</v>
      </c>
      <c r="C863" s="82" t="s">
        <v>2038</v>
      </c>
      <c r="D863" s="82" t="s">
        <v>2034</v>
      </c>
      <c r="H863" s="82" t="s">
        <v>2035</v>
      </c>
      <c r="I863" s="83">
        <v>46037.0</v>
      </c>
      <c r="J863" s="84" t="s">
        <v>2710</v>
      </c>
    </row>
    <row r="864" ht="22.5" hidden="1" customHeight="1">
      <c r="A864" s="81">
        <v>46037.69556228009</v>
      </c>
      <c r="B864" s="82" t="s">
        <v>1068</v>
      </c>
      <c r="C864" s="82" t="s">
        <v>2038</v>
      </c>
      <c r="D864" s="82" t="s">
        <v>2036</v>
      </c>
      <c r="F864" s="83">
        <v>46037.0</v>
      </c>
      <c r="G864" s="84" t="s">
        <v>2711</v>
      </c>
      <c r="H864" s="82" t="s">
        <v>2035</v>
      </c>
      <c r="I864" s="83">
        <v>46037.0</v>
      </c>
    </row>
    <row r="865" ht="22.5" hidden="1" customHeight="1">
      <c r="A865" s="81">
        <v>46037.69638327546</v>
      </c>
      <c r="B865" s="82" t="s">
        <v>1111</v>
      </c>
      <c r="C865" s="82" t="s">
        <v>2038</v>
      </c>
      <c r="D865" s="82" t="s">
        <v>2036</v>
      </c>
      <c r="F865" s="83">
        <v>46046.0</v>
      </c>
      <c r="G865" s="84" t="s">
        <v>2712</v>
      </c>
      <c r="H865" s="82" t="s">
        <v>2035</v>
      </c>
      <c r="I865" s="83">
        <v>46037.0</v>
      </c>
    </row>
    <row r="866" ht="22.5" hidden="1" customHeight="1">
      <c r="A866" s="81">
        <v>46037.70717263889</v>
      </c>
      <c r="B866" s="82" t="s">
        <v>1169</v>
      </c>
      <c r="C866" s="82" t="s">
        <v>2038</v>
      </c>
      <c r="D866" s="82" t="s">
        <v>2034</v>
      </c>
      <c r="H866" s="82" t="s">
        <v>2035</v>
      </c>
      <c r="I866" s="83">
        <v>46037.0</v>
      </c>
      <c r="J866" s="84" t="s">
        <v>2713</v>
      </c>
    </row>
    <row r="867" ht="22.5" hidden="1" customHeight="1">
      <c r="A867" s="81">
        <v>46038.38704726852</v>
      </c>
      <c r="B867" s="82" t="s">
        <v>1157</v>
      </c>
      <c r="C867" s="82" t="s">
        <v>2035</v>
      </c>
      <c r="D867" s="82" t="s">
        <v>2034</v>
      </c>
      <c r="H867" s="82" t="s">
        <v>2035</v>
      </c>
      <c r="I867" s="83">
        <v>46038.0</v>
      </c>
      <c r="J867" s="84" t="s">
        <v>2714</v>
      </c>
    </row>
    <row r="868" ht="22.5" hidden="1" customHeight="1">
      <c r="A868" s="81">
        <v>46038.387482175924</v>
      </c>
      <c r="B868" s="82" t="s">
        <v>973</v>
      </c>
      <c r="C868" s="82" t="s">
        <v>2035</v>
      </c>
      <c r="D868" s="82" t="s">
        <v>2034</v>
      </c>
      <c r="H868" s="82" t="s">
        <v>2035</v>
      </c>
      <c r="I868" s="83">
        <v>46038.0</v>
      </c>
      <c r="J868" s="84" t="s">
        <v>2715</v>
      </c>
    </row>
    <row r="869" ht="22.5" hidden="1" customHeight="1">
      <c r="A869" s="81">
        <v>46038.38776932871</v>
      </c>
      <c r="B869" s="82" t="s">
        <v>1138</v>
      </c>
      <c r="C869" s="82" t="s">
        <v>2035</v>
      </c>
      <c r="D869" s="82" t="s">
        <v>2034</v>
      </c>
      <c r="H869" s="82" t="s">
        <v>2035</v>
      </c>
      <c r="I869" s="83">
        <v>46038.0</v>
      </c>
      <c r="J869" s="84" t="s">
        <v>2716</v>
      </c>
    </row>
    <row r="870" ht="22.5" hidden="1" customHeight="1">
      <c r="A870" s="81">
        <v>46038.45833444444</v>
      </c>
      <c r="B870" s="82" t="s">
        <v>1178</v>
      </c>
      <c r="C870" s="82" t="s">
        <v>2035</v>
      </c>
      <c r="D870" s="82" t="s">
        <v>85</v>
      </c>
      <c r="H870" s="82" t="s">
        <v>2035</v>
      </c>
      <c r="I870" s="83">
        <v>46038.0</v>
      </c>
    </row>
    <row r="871" ht="22.5" hidden="1" customHeight="1">
      <c r="A871" s="81">
        <v>46038.46008737269</v>
      </c>
      <c r="B871" s="82" t="s">
        <v>42</v>
      </c>
      <c r="C871" s="82" t="s">
        <v>2035</v>
      </c>
      <c r="D871" s="82" t="s">
        <v>85</v>
      </c>
      <c r="H871" s="82" t="s">
        <v>2035</v>
      </c>
      <c r="I871" s="83">
        <v>46038.0</v>
      </c>
    </row>
    <row r="872" ht="22.5" hidden="1" customHeight="1">
      <c r="A872" s="81">
        <v>46038.47882408564</v>
      </c>
      <c r="B872" s="82" t="s">
        <v>51</v>
      </c>
      <c r="C872" s="82" t="s">
        <v>2035</v>
      </c>
      <c r="D872" s="82" t="s">
        <v>85</v>
      </c>
      <c r="H872" s="82" t="s">
        <v>2035</v>
      </c>
      <c r="I872" s="83">
        <v>45892.0</v>
      </c>
    </row>
    <row r="873" ht="22.5" hidden="1" customHeight="1">
      <c r="A873" s="81">
        <v>46038.48370950231</v>
      </c>
      <c r="B873" s="82" t="s">
        <v>58</v>
      </c>
      <c r="C873" s="82" t="s">
        <v>81</v>
      </c>
      <c r="D873" s="82" t="s">
        <v>85</v>
      </c>
      <c r="H873" s="82" t="s">
        <v>2035</v>
      </c>
      <c r="I873" s="83">
        <v>46038.0</v>
      </c>
    </row>
    <row r="874" ht="22.5" hidden="1" customHeight="1">
      <c r="A874" s="81">
        <v>46038.49890832176</v>
      </c>
      <c r="B874" s="82" t="s">
        <v>107</v>
      </c>
      <c r="C874" s="82" t="s">
        <v>2035</v>
      </c>
      <c r="D874" s="82" t="s">
        <v>85</v>
      </c>
      <c r="H874" s="82" t="s">
        <v>2035</v>
      </c>
      <c r="I874" s="83">
        <v>46038.0</v>
      </c>
    </row>
    <row r="875" ht="22.5" hidden="1" customHeight="1">
      <c r="A875" s="81">
        <v>46038.50267523148</v>
      </c>
      <c r="B875" s="82" t="s">
        <v>209</v>
      </c>
      <c r="C875" s="82" t="s">
        <v>2035</v>
      </c>
      <c r="D875" s="82" t="s">
        <v>85</v>
      </c>
      <c r="H875" s="82" t="s">
        <v>2035</v>
      </c>
      <c r="I875" s="83">
        <v>46038.0</v>
      </c>
    </row>
    <row r="876" ht="22.5" hidden="1" customHeight="1">
      <c r="A876" s="81">
        <v>46038.505447187505</v>
      </c>
      <c r="B876" s="82" t="s">
        <v>294</v>
      </c>
      <c r="C876" s="82" t="s">
        <v>2035</v>
      </c>
      <c r="D876" s="82" t="s">
        <v>85</v>
      </c>
      <c r="H876" s="82" t="s">
        <v>2035</v>
      </c>
      <c r="I876" s="83">
        <v>46038.0</v>
      </c>
    </row>
    <row r="877" ht="22.5" hidden="1" customHeight="1">
      <c r="A877" s="81">
        <v>46038.50606868055</v>
      </c>
      <c r="B877" s="82" t="s">
        <v>329</v>
      </c>
      <c r="C877" s="82" t="s">
        <v>2035</v>
      </c>
      <c r="D877" s="82" t="s">
        <v>85</v>
      </c>
      <c r="H877" s="82" t="s">
        <v>2035</v>
      </c>
      <c r="I877" s="83">
        <v>46038.0</v>
      </c>
    </row>
    <row r="878" ht="22.5" hidden="1" customHeight="1">
      <c r="A878" s="81">
        <v>46038.506473657406</v>
      </c>
      <c r="B878" s="82" t="s">
        <v>331</v>
      </c>
      <c r="C878" s="82" t="s">
        <v>2035</v>
      </c>
      <c r="D878" s="82" t="s">
        <v>85</v>
      </c>
      <c r="H878" s="82" t="s">
        <v>2035</v>
      </c>
      <c r="I878" s="83">
        <v>46038.0</v>
      </c>
    </row>
    <row r="879" ht="22.5" hidden="1" customHeight="1">
      <c r="A879" s="81">
        <v>46038.50821206019</v>
      </c>
      <c r="B879" s="82" t="s">
        <v>365</v>
      </c>
      <c r="C879" s="82" t="s">
        <v>2035</v>
      </c>
      <c r="D879" s="82" t="s">
        <v>85</v>
      </c>
      <c r="H879" s="82" t="s">
        <v>2035</v>
      </c>
      <c r="I879" s="83">
        <v>46038.0</v>
      </c>
    </row>
    <row r="880" ht="22.5" hidden="1" customHeight="1">
      <c r="A880" s="81">
        <v>46038.50850546296</v>
      </c>
      <c r="B880" s="82" t="s">
        <v>378</v>
      </c>
      <c r="C880" s="82" t="s">
        <v>2035</v>
      </c>
      <c r="D880" s="82" t="s">
        <v>85</v>
      </c>
      <c r="H880" s="82" t="s">
        <v>2035</v>
      </c>
      <c r="I880" s="83">
        <v>46038.0</v>
      </c>
    </row>
    <row r="881" ht="22.5" hidden="1" customHeight="1">
      <c r="A881" s="81">
        <v>46038.50894177084</v>
      </c>
      <c r="B881" s="82" t="s">
        <v>402</v>
      </c>
      <c r="C881" s="82" t="s">
        <v>2035</v>
      </c>
      <c r="D881" s="82" t="s">
        <v>85</v>
      </c>
      <c r="H881" s="82" t="s">
        <v>2035</v>
      </c>
      <c r="I881" s="83">
        <v>46038.0</v>
      </c>
    </row>
    <row r="882" ht="22.5" hidden="1" customHeight="1">
      <c r="A882" s="81">
        <v>46038.50938</v>
      </c>
      <c r="B882" s="82" t="s">
        <v>2717</v>
      </c>
      <c r="C882" s="82" t="s">
        <v>2035</v>
      </c>
      <c r="D882" s="82" t="s">
        <v>85</v>
      </c>
      <c r="H882" s="82" t="s">
        <v>2035</v>
      </c>
      <c r="I882" s="83">
        <v>46038.0</v>
      </c>
    </row>
    <row r="883" ht="22.5" hidden="1" customHeight="1">
      <c r="A883" s="81">
        <v>46038.50953483796</v>
      </c>
      <c r="B883" s="82" t="s">
        <v>438</v>
      </c>
      <c r="C883" s="82" t="s">
        <v>2035</v>
      </c>
      <c r="D883" s="82" t="s">
        <v>85</v>
      </c>
      <c r="H883" s="82" t="s">
        <v>2035</v>
      </c>
      <c r="I883" s="83">
        <v>46031.0</v>
      </c>
    </row>
    <row r="884" ht="22.5" hidden="1" customHeight="1">
      <c r="A884" s="81">
        <v>46038.51001373843</v>
      </c>
      <c r="B884" s="82" t="s">
        <v>485</v>
      </c>
      <c r="C884" s="82" t="s">
        <v>2035</v>
      </c>
      <c r="D884" s="82" t="s">
        <v>85</v>
      </c>
      <c r="H884" s="82" t="s">
        <v>2035</v>
      </c>
      <c r="I884" s="83">
        <v>46038.0</v>
      </c>
    </row>
    <row r="885" ht="22.5" hidden="1" customHeight="1">
      <c r="A885" s="81">
        <v>46038.510810949076</v>
      </c>
      <c r="B885" s="82" t="s">
        <v>491</v>
      </c>
      <c r="C885" s="82" t="s">
        <v>2035</v>
      </c>
      <c r="D885" s="82" t="s">
        <v>85</v>
      </c>
      <c r="H885" s="82" t="s">
        <v>2035</v>
      </c>
      <c r="I885" s="83">
        <v>46038.0</v>
      </c>
    </row>
    <row r="886" ht="22.5" hidden="1" customHeight="1">
      <c r="A886" s="81">
        <v>46038.511311435184</v>
      </c>
      <c r="B886" s="82" t="s">
        <v>538</v>
      </c>
      <c r="C886" s="82" t="s">
        <v>2035</v>
      </c>
      <c r="D886" s="82" t="s">
        <v>85</v>
      </c>
      <c r="H886" s="82" t="s">
        <v>2035</v>
      </c>
      <c r="I886" s="83">
        <v>46038.0</v>
      </c>
    </row>
    <row r="887" ht="22.5" hidden="1" customHeight="1">
      <c r="A887" s="81">
        <v>46038.51205435186</v>
      </c>
      <c r="B887" s="82" t="s">
        <v>623</v>
      </c>
      <c r="C887" s="82" t="s">
        <v>2035</v>
      </c>
      <c r="D887" s="82" t="s">
        <v>85</v>
      </c>
      <c r="H887" s="82" t="s">
        <v>2035</v>
      </c>
      <c r="I887" s="83">
        <v>46038.0</v>
      </c>
    </row>
    <row r="888" ht="22.5" hidden="1" customHeight="1">
      <c r="A888" s="81">
        <v>46038.51221223379</v>
      </c>
      <c r="B888" s="82" t="s">
        <v>626</v>
      </c>
      <c r="C888" s="82" t="s">
        <v>2035</v>
      </c>
      <c r="D888" s="82" t="s">
        <v>85</v>
      </c>
      <c r="H888" s="82" t="s">
        <v>2035</v>
      </c>
      <c r="I888" s="83">
        <v>46038.0</v>
      </c>
    </row>
    <row r="889" ht="22.5" hidden="1" customHeight="1">
      <c r="A889" s="81">
        <v>46038.51234835648</v>
      </c>
      <c r="B889" s="82" t="s">
        <v>629</v>
      </c>
      <c r="C889" s="82" t="s">
        <v>2035</v>
      </c>
      <c r="D889" s="82" t="s">
        <v>85</v>
      </c>
      <c r="H889" s="82" t="s">
        <v>2035</v>
      </c>
      <c r="I889" s="83">
        <v>46038.0</v>
      </c>
    </row>
    <row r="890" ht="22.5" hidden="1" customHeight="1">
      <c r="A890" s="81">
        <v>46038.513107025465</v>
      </c>
      <c r="B890" s="82" t="s">
        <v>639</v>
      </c>
      <c r="C890" s="82" t="s">
        <v>2035</v>
      </c>
      <c r="D890" s="82" t="s">
        <v>85</v>
      </c>
      <c r="H890" s="82" t="s">
        <v>2035</v>
      </c>
      <c r="I890" s="83">
        <v>46038.0</v>
      </c>
    </row>
    <row r="891" ht="22.5" hidden="1" customHeight="1">
      <c r="A891" s="81">
        <v>46038.51334469907</v>
      </c>
      <c r="B891" s="82" t="s">
        <v>641</v>
      </c>
      <c r="C891" s="82" t="s">
        <v>2035</v>
      </c>
      <c r="D891" s="82" t="s">
        <v>85</v>
      </c>
      <c r="H891" s="82" t="s">
        <v>2035</v>
      </c>
      <c r="I891" s="83">
        <v>46038.0</v>
      </c>
    </row>
    <row r="892" ht="22.5" hidden="1" customHeight="1">
      <c r="A892" s="81">
        <v>46038.51758015047</v>
      </c>
      <c r="B892" s="82" t="s">
        <v>671</v>
      </c>
      <c r="C892" s="82" t="s">
        <v>2035</v>
      </c>
      <c r="D892" s="82" t="s">
        <v>85</v>
      </c>
      <c r="H892" s="82" t="s">
        <v>2035</v>
      </c>
      <c r="I892" s="83">
        <v>46038.0</v>
      </c>
    </row>
    <row r="893" ht="22.5" hidden="1" customHeight="1">
      <c r="A893" s="81">
        <v>46038.51783471065</v>
      </c>
      <c r="B893" s="82" t="s">
        <v>684</v>
      </c>
      <c r="C893" s="82" t="s">
        <v>2035</v>
      </c>
      <c r="D893" s="82" t="s">
        <v>2034</v>
      </c>
      <c r="H893" s="82" t="s">
        <v>2035</v>
      </c>
      <c r="I893" s="83">
        <v>46038.0</v>
      </c>
    </row>
    <row r="894" ht="22.5" hidden="1" customHeight="1">
      <c r="A894" s="81">
        <v>46038.518232835646</v>
      </c>
      <c r="B894" s="82" t="s">
        <v>783</v>
      </c>
      <c r="C894" s="82" t="s">
        <v>2035</v>
      </c>
      <c r="D894" s="82" t="s">
        <v>85</v>
      </c>
      <c r="H894" s="82" t="s">
        <v>2035</v>
      </c>
      <c r="I894" s="83">
        <v>46038.0</v>
      </c>
    </row>
    <row r="895" ht="22.5" hidden="1" customHeight="1">
      <c r="A895" s="81">
        <v>46038.51854464121</v>
      </c>
      <c r="B895" s="82" t="s">
        <v>811</v>
      </c>
      <c r="C895" s="82" t="s">
        <v>2035</v>
      </c>
      <c r="D895" s="82" t="s">
        <v>2034</v>
      </c>
      <c r="H895" s="82" t="s">
        <v>2035</v>
      </c>
      <c r="I895" s="83">
        <v>46038.0</v>
      </c>
    </row>
    <row r="896" ht="22.5" hidden="1" customHeight="1">
      <c r="A896" s="81">
        <v>46038.720325752314</v>
      </c>
      <c r="B896" s="82" t="s">
        <v>1214</v>
      </c>
      <c r="C896" s="82" t="s">
        <v>81</v>
      </c>
      <c r="D896" s="82" t="s">
        <v>2034</v>
      </c>
      <c r="H896" s="82" t="s">
        <v>2035</v>
      </c>
      <c r="I896" s="83">
        <v>46038.0</v>
      </c>
    </row>
    <row r="897" ht="22.5" hidden="1" customHeight="1">
      <c r="A897" s="81">
        <v>46038.72482148148</v>
      </c>
      <c r="B897" s="82" t="s">
        <v>1129</v>
      </c>
      <c r="C897" s="82" t="s">
        <v>2038</v>
      </c>
      <c r="D897" s="82" t="s">
        <v>2036</v>
      </c>
      <c r="F897" s="83">
        <v>46050.0</v>
      </c>
      <c r="G897" s="84" t="s">
        <v>2718</v>
      </c>
      <c r="H897" s="82" t="s">
        <v>2035</v>
      </c>
      <c r="I897" s="83">
        <v>46038.0</v>
      </c>
    </row>
    <row r="898" ht="22.5" hidden="1" customHeight="1">
      <c r="A898" s="81">
        <v>46038.7258769676</v>
      </c>
      <c r="B898" s="82" t="s">
        <v>1124</v>
      </c>
      <c r="C898" s="82" t="s">
        <v>2035</v>
      </c>
      <c r="D898" s="82" t="s">
        <v>85</v>
      </c>
      <c r="H898" s="82" t="s">
        <v>2035</v>
      </c>
      <c r="I898" s="83">
        <v>46038.0</v>
      </c>
    </row>
    <row r="899" ht="22.5" hidden="1" customHeight="1">
      <c r="A899" s="81">
        <v>46039.42527759259</v>
      </c>
      <c r="B899" s="82" t="s">
        <v>1072</v>
      </c>
      <c r="C899" s="82" t="s">
        <v>2038</v>
      </c>
      <c r="D899" s="82" t="s">
        <v>2036</v>
      </c>
      <c r="F899" s="83">
        <v>46051.0</v>
      </c>
      <c r="G899" s="84" t="s">
        <v>2719</v>
      </c>
      <c r="H899" s="82" t="s">
        <v>2035</v>
      </c>
      <c r="I899" s="83">
        <v>46039.0</v>
      </c>
    </row>
    <row r="900" ht="22.5" hidden="1" customHeight="1">
      <c r="A900" s="81">
        <v>46039.42563936343</v>
      </c>
      <c r="B900" s="82" t="s">
        <v>1150</v>
      </c>
      <c r="C900" s="82" t="s">
        <v>2038</v>
      </c>
      <c r="D900" s="82" t="s">
        <v>2036</v>
      </c>
      <c r="F900" s="83">
        <v>46051.0</v>
      </c>
      <c r="G900" s="84" t="s">
        <v>2720</v>
      </c>
      <c r="H900" s="82" t="s">
        <v>2035</v>
      </c>
      <c r="I900" s="83">
        <v>46039.0</v>
      </c>
    </row>
    <row r="901" ht="22.5" hidden="1" customHeight="1">
      <c r="A901" s="81">
        <v>46039.42620381944</v>
      </c>
      <c r="B901" s="82" t="s">
        <v>1153</v>
      </c>
      <c r="C901" s="82" t="s">
        <v>2038</v>
      </c>
      <c r="D901" s="82" t="s">
        <v>2036</v>
      </c>
      <c r="F901" s="83">
        <v>46051.0</v>
      </c>
      <c r="G901" s="84" t="s">
        <v>2721</v>
      </c>
      <c r="H901" s="82" t="s">
        <v>2035</v>
      </c>
      <c r="I901" s="83">
        <v>46039.0</v>
      </c>
    </row>
    <row r="902" ht="22.5" hidden="1" customHeight="1">
      <c r="A902" s="81">
        <v>46039.446840115736</v>
      </c>
      <c r="B902" s="82" t="s">
        <v>874</v>
      </c>
      <c r="C902" s="82" t="s">
        <v>2035</v>
      </c>
      <c r="D902" s="82" t="s">
        <v>85</v>
      </c>
      <c r="H902" s="82" t="s">
        <v>2035</v>
      </c>
      <c r="I902" s="83">
        <v>46039.0</v>
      </c>
    </row>
    <row r="903" ht="22.5" hidden="1" customHeight="1">
      <c r="A903" s="81">
        <v>46039.450121608796</v>
      </c>
      <c r="B903" s="82" t="s">
        <v>934</v>
      </c>
      <c r="C903" s="82" t="s">
        <v>2722</v>
      </c>
      <c r="D903" s="82" t="s">
        <v>85</v>
      </c>
      <c r="H903" s="82" t="s">
        <v>2722</v>
      </c>
      <c r="I903" s="83">
        <v>46039.0</v>
      </c>
    </row>
    <row r="904" ht="22.5" hidden="1" customHeight="1">
      <c r="A904" s="81">
        <v>46039.45714053241</v>
      </c>
      <c r="B904" s="82" t="s">
        <v>2723</v>
      </c>
      <c r="C904" s="82" t="s">
        <v>2722</v>
      </c>
      <c r="D904" s="82" t="s">
        <v>85</v>
      </c>
      <c r="H904" s="82" t="s">
        <v>2722</v>
      </c>
      <c r="I904" s="83">
        <v>46039.0</v>
      </c>
    </row>
    <row r="905" ht="22.5" hidden="1" customHeight="1">
      <c r="A905" s="81">
        <v>46039.45764797454</v>
      </c>
      <c r="B905" s="82" t="s">
        <v>938</v>
      </c>
      <c r="C905" s="82" t="s">
        <v>2722</v>
      </c>
      <c r="D905" s="82" t="s">
        <v>85</v>
      </c>
      <c r="H905" s="82" t="s">
        <v>2722</v>
      </c>
      <c r="I905" s="83">
        <v>46039.0</v>
      </c>
    </row>
    <row r="906" ht="22.5" hidden="1" customHeight="1">
      <c r="A906" s="81">
        <v>46039.458342488426</v>
      </c>
      <c r="B906" s="82" t="s">
        <v>959</v>
      </c>
      <c r="C906" s="82" t="s">
        <v>2722</v>
      </c>
      <c r="D906" s="82" t="s">
        <v>2034</v>
      </c>
      <c r="H906" s="82" t="s">
        <v>2722</v>
      </c>
      <c r="I906" s="83">
        <v>46039.0</v>
      </c>
    </row>
    <row r="907" ht="22.5" hidden="1" customHeight="1">
      <c r="A907" s="81">
        <v>46039.458610925925</v>
      </c>
      <c r="B907" s="82" t="s">
        <v>962</v>
      </c>
      <c r="C907" s="82" t="s">
        <v>2722</v>
      </c>
      <c r="D907" s="82" t="s">
        <v>2034</v>
      </c>
      <c r="H907" s="82" t="s">
        <v>2722</v>
      </c>
      <c r="I907" s="83">
        <v>46039.0</v>
      </c>
    </row>
    <row r="908" ht="22.5" hidden="1" customHeight="1">
      <c r="A908" s="81">
        <v>46039.458957256946</v>
      </c>
      <c r="B908" s="82" t="s">
        <v>964</v>
      </c>
      <c r="C908" s="82" t="s">
        <v>2722</v>
      </c>
      <c r="D908" s="82" t="s">
        <v>2034</v>
      </c>
      <c r="H908" s="82" t="s">
        <v>2722</v>
      </c>
      <c r="I908" s="83">
        <v>46039.0</v>
      </c>
    </row>
    <row r="909" ht="22.5" hidden="1" customHeight="1">
      <c r="A909" s="81">
        <v>46039.45943091435</v>
      </c>
      <c r="B909" s="82" t="s">
        <v>999</v>
      </c>
      <c r="C909" s="82" t="s">
        <v>2722</v>
      </c>
      <c r="D909" s="82" t="s">
        <v>85</v>
      </c>
      <c r="H909" s="82" t="s">
        <v>2722</v>
      </c>
      <c r="I909" s="83">
        <v>46039.0</v>
      </c>
    </row>
    <row r="910" ht="22.5" hidden="1" customHeight="1">
      <c r="A910" s="81">
        <v>46039.459939374996</v>
      </c>
      <c r="B910" s="82" t="s">
        <v>1006</v>
      </c>
      <c r="C910" s="82" t="s">
        <v>2722</v>
      </c>
      <c r="D910" s="82" t="s">
        <v>85</v>
      </c>
      <c r="H910" s="82" t="s">
        <v>2722</v>
      </c>
      <c r="I910" s="83">
        <v>46039.0</v>
      </c>
    </row>
    <row r="911" ht="22.5" hidden="1" customHeight="1">
      <c r="A911" s="81">
        <v>46039.4604080787</v>
      </c>
      <c r="B911" s="82" t="s">
        <v>1012</v>
      </c>
      <c r="C911" s="82" t="s">
        <v>2722</v>
      </c>
      <c r="D911" s="82" t="s">
        <v>2034</v>
      </c>
      <c r="H911" s="82" t="s">
        <v>2722</v>
      </c>
      <c r="I911" s="83">
        <v>46039.0</v>
      </c>
    </row>
    <row r="912" ht="22.5" hidden="1" customHeight="1">
      <c r="A912" s="81">
        <v>46039.469504189816</v>
      </c>
      <c r="B912" s="82" t="s">
        <v>1146</v>
      </c>
      <c r="C912" s="82" t="s">
        <v>2722</v>
      </c>
      <c r="D912" s="82" t="s">
        <v>85</v>
      </c>
      <c r="H912" s="82" t="s">
        <v>2722</v>
      </c>
      <c r="I912" s="83">
        <v>46039.0</v>
      </c>
    </row>
    <row r="913" ht="22.5" hidden="1" customHeight="1">
      <c r="A913" s="81">
        <v>46039.469904722224</v>
      </c>
      <c r="B913" s="82" t="s">
        <v>1131</v>
      </c>
      <c r="C913" s="82" t="s">
        <v>2722</v>
      </c>
      <c r="D913" s="82" t="s">
        <v>85</v>
      </c>
      <c r="H913" s="82" t="s">
        <v>2722</v>
      </c>
      <c r="I913" s="83">
        <v>46039.0</v>
      </c>
    </row>
    <row r="914" ht="22.5" hidden="1" customHeight="1">
      <c r="A914" s="81">
        <v>46039.47130983796</v>
      </c>
      <c r="B914" s="82" t="s">
        <v>1094</v>
      </c>
      <c r="C914" s="82" t="s">
        <v>2722</v>
      </c>
      <c r="D914" s="82" t="s">
        <v>85</v>
      </c>
      <c r="H914" s="82" t="s">
        <v>2722</v>
      </c>
      <c r="I914" s="83">
        <v>46039.0</v>
      </c>
    </row>
    <row r="915" ht="22.5" hidden="1" customHeight="1">
      <c r="A915" s="81">
        <v>46039.47191047454</v>
      </c>
      <c r="B915" s="82" t="s">
        <v>1078</v>
      </c>
      <c r="C915" s="82" t="s">
        <v>2722</v>
      </c>
      <c r="D915" s="82" t="s">
        <v>85</v>
      </c>
      <c r="H915" s="82" t="s">
        <v>2722</v>
      </c>
      <c r="I915" s="83">
        <v>46039.0</v>
      </c>
    </row>
    <row r="916" ht="22.5" hidden="1" customHeight="1">
      <c r="A916" s="81"/>
      <c r="I916" s="83"/>
    </row>
    <row r="917" ht="22.5" hidden="1" customHeight="1">
      <c r="A917" s="81">
        <v>46039.62198802084</v>
      </c>
      <c r="B917" s="82" t="s">
        <v>865</v>
      </c>
      <c r="C917" s="82" t="s">
        <v>2722</v>
      </c>
      <c r="D917" s="82" t="s">
        <v>85</v>
      </c>
      <c r="H917" s="82" t="s">
        <v>2722</v>
      </c>
      <c r="I917" s="83">
        <v>46039.0</v>
      </c>
    </row>
    <row r="918" ht="22.5" hidden="1" customHeight="1">
      <c r="A918" s="81">
        <v>46039.622180335646</v>
      </c>
      <c r="B918" s="82" t="s">
        <v>867</v>
      </c>
      <c r="C918" s="82" t="s">
        <v>2722</v>
      </c>
      <c r="D918" s="82" t="s">
        <v>85</v>
      </c>
      <c r="H918" s="82" t="s">
        <v>2722</v>
      </c>
      <c r="I918" s="83">
        <v>46039.0</v>
      </c>
    </row>
    <row r="919" ht="22.5" hidden="1" customHeight="1">
      <c r="A919" s="81">
        <v>46039.625579328705</v>
      </c>
      <c r="B919" s="82" t="s">
        <v>2724</v>
      </c>
      <c r="C919" s="82" t="s">
        <v>2722</v>
      </c>
      <c r="D919" s="82" t="s">
        <v>85</v>
      </c>
      <c r="H919" s="82" t="s">
        <v>2722</v>
      </c>
      <c r="I919" s="83">
        <v>46039.0</v>
      </c>
    </row>
    <row r="920" ht="22.5" hidden="1" customHeight="1">
      <c r="A920" s="81">
        <v>46039.626432881945</v>
      </c>
      <c r="B920" s="82" t="s">
        <v>579</v>
      </c>
      <c r="C920" s="82" t="s">
        <v>2722</v>
      </c>
      <c r="D920" s="82" t="s">
        <v>85</v>
      </c>
      <c r="H920" s="82" t="s">
        <v>2722</v>
      </c>
      <c r="I920" s="83">
        <v>46039.0</v>
      </c>
    </row>
    <row r="921" ht="22.5" hidden="1" customHeight="1">
      <c r="A921" s="81">
        <v>46039.62758134259</v>
      </c>
      <c r="B921" s="82" t="s">
        <v>591</v>
      </c>
      <c r="C921" s="82" t="s">
        <v>2722</v>
      </c>
      <c r="D921" s="82" t="s">
        <v>85</v>
      </c>
      <c r="H921" s="82" t="s">
        <v>2722</v>
      </c>
      <c r="I921" s="83">
        <v>46039.0</v>
      </c>
    </row>
    <row r="922" ht="22.5" hidden="1" customHeight="1">
      <c r="A922" s="81">
        <v>46039.6284378125</v>
      </c>
      <c r="B922" s="82" t="s">
        <v>597</v>
      </c>
      <c r="C922" s="82" t="s">
        <v>2722</v>
      </c>
      <c r="D922" s="82" t="s">
        <v>85</v>
      </c>
      <c r="H922" s="82" t="s">
        <v>2722</v>
      </c>
      <c r="I922" s="83">
        <v>46039.0</v>
      </c>
    </row>
    <row r="923" ht="22.5" hidden="1" customHeight="1">
      <c r="A923" s="81">
        <v>46039.62898096065</v>
      </c>
      <c r="B923" s="82" t="s">
        <v>90</v>
      </c>
      <c r="C923" s="82" t="s">
        <v>2722</v>
      </c>
      <c r="D923" s="82" t="s">
        <v>85</v>
      </c>
      <c r="H923" s="82" t="s">
        <v>2722</v>
      </c>
      <c r="I923" s="83">
        <v>46039.0</v>
      </c>
    </row>
    <row r="924" ht="22.5" hidden="1" customHeight="1">
      <c r="A924" s="81">
        <v>46039.62922030092</v>
      </c>
      <c r="B924" s="82" t="s">
        <v>60</v>
      </c>
      <c r="C924" s="82" t="s">
        <v>2722</v>
      </c>
      <c r="D924" s="82" t="s">
        <v>85</v>
      </c>
      <c r="H924" s="82" t="s">
        <v>2722</v>
      </c>
      <c r="I924" s="83">
        <v>46039.0</v>
      </c>
    </row>
    <row r="925" ht="22.5" hidden="1" customHeight="1">
      <c r="A925" s="81">
        <v>46039.62943489583</v>
      </c>
      <c r="B925" s="82" t="s">
        <v>64</v>
      </c>
      <c r="C925" s="82" t="s">
        <v>2722</v>
      </c>
      <c r="D925" s="82" t="s">
        <v>85</v>
      </c>
      <c r="H925" s="82" t="s">
        <v>2722</v>
      </c>
      <c r="I925" s="83">
        <v>46039.0</v>
      </c>
    </row>
    <row r="926" ht="22.5" hidden="1" customHeight="1">
      <c r="A926" s="81">
        <v>46039.630855717594</v>
      </c>
      <c r="B926" s="82" t="s">
        <v>24</v>
      </c>
      <c r="C926" s="82" t="s">
        <v>2722</v>
      </c>
      <c r="D926" s="82" t="s">
        <v>85</v>
      </c>
      <c r="H926" s="82" t="s">
        <v>2722</v>
      </c>
      <c r="I926" s="83">
        <v>46039.0</v>
      </c>
    </row>
    <row r="927" ht="22.5" hidden="1" customHeight="1">
      <c r="A927" s="81">
        <v>46039.631279837966</v>
      </c>
      <c r="B927" s="82" t="s">
        <v>35</v>
      </c>
      <c r="C927" s="82" t="s">
        <v>2722</v>
      </c>
      <c r="D927" s="82" t="s">
        <v>85</v>
      </c>
      <c r="H927" s="82" t="s">
        <v>2722</v>
      </c>
      <c r="I927" s="83">
        <v>46039.0</v>
      </c>
    </row>
    <row r="928" ht="22.5" hidden="1" customHeight="1">
      <c r="A928" s="81">
        <v>46041.520768518516</v>
      </c>
      <c r="B928" s="82" t="s">
        <v>1222</v>
      </c>
      <c r="C928" s="82" t="s">
        <v>2035</v>
      </c>
      <c r="D928" s="82" t="s">
        <v>2034</v>
      </c>
      <c r="H928" s="82" t="s">
        <v>2035</v>
      </c>
      <c r="I928" s="83">
        <v>46039.0</v>
      </c>
    </row>
    <row r="929" ht="22.5" hidden="1" customHeight="1">
      <c r="A929" s="81">
        <v>46041.52104103009</v>
      </c>
      <c r="B929" s="82" t="s">
        <v>1225</v>
      </c>
      <c r="C929" s="82" t="s">
        <v>2035</v>
      </c>
      <c r="D929" s="82" t="s">
        <v>2034</v>
      </c>
      <c r="H929" s="82" t="s">
        <v>2035</v>
      </c>
      <c r="I929" s="83">
        <v>46040.0</v>
      </c>
    </row>
    <row r="930" ht="22.5" hidden="1" customHeight="1">
      <c r="A930" s="81">
        <v>46041.67556128472</v>
      </c>
      <c r="B930" s="82" t="s">
        <v>1192</v>
      </c>
      <c r="C930" s="82" t="s">
        <v>2035</v>
      </c>
      <c r="D930" s="82" t="s">
        <v>2036</v>
      </c>
      <c r="F930" s="83">
        <v>46051.0</v>
      </c>
      <c r="G930" s="84" t="s">
        <v>2725</v>
      </c>
      <c r="H930" s="82" t="s">
        <v>2035</v>
      </c>
      <c r="I930" s="83">
        <v>46041.0</v>
      </c>
    </row>
    <row r="931" ht="22.5" hidden="1" customHeight="1">
      <c r="A931" s="81">
        <v>46041.67617048611</v>
      </c>
      <c r="B931" s="82" t="s">
        <v>1162</v>
      </c>
      <c r="C931" s="82" t="s">
        <v>2035</v>
      </c>
      <c r="D931" s="82" t="s">
        <v>2036</v>
      </c>
      <c r="F931" s="83">
        <v>46051.0</v>
      </c>
      <c r="G931" s="84" t="s">
        <v>2726</v>
      </c>
      <c r="H931" s="82" t="s">
        <v>2035</v>
      </c>
      <c r="I931" s="83">
        <v>46041.0</v>
      </c>
    </row>
    <row r="932" ht="22.5" hidden="1" customHeight="1">
      <c r="A932" s="81">
        <v>46041.67654439815</v>
      </c>
      <c r="B932" s="82" t="s">
        <v>1003</v>
      </c>
      <c r="C932" s="82" t="s">
        <v>2035</v>
      </c>
      <c r="D932" s="82" t="s">
        <v>2036</v>
      </c>
      <c r="F932" s="83">
        <v>46051.0</v>
      </c>
      <c r="G932" s="84" t="s">
        <v>2727</v>
      </c>
      <c r="H932" s="82" t="s">
        <v>2035</v>
      </c>
      <c r="I932" s="83">
        <v>46041.0</v>
      </c>
    </row>
    <row r="933" ht="22.5" hidden="1" customHeight="1">
      <c r="A933" s="81">
        <v>46041.67687966435</v>
      </c>
      <c r="B933" s="82" t="s">
        <v>1212</v>
      </c>
      <c r="C933" s="82" t="s">
        <v>2035</v>
      </c>
      <c r="D933" s="82" t="s">
        <v>2036</v>
      </c>
      <c r="F933" s="83">
        <v>46051.0</v>
      </c>
      <c r="G933" s="84" t="s">
        <v>2728</v>
      </c>
      <c r="H933" s="82" t="s">
        <v>2035</v>
      </c>
      <c r="I933" s="83">
        <v>46041.0</v>
      </c>
    </row>
    <row r="934" ht="22.5" hidden="1" customHeight="1">
      <c r="A934" s="81">
        <v>46041.67822105324</v>
      </c>
      <c r="B934" s="82" t="s">
        <v>1143</v>
      </c>
      <c r="C934" s="82" t="s">
        <v>2035</v>
      </c>
      <c r="D934" s="82" t="s">
        <v>2034</v>
      </c>
      <c r="H934" s="82" t="s">
        <v>2035</v>
      </c>
      <c r="I934" s="83">
        <v>46041.0</v>
      </c>
      <c r="J934" s="84" t="s">
        <v>2729</v>
      </c>
    </row>
    <row r="935" ht="22.5" hidden="1" customHeight="1">
      <c r="A935" s="81">
        <v>46041.67864114583</v>
      </c>
      <c r="B935" s="82" t="s">
        <v>474</v>
      </c>
      <c r="C935" s="82" t="s">
        <v>2035</v>
      </c>
      <c r="D935" s="82" t="s">
        <v>2034</v>
      </c>
      <c r="H935" s="82" t="s">
        <v>2035</v>
      </c>
      <c r="I935" s="83">
        <v>46041.0</v>
      </c>
      <c r="J935" s="84" t="s">
        <v>2730</v>
      </c>
    </row>
    <row r="936" ht="22.5" hidden="1" customHeight="1">
      <c r="A936" s="81">
        <v>46041.67900415509</v>
      </c>
      <c r="B936" s="82" t="s">
        <v>476</v>
      </c>
      <c r="C936" s="82" t="s">
        <v>2035</v>
      </c>
      <c r="D936" s="82" t="s">
        <v>2034</v>
      </c>
      <c r="H936" s="82" t="s">
        <v>2035</v>
      </c>
      <c r="I936" s="83">
        <v>46041.0</v>
      </c>
      <c r="J936" s="84" t="s">
        <v>2731</v>
      </c>
    </row>
    <row r="937" ht="22.5" hidden="1" customHeight="1">
      <c r="A937" s="81">
        <v>46041.679789120375</v>
      </c>
      <c r="B937" s="82" t="s">
        <v>1231</v>
      </c>
      <c r="C937" s="82" t="s">
        <v>2035</v>
      </c>
      <c r="D937" s="82" t="s">
        <v>2034</v>
      </c>
      <c r="H937" s="82" t="s">
        <v>2035</v>
      </c>
      <c r="I937" s="83">
        <v>46041.0</v>
      </c>
      <c r="J937" s="84" t="s">
        <v>2732</v>
      </c>
    </row>
    <row r="938" ht="22.5" hidden="1" customHeight="1">
      <c r="A938" s="81">
        <v>46041.68201069444</v>
      </c>
      <c r="B938" s="82" t="s">
        <v>1230</v>
      </c>
      <c r="C938" s="82" t="s">
        <v>2035</v>
      </c>
      <c r="D938" s="82" t="s">
        <v>2034</v>
      </c>
      <c r="H938" s="82" t="s">
        <v>2035</v>
      </c>
      <c r="I938" s="83">
        <v>46041.0</v>
      </c>
      <c r="J938" s="84" t="s">
        <v>2733</v>
      </c>
    </row>
    <row r="939" ht="22.5" hidden="1" customHeight="1">
      <c r="A939" s="81">
        <v>46042.47347600694</v>
      </c>
      <c r="B939" s="82" t="s">
        <v>1236</v>
      </c>
      <c r="C939" s="82" t="s">
        <v>2035</v>
      </c>
      <c r="D939" s="82" t="s">
        <v>2034</v>
      </c>
      <c r="H939" s="82" t="s">
        <v>2035</v>
      </c>
      <c r="I939" s="83">
        <v>46042.0</v>
      </c>
      <c r="J939" s="84" t="s">
        <v>2734</v>
      </c>
    </row>
    <row r="940" ht="22.5" hidden="1" customHeight="1">
      <c r="A940" s="81">
        <v>46043.48839398148</v>
      </c>
      <c r="B940" s="82" t="s">
        <v>2735</v>
      </c>
      <c r="C940" s="82" t="s">
        <v>2722</v>
      </c>
      <c r="D940" s="82" t="s">
        <v>85</v>
      </c>
      <c r="H940" s="82" t="s">
        <v>2722</v>
      </c>
      <c r="I940" s="83">
        <v>46043.0</v>
      </c>
    </row>
    <row r="941" ht="22.5" hidden="1" customHeight="1">
      <c r="A941" s="81">
        <v>46043.48976685185</v>
      </c>
      <c r="B941" s="82" t="s">
        <v>1189</v>
      </c>
      <c r="C941" s="82" t="s">
        <v>2038</v>
      </c>
      <c r="D941" s="82" t="s">
        <v>2036</v>
      </c>
      <c r="F941" s="83">
        <v>46052.0</v>
      </c>
      <c r="G941" s="84" t="s">
        <v>2736</v>
      </c>
      <c r="H941" s="82" t="s">
        <v>2035</v>
      </c>
      <c r="I941" s="83">
        <v>46043.0</v>
      </c>
    </row>
    <row r="942" ht="22.5" hidden="1" customHeight="1">
      <c r="A942" s="81">
        <v>46043.49095990741</v>
      </c>
      <c r="B942" s="82" t="s">
        <v>1234</v>
      </c>
      <c r="C942" s="82" t="s">
        <v>2038</v>
      </c>
      <c r="D942" s="82" t="s">
        <v>2036</v>
      </c>
      <c r="F942" s="83">
        <v>46052.0</v>
      </c>
      <c r="G942" s="84" t="s">
        <v>2737</v>
      </c>
      <c r="H942" s="82" t="s">
        <v>2035</v>
      </c>
      <c r="I942" s="83">
        <v>46043.0</v>
      </c>
    </row>
    <row r="943" ht="22.5" hidden="1" customHeight="1">
      <c r="A943" s="81">
        <v>46043.49139465278</v>
      </c>
      <c r="B943" s="82" t="s">
        <v>1228</v>
      </c>
      <c r="C943" s="82" t="s">
        <v>2038</v>
      </c>
      <c r="D943" s="82" t="s">
        <v>2036</v>
      </c>
      <c r="F943" s="83">
        <v>46052.0</v>
      </c>
      <c r="G943" s="84" t="s">
        <v>2738</v>
      </c>
      <c r="H943" s="82" t="s">
        <v>2035</v>
      </c>
      <c r="I943" s="83">
        <v>46043.0</v>
      </c>
    </row>
    <row r="944" ht="22.5" hidden="1" customHeight="1">
      <c r="A944" s="81">
        <v>46043.49217085648</v>
      </c>
      <c r="B944" s="82" t="s">
        <v>953</v>
      </c>
      <c r="C944" s="82" t="s">
        <v>2038</v>
      </c>
      <c r="D944" s="82" t="s">
        <v>2034</v>
      </c>
      <c r="H944" s="82" t="s">
        <v>2035</v>
      </c>
      <c r="I944" s="83">
        <v>46042.0</v>
      </c>
      <c r="J944" s="84" t="s">
        <v>2739</v>
      </c>
    </row>
    <row r="945" ht="22.5" hidden="1" customHeight="1">
      <c r="A945" s="81">
        <v>46043.492635636576</v>
      </c>
      <c r="B945" s="82" t="s">
        <v>1171</v>
      </c>
      <c r="C945" s="82" t="s">
        <v>2038</v>
      </c>
      <c r="D945" s="82" t="s">
        <v>2034</v>
      </c>
      <c r="H945" s="82" t="s">
        <v>2035</v>
      </c>
      <c r="I945" s="83">
        <v>46042.0</v>
      </c>
      <c r="J945" s="84" t="s">
        <v>2740</v>
      </c>
    </row>
    <row r="946" ht="22.5" hidden="1" customHeight="1">
      <c r="A946" s="81">
        <v>46043.493127407404</v>
      </c>
      <c r="B946" s="82" t="s">
        <v>1133</v>
      </c>
      <c r="C946" s="82" t="s">
        <v>2038</v>
      </c>
      <c r="D946" s="82" t="s">
        <v>2034</v>
      </c>
      <c r="H946" s="82" t="s">
        <v>2035</v>
      </c>
      <c r="I946" s="83">
        <v>46042.0</v>
      </c>
      <c r="J946" s="84" t="s">
        <v>2741</v>
      </c>
    </row>
    <row r="947" ht="22.5" hidden="1" customHeight="1">
      <c r="A947" s="81">
        <v>46044.450897939816</v>
      </c>
      <c r="B947" s="82" t="s">
        <v>1206</v>
      </c>
      <c r="C947" s="82" t="s">
        <v>2038</v>
      </c>
      <c r="D947" s="82" t="s">
        <v>2036</v>
      </c>
      <c r="F947" s="83">
        <v>46052.0</v>
      </c>
      <c r="G947" s="84" t="s">
        <v>2742</v>
      </c>
      <c r="H947" s="82" t="s">
        <v>2035</v>
      </c>
      <c r="I947" s="83">
        <v>46043.0</v>
      </c>
    </row>
    <row r="948" ht="22.5" hidden="1" customHeight="1">
      <c r="A948" s="81">
        <v>46044.45133856482</v>
      </c>
      <c r="B948" s="82" t="s">
        <v>1209</v>
      </c>
      <c r="C948" s="82" t="s">
        <v>2038</v>
      </c>
      <c r="D948" s="82" t="s">
        <v>2036</v>
      </c>
      <c r="F948" s="83">
        <v>46052.0</v>
      </c>
      <c r="G948" s="84" t="s">
        <v>2743</v>
      </c>
      <c r="H948" s="82" t="s">
        <v>2035</v>
      </c>
      <c r="I948" s="83">
        <v>46043.0</v>
      </c>
    </row>
    <row r="949" ht="22.5" hidden="1" customHeight="1">
      <c r="A949" s="81">
        <v>46044.45175862269</v>
      </c>
      <c r="B949" s="82" t="s">
        <v>1120</v>
      </c>
      <c r="C949" s="82" t="s">
        <v>2038</v>
      </c>
      <c r="D949" s="82" t="s">
        <v>2036</v>
      </c>
      <c r="F949" s="83">
        <v>46052.0</v>
      </c>
      <c r="G949" s="84" t="s">
        <v>2744</v>
      </c>
      <c r="H949" s="82" t="s">
        <v>2035</v>
      </c>
      <c r="I949" s="83">
        <v>46043.0</v>
      </c>
    </row>
    <row r="950" ht="22.5" hidden="1" customHeight="1">
      <c r="A950" s="81">
        <v>46044.4526252662</v>
      </c>
      <c r="B950" s="82" t="s">
        <v>821</v>
      </c>
      <c r="C950" s="82" t="s">
        <v>2038</v>
      </c>
      <c r="D950" s="82" t="s">
        <v>2034</v>
      </c>
      <c r="H950" s="82" t="s">
        <v>2035</v>
      </c>
      <c r="I950" s="83">
        <v>46043.0</v>
      </c>
      <c r="J950" s="84" t="s">
        <v>2745</v>
      </c>
    </row>
    <row r="951" ht="22.5" hidden="1" customHeight="1">
      <c r="A951" s="81">
        <v>46044.45306851852</v>
      </c>
      <c r="B951" s="82" t="s">
        <v>823</v>
      </c>
      <c r="C951" s="82" t="s">
        <v>2038</v>
      </c>
      <c r="D951" s="82" t="s">
        <v>2034</v>
      </c>
      <c r="H951" s="82" t="s">
        <v>2035</v>
      </c>
      <c r="I951" s="83">
        <v>46043.0</v>
      </c>
      <c r="J951" s="84" t="s">
        <v>2746</v>
      </c>
    </row>
    <row r="952" ht="22.5" hidden="1" customHeight="1">
      <c r="A952" s="81">
        <v>46044.45353262732</v>
      </c>
      <c r="B952" s="82" t="s">
        <v>1023</v>
      </c>
      <c r="C952" s="82" t="s">
        <v>2038</v>
      </c>
      <c r="D952" s="82" t="s">
        <v>2034</v>
      </c>
      <c r="H952" s="82" t="s">
        <v>2035</v>
      </c>
      <c r="I952" s="83">
        <v>46044.0</v>
      </c>
      <c r="J952" s="84" t="s">
        <v>2747</v>
      </c>
    </row>
    <row r="953" ht="22.5" hidden="1" customHeight="1">
      <c r="A953" s="81">
        <v>46044.45466146991</v>
      </c>
      <c r="B953" s="82" t="s">
        <v>110</v>
      </c>
      <c r="C953" s="82" t="s">
        <v>2038</v>
      </c>
      <c r="D953" s="82" t="s">
        <v>2034</v>
      </c>
      <c r="H953" s="82" t="s">
        <v>2035</v>
      </c>
      <c r="I953" s="83">
        <v>46044.0</v>
      </c>
      <c r="J953" s="84" t="s">
        <v>2748</v>
      </c>
    </row>
    <row r="954" ht="22.5" hidden="1" customHeight="1">
      <c r="A954" s="81">
        <v>46044.63990256944</v>
      </c>
      <c r="B954" s="82" t="s">
        <v>991</v>
      </c>
      <c r="C954" s="82" t="s">
        <v>2038</v>
      </c>
      <c r="D954" s="82" t="s">
        <v>2034</v>
      </c>
      <c r="H954" s="82" t="s">
        <v>2035</v>
      </c>
      <c r="I954" s="83">
        <v>46044.0</v>
      </c>
      <c r="J954" s="84" t="s">
        <v>2749</v>
      </c>
    </row>
    <row r="955" ht="22.5" hidden="1" customHeight="1">
      <c r="A955" s="81">
        <v>46044.64114818287</v>
      </c>
      <c r="B955" s="82" t="s">
        <v>1239</v>
      </c>
      <c r="C955" s="82" t="s">
        <v>2038</v>
      </c>
      <c r="D955" s="82" t="s">
        <v>2034</v>
      </c>
      <c r="H955" s="82" t="s">
        <v>2035</v>
      </c>
      <c r="I955" s="83">
        <v>46044.0</v>
      </c>
    </row>
    <row r="956" ht="22.5" hidden="1" customHeight="1">
      <c r="A956" s="81">
        <v>46044.66971149306</v>
      </c>
      <c r="B956" s="82" t="s">
        <v>1215</v>
      </c>
      <c r="C956" s="82" t="s">
        <v>2035</v>
      </c>
      <c r="D956" s="82" t="s">
        <v>2036</v>
      </c>
      <c r="F956" s="83">
        <v>46051.0</v>
      </c>
      <c r="G956" s="84" t="s">
        <v>2750</v>
      </c>
      <c r="H956" s="82" t="s">
        <v>2035</v>
      </c>
      <c r="I956" s="83">
        <v>46041.0</v>
      </c>
    </row>
    <row r="957" ht="22.5" hidden="1" customHeight="1">
      <c r="A957" s="81">
        <v>46046.3910860301</v>
      </c>
      <c r="B957" s="82" t="s">
        <v>1245</v>
      </c>
      <c r="C957" s="82" t="s">
        <v>2035</v>
      </c>
      <c r="D957" s="82" t="s">
        <v>2034</v>
      </c>
      <c r="H957" s="82" t="s">
        <v>2035</v>
      </c>
      <c r="I957" s="83">
        <v>46046.0</v>
      </c>
    </row>
    <row r="958" ht="22.5" hidden="1" customHeight="1">
      <c r="A958" s="81">
        <v>46046.39628206019</v>
      </c>
      <c r="B958" s="82" t="s">
        <v>1202</v>
      </c>
      <c r="C958" s="82" t="s">
        <v>2038</v>
      </c>
      <c r="D958" s="82" t="s">
        <v>2036</v>
      </c>
      <c r="F958" s="83">
        <v>46056.0</v>
      </c>
      <c r="G958" s="84" t="s">
        <v>2751</v>
      </c>
      <c r="H958" s="82" t="s">
        <v>2035</v>
      </c>
      <c r="I958" s="83">
        <v>46045.0</v>
      </c>
    </row>
    <row r="959" ht="22.5" hidden="1" customHeight="1">
      <c r="A959" s="81">
        <v>46046.396755381946</v>
      </c>
      <c r="B959" s="82" t="s">
        <v>1242</v>
      </c>
      <c r="C959" s="82" t="s">
        <v>2038</v>
      </c>
      <c r="D959" s="82" t="s">
        <v>2036</v>
      </c>
      <c r="F959" s="83">
        <v>46056.0</v>
      </c>
      <c r="G959" s="84" t="s">
        <v>2752</v>
      </c>
      <c r="H959" s="82" t="s">
        <v>2035</v>
      </c>
      <c r="I959" s="83">
        <v>46045.0</v>
      </c>
    </row>
    <row r="960" ht="22.5" hidden="1" customHeight="1">
      <c r="A960" s="81">
        <v>46046.39724280093</v>
      </c>
      <c r="B960" s="82" t="s">
        <v>1240</v>
      </c>
      <c r="C960" s="82" t="s">
        <v>2038</v>
      </c>
      <c r="D960" s="82" t="s">
        <v>2036</v>
      </c>
      <c r="F960" s="83">
        <v>46056.0</v>
      </c>
      <c r="G960" s="84" t="s">
        <v>2753</v>
      </c>
      <c r="H960" s="82" t="s">
        <v>2035</v>
      </c>
      <c r="I960" s="83">
        <v>46045.0</v>
      </c>
    </row>
    <row r="961" ht="22.5" hidden="1" customHeight="1">
      <c r="A961" s="81">
        <v>46046.3978721875</v>
      </c>
      <c r="B961" s="82" t="s">
        <v>1206</v>
      </c>
      <c r="C961" s="82" t="s">
        <v>2038</v>
      </c>
      <c r="D961" s="82" t="s">
        <v>2036</v>
      </c>
      <c r="F961" s="83">
        <v>46056.0</v>
      </c>
      <c r="G961" s="84" t="s">
        <v>2754</v>
      </c>
      <c r="H961" s="82" t="s">
        <v>2035</v>
      </c>
      <c r="I961" s="83">
        <v>46045.0</v>
      </c>
    </row>
    <row r="962" ht="22.5" hidden="1" customHeight="1">
      <c r="A962" s="81">
        <v>46046.398873136575</v>
      </c>
      <c r="B962" s="82" t="s">
        <v>1072</v>
      </c>
      <c r="C962" s="82" t="s">
        <v>2038</v>
      </c>
      <c r="D962" s="82" t="s">
        <v>2036</v>
      </c>
      <c r="F962" s="83">
        <v>46056.0</v>
      </c>
      <c r="G962" s="84" t="s">
        <v>2755</v>
      </c>
      <c r="H962" s="82" t="s">
        <v>2035</v>
      </c>
      <c r="I962" s="83">
        <v>46045.0</v>
      </c>
    </row>
    <row r="963" ht="22.5" hidden="1" customHeight="1">
      <c r="A963" s="81">
        <v>46048.3745955787</v>
      </c>
      <c r="B963" s="82" t="s">
        <v>1261</v>
      </c>
      <c r="C963" s="82" t="s">
        <v>2038</v>
      </c>
      <c r="D963" s="82" t="s">
        <v>2036</v>
      </c>
      <c r="F963" s="83">
        <v>46057.0</v>
      </c>
      <c r="G963" s="84" t="s">
        <v>2756</v>
      </c>
      <c r="H963" s="82" t="s">
        <v>2035</v>
      </c>
      <c r="I963" s="83">
        <v>46048.0</v>
      </c>
    </row>
    <row r="964" ht="22.5" hidden="1" customHeight="1">
      <c r="A964" s="81">
        <v>46048.462752754625</v>
      </c>
      <c r="B964" s="82" t="s">
        <v>1259</v>
      </c>
      <c r="C964" s="82" t="s">
        <v>2035</v>
      </c>
      <c r="D964" s="82" t="s">
        <v>2036</v>
      </c>
      <c r="H964" s="82" t="s">
        <v>2035</v>
      </c>
      <c r="I964" s="83">
        <v>46048.0</v>
      </c>
    </row>
    <row r="965" ht="22.5" hidden="1" customHeight="1">
      <c r="A965" s="81">
        <v>46048.46295868055</v>
      </c>
      <c r="B965" s="82" t="s">
        <v>1246</v>
      </c>
      <c r="C965" s="82" t="s">
        <v>2035</v>
      </c>
      <c r="D965" s="82" t="s">
        <v>2036</v>
      </c>
      <c r="H965" s="82" t="s">
        <v>2035</v>
      </c>
      <c r="I965" s="83">
        <v>46048.0</v>
      </c>
    </row>
    <row r="966" ht="22.5" hidden="1" customHeight="1">
      <c r="A966" s="81">
        <v>46048.46313592592</v>
      </c>
      <c r="B966" s="82" t="s">
        <v>1263</v>
      </c>
      <c r="C966" s="82" t="s">
        <v>2035</v>
      </c>
      <c r="D966" s="82" t="s">
        <v>2036</v>
      </c>
      <c r="H966" s="82" t="s">
        <v>2035</v>
      </c>
      <c r="I966" s="83">
        <v>46048.0</v>
      </c>
    </row>
    <row r="967" ht="22.5" hidden="1" customHeight="1">
      <c r="A967" s="81">
        <v>46048.58925532407</v>
      </c>
      <c r="B967" s="82" t="s">
        <v>1183</v>
      </c>
      <c r="C967" s="82" t="s">
        <v>2035</v>
      </c>
      <c r="D967" s="82" t="s">
        <v>2036</v>
      </c>
      <c r="F967" s="83">
        <v>46057.0</v>
      </c>
      <c r="G967" s="84" t="s">
        <v>2757</v>
      </c>
      <c r="H967" s="82" t="s">
        <v>2035</v>
      </c>
      <c r="I967" s="83">
        <v>46048.0</v>
      </c>
    </row>
    <row r="968" ht="22.5" hidden="1" customHeight="1">
      <c r="A968" s="81">
        <v>46048.58967652778</v>
      </c>
      <c r="B968" s="82" t="s">
        <v>1111</v>
      </c>
      <c r="C968" s="82" t="s">
        <v>2035</v>
      </c>
      <c r="D968" s="82" t="s">
        <v>2036</v>
      </c>
      <c r="F968" s="83">
        <v>46057.0</v>
      </c>
      <c r="G968" s="84" t="s">
        <v>2758</v>
      </c>
      <c r="H968" s="82" t="s">
        <v>2035</v>
      </c>
      <c r="I968" s="83">
        <v>46048.0</v>
      </c>
    </row>
    <row r="969" ht="22.5" hidden="1" customHeight="1">
      <c r="A969" s="81">
        <v>46049.511224375005</v>
      </c>
      <c r="B969" s="82" t="s">
        <v>1150</v>
      </c>
      <c r="C969" s="82" t="s">
        <v>2038</v>
      </c>
      <c r="D969" s="82" t="s">
        <v>2036</v>
      </c>
      <c r="F969" s="83">
        <v>46058.0</v>
      </c>
      <c r="G969" s="84" t="s">
        <v>2759</v>
      </c>
      <c r="H969" s="82" t="s">
        <v>2035</v>
      </c>
      <c r="I969" s="83">
        <v>46049.0</v>
      </c>
    </row>
    <row r="970" ht="22.5" hidden="1" customHeight="1">
      <c r="A970" s="81">
        <v>46049.51163851852</v>
      </c>
      <c r="B970" s="82" t="s">
        <v>1153</v>
      </c>
      <c r="C970" s="82" t="s">
        <v>2038</v>
      </c>
      <c r="D970" s="82" t="s">
        <v>2036</v>
      </c>
      <c r="F970" s="83">
        <v>46058.0</v>
      </c>
      <c r="G970" s="84" t="s">
        <v>2760</v>
      </c>
      <c r="H970" s="82" t="s">
        <v>2035</v>
      </c>
      <c r="I970" s="83">
        <v>46049.0</v>
      </c>
    </row>
    <row r="971" ht="22.5" hidden="1" customHeight="1">
      <c r="A971" s="81">
        <v>46049.51202212963</v>
      </c>
      <c r="B971" s="82" t="s">
        <v>1256</v>
      </c>
      <c r="C971" s="82" t="s">
        <v>2038</v>
      </c>
      <c r="D971" s="82" t="s">
        <v>2036</v>
      </c>
      <c r="F971" s="83">
        <v>46058.0</v>
      </c>
      <c r="G971" s="84" t="s">
        <v>2761</v>
      </c>
      <c r="H971" s="82" t="s">
        <v>2035</v>
      </c>
      <c r="I971" s="83">
        <v>46049.0</v>
      </c>
    </row>
    <row r="972" ht="22.5" hidden="1" customHeight="1">
      <c r="A972" s="81">
        <v>46049.51245505787</v>
      </c>
      <c r="B972" s="82" t="s">
        <v>1198</v>
      </c>
      <c r="C972" s="82" t="s">
        <v>2038</v>
      </c>
      <c r="D972" s="82" t="s">
        <v>2036</v>
      </c>
      <c r="F972" s="83">
        <v>46058.0</v>
      </c>
      <c r="G972" s="84" t="s">
        <v>2762</v>
      </c>
      <c r="H972" s="82" t="s">
        <v>2035</v>
      </c>
      <c r="I972" s="83">
        <v>46049.0</v>
      </c>
    </row>
    <row r="973" ht="22.5" hidden="1" customHeight="1">
      <c r="A973" s="81">
        <v>46049.513350532405</v>
      </c>
      <c r="B973" s="82" t="s">
        <v>1063</v>
      </c>
      <c r="C973" s="82" t="s">
        <v>2038</v>
      </c>
      <c r="D973" s="82" t="s">
        <v>2036</v>
      </c>
      <c r="F973" s="83">
        <v>46058.0</v>
      </c>
      <c r="G973" s="84" t="s">
        <v>2763</v>
      </c>
      <c r="H973" s="82" t="s">
        <v>2035</v>
      </c>
      <c r="I973" s="83">
        <v>46049.0</v>
      </c>
    </row>
    <row r="974" ht="22.5" hidden="1" customHeight="1">
      <c r="A974" s="81">
        <v>46049.58103430556</v>
      </c>
      <c r="B974" s="82" t="s">
        <v>1265</v>
      </c>
      <c r="C974" s="82" t="s">
        <v>2035</v>
      </c>
      <c r="D974" s="82" t="s">
        <v>2034</v>
      </c>
      <c r="H974" s="82" t="s">
        <v>2035</v>
      </c>
      <c r="I974" s="83">
        <v>46049.0</v>
      </c>
    </row>
    <row r="975" ht="22.5" hidden="1" customHeight="1">
      <c r="A975" s="81">
        <v>46049.702558749996</v>
      </c>
      <c r="B975" s="82" t="s">
        <v>1129</v>
      </c>
      <c r="C975" s="82" t="s">
        <v>2035</v>
      </c>
      <c r="D975" s="82" t="s">
        <v>2034</v>
      </c>
      <c r="H975" s="82" t="s">
        <v>2035</v>
      </c>
      <c r="I975" s="83">
        <v>46049.0</v>
      </c>
      <c r="J975" s="84" t="s">
        <v>2764</v>
      </c>
    </row>
    <row r="976" ht="22.5" hidden="1" customHeight="1">
      <c r="A976" s="81">
        <v>46050.571353321764</v>
      </c>
      <c r="B976" s="82" t="s">
        <v>2075</v>
      </c>
      <c r="C976" s="82" t="s">
        <v>2722</v>
      </c>
      <c r="D976" s="82" t="s">
        <v>85</v>
      </c>
      <c r="H976" s="82" t="s">
        <v>2722</v>
      </c>
      <c r="I976" s="83">
        <v>46050.0</v>
      </c>
    </row>
    <row r="977" ht="22.5" hidden="1" customHeight="1">
      <c r="A977" s="81">
        <v>46050.575222430554</v>
      </c>
      <c r="B977" s="82" t="s">
        <v>2075</v>
      </c>
      <c r="C977" s="82" t="s">
        <v>2035</v>
      </c>
      <c r="D977" s="82" t="s">
        <v>85</v>
      </c>
      <c r="H977" s="82" t="s">
        <v>2035</v>
      </c>
      <c r="I977" s="83">
        <v>46050.0</v>
      </c>
    </row>
    <row r="978" ht="22.5" hidden="1" customHeight="1">
      <c r="A978" s="81">
        <v>46050.57924641204</v>
      </c>
      <c r="B978" s="82" t="s">
        <v>1181</v>
      </c>
      <c r="C978" s="82" t="s">
        <v>2722</v>
      </c>
      <c r="D978" s="82" t="s">
        <v>2036</v>
      </c>
      <c r="H978" s="82" t="s">
        <v>2722</v>
      </c>
      <c r="I978" s="83">
        <v>46043.0</v>
      </c>
    </row>
    <row r="979" ht="22.5" hidden="1" customHeight="1">
      <c r="A979" s="81">
        <v>46050.58767949074</v>
      </c>
      <c r="B979" s="82" t="s">
        <v>726</v>
      </c>
      <c r="C979" s="82" t="s">
        <v>2038</v>
      </c>
      <c r="D979" s="82" t="s">
        <v>2036</v>
      </c>
      <c r="F979" s="83">
        <v>46055.0</v>
      </c>
      <c r="G979" s="84" t="s">
        <v>2765</v>
      </c>
      <c r="H979" s="82" t="s">
        <v>2035</v>
      </c>
      <c r="I979" s="83">
        <v>46044.0</v>
      </c>
    </row>
    <row r="980" ht="22.5" hidden="1" customHeight="1">
      <c r="A980" s="81">
        <v>46050.58840688657</v>
      </c>
      <c r="B980" s="82" t="s">
        <v>1238</v>
      </c>
      <c r="C980" s="82" t="s">
        <v>2038</v>
      </c>
      <c r="D980" s="82" t="s">
        <v>2036</v>
      </c>
      <c r="F980" s="83">
        <v>46055.0</v>
      </c>
      <c r="G980" s="84" t="s">
        <v>2766</v>
      </c>
      <c r="H980" s="82" t="s">
        <v>2035</v>
      </c>
      <c r="I980" s="83">
        <v>46044.0</v>
      </c>
    </row>
    <row r="981" ht="22.5" hidden="1" customHeight="1">
      <c r="A981" s="81">
        <v>46050.641321840274</v>
      </c>
      <c r="B981" s="82" t="s">
        <v>1268</v>
      </c>
      <c r="C981" s="82" t="s">
        <v>2035</v>
      </c>
      <c r="D981" s="82" t="s">
        <v>2036</v>
      </c>
      <c r="F981" s="83">
        <v>46062.0</v>
      </c>
      <c r="G981" s="84" t="s">
        <v>2767</v>
      </c>
      <c r="H981" s="82" t="s">
        <v>2035</v>
      </c>
      <c r="I981" s="83">
        <v>46050.0</v>
      </c>
    </row>
    <row r="982" ht="22.5" hidden="1" customHeight="1">
      <c r="A982" s="81">
        <v>46050.64170331019</v>
      </c>
      <c r="B982" s="82" t="s">
        <v>1271</v>
      </c>
      <c r="C982" s="82" t="s">
        <v>2035</v>
      </c>
      <c r="D982" s="82" t="s">
        <v>2036</v>
      </c>
      <c r="F982" s="83">
        <v>46062.0</v>
      </c>
      <c r="G982" s="84" t="s">
        <v>2768</v>
      </c>
      <c r="H982" s="82" t="s">
        <v>2035</v>
      </c>
      <c r="I982" s="83">
        <v>46050.0</v>
      </c>
    </row>
    <row r="983" ht="22.5" hidden="1" customHeight="1">
      <c r="A983" s="81">
        <v>46051.40172787037</v>
      </c>
      <c r="B983" s="82" t="s">
        <v>1273</v>
      </c>
      <c r="C983" s="82" t="s">
        <v>2722</v>
      </c>
      <c r="D983" s="82" t="s">
        <v>85</v>
      </c>
      <c r="H983" s="82" t="s">
        <v>2722</v>
      </c>
      <c r="I983" s="83">
        <v>46051.0</v>
      </c>
    </row>
    <row r="984" ht="22.5" hidden="1" customHeight="1">
      <c r="A984" s="81">
        <v>46051.41676180555</v>
      </c>
      <c r="B984" s="82" t="s">
        <v>1202</v>
      </c>
      <c r="C984" s="82" t="s">
        <v>2038</v>
      </c>
      <c r="D984" s="82" t="s">
        <v>2036</v>
      </c>
      <c r="F984" s="83">
        <v>46062.0</v>
      </c>
      <c r="G984" s="84" t="s">
        <v>2769</v>
      </c>
      <c r="H984" s="82" t="s">
        <v>2035</v>
      </c>
      <c r="I984" s="83">
        <v>46051.0</v>
      </c>
    </row>
    <row r="985" ht="22.5" hidden="1" customHeight="1">
      <c r="A985" s="81">
        <v>46051.72229760417</v>
      </c>
      <c r="B985" s="82" t="s">
        <v>1192</v>
      </c>
      <c r="C985" s="82" t="s">
        <v>2035</v>
      </c>
      <c r="D985" s="82" t="s">
        <v>2036</v>
      </c>
      <c r="G985" s="84" t="s">
        <v>2770</v>
      </c>
      <c r="H985" s="82" t="s">
        <v>2035</v>
      </c>
      <c r="I985" s="83">
        <v>46051.0</v>
      </c>
    </row>
    <row r="986" ht="22.5" hidden="1" customHeight="1">
      <c r="A986" s="81">
        <v>46051.72279629629</v>
      </c>
      <c r="B986" s="82" t="s">
        <v>1276</v>
      </c>
      <c r="C986" s="82" t="s">
        <v>2035</v>
      </c>
      <c r="D986" s="82" t="s">
        <v>2036</v>
      </c>
      <c r="F986" s="83">
        <v>46063.0</v>
      </c>
      <c r="G986" s="84" t="s">
        <v>2771</v>
      </c>
      <c r="H986" s="82" t="s">
        <v>2035</v>
      </c>
      <c r="I986" s="83">
        <v>46051.0</v>
      </c>
    </row>
    <row r="987" ht="22.5" hidden="1" customHeight="1">
      <c r="A987" s="81">
        <v>46052.469849189816</v>
      </c>
      <c r="B987" s="82" t="s">
        <v>1068</v>
      </c>
      <c r="C987" s="82" t="s">
        <v>2038</v>
      </c>
      <c r="D987" s="82" t="s">
        <v>2036</v>
      </c>
      <c r="F987" s="83">
        <v>46063.0</v>
      </c>
      <c r="G987" s="84" t="s">
        <v>2772</v>
      </c>
      <c r="H987" s="82" t="s">
        <v>2035</v>
      </c>
      <c r="I987" s="83">
        <v>46052.0</v>
      </c>
    </row>
    <row r="988" ht="22.5" hidden="1" customHeight="1">
      <c r="A988" s="81">
        <v>46052.47180907408</v>
      </c>
      <c r="B988" s="82" t="s">
        <v>1279</v>
      </c>
      <c r="C988" s="82" t="s">
        <v>2035</v>
      </c>
      <c r="D988" s="82" t="s">
        <v>2034</v>
      </c>
      <c r="H988" s="82" t="s">
        <v>2035</v>
      </c>
      <c r="I988" s="83">
        <v>46052.0</v>
      </c>
    </row>
    <row r="989" ht="22.5" hidden="1" customHeight="1">
      <c r="A989" s="81">
        <v>46052.47209023148</v>
      </c>
      <c r="B989" s="82" t="s">
        <v>1283</v>
      </c>
      <c r="C989" s="82" t="s">
        <v>2035</v>
      </c>
      <c r="D989" s="82" t="s">
        <v>2034</v>
      </c>
      <c r="H989" s="82" t="s">
        <v>2035</v>
      </c>
      <c r="I989" s="83">
        <v>46052.0</v>
      </c>
    </row>
    <row r="990" ht="22.5" hidden="1" customHeight="1">
      <c r="A990" s="81">
        <v>46052.4786021412</v>
      </c>
      <c r="B990" s="82" t="s">
        <v>1120</v>
      </c>
      <c r="C990" s="82" t="s">
        <v>2038</v>
      </c>
      <c r="D990" s="82" t="s">
        <v>2034</v>
      </c>
      <c r="H990" s="82" t="s">
        <v>2035</v>
      </c>
      <c r="I990" s="83">
        <v>46052.0</v>
      </c>
      <c r="J990" s="84" t="s">
        <v>2773</v>
      </c>
    </row>
    <row r="991" ht="22.5" hidden="1" customHeight="1">
      <c r="A991" s="81">
        <v>46052.6864752199</v>
      </c>
      <c r="B991" s="82" t="s">
        <v>981</v>
      </c>
      <c r="C991" s="82" t="s">
        <v>2035</v>
      </c>
      <c r="D991" s="82" t="s">
        <v>2036</v>
      </c>
      <c r="F991" s="83">
        <v>46063.0</v>
      </c>
      <c r="G991" s="84" t="s">
        <v>2774</v>
      </c>
      <c r="H991" s="82" t="s">
        <v>2035</v>
      </c>
      <c r="I991" s="83">
        <v>46052.0</v>
      </c>
    </row>
    <row r="992" ht="22.5" hidden="1" customHeight="1">
      <c r="A992" s="81">
        <v>46052.69592737268</v>
      </c>
      <c r="B992" s="82" t="s">
        <v>1284</v>
      </c>
      <c r="C992" s="82" t="s">
        <v>2035</v>
      </c>
      <c r="D992" s="82" t="s">
        <v>2034</v>
      </c>
      <c r="H992" s="82" t="s">
        <v>2035</v>
      </c>
      <c r="I992" s="83">
        <v>46052.0</v>
      </c>
    </row>
    <row r="993" ht="22.5" hidden="1" customHeight="1">
      <c r="A993" s="81">
        <v>46052.69652399306</v>
      </c>
      <c r="B993" s="82" t="s">
        <v>1285</v>
      </c>
      <c r="C993" s="82" t="s">
        <v>2035</v>
      </c>
      <c r="D993" s="82" t="s">
        <v>2034</v>
      </c>
      <c r="H993" s="82" t="s">
        <v>2035</v>
      </c>
      <c r="I993" s="83">
        <v>46052.0</v>
      </c>
    </row>
    <row r="994" ht="22.5" hidden="1" customHeight="1">
      <c r="A994" s="81">
        <v>46053.354064432875</v>
      </c>
      <c r="B994" s="82" t="s">
        <v>1286</v>
      </c>
      <c r="C994" s="82" t="s">
        <v>2035</v>
      </c>
      <c r="D994" s="82" t="s">
        <v>2036</v>
      </c>
      <c r="H994" s="82" t="s">
        <v>2035</v>
      </c>
      <c r="I994" s="83">
        <v>46052.0</v>
      </c>
    </row>
    <row r="995" ht="22.5" hidden="1" customHeight="1">
      <c r="A995" s="81">
        <v>46053.35452512732</v>
      </c>
      <c r="B995" s="82" t="s">
        <v>1288</v>
      </c>
      <c r="C995" s="82" t="s">
        <v>2035</v>
      </c>
      <c r="D995" s="82" t="s">
        <v>2036</v>
      </c>
      <c r="H995" s="82" t="s">
        <v>2035</v>
      </c>
      <c r="I995" s="83">
        <v>46052.0</v>
      </c>
    </row>
    <row r="996" ht="22.5" hidden="1" customHeight="1">
      <c r="A996" s="81">
        <v>46053.456692893524</v>
      </c>
      <c r="B996" s="82" t="s">
        <v>1238</v>
      </c>
      <c r="C996" s="82" t="s">
        <v>2038</v>
      </c>
      <c r="D996" s="82" t="s">
        <v>2034</v>
      </c>
      <c r="H996" s="82" t="s">
        <v>2035</v>
      </c>
      <c r="I996" s="83">
        <v>46053.0</v>
      </c>
      <c r="J996" s="84" t="s">
        <v>2775</v>
      </c>
    </row>
    <row r="997" ht="22.5" hidden="1" customHeight="1">
      <c r="A997" s="81">
        <v>46053.45701900463</v>
      </c>
      <c r="B997" s="82" t="s">
        <v>1181</v>
      </c>
      <c r="C997" s="82" t="s">
        <v>2038</v>
      </c>
      <c r="D997" s="82" t="s">
        <v>2034</v>
      </c>
      <c r="H997" s="82" t="s">
        <v>2035</v>
      </c>
      <c r="I997" s="83">
        <v>46053.0</v>
      </c>
      <c r="J997" s="84" t="s">
        <v>2776</v>
      </c>
    </row>
    <row r="998" ht="22.5" hidden="1" customHeight="1">
      <c r="A998" s="81">
        <v>46053.49314230324</v>
      </c>
      <c r="B998" s="82" t="s">
        <v>1272</v>
      </c>
      <c r="C998" s="82" t="s">
        <v>2038</v>
      </c>
      <c r="D998" s="82" t="s">
        <v>2036</v>
      </c>
      <c r="F998" s="83">
        <v>46064.0</v>
      </c>
      <c r="G998" s="84" t="s">
        <v>2777</v>
      </c>
      <c r="H998" s="82" t="s">
        <v>2035</v>
      </c>
      <c r="I998" s="83">
        <v>46053.0</v>
      </c>
    </row>
    <row r="999" ht="22.5" hidden="1" customHeight="1">
      <c r="A999" s="81">
        <v>46053.494112141205</v>
      </c>
      <c r="B999" s="82" t="s">
        <v>1206</v>
      </c>
      <c r="C999" s="82" t="s">
        <v>2038</v>
      </c>
      <c r="D999" s="82" t="s">
        <v>2036</v>
      </c>
      <c r="F999" s="83">
        <v>46064.0</v>
      </c>
      <c r="G999" s="84" t="s">
        <v>2778</v>
      </c>
      <c r="H999" s="82" t="s">
        <v>2035</v>
      </c>
      <c r="I999" s="83">
        <v>46053.0</v>
      </c>
    </row>
    <row r="1000" ht="22.5" hidden="1" customHeight="1">
      <c r="A1000" s="81">
        <v>46053.4949399537</v>
      </c>
      <c r="B1000" s="82" t="s">
        <v>1163</v>
      </c>
      <c r="C1000" s="82" t="s">
        <v>2038</v>
      </c>
      <c r="D1000" s="82" t="s">
        <v>2036</v>
      </c>
      <c r="F1000" s="83">
        <v>46064.0</v>
      </c>
      <c r="G1000" s="84" t="s">
        <v>2779</v>
      </c>
      <c r="H1000" s="82" t="s">
        <v>2035</v>
      </c>
      <c r="I1000" s="83">
        <v>46053.0</v>
      </c>
    </row>
    <row r="1001" ht="22.5" hidden="1" customHeight="1">
      <c r="A1001" s="81">
        <v>46053.49578354167</v>
      </c>
      <c r="B1001" s="82" t="s">
        <v>1209</v>
      </c>
      <c r="C1001" s="82" t="s">
        <v>2038</v>
      </c>
      <c r="D1001" s="82" t="s">
        <v>2036</v>
      </c>
      <c r="F1001" s="83">
        <v>46064.0</v>
      </c>
      <c r="G1001" s="84" t="s">
        <v>2780</v>
      </c>
      <c r="H1001" s="82" t="s">
        <v>2035</v>
      </c>
      <c r="I1001" s="83">
        <v>46053.0</v>
      </c>
    </row>
    <row r="1002" ht="22.5" hidden="1" customHeight="1">
      <c r="A1002" s="81">
        <v>46053.496553495366</v>
      </c>
      <c r="B1002" s="82" t="s">
        <v>1202</v>
      </c>
      <c r="C1002" s="82" t="s">
        <v>2038</v>
      </c>
      <c r="D1002" s="82" t="s">
        <v>2036</v>
      </c>
      <c r="F1002" s="83">
        <v>46064.0</v>
      </c>
      <c r="G1002" s="84" t="s">
        <v>2781</v>
      </c>
      <c r="H1002" s="82" t="s">
        <v>2035</v>
      </c>
      <c r="I1002" s="83">
        <v>46053.0</v>
      </c>
    </row>
    <row r="1003" ht="22.5" hidden="1" customHeight="1">
      <c r="A1003" s="81">
        <v>46055.44495012732</v>
      </c>
      <c r="B1003" s="82" t="s">
        <v>1242</v>
      </c>
      <c r="C1003" s="82" t="s">
        <v>2038</v>
      </c>
      <c r="D1003" s="82" t="s">
        <v>2034</v>
      </c>
      <c r="H1003" s="82" t="s">
        <v>2035</v>
      </c>
      <c r="I1003" s="83">
        <v>46055.0</v>
      </c>
      <c r="J1003" s="84" t="s">
        <v>2782</v>
      </c>
    </row>
    <row r="1004" ht="22.5" hidden="1" customHeight="1">
      <c r="A1004" s="81">
        <v>46055.44669542824</v>
      </c>
      <c r="B1004" s="82" t="s">
        <v>1072</v>
      </c>
      <c r="C1004" s="82" t="s">
        <v>2038</v>
      </c>
      <c r="D1004" s="82" t="s">
        <v>2034</v>
      </c>
      <c r="H1004" s="82" t="s">
        <v>2035</v>
      </c>
      <c r="I1004" s="83">
        <v>46055.0</v>
      </c>
      <c r="J1004" s="84" t="s">
        <v>2783</v>
      </c>
    </row>
    <row r="1005" ht="22.5" hidden="1" customHeight="1">
      <c r="A1005" s="81">
        <v>46056.415264641204</v>
      </c>
      <c r="B1005" s="82" t="s">
        <v>1267</v>
      </c>
      <c r="C1005" s="82" t="s">
        <v>2035</v>
      </c>
      <c r="D1005" s="82" t="s">
        <v>2036</v>
      </c>
      <c r="F1005" s="83">
        <v>46065.0</v>
      </c>
      <c r="G1005" s="84" t="s">
        <v>2784</v>
      </c>
      <c r="H1005" s="82" t="s">
        <v>2035</v>
      </c>
      <c r="I1005" s="83">
        <v>46056.0</v>
      </c>
    </row>
    <row r="1006" ht="22.5" hidden="1" customHeight="1">
      <c r="A1006" s="81">
        <v>46056.41578545139</v>
      </c>
      <c r="B1006" s="82" t="s">
        <v>1248</v>
      </c>
      <c r="C1006" s="82" t="s">
        <v>2035</v>
      </c>
      <c r="D1006" s="82" t="s">
        <v>2036</v>
      </c>
      <c r="F1006" s="83">
        <v>46065.0</v>
      </c>
      <c r="G1006" s="84" t="s">
        <v>2785</v>
      </c>
      <c r="H1006" s="82" t="s">
        <v>2035</v>
      </c>
      <c r="I1006" s="83">
        <v>46056.0</v>
      </c>
    </row>
    <row r="1007" ht="22.5" hidden="1" customHeight="1">
      <c r="A1007" s="81">
        <v>46056.70988896991</v>
      </c>
      <c r="B1007" s="82" t="s">
        <v>1302</v>
      </c>
      <c r="C1007" s="82" t="s">
        <v>2035</v>
      </c>
      <c r="D1007" s="82" t="s">
        <v>2034</v>
      </c>
      <c r="H1007" s="82" t="s">
        <v>2035</v>
      </c>
      <c r="I1007" s="83">
        <v>46056.0</v>
      </c>
      <c r="J1007" s="84" t="s">
        <v>2786</v>
      </c>
    </row>
    <row r="1008" ht="22.5" hidden="1" customHeight="1">
      <c r="A1008" s="81">
        <v>46056.71080725694</v>
      </c>
      <c r="B1008" s="82" t="s">
        <v>1303</v>
      </c>
      <c r="C1008" s="82" t="s">
        <v>2035</v>
      </c>
      <c r="D1008" s="82" t="s">
        <v>2034</v>
      </c>
      <c r="H1008" s="82" t="s">
        <v>2035</v>
      </c>
      <c r="I1008" s="83">
        <v>46056.0</v>
      </c>
      <c r="J1008" s="84" t="s">
        <v>2787</v>
      </c>
    </row>
    <row r="1009" ht="22.5" hidden="1" customHeight="1">
      <c r="A1009" s="81">
        <v>46056.71112778936</v>
      </c>
      <c r="B1009" s="82" t="s">
        <v>1111</v>
      </c>
      <c r="C1009" s="82" t="s">
        <v>2035</v>
      </c>
      <c r="D1009" s="82" t="s">
        <v>2034</v>
      </c>
      <c r="H1009" s="82" t="s">
        <v>2035</v>
      </c>
      <c r="I1009" s="83">
        <v>46056.0</v>
      </c>
      <c r="J1009" s="84" t="s">
        <v>2788</v>
      </c>
    </row>
    <row r="1010" ht="22.5" hidden="1" customHeight="1">
      <c r="A1010" s="81">
        <v>46056.71174828704</v>
      </c>
      <c r="B1010" s="82" t="s">
        <v>1256</v>
      </c>
      <c r="C1010" s="82" t="s">
        <v>2035</v>
      </c>
      <c r="D1010" s="82" t="s">
        <v>2036</v>
      </c>
      <c r="F1010" s="83">
        <v>46066.0</v>
      </c>
      <c r="G1010" s="84" t="s">
        <v>2789</v>
      </c>
      <c r="H1010" s="82" t="s">
        <v>2035</v>
      </c>
      <c r="I1010" s="83">
        <v>46056.0</v>
      </c>
    </row>
    <row r="1011" ht="22.5" hidden="1" customHeight="1">
      <c r="A1011" s="81">
        <v>46056.71210320602</v>
      </c>
      <c r="B1011" s="82" t="s">
        <v>1246</v>
      </c>
      <c r="C1011" s="82" t="s">
        <v>2035</v>
      </c>
      <c r="D1011" s="82" t="s">
        <v>2036</v>
      </c>
      <c r="F1011" s="83">
        <v>46065.0</v>
      </c>
      <c r="G1011" s="84" t="s">
        <v>2790</v>
      </c>
      <c r="H1011" s="82" t="s">
        <v>2035</v>
      </c>
      <c r="I1011" s="83">
        <v>46056.0</v>
      </c>
    </row>
    <row r="1012" ht="22.5" hidden="1" customHeight="1">
      <c r="A1012" s="81">
        <v>46058.61224792824</v>
      </c>
      <c r="B1012" s="82" t="s">
        <v>1310</v>
      </c>
      <c r="C1012" s="82" t="s">
        <v>2035</v>
      </c>
      <c r="D1012" s="82" t="s">
        <v>2034</v>
      </c>
      <c r="H1012" s="82" t="s">
        <v>2035</v>
      </c>
      <c r="I1012" s="83">
        <v>46058.0</v>
      </c>
    </row>
    <row r="1013" ht="22.5" hidden="1" customHeight="1">
      <c r="A1013" s="81">
        <v>46058.612655370365</v>
      </c>
      <c r="B1013" s="82" t="s">
        <v>1311</v>
      </c>
      <c r="C1013" s="82" t="s">
        <v>2035</v>
      </c>
      <c r="D1013" s="82" t="s">
        <v>2034</v>
      </c>
      <c r="H1013" s="82" t="s">
        <v>2035</v>
      </c>
      <c r="I1013" s="83">
        <v>46058.0</v>
      </c>
    </row>
    <row r="1014" ht="22.5" hidden="1" customHeight="1">
      <c r="A1014" s="81">
        <v>46058.61543978009</v>
      </c>
      <c r="B1014" s="82" t="s">
        <v>410</v>
      </c>
      <c r="C1014" s="82" t="s">
        <v>2038</v>
      </c>
      <c r="D1014" s="82" t="s">
        <v>2036</v>
      </c>
      <c r="F1014" s="83">
        <v>46076.0</v>
      </c>
      <c r="G1014" s="84" t="s">
        <v>2791</v>
      </c>
      <c r="H1014" s="82" t="s">
        <v>2035</v>
      </c>
      <c r="I1014" s="83">
        <v>46058.0</v>
      </c>
    </row>
    <row r="1015" ht="22.5" hidden="1" customHeight="1">
      <c r="A1015" s="81">
        <v>46058.617429039354</v>
      </c>
      <c r="B1015" s="82" t="s">
        <v>726</v>
      </c>
      <c r="C1015" s="82" t="s">
        <v>2038</v>
      </c>
      <c r="D1015" s="82" t="s">
        <v>2036</v>
      </c>
      <c r="F1015" s="83">
        <v>46076.0</v>
      </c>
      <c r="G1015" s="84" t="s">
        <v>2792</v>
      </c>
      <c r="H1015" s="82" t="s">
        <v>2035</v>
      </c>
      <c r="I1015" s="83">
        <v>46058.0</v>
      </c>
    </row>
    <row r="1016" ht="22.5" hidden="1" customHeight="1">
      <c r="A1016" s="81">
        <v>46058.61934399305</v>
      </c>
      <c r="B1016" s="82" t="s">
        <v>1307</v>
      </c>
      <c r="C1016" s="82" t="s">
        <v>2038</v>
      </c>
      <c r="D1016" s="82" t="s">
        <v>2036</v>
      </c>
      <c r="F1016" s="83">
        <v>46076.0</v>
      </c>
      <c r="G1016" s="84" t="s">
        <v>2793</v>
      </c>
      <c r="H1016" s="82" t="s">
        <v>2035</v>
      </c>
      <c r="I1016" s="83">
        <v>46058.0</v>
      </c>
    </row>
    <row r="1017" ht="22.5" hidden="1" customHeight="1">
      <c r="A1017" s="81">
        <v>46059.46159802083</v>
      </c>
      <c r="B1017" s="82" t="s">
        <v>1314</v>
      </c>
      <c r="C1017" s="82" t="s">
        <v>2035</v>
      </c>
      <c r="D1017" s="82" t="s">
        <v>85</v>
      </c>
      <c r="H1017" s="82" t="s">
        <v>2035</v>
      </c>
      <c r="I1017" s="83">
        <v>46059.0</v>
      </c>
    </row>
    <row r="1018" ht="22.5" hidden="1" customHeight="1">
      <c r="A1018" s="81">
        <v>46059.47752465278</v>
      </c>
      <c r="B1018" s="82" t="s">
        <v>1252</v>
      </c>
      <c r="C1018" s="82" t="s">
        <v>2035</v>
      </c>
      <c r="D1018" s="82" t="s">
        <v>85</v>
      </c>
      <c r="H1018" s="82" t="s">
        <v>2035</v>
      </c>
      <c r="I1018" s="83">
        <v>46059.0</v>
      </c>
    </row>
    <row r="1019" ht="22.5" hidden="1" customHeight="1">
      <c r="A1019" s="81">
        <v>46059.47962186343</v>
      </c>
      <c r="B1019" s="82" t="s">
        <v>1296</v>
      </c>
      <c r="C1019" s="82" t="s">
        <v>2035</v>
      </c>
      <c r="D1019" s="82" t="s">
        <v>2034</v>
      </c>
      <c r="H1019" s="82" t="s">
        <v>2035</v>
      </c>
      <c r="I1019" s="83">
        <v>46059.0</v>
      </c>
    </row>
    <row r="1020" ht="22.5" hidden="1" customHeight="1">
      <c r="A1020" s="81">
        <v>46059.63988008102</v>
      </c>
      <c r="B1020" s="82" t="s">
        <v>1183</v>
      </c>
      <c r="C1020" s="82" t="s">
        <v>2038</v>
      </c>
      <c r="D1020" s="82" t="s">
        <v>2036</v>
      </c>
      <c r="F1020" s="83">
        <v>46076.0</v>
      </c>
      <c r="G1020" s="84" t="s">
        <v>2794</v>
      </c>
      <c r="H1020" s="82" t="s">
        <v>2035</v>
      </c>
      <c r="I1020" s="83">
        <v>46059.0</v>
      </c>
    </row>
    <row r="1021" ht="22.5" hidden="1" customHeight="1">
      <c r="A1021" s="81">
        <v>46059.64108819445</v>
      </c>
      <c r="B1021" s="82" t="s">
        <v>715</v>
      </c>
      <c r="C1021" s="82" t="s">
        <v>2038</v>
      </c>
      <c r="D1021" s="82" t="s">
        <v>2036</v>
      </c>
      <c r="F1021" s="83">
        <v>46076.0</v>
      </c>
      <c r="G1021" s="84" t="s">
        <v>2795</v>
      </c>
      <c r="H1021" s="82" t="s">
        <v>2035</v>
      </c>
      <c r="I1021" s="83">
        <v>46059.0</v>
      </c>
    </row>
    <row r="1022" ht="22.5" hidden="1" customHeight="1">
      <c r="A1022" s="81">
        <v>46059.641803402774</v>
      </c>
      <c r="B1022" s="82" t="s">
        <v>1202</v>
      </c>
      <c r="C1022" s="82" t="s">
        <v>2038</v>
      </c>
      <c r="D1022" s="82" t="s">
        <v>2034</v>
      </c>
      <c r="H1022" s="82" t="s">
        <v>2035</v>
      </c>
      <c r="I1022" s="83">
        <v>46059.0</v>
      </c>
      <c r="J1022" s="84" t="s">
        <v>2796</v>
      </c>
    </row>
    <row r="1023" ht="22.5" hidden="1" customHeight="1">
      <c r="A1023" s="81">
        <v>46059.64237236111</v>
      </c>
      <c r="B1023" s="82" t="s">
        <v>1192</v>
      </c>
      <c r="C1023" s="82" t="s">
        <v>2038</v>
      </c>
      <c r="D1023" s="82" t="s">
        <v>2034</v>
      </c>
      <c r="H1023" s="82" t="s">
        <v>2035</v>
      </c>
      <c r="I1023" s="83">
        <v>46059.0</v>
      </c>
      <c r="J1023" s="84" t="s">
        <v>2797</v>
      </c>
    </row>
    <row r="1024" ht="22.5" hidden="1" customHeight="1">
      <c r="A1024" s="81">
        <v>46059.64282706019</v>
      </c>
      <c r="B1024" s="82" t="s">
        <v>1276</v>
      </c>
      <c r="C1024" s="82" t="s">
        <v>2038</v>
      </c>
      <c r="D1024" s="82" t="s">
        <v>2034</v>
      </c>
      <c r="H1024" s="82" t="s">
        <v>2035</v>
      </c>
      <c r="I1024" s="83">
        <v>46059.0</v>
      </c>
      <c r="J1024" s="84" t="s">
        <v>2798</v>
      </c>
    </row>
    <row r="1025" ht="22.5" hidden="1" customHeight="1">
      <c r="A1025" s="81">
        <v>46060.40640752314</v>
      </c>
      <c r="B1025" s="82" t="s">
        <v>1304</v>
      </c>
      <c r="C1025" s="82" t="s">
        <v>2038</v>
      </c>
      <c r="D1025" s="82" t="s">
        <v>2036</v>
      </c>
      <c r="F1025" s="83">
        <v>46076.0</v>
      </c>
      <c r="G1025" s="84" t="s">
        <v>2799</v>
      </c>
      <c r="H1025" s="82" t="s">
        <v>2035</v>
      </c>
      <c r="I1025" s="83">
        <v>46060.0</v>
      </c>
    </row>
    <row r="1026" ht="22.5" hidden="1" customHeight="1">
      <c r="A1026" s="81">
        <v>46060.40788049769</v>
      </c>
      <c r="B1026" s="82" t="s">
        <v>1318</v>
      </c>
      <c r="C1026" s="82" t="s">
        <v>2035</v>
      </c>
      <c r="D1026" s="82" t="s">
        <v>2034</v>
      </c>
      <c r="H1026" s="82" t="s">
        <v>2035</v>
      </c>
      <c r="I1026" s="83">
        <v>46060.0</v>
      </c>
    </row>
    <row r="1027" ht="22.5" hidden="1" customHeight="1">
      <c r="A1027" s="81">
        <v>46060.40809953704</v>
      </c>
      <c r="B1027" s="82" t="s">
        <v>1321</v>
      </c>
      <c r="C1027" s="82" t="s">
        <v>2035</v>
      </c>
      <c r="D1027" s="82" t="s">
        <v>2034</v>
      </c>
      <c r="H1027" s="82" t="s">
        <v>2035</v>
      </c>
      <c r="I1027" s="83">
        <v>46060.0</v>
      </c>
    </row>
    <row r="1028" ht="22.5" hidden="1" customHeight="1">
      <c r="A1028" s="81">
        <v>46060.409122893514</v>
      </c>
      <c r="B1028" s="82" t="s">
        <v>1323</v>
      </c>
      <c r="C1028" s="82" t="s">
        <v>2035</v>
      </c>
      <c r="D1028" s="82" t="s">
        <v>2034</v>
      </c>
      <c r="H1028" s="82" t="s">
        <v>2035</v>
      </c>
      <c r="I1028" s="83">
        <v>46060.0</v>
      </c>
    </row>
    <row r="1029" ht="22.5" hidden="1" customHeight="1">
      <c r="A1029" s="81">
        <v>46060.40938769676</v>
      </c>
      <c r="B1029" s="82" t="s">
        <v>1325</v>
      </c>
      <c r="C1029" s="82" t="s">
        <v>2035</v>
      </c>
      <c r="D1029" s="82" t="s">
        <v>2034</v>
      </c>
      <c r="H1029" s="82" t="s">
        <v>2035</v>
      </c>
      <c r="I1029" s="83">
        <v>46060.0</v>
      </c>
    </row>
    <row r="1030" ht="22.5" hidden="1" customHeight="1">
      <c r="A1030" s="81">
        <v>46062.42917017361</v>
      </c>
      <c r="B1030" s="82" t="s">
        <v>1317</v>
      </c>
      <c r="C1030" s="82" t="s">
        <v>2035</v>
      </c>
      <c r="D1030" s="82" t="s">
        <v>2036</v>
      </c>
      <c r="G1030" s="84" t="s">
        <v>2800</v>
      </c>
      <c r="H1030" s="82" t="s">
        <v>2035</v>
      </c>
      <c r="I1030" s="83">
        <v>46062.0</v>
      </c>
    </row>
    <row r="1031" ht="22.5" hidden="1" customHeight="1">
      <c r="A1031" s="81">
        <v>46062.623827777774</v>
      </c>
      <c r="B1031" s="82" t="s">
        <v>1312</v>
      </c>
      <c r="C1031" s="82" t="s">
        <v>2038</v>
      </c>
      <c r="D1031" s="82" t="s">
        <v>2036</v>
      </c>
      <c r="F1031" s="83">
        <v>46078.0</v>
      </c>
      <c r="G1031" s="84" t="s">
        <v>2801</v>
      </c>
      <c r="H1031" s="82" t="s">
        <v>2035</v>
      </c>
      <c r="I1031" s="83">
        <v>46062.0</v>
      </c>
    </row>
    <row r="1032" ht="22.5" hidden="1" customHeight="1">
      <c r="A1032" s="81">
        <v>46062.6245708912</v>
      </c>
      <c r="B1032" s="82" t="s">
        <v>1328</v>
      </c>
      <c r="C1032" s="82" t="s">
        <v>2038</v>
      </c>
      <c r="D1032" s="82" t="s">
        <v>2036</v>
      </c>
      <c r="F1032" s="83">
        <v>46078.0</v>
      </c>
      <c r="G1032" s="84" t="s">
        <v>2802</v>
      </c>
      <c r="H1032" s="82" t="s">
        <v>2035</v>
      </c>
      <c r="I1032" s="83">
        <v>46062.0</v>
      </c>
    </row>
    <row r="1033" ht="22.5" hidden="1" customHeight="1">
      <c r="A1033" s="81">
        <v>46063.44883309028</v>
      </c>
      <c r="B1033" s="82" t="s">
        <v>1298</v>
      </c>
      <c r="C1033" s="82" t="s">
        <v>2035</v>
      </c>
      <c r="D1033" s="82" t="s">
        <v>2036</v>
      </c>
      <c r="F1033" s="83">
        <v>46079.0</v>
      </c>
      <c r="G1033" s="84" t="s">
        <v>2803</v>
      </c>
      <c r="H1033" s="82" t="s">
        <v>2035</v>
      </c>
      <c r="I1033" s="83">
        <v>46063.0</v>
      </c>
    </row>
    <row r="1034" ht="22.5" hidden="1" customHeight="1">
      <c r="A1034" s="81">
        <v>46079.61189356481</v>
      </c>
      <c r="B1034" s="82" t="s">
        <v>1183</v>
      </c>
      <c r="C1034" s="82" t="s">
        <v>2038</v>
      </c>
      <c r="D1034" s="82" t="s">
        <v>2034</v>
      </c>
      <c r="H1034" s="82" t="s">
        <v>2035</v>
      </c>
      <c r="I1034" s="83">
        <v>46079.0</v>
      </c>
      <c r="J1034" s="84" t="s">
        <v>2804</v>
      </c>
    </row>
    <row r="1035" ht="22.5" hidden="1" customHeight="1">
      <c r="A1035" s="81">
        <v>46079.61224717593</v>
      </c>
      <c r="B1035" s="82" t="s">
        <v>726</v>
      </c>
      <c r="C1035" s="82" t="s">
        <v>2038</v>
      </c>
      <c r="D1035" s="82" t="s">
        <v>2034</v>
      </c>
      <c r="H1035" s="82" t="s">
        <v>2035</v>
      </c>
      <c r="I1035" s="83">
        <v>46079.0</v>
      </c>
      <c r="J1035" s="84" t="s">
        <v>2805</v>
      </c>
    </row>
    <row r="1036" ht="22.5" hidden="1" customHeight="1">
      <c r="A1036" s="81">
        <v>46079.61259013889</v>
      </c>
      <c r="B1036" s="82" t="s">
        <v>1307</v>
      </c>
      <c r="C1036" s="82" t="s">
        <v>2038</v>
      </c>
      <c r="D1036" s="82" t="s">
        <v>2034</v>
      </c>
      <c r="H1036" s="82" t="s">
        <v>2035</v>
      </c>
      <c r="I1036" s="83">
        <v>46079.0</v>
      </c>
      <c r="J1036" s="84" t="s">
        <v>2806</v>
      </c>
    </row>
    <row r="1037" ht="22.5" hidden="1" customHeight="1">
      <c r="A1037" s="81">
        <v>46079.70064896991</v>
      </c>
      <c r="B1037" s="82" t="s">
        <v>1150</v>
      </c>
      <c r="C1037" s="82" t="s">
        <v>2038</v>
      </c>
      <c r="D1037" s="82" t="s">
        <v>2036</v>
      </c>
      <c r="F1037" s="83">
        <v>46091.0</v>
      </c>
      <c r="G1037" s="84" t="s">
        <v>2807</v>
      </c>
      <c r="H1037" s="82" t="s">
        <v>2035</v>
      </c>
      <c r="I1037" s="83">
        <v>46079.0</v>
      </c>
    </row>
    <row r="1038" ht="22.5" hidden="1" customHeight="1">
      <c r="A1038" s="81">
        <v>46079.70133777778</v>
      </c>
      <c r="B1038" s="82" t="s">
        <v>1153</v>
      </c>
      <c r="C1038" s="82" t="s">
        <v>2038</v>
      </c>
      <c r="D1038" s="82" t="s">
        <v>2036</v>
      </c>
      <c r="F1038" s="83">
        <v>46091.0</v>
      </c>
      <c r="G1038" s="84" t="s">
        <v>2808</v>
      </c>
      <c r="H1038" s="82" t="s">
        <v>2035</v>
      </c>
      <c r="I1038" s="83">
        <v>46079.0</v>
      </c>
    </row>
    <row r="1039" ht="22.5" hidden="1" customHeight="1">
      <c r="A1039" s="81">
        <v>46080.59756505787</v>
      </c>
      <c r="B1039" s="82" t="s">
        <v>715</v>
      </c>
      <c r="C1039" s="82" t="s">
        <v>2038</v>
      </c>
      <c r="D1039" s="82" t="s">
        <v>2036</v>
      </c>
      <c r="F1039" s="83">
        <v>46091.0</v>
      </c>
      <c r="G1039" s="84" t="s">
        <v>2809</v>
      </c>
      <c r="H1039" s="82" t="s">
        <v>2035</v>
      </c>
      <c r="I1039" s="83">
        <v>46080.0</v>
      </c>
    </row>
    <row r="1040" ht="22.5" hidden="1" customHeight="1">
      <c r="A1040" s="81">
        <v>46080.598025196756</v>
      </c>
      <c r="B1040" s="82" t="s">
        <v>1298</v>
      </c>
      <c r="C1040" s="82" t="s">
        <v>2038</v>
      </c>
      <c r="D1040" s="82" t="s">
        <v>2036</v>
      </c>
      <c r="F1040" s="83">
        <v>46091.0</v>
      </c>
      <c r="G1040" s="84" t="s">
        <v>2810</v>
      </c>
      <c r="H1040" s="82" t="s">
        <v>2035</v>
      </c>
      <c r="I1040" s="83">
        <v>46080.0</v>
      </c>
    </row>
    <row r="1041" ht="22.5" hidden="1" customHeight="1">
      <c r="A1041" s="81">
        <v>46080.59861583333</v>
      </c>
      <c r="B1041" s="82" t="s">
        <v>1328</v>
      </c>
      <c r="C1041" s="82" t="s">
        <v>2038</v>
      </c>
      <c r="D1041" s="82" t="s">
        <v>2036</v>
      </c>
      <c r="F1041" s="83">
        <v>46091.0</v>
      </c>
      <c r="G1041" s="84" t="s">
        <v>2811</v>
      </c>
      <c r="H1041" s="82" t="s">
        <v>2035</v>
      </c>
      <c r="I1041" s="83">
        <v>46080.0</v>
      </c>
    </row>
    <row r="1042" ht="22.5" hidden="1" customHeight="1">
      <c r="A1042" s="81">
        <v>46081.39807996528</v>
      </c>
      <c r="B1042" s="82" t="s">
        <v>1068</v>
      </c>
      <c r="C1042" s="82" t="s">
        <v>2038</v>
      </c>
      <c r="D1042" s="82" t="s">
        <v>2036</v>
      </c>
      <c r="F1042" s="83">
        <v>46092.0</v>
      </c>
      <c r="G1042" s="84" t="s">
        <v>2812</v>
      </c>
      <c r="H1042" s="82" t="s">
        <v>2035</v>
      </c>
      <c r="I1042" s="83">
        <v>46081.0</v>
      </c>
    </row>
    <row r="1043" ht="22.5" hidden="1" customHeight="1">
      <c r="A1043" s="81">
        <v>46081.50186925926</v>
      </c>
      <c r="B1043" s="82" t="s">
        <v>1339</v>
      </c>
      <c r="C1043" s="82" t="s">
        <v>2035</v>
      </c>
      <c r="D1043" s="82" t="s">
        <v>2034</v>
      </c>
      <c r="H1043" s="82" t="s">
        <v>2035</v>
      </c>
      <c r="I1043" s="83">
        <v>46081.0</v>
      </c>
    </row>
    <row r="1044" ht="22.5" hidden="1" customHeight="1">
      <c r="A1044" s="81">
        <v>46084.360243414354</v>
      </c>
      <c r="B1044" s="82" t="s">
        <v>1304</v>
      </c>
      <c r="C1044" s="82" t="s">
        <v>2038</v>
      </c>
      <c r="D1044" s="82" t="s">
        <v>2036</v>
      </c>
      <c r="F1044" s="83">
        <v>46092.0</v>
      </c>
      <c r="G1044" s="84" t="s">
        <v>2813</v>
      </c>
      <c r="H1044" s="82" t="s">
        <v>2035</v>
      </c>
      <c r="I1044" s="83">
        <v>46083.0</v>
      </c>
    </row>
    <row r="1045" ht="22.5" hidden="1" customHeight="1">
      <c r="A1045" s="81">
        <v>46084.360787673606</v>
      </c>
      <c r="B1045" s="82" t="s">
        <v>1272</v>
      </c>
      <c r="C1045" s="82" t="s">
        <v>2038</v>
      </c>
      <c r="D1045" s="82" t="s">
        <v>2036</v>
      </c>
      <c r="F1045" s="83">
        <v>46092.0</v>
      </c>
      <c r="G1045" s="84" t="s">
        <v>2814</v>
      </c>
      <c r="H1045" s="82" t="s">
        <v>2035</v>
      </c>
      <c r="I1045" s="83">
        <v>46083.0</v>
      </c>
    </row>
    <row r="1046" ht="22.5" hidden="1" customHeight="1">
      <c r="A1046" s="81">
        <v>46084.614692013885</v>
      </c>
      <c r="B1046" s="82" t="s">
        <v>1261</v>
      </c>
      <c r="C1046" s="82" t="s">
        <v>2038</v>
      </c>
      <c r="D1046" s="82" t="s">
        <v>2036</v>
      </c>
      <c r="F1046" s="83">
        <v>46093.0</v>
      </c>
      <c r="G1046" s="84" t="s">
        <v>2815</v>
      </c>
      <c r="H1046" s="82" t="s">
        <v>2035</v>
      </c>
      <c r="I1046" s="83">
        <v>46084.0</v>
      </c>
    </row>
    <row r="1047" ht="22.5" hidden="1" customHeight="1">
      <c r="A1047" s="81">
        <v>46084.616143506944</v>
      </c>
      <c r="B1047" s="82" t="s">
        <v>1347</v>
      </c>
      <c r="C1047" s="82" t="s">
        <v>2038</v>
      </c>
      <c r="D1047" s="82" t="s">
        <v>2036</v>
      </c>
      <c r="F1047" s="83">
        <v>46093.0</v>
      </c>
      <c r="G1047" s="84" t="s">
        <v>2816</v>
      </c>
      <c r="H1047" s="82" t="s">
        <v>2035</v>
      </c>
      <c r="I1047" s="83">
        <v>46084.0</v>
      </c>
    </row>
    <row r="1048" ht="22.5" hidden="1" customHeight="1">
      <c r="A1048" s="81">
        <v>46084.64950461806</v>
      </c>
      <c r="B1048" s="82" t="s">
        <v>1331</v>
      </c>
      <c r="C1048" s="82" t="s">
        <v>2035</v>
      </c>
      <c r="D1048" s="82" t="s">
        <v>2036</v>
      </c>
      <c r="F1048" s="83">
        <v>46112.0</v>
      </c>
      <c r="G1048" s="84" t="s">
        <v>2817</v>
      </c>
      <c r="H1048" s="82" t="s">
        <v>2035</v>
      </c>
      <c r="I1048" s="83">
        <v>46084.0</v>
      </c>
    </row>
    <row r="1049" ht="22.5" hidden="1" customHeight="1">
      <c r="A1049" s="81">
        <v>46084.65065203704</v>
      </c>
      <c r="B1049" s="82" t="s">
        <v>1317</v>
      </c>
      <c r="C1049" s="82" t="s">
        <v>2035</v>
      </c>
      <c r="D1049" s="82" t="s">
        <v>85</v>
      </c>
      <c r="H1049" s="82" t="s">
        <v>2035</v>
      </c>
      <c r="I1049" s="83">
        <v>46084.0</v>
      </c>
    </row>
    <row r="1050" ht="22.5" hidden="1" customHeight="1">
      <c r="A1050" s="81">
        <v>46084.653430624996</v>
      </c>
      <c r="B1050" s="82" t="s">
        <v>1259</v>
      </c>
      <c r="C1050" s="82" t="s">
        <v>2035</v>
      </c>
      <c r="D1050" s="82" t="s">
        <v>2034</v>
      </c>
      <c r="H1050" s="82" t="s">
        <v>2035</v>
      </c>
      <c r="I1050" s="83">
        <v>46084.0</v>
      </c>
      <c r="J1050" s="84" t="s">
        <v>2818</v>
      </c>
    </row>
    <row r="1051" ht="22.5" hidden="1" customHeight="1">
      <c r="A1051" s="81">
        <v>46084.653904293984</v>
      </c>
      <c r="B1051" s="82" t="s">
        <v>1263</v>
      </c>
      <c r="C1051" s="82" t="s">
        <v>2035</v>
      </c>
      <c r="D1051" s="82" t="s">
        <v>2034</v>
      </c>
      <c r="H1051" s="82" t="s">
        <v>2035</v>
      </c>
      <c r="I1051" s="83">
        <v>46084.0</v>
      </c>
    </row>
    <row r="1052" ht="22.5" hidden="1" customHeight="1">
      <c r="A1052" s="81">
        <v>46085.42356048611</v>
      </c>
      <c r="B1052" s="82" t="s">
        <v>1345</v>
      </c>
      <c r="C1052" s="82" t="s">
        <v>2035</v>
      </c>
      <c r="D1052" s="82" t="s">
        <v>2034</v>
      </c>
      <c r="H1052" s="82" t="s">
        <v>2035</v>
      </c>
      <c r="I1052" s="83">
        <v>46085.0</v>
      </c>
      <c r="J1052" s="84" t="s">
        <v>2819</v>
      </c>
    </row>
    <row r="1053" ht="22.5" hidden="1" customHeight="1">
      <c r="A1053" s="81">
        <v>46085.42391305555</v>
      </c>
      <c r="B1053" s="82" t="s">
        <v>1352</v>
      </c>
      <c r="C1053" s="82" t="s">
        <v>2035</v>
      </c>
      <c r="D1053" s="82" t="s">
        <v>2034</v>
      </c>
      <c r="H1053" s="82" t="s">
        <v>2035</v>
      </c>
      <c r="I1053" s="83">
        <v>46085.0</v>
      </c>
    </row>
    <row r="1054" ht="22.5" hidden="1" customHeight="1">
      <c r="A1054" s="81">
        <v>46085.430814629624</v>
      </c>
      <c r="B1054" s="82" t="s">
        <v>1206</v>
      </c>
      <c r="C1054" s="82" t="s">
        <v>2035</v>
      </c>
      <c r="D1054" s="82" t="s">
        <v>2034</v>
      </c>
      <c r="H1054" s="82" t="s">
        <v>2035</v>
      </c>
      <c r="I1054" s="83">
        <v>46064.0</v>
      </c>
      <c r="J1054" s="84" t="s">
        <v>2820</v>
      </c>
    </row>
    <row r="1055" ht="22.5" hidden="1" customHeight="1">
      <c r="A1055" s="81">
        <v>46085.43122633102</v>
      </c>
      <c r="B1055" s="82" t="s">
        <v>1209</v>
      </c>
      <c r="C1055" s="82" t="s">
        <v>2035</v>
      </c>
      <c r="D1055" s="82" t="s">
        <v>2034</v>
      </c>
      <c r="H1055" s="82" t="s">
        <v>2035</v>
      </c>
      <c r="I1055" s="83">
        <v>46064.0</v>
      </c>
      <c r="J1055" s="84" t="s">
        <v>2821</v>
      </c>
    </row>
    <row r="1056" ht="22.5" hidden="1" customHeight="1">
      <c r="A1056" s="81">
        <v>46085.602005312496</v>
      </c>
      <c r="B1056" s="82" t="s">
        <v>1362</v>
      </c>
      <c r="C1056" s="82" t="s">
        <v>2035</v>
      </c>
      <c r="D1056" s="82" t="s">
        <v>2034</v>
      </c>
      <c r="H1056" s="82" t="s">
        <v>2035</v>
      </c>
      <c r="I1056" s="83">
        <v>46085.0</v>
      </c>
      <c r="J1056" s="84" t="s">
        <v>2822</v>
      </c>
    </row>
    <row r="1057" ht="22.5" hidden="1" customHeight="1">
      <c r="A1057" s="81">
        <v>46086.41891008102</v>
      </c>
      <c r="B1057" s="82" t="s">
        <v>1359</v>
      </c>
      <c r="C1057" s="82" t="s">
        <v>2035</v>
      </c>
      <c r="D1057" s="82" t="s">
        <v>2034</v>
      </c>
      <c r="H1057" s="82" t="s">
        <v>2035</v>
      </c>
      <c r="I1057" s="83">
        <v>46086.0</v>
      </c>
      <c r="J1057" s="84" t="s">
        <v>2823</v>
      </c>
    </row>
    <row r="1058" ht="22.5" hidden="1" customHeight="1">
      <c r="A1058" s="81">
        <v>46086.41935065972</v>
      </c>
      <c r="B1058" s="82" t="s">
        <v>1364</v>
      </c>
      <c r="C1058" s="82" t="s">
        <v>2035</v>
      </c>
      <c r="D1058" s="82" t="s">
        <v>2034</v>
      </c>
      <c r="H1058" s="82" t="s">
        <v>2035</v>
      </c>
      <c r="I1058" s="83">
        <v>46086.0</v>
      </c>
    </row>
    <row r="1059" ht="22.5" hidden="1" customHeight="1">
      <c r="A1059" s="81">
        <v>46086.42015762732</v>
      </c>
      <c r="B1059" s="82" t="s">
        <v>1369</v>
      </c>
      <c r="C1059" s="82" t="s">
        <v>2035</v>
      </c>
      <c r="D1059" s="82" t="s">
        <v>2034</v>
      </c>
      <c r="H1059" s="82" t="s">
        <v>2035</v>
      </c>
      <c r="I1059" s="83">
        <v>46086.0</v>
      </c>
    </row>
    <row r="1060" ht="22.5" hidden="1" customHeight="1">
      <c r="A1060" s="81">
        <v>46086.42690016204</v>
      </c>
      <c r="B1060" s="82" t="s">
        <v>1338</v>
      </c>
      <c r="C1060" s="82" t="s">
        <v>2038</v>
      </c>
      <c r="D1060" s="82" t="s">
        <v>2036</v>
      </c>
      <c r="F1060" s="83">
        <v>46097.0</v>
      </c>
      <c r="G1060" s="84" t="s">
        <v>2824</v>
      </c>
      <c r="H1060" s="82" t="s">
        <v>2035</v>
      </c>
      <c r="I1060" s="83">
        <v>46086.0</v>
      </c>
    </row>
    <row r="1061" ht="22.5" hidden="1" customHeight="1">
      <c r="A1061" s="81">
        <v>46086.45462153935</v>
      </c>
      <c r="B1061" s="82" t="s">
        <v>1365</v>
      </c>
      <c r="C1061" s="82" t="s">
        <v>2035</v>
      </c>
      <c r="D1061" s="82" t="s">
        <v>2034</v>
      </c>
      <c r="H1061" s="82" t="s">
        <v>2035</v>
      </c>
      <c r="I1061" s="83">
        <v>46086.0</v>
      </c>
      <c r="J1061" s="84" t="s">
        <v>2825</v>
      </c>
    </row>
    <row r="1062" ht="22.5" hidden="1" customHeight="1">
      <c r="A1062" s="81">
        <v>46086.621302534724</v>
      </c>
      <c r="B1062" s="82" t="s">
        <v>1150</v>
      </c>
      <c r="C1062" s="82" t="s">
        <v>2035</v>
      </c>
      <c r="D1062" s="82" t="s">
        <v>2036</v>
      </c>
      <c r="F1062" s="83">
        <v>46097.0</v>
      </c>
      <c r="G1062" s="84" t="s">
        <v>2826</v>
      </c>
      <c r="H1062" s="82" t="s">
        <v>2035</v>
      </c>
      <c r="I1062" s="83">
        <v>46086.0</v>
      </c>
    </row>
    <row r="1063" ht="22.5" hidden="1" customHeight="1">
      <c r="A1063" s="81">
        <v>46086.62168747685</v>
      </c>
      <c r="B1063" s="82" t="s">
        <v>1153</v>
      </c>
      <c r="C1063" s="82" t="s">
        <v>2035</v>
      </c>
      <c r="D1063" s="82" t="s">
        <v>2036</v>
      </c>
      <c r="F1063" s="83">
        <v>46097.0</v>
      </c>
      <c r="G1063" s="84" t="s">
        <v>2827</v>
      </c>
      <c r="H1063" s="82" t="s">
        <v>2035</v>
      </c>
      <c r="I1063" s="83">
        <v>46086.0</v>
      </c>
    </row>
    <row r="1064" ht="22.5" hidden="1" customHeight="1">
      <c r="A1064" s="81">
        <v>46087.4080403125</v>
      </c>
      <c r="B1064" s="82" t="s">
        <v>1294</v>
      </c>
      <c r="C1064" s="82" t="s">
        <v>2038</v>
      </c>
      <c r="D1064" s="82" t="s">
        <v>2036</v>
      </c>
      <c r="F1064" s="83">
        <v>46098.0</v>
      </c>
      <c r="G1064" s="84" t="s">
        <v>2828</v>
      </c>
      <c r="H1064" s="82" t="s">
        <v>2035</v>
      </c>
      <c r="I1064" s="83">
        <v>46087.0</v>
      </c>
    </row>
    <row r="1065" ht="22.5" hidden="1" customHeight="1">
      <c r="A1065" s="81">
        <v>46087.58259013889</v>
      </c>
      <c r="B1065" s="82" t="s">
        <v>1046</v>
      </c>
      <c r="C1065" s="82" t="s">
        <v>2035</v>
      </c>
      <c r="D1065" s="82" t="s">
        <v>2034</v>
      </c>
      <c r="H1065" s="82" t="s">
        <v>2035</v>
      </c>
      <c r="I1065" s="83">
        <v>46087.0</v>
      </c>
    </row>
    <row r="1066" ht="22.5" hidden="1" customHeight="1">
      <c r="A1066" s="81">
        <v>46087.61774327546</v>
      </c>
      <c r="B1066" s="82" t="s">
        <v>1281</v>
      </c>
      <c r="C1066" s="82" t="s">
        <v>2035</v>
      </c>
      <c r="D1066" s="82" t="s">
        <v>2034</v>
      </c>
      <c r="H1066" s="82" t="s">
        <v>2035</v>
      </c>
      <c r="I1066" s="83">
        <v>46087.0</v>
      </c>
      <c r="J1066" s="84" t="s">
        <v>2829</v>
      </c>
    </row>
    <row r="1067" ht="22.5" hidden="1" customHeight="1">
      <c r="A1067" s="81">
        <v>46088.4693137963</v>
      </c>
      <c r="B1067" s="82" t="s">
        <v>1347</v>
      </c>
      <c r="C1067" s="82" t="s">
        <v>2038</v>
      </c>
      <c r="D1067" s="82" t="s">
        <v>2036</v>
      </c>
      <c r="F1067" s="83">
        <v>46097.0</v>
      </c>
      <c r="G1067" s="84" t="s">
        <v>2830</v>
      </c>
      <c r="H1067" s="82" t="s">
        <v>2035</v>
      </c>
      <c r="I1067" s="83">
        <v>46087.0</v>
      </c>
    </row>
    <row r="1068" ht="22.5" hidden="1" customHeight="1">
      <c r="A1068" s="81">
        <v>46088.47024018518</v>
      </c>
      <c r="B1068" s="82" t="s">
        <v>1356</v>
      </c>
      <c r="C1068" s="82" t="s">
        <v>2038</v>
      </c>
      <c r="D1068" s="82" t="s">
        <v>2036</v>
      </c>
      <c r="F1068" s="83">
        <v>46098.0</v>
      </c>
      <c r="G1068" s="84" t="s">
        <v>2831</v>
      </c>
      <c r="H1068" s="82" t="s">
        <v>2035</v>
      </c>
      <c r="I1068" s="83">
        <v>46088.0</v>
      </c>
    </row>
    <row r="1069" ht="22.5" hidden="1" customHeight="1">
      <c r="A1069" s="81">
        <v>46088.5705700463</v>
      </c>
      <c r="B1069" s="82" t="s">
        <v>1373</v>
      </c>
      <c r="C1069" s="82" t="s">
        <v>2035</v>
      </c>
      <c r="D1069" s="82" t="s">
        <v>85</v>
      </c>
      <c r="H1069" s="82" t="s">
        <v>2035</v>
      </c>
      <c r="I1069" s="83">
        <v>46088.0</v>
      </c>
    </row>
    <row r="1070" ht="22.5" hidden="1" customHeight="1">
      <c r="A1070" s="81">
        <v>46090.59137768518</v>
      </c>
      <c r="B1070" s="82" t="s">
        <v>715</v>
      </c>
      <c r="C1070" s="82" t="s">
        <v>2038</v>
      </c>
      <c r="D1070" s="82" t="s">
        <v>2034</v>
      </c>
      <c r="H1070" s="82" t="s">
        <v>2035</v>
      </c>
      <c r="I1070" s="83">
        <v>46090.0</v>
      </c>
      <c r="J1070" s="84" t="s">
        <v>2832</v>
      </c>
    </row>
    <row r="1071" ht="22.5" hidden="1" customHeight="1">
      <c r="A1071" s="81">
        <v>46090.60813418981</v>
      </c>
      <c r="B1071" s="82" t="s">
        <v>1298</v>
      </c>
      <c r="C1071" s="82" t="s">
        <v>2038</v>
      </c>
      <c r="D1071" s="82" t="s">
        <v>2036</v>
      </c>
      <c r="F1071" s="83">
        <v>46099.0</v>
      </c>
      <c r="G1071" s="84" t="s">
        <v>2833</v>
      </c>
      <c r="H1071" s="82" t="s">
        <v>2035</v>
      </c>
      <c r="I1071" s="83">
        <v>46090.0</v>
      </c>
    </row>
    <row r="1072" ht="22.5" hidden="1" customHeight="1">
      <c r="A1072" s="81">
        <v>46090.60987472222</v>
      </c>
      <c r="B1072" s="82" t="s">
        <v>1376</v>
      </c>
      <c r="C1072" s="82" t="s">
        <v>2035</v>
      </c>
      <c r="D1072" s="82" t="s">
        <v>2034</v>
      </c>
      <c r="H1072" s="82" t="s">
        <v>2035</v>
      </c>
      <c r="I1072" s="83">
        <v>46090.0</v>
      </c>
    </row>
    <row r="1073" ht="22.5" hidden="1" customHeight="1">
      <c r="A1073" s="81">
        <v>46090.630528043985</v>
      </c>
      <c r="B1073" s="82" t="s">
        <v>1246</v>
      </c>
      <c r="C1073" s="82" t="s">
        <v>2038</v>
      </c>
      <c r="D1073" s="82" t="s">
        <v>2034</v>
      </c>
      <c r="H1073" s="82" t="s">
        <v>2035</v>
      </c>
      <c r="I1073" s="83">
        <v>46090.0</v>
      </c>
      <c r="J1073" s="84" t="s">
        <v>2834</v>
      </c>
    </row>
    <row r="1074" ht="22.5" hidden="1" customHeight="1">
      <c r="A1074" s="81">
        <v>46090.631074791665</v>
      </c>
      <c r="B1074" s="82" t="s">
        <v>1304</v>
      </c>
      <c r="C1074" s="82" t="s">
        <v>2038</v>
      </c>
      <c r="D1074" s="82" t="s">
        <v>2034</v>
      </c>
      <c r="H1074" s="82" t="s">
        <v>2035</v>
      </c>
      <c r="I1074" s="83">
        <v>46090.0</v>
      </c>
      <c r="J1074" s="84" t="s">
        <v>2835</v>
      </c>
    </row>
    <row r="1075" ht="22.5" hidden="1" customHeight="1">
      <c r="A1075" s="81">
        <v>46091.421107268514</v>
      </c>
      <c r="B1075" s="82" t="s">
        <v>410</v>
      </c>
      <c r="C1075" s="82" t="s">
        <v>2038</v>
      </c>
      <c r="D1075" s="82" t="s">
        <v>2036</v>
      </c>
      <c r="F1075" s="83">
        <v>46100.0</v>
      </c>
      <c r="G1075" s="84" t="s">
        <v>2836</v>
      </c>
      <c r="H1075" s="82" t="s">
        <v>2035</v>
      </c>
      <c r="I1075" s="83">
        <v>46091.0</v>
      </c>
    </row>
    <row r="1076" ht="22.5" hidden="1" customHeight="1">
      <c r="A1076" s="81">
        <v>46091.42218523148</v>
      </c>
      <c r="B1076" s="82" t="s">
        <v>1374</v>
      </c>
      <c r="C1076" s="82" t="s">
        <v>2038</v>
      </c>
      <c r="D1076" s="82" t="s">
        <v>2036</v>
      </c>
      <c r="F1076" s="83">
        <v>46100.0</v>
      </c>
      <c r="G1076" s="84" t="s">
        <v>2837</v>
      </c>
      <c r="H1076" s="82" t="s">
        <v>2035</v>
      </c>
      <c r="I1076" s="83">
        <v>46091.0</v>
      </c>
    </row>
    <row r="1077" ht="22.5" hidden="1" customHeight="1">
      <c r="A1077" s="81">
        <v>46091.42266295139</v>
      </c>
      <c r="B1077" s="82" t="s">
        <v>1328</v>
      </c>
      <c r="C1077" s="82" t="s">
        <v>2038</v>
      </c>
      <c r="D1077" s="82" t="s">
        <v>2036</v>
      </c>
      <c r="F1077" s="83">
        <v>46100.0</v>
      </c>
      <c r="G1077" s="84" t="s">
        <v>2838</v>
      </c>
      <c r="H1077" s="82" t="s">
        <v>2035</v>
      </c>
      <c r="I1077" s="83">
        <v>46091.0</v>
      </c>
    </row>
    <row r="1078" ht="22.5" hidden="1" customHeight="1">
      <c r="A1078" s="81">
        <v>46091.43596398148</v>
      </c>
      <c r="B1078" s="82" t="s">
        <v>1381</v>
      </c>
      <c r="C1078" s="82" t="s">
        <v>2035</v>
      </c>
      <c r="D1078" s="82" t="s">
        <v>2034</v>
      </c>
      <c r="H1078" s="82" t="s">
        <v>2035</v>
      </c>
      <c r="I1078" s="83">
        <v>46091.0</v>
      </c>
    </row>
    <row r="1079" ht="22.5" hidden="1" customHeight="1">
      <c r="A1079" s="81">
        <v>46091.69179791667</v>
      </c>
      <c r="B1079" s="82" t="s">
        <v>1382</v>
      </c>
      <c r="C1079" s="82" t="s">
        <v>2035</v>
      </c>
      <c r="D1079" s="82" t="s">
        <v>2034</v>
      </c>
      <c r="H1079" s="82" t="s">
        <v>2035</v>
      </c>
      <c r="I1079" s="83">
        <v>46091.0</v>
      </c>
      <c r="J1079" s="84" t="s">
        <v>2839</v>
      </c>
    </row>
    <row r="1080" ht="22.5" hidden="1" customHeight="1">
      <c r="A1080" s="81">
        <v>46091.69284366898</v>
      </c>
      <c r="B1080" s="82" t="s">
        <v>1384</v>
      </c>
      <c r="C1080" s="82" t="s">
        <v>2035</v>
      </c>
      <c r="D1080" s="82" t="s">
        <v>2034</v>
      </c>
      <c r="H1080" s="82" t="s">
        <v>2035</v>
      </c>
      <c r="I1080" s="83">
        <v>46091.0</v>
      </c>
      <c r="J1080" s="84" t="s">
        <v>2840</v>
      </c>
    </row>
    <row r="1081" ht="22.5" hidden="1" customHeight="1">
      <c r="A1081" s="81">
        <v>46091.69310896991</v>
      </c>
      <c r="B1081" s="82" t="s">
        <v>1385</v>
      </c>
      <c r="C1081" s="82" t="s">
        <v>2035</v>
      </c>
      <c r="D1081" s="82" t="s">
        <v>2034</v>
      </c>
      <c r="H1081" s="82" t="s">
        <v>2035</v>
      </c>
      <c r="I1081" s="83">
        <v>46091.0</v>
      </c>
    </row>
    <row r="1082" ht="22.5" hidden="1" customHeight="1">
      <c r="A1082" s="81">
        <v>46091.69361277777</v>
      </c>
      <c r="B1082" s="82" t="s">
        <v>1389</v>
      </c>
      <c r="C1082" s="82" t="s">
        <v>2035</v>
      </c>
      <c r="D1082" s="82" t="s">
        <v>2034</v>
      </c>
      <c r="H1082" s="82" t="s">
        <v>2035</v>
      </c>
      <c r="I1082" s="83">
        <v>46091.0</v>
      </c>
    </row>
    <row r="1083" ht="22.5" hidden="1" customHeight="1">
      <c r="A1083" s="81">
        <v>46092.56841489583</v>
      </c>
      <c r="B1083" s="82" t="s">
        <v>1057</v>
      </c>
      <c r="C1083" s="82" t="s">
        <v>2038</v>
      </c>
      <c r="D1083" s="82" t="s">
        <v>2036</v>
      </c>
      <c r="F1083" s="83">
        <v>46101.0</v>
      </c>
      <c r="G1083" s="84" t="s">
        <v>2841</v>
      </c>
      <c r="H1083" s="82" t="s">
        <v>2035</v>
      </c>
      <c r="I1083" s="83">
        <v>46092.0</v>
      </c>
    </row>
    <row r="1084" ht="22.5" hidden="1" customHeight="1">
      <c r="A1084" s="81">
        <v>46092.582400914354</v>
      </c>
      <c r="B1084" s="82" t="s">
        <v>1377</v>
      </c>
      <c r="C1084" s="82" t="s">
        <v>2035</v>
      </c>
      <c r="D1084" s="82" t="s">
        <v>2034</v>
      </c>
      <c r="H1084" s="82" t="s">
        <v>2035</v>
      </c>
      <c r="I1084" s="83">
        <v>46092.0</v>
      </c>
      <c r="J1084" s="84" t="s">
        <v>2842</v>
      </c>
    </row>
    <row r="1085" ht="22.5" hidden="1" customHeight="1">
      <c r="A1085" s="81">
        <v>46093.393557523144</v>
      </c>
      <c r="B1085" s="82" t="s">
        <v>1150</v>
      </c>
      <c r="C1085" s="82" t="s">
        <v>2038</v>
      </c>
      <c r="D1085" s="82" t="s">
        <v>2034</v>
      </c>
      <c r="H1085" s="82" t="s">
        <v>2035</v>
      </c>
      <c r="I1085" s="83">
        <v>46093.0</v>
      </c>
      <c r="J1085" s="84" t="s">
        <v>2843</v>
      </c>
    </row>
    <row r="1086" ht="22.5" hidden="1" customHeight="1">
      <c r="A1086" s="81">
        <v>46093.393913657404</v>
      </c>
      <c r="B1086" s="82" t="s">
        <v>1153</v>
      </c>
      <c r="C1086" s="82" t="s">
        <v>2038</v>
      </c>
      <c r="D1086" s="82" t="s">
        <v>2034</v>
      </c>
      <c r="H1086" s="82" t="s">
        <v>2035</v>
      </c>
      <c r="I1086" s="83">
        <v>46093.0</v>
      </c>
      <c r="J1086" s="84" t="s">
        <v>2844</v>
      </c>
    </row>
    <row r="1087" ht="22.5" hidden="1" customHeight="1">
      <c r="A1087" s="81">
        <v>46093.596509560186</v>
      </c>
      <c r="B1087" s="82" t="s">
        <v>1370</v>
      </c>
      <c r="C1087" s="82" t="s">
        <v>2038</v>
      </c>
      <c r="D1087" s="82" t="s">
        <v>2036</v>
      </c>
      <c r="F1087" s="83">
        <v>46104.0</v>
      </c>
      <c r="G1087" s="84" t="s">
        <v>2845</v>
      </c>
      <c r="H1087" s="82" t="s">
        <v>2035</v>
      </c>
      <c r="I1087" s="83">
        <v>46093.0</v>
      </c>
    </row>
    <row r="1088" ht="22.5" hidden="1" customHeight="1">
      <c r="A1088" s="81">
        <v>46094.496622025465</v>
      </c>
      <c r="B1088" s="82" t="s">
        <v>1068</v>
      </c>
      <c r="C1088" s="82" t="s">
        <v>2038</v>
      </c>
      <c r="D1088" s="82" t="s">
        <v>2036</v>
      </c>
      <c r="F1088" s="83">
        <v>46105.0</v>
      </c>
      <c r="G1088" s="84" t="s">
        <v>2846</v>
      </c>
      <c r="H1088" s="82" t="s">
        <v>2035</v>
      </c>
      <c r="I1088" s="83">
        <v>46094.0</v>
      </c>
    </row>
    <row r="1089" ht="22.5" hidden="1" customHeight="1">
      <c r="A1089" s="81">
        <v>46094.49946</v>
      </c>
      <c r="B1089" s="82" t="s">
        <v>981</v>
      </c>
      <c r="C1089" s="82" t="s">
        <v>2038</v>
      </c>
      <c r="D1089" s="82" t="s">
        <v>2036</v>
      </c>
      <c r="F1089" s="83">
        <v>46105.0</v>
      </c>
      <c r="G1089" s="84" t="s">
        <v>2847</v>
      </c>
      <c r="H1089" s="82" t="s">
        <v>2035</v>
      </c>
      <c r="I1089" s="83">
        <v>46094.0</v>
      </c>
    </row>
    <row r="1090" ht="22.5" hidden="1" customHeight="1">
      <c r="A1090" s="81">
        <v>46094.65292246528</v>
      </c>
      <c r="B1090" s="82" t="s">
        <v>1405</v>
      </c>
      <c r="C1090" s="82" t="s">
        <v>2035</v>
      </c>
      <c r="D1090" s="82" t="s">
        <v>2034</v>
      </c>
      <c r="H1090" s="82" t="s">
        <v>2035</v>
      </c>
      <c r="I1090" s="83">
        <v>46094.0</v>
      </c>
    </row>
    <row r="1091" ht="22.5" hidden="1" customHeight="1">
      <c r="A1091" s="81">
        <v>46094.65769357639</v>
      </c>
      <c r="B1091" s="82" t="s">
        <v>1390</v>
      </c>
      <c r="C1091" s="82" t="s">
        <v>2038</v>
      </c>
      <c r="D1091" s="82" t="s">
        <v>2036</v>
      </c>
      <c r="F1091" s="83">
        <v>46106.0</v>
      </c>
      <c r="G1091" s="84" t="s">
        <v>2848</v>
      </c>
      <c r="H1091" s="82" t="s">
        <v>2035</v>
      </c>
      <c r="I1091" s="83">
        <v>46094.0</v>
      </c>
    </row>
    <row r="1092" ht="22.5" hidden="1" customHeight="1">
      <c r="A1092" s="81">
        <v>46094.65882490741</v>
      </c>
      <c r="B1092" s="82" t="s">
        <v>1288</v>
      </c>
      <c r="C1092" s="82" t="s">
        <v>2035</v>
      </c>
      <c r="D1092" s="82" t="s">
        <v>2036</v>
      </c>
      <c r="F1092" s="83">
        <v>46105.0</v>
      </c>
      <c r="G1092" s="84" t="s">
        <v>2849</v>
      </c>
      <c r="H1092" s="82" t="s">
        <v>2035</v>
      </c>
      <c r="I1092" s="83">
        <v>46094.0</v>
      </c>
    </row>
    <row r="1093" ht="22.5" hidden="1" customHeight="1">
      <c r="A1093" s="81">
        <v>46097.4336399537</v>
      </c>
      <c r="B1093" s="82" t="s">
        <v>1411</v>
      </c>
      <c r="C1093" s="82" t="s">
        <v>2038</v>
      </c>
      <c r="D1093" s="82" t="s">
        <v>2036</v>
      </c>
      <c r="F1093" s="83">
        <v>46106.0</v>
      </c>
      <c r="G1093" s="84" t="s">
        <v>2850</v>
      </c>
      <c r="H1093" s="82" t="s">
        <v>2035</v>
      </c>
      <c r="I1093" s="83">
        <v>46095.0</v>
      </c>
    </row>
    <row r="1094" ht="22.5" hidden="1" customHeight="1">
      <c r="A1094" s="81">
        <v>46097.43484458333</v>
      </c>
      <c r="B1094" s="82" t="s">
        <v>1406</v>
      </c>
      <c r="C1094" s="82" t="s">
        <v>2038</v>
      </c>
      <c r="D1094" s="82" t="s">
        <v>2036</v>
      </c>
      <c r="F1094" s="83">
        <v>46106.0</v>
      </c>
      <c r="G1094" s="84" t="s">
        <v>2851</v>
      </c>
      <c r="H1094" s="82" t="s">
        <v>2035</v>
      </c>
      <c r="I1094" s="83">
        <v>46097.0</v>
      </c>
    </row>
    <row r="1095" ht="22.5" hidden="1" customHeight="1">
      <c r="A1095" s="81">
        <v>46097.43524695602</v>
      </c>
      <c r="B1095" s="82" t="s">
        <v>1408</v>
      </c>
      <c r="C1095" s="82" t="s">
        <v>2038</v>
      </c>
      <c r="D1095" s="82" t="s">
        <v>2036</v>
      </c>
      <c r="F1095" s="83">
        <v>46106.0</v>
      </c>
      <c r="G1095" s="84" t="s">
        <v>2852</v>
      </c>
      <c r="H1095" s="82" t="s">
        <v>2035</v>
      </c>
      <c r="I1095" s="83">
        <v>46097.0</v>
      </c>
    </row>
    <row r="1096" ht="22.5" hidden="1" customHeight="1">
      <c r="A1096" s="81">
        <v>46097.43560924768</v>
      </c>
      <c r="B1096" s="82" t="s">
        <v>1338</v>
      </c>
      <c r="C1096" s="82" t="s">
        <v>2038</v>
      </c>
      <c r="D1096" s="82" t="s">
        <v>2036</v>
      </c>
      <c r="F1096" s="83">
        <v>46106.0</v>
      </c>
      <c r="G1096" s="84" t="s">
        <v>2853</v>
      </c>
      <c r="H1096" s="82" t="s">
        <v>2035</v>
      </c>
      <c r="I1096" s="83">
        <v>46097.0</v>
      </c>
    </row>
    <row r="1097" ht="22.5" hidden="1" customHeight="1">
      <c r="A1097" s="81">
        <v>46097.635001006944</v>
      </c>
      <c r="B1097" s="82" t="s">
        <v>1294</v>
      </c>
      <c r="C1097" s="82" t="s">
        <v>2038</v>
      </c>
      <c r="D1097" s="82" t="s">
        <v>2034</v>
      </c>
      <c r="H1097" s="82" t="s">
        <v>2035</v>
      </c>
      <c r="I1097" s="83">
        <v>46097.0</v>
      </c>
      <c r="J1097" s="84" t="s">
        <v>2854</v>
      </c>
    </row>
    <row r="1098" ht="22.5" hidden="1" customHeight="1">
      <c r="A1098" s="81">
        <v>46097.635340567125</v>
      </c>
      <c r="B1098" s="82" t="s">
        <v>1328</v>
      </c>
      <c r="C1098" s="82" t="s">
        <v>2038</v>
      </c>
      <c r="D1098" s="82" t="s">
        <v>2034</v>
      </c>
      <c r="H1098" s="82" t="s">
        <v>2035</v>
      </c>
      <c r="I1098" s="83">
        <v>46097.0</v>
      </c>
      <c r="J1098" s="84" t="s">
        <v>2855</v>
      </c>
    </row>
    <row r="1099" ht="22.5" hidden="1" customHeight="1">
      <c r="A1099" s="81">
        <v>46098.49982858796</v>
      </c>
      <c r="B1099" s="82" t="s">
        <v>1228</v>
      </c>
      <c r="C1099" s="82" t="s">
        <v>2038</v>
      </c>
      <c r="D1099" s="82" t="s">
        <v>2036</v>
      </c>
      <c r="F1099" s="83">
        <v>46107.0</v>
      </c>
      <c r="G1099" s="84" t="s">
        <v>2856</v>
      </c>
      <c r="H1099" s="82" t="s">
        <v>2035</v>
      </c>
      <c r="I1099" s="83">
        <v>46098.0</v>
      </c>
    </row>
    <row r="1100" ht="22.5" hidden="1" customHeight="1">
      <c r="A1100" s="81">
        <v>46098.50023391204</v>
      </c>
      <c r="B1100" s="82" t="s">
        <v>1240</v>
      </c>
      <c r="C1100" s="82" t="s">
        <v>2038</v>
      </c>
      <c r="D1100" s="82" t="s">
        <v>2036</v>
      </c>
      <c r="F1100" s="83">
        <v>46107.0</v>
      </c>
      <c r="G1100" s="84" t="s">
        <v>2857</v>
      </c>
      <c r="H1100" s="82" t="s">
        <v>2035</v>
      </c>
      <c r="I1100" s="83">
        <v>46098.0</v>
      </c>
    </row>
    <row r="1101" ht="22.5" hidden="1" customHeight="1">
      <c r="A1101" s="81">
        <v>46098.6310565162</v>
      </c>
      <c r="B1101" s="82" t="s">
        <v>1335</v>
      </c>
      <c r="C1101" s="82" t="s">
        <v>2035</v>
      </c>
      <c r="D1101" s="82" t="s">
        <v>2036</v>
      </c>
      <c r="F1101" s="83">
        <v>46108.0</v>
      </c>
      <c r="G1101" s="84" t="s">
        <v>2858</v>
      </c>
      <c r="H1101" s="82" t="s">
        <v>2035</v>
      </c>
      <c r="I1101" s="83">
        <v>46098.0</v>
      </c>
    </row>
    <row r="1102" ht="22.5" hidden="1" customHeight="1">
      <c r="A1102" s="81">
        <v>46099.41733010417</v>
      </c>
      <c r="B1102" s="82" t="s">
        <v>1424</v>
      </c>
      <c r="C1102" s="82" t="s">
        <v>2035</v>
      </c>
      <c r="D1102" s="82" t="s">
        <v>2034</v>
      </c>
      <c r="H1102" s="82" t="s">
        <v>2035</v>
      </c>
      <c r="I1102" s="83">
        <v>46099.0</v>
      </c>
    </row>
    <row r="1103" ht="22.5" hidden="1" customHeight="1">
      <c r="A1103" s="81">
        <v>46099.417613067126</v>
      </c>
      <c r="B1103" s="82" t="s">
        <v>1428</v>
      </c>
      <c r="C1103" s="82" t="s">
        <v>2035</v>
      </c>
      <c r="D1103" s="82" t="s">
        <v>2034</v>
      </c>
      <c r="H1103" s="82" t="s">
        <v>2035</v>
      </c>
      <c r="I1103" s="83">
        <v>46099.0</v>
      </c>
    </row>
    <row r="1104" ht="22.5" hidden="1" customHeight="1">
      <c r="A1104" s="81">
        <v>46099.48248918982</v>
      </c>
      <c r="B1104" s="82" t="s">
        <v>1413</v>
      </c>
      <c r="C1104" s="82" t="s">
        <v>2038</v>
      </c>
      <c r="D1104" s="82" t="s">
        <v>2036</v>
      </c>
      <c r="F1104" s="83">
        <v>46108.0</v>
      </c>
      <c r="G1104" s="84" t="s">
        <v>2859</v>
      </c>
      <c r="H1104" s="82" t="s">
        <v>2035</v>
      </c>
      <c r="I1104" s="83">
        <v>46099.0</v>
      </c>
    </row>
    <row r="1105" ht="22.5" hidden="1" customHeight="1">
      <c r="A1105" s="81">
        <v>46099.48288414352</v>
      </c>
      <c r="B1105" s="82" t="s">
        <v>1394</v>
      </c>
      <c r="C1105" s="82" t="s">
        <v>2038</v>
      </c>
      <c r="D1105" s="82" t="s">
        <v>2036</v>
      </c>
      <c r="F1105" s="83">
        <v>46108.0</v>
      </c>
      <c r="G1105" s="84" t="s">
        <v>2860</v>
      </c>
      <c r="H1105" s="82" t="s">
        <v>2035</v>
      </c>
      <c r="I1105" s="83">
        <v>46099.0</v>
      </c>
    </row>
    <row r="1106" ht="22.5" hidden="1" customHeight="1">
      <c r="A1106" s="81">
        <v>46099.488962222225</v>
      </c>
      <c r="B1106" s="82" t="s">
        <v>1298</v>
      </c>
      <c r="C1106" s="82" t="s">
        <v>2038</v>
      </c>
      <c r="D1106" s="82" t="s">
        <v>2034</v>
      </c>
      <c r="H1106" s="82" t="s">
        <v>2035</v>
      </c>
      <c r="I1106" s="83">
        <v>46099.0</v>
      </c>
      <c r="J1106" s="84" t="s">
        <v>2861</v>
      </c>
    </row>
    <row r="1107" ht="22.5" hidden="1" customHeight="1">
      <c r="A1107" s="81">
        <v>46099.49218850695</v>
      </c>
      <c r="B1107" s="82" t="s">
        <v>1431</v>
      </c>
      <c r="C1107" s="82" t="s">
        <v>2035</v>
      </c>
      <c r="D1107" s="82" t="s">
        <v>2034</v>
      </c>
      <c r="H1107" s="82" t="s">
        <v>2035</v>
      </c>
      <c r="I1107" s="83">
        <v>46099.0</v>
      </c>
      <c r="J1107" s="84" t="s">
        <v>2862</v>
      </c>
    </row>
    <row r="1108" ht="22.5" hidden="1" customHeight="1">
      <c r="A1108" s="81">
        <v>46099.57150869213</v>
      </c>
      <c r="B1108" s="82" t="s">
        <v>1396</v>
      </c>
      <c r="C1108" s="82" t="s">
        <v>2035</v>
      </c>
      <c r="D1108" s="82" t="s">
        <v>2034</v>
      </c>
      <c r="H1108" s="82" t="s">
        <v>2035</v>
      </c>
      <c r="I1108" s="83">
        <v>46099.0</v>
      </c>
      <c r="J1108" s="84" t="s">
        <v>2863</v>
      </c>
    </row>
    <row r="1109" ht="22.5" hidden="1" customHeight="1">
      <c r="A1109" s="81">
        <v>46099.62429608796</v>
      </c>
      <c r="B1109" s="82" t="s">
        <v>1350</v>
      </c>
      <c r="C1109" s="82" t="s">
        <v>2038</v>
      </c>
      <c r="D1109" s="82" t="s">
        <v>2036</v>
      </c>
      <c r="F1109" s="83">
        <v>46108.0</v>
      </c>
      <c r="G1109" s="84" t="s">
        <v>2864</v>
      </c>
      <c r="H1109" s="82" t="s">
        <v>2035</v>
      </c>
      <c r="I1109" s="83">
        <v>46099.0</v>
      </c>
    </row>
    <row r="1110" ht="22.5" hidden="1" customHeight="1">
      <c r="A1110" s="81">
        <v>46099.6260271875</v>
      </c>
      <c r="B1110" s="82" t="s">
        <v>1057</v>
      </c>
      <c r="C1110" s="82" t="s">
        <v>2038</v>
      </c>
      <c r="D1110" s="82" t="s">
        <v>2036</v>
      </c>
      <c r="F1110" s="83">
        <v>46108.0</v>
      </c>
      <c r="G1110" s="84" t="s">
        <v>2865</v>
      </c>
      <c r="H1110" s="82" t="s">
        <v>2035</v>
      </c>
      <c r="I1110" s="83">
        <v>46099.0</v>
      </c>
    </row>
    <row r="1111" ht="22.5" hidden="1" customHeight="1">
      <c r="A1111" s="81">
        <v>46100.48281605324</v>
      </c>
      <c r="B1111" s="82" t="s">
        <v>1234</v>
      </c>
      <c r="C1111" s="82" t="s">
        <v>2038</v>
      </c>
      <c r="D1111" s="82" t="s">
        <v>2036</v>
      </c>
      <c r="F1111" s="83">
        <v>46111.0</v>
      </c>
      <c r="G1111" s="84" t="s">
        <v>2866</v>
      </c>
      <c r="H1111" s="82" t="s">
        <v>2035</v>
      </c>
      <c r="I1111" s="83">
        <v>46100.0</v>
      </c>
    </row>
    <row r="1112" ht="22.5" hidden="1" customHeight="1">
      <c r="A1112" s="81">
        <v>46100.483164108795</v>
      </c>
      <c r="B1112" s="82" t="s">
        <v>1432</v>
      </c>
      <c r="C1112" s="82" t="s">
        <v>2035</v>
      </c>
      <c r="D1112" s="82" t="s">
        <v>2034</v>
      </c>
      <c r="H1112" s="82" t="s">
        <v>2035</v>
      </c>
      <c r="I1112" s="83">
        <v>46100.0</v>
      </c>
    </row>
    <row r="1113" ht="22.5" hidden="1" customHeight="1">
      <c r="A1113" s="81">
        <v>46100.48338597223</v>
      </c>
      <c r="B1113" s="82" t="s">
        <v>1433</v>
      </c>
      <c r="C1113" s="82" t="s">
        <v>2035</v>
      </c>
      <c r="D1113" s="82" t="s">
        <v>2034</v>
      </c>
      <c r="H1113" s="82" t="s">
        <v>2035</v>
      </c>
      <c r="I1113" s="83">
        <v>46100.0</v>
      </c>
    </row>
    <row r="1114" ht="22.5" hidden="1" customHeight="1">
      <c r="A1114" s="81">
        <v>46100.48876826389</v>
      </c>
      <c r="B1114" s="82" t="s">
        <v>1386</v>
      </c>
      <c r="C1114" s="82" t="s">
        <v>2035</v>
      </c>
      <c r="D1114" s="82" t="s">
        <v>2034</v>
      </c>
      <c r="H1114" s="82" t="s">
        <v>2035</v>
      </c>
      <c r="I1114" s="83">
        <v>46100.0</v>
      </c>
      <c r="J1114" s="84" t="s">
        <v>2867</v>
      </c>
    </row>
    <row r="1115" ht="22.5" hidden="1" customHeight="1">
      <c r="A1115" s="81">
        <v>46100.67657722222</v>
      </c>
      <c r="B1115" s="82" t="s">
        <v>1374</v>
      </c>
      <c r="C1115" s="82" t="s">
        <v>2038</v>
      </c>
      <c r="D1115" s="82" t="s">
        <v>2036</v>
      </c>
      <c r="F1115" s="83">
        <v>46112.0</v>
      </c>
      <c r="G1115" s="84" t="s">
        <v>2868</v>
      </c>
      <c r="H1115" s="82" t="s">
        <v>2035</v>
      </c>
      <c r="I1115" s="83">
        <v>46100.0</v>
      </c>
    </row>
    <row r="1116" ht="22.5" hidden="1" customHeight="1">
      <c r="A1116" s="81">
        <v>46101.42502736111</v>
      </c>
      <c r="B1116" s="82" t="s">
        <v>1449</v>
      </c>
      <c r="C1116" s="82" t="s">
        <v>2035</v>
      </c>
      <c r="D1116" s="82" t="s">
        <v>2034</v>
      </c>
      <c r="H1116" s="82" t="s">
        <v>2035</v>
      </c>
      <c r="I1116" s="83">
        <v>46101.0</v>
      </c>
    </row>
    <row r="1117" ht="22.5" hidden="1" customHeight="1">
      <c r="A1117" s="81">
        <v>46101.55995564815</v>
      </c>
      <c r="B1117" s="82" t="s">
        <v>1370</v>
      </c>
      <c r="C1117" s="82" t="s">
        <v>2038</v>
      </c>
      <c r="D1117" s="82" t="s">
        <v>2034</v>
      </c>
      <c r="H1117" s="82" t="s">
        <v>2035</v>
      </c>
      <c r="I1117" s="83">
        <v>46101.0</v>
      </c>
      <c r="J1117" s="84" t="s">
        <v>2869</v>
      </c>
    </row>
    <row r="1118" ht="22.5" hidden="1" customHeight="1">
      <c r="A1118" s="81">
        <v>46101.59362273148</v>
      </c>
      <c r="B1118" s="82" t="s">
        <v>1418</v>
      </c>
      <c r="C1118" s="82" t="s">
        <v>2035</v>
      </c>
      <c r="D1118" s="82" t="s">
        <v>2034</v>
      </c>
      <c r="H1118" s="82" t="s">
        <v>2035</v>
      </c>
      <c r="I1118" s="83">
        <v>46101.0</v>
      </c>
      <c r="J1118" s="84" t="s">
        <v>2870</v>
      </c>
    </row>
    <row r="1119" ht="22.5" hidden="1" customHeight="1">
      <c r="A1119" s="81">
        <v>46101.660344386575</v>
      </c>
      <c r="B1119" s="82" t="s">
        <v>1338</v>
      </c>
      <c r="C1119" s="82" t="s">
        <v>2038</v>
      </c>
      <c r="D1119" s="82" t="s">
        <v>2036</v>
      </c>
      <c r="F1119" s="83">
        <v>46113.0</v>
      </c>
      <c r="G1119" s="84" t="s">
        <v>2871</v>
      </c>
      <c r="H1119" s="82" t="s">
        <v>2035</v>
      </c>
      <c r="I1119" s="83">
        <v>46101.0</v>
      </c>
    </row>
    <row r="1120" ht="22.5" hidden="1" customHeight="1">
      <c r="A1120" s="81">
        <v>46104.588800937505</v>
      </c>
      <c r="B1120" s="82" t="s">
        <v>1453</v>
      </c>
      <c r="C1120" s="82" t="s">
        <v>2035</v>
      </c>
      <c r="D1120" s="82" t="s">
        <v>2034</v>
      </c>
      <c r="H1120" s="82" t="s">
        <v>2035</v>
      </c>
      <c r="I1120" s="83">
        <v>46104.0</v>
      </c>
    </row>
    <row r="1121" ht="22.5" hidden="1" customHeight="1">
      <c r="A1121" s="81">
        <v>46104.590365173615</v>
      </c>
      <c r="B1121" s="82" t="s">
        <v>1440</v>
      </c>
      <c r="C1121" s="82" t="s">
        <v>2038</v>
      </c>
      <c r="D1121" s="82" t="s">
        <v>2036</v>
      </c>
      <c r="F1121" s="83">
        <v>46113.0</v>
      </c>
      <c r="G1121" s="84" t="s">
        <v>2872</v>
      </c>
      <c r="H1121" s="82" t="s">
        <v>2035</v>
      </c>
      <c r="I1121" s="83">
        <v>46102.0</v>
      </c>
    </row>
    <row r="1122" ht="22.5" hidden="1" customHeight="1">
      <c r="A1122" s="81">
        <v>46104.70587974537</v>
      </c>
      <c r="B1122" s="82" t="s">
        <v>1356</v>
      </c>
      <c r="C1122" s="82" t="s">
        <v>2038</v>
      </c>
      <c r="D1122" s="82" t="s">
        <v>2036</v>
      </c>
      <c r="F1122" s="83">
        <v>46113.0</v>
      </c>
      <c r="G1122" s="84" t="s">
        <v>2873</v>
      </c>
      <c r="H1122" s="82" t="s">
        <v>2035</v>
      </c>
      <c r="I1122" s="83">
        <v>46104.0</v>
      </c>
    </row>
    <row r="1123" ht="22.5" hidden="1" customHeight="1">
      <c r="A1123" s="81">
        <v>46105.73306047454</v>
      </c>
      <c r="B1123" s="82" t="s">
        <v>1467</v>
      </c>
      <c r="C1123" s="82" t="s">
        <v>2035</v>
      </c>
      <c r="D1123" s="82" t="s">
        <v>2034</v>
      </c>
      <c r="H1123" s="82" t="s">
        <v>2035</v>
      </c>
      <c r="I1123" s="83">
        <v>46105.0</v>
      </c>
    </row>
    <row r="1124" ht="22.5" hidden="1" customHeight="1">
      <c r="A1124" s="81">
        <v>46105.73334460648</v>
      </c>
      <c r="B1124" s="82" t="s">
        <v>1473</v>
      </c>
      <c r="C1124" s="82" t="s">
        <v>2035</v>
      </c>
      <c r="D1124" s="82" t="s">
        <v>2034</v>
      </c>
      <c r="H1124" s="82" t="s">
        <v>2035</v>
      </c>
      <c r="I1124" s="83">
        <v>46105.0</v>
      </c>
    </row>
    <row r="1125" ht="22.5" hidden="1" customHeight="1">
      <c r="A1125" s="81">
        <v>46106.40894695601</v>
      </c>
      <c r="B1125" s="82" t="s">
        <v>1228</v>
      </c>
      <c r="C1125" s="82" t="s">
        <v>2038</v>
      </c>
      <c r="D1125" s="82" t="s">
        <v>2034</v>
      </c>
      <c r="H1125" s="82" t="s">
        <v>2035</v>
      </c>
      <c r="I1125" s="83">
        <v>46106.0</v>
      </c>
      <c r="J1125" s="84" t="s">
        <v>2874</v>
      </c>
    </row>
    <row r="1126" ht="22.5" hidden="1" customHeight="1">
      <c r="A1126" s="81">
        <v>46106.40970434027</v>
      </c>
      <c r="B1126" s="82" t="s">
        <v>1240</v>
      </c>
      <c r="C1126" s="82" t="s">
        <v>2038</v>
      </c>
      <c r="D1126" s="82" t="s">
        <v>2036</v>
      </c>
      <c r="F1126" s="83">
        <v>46115.0</v>
      </c>
      <c r="G1126" s="84" t="s">
        <v>2875</v>
      </c>
      <c r="H1126" s="82" t="s">
        <v>2035</v>
      </c>
      <c r="I1126" s="83">
        <v>46106.0</v>
      </c>
    </row>
    <row r="1127" ht="22.5" hidden="1" customHeight="1">
      <c r="A1127" s="81">
        <v>46106.41024041666</v>
      </c>
      <c r="B1127" s="82" t="s">
        <v>1411</v>
      </c>
      <c r="C1127" s="82" t="s">
        <v>2038</v>
      </c>
      <c r="D1127" s="82" t="s">
        <v>2036</v>
      </c>
      <c r="F1127" s="83">
        <v>46115.0</v>
      </c>
      <c r="G1127" s="84" t="s">
        <v>2876</v>
      </c>
      <c r="H1127" s="82" t="s">
        <v>2035</v>
      </c>
      <c r="I1127" s="83">
        <v>46106.0</v>
      </c>
    </row>
    <row r="1128" ht="22.5" hidden="1" customHeight="1">
      <c r="A1128" s="81">
        <v>46106.410666006945</v>
      </c>
      <c r="B1128" s="82" t="s">
        <v>1458</v>
      </c>
      <c r="C1128" s="82" t="s">
        <v>2038</v>
      </c>
      <c r="D1128" s="82" t="s">
        <v>2036</v>
      </c>
      <c r="F1128" s="83">
        <v>46115.0</v>
      </c>
      <c r="G1128" s="84" t="s">
        <v>2877</v>
      </c>
      <c r="H1128" s="82" t="s">
        <v>2035</v>
      </c>
      <c r="I1128" s="83">
        <v>46106.0</v>
      </c>
    </row>
    <row r="1129" ht="22.5" hidden="1" customHeight="1">
      <c r="A1129" s="81">
        <v>46106.41252721065</v>
      </c>
      <c r="B1129" s="82" t="s">
        <v>1442</v>
      </c>
      <c r="C1129" s="82" t="s">
        <v>2035</v>
      </c>
      <c r="D1129" s="82" t="s">
        <v>2034</v>
      </c>
      <c r="H1129" s="82" t="s">
        <v>2035</v>
      </c>
      <c r="I1129" s="83">
        <v>46105.0</v>
      </c>
    </row>
    <row r="1130" ht="22.5" hidden="1" customHeight="1">
      <c r="A1130" s="81">
        <v>46106.51711472222</v>
      </c>
      <c r="B1130" s="82" t="s">
        <v>1476</v>
      </c>
      <c r="C1130" s="82" t="s">
        <v>2035</v>
      </c>
      <c r="D1130" s="82" t="s">
        <v>2034</v>
      </c>
      <c r="H1130" s="82" t="s">
        <v>2035</v>
      </c>
      <c r="I1130" s="83">
        <v>46106.0</v>
      </c>
    </row>
    <row r="1131" ht="22.5" hidden="1" customHeight="1">
      <c r="A1131" s="81">
        <v>46106.517405694445</v>
      </c>
      <c r="B1131" s="82" t="s">
        <v>1477</v>
      </c>
      <c r="C1131" s="82" t="s">
        <v>2035</v>
      </c>
      <c r="D1131" s="82" t="s">
        <v>2034</v>
      </c>
      <c r="H1131" s="82" t="s">
        <v>2035</v>
      </c>
      <c r="I1131" s="83">
        <v>46106.0</v>
      </c>
    </row>
    <row r="1132" ht="22.5" hidden="1" customHeight="1">
      <c r="A1132" s="81">
        <v>46106.64626594908</v>
      </c>
      <c r="B1132" s="82" t="s">
        <v>1374</v>
      </c>
      <c r="C1132" s="82" t="s">
        <v>2038</v>
      </c>
      <c r="D1132" s="82" t="s">
        <v>2034</v>
      </c>
      <c r="H1132" s="82" t="s">
        <v>2035</v>
      </c>
      <c r="I1132" s="83">
        <v>46106.0</v>
      </c>
      <c r="J1132" s="84" t="s">
        <v>2878</v>
      </c>
    </row>
    <row r="1133" ht="22.5" hidden="1" customHeight="1">
      <c r="A1133" s="81">
        <v>46106.64881597222</v>
      </c>
      <c r="B1133" s="82" t="s">
        <v>1390</v>
      </c>
      <c r="C1133" s="82" t="s">
        <v>2038</v>
      </c>
      <c r="D1133" s="82" t="s">
        <v>2036</v>
      </c>
      <c r="F1133" s="83">
        <v>46116.0</v>
      </c>
      <c r="G1133" s="84" t="s">
        <v>2879</v>
      </c>
      <c r="H1133" s="82" t="s">
        <v>2035</v>
      </c>
      <c r="I1133" s="83">
        <v>46106.0</v>
      </c>
    </row>
    <row r="1134" ht="22.5" hidden="1" customHeight="1">
      <c r="A1134" s="81">
        <v>46106.65007719907</v>
      </c>
      <c r="B1134" s="82" t="s">
        <v>1335</v>
      </c>
      <c r="C1134" s="82" t="s">
        <v>2038</v>
      </c>
      <c r="D1134" s="82" t="s">
        <v>2036</v>
      </c>
      <c r="F1134" s="83">
        <v>46116.0</v>
      </c>
      <c r="G1134" s="84" t="s">
        <v>2880</v>
      </c>
      <c r="H1134" s="82" t="s">
        <v>2035</v>
      </c>
      <c r="I1134" s="83">
        <v>46106.0</v>
      </c>
    </row>
    <row r="1135" ht="22.5" hidden="1" customHeight="1">
      <c r="A1135" s="81">
        <v>46106.65109060185</v>
      </c>
      <c r="B1135" s="82" t="s">
        <v>1461</v>
      </c>
      <c r="C1135" s="82" t="s">
        <v>2038</v>
      </c>
      <c r="D1135" s="82" t="s">
        <v>2036</v>
      </c>
      <c r="F1135" s="83">
        <v>46116.0</v>
      </c>
      <c r="G1135" s="84" t="s">
        <v>2881</v>
      </c>
      <c r="H1135" s="82" t="s">
        <v>2035</v>
      </c>
      <c r="I1135" s="83">
        <v>46106.0</v>
      </c>
    </row>
    <row r="1136" ht="22.5" hidden="1" customHeight="1">
      <c r="A1136" s="81">
        <v>46106.653721678245</v>
      </c>
      <c r="B1136" s="82" t="s">
        <v>1465</v>
      </c>
      <c r="C1136" s="82" t="s">
        <v>2038</v>
      </c>
      <c r="D1136" s="82" t="s">
        <v>2036</v>
      </c>
      <c r="F1136" s="83">
        <v>46116.0</v>
      </c>
      <c r="G1136" s="84" t="s">
        <v>2882</v>
      </c>
      <c r="H1136" s="82" t="s">
        <v>2035</v>
      </c>
      <c r="I1136" s="83">
        <v>46106.0</v>
      </c>
    </row>
    <row r="1137" ht="22.5" hidden="1" customHeight="1">
      <c r="A1137" s="81">
        <v>46106.65426784722</v>
      </c>
      <c r="B1137" s="82" t="s">
        <v>1162</v>
      </c>
      <c r="C1137" s="82" t="s">
        <v>2038</v>
      </c>
      <c r="D1137" s="82" t="s">
        <v>2036</v>
      </c>
      <c r="F1137" s="83">
        <v>46116.0</v>
      </c>
      <c r="G1137" s="84" t="s">
        <v>2883</v>
      </c>
      <c r="H1137" s="82" t="s">
        <v>2035</v>
      </c>
      <c r="I1137" s="83">
        <v>46106.0</v>
      </c>
    </row>
    <row r="1138" ht="22.5" hidden="1" customHeight="1">
      <c r="A1138" s="81">
        <v>46107.60690748843</v>
      </c>
      <c r="B1138" s="82" t="s">
        <v>1474</v>
      </c>
      <c r="C1138" s="82" t="s">
        <v>2035</v>
      </c>
      <c r="D1138" s="82" t="s">
        <v>2034</v>
      </c>
      <c r="H1138" s="82" t="s">
        <v>2035</v>
      </c>
      <c r="I1138" s="83">
        <v>46107.0</v>
      </c>
      <c r="J1138" s="84" t="s">
        <v>2884</v>
      </c>
    </row>
    <row r="1139" ht="22.5" hidden="1" customHeight="1">
      <c r="A1139" s="81">
        <v>46107.60744299769</v>
      </c>
      <c r="B1139" s="82" t="s">
        <v>1482</v>
      </c>
      <c r="C1139" s="82" t="s">
        <v>2035</v>
      </c>
      <c r="D1139" s="82" t="s">
        <v>2034</v>
      </c>
      <c r="H1139" s="82" t="s">
        <v>2035</v>
      </c>
      <c r="I1139" s="83">
        <v>46107.0</v>
      </c>
    </row>
    <row r="1140" ht="22.5" hidden="1" customHeight="1">
      <c r="A1140" s="81">
        <v>46107.60766603009</v>
      </c>
      <c r="B1140" s="82" t="s">
        <v>1484</v>
      </c>
      <c r="C1140" s="82" t="s">
        <v>2035</v>
      </c>
      <c r="D1140" s="82" t="s">
        <v>2034</v>
      </c>
      <c r="H1140" s="82" t="s">
        <v>2035</v>
      </c>
      <c r="I1140" s="83">
        <v>46107.0</v>
      </c>
    </row>
    <row r="1141" ht="22.5" hidden="1" customHeight="1">
      <c r="A1141" s="81">
        <v>46107.60808856481</v>
      </c>
      <c r="B1141" s="82" t="s">
        <v>1485</v>
      </c>
      <c r="C1141" s="82" t="s">
        <v>2035</v>
      </c>
      <c r="D1141" s="82" t="s">
        <v>2034</v>
      </c>
      <c r="H1141" s="82" t="s">
        <v>2035</v>
      </c>
      <c r="I1141" s="83">
        <v>46107.0</v>
      </c>
    </row>
    <row r="1142" ht="22.5" hidden="1" customHeight="1">
      <c r="A1142" s="81">
        <v>46107.60831967593</v>
      </c>
      <c r="B1142" s="82" t="s">
        <v>1486</v>
      </c>
      <c r="C1142" s="82" t="s">
        <v>2035</v>
      </c>
      <c r="D1142" s="82" t="s">
        <v>2034</v>
      </c>
      <c r="H1142" s="82" t="s">
        <v>2035</v>
      </c>
      <c r="I1142" s="83">
        <v>46107.0</v>
      </c>
    </row>
    <row r="1143" ht="22.5" hidden="1" customHeight="1">
      <c r="A1143" s="81">
        <v>46107.66135851852</v>
      </c>
      <c r="B1143" s="82" t="s">
        <v>1499</v>
      </c>
      <c r="C1143" s="82" t="s">
        <v>2035</v>
      </c>
      <c r="D1143" s="82" t="s">
        <v>2034</v>
      </c>
      <c r="H1143" s="82" t="s">
        <v>2035</v>
      </c>
      <c r="I1143" s="83">
        <v>46107.0</v>
      </c>
      <c r="J1143" s="84" t="s">
        <v>2885</v>
      </c>
    </row>
    <row r="1144" ht="22.5" hidden="1" customHeight="1">
      <c r="A1144" s="81">
        <v>46108.44668630787</v>
      </c>
      <c r="B1144" s="82" t="s">
        <v>1470</v>
      </c>
      <c r="C1144" s="82" t="s">
        <v>2038</v>
      </c>
      <c r="D1144" s="82" t="s">
        <v>2036</v>
      </c>
      <c r="F1144" s="83">
        <v>46119.0</v>
      </c>
      <c r="G1144" s="84" t="s">
        <v>2886</v>
      </c>
      <c r="H1144" s="82" t="s">
        <v>2035</v>
      </c>
      <c r="I1144" s="83">
        <v>46108.0</v>
      </c>
    </row>
    <row r="1145" ht="22.5" hidden="1" customHeight="1">
      <c r="A1145" s="81">
        <v>46108.501108020835</v>
      </c>
      <c r="B1145" s="82" t="s">
        <v>1504</v>
      </c>
      <c r="C1145" s="82" t="s">
        <v>2035</v>
      </c>
      <c r="D1145" s="82" t="s">
        <v>2036</v>
      </c>
      <c r="F1145" s="83">
        <v>46115.0</v>
      </c>
      <c r="G1145" s="84" t="s">
        <v>2887</v>
      </c>
      <c r="H1145" s="82" t="s">
        <v>2035</v>
      </c>
      <c r="I1145" s="83">
        <v>46108.0</v>
      </c>
    </row>
    <row r="1146" ht="22.5" hidden="1" customHeight="1">
      <c r="A1146" s="81">
        <v>46108.59660803241</v>
      </c>
      <c r="B1146" s="82" t="s">
        <v>1234</v>
      </c>
      <c r="C1146" s="82" t="s">
        <v>2035</v>
      </c>
      <c r="D1146" s="82" t="s">
        <v>2034</v>
      </c>
      <c r="H1146" s="82" t="s">
        <v>2035</v>
      </c>
      <c r="I1146" s="83">
        <v>46108.0</v>
      </c>
      <c r="J1146" s="84" t="s">
        <v>2888</v>
      </c>
    </row>
    <row r="1147" ht="22.5" hidden="1" customHeight="1">
      <c r="A1147" s="81">
        <v>46108.59741792824</v>
      </c>
      <c r="B1147" s="82" t="s">
        <v>1502</v>
      </c>
      <c r="C1147" s="82" t="s">
        <v>2035</v>
      </c>
      <c r="D1147" s="82" t="s">
        <v>2036</v>
      </c>
      <c r="F1147" s="83">
        <v>46119.0</v>
      </c>
      <c r="G1147" s="84" t="s">
        <v>2889</v>
      </c>
      <c r="H1147" s="82" t="s">
        <v>2035</v>
      </c>
      <c r="I1147" s="83">
        <v>46108.0</v>
      </c>
    </row>
    <row r="1148" ht="22.5" hidden="1" customHeight="1">
      <c r="A1148" s="81">
        <v>46111.380565266205</v>
      </c>
      <c r="B1148" s="82" t="s">
        <v>1312</v>
      </c>
      <c r="C1148" s="82" t="s">
        <v>2035</v>
      </c>
      <c r="D1148" s="82" t="s">
        <v>2036</v>
      </c>
      <c r="F1148" s="83">
        <v>46120.0</v>
      </c>
      <c r="G1148" s="84" t="s">
        <v>2890</v>
      </c>
      <c r="H1148" s="82" t="s">
        <v>2035</v>
      </c>
      <c r="I1148" s="83">
        <v>46111.0</v>
      </c>
    </row>
    <row r="1149" ht="22.5" hidden="1" customHeight="1">
      <c r="A1149" s="81">
        <v>46111.38297923611</v>
      </c>
      <c r="B1149" s="82" t="s">
        <v>1523</v>
      </c>
      <c r="C1149" s="82" t="s">
        <v>2035</v>
      </c>
      <c r="D1149" s="82" t="s">
        <v>2036</v>
      </c>
      <c r="F1149" s="83">
        <v>46138.0</v>
      </c>
      <c r="H1149" s="82" t="s">
        <v>2035</v>
      </c>
      <c r="I1149" s="83">
        <v>46111.0</v>
      </c>
    </row>
    <row r="1150" ht="22.5" hidden="1" customHeight="1">
      <c r="A1150" s="81">
        <v>46111.383333136575</v>
      </c>
      <c r="B1150" s="82" t="s">
        <v>1526</v>
      </c>
      <c r="C1150" s="82" t="s">
        <v>2035</v>
      </c>
      <c r="D1150" s="82" t="s">
        <v>2036</v>
      </c>
      <c r="F1150" s="83">
        <v>46138.0</v>
      </c>
      <c r="H1150" s="82" t="s">
        <v>2035</v>
      </c>
      <c r="I1150" s="83">
        <v>46111.0</v>
      </c>
    </row>
    <row r="1151" ht="22.5" hidden="1" customHeight="1">
      <c r="A1151" s="81">
        <v>46111.38366679398</v>
      </c>
      <c r="B1151" s="82" t="s">
        <v>1528</v>
      </c>
      <c r="C1151" s="82" t="s">
        <v>2035</v>
      </c>
      <c r="D1151" s="82" t="s">
        <v>2036</v>
      </c>
      <c r="F1151" s="83">
        <v>46138.0</v>
      </c>
      <c r="H1151" s="82" t="s">
        <v>2035</v>
      </c>
      <c r="I1151" s="83">
        <v>46111.0</v>
      </c>
    </row>
    <row r="1152" ht="22.5" hidden="1" customHeight="1">
      <c r="A1152" s="81">
        <v>46111.38669503472</v>
      </c>
      <c r="B1152" s="82" t="s">
        <v>1511</v>
      </c>
      <c r="C1152" s="82" t="s">
        <v>2035</v>
      </c>
      <c r="D1152" s="82" t="s">
        <v>2034</v>
      </c>
      <c r="H1152" s="82" t="s">
        <v>2035</v>
      </c>
      <c r="I1152" s="83">
        <v>46111.0</v>
      </c>
    </row>
    <row r="1153" ht="22.5" hidden="1" customHeight="1">
      <c r="A1153" s="81">
        <v>46111.435289236106</v>
      </c>
      <c r="B1153" s="82" t="s">
        <v>1513</v>
      </c>
      <c r="C1153" s="82" t="s">
        <v>2035</v>
      </c>
      <c r="D1153" s="82" t="s">
        <v>2034</v>
      </c>
      <c r="H1153" s="82" t="s">
        <v>2035</v>
      </c>
      <c r="I1153" s="83">
        <v>46111.0</v>
      </c>
    </row>
    <row r="1154" ht="22.5" hidden="1" customHeight="1">
      <c r="A1154" s="81">
        <v>46111.50383188657</v>
      </c>
      <c r="B1154" s="82" t="s">
        <v>1488</v>
      </c>
      <c r="C1154" s="82" t="s">
        <v>2035</v>
      </c>
      <c r="D1154" s="82" t="s">
        <v>2034</v>
      </c>
      <c r="H1154" s="82" t="s">
        <v>2035</v>
      </c>
      <c r="I1154" s="83">
        <v>46111.0</v>
      </c>
      <c r="J1154" s="84" t="s">
        <v>2891</v>
      </c>
    </row>
    <row r="1155" ht="22.5" hidden="1" customHeight="1">
      <c r="A1155" s="81">
        <v>46111.50411797454</v>
      </c>
      <c r="B1155" s="82" t="s">
        <v>1490</v>
      </c>
      <c r="C1155" s="82" t="s">
        <v>2035</v>
      </c>
      <c r="D1155" s="82" t="s">
        <v>2034</v>
      </c>
      <c r="H1155" s="82" t="s">
        <v>2035</v>
      </c>
      <c r="I1155" s="83">
        <v>46111.0</v>
      </c>
      <c r="J1155" s="84" t="s">
        <v>2892</v>
      </c>
    </row>
    <row r="1156" ht="22.5" hidden="1" customHeight="1">
      <c r="A1156" s="81">
        <v>46111.504472615736</v>
      </c>
      <c r="B1156" s="82" t="s">
        <v>1492</v>
      </c>
      <c r="C1156" s="82" t="s">
        <v>2035</v>
      </c>
      <c r="D1156" s="82" t="s">
        <v>2034</v>
      </c>
      <c r="H1156" s="82" t="s">
        <v>2035</v>
      </c>
      <c r="I1156" s="83">
        <v>46111.0</v>
      </c>
      <c r="J1156" s="84" t="s">
        <v>2893</v>
      </c>
    </row>
    <row r="1157" ht="22.5" hidden="1" customHeight="1">
      <c r="A1157" s="81">
        <v>46111.504815312495</v>
      </c>
      <c r="B1157" s="82" t="s">
        <v>1494</v>
      </c>
      <c r="C1157" s="82" t="s">
        <v>2035</v>
      </c>
      <c r="D1157" s="82" t="s">
        <v>2034</v>
      </c>
      <c r="H1157" s="82" t="s">
        <v>2035</v>
      </c>
      <c r="I1157" s="83">
        <v>46111.0</v>
      </c>
      <c r="J1157" s="84" t="s">
        <v>2894</v>
      </c>
    </row>
    <row r="1158" ht="22.5" hidden="1" customHeight="1">
      <c r="A1158" s="81">
        <v>46111.50511824074</v>
      </c>
      <c r="B1158" s="82" t="s">
        <v>1496</v>
      </c>
      <c r="C1158" s="82" t="s">
        <v>2035</v>
      </c>
      <c r="D1158" s="82" t="s">
        <v>2034</v>
      </c>
      <c r="H1158" s="82" t="s">
        <v>2035</v>
      </c>
      <c r="I1158" s="83">
        <v>46111.0</v>
      </c>
      <c r="J1158" s="84" t="s">
        <v>2895</v>
      </c>
    </row>
    <row r="1159" ht="22.5" hidden="1" customHeight="1">
      <c r="A1159" s="81">
        <v>46111.506790011576</v>
      </c>
      <c r="B1159" s="82" t="s">
        <v>1401</v>
      </c>
      <c r="C1159" s="82" t="s">
        <v>2035</v>
      </c>
      <c r="D1159" s="82" t="s">
        <v>85</v>
      </c>
      <c r="H1159" s="82" t="s">
        <v>2035</v>
      </c>
      <c r="I1159" s="83">
        <v>46111.0</v>
      </c>
    </row>
    <row r="1160" ht="22.5" hidden="1" customHeight="1">
      <c r="A1160" s="81">
        <v>46111.50793402777</v>
      </c>
      <c r="B1160" s="82" t="s">
        <v>1539</v>
      </c>
      <c r="C1160" s="82" t="s">
        <v>2035</v>
      </c>
      <c r="D1160" s="82" t="s">
        <v>2034</v>
      </c>
      <c r="H1160" s="82" t="s">
        <v>2035</v>
      </c>
      <c r="I1160" s="83">
        <v>46111.0</v>
      </c>
    </row>
    <row r="1161" ht="22.5" hidden="1" customHeight="1">
      <c r="A1161" s="81">
        <v>46111.5081683912</v>
      </c>
      <c r="B1161" s="82" t="s">
        <v>1545</v>
      </c>
      <c r="C1161" s="82" t="s">
        <v>2035</v>
      </c>
      <c r="D1161" s="82" t="s">
        <v>2034</v>
      </c>
      <c r="H1161" s="82" t="s">
        <v>2035</v>
      </c>
      <c r="I1161" s="83">
        <v>46111.0</v>
      </c>
    </row>
    <row r="1162" ht="22.5" hidden="1" customHeight="1">
      <c r="A1162" s="81">
        <v>46111.50838458333</v>
      </c>
      <c r="B1162" s="82" t="s">
        <v>1547</v>
      </c>
      <c r="C1162" s="82" t="s">
        <v>2035</v>
      </c>
      <c r="D1162" s="82" t="s">
        <v>2034</v>
      </c>
      <c r="H1162" s="82" t="s">
        <v>2035</v>
      </c>
      <c r="I1162" s="83">
        <v>46111.0</v>
      </c>
    </row>
    <row r="1163" ht="22.5" hidden="1" customHeight="1">
      <c r="A1163" s="81">
        <v>46111.51047206018</v>
      </c>
      <c r="B1163" s="82" t="s">
        <v>1515</v>
      </c>
      <c r="C1163" s="82" t="s">
        <v>2035</v>
      </c>
      <c r="D1163" s="82" t="s">
        <v>2036</v>
      </c>
      <c r="F1163" s="83">
        <v>46115.0</v>
      </c>
      <c r="G1163" s="84" t="s">
        <v>2896</v>
      </c>
      <c r="H1163" s="82" t="s">
        <v>2035</v>
      </c>
      <c r="I1163" s="83">
        <v>46108.0</v>
      </c>
    </row>
    <row r="1164" ht="22.5" hidden="1" customHeight="1">
      <c r="A1164" s="81">
        <v>46111.51089130787</v>
      </c>
      <c r="B1164" s="82" t="s">
        <v>1517</v>
      </c>
      <c r="C1164" s="82" t="s">
        <v>2035</v>
      </c>
      <c r="D1164" s="82" t="s">
        <v>2036</v>
      </c>
      <c r="F1164" s="83">
        <v>46115.0</v>
      </c>
      <c r="G1164" s="84" t="s">
        <v>2897</v>
      </c>
      <c r="H1164" s="82" t="s">
        <v>2035</v>
      </c>
      <c r="I1164" s="83">
        <v>46108.0</v>
      </c>
    </row>
    <row r="1165" ht="22.5" hidden="1" customHeight="1">
      <c r="A1165" s="81">
        <v>46111.59651229167</v>
      </c>
      <c r="B1165" s="82" t="s">
        <v>1450</v>
      </c>
      <c r="C1165" s="82" t="s">
        <v>2035</v>
      </c>
      <c r="D1165" s="82" t="s">
        <v>2036</v>
      </c>
      <c r="F1165" s="83">
        <v>46120.0</v>
      </c>
      <c r="G1165" s="84" t="s">
        <v>2898</v>
      </c>
      <c r="H1165" s="82" t="s">
        <v>2035</v>
      </c>
      <c r="I1165" s="83">
        <v>46111.0</v>
      </c>
    </row>
    <row r="1166" ht="22.5" hidden="1" customHeight="1">
      <c r="A1166" s="81">
        <v>46111.59730108797</v>
      </c>
      <c r="B1166" s="82" t="s">
        <v>1394</v>
      </c>
      <c r="C1166" s="82" t="s">
        <v>2035</v>
      </c>
      <c r="D1166" s="82" t="s">
        <v>2036</v>
      </c>
      <c r="F1166" s="83">
        <v>46120.0</v>
      </c>
      <c r="G1166" s="84" t="s">
        <v>2899</v>
      </c>
      <c r="H1166" s="82" t="s">
        <v>2035</v>
      </c>
      <c r="I1166" s="83">
        <v>46111.0</v>
      </c>
    </row>
    <row r="1167" ht="22.5" hidden="1" customHeight="1">
      <c r="A1167" s="81">
        <v>46112.432093043986</v>
      </c>
      <c r="B1167" s="82" t="s">
        <v>1356</v>
      </c>
      <c r="C1167" s="82" t="s">
        <v>2038</v>
      </c>
      <c r="D1167" s="82" t="s">
        <v>2034</v>
      </c>
      <c r="H1167" s="82" t="s">
        <v>2035</v>
      </c>
      <c r="I1167" s="83">
        <v>46112.0</v>
      </c>
      <c r="J1167" s="84" t="s">
        <v>2900</v>
      </c>
    </row>
    <row r="1168" ht="22.5" hidden="1" customHeight="1">
      <c r="A1168" s="81">
        <v>46112.43252940972</v>
      </c>
      <c r="B1168" s="82" t="s">
        <v>1440</v>
      </c>
      <c r="C1168" s="82" t="s">
        <v>2038</v>
      </c>
      <c r="D1168" s="82" t="s">
        <v>2034</v>
      </c>
      <c r="H1168" s="82" t="s">
        <v>2035</v>
      </c>
      <c r="I1168" s="83">
        <v>46112.0</v>
      </c>
      <c r="J1168" s="84" t="s">
        <v>2901</v>
      </c>
    </row>
    <row r="1169" ht="22.5" hidden="1" customHeight="1">
      <c r="A1169" s="81">
        <v>46112.594596944444</v>
      </c>
      <c r="B1169" s="82" t="s">
        <v>981</v>
      </c>
      <c r="C1169" s="82" t="s">
        <v>2038</v>
      </c>
      <c r="D1169" s="82" t="s">
        <v>2036</v>
      </c>
      <c r="F1169" s="83">
        <v>46121.0</v>
      </c>
      <c r="G1169" s="84" t="s">
        <v>2902</v>
      </c>
      <c r="H1169" s="82" t="s">
        <v>2035</v>
      </c>
      <c r="I1169" s="83">
        <v>46112.0</v>
      </c>
    </row>
    <row r="1170" ht="22.5" hidden="1" customHeight="1">
      <c r="A1170" s="81">
        <v>46112.59528862269</v>
      </c>
      <c r="B1170" s="82" t="s">
        <v>1519</v>
      </c>
      <c r="C1170" s="82" t="s">
        <v>2038</v>
      </c>
      <c r="D1170" s="82" t="s">
        <v>2036</v>
      </c>
      <c r="F1170" s="83">
        <v>46121.0</v>
      </c>
      <c r="G1170" s="84" t="s">
        <v>2903</v>
      </c>
      <c r="H1170" s="82" t="s">
        <v>2035</v>
      </c>
      <c r="I1170" s="83">
        <v>46112.0</v>
      </c>
    </row>
    <row r="1171" ht="22.5" hidden="1" customHeight="1">
      <c r="A1171" s="81">
        <v>46112.66586945602</v>
      </c>
      <c r="B1171" s="82" t="s">
        <v>1548</v>
      </c>
      <c r="C1171" s="82" t="s">
        <v>2035</v>
      </c>
      <c r="D1171" s="82" t="s">
        <v>2034</v>
      </c>
      <c r="H1171" s="82" t="s">
        <v>2035</v>
      </c>
      <c r="I1171" s="83">
        <v>46112.0</v>
      </c>
    </row>
    <row r="1172" ht="22.5" hidden="1" customHeight="1">
      <c r="A1172" s="81">
        <v>46113.458698912036</v>
      </c>
      <c r="B1172" s="82" t="s">
        <v>1551</v>
      </c>
      <c r="C1172" s="82" t="s">
        <v>2035</v>
      </c>
      <c r="D1172" s="82" t="s">
        <v>2034</v>
      </c>
      <c r="H1172" s="82" t="s">
        <v>2035</v>
      </c>
      <c r="I1172" s="83">
        <v>46113.0</v>
      </c>
    </row>
    <row r="1173" ht="22.5" hidden="1" customHeight="1">
      <c r="A1173" s="81">
        <v>46113.45903881945</v>
      </c>
      <c r="B1173" s="82" t="s">
        <v>1554</v>
      </c>
      <c r="C1173" s="82" t="s">
        <v>2035</v>
      </c>
      <c r="D1173" s="82" t="s">
        <v>2034</v>
      </c>
      <c r="H1173" s="82" t="s">
        <v>2035</v>
      </c>
      <c r="I1173" s="83">
        <v>46113.0</v>
      </c>
    </row>
    <row r="1174" ht="22.5" hidden="1" customHeight="1">
      <c r="A1174" s="81">
        <v>46113.46057498842</v>
      </c>
      <c r="B1174" s="82" t="s">
        <v>1564</v>
      </c>
      <c r="C1174" s="82" t="s">
        <v>2035</v>
      </c>
      <c r="D1174" s="82" t="s">
        <v>2034</v>
      </c>
      <c r="H1174" s="82" t="s">
        <v>2035</v>
      </c>
      <c r="I1174" s="83">
        <v>46113.0</v>
      </c>
    </row>
    <row r="1175" ht="22.5" hidden="1" customHeight="1">
      <c r="A1175" s="81">
        <v>46113.46078180555</v>
      </c>
      <c r="B1175" s="82" t="s">
        <v>1566</v>
      </c>
      <c r="C1175" s="82" t="s">
        <v>2035</v>
      </c>
      <c r="D1175" s="82" t="s">
        <v>2034</v>
      </c>
      <c r="H1175" s="82" t="s">
        <v>2035</v>
      </c>
      <c r="I1175" s="83">
        <v>46113.0</v>
      </c>
    </row>
    <row r="1176" ht="22.5" hidden="1" customHeight="1">
      <c r="A1176" s="81">
        <v>46113.49872318287</v>
      </c>
      <c r="B1176" s="82" t="s">
        <v>1420</v>
      </c>
      <c r="C1176" s="82" t="s">
        <v>2035</v>
      </c>
      <c r="D1176" s="82" t="s">
        <v>2034</v>
      </c>
      <c r="H1176" s="82" t="s">
        <v>2035</v>
      </c>
      <c r="I1176" s="83">
        <v>46113.0</v>
      </c>
      <c r="J1176" s="84" t="s">
        <v>2904</v>
      </c>
    </row>
    <row r="1177" ht="22.5" hidden="1" customHeight="1">
      <c r="A1177" s="81">
        <v>46113.57366178241</v>
      </c>
      <c r="B1177" s="82" t="s">
        <v>1550</v>
      </c>
      <c r="C1177" s="82" t="s">
        <v>2035</v>
      </c>
      <c r="D1177" s="82" t="s">
        <v>2036</v>
      </c>
      <c r="F1177" s="83">
        <v>46122.0</v>
      </c>
      <c r="G1177" s="84" t="s">
        <v>2905</v>
      </c>
      <c r="H1177" s="82" t="s">
        <v>2035</v>
      </c>
      <c r="I1177" s="83">
        <v>46113.0</v>
      </c>
    </row>
    <row r="1178" ht="22.5" hidden="1" customHeight="1">
      <c r="A1178" s="81">
        <v>46113.5741916088</v>
      </c>
      <c r="B1178" s="82" t="s">
        <v>1240</v>
      </c>
      <c r="C1178" s="82" t="s">
        <v>2035</v>
      </c>
      <c r="D1178" s="82" t="s">
        <v>2036</v>
      </c>
      <c r="F1178" s="83">
        <v>46122.0</v>
      </c>
      <c r="G1178" s="84" t="s">
        <v>2906</v>
      </c>
      <c r="H1178" s="82" t="s">
        <v>2035</v>
      </c>
      <c r="I1178" s="83">
        <v>46113.0</v>
      </c>
    </row>
    <row r="1179" ht="22.5" hidden="1" customHeight="1">
      <c r="A1179" s="81">
        <v>46113.60885268518</v>
      </c>
      <c r="B1179" s="82" t="s">
        <v>1568</v>
      </c>
      <c r="C1179" s="82" t="s">
        <v>2035</v>
      </c>
      <c r="D1179" s="82" t="s">
        <v>2034</v>
      </c>
      <c r="H1179" s="82" t="s">
        <v>2035</v>
      </c>
      <c r="I1179" s="83">
        <v>46113.0</v>
      </c>
      <c r="J1179" s="84" t="s">
        <v>2907</v>
      </c>
    </row>
    <row r="1180" ht="22.5" hidden="1" customHeight="1">
      <c r="A1180" s="81">
        <v>46114.40649167824</v>
      </c>
      <c r="B1180" s="82" t="s">
        <v>1569</v>
      </c>
      <c r="C1180" s="82" t="s">
        <v>2038</v>
      </c>
      <c r="D1180" s="82" t="s">
        <v>2036</v>
      </c>
      <c r="F1180" s="83">
        <v>46122.0</v>
      </c>
      <c r="G1180" s="84" t="s">
        <v>2908</v>
      </c>
      <c r="H1180" s="82" t="s">
        <v>2035</v>
      </c>
      <c r="I1180" s="83">
        <v>46114.0</v>
      </c>
    </row>
    <row r="1181" ht="22.5" hidden="1" customHeight="1">
      <c r="A1181" s="81">
        <v>46114.590771863426</v>
      </c>
      <c r="B1181" s="82" t="s">
        <v>1399</v>
      </c>
      <c r="C1181" s="82" t="s">
        <v>2035</v>
      </c>
      <c r="D1181" s="82" t="s">
        <v>2036</v>
      </c>
      <c r="F1181" s="83">
        <v>46122.0</v>
      </c>
      <c r="G1181" s="84" t="s">
        <v>2909</v>
      </c>
      <c r="H1181" s="82" t="s">
        <v>2035</v>
      </c>
      <c r="I1181" s="83">
        <v>46114.0</v>
      </c>
    </row>
    <row r="1182" ht="22.5" hidden="1" customHeight="1">
      <c r="A1182" s="81">
        <v>46114.60266857639</v>
      </c>
      <c r="B1182" s="82" t="s">
        <v>1461</v>
      </c>
      <c r="C1182" s="82" t="s">
        <v>2038</v>
      </c>
      <c r="D1182" s="82" t="s">
        <v>2034</v>
      </c>
      <c r="H1182" s="82" t="s">
        <v>2035</v>
      </c>
      <c r="I1182" s="83">
        <v>46114.0</v>
      </c>
      <c r="J1182" s="84" t="s">
        <v>2910</v>
      </c>
    </row>
    <row r="1183" ht="22.5" hidden="1" customHeight="1">
      <c r="A1183" s="81">
        <v>46114.603041319446</v>
      </c>
      <c r="B1183" s="82" t="s">
        <v>1465</v>
      </c>
      <c r="C1183" s="82" t="s">
        <v>2038</v>
      </c>
      <c r="D1183" s="82" t="s">
        <v>2034</v>
      </c>
      <c r="H1183" s="82" t="s">
        <v>2035</v>
      </c>
      <c r="I1183" s="83">
        <v>46114.0</v>
      </c>
      <c r="J1183" s="84" t="s">
        <v>2911</v>
      </c>
    </row>
    <row r="1184" ht="22.5" hidden="1" customHeight="1">
      <c r="A1184" s="81">
        <v>46114.603420196756</v>
      </c>
      <c r="B1184" s="82" t="s">
        <v>1411</v>
      </c>
      <c r="C1184" s="82" t="s">
        <v>2038</v>
      </c>
      <c r="D1184" s="82" t="s">
        <v>2034</v>
      </c>
      <c r="H1184" s="82" t="s">
        <v>2035</v>
      </c>
      <c r="I1184" s="83">
        <v>46114.0</v>
      </c>
      <c r="J1184" s="84" t="s">
        <v>2912</v>
      </c>
    </row>
    <row r="1185" ht="22.5" hidden="1" customHeight="1">
      <c r="A1185" s="81">
        <v>46114.60400173611</v>
      </c>
      <c r="B1185" s="82" t="s">
        <v>1390</v>
      </c>
      <c r="C1185" s="82" t="s">
        <v>2038</v>
      </c>
      <c r="D1185" s="82" t="s">
        <v>2034</v>
      </c>
      <c r="H1185" s="82" t="s">
        <v>2035</v>
      </c>
      <c r="I1185" s="83">
        <v>46114.0</v>
      </c>
      <c r="J1185" s="84" t="s">
        <v>2913</v>
      </c>
    </row>
    <row r="1186" ht="22.5" hidden="1" customHeight="1">
      <c r="A1186" s="81">
        <v>46114.65167670139</v>
      </c>
      <c r="B1186" s="82" t="s">
        <v>1576</v>
      </c>
      <c r="C1186" s="82" t="s">
        <v>2035</v>
      </c>
      <c r="D1186" s="82" t="s">
        <v>2034</v>
      </c>
      <c r="H1186" s="82" t="s">
        <v>2035</v>
      </c>
      <c r="I1186" s="83">
        <v>46114.0</v>
      </c>
      <c r="J1186" s="84" t="s">
        <v>2914</v>
      </c>
    </row>
    <row r="1187" ht="22.5" hidden="1" customHeight="1">
      <c r="A1187" s="81">
        <v>46118.66855913194</v>
      </c>
      <c r="B1187" s="82" t="s">
        <v>1582</v>
      </c>
      <c r="C1187" s="82" t="s">
        <v>2035</v>
      </c>
      <c r="D1187" s="82" t="s">
        <v>2034</v>
      </c>
      <c r="H1187" s="82" t="s">
        <v>2035</v>
      </c>
      <c r="I1187" s="83">
        <v>46118.0</v>
      </c>
      <c r="J1187" s="84" t="s">
        <v>2915</v>
      </c>
    </row>
    <row r="1188" ht="22.5" hidden="1" customHeight="1">
      <c r="A1188" s="81">
        <v>46118.66926837963</v>
      </c>
      <c r="B1188" s="82" t="s">
        <v>1578</v>
      </c>
      <c r="C1188" s="82" t="s">
        <v>2035</v>
      </c>
      <c r="D1188" s="82" t="s">
        <v>2034</v>
      </c>
      <c r="H1188" s="82" t="s">
        <v>2035</v>
      </c>
      <c r="I1188" s="83">
        <v>46118.0</v>
      </c>
    </row>
    <row r="1189" ht="22.5" hidden="1" customHeight="1">
      <c r="A1189" s="81">
        <v>46118.669843738426</v>
      </c>
      <c r="B1189" s="82" t="s">
        <v>1595</v>
      </c>
      <c r="C1189" s="82" t="s">
        <v>2035</v>
      </c>
      <c r="D1189" s="82" t="s">
        <v>2034</v>
      </c>
      <c r="H1189" s="82" t="s">
        <v>2035</v>
      </c>
      <c r="I1189" s="83">
        <v>46118.0</v>
      </c>
      <c r="J1189" s="84" t="s">
        <v>2916</v>
      </c>
    </row>
    <row r="1190" ht="22.5" hidden="1" customHeight="1">
      <c r="A1190" s="81">
        <v>46118.67097432871</v>
      </c>
      <c r="B1190" s="82" t="s">
        <v>1502</v>
      </c>
      <c r="C1190" s="82" t="s">
        <v>2035</v>
      </c>
      <c r="D1190" s="82" t="s">
        <v>2034</v>
      </c>
      <c r="H1190" s="82" t="s">
        <v>2035</v>
      </c>
      <c r="I1190" s="83">
        <v>46118.0</v>
      </c>
      <c r="J1190" s="84" t="s">
        <v>2917</v>
      </c>
    </row>
    <row r="1191" ht="22.5" hidden="1" customHeight="1">
      <c r="A1191" s="81">
        <v>46118.67198407407</v>
      </c>
      <c r="B1191" s="82" t="s">
        <v>1458</v>
      </c>
      <c r="C1191" s="82" t="s">
        <v>2038</v>
      </c>
      <c r="D1191" s="82" t="s">
        <v>2036</v>
      </c>
      <c r="F1191" s="83">
        <v>46127.0</v>
      </c>
      <c r="G1191" s="84" t="s">
        <v>2918</v>
      </c>
      <c r="H1191" s="82" t="s">
        <v>2035</v>
      </c>
      <c r="I1191" s="83">
        <v>46118.0</v>
      </c>
    </row>
    <row r="1192" ht="22.5" hidden="1" customHeight="1">
      <c r="A1192" s="81">
        <v>46118.67551099537</v>
      </c>
      <c r="B1192" s="82" t="s">
        <v>1585</v>
      </c>
      <c r="C1192" s="82" t="s">
        <v>2035</v>
      </c>
      <c r="D1192" s="82" t="s">
        <v>2036</v>
      </c>
      <c r="F1192" s="83">
        <v>46127.0</v>
      </c>
      <c r="G1192" s="84" t="s">
        <v>2919</v>
      </c>
      <c r="H1192" s="82" t="s">
        <v>2035</v>
      </c>
      <c r="I1192" s="83">
        <v>46116.0</v>
      </c>
    </row>
    <row r="1193" ht="22.5" hidden="1" customHeight="1">
      <c r="A1193" s="81">
        <v>46118.678863865745</v>
      </c>
      <c r="B1193" s="82" t="s">
        <v>1580</v>
      </c>
      <c r="C1193" s="82" t="s">
        <v>2035</v>
      </c>
      <c r="D1193" s="82" t="s">
        <v>2034</v>
      </c>
      <c r="H1193" s="82" t="s">
        <v>2035</v>
      </c>
      <c r="I1193" s="83">
        <v>46115.0</v>
      </c>
      <c r="J1193" s="84" t="s">
        <v>2920</v>
      </c>
    </row>
    <row r="1194" ht="22.5" hidden="1" customHeight="1">
      <c r="A1194" s="81">
        <v>46118.6803309838</v>
      </c>
      <c r="B1194" s="82" t="s">
        <v>1504</v>
      </c>
      <c r="C1194" s="82" t="s">
        <v>2035</v>
      </c>
      <c r="D1194" s="82" t="s">
        <v>2034</v>
      </c>
      <c r="H1194" s="82" t="s">
        <v>2035</v>
      </c>
      <c r="I1194" s="83">
        <v>46118.0</v>
      </c>
    </row>
    <row r="1195" ht="22.5" hidden="1" customHeight="1">
      <c r="A1195" s="81">
        <v>46118.68072444445</v>
      </c>
      <c r="B1195" s="82" t="s">
        <v>1584</v>
      </c>
      <c r="C1195" s="82" t="s">
        <v>2035</v>
      </c>
      <c r="D1195" s="82" t="s">
        <v>2034</v>
      </c>
      <c r="H1195" s="82" t="s">
        <v>2035</v>
      </c>
      <c r="I1195" s="83">
        <v>46118.0</v>
      </c>
    </row>
    <row r="1196" ht="22.5" hidden="1" customHeight="1">
      <c r="A1196" s="81">
        <v>46118.68097469908</v>
      </c>
      <c r="B1196" s="82" t="s">
        <v>1588</v>
      </c>
      <c r="C1196" s="82" t="s">
        <v>2035</v>
      </c>
      <c r="D1196" s="82" t="s">
        <v>2034</v>
      </c>
      <c r="H1196" s="82" t="s">
        <v>2035</v>
      </c>
      <c r="I1196" s="83">
        <v>46118.0</v>
      </c>
    </row>
    <row r="1197" ht="22.5" hidden="1" customHeight="1">
      <c r="A1197" s="81">
        <v>46118.68123747685</v>
      </c>
      <c r="B1197" s="82" t="s">
        <v>1591</v>
      </c>
      <c r="C1197" s="82" t="s">
        <v>2035</v>
      </c>
      <c r="D1197" s="82" t="s">
        <v>2034</v>
      </c>
      <c r="H1197" s="82" t="s">
        <v>2035</v>
      </c>
      <c r="I1197" s="83">
        <v>46118.0</v>
      </c>
    </row>
    <row r="1198" ht="22.5" hidden="1" customHeight="1">
      <c r="A1198" s="81">
        <v>46118.68550979167</v>
      </c>
      <c r="B1198" s="82" t="s">
        <v>1426</v>
      </c>
      <c r="C1198" s="82" t="s">
        <v>2035</v>
      </c>
      <c r="D1198" s="82" t="s">
        <v>85</v>
      </c>
      <c r="H1198" s="82" t="s">
        <v>2035</v>
      </c>
      <c r="I1198" s="83">
        <v>46118.0</v>
      </c>
    </row>
    <row r="1199" ht="22.5" hidden="1" customHeight="1">
      <c r="A1199" s="81">
        <v>46119.60911466435</v>
      </c>
      <c r="B1199" s="82" t="s">
        <v>1572</v>
      </c>
      <c r="C1199" s="82" t="s">
        <v>2038</v>
      </c>
      <c r="D1199" s="82" t="s">
        <v>2036</v>
      </c>
      <c r="F1199" s="83">
        <v>46128.0</v>
      </c>
      <c r="G1199" s="84" t="s">
        <v>2921</v>
      </c>
      <c r="H1199" s="82" t="s">
        <v>2035</v>
      </c>
      <c r="I1199" s="83">
        <v>46119.0</v>
      </c>
    </row>
    <row r="1200" ht="22.5" hidden="1" customHeight="1">
      <c r="A1200" s="81">
        <v>46119.61312947917</v>
      </c>
      <c r="B1200" s="82" t="s">
        <v>1593</v>
      </c>
      <c r="C1200" s="82" t="s">
        <v>2035</v>
      </c>
      <c r="D1200" s="82" t="s">
        <v>2034</v>
      </c>
      <c r="H1200" s="82" t="s">
        <v>2035</v>
      </c>
      <c r="I1200" s="83">
        <v>46119.0</v>
      </c>
      <c r="J1200" s="84" t="s">
        <v>2922</v>
      </c>
    </row>
    <row r="1201" ht="22.5" hidden="1" customHeight="1">
      <c r="A1201" s="81">
        <v>46119.66442068287</v>
      </c>
      <c r="B1201" s="82" t="s">
        <v>1350</v>
      </c>
      <c r="C1201" s="82" t="s">
        <v>2038</v>
      </c>
      <c r="D1201" s="82" t="s">
        <v>2034</v>
      </c>
      <c r="H1201" s="82" t="s">
        <v>2035</v>
      </c>
      <c r="I1201" s="83">
        <v>46119.0</v>
      </c>
      <c r="J1201" s="84" t="s">
        <v>2923</v>
      </c>
    </row>
    <row r="1202" ht="22.5" hidden="1" customHeight="1">
      <c r="A1202" s="81">
        <v>46120.623172175925</v>
      </c>
      <c r="B1202" s="82" t="s">
        <v>1606</v>
      </c>
      <c r="C1202" s="82" t="s">
        <v>2038</v>
      </c>
      <c r="D1202" s="82" t="s">
        <v>2036</v>
      </c>
      <c r="F1202" s="83">
        <v>46129.0</v>
      </c>
      <c r="G1202" s="84" t="s">
        <v>2924</v>
      </c>
      <c r="H1202" s="82" t="s">
        <v>2035</v>
      </c>
      <c r="I1202" s="83">
        <v>46120.0</v>
      </c>
    </row>
    <row r="1203" ht="22.5" hidden="1" customHeight="1">
      <c r="A1203" s="81">
        <v>46120.62461141204</v>
      </c>
      <c r="B1203" s="82" t="s">
        <v>981</v>
      </c>
      <c r="C1203" s="82" t="s">
        <v>2038</v>
      </c>
      <c r="D1203" s="82" t="s">
        <v>2036</v>
      </c>
      <c r="F1203" s="83">
        <v>46129.0</v>
      </c>
      <c r="G1203" s="84" t="s">
        <v>2925</v>
      </c>
      <c r="H1203" s="82" t="s">
        <v>2035</v>
      </c>
      <c r="I1203" s="83">
        <v>46120.0</v>
      </c>
    </row>
    <row r="1204" ht="22.5" hidden="1" customHeight="1">
      <c r="A1204" s="81">
        <v>46120.62538334491</v>
      </c>
      <c r="B1204" s="82" t="s">
        <v>1394</v>
      </c>
      <c r="C1204" s="82" t="s">
        <v>2038</v>
      </c>
      <c r="D1204" s="82" t="s">
        <v>2036</v>
      </c>
      <c r="F1204" s="83">
        <v>46129.0</v>
      </c>
      <c r="G1204" s="84" t="s">
        <v>2926</v>
      </c>
      <c r="H1204" s="82" t="s">
        <v>2035</v>
      </c>
      <c r="I1204" s="83">
        <v>46120.0</v>
      </c>
    </row>
    <row r="1205" ht="22.5" hidden="1" customHeight="1">
      <c r="A1205" s="81">
        <v>46120.626609803236</v>
      </c>
      <c r="B1205" s="82" t="s">
        <v>1240</v>
      </c>
      <c r="C1205" s="82" t="s">
        <v>2038</v>
      </c>
      <c r="D1205" s="82" t="s">
        <v>2034</v>
      </c>
      <c r="H1205" s="82" t="s">
        <v>2035</v>
      </c>
      <c r="I1205" s="83">
        <v>46120.0</v>
      </c>
      <c r="J1205" s="84" t="s">
        <v>2927</v>
      </c>
    </row>
    <row r="1206" ht="22.5" hidden="1" customHeight="1">
      <c r="A1206" s="81">
        <v>46121.43686564815</v>
      </c>
      <c r="B1206" s="82" t="s">
        <v>1624</v>
      </c>
      <c r="C1206" s="82" t="s">
        <v>2035</v>
      </c>
      <c r="D1206" s="82" t="s">
        <v>2034</v>
      </c>
      <c r="H1206" s="82" t="s">
        <v>2035</v>
      </c>
      <c r="I1206" s="83">
        <v>46121.0</v>
      </c>
    </row>
    <row r="1207" ht="22.5" hidden="1" customHeight="1">
      <c r="A1207" s="81">
        <v>46121.62735083333</v>
      </c>
      <c r="B1207" s="82" t="s">
        <v>1589</v>
      </c>
      <c r="C1207" s="82" t="s">
        <v>2038</v>
      </c>
      <c r="D1207" s="82" t="s">
        <v>2036</v>
      </c>
      <c r="F1207" s="83">
        <v>46132.0</v>
      </c>
      <c r="G1207" s="84" t="s">
        <v>2928</v>
      </c>
      <c r="H1207" s="82" t="s">
        <v>2035</v>
      </c>
      <c r="I1207" s="83">
        <v>46121.0</v>
      </c>
    </row>
    <row r="1208" ht="22.5" hidden="1" customHeight="1">
      <c r="A1208" s="81">
        <v>46121.62795390046</v>
      </c>
      <c r="B1208" s="82" t="s">
        <v>1613</v>
      </c>
      <c r="C1208" s="82" t="s">
        <v>2038</v>
      </c>
      <c r="D1208" s="82" t="s">
        <v>2036</v>
      </c>
      <c r="F1208" s="83">
        <v>46132.0</v>
      </c>
      <c r="G1208" s="84" t="s">
        <v>2929</v>
      </c>
      <c r="H1208" s="82" t="s">
        <v>2035</v>
      </c>
      <c r="I1208" s="83">
        <v>46121.0</v>
      </c>
    </row>
    <row r="1209" ht="22.5" hidden="1" customHeight="1">
      <c r="A1209" s="81">
        <v>46123.40115708333</v>
      </c>
      <c r="B1209" s="82" t="s">
        <v>1599</v>
      </c>
      <c r="C1209" s="82" t="s">
        <v>2038</v>
      </c>
      <c r="D1209" s="82" t="s">
        <v>2036</v>
      </c>
      <c r="F1209" s="83">
        <v>46134.0</v>
      </c>
      <c r="G1209" s="84" t="s">
        <v>2930</v>
      </c>
      <c r="H1209" s="82" t="s">
        <v>2035</v>
      </c>
      <c r="I1209" s="83">
        <v>46122.0</v>
      </c>
    </row>
    <row r="1210" ht="22.5" hidden="1" customHeight="1">
      <c r="A1210" s="81">
        <v>46123.402029895835</v>
      </c>
      <c r="B1210" s="82" t="s">
        <v>1596</v>
      </c>
      <c r="C1210" s="82" t="s">
        <v>2038</v>
      </c>
      <c r="D1210" s="82" t="s">
        <v>2036</v>
      </c>
      <c r="F1210" s="83">
        <v>46134.0</v>
      </c>
      <c r="G1210" s="84" t="s">
        <v>2931</v>
      </c>
      <c r="H1210" s="82" t="s">
        <v>2035</v>
      </c>
      <c r="I1210" s="83">
        <v>46122.0</v>
      </c>
    </row>
    <row r="1211" ht="22.5" hidden="1" customHeight="1">
      <c r="A1211" s="81">
        <v>46123.40360259259</v>
      </c>
      <c r="B1211" s="82" t="s">
        <v>1068</v>
      </c>
      <c r="C1211" s="82" t="s">
        <v>2038</v>
      </c>
      <c r="D1211" s="82" t="s">
        <v>2036</v>
      </c>
      <c r="F1211" s="83">
        <v>46134.0</v>
      </c>
      <c r="G1211" s="84" t="s">
        <v>2932</v>
      </c>
      <c r="H1211" s="82" t="s">
        <v>2035</v>
      </c>
      <c r="I1211" s="83">
        <v>46122.0</v>
      </c>
    </row>
    <row r="1212" ht="22.5" hidden="1" customHeight="1">
      <c r="A1212" s="81">
        <v>46123.40625341435</v>
      </c>
      <c r="B1212" s="82" t="s">
        <v>1290</v>
      </c>
      <c r="C1212" s="82" t="s">
        <v>2038</v>
      </c>
      <c r="D1212" s="82" t="s">
        <v>2036</v>
      </c>
      <c r="F1212" s="83">
        <v>46134.0</v>
      </c>
      <c r="G1212" s="84" t="s">
        <v>2933</v>
      </c>
      <c r="H1212" s="82" t="s">
        <v>2035</v>
      </c>
      <c r="I1212" s="83">
        <v>46122.0</v>
      </c>
    </row>
    <row r="1213" ht="22.5" hidden="1" customHeight="1">
      <c r="A1213" s="81">
        <v>46123.42361373843</v>
      </c>
      <c r="B1213" s="82" t="s">
        <v>1162</v>
      </c>
      <c r="C1213" s="82" t="s">
        <v>2038</v>
      </c>
      <c r="D1213" s="82" t="s">
        <v>2036</v>
      </c>
      <c r="F1213" s="83">
        <v>46134.0</v>
      </c>
      <c r="G1213" s="84" t="s">
        <v>2934</v>
      </c>
      <c r="H1213" s="82" t="s">
        <v>2035</v>
      </c>
      <c r="I1213" s="83">
        <v>46123.0</v>
      </c>
    </row>
    <row r="1214" ht="22.5" hidden="1" customHeight="1">
      <c r="A1214" s="81">
        <v>46123.42408283565</v>
      </c>
      <c r="B1214" s="82" t="s">
        <v>1470</v>
      </c>
      <c r="C1214" s="82" t="s">
        <v>2038</v>
      </c>
      <c r="D1214" s="82" t="s">
        <v>2036</v>
      </c>
      <c r="F1214" s="83">
        <v>46134.0</v>
      </c>
      <c r="G1214" s="84" t="s">
        <v>2935</v>
      </c>
      <c r="H1214" s="82" t="s">
        <v>2035</v>
      </c>
      <c r="I1214" s="83">
        <v>46123.0</v>
      </c>
    </row>
    <row r="1215" ht="22.5" hidden="1" customHeight="1">
      <c r="A1215" s="81">
        <v>46123.42462611111</v>
      </c>
      <c r="B1215" s="82" t="s">
        <v>1625</v>
      </c>
      <c r="C1215" s="82" t="s">
        <v>2038</v>
      </c>
      <c r="D1215" s="82" t="s">
        <v>2036</v>
      </c>
      <c r="F1215" s="83">
        <v>46134.0</v>
      </c>
      <c r="G1215" s="84" t="s">
        <v>2936</v>
      </c>
      <c r="H1215" s="82" t="s">
        <v>2035</v>
      </c>
      <c r="I1215" s="83">
        <v>46123.0</v>
      </c>
    </row>
    <row r="1216" ht="22.5" hidden="1" customHeight="1">
      <c r="A1216" s="81">
        <v>46125.393896747686</v>
      </c>
      <c r="B1216" s="82" t="s">
        <v>1628</v>
      </c>
      <c r="C1216" s="82" t="s">
        <v>2035</v>
      </c>
      <c r="D1216" s="82" t="s">
        <v>2034</v>
      </c>
      <c r="H1216" s="82" t="s">
        <v>2035</v>
      </c>
      <c r="I1216" s="83">
        <v>46125.0</v>
      </c>
      <c r="J1216" s="84" t="s">
        <v>2937</v>
      </c>
    </row>
    <row r="1217" ht="22.5" hidden="1" customHeight="1">
      <c r="A1217" s="81">
        <v>46125.400737337965</v>
      </c>
      <c r="B1217" s="82" t="s">
        <v>1635</v>
      </c>
      <c r="C1217" s="82" t="s">
        <v>2035</v>
      </c>
      <c r="D1217" s="82" t="s">
        <v>2034</v>
      </c>
      <c r="H1217" s="82" t="s">
        <v>2035</v>
      </c>
      <c r="I1217" s="83">
        <v>46125.0</v>
      </c>
    </row>
    <row r="1218" ht="22.5" hidden="1" customHeight="1">
      <c r="A1218" s="81">
        <v>46125.400929641204</v>
      </c>
      <c r="B1218" s="82" t="s">
        <v>1637</v>
      </c>
      <c r="C1218" s="82" t="s">
        <v>2035</v>
      </c>
      <c r="D1218" s="82" t="s">
        <v>2034</v>
      </c>
      <c r="H1218" s="82" t="s">
        <v>2035</v>
      </c>
      <c r="I1218" s="83">
        <v>46125.0</v>
      </c>
    </row>
    <row r="1219" ht="22.5" hidden="1" customHeight="1">
      <c r="A1219" s="81">
        <v>46125.40196822917</v>
      </c>
      <c r="B1219" s="82" t="s">
        <v>1638</v>
      </c>
      <c r="C1219" s="82" t="s">
        <v>2035</v>
      </c>
      <c r="D1219" s="82" t="s">
        <v>2034</v>
      </c>
      <c r="H1219" s="82" t="s">
        <v>2035</v>
      </c>
      <c r="I1219" s="83">
        <v>46125.0</v>
      </c>
    </row>
    <row r="1220" ht="22.5" hidden="1" customHeight="1">
      <c r="A1220" s="81">
        <v>46125.46346009259</v>
      </c>
      <c r="B1220" s="82" t="s">
        <v>1603</v>
      </c>
      <c r="C1220" s="82" t="s">
        <v>2035</v>
      </c>
      <c r="D1220" s="82" t="s">
        <v>2034</v>
      </c>
      <c r="H1220" s="82" t="s">
        <v>2035</v>
      </c>
      <c r="I1220" s="83">
        <v>46125.0</v>
      </c>
    </row>
    <row r="1221" ht="22.5" hidden="1" customHeight="1">
      <c r="A1221" s="81">
        <v>46126.467355625005</v>
      </c>
      <c r="B1221" s="82" t="s">
        <v>1555</v>
      </c>
      <c r="C1221" s="82" t="s">
        <v>2035</v>
      </c>
      <c r="D1221" s="82" t="s">
        <v>85</v>
      </c>
      <c r="H1221" s="82" t="s">
        <v>2035</v>
      </c>
      <c r="I1221" s="83">
        <v>46126.0</v>
      </c>
    </row>
    <row r="1222" ht="22.5" hidden="1" customHeight="1">
      <c r="A1222" s="81">
        <v>46126.46793550926</v>
      </c>
      <c r="B1222" s="82" t="s">
        <v>1645</v>
      </c>
      <c r="C1222" s="82" t="s">
        <v>2035</v>
      </c>
      <c r="D1222" s="82" t="s">
        <v>2034</v>
      </c>
      <c r="H1222" s="82" t="s">
        <v>2035</v>
      </c>
      <c r="I1222" s="83">
        <v>46126.0</v>
      </c>
    </row>
    <row r="1223" ht="22.5" hidden="1" customHeight="1">
      <c r="A1223" s="81">
        <v>46126.468194375004</v>
      </c>
      <c r="B1223" s="82" t="s">
        <v>1647</v>
      </c>
      <c r="C1223" s="82" t="s">
        <v>2035</v>
      </c>
      <c r="D1223" s="82" t="s">
        <v>2034</v>
      </c>
      <c r="H1223" s="82" t="s">
        <v>2035</v>
      </c>
      <c r="I1223" s="83">
        <v>46126.0</v>
      </c>
    </row>
    <row r="1224" ht="22.5" hidden="1" customHeight="1">
      <c r="A1224" s="81">
        <v>46126.471741851856</v>
      </c>
      <c r="B1224" s="82" t="s">
        <v>1620</v>
      </c>
      <c r="C1224" s="82" t="s">
        <v>2035</v>
      </c>
      <c r="D1224" s="82" t="s">
        <v>2034</v>
      </c>
      <c r="H1224" s="82" t="s">
        <v>2035</v>
      </c>
      <c r="I1224" s="83">
        <v>46121.0</v>
      </c>
      <c r="J1224" s="84" t="s">
        <v>2938</v>
      </c>
    </row>
    <row r="1225" ht="22.5" hidden="1" customHeight="1">
      <c r="A1225" s="81">
        <v>46126.636487662036</v>
      </c>
      <c r="B1225" s="82" t="s">
        <v>1655</v>
      </c>
      <c r="C1225" s="82" t="s">
        <v>2035</v>
      </c>
      <c r="D1225" s="82" t="s">
        <v>2034</v>
      </c>
      <c r="H1225" s="82" t="s">
        <v>2035</v>
      </c>
      <c r="I1225" s="83">
        <v>46126.0</v>
      </c>
    </row>
    <row r="1226" ht="22.5" hidden="1" customHeight="1">
      <c r="A1226" s="81">
        <v>46126.6588625463</v>
      </c>
      <c r="B1226" s="82" t="s">
        <v>1629</v>
      </c>
      <c r="C1226" s="82" t="s">
        <v>2038</v>
      </c>
      <c r="D1226" s="82" t="s">
        <v>2036</v>
      </c>
      <c r="F1226" s="83">
        <v>46135.0</v>
      </c>
      <c r="G1226" s="84" t="s">
        <v>2939</v>
      </c>
      <c r="H1226" s="82" t="s">
        <v>2035</v>
      </c>
      <c r="I1226" s="83">
        <v>46126.0</v>
      </c>
    </row>
    <row r="1227" ht="22.5" hidden="1" customHeight="1">
      <c r="A1227" s="81">
        <v>46126.65974148148</v>
      </c>
      <c r="B1227" s="82" t="s">
        <v>1413</v>
      </c>
      <c r="C1227" s="82" t="s">
        <v>2038</v>
      </c>
      <c r="D1227" s="82" t="s">
        <v>2036</v>
      </c>
      <c r="F1227" s="83">
        <v>46135.0</v>
      </c>
      <c r="G1227" s="84" t="s">
        <v>2940</v>
      </c>
      <c r="H1227" s="82" t="s">
        <v>2035</v>
      </c>
      <c r="I1227" s="83">
        <v>46126.0</v>
      </c>
    </row>
    <row r="1228" ht="22.5" hidden="1" customHeight="1">
      <c r="A1228" s="81">
        <v>46127.43121002315</v>
      </c>
      <c r="B1228" s="82" t="s">
        <v>1585</v>
      </c>
      <c r="C1228" s="82" t="s">
        <v>2035</v>
      </c>
      <c r="D1228" s="82" t="s">
        <v>2034</v>
      </c>
      <c r="H1228" s="82" t="s">
        <v>2035</v>
      </c>
      <c r="I1228" s="83">
        <v>46127.0</v>
      </c>
      <c r="J1228" s="84" t="s">
        <v>2941</v>
      </c>
    </row>
    <row r="1229" ht="22.5" hidden="1" customHeight="1">
      <c r="A1229" s="81">
        <v>46127.58786704861</v>
      </c>
      <c r="B1229" s="82" t="s">
        <v>1660</v>
      </c>
      <c r="C1229" s="82" t="s">
        <v>2035</v>
      </c>
      <c r="D1229" s="82" t="s">
        <v>2034</v>
      </c>
      <c r="H1229" s="82" t="s">
        <v>2035</v>
      </c>
      <c r="I1229" s="83">
        <v>46127.0</v>
      </c>
      <c r="J1229" s="84" t="s">
        <v>2942</v>
      </c>
    </row>
    <row r="1230" ht="22.5" hidden="1" customHeight="1">
      <c r="A1230" s="81">
        <v>46127.702561157406</v>
      </c>
      <c r="B1230" s="82" t="s">
        <v>1569</v>
      </c>
      <c r="C1230" s="82" t="s">
        <v>2038</v>
      </c>
      <c r="D1230" s="82" t="s">
        <v>2036</v>
      </c>
      <c r="F1230" s="83">
        <v>46136.0</v>
      </c>
      <c r="G1230" s="84" t="s">
        <v>2943</v>
      </c>
      <c r="H1230" s="82" t="s">
        <v>2035</v>
      </c>
      <c r="I1230" s="83">
        <v>46127.0</v>
      </c>
    </row>
    <row r="1231" ht="22.5" hidden="1" customHeight="1">
      <c r="A1231" s="81">
        <v>46127.70434596065</v>
      </c>
      <c r="B1231" s="82" t="s">
        <v>1569</v>
      </c>
      <c r="C1231" s="82" t="s">
        <v>2038</v>
      </c>
      <c r="D1231" s="82" t="s">
        <v>2036</v>
      </c>
      <c r="F1231" s="83">
        <v>46136.0</v>
      </c>
      <c r="G1231" s="84" t="s">
        <v>2944</v>
      </c>
      <c r="H1231" s="82" t="s">
        <v>2035</v>
      </c>
      <c r="I1231" s="83">
        <v>46127.0</v>
      </c>
    </row>
    <row r="1232" ht="22.5" hidden="1" customHeight="1">
      <c r="A1232" s="81">
        <v>46127.704957141206</v>
      </c>
      <c r="B1232" s="82" t="s">
        <v>1658</v>
      </c>
      <c r="C1232" s="82" t="s">
        <v>2038</v>
      </c>
      <c r="D1232" s="82" t="s">
        <v>2036</v>
      </c>
      <c r="F1232" s="83">
        <v>46136.0</v>
      </c>
      <c r="G1232" s="84" t="s">
        <v>2945</v>
      </c>
      <c r="H1232" s="82" t="s">
        <v>2035</v>
      </c>
      <c r="I1232" s="83">
        <v>46127.0</v>
      </c>
    </row>
    <row r="1233" ht="22.5" hidden="1" customHeight="1">
      <c r="A1233" s="81">
        <v>46127.70559884259</v>
      </c>
      <c r="B1233" s="82" t="s">
        <v>1572</v>
      </c>
      <c r="C1233" s="82" t="s">
        <v>2038</v>
      </c>
      <c r="D1233" s="82" t="s">
        <v>2036</v>
      </c>
      <c r="F1233" s="83">
        <v>46136.0</v>
      </c>
      <c r="G1233" s="84" t="s">
        <v>2946</v>
      </c>
      <c r="H1233" s="82" t="s">
        <v>2035</v>
      </c>
      <c r="I1233" s="83">
        <v>46127.0</v>
      </c>
    </row>
    <row r="1234" ht="22.5" hidden="1" customHeight="1">
      <c r="A1234" s="81">
        <v>46127.70644359954</v>
      </c>
      <c r="B1234" s="82" t="s">
        <v>1561</v>
      </c>
      <c r="C1234" s="82" t="s">
        <v>2038</v>
      </c>
      <c r="D1234" s="82" t="s">
        <v>2036</v>
      </c>
      <c r="F1234" s="83">
        <v>46136.0</v>
      </c>
      <c r="G1234" s="84" t="s">
        <v>2947</v>
      </c>
      <c r="H1234" s="82" t="s">
        <v>2035</v>
      </c>
      <c r="I1234" s="83">
        <v>46127.0</v>
      </c>
    </row>
    <row r="1235" ht="22.5" hidden="1" customHeight="1">
      <c r="A1235" s="81">
        <v>46127.70686734954</v>
      </c>
      <c r="B1235" s="82" t="s">
        <v>1563</v>
      </c>
      <c r="C1235" s="82" t="s">
        <v>2038</v>
      </c>
      <c r="D1235" s="82" t="s">
        <v>2036</v>
      </c>
      <c r="F1235" s="83">
        <v>46136.0</v>
      </c>
      <c r="G1235" s="84" t="s">
        <v>2948</v>
      </c>
      <c r="H1235" s="82" t="s">
        <v>2035</v>
      </c>
      <c r="I1235" s="83">
        <v>46127.0</v>
      </c>
    </row>
    <row r="1236" ht="22.5" hidden="1" customHeight="1">
      <c r="A1236" s="81">
        <v>46128.634569340276</v>
      </c>
      <c r="B1236" s="82" t="s">
        <v>1394</v>
      </c>
      <c r="C1236" s="82" t="s">
        <v>2038</v>
      </c>
      <c r="D1236" s="82" t="s">
        <v>2034</v>
      </c>
      <c r="H1236" s="82" t="s">
        <v>2035</v>
      </c>
      <c r="I1236" s="83">
        <v>46128.0</v>
      </c>
      <c r="J1236" s="84" t="s">
        <v>2949</v>
      </c>
    </row>
    <row r="1237" ht="22.5" hidden="1" customHeight="1">
      <c r="A1237" s="81">
        <v>46128.635141631945</v>
      </c>
      <c r="B1237" s="82" t="s">
        <v>1606</v>
      </c>
      <c r="C1237" s="82" t="s">
        <v>2038</v>
      </c>
      <c r="D1237" s="82" t="s">
        <v>2034</v>
      </c>
      <c r="H1237" s="82" t="s">
        <v>2035</v>
      </c>
      <c r="I1237" s="83">
        <v>46128.0</v>
      </c>
      <c r="J1237" s="84" t="s">
        <v>2950</v>
      </c>
    </row>
    <row r="1238" ht="22.5" hidden="1" customHeight="1">
      <c r="A1238" s="81">
        <v>46128.63597537037</v>
      </c>
      <c r="B1238" s="82" t="s">
        <v>1665</v>
      </c>
      <c r="C1238" s="82" t="s">
        <v>2038</v>
      </c>
      <c r="D1238" s="82" t="s">
        <v>2036</v>
      </c>
      <c r="F1238" s="83">
        <v>46140.0</v>
      </c>
      <c r="G1238" s="84" t="s">
        <v>2951</v>
      </c>
      <c r="H1238" s="82" t="s">
        <v>2035</v>
      </c>
      <c r="I1238" s="83">
        <v>46128.0</v>
      </c>
    </row>
    <row r="1239" ht="22.5" hidden="1" customHeight="1">
      <c r="A1239" s="81">
        <v>46128.655822650464</v>
      </c>
      <c r="B1239" s="82" t="s">
        <v>1609</v>
      </c>
      <c r="C1239" s="82" t="s">
        <v>2035</v>
      </c>
      <c r="D1239" s="82" t="s">
        <v>2034</v>
      </c>
      <c r="H1239" s="82" t="s">
        <v>2035</v>
      </c>
      <c r="I1239" s="83">
        <v>46128.0</v>
      </c>
    </row>
    <row r="1240" ht="22.5" hidden="1" customHeight="1">
      <c r="A1240" s="81">
        <v>46128.65808302083</v>
      </c>
      <c r="B1240" s="82" t="s">
        <v>1212</v>
      </c>
      <c r="C1240" s="82" t="s">
        <v>2035</v>
      </c>
      <c r="D1240" s="82" t="s">
        <v>2034</v>
      </c>
      <c r="H1240" s="82" t="s">
        <v>2035</v>
      </c>
      <c r="I1240" s="83">
        <v>46056.0</v>
      </c>
      <c r="J1240" s="84" t="s">
        <v>2952</v>
      </c>
    </row>
    <row r="1241" ht="22.5" hidden="1" customHeight="1">
      <c r="A1241" s="81">
        <v>46128.659474155094</v>
      </c>
      <c r="B1241" s="82" t="s">
        <v>1347</v>
      </c>
      <c r="C1241" s="82" t="s">
        <v>2038</v>
      </c>
      <c r="D1241" s="82" t="s">
        <v>2034</v>
      </c>
      <c r="H1241" s="82" t="s">
        <v>2035</v>
      </c>
      <c r="I1241" s="83">
        <v>46091.0</v>
      </c>
      <c r="J1241" s="84" t="s">
        <v>2953</v>
      </c>
    </row>
    <row r="1242" ht="22.5" hidden="1" customHeight="1">
      <c r="A1242" s="81">
        <v>46128.662243935185</v>
      </c>
      <c r="B1242" s="82" t="s">
        <v>1198</v>
      </c>
      <c r="C1242" s="82" t="s">
        <v>2038</v>
      </c>
      <c r="D1242" s="82" t="s">
        <v>2034</v>
      </c>
      <c r="H1242" s="82" t="s">
        <v>2035</v>
      </c>
      <c r="I1242" s="83">
        <v>46057.0</v>
      </c>
      <c r="J1242" s="84" t="s">
        <v>2954</v>
      </c>
    </row>
    <row r="1243" ht="22.5" hidden="1" customHeight="1">
      <c r="A1243" s="81">
        <v>46128.66569913195</v>
      </c>
      <c r="B1243" s="82" t="s">
        <v>1215</v>
      </c>
      <c r="C1243" s="82" t="s">
        <v>2038</v>
      </c>
      <c r="D1243" s="82" t="s">
        <v>2034</v>
      </c>
      <c r="H1243" s="82" t="s">
        <v>2035</v>
      </c>
      <c r="I1243" s="83">
        <v>46059.0</v>
      </c>
      <c r="J1243" s="84" t="s">
        <v>2955</v>
      </c>
    </row>
    <row r="1244" ht="22.5" hidden="1" customHeight="1">
      <c r="A1244" s="81">
        <v>46128.669413599535</v>
      </c>
      <c r="B1244" s="82" t="s">
        <v>1399</v>
      </c>
      <c r="C1244" s="82" t="s">
        <v>2038</v>
      </c>
      <c r="D1244" s="82" t="s">
        <v>2034</v>
      </c>
      <c r="H1244" s="82" t="s">
        <v>2035</v>
      </c>
      <c r="I1244" s="83">
        <v>46122.0</v>
      </c>
      <c r="J1244" s="84" t="s">
        <v>2956</v>
      </c>
    </row>
    <row r="1245" ht="22.5" hidden="1" customHeight="1">
      <c r="A1245" s="81">
        <v>46128.671806377315</v>
      </c>
      <c r="B1245" s="82" t="s">
        <v>1406</v>
      </c>
      <c r="C1245" s="82" t="s">
        <v>2035</v>
      </c>
      <c r="D1245" s="82" t="s">
        <v>2034</v>
      </c>
      <c r="H1245" s="82" t="s">
        <v>2035</v>
      </c>
      <c r="I1245" s="83">
        <v>46105.0</v>
      </c>
      <c r="J1245" s="84" t="s">
        <v>2957</v>
      </c>
    </row>
    <row r="1246" ht="22.5" hidden="1" customHeight="1">
      <c r="A1246" s="81">
        <v>46128.67221337963</v>
      </c>
      <c r="B1246" s="82" t="s">
        <v>1408</v>
      </c>
      <c r="C1246" s="82" t="s">
        <v>2035</v>
      </c>
      <c r="D1246" s="82" t="s">
        <v>2034</v>
      </c>
      <c r="H1246" s="82" t="s">
        <v>2035</v>
      </c>
      <c r="I1246" s="83">
        <v>46105.0</v>
      </c>
      <c r="J1246" s="84" t="s">
        <v>2958</v>
      </c>
    </row>
    <row r="1247" ht="22.5" hidden="1" customHeight="1">
      <c r="A1247" s="81">
        <v>46128.67645788194</v>
      </c>
      <c r="B1247" s="82" t="s">
        <v>1479</v>
      </c>
      <c r="C1247" s="82" t="s">
        <v>2038</v>
      </c>
      <c r="D1247" s="82" t="s">
        <v>2036</v>
      </c>
      <c r="F1247" s="83">
        <v>46135.0</v>
      </c>
      <c r="G1247" s="84" t="s">
        <v>2959</v>
      </c>
      <c r="H1247" s="82" t="s">
        <v>2035</v>
      </c>
      <c r="I1247" s="83">
        <v>46125.0</v>
      </c>
    </row>
    <row r="1248" ht="22.5" hidden="1" customHeight="1">
      <c r="A1248" s="81">
        <v>46128.67704657407</v>
      </c>
      <c r="B1248" s="82" t="s">
        <v>2960</v>
      </c>
      <c r="C1248" s="82" t="s">
        <v>2038</v>
      </c>
      <c r="D1248" s="82" t="s">
        <v>2036</v>
      </c>
      <c r="F1248" s="83">
        <v>46135.0</v>
      </c>
      <c r="G1248" s="84" t="s">
        <v>2961</v>
      </c>
      <c r="H1248" s="82" t="s">
        <v>2035</v>
      </c>
      <c r="I1248" s="83">
        <v>46125.0</v>
      </c>
    </row>
    <row r="1249" ht="22.5" hidden="1" customHeight="1">
      <c r="A1249" s="81">
        <v>46129.463720370375</v>
      </c>
      <c r="B1249" s="82" t="s">
        <v>1613</v>
      </c>
      <c r="C1249" s="82" t="s">
        <v>2038</v>
      </c>
      <c r="D1249" s="82" t="s">
        <v>2034</v>
      </c>
      <c r="H1249" s="82" t="s">
        <v>2035</v>
      </c>
      <c r="I1249" s="83">
        <v>46129.0</v>
      </c>
      <c r="J1249" s="84" t="s">
        <v>2962</v>
      </c>
    </row>
    <row r="1250" ht="22.5" hidden="1" customHeight="1">
      <c r="A1250" s="81">
        <v>46129.63997054398</v>
      </c>
      <c r="B1250" s="82" t="s">
        <v>1673</v>
      </c>
      <c r="C1250" s="82" t="s">
        <v>2035</v>
      </c>
      <c r="D1250" s="82" t="s">
        <v>2036</v>
      </c>
      <c r="F1250" s="83">
        <v>46157.0</v>
      </c>
      <c r="G1250" s="84" t="s">
        <v>2963</v>
      </c>
      <c r="H1250" s="82" t="s">
        <v>2035</v>
      </c>
      <c r="I1250" s="83">
        <v>46129.0</v>
      </c>
    </row>
    <row r="1251" ht="22.5" hidden="1" customHeight="1">
      <c r="A1251" s="81">
        <v>46129.64022134259</v>
      </c>
      <c r="B1251" s="82" t="s">
        <v>1663</v>
      </c>
      <c r="C1251" s="82" t="s">
        <v>2035</v>
      </c>
      <c r="D1251" s="82" t="s">
        <v>2034</v>
      </c>
      <c r="H1251" s="82" t="s">
        <v>2035</v>
      </c>
      <c r="I1251" s="83">
        <v>46128.0</v>
      </c>
    </row>
    <row r="1252" ht="22.5" hidden="1" customHeight="1">
      <c r="A1252" s="81">
        <v>46132.41586738426</v>
      </c>
      <c r="B1252" s="82" t="s">
        <v>1068</v>
      </c>
      <c r="C1252" s="82" t="s">
        <v>2038</v>
      </c>
      <c r="D1252" s="82" t="s">
        <v>2036</v>
      </c>
      <c r="F1252" s="83">
        <v>46141.0</v>
      </c>
      <c r="G1252" s="84" t="s">
        <v>2964</v>
      </c>
      <c r="H1252" s="82" t="s">
        <v>2035</v>
      </c>
      <c r="I1252" s="83">
        <v>46129.0</v>
      </c>
    </row>
    <row r="1253" ht="22.5" hidden="1" customHeight="1">
      <c r="A1253" s="81">
        <v>46132.42295760417</v>
      </c>
      <c r="B1253" s="82" t="s">
        <v>1667</v>
      </c>
      <c r="C1253" s="82" t="s">
        <v>2038</v>
      </c>
      <c r="D1253" s="82" t="s">
        <v>2036</v>
      </c>
      <c r="F1253" s="83">
        <v>46141.0</v>
      </c>
      <c r="G1253" s="84" t="s">
        <v>2965</v>
      </c>
      <c r="H1253" s="82" t="s">
        <v>2035</v>
      </c>
      <c r="I1253" s="83">
        <v>46129.0</v>
      </c>
    </row>
    <row r="1254" ht="22.5" hidden="1" customHeight="1">
      <c r="A1254" s="81">
        <v>46132.423362939815</v>
      </c>
      <c r="B1254" s="82" t="s">
        <v>1669</v>
      </c>
      <c r="C1254" s="82" t="s">
        <v>2038</v>
      </c>
      <c r="D1254" s="82" t="s">
        <v>2036</v>
      </c>
      <c r="F1254" s="83">
        <v>46141.0</v>
      </c>
      <c r="G1254" s="84" t="s">
        <v>2966</v>
      </c>
      <c r="H1254" s="82" t="s">
        <v>2035</v>
      </c>
      <c r="I1254" s="83">
        <v>46129.0</v>
      </c>
    </row>
    <row r="1255" ht="22.5" hidden="1" customHeight="1">
      <c r="A1255" s="81">
        <v>46132.46710915509</v>
      </c>
      <c r="B1255" s="82" t="s">
        <v>2967</v>
      </c>
      <c r="C1255" s="82" t="s">
        <v>2035</v>
      </c>
      <c r="D1255" s="82" t="s">
        <v>2034</v>
      </c>
      <c r="H1255" s="82" t="s">
        <v>2035</v>
      </c>
      <c r="I1255" s="83">
        <v>46132.0</v>
      </c>
      <c r="J1255" s="84" t="s">
        <v>2968</v>
      </c>
    </row>
    <row r="1256" ht="22.5" hidden="1" customHeight="1">
      <c r="A1256" s="81">
        <v>46132.56932712963</v>
      </c>
      <c r="B1256" s="82" t="s">
        <v>1679</v>
      </c>
      <c r="C1256" s="82" t="s">
        <v>2035</v>
      </c>
      <c r="D1256" s="82" t="s">
        <v>2034</v>
      </c>
      <c r="H1256" s="82" t="s">
        <v>2035</v>
      </c>
      <c r="I1256" s="83">
        <v>46132.0</v>
      </c>
    </row>
    <row r="1257" ht="22.5" hidden="1" customHeight="1">
      <c r="A1257" s="81">
        <v>46132.57117293982</v>
      </c>
      <c r="B1257" s="82" t="s">
        <v>1680</v>
      </c>
      <c r="C1257" s="82" t="s">
        <v>2035</v>
      </c>
      <c r="D1257" s="82" t="s">
        <v>2034</v>
      </c>
      <c r="H1257" s="82" t="s">
        <v>2035</v>
      </c>
      <c r="I1257" s="83">
        <v>46132.0</v>
      </c>
    </row>
    <row r="1258" ht="22.5" hidden="1" customHeight="1">
      <c r="A1258" s="81">
        <v>46132.57141954861</v>
      </c>
      <c r="B1258" s="82" t="s">
        <v>1682</v>
      </c>
      <c r="C1258" s="82" t="s">
        <v>2035</v>
      </c>
      <c r="D1258" s="82" t="s">
        <v>2034</v>
      </c>
      <c r="H1258" s="82" t="s">
        <v>2035</v>
      </c>
      <c r="I1258" s="83">
        <v>46132.0</v>
      </c>
    </row>
    <row r="1259" ht="22.5" hidden="1" customHeight="1">
      <c r="A1259" s="81">
        <v>46132.57189394676</v>
      </c>
      <c r="B1259" s="82" t="s">
        <v>1684</v>
      </c>
      <c r="C1259" s="82" t="s">
        <v>2038</v>
      </c>
      <c r="D1259" s="82" t="s">
        <v>2036</v>
      </c>
      <c r="F1259" s="83">
        <v>46141.0</v>
      </c>
      <c r="G1259" s="84" t="s">
        <v>2969</v>
      </c>
      <c r="H1259" s="82" t="s">
        <v>2035</v>
      </c>
      <c r="I1259" s="83">
        <v>46129.0</v>
      </c>
    </row>
    <row r="1260" ht="22.5" hidden="1" customHeight="1">
      <c r="A1260" s="81">
        <v>46132.6361740625</v>
      </c>
      <c r="B1260" s="82" t="s">
        <v>1652</v>
      </c>
      <c r="C1260" s="82" t="s">
        <v>2038</v>
      </c>
      <c r="D1260" s="82" t="s">
        <v>2036</v>
      </c>
      <c r="F1260" s="83">
        <v>46147.0</v>
      </c>
      <c r="G1260" s="84" t="s">
        <v>2970</v>
      </c>
      <c r="H1260" s="82" t="s">
        <v>2035</v>
      </c>
      <c r="I1260" s="83">
        <v>46132.0</v>
      </c>
    </row>
    <row r="1261" ht="22.5" hidden="1" customHeight="1">
      <c r="A1261" s="81">
        <v>46132.637045497686</v>
      </c>
      <c r="B1261" s="82" t="s">
        <v>1649</v>
      </c>
      <c r="C1261" s="82" t="s">
        <v>2038</v>
      </c>
      <c r="D1261" s="82" t="s">
        <v>2036</v>
      </c>
      <c r="F1261" s="83">
        <v>46147.0</v>
      </c>
      <c r="G1261" s="84" t="s">
        <v>2971</v>
      </c>
      <c r="H1261" s="82" t="s">
        <v>2035</v>
      </c>
      <c r="I1261" s="83">
        <v>46132.0</v>
      </c>
    </row>
    <row r="1262" ht="22.5" hidden="1" customHeight="1">
      <c r="A1262" s="81">
        <v>46133.485197789356</v>
      </c>
      <c r="B1262" s="82" t="s">
        <v>1445</v>
      </c>
      <c r="C1262" s="82" t="s">
        <v>2035</v>
      </c>
      <c r="D1262" s="82" t="s">
        <v>85</v>
      </c>
      <c r="H1262" s="82" t="s">
        <v>2035</v>
      </c>
      <c r="I1262" s="83">
        <v>46133.0</v>
      </c>
    </row>
    <row r="1263" ht="22.5" hidden="1" customHeight="1">
      <c r="A1263" s="81">
        <v>46133.572211875</v>
      </c>
      <c r="B1263" s="82" t="s">
        <v>981</v>
      </c>
      <c r="C1263" s="82" t="s">
        <v>2038</v>
      </c>
      <c r="D1263" s="82" t="s">
        <v>2036</v>
      </c>
      <c r="F1263" s="83">
        <v>46147.0</v>
      </c>
      <c r="G1263" s="84" t="s">
        <v>2972</v>
      </c>
      <c r="H1263" s="82" t="s">
        <v>2035</v>
      </c>
      <c r="I1263" s="83">
        <v>46133.0</v>
      </c>
    </row>
    <row r="1264" ht="22.5" hidden="1" customHeight="1">
      <c r="A1264" s="81">
        <v>46133.57288305556</v>
      </c>
      <c r="B1264" s="82" t="s">
        <v>1542</v>
      </c>
      <c r="C1264" s="82" t="s">
        <v>2038</v>
      </c>
      <c r="D1264" s="82" t="s">
        <v>2036</v>
      </c>
      <c r="F1264" s="83">
        <v>46147.0</v>
      </c>
      <c r="G1264" s="84" t="s">
        <v>2973</v>
      </c>
      <c r="H1264" s="82" t="s">
        <v>2035</v>
      </c>
      <c r="I1264" s="83">
        <v>46133.0</v>
      </c>
    </row>
    <row r="1265" ht="22.5" hidden="1" customHeight="1">
      <c r="A1265" s="81">
        <v>46133.58758709491</v>
      </c>
      <c r="B1265" s="82" t="s">
        <v>1690</v>
      </c>
      <c r="C1265" s="82" t="s">
        <v>2035</v>
      </c>
      <c r="D1265" s="82" t="s">
        <v>2036</v>
      </c>
      <c r="F1265" s="83">
        <v>46135.0</v>
      </c>
      <c r="G1265" s="84" t="s">
        <v>2974</v>
      </c>
      <c r="H1265" s="82" t="s">
        <v>2035</v>
      </c>
      <c r="I1265" s="83">
        <v>46132.0</v>
      </c>
    </row>
    <row r="1266" ht="22.5" hidden="1" customHeight="1">
      <c r="A1266" s="81">
        <v>46133.65234738426</v>
      </c>
      <c r="B1266" s="82" t="s">
        <v>1599</v>
      </c>
      <c r="C1266" s="82" t="s">
        <v>2038</v>
      </c>
      <c r="D1266" s="82" t="s">
        <v>2034</v>
      </c>
      <c r="H1266" s="82" t="s">
        <v>2035</v>
      </c>
      <c r="I1266" s="83">
        <v>46133.0</v>
      </c>
      <c r="J1266" s="84" t="s">
        <v>2975</v>
      </c>
    </row>
    <row r="1267" ht="22.5" hidden="1" customHeight="1">
      <c r="A1267" s="81">
        <v>46133.653105798614</v>
      </c>
      <c r="B1267" s="82" t="s">
        <v>1162</v>
      </c>
      <c r="C1267" s="82" t="s">
        <v>2038</v>
      </c>
      <c r="D1267" s="82" t="s">
        <v>2034</v>
      </c>
      <c r="H1267" s="82" t="s">
        <v>2035</v>
      </c>
      <c r="I1267" s="83">
        <v>46133.0</v>
      </c>
      <c r="J1267" s="84" t="s">
        <v>2976</v>
      </c>
    </row>
    <row r="1268" ht="22.5" hidden="1" customHeight="1">
      <c r="A1268" s="81">
        <v>46133.65373278935</v>
      </c>
      <c r="B1268" s="82" t="s">
        <v>1596</v>
      </c>
      <c r="C1268" s="82" t="s">
        <v>2038</v>
      </c>
      <c r="D1268" s="82" t="s">
        <v>2034</v>
      </c>
      <c r="H1268" s="82" t="s">
        <v>2035</v>
      </c>
      <c r="I1268" s="83">
        <v>46133.0</v>
      </c>
      <c r="J1268" s="84" t="s">
        <v>2977</v>
      </c>
    </row>
    <row r="1269" ht="22.5" hidden="1" customHeight="1">
      <c r="A1269" s="81">
        <v>46134.60847071759</v>
      </c>
      <c r="B1269" s="82" t="s">
        <v>196</v>
      </c>
      <c r="C1269" s="82" t="s">
        <v>2038</v>
      </c>
      <c r="D1269" s="82" t="s">
        <v>2036</v>
      </c>
      <c r="F1269" s="83">
        <v>46147.0</v>
      </c>
      <c r="G1269" s="84" t="s">
        <v>2978</v>
      </c>
      <c r="H1269" s="82" t="s">
        <v>2035</v>
      </c>
      <c r="I1269" s="83">
        <v>46133.0</v>
      </c>
    </row>
    <row r="1270" ht="22.5" hidden="1" customHeight="1">
      <c r="A1270" s="81">
        <v>46134.60904769676</v>
      </c>
      <c r="B1270" s="82" t="s">
        <v>198</v>
      </c>
      <c r="C1270" s="82" t="s">
        <v>2038</v>
      </c>
      <c r="D1270" s="82" t="s">
        <v>2036</v>
      </c>
      <c r="F1270" s="83">
        <v>46147.0</v>
      </c>
      <c r="G1270" s="84" t="s">
        <v>2979</v>
      </c>
      <c r="H1270" s="82" t="s">
        <v>2035</v>
      </c>
      <c r="I1270" s="83">
        <v>46133.0</v>
      </c>
    </row>
    <row r="1271" ht="22.5" hidden="1" customHeight="1">
      <c r="A1271" s="81">
        <v>46134.60972070602</v>
      </c>
      <c r="B1271" s="82" t="s">
        <v>1450</v>
      </c>
      <c r="C1271" s="82" t="s">
        <v>2038</v>
      </c>
      <c r="D1271" s="82" t="s">
        <v>2036</v>
      </c>
      <c r="F1271" s="83">
        <v>46147.0</v>
      </c>
      <c r="G1271" s="84" t="s">
        <v>2980</v>
      </c>
      <c r="H1271" s="82" t="s">
        <v>2035</v>
      </c>
      <c r="I1271" s="83">
        <v>46133.0</v>
      </c>
    </row>
    <row r="1272" ht="22.5" hidden="1" customHeight="1">
      <c r="A1272" s="81">
        <v>46134.61070880787</v>
      </c>
      <c r="B1272" s="82" t="s">
        <v>1312</v>
      </c>
      <c r="C1272" s="82" t="s">
        <v>2038</v>
      </c>
      <c r="D1272" s="82" t="s">
        <v>2036</v>
      </c>
      <c r="F1272" s="83">
        <v>46148.0</v>
      </c>
      <c r="G1272" s="84" t="s">
        <v>2981</v>
      </c>
      <c r="H1272" s="82" t="s">
        <v>2035</v>
      </c>
      <c r="I1272" s="83">
        <v>46134.0</v>
      </c>
    </row>
    <row r="1273" ht="22.5" hidden="1" customHeight="1">
      <c r="A1273" s="81">
        <v>46134.611067060185</v>
      </c>
      <c r="B1273" s="82" t="s">
        <v>1695</v>
      </c>
      <c r="C1273" s="82" t="s">
        <v>2035</v>
      </c>
      <c r="D1273" s="82" t="s">
        <v>2034</v>
      </c>
      <c r="H1273" s="82" t="s">
        <v>2035</v>
      </c>
      <c r="I1273" s="83">
        <v>46134.0</v>
      </c>
    </row>
    <row r="1274" ht="22.5" hidden="1" customHeight="1">
      <c r="A1274" s="81">
        <v>46134.616773217596</v>
      </c>
      <c r="B1274" s="82" t="s">
        <v>1550</v>
      </c>
      <c r="C1274" s="82" t="s">
        <v>2038</v>
      </c>
      <c r="D1274" s="82" t="s">
        <v>2034</v>
      </c>
      <c r="H1274" s="82" t="s">
        <v>2035</v>
      </c>
      <c r="I1274" s="83">
        <v>46134.0</v>
      </c>
      <c r="J1274" s="84" t="s">
        <v>2982</v>
      </c>
    </row>
    <row r="1275" ht="22.5" hidden="1" customHeight="1">
      <c r="A1275" s="81">
        <v>46135.59414689815</v>
      </c>
      <c r="B1275" s="82" t="s">
        <v>1625</v>
      </c>
      <c r="C1275" s="82" t="s">
        <v>2038</v>
      </c>
      <c r="D1275" s="82" t="s">
        <v>2036</v>
      </c>
      <c r="F1275" s="83">
        <v>46149.0</v>
      </c>
      <c r="G1275" s="84" t="s">
        <v>2983</v>
      </c>
      <c r="H1275" s="82" t="s">
        <v>2035</v>
      </c>
      <c r="I1275" s="83">
        <v>46135.0</v>
      </c>
    </row>
    <row r="1276" ht="22.5" hidden="1" customHeight="1">
      <c r="A1276" s="81">
        <v>46135.59584956018</v>
      </c>
      <c r="B1276" s="82" t="s">
        <v>1479</v>
      </c>
      <c r="C1276" s="82" t="s">
        <v>2038</v>
      </c>
      <c r="D1276" s="82" t="s">
        <v>2036</v>
      </c>
      <c r="F1276" s="83">
        <v>46149.0</v>
      </c>
      <c r="G1276" s="84" t="s">
        <v>2984</v>
      </c>
      <c r="H1276" s="82" t="s">
        <v>2035</v>
      </c>
      <c r="I1276" s="83">
        <v>46135.0</v>
      </c>
    </row>
    <row r="1277" ht="22.5" hidden="1" customHeight="1">
      <c r="A1277" s="81">
        <v>46135.59629336806</v>
      </c>
      <c r="B1277" s="82" t="s">
        <v>2960</v>
      </c>
      <c r="C1277" s="82" t="s">
        <v>2038</v>
      </c>
      <c r="D1277" s="82" t="s">
        <v>2036</v>
      </c>
      <c r="F1277" s="83">
        <v>46149.0</v>
      </c>
      <c r="G1277" s="84" t="s">
        <v>2985</v>
      </c>
      <c r="H1277" s="82" t="s">
        <v>2035</v>
      </c>
      <c r="I1277" s="83">
        <v>46135.0</v>
      </c>
    </row>
    <row r="1278" ht="22.5" hidden="1" customHeight="1">
      <c r="A1278" s="81">
        <v>46135.59861023148</v>
      </c>
      <c r="B1278" s="82" t="s">
        <v>1563</v>
      </c>
      <c r="C1278" s="82" t="s">
        <v>2038</v>
      </c>
      <c r="D1278" s="82" t="s">
        <v>2034</v>
      </c>
      <c r="H1278" s="82" t="s">
        <v>2035</v>
      </c>
      <c r="I1278" s="83">
        <v>46135.0</v>
      </c>
      <c r="J1278" s="84" t="s">
        <v>2986</v>
      </c>
    </row>
    <row r="1279" ht="22.5" hidden="1" customHeight="1">
      <c r="A1279" s="81">
        <v>46135.599097569444</v>
      </c>
      <c r="B1279" s="82" t="s">
        <v>1569</v>
      </c>
      <c r="C1279" s="82" t="s">
        <v>2038</v>
      </c>
      <c r="D1279" s="82" t="s">
        <v>2034</v>
      </c>
      <c r="H1279" s="82" t="s">
        <v>2035</v>
      </c>
      <c r="I1279" s="83">
        <v>46135.0</v>
      </c>
      <c r="J1279" s="84" t="s">
        <v>2987</v>
      </c>
    </row>
    <row r="1280" ht="22.5" hidden="1" customHeight="1">
      <c r="A1280" s="81">
        <v>46135.59983416667</v>
      </c>
      <c r="B1280" s="82" t="s">
        <v>1561</v>
      </c>
      <c r="C1280" s="82" t="s">
        <v>2038</v>
      </c>
      <c r="D1280" s="82" t="s">
        <v>2034</v>
      </c>
      <c r="H1280" s="82" t="s">
        <v>2035</v>
      </c>
      <c r="I1280" s="83">
        <v>46135.0</v>
      </c>
      <c r="J1280" s="84" t="s">
        <v>2988</v>
      </c>
    </row>
    <row r="1281" ht="22.5" hidden="1" customHeight="1">
      <c r="A1281" s="81">
        <v>46135.60034913194</v>
      </c>
      <c r="B1281" s="82" t="s">
        <v>1658</v>
      </c>
      <c r="C1281" s="82" t="s">
        <v>2038</v>
      </c>
      <c r="D1281" s="82" t="s">
        <v>2034</v>
      </c>
      <c r="H1281" s="82" t="s">
        <v>2035</v>
      </c>
      <c r="I1281" s="83">
        <v>46135.0</v>
      </c>
      <c r="J1281" s="84" t="s">
        <v>2989</v>
      </c>
    </row>
    <row r="1282" ht="22.5" hidden="1" customHeight="1">
      <c r="A1282" s="81">
        <v>46135.600916678246</v>
      </c>
      <c r="B1282" s="82" t="s">
        <v>1572</v>
      </c>
      <c r="C1282" s="82" t="s">
        <v>2038</v>
      </c>
      <c r="D1282" s="82" t="s">
        <v>2034</v>
      </c>
      <c r="H1282" s="82" t="s">
        <v>2035</v>
      </c>
      <c r="I1282" s="83">
        <v>46135.0</v>
      </c>
      <c r="J1282" s="84" t="s">
        <v>2990</v>
      </c>
    </row>
    <row r="1283" ht="22.5" hidden="1" customHeight="1">
      <c r="A1283" s="81">
        <v>46135.69149054398</v>
      </c>
      <c r="B1283" s="82" t="s">
        <v>1656</v>
      </c>
      <c r="C1283" s="82" t="s">
        <v>2035</v>
      </c>
      <c r="D1283" s="82" t="s">
        <v>85</v>
      </c>
      <c r="H1283" s="82" t="s">
        <v>2035</v>
      </c>
      <c r="I1283" s="83">
        <v>46135.0</v>
      </c>
    </row>
    <row r="1284" ht="22.5" hidden="1" customHeight="1">
      <c r="A1284" s="81">
        <v>46135.69192913194</v>
      </c>
      <c r="B1284" s="82" t="s">
        <v>1601</v>
      </c>
      <c r="C1284" s="82" t="s">
        <v>2035</v>
      </c>
      <c r="D1284" s="82" t="s">
        <v>85</v>
      </c>
      <c r="H1284" s="82" t="s">
        <v>2035</v>
      </c>
      <c r="I1284" s="83">
        <v>46135.0</v>
      </c>
    </row>
    <row r="1285" ht="22.5" hidden="1" customHeight="1">
      <c r="A1285" s="81">
        <v>46135.69485141204</v>
      </c>
      <c r="B1285" s="82" t="s">
        <v>1341</v>
      </c>
      <c r="C1285" s="82" t="s">
        <v>2035</v>
      </c>
      <c r="D1285" s="82" t="s">
        <v>85</v>
      </c>
      <c r="H1285" s="82" t="s">
        <v>2035</v>
      </c>
      <c r="I1285" s="83">
        <v>46135.0</v>
      </c>
    </row>
    <row r="1286" ht="22.5" hidden="1" customHeight="1">
      <c r="A1286" s="81">
        <v>46135.6951908912</v>
      </c>
      <c r="B1286" s="82" t="s">
        <v>1559</v>
      </c>
      <c r="C1286" s="82" t="s">
        <v>2035</v>
      </c>
      <c r="D1286" s="82" t="s">
        <v>85</v>
      </c>
      <c r="H1286" s="82" t="s">
        <v>2035</v>
      </c>
      <c r="I1286" s="83">
        <v>46135.0</v>
      </c>
    </row>
    <row r="1287" ht="22.5" hidden="1" customHeight="1">
      <c r="A1287" s="81">
        <v>46135.70081415509</v>
      </c>
      <c r="B1287" s="82" t="s">
        <v>1676</v>
      </c>
      <c r="C1287" s="82" t="s">
        <v>2035</v>
      </c>
      <c r="D1287" s="82" t="s">
        <v>2036</v>
      </c>
      <c r="F1287" s="83">
        <v>46167.0</v>
      </c>
      <c r="G1287" s="84" t="s">
        <v>2991</v>
      </c>
      <c r="H1287" s="82" t="s">
        <v>2035</v>
      </c>
      <c r="I1287" s="83">
        <v>46135.0</v>
      </c>
    </row>
    <row r="1288" ht="22.5" hidden="1" customHeight="1">
      <c r="A1288" s="81">
        <v>46135.70176024306</v>
      </c>
      <c r="B1288" s="82" t="s">
        <v>1194</v>
      </c>
      <c r="C1288" s="82" t="s">
        <v>2038</v>
      </c>
      <c r="D1288" s="82" t="s">
        <v>2036</v>
      </c>
      <c r="F1288" s="83">
        <v>46136.0</v>
      </c>
      <c r="G1288" s="84" t="s">
        <v>2992</v>
      </c>
      <c r="H1288" s="82" t="s">
        <v>2035</v>
      </c>
      <c r="I1288" s="83">
        <v>46127.0</v>
      </c>
    </row>
    <row r="1289" ht="22.5" hidden="1" customHeight="1">
      <c r="A1289" s="81">
        <v>46135.70872314815</v>
      </c>
      <c r="B1289" s="82" t="s">
        <v>1031</v>
      </c>
      <c r="C1289" s="82" t="s">
        <v>2035</v>
      </c>
      <c r="D1289" s="82" t="s">
        <v>85</v>
      </c>
      <c r="H1289" s="82" t="s">
        <v>2035</v>
      </c>
      <c r="I1289" s="83">
        <v>46135.0</v>
      </c>
    </row>
    <row r="1290" ht="22.5" hidden="1" customHeight="1">
      <c r="A1290" s="81">
        <v>46135.71268114583</v>
      </c>
      <c r="B1290" s="82" t="s">
        <v>1691</v>
      </c>
      <c r="C1290" s="82" t="s">
        <v>2035</v>
      </c>
      <c r="D1290" s="82" t="s">
        <v>2036</v>
      </c>
      <c r="F1290" s="83">
        <v>46167.0</v>
      </c>
      <c r="G1290" s="84" t="s">
        <v>2993</v>
      </c>
      <c r="H1290" s="82" t="s">
        <v>2035</v>
      </c>
      <c r="I1290" s="83">
        <v>46135.0</v>
      </c>
    </row>
    <row r="1291" ht="22.5" hidden="1" customHeight="1">
      <c r="A1291" s="81">
        <v>46136.49178561343</v>
      </c>
      <c r="B1291" s="82" t="s">
        <v>1693</v>
      </c>
      <c r="C1291" s="82" t="s">
        <v>2035</v>
      </c>
      <c r="D1291" s="82" t="s">
        <v>2036</v>
      </c>
      <c r="F1291" s="83">
        <v>46150.0</v>
      </c>
      <c r="G1291" s="84" t="s">
        <v>2994</v>
      </c>
      <c r="H1291" s="82" t="s">
        <v>2035</v>
      </c>
      <c r="I1291" s="83">
        <v>46136.0</v>
      </c>
    </row>
    <row r="1292" ht="22.5" hidden="1" customHeight="1">
      <c r="A1292" s="81">
        <v>46136.49252746528</v>
      </c>
      <c r="B1292" s="82" t="s">
        <v>1708</v>
      </c>
      <c r="C1292" s="82" t="s">
        <v>2035</v>
      </c>
      <c r="D1292" s="82" t="s">
        <v>2036</v>
      </c>
      <c r="F1292" s="83">
        <v>46150.0</v>
      </c>
      <c r="G1292" s="84" t="s">
        <v>2995</v>
      </c>
      <c r="H1292" s="82" t="s">
        <v>2035</v>
      </c>
      <c r="I1292" s="83">
        <v>46136.0</v>
      </c>
    </row>
    <row r="1293" ht="22.5" hidden="1" customHeight="1">
      <c r="A1293" s="81">
        <v>46136.49294256944</v>
      </c>
      <c r="B1293" s="82" t="s">
        <v>1194</v>
      </c>
      <c r="C1293" s="82" t="s">
        <v>2035</v>
      </c>
      <c r="D1293" s="82" t="s">
        <v>2036</v>
      </c>
      <c r="F1293" s="83">
        <v>46150.0</v>
      </c>
      <c r="G1293" s="84" t="s">
        <v>2996</v>
      </c>
      <c r="H1293" s="82" t="s">
        <v>2035</v>
      </c>
      <c r="I1293" s="83">
        <v>46136.0</v>
      </c>
    </row>
    <row r="1294" ht="22.5" hidden="1" customHeight="1">
      <c r="A1294" s="81">
        <v>46136.63229792824</v>
      </c>
      <c r="B1294" s="82" t="s">
        <v>1629</v>
      </c>
      <c r="C1294" s="82" t="s">
        <v>2038</v>
      </c>
      <c r="D1294" s="82" t="s">
        <v>2036</v>
      </c>
      <c r="F1294" s="83">
        <v>46150.0</v>
      </c>
      <c r="G1294" s="84" t="s">
        <v>2997</v>
      </c>
      <c r="H1294" s="82" t="s">
        <v>2035</v>
      </c>
      <c r="I1294" s="83">
        <v>46136.0</v>
      </c>
    </row>
    <row r="1295" ht="22.5" hidden="1" customHeight="1">
      <c r="A1295" s="81">
        <v>46136.63315516204</v>
      </c>
      <c r="B1295" s="82" t="s">
        <v>1450</v>
      </c>
      <c r="C1295" s="82" t="s">
        <v>2038</v>
      </c>
      <c r="D1295" s="82" t="s">
        <v>2036</v>
      </c>
      <c r="F1295" s="83">
        <v>46150.0</v>
      </c>
      <c r="G1295" s="84" t="s">
        <v>2998</v>
      </c>
      <c r="H1295" s="82" t="s">
        <v>2035</v>
      </c>
      <c r="I1295" s="83">
        <v>46136.0</v>
      </c>
    </row>
    <row r="1296" ht="22.5" hidden="1" customHeight="1">
      <c r="A1296" s="81">
        <v>46136.63927186343</v>
      </c>
      <c r="B1296" s="82" t="s">
        <v>1701</v>
      </c>
      <c r="C1296" s="82" t="s">
        <v>2035</v>
      </c>
      <c r="D1296" s="82" t="s">
        <v>2034</v>
      </c>
      <c r="H1296" s="82" t="s">
        <v>2035</v>
      </c>
      <c r="I1296" s="83">
        <v>46136.0</v>
      </c>
      <c r="J1296" s="84" t="s">
        <v>2999</v>
      </c>
    </row>
    <row r="1297" ht="22.5" hidden="1" customHeight="1">
      <c r="A1297" s="81">
        <v>46136.63963726852</v>
      </c>
      <c r="B1297" s="82" t="s">
        <v>1704</v>
      </c>
      <c r="C1297" s="82" t="s">
        <v>2035</v>
      </c>
      <c r="D1297" s="82" t="s">
        <v>2034</v>
      </c>
      <c r="H1297" s="82" t="s">
        <v>2035</v>
      </c>
      <c r="I1297" s="83">
        <v>46136.0</v>
      </c>
      <c r="J1297" s="84" t="s">
        <v>3000</v>
      </c>
    </row>
    <row r="1298" ht="22.5" hidden="1" customHeight="1">
      <c r="A1298" s="81">
        <v>46136.640127743056</v>
      </c>
      <c r="B1298" s="82" t="s">
        <v>1706</v>
      </c>
      <c r="C1298" s="82" t="s">
        <v>2035</v>
      </c>
      <c r="D1298" s="82" t="s">
        <v>2034</v>
      </c>
      <c r="H1298" s="82" t="s">
        <v>2035</v>
      </c>
      <c r="I1298" s="83">
        <v>46136.0</v>
      </c>
      <c r="J1298" s="84" t="s">
        <v>3001</v>
      </c>
    </row>
    <row r="1299" ht="22.5" hidden="1" customHeight="1">
      <c r="A1299" s="81">
        <v>46140.39601174768</v>
      </c>
      <c r="B1299" s="82" t="s">
        <v>1667</v>
      </c>
      <c r="C1299" s="82" t="s">
        <v>2035</v>
      </c>
      <c r="D1299" s="82" t="s">
        <v>2034</v>
      </c>
      <c r="H1299" s="82" t="s">
        <v>2035</v>
      </c>
      <c r="I1299" s="83">
        <v>46140.0</v>
      </c>
      <c r="J1299" s="84" t="s">
        <v>3002</v>
      </c>
    </row>
    <row r="1300" ht="22.5" hidden="1" customHeight="1">
      <c r="A1300" s="81">
        <v>46140.39653190972</v>
      </c>
      <c r="B1300" s="82" t="s">
        <v>1669</v>
      </c>
      <c r="C1300" s="82" t="s">
        <v>2035</v>
      </c>
      <c r="D1300" s="82" t="s">
        <v>2034</v>
      </c>
      <c r="H1300" s="82" t="s">
        <v>2035</v>
      </c>
      <c r="I1300" s="83">
        <v>46140.0</v>
      </c>
      <c r="J1300" s="84" t="s">
        <v>3003</v>
      </c>
    </row>
    <row r="1301" ht="22.5" hidden="1" customHeight="1">
      <c r="A1301" s="81">
        <v>46141.41763752315</v>
      </c>
      <c r="B1301" s="82" t="s">
        <v>1720</v>
      </c>
      <c r="C1301" s="82" t="s">
        <v>2035</v>
      </c>
      <c r="D1301" s="82" t="s">
        <v>2034</v>
      </c>
      <c r="H1301" s="82" t="s">
        <v>2035</v>
      </c>
      <c r="I1301" s="83">
        <v>46141.0</v>
      </c>
    </row>
    <row r="1302" ht="22.5" hidden="1" customHeight="1">
      <c r="A1302" s="81">
        <v>46146.51527726852</v>
      </c>
      <c r="B1302" s="82" t="s">
        <v>1725</v>
      </c>
      <c r="C1302" s="82" t="s">
        <v>2035</v>
      </c>
      <c r="D1302" s="82" t="s">
        <v>2034</v>
      </c>
      <c r="H1302" s="82" t="s">
        <v>2035</v>
      </c>
      <c r="I1302" s="83">
        <v>46141.0</v>
      </c>
    </row>
    <row r="1303" ht="22.5" hidden="1" customHeight="1">
      <c r="A1303" s="81">
        <v>46146.515688831016</v>
      </c>
      <c r="B1303" s="82" t="s">
        <v>1727</v>
      </c>
      <c r="C1303" s="82" t="s">
        <v>2035</v>
      </c>
      <c r="D1303" s="82" t="s">
        <v>2034</v>
      </c>
      <c r="H1303" s="82" t="s">
        <v>2035</v>
      </c>
      <c r="I1303" s="83">
        <v>46141.0</v>
      </c>
    </row>
    <row r="1304" ht="22.5" hidden="1" customHeight="1">
      <c r="A1304" s="81">
        <v>46146.51960435185</v>
      </c>
      <c r="B1304" s="82" t="s">
        <v>1416</v>
      </c>
      <c r="C1304" s="82" t="s">
        <v>2035</v>
      </c>
      <c r="D1304" s="82" t="s">
        <v>2036</v>
      </c>
      <c r="F1304" s="83">
        <v>46157.0</v>
      </c>
      <c r="G1304" s="84" t="s">
        <v>3004</v>
      </c>
      <c r="H1304" s="82" t="s">
        <v>2035</v>
      </c>
      <c r="I1304" s="83">
        <v>46146.0</v>
      </c>
    </row>
    <row r="1305" ht="22.5" hidden="1" customHeight="1">
      <c r="A1305" s="81">
        <v>46147.377578680556</v>
      </c>
      <c r="B1305" s="82" t="s">
        <v>1743</v>
      </c>
      <c r="C1305" s="82" t="s">
        <v>2035</v>
      </c>
      <c r="D1305" s="82" t="s">
        <v>2034</v>
      </c>
      <c r="H1305" s="82" t="s">
        <v>2035</v>
      </c>
      <c r="I1305" s="83">
        <v>46147.0</v>
      </c>
    </row>
    <row r="1306" ht="22.5" hidden="1" customHeight="1">
      <c r="A1306" s="81">
        <v>46147.404542731485</v>
      </c>
      <c r="B1306" s="82" t="s">
        <v>1649</v>
      </c>
      <c r="C1306" s="82" t="s">
        <v>2038</v>
      </c>
      <c r="D1306" s="82" t="s">
        <v>2034</v>
      </c>
      <c r="H1306" s="82" t="s">
        <v>2035</v>
      </c>
      <c r="I1306" s="83">
        <v>46147.0</v>
      </c>
      <c r="J1306" s="84" t="s">
        <v>3005</v>
      </c>
    </row>
    <row r="1307" ht="22.5" hidden="1" customHeight="1">
      <c r="A1307" s="81">
        <v>46147.50000659723</v>
      </c>
      <c r="B1307" s="82" t="s">
        <v>1670</v>
      </c>
      <c r="C1307" s="82" t="s">
        <v>2035</v>
      </c>
      <c r="D1307" s="82" t="s">
        <v>2036</v>
      </c>
      <c r="F1307" s="83">
        <v>46164.0</v>
      </c>
      <c r="G1307" s="84" t="s">
        <v>3006</v>
      </c>
      <c r="H1307" s="82" t="s">
        <v>2035</v>
      </c>
      <c r="I1307" s="83">
        <v>46147.0</v>
      </c>
    </row>
    <row r="1308" ht="22.5" hidden="1" customHeight="1">
      <c r="A1308" s="81">
        <v>46147.583541712964</v>
      </c>
      <c r="B1308" s="82" t="s">
        <v>1746</v>
      </c>
      <c r="C1308" s="82" t="s">
        <v>2035</v>
      </c>
      <c r="D1308" s="82" t="s">
        <v>2034</v>
      </c>
      <c r="H1308" s="82" t="s">
        <v>2035</v>
      </c>
      <c r="I1308" s="83">
        <v>46147.0</v>
      </c>
      <c r="J1308" s="84" t="s">
        <v>3007</v>
      </c>
    </row>
    <row r="1309" ht="22.5" hidden="1" customHeight="1">
      <c r="A1309" s="81">
        <v>46147.583830034724</v>
      </c>
      <c r="B1309" s="82" t="s">
        <v>1749</v>
      </c>
      <c r="C1309" s="82" t="s">
        <v>2035</v>
      </c>
      <c r="D1309" s="82" t="s">
        <v>2034</v>
      </c>
      <c r="H1309" s="82" t="s">
        <v>2035</v>
      </c>
      <c r="I1309" s="83">
        <v>46147.0</v>
      </c>
      <c r="J1309" s="84" t="s">
        <v>3008</v>
      </c>
    </row>
    <row r="1310" ht="22.5" hidden="1" customHeight="1">
      <c r="A1310" s="81">
        <v>46147.58422495371</v>
      </c>
      <c r="B1310" s="82" t="s">
        <v>1751</v>
      </c>
      <c r="C1310" s="82" t="s">
        <v>2035</v>
      </c>
      <c r="D1310" s="82" t="s">
        <v>2034</v>
      </c>
      <c r="H1310" s="82" t="s">
        <v>2035</v>
      </c>
      <c r="I1310" s="83">
        <v>46147.0</v>
      </c>
      <c r="J1310" s="84" t="s">
        <v>3009</v>
      </c>
    </row>
    <row r="1311" ht="22.5" hidden="1" customHeight="1">
      <c r="A1311" s="81">
        <v>46147.58555898148</v>
      </c>
      <c r="B1311" s="82" t="s">
        <v>1721</v>
      </c>
      <c r="C1311" s="82" t="s">
        <v>2038</v>
      </c>
      <c r="D1311" s="82" t="s">
        <v>2036</v>
      </c>
      <c r="F1311" s="83">
        <v>46156.0</v>
      </c>
      <c r="G1311" s="84" t="s">
        <v>3010</v>
      </c>
      <c r="H1311" s="82" t="s">
        <v>2035</v>
      </c>
      <c r="I1311" s="83">
        <v>46147.0</v>
      </c>
    </row>
    <row r="1312" ht="22.5" hidden="1" customHeight="1">
      <c r="A1312" s="81">
        <v>46147.66717518518</v>
      </c>
      <c r="B1312" s="82" t="s">
        <v>1753</v>
      </c>
      <c r="C1312" s="82" t="s">
        <v>2035</v>
      </c>
      <c r="D1312" s="82" t="s">
        <v>2034</v>
      </c>
      <c r="H1312" s="82" t="s">
        <v>2035</v>
      </c>
      <c r="I1312" s="83">
        <v>46147.0</v>
      </c>
      <c r="J1312" s="84" t="s">
        <v>3011</v>
      </c>
    </row>
    <row r="1313" ht="22.5" hidden="1" customHeight="1">
      <c r="A1313" s="81">
        <v>46147.66800686343</v>
      </c>
      <c r="B1313" s="82" t="s">
        <v>1729</v>
      </c>
      <c r="C1313" s="82" t="s">
        <v>2038</v>
      </c>
      <c r="D1313" s="82" t="s">
        <v>2036</v>
      </c>
      <c r="F1313" s="83">
        <v>46156.0</v>
      </c>
      <c r="G1313" s="84" t="s">
        <v>3012</v>
      </c>
      <c r="H1313" s="82" t="s">
        <v>2035</v>
      </c>
      <c r="I1313" s="83">
        <v>46147.0</v>
      </c>
    </row>
    <row r="1314" ht="22.5" hidden="1" customHeight="1">
      <c r="A1314" s="81">
        <v>46147.66941667824</v>
      </c>
      <c r="B1314" s="82" t="s">
        <v>1731</v>
      </c>
      <c r="C1314" s="82" t="s">
        <v>2038</v>
      </c>
      <c r="D1314" s="82" t="s">
        <v>2036</v>
      </c>
      <c r="F1314" s="83">
        <v>46156.0</v>
      </c>
      <c r="G1314" s="84" t="s">
        <v>3013</v>
      </c>
      <c r="H1314" s="82" t="s">
        <v>2035</v>
      </c>
      <c r="I1314" s="83">
        <v>46147.0</v>
      </c>
    </row>
    <row r="1315" ht="22.5" hidden="1" customHeight="1">
      <c r="A1315" s="81">
        <v>46147.67141247685</v>
      </c>
      <c r="B1315" s="82" t="s">
        <v>1519</v>
      </c>
      <c r="C1315" s="82" t="s">
        <v>2038</v>
      </c>
      <c r="D1315" s="82" t="s">
        <v>2036</v>
      </c>
      <c r="F1315" s="83">
        <v>46156.0</v>
      </c>
      <c r="G1315" s="84" t="s">
        <v>3014</v>
      </c>
      <c r="H1315" s="82" t="s">
        <v>2035</v>
      </c>
      <c r="I1315" s="83">
        <v>46147.0</v>
      </c>
    </row>
    <row r="1316" ht="22.5" hidden="1" customHeight="1">
      <c r="A1316" s="81">
        <v>46147.673153298616</v>
      </c>
      <c r="B1316" s="82" t="s">
        <v>1665</v>
      </c>
      <c r="C1316" s="82" t="s">
        <v>2038</v>
      </c>
      <c r="D1316" s="82" t="s">
        <v>2036</v>
      </c>
      <c r="F1316" s="83">
        <v>46156.0</v>
      </c>
      <c r="G1316" s="84" t="s">
        <v>3015</v>
      </c>
      <c r="H1316" s="82" t="s">
        <v>2035</v>
      </c>
      <c r="I1316" s="83">
        <v>46147.0</v>
      </c>
    </row>
    <row r="1317" ht="22.5" hidden="1" customHeight="1">
      <c r="A1317" s="81">
        <v>46147.67408483796</v>
      </c>
      <c r="B1317" s="82" t="s">
        <v>1684</v>
      </c>
      <c r="C1317" s="82" t="s">
        <v>2038</v>
      </c>
      <c r="D1317" s="82" t="s">
        <v>2036</v>
      </c>
      <c r="F1317" s="83">
        <v>46156.0</v>
      </c>
      <c r="G1317" s="84" t="s">
        <v>3016</v>
      </c>
      <c r="H1317" s="82" t="s">
        <v>2035</v>
      </c>
      <c r="I1317" s="83">
        <v>46147.0</v>
      </c>
    </row>
    <row r="1318" ht="22.5" hidden="1" customHeight="1">
      <c r="A1318" s="81">
        <v>46147.67450271991</v>
      </c>
      <c r="B1318" s="82" t="s">
        <v>1715</v>
      </c>
      <c r="C1318" s="82" t="s">
        <v>2038</v>
      </c>
      <c r="D1318" s="82" t="s">
        <v>2036</v>
      </c>
      <c r="F1318" s="83">
        <v>46156.0</v>
      </c>
      <c r="G1318" s="84" t="s">
        <v>3017</v>
      </c>
      <c r="H1318" s="82" t="s">
        <v>2035</v>
      </c>
      <c r="I1318" s="83">
        <v>46147.0</v>
      </c>
    </row>
    <row r="1319" ht="22.5" hidden="1" customHeight="1">
      <c r="A1319" s="81">
        <v>46147.67550709491</v>
      </c>
      <c r="B1319" s="82" t="s">
        <v>981</v>
      </c>
      <c r="C1319" s="82" t="s">
        <v>2038</v>
      </c>
      <c r="D1319" s="82" t="s">
        <v>2036</v>
      </c>
      <c r="F1319" s="83">
        <v>46156.0</v>
      </c>
      <c r="G1319" s="84" t="s">
        <v>3018</v>
      </c>
      <c r="H1319" s="82" t="s">
        <v>2035</v>
      </c>
      <c r="I1319" s="83">
        <v>46147.0</v>
      </c>
    </row>
    <row r="1320" ht="22.5" hidden="1" customHeight="1">
      <c r="A1320" s="81">
        <v>46148.72622759259</v>
      </c>
      <c r="B1320" s="82" t="s">
        <v>1708</v>
      </c>
      <c r="C1320" s="82" t="s">
        <v>2038</v>
      </c>
      <c r="D1320" s="82" t="s">
        <v>2034</v>
      </c>
      <c r="H1320" s="82" t="s">
        <v>2035</v>
      </c>
      <c r="I1320" s="83">
        <v>46148.0</v>
      </c>
      <c r="J1320" s="84" t="s">
        <v>3019</v>
      </c>
    </row>
    <row r="1321" ht="22.5" hidden="1" customHeight="1">
      <c r="A1321" s="81">
        <v>46148.72666215278</v>
      </c>
      <c r="B1321" s="82" t="s">
        <v>2960</v>
      </c>
      <c r="C1321" s="82" t="s">
        <v>2038</v>
      </c>
      <c r="D1321" s="82" t="s">
        <v>2034</v>
      </c>
      <c r="H1321" s="82" t="s">
        <v>2035</v>
      </c>
      <c r="I1321" s="83">
        <v>46148.0</v>
      </c>
      <c r="J1321" s="84" t="s">
        <v>3020</v>
      </c>
    </row>
    <row r="1322" ht="22.5" hidden="1" customHeight="1">
      <c r="A1322" s="81">
        <v>46148.727212557875</v>
      </c>
      <c r="B1322" s="82" t="s">
        <v>1194</v>
      </c>
      <c r="C1322" s="82" t="s">
        <v>2038</v>
      </c>
      <c r="D1322" s="82" t="s">
        <v>2034</v>
      </c>
      <c r="H1322" s="82" t="s">
        <v>2035</v>
      </c>
      <c r="I1322" s="83">
        <v>46148.0</v>
      </c>
      <c r="J1322" s="84" t="s">
        <v>3021</v>
      </c>
    </row>
    <row r="1323" ht="22.5" hidden="1" customHeight="1">
      <c r="A1323" s="81">
        <v>46148.727564988425</v>
      </c>
      <c r="B1323" s="82" t="s">
        <v>1754</v>
      </c>
      <c r="C1323" s="82" t="s">
        <v>2035</v>
      </c>
      <c r="D1323" s="82" t="s">
        <v>2034</v>
      </c>
      <c r="H1323" s="82" t="s">
        <v>2035</v>
      </c>
      <c r="I1323" s="83">
        <v>46148.0</v>
      </c>
    </row>
    <row r="1324" ht="22.5" hidden="1" customHeight="1">
      <c r="A1324" s="81">
        <v>46148.72814877315</v>
      </c>
      <c r="B1324" s="82" t="s">
        <v>1699</v>
      </c>
      <c r="C1324" s="82" t="s">
        <v>2035</v>
      </c>
      <c r="D1324" s="82" t="s">
        <v>2034</v>
      </c>
      <c r="H1324" s="82" t="s">
        <v>2035</v>
      </c>
      <c r="I1324" s="83">
        <v>46148.0</v>
      </c>
    </row>
    <row r="1325" ht="22.5" hidden="1" customHeight="1">
      <c r="A1325" s="81">
        <v>46148.73032591435</v>
      </c>
      <c r="B1325" s="82" t="s">
        <v>1312</v>
      </c>
      <c r="C1325" s="82" t="s">
        <v>2038</v>
      </c>
      <c r="D1325" s="82" t="s">
        <v>2036</v>
      </c>
      <c r="F1325" s="83">
        <v>46160.0</v>
      </c>
      <c r="G1325" s="84" t="s">
        <v>3022</v>
      </c>
      <c r="H1325" s="82" t="s">
        <v>2035</v>
      </c>
      <c r="I1325" s="83">
        <v>46148.0</v>
      </c>
    </row>
    <row r="1326" ht="22.5" hidden="1" customHeight="1">
      <c r="A1326" s="81">
        <v>46148.73127957176</v>
      </c>
      <c r="B1326" s="82" t="s">
        <v>1625</v>
      </c>
      <c r="C1326" s="82" t="s">
        <v>2038</v>
      </c>
      <c r="D1326" s="82" t="s">
        <v>2036</v>
      </c>
      <c r="F1326" s="83">
        <v>46160.0</v>
      </c>
      <c r="G1326" s="84" t="s">
        <v>3023</v>
      </c>
      <c r="H1326" s="82" t="s">
        <v>2035</v>
      </c>
      <c r="I1326" s="83">
        <v>46148.0</v>
      </c>
    </row>
    <row r="1327" ht="22.5" hidden="1" customHeight="1">
      <c r="A1327" s="81">
        <v>46148.733729722226</v>
      </c>
      <c r="B1327" s="82" t="s">
        <v>196</v>
      </c>
      <c r="C1327" s="82" t="s">
        <v>2038</v>
      </c>
      <c r="D1327" s="82" t="s">
        <v>2036</v>
      </c>
      <c r="F1327" s="83">
        <v>46160.0</v>
      </c>
      <c r="G1327" s="84" t="s">
        <v>3024</v>
      </c>
      <c r="H1327" s="82" t="s">
        <v>2035</v>
      </c>
      <c r="I1327" s="83">
        <v>46148.0</v>
      </c>
    </row>
    <row r="1328" ht="22.5" hidden="1" customHeight="1">
      <c r="A1328" s="81">
        <v>46148.73412961805</v>
      </c>
      <c r="B1328" s="82" t="s">
        <v>198</v>
      </c>
      <c r="C1328" s="82" t="s">
        <v>2038</v>
      </c>
      <c r="D1328" s="82" t="s">
        <v>2036</v>
      </c>
      <c r="F1328" s="83">
        <v>46160.0</v>
      </c>
      <c r="G1328" s="84" t="s">
        <v>3025</v>
      </c>
      <c r="H1328" s="82" t="s">
        <v>2035</v>
      </c>
      <c r="I1328" s="83">
        <v>46148.0</v>
      </c>
    </row>
    <row r="1329" ht="22.5" hidden="1" customHeight="1">
      <c r="A1329" s="81">
        <v>46149.68020711806</v>
      </c>
      <c r="B1329" s="82" t="s">
        <v>1693</v>
      </c>
      <c r="C1329" s="82" t="s">
        <v>2038</v>
      </c>
      <c r="D1329" s="82" t="s">
        <v>2034</v>
      </c>
      <c r="H1329" s="82" t="s">
        <v>2035</v>
      </c>
      <c r="I1329" s="83">
        <v>46149.0</v>
      </c>
      <c r="J1329" s="84" t="s">
        <v>3026</v>
      </c>
    </row>
    <row r="1330" ht="22.5" hidden="1" customHeight="1">
      <c r="A1330" s="81">
        <v>46149.68067878472</v>
      </c>
      <c r="B1330" s="82" t="s">
        <v>1617</v>
      </c>
      <c r="C1330" s="82" t="s">
        <v>2035</v>
      </c>
      <c r="D1330" s="82" t="s">
        <v>85</v>
      </c>
      <c r="H1330" s="82" t="s">
        <v>2035</v>
      </c>
      <c r="I1330" s="83">
        <v>46149.0</v>
      </c>
    </row>
    <row r="1331" ht="22.5" hidden="1" customHeight="1">
      <c r="A1331" s="81">
        <v>46149.688712511575</v>
      </c>
      <c r="B1331" s="82" t="s">
        <v>1718</v>
      </c>
      <c r="C1331" s="82" t="s">
        <v>2035</v>
      </c>
      <c r="D1331" s="82" t="s">
        <v>2036</v>
      </c>
      <c r="F1331" s="83">
        <v>46161.0</v>
      </c>
      <c r="G1331" s="84" t="s">
        <v>3027</v>
      </c>
      <c r="H1331" s="82" t="s">
        <v>2035</v>
      </c>
      <c r="I1331" s="83">
        <v>46149.0</v>
      </c>
    </row>
    <row r="1332" ht="22.5" hidden="1" customHeight="1">
      <c r="A1332" s="81">
        <v>46149.69018392361</v>
      </c>
      <c r="B1332" s="82" t="s">
        <v>1068</v>
      </c>
      <c r="C1332" s="82" t="s">
        <v>2038</v>
      </c>
      <c r="D1332" s="82" t="s">
        <v>2036</v>
      </c>
      <c r="F1332" s="83">
        <v>46161.0</v>
      </c>
      <c r="G1332" s="84" t="s">
        <v>3028</v>
      </c>
      <c r="H1332" s="82" t="s">
        <v>2035</v>
      </c>
      <c r="I1332" s="83">
        <v>46149.0</v>
      </c>
    </row>
    <row r="1333" ht="22.5" hidden="1" customHeight="1">
      <c r="A1333" s="81">
        <v>46149.724886435186</v>
      </c>
      <c r="B1333" s="82" t="s">
        <v>1531</v>
      </c>
      <c r="C1333" s="82" t="s">
        <v>2035</v>
      </c>
      <c r="D1333" s="82" t="s">
        <v>2036</v>
      </c>
      <c r="F1333" s="83">
        <v>46162.0</v>
      </c>
      <c r="G1333" s="84" t="s">
        <v>3029</v>
      </c>
      <c r="H1333" s="82" t="s">
        <v>2035</v>
      </c>
      <c r="I1333" s="83">
        <v>46149.0</v>
      </c>
    </row>
    <row r="1334" ht="22.5" hidden="1" customHeight="1">
      <c r="A1334" s="81">
        <v>46149.72531686343</v>
      </c>
      <c r="B1334" s="82" t="s">
        <v>1535</v>
      </c>
      <c r="C1334" s="82" t="s">
        <v>2035</v>
      </c>
      <c r="D1334" s="82" t="s">
        <v>2036</v>
      </c>
      <c r="F1334" s="83">
        <v>46162.0</v>
      </c>
      <c r="G1334" s="84" t="s">
        <v>3030</v>
      </c>
      <c r="H1334" s="82" t="s">
        <v>2035</v>
      </c>
      <c r="I1334" s="83">
        <v>46149.0</v>
      </c>
    </row>
    <row r="1335" ht="22.5" hidden="1" customHeight="1">
      <c r="A1335" s="81">
        <v>46149.72574533564</v>
      </c>
      <c r="B1335" s="82" t="s">
        <v>1537</v>
      </c>
      <c r="C1335" s="82" t="s">
        <v>2035</v>
      </c>
      <c r="D1335" s="82" t="s">
        <v>2036</v>
      </c>
      <c r="F1335" s="83">
        <v>46162.0</v>
      </c>
      <c r="G1335" s="84" t="s">
        <v>3031</v>
      </c>
      <c r="H1335" s="82" t="s">
        <v>2035</v>
      </c>
      <c r="I1335" s="83">
        <v>46149.0</v>
      </c>
    </row>
    <row r="1336" ht="22.5" hidden="1" customHeight="1">
      <c r="A1336" s="81">
        <v>46150.37917726852</v>
      </c>
      <c r="B1336" s="82" t="s">
        <v>1759</v>
      </c>
      <c r="C1336" s="82" t="s">
        <v>2035</v>
      </c>
      <c r="D1336" s="82" t="s">
        <v>2034</v>
      </c>
      <c r="H1336" s="82" t="s">
        <v>2035</v>
      </c>
      <c r="I1336" s="83">
        <v>46150.0</v>
      </c>
    </row>
    <row r="1337" ht="22.5" hidden="1" customHeight="1">
      <c r="A1337" s="81">
        <v>46150.47826268518</v>
      </c>
      <c r="B1337" s="82" t="s">
        <v>1737</v>
      </c>
      <c r="C1337" s="82" t="s">
        <v>2035</v>
      </c>
      <c r="D1337" s="82" t="s">
        <v>2034</v>
      </c>
      <c r="H1337" s="82" t="s">
        <v>2035</v>
      </c>
      <c r="I1337" s="83">
        <v>46150.0</v>
      </c>
      <c r="J1337" s="84" t="s">
        <v>3032</v>
      </c>
    </row>
    <row r="1338" ht="22.5" hidden="1" customHeight="1">
      <c r="A1338" s="81">
        <v>46153.39409981482</v>
      </c>
      <c r="B1338" s="82" t="s">
        <v>1761</v>
      </c>
      <c r="C1338" s="82" t="s">
        <v>2035</v>
      </c>
      <c r="D1338" s="82" t="s">
        <v>2034</v>
      </c>
      <c r="H1338" s="82" t="s">
        <v>2035</v>
      </c>
      <c r="I1338" s="83">
        <v>46153.0</v>
      </c>
    </row>
    <row r="1339" ht="22.5" hidden="1" customHeight="1">
      <c r="A1339" s="81">
        <v>46153.39432443287</v>
      </c>
      <c r="B1339" s="82" t="s">
        <v>1776</v>
      </c>
      <c r="C1339" s="82" t="s">
        <v>2035</v>
      </c>
      <c r="D1339" s="82" t="s">
        <v>2034</v>
      </c>
      <c r="H1339" s="82" t="s">
        <v>2035</v>
      </c>
      <c r="I1339" s="83">
        <v>46153.0</v>
      </c>
    </row>
    <row r="1340" ht="22.5" hidden="1" customHeight="1">
      <c r="A1340" s="81">
        <v>46153.396344293986</v>
      </c>
      <c r="B1340" s="82" t="s">
        <v>1756</v>
      </c>
      <c r="C1340" s="82" t="s">
        <v>2038</v>
      </c>
      <c r="D1340" s="82" t="s">
        <v>2036</v>
      </c>
      <c r="F1340" s="83">
        <v>46162.0</v>
      </c>
      <c r="G1340" s="84" t="s">
        <v>3033</v>
      </c>
      <c r="H1340" s="82" t="s">
        <v>2035</v>
      </c>
      <c r="I1340" s="83">
        <v>46151.0</v>
      </c>
    </row>
    <row r="1341" ht="22.5" hidden="1" customHeight="1">
      <c r="A1341" s="81">
        <v>46153.40233399306</v>
      </c>
      <c r="B1341" s="82" t="s">
        <v>1450</v>
      </c>
      <c r="C1341" s="82" t="s">
        <v>2038</v>
      </c>
      <c r="D1341" s="82" t="s">
        <v>2034</v>
      </c>
      <c r="H1341" s="82" t="s">
        <v>2035</v>
      </c>
      <c r="I1341" s="83">
        <v>46151.0</v>
      </c>
      <c r="J1341" s="84" t="s">
        <v>3034</v>
      </c>
    </row>
    <row r="1342" ht="22.5" hidden="1" customHeight="1">
      <c r="A1342" s="81">
        <v>46153.40525978009</v>
      </c>
      <c r="B1342" s="82" t="s">
        <v>1686</v>
      </c>
      <c r="C1342" s="82" t="s">
        <v>2035</v>
      </c>
      <c r="D1342" s="82" t="s">
        <v>2036</v>
      </c>
      <c r="F1342" s="83">
        <v>46178.0</v>
      </c>
      <c r="G1342" s="84" t="s">
        <v>3035</v>
      </c>
      <c r="H1342" s="82" t="s">
        <v>2035</v>
      </c>
      <c r="I1342" s="83">
        <v>46153.0</v>
      </c>
    </row>
    <row r="1343" ht="22.5" hidden="1" customHeight="1">
      <c r="A1343" s="81">
        <v>46153.40629627315</v>
      </c>
      <c r="B1343" s="82" t="s">
        <v>1632</v>
      </c>
      <c r="C1343" s="82" t="s">
        <v>2035</v>
      </c>
      <c r="D1343" s="82" t="s">
        <v>2036</v>
      </c>
      <c r="F1343" s="83">
        <v>46178.0</v>
      </c>
      <c r="G1343" s="84" t="s">
        <v>3036</v>
      </c>
      <c r="H1343" s="82" t="s">
        <v>2035</v>
      </c>
      <c r="I1343" s="83">
        <v>46153.0</v>
      </c>
    </row>
    <row r="1344" ht="22.5" hidden="1" customHeight="1">
      <c r="A1344" s="81">
        <v>46153.46365392361</v>
      </c>
      <c r="B1344" s="82" t="s">
        <v>1777</v>
      </c>
      <c r="C1344" s="82" t="s">
        <v>2035</v>
      </c>
      <c r="D1344" s="82" t="s">
        <v>2036</v>
      </c>
      <c r="F1344" s="83">
        <v>46178.0</v>
      </c>
      <c r="G1344" s="84" t="s">
        <v>3037</v>
      </c>
      <c r="H1344" s="82" t="s">
        <v>2035</v>
      </c>
      <c r="I1344" s="83">
        <v>46153.0</v>
      </c>
    </row>
    <row r="1345" ht="22.5" hidden="1" customHeight="1">
      <c r="A1345" s="81">
        <v>46153.464071319446</v>
      </c>
      <c r="B1345" s="82" t="s">
        <v>1780</v>
      </c>
      <c r="C1345" s="82" t="s">
        <v>2035</v>
      </c>
      <c r="D1345" s="82" t="s">
        <v>2036</v>
      </c>
      <c r="F1345" s="83">
        <v>46178.0</v>
      </c>
      <c r="G1345" s="84" t="s">
        <v>3038</v>
      </c>
      <c r="H1345" s="82" t="s">
        <v>2035</v>
      </c>
      <c r="I1345" s="83">
        <v>46153.0</v>
      </c>
    </row>
    <row r="1346" ht="22.5" hidden="1" customHeight="1">
      <c r="A1346" s="81">
        <v>46154.55594075231</v>
      </c>
      <c r="B1346" s="82" t="s">
        <v>1744</v>
      </c>
      <c r="C1346" s="82" t="s">
        <v>2038</v>
      </c>
      <c r="D1346" s="82" t="s">
        <v>2036</v>
      </c>
      <c r="F1346" s="83">
        <v>46162.0</v>
      </c>
      <c r="G1346" s="84" t="s">
        <v>3039</v>
      </c>
      <c r="H1346" s="82" t="s">
        <v>2035</v>
      </c>
      <c r="I1346" s="83">
        <v>46153.0</v>
      </c>
    </row>
    <row r="1347" ht="22.5" hidden="1" customHeight="1">
      <c r="A1347" s="81">
        <v>46154.55660538195</v>
      </c>
      <c r="B1347" s="82" t="s">
        <v>1767</v>
      </c>
      <c r="C1347" s="82" t="s">
        <v>2038</v>
      </c>
      <c r="D1347" s="82" t="s">
        <v>2036</v>
      </c>
      <c r="F1347" s="83">
        <v>46162.0</v>
      </c>
      <c r="G1347" s="84" t="s">
        <v>3040</v>
      </c>
      <c r="H1347" s="82" t="s">
        <v>2035</v>
      </c>
      <c r="I1347" s="83">
        <v>46153.0</v>
      </c>
    </row>
    <row r="1348" ht="22.5" hidden="1" customHeight="1">
      <c r="A1348" s="81">
        <v>46154.573129826385</v>
      </c>
      <c r="B1348" s="82" t="s">
        <v>1782</v>
      </c>
      <c r="C1348" s="82" t="s">
        <v>2035</v>
      </c>
      <c r="D1348" s="82" t="s">
        <v>2034</v>
      </c>
      <c r="H1348" s="82" t="s">
        <v>2035</v>
      </c>
      <c r="I1348" s="83">
        <v>46154.0</v>
      </c>
      <c r="J1348" s="84" t="s">
        <v>3041</v>
      </c>
    </row>
    <row r="1349" ht="22.5" hidden="1" customHeight="1">
      <c r="A1349" s="81">
        <v>46154.57384655093</v>
      </c>
      <c r="B1349" s="82" t="s">
        <v>1788</v>
      </c>
      <c r="C1349" s="82" t="s">
        <v>2035</v>
      </c>
      <c r="D1349" s="82" t="s">
        <v>2034</v>
      </c>
      <c r="H1349" s="82" t="s">
        <v>2035</v>
      </c>
      <c r="I1349" s="83">
        <v>46154.0</v>
      </c>
    </row>
    <row r="1350" ht="22.5" hidden="1" customHeight="1">
      <c r="A1350" s="81">
        <v>46155.56917501157</v>
      </c>
      <c r="B1350" s="82" t="s">
        <v>1793</v>
      </c>
      <c r="C1350" s="82" t="s">
        <v>2035</v>
      </c>
      <c r="D1350" s="82" t="s">
        <v>2034</v>
      </c>
      <c r="H1350" s="82" t="s">
        <v>2035</v>
      </c>
      <c r="I1350" s="83">
        <v>46155.0</v>
      </c>
    </row>
    <row r="1351" ht="22.5" hidden="1" customHeight="1">
      <c r="A1351" s="81">
        <v>46155.60308204861</v>
      </c>
      <c r="B1351" s="82" t="s">
        <v>1797</v>
      </c>
      <c r="C1351" s="82" t="s">
        <v>2035</v>
      </c>
      <c r="D1351" s="82" t="s">
        <v>2034</v>
      </c>
      <c r="H1351" s="82" t="s">
        <v>2035</v>
      </c>
      <c r="I1351" s="83">
        <v>46155.0</v>
      </c>
    </row>
    <row r="1352" ht="22.5" hidden="1" customHeight="1">
      <c r="A1352" s="81">
        <v>46155.647454618054</v>
      </c>
      <c r="B1352" s="82" t="s">
        <v>1665</v>
      </c>
      <c r="C1352" s="82" t="s">
        <v>2038</v>
      </c>
      <c r="D1352" s="82" t="s">
        <v>2034</v>
      </c>
      <c r="H1352" s="82" t="s">
        <v>2035</v>
      </c>
      <c r="I1352" s="83">
        <v>46155.0</v>
      </c>
    </row>
    <row r="1353" ht="22.5" hidden="1" customHeight="1">
      <c r="A1353" s="81">
        <v>46155.64839017361</v>
      </c>
      <c r="B1353" s="82" t="s">
        <v>981</v>
      </c>
      <c r="C1353" s="82" t="s">
        <v>2038</v>
      </c>
      <c r="D1353" s="82" t="s">
        <v>2034</v>
      </c>
      <c r="H1353" s="82" t="s">
        <v>2035</v>
      </c>
      <c r="I1353" s="83">
        <v>46155.0</v>
      </c>
      <c r="J1353" s="84" t="s">
        <v>3042</v>
      </c>
    </row>
    <row r="1354" ht="22.5" hidden="1" customHeight="1">
      <c r="A1354" s="81">
        <v>46155.65057641204</v>
      </c>
      <c r="B1354" s="82" t="s">
        <v>1684</v>
      </c>
      <c r="C1354" s="82" t="s">
        <v>2038</v>
      </c>
      <c r="D1354" s="82" t="s">
        <v>2034</v>
      </c>
      <c r="H1354" s="82" t="s">
        <v>2035</v>
      </c>
      <c r="I1354" s="83">
        <v>46155.0</v>
      </c>
      <c r="J1354" s="84" t="s">
        <v>3043</v>
      </c>
    </row>
    <row r="1355" ht="22.5" hidden="1" customHeight="1">
      <c r="A1355" s="81">
        <v>46155.65812108797</v>
      </c>
      <c r="B1355" s="82" t="s">
        <v>1763</v>
      </c>
      <c r="C1355" s="82" t="s">
        <v>2038</v>
      </c>
      <c r="D1355" s="82" t="s">
        <v>2036</v>
      </c>
      <c r="F1355" s="83">
        <v>46164.0</v>
      </c>
      <c r="G1355" s="84" t="s">
        <v>3044</v>
      </c>
      <c r="H1355" s="82" t="s">
        <v>2035</v>
      </c>
      <c r="I1355" s="83">
        <v>46155.0</v>
      </c>
    </row>
    <row r="1356" ht="22.5" hidden="1" customHeight="1">
      <c r="A1356" s="81">
        <v>46155.65873092593</v>
      </c>
      <c r="B1356" s="82" t="s">
        <v>1589</v>
      </c>
      <c r="C1356" s="82" t="s">
        <v>2038</v>
      </c>
      <c r="D1356" s="82" t="s">
        <v>2036</v>
      </c>
      <c r="F1356" s="83">
        <v>46164.0</v>
      </c>
      <c r="G1356" s="84" t="s">
        <v>3045</v>
      </c>
      <c r="H1356" s="82" t="s">
        <v>2035</v>
      </c>
      <c r="I1356" s="83">
        <v>46155.0</v>
      </c>
    </row>
    <row r="1357" ht="22.5" hidden="1" customHeight="1">
      <c r="A1357" s="81">
        <v>46155.65933353009</v>
      </c>
      <c r="B1357" s="82" t="s">
        <v>1773</v>
      </c>
      <c r="C1357" s="82" t="s">
        <v>2038</v>
      </c>
      <c r="D1357" s="82" t="s">
        <v>2036</v>
      </c>
      <c r="F1357" s="83">
        <v>46164.0</v>
      </c>
      <c r="G1357" s="84" t="s">
        <v>3046</v>
      </c>
      <c r="H1357" s="82" t="s">
        <v>2035</v>
      </c>
      <c r="I1357" s="83">
        <v>46155.0</v>
      </c>
    </row>
    <row r="1358" ht="22.5" hidden="1" customHeight="1">
      <c r="A1358" s="81">
        <v>46155.66034621528</v>
      </c>
      <c r="B1358" s="82" t="s">
        <v>1696</v>
      </c>
      <c r="C1358" s="82" t="s">
        <v>2038</v>
      </c>
      <c r="D1358" s="82" t="s">
        <v>2036</v>
      </c>
      <c r="F1358" s="83">
        <v>46164.0</v>
      </c>
      <c r="G1358" s="84" t="s">
        <v>3047</v>
      </c>
      <c r="H1358" s="82" t="s">
        <v>2035</v>
      </c>
      <c r="I1358" s="83">
        <v>46155.0</v>
      </c>
    </row>
    <row r="1359" ht="22.5" hidden="1" customHeight="1">
      <c r="A1359" s="81">
        <v>46155.66107453704</v>
      </c>
      <c r="B1359" s="82" t="s">
        <v>1787</v>
      </c>
      <c r="C1359" s="82" t="s">
        <v>2038</v>
      </c>
      <c r="D1359" s="82" t="s">
        <v>2036</v>
      </c>
      <c r="F1359" s="83">
        <v>46164.0</v>
      </c>
      <c r="G1359" s="84" t="s">
        <v>3048</v>
      </c>
      <c r="H1359" s="82" t="s">
        <v>2035</v>
      </c>
      <c r="I1359" s="83">
        <v>46155.0</v>
      </c>
    </row>
    <row r="1360" ht="22.5" hidden="1" customHeight="1">
      <c r="A1360" s="81">
        <v>46156.43217677083</v>
      </c>
      <c r="B1360" s="82" t="s">
        <v>1718</v>
      </c>
      <c r="C1360" s="82" t="s">
        <v>2038</v>
      </c>
      <c r="D1360" s="82" t="s">
        <v>2036</v>
      </c>
      <c r="F1360" s="83">
        <v>46167.0</v>
      </c>
      <c r="G1360" s="84" t="s">
        <v>3049</v>
      </c>
      <c r="H1360" s="82" t="s">
        <v>2035</v>
      </c>
      <c r="I1360" s="83">
        <v>46156.0</v>
      </c>
    </row>
    <row r="1361" ht="22.5" hidden="1" customHeight="1">
      <c r="A1361" s="81">
        <v>46156.433063449076</v>
      </c>
      <c r="B1361" s="82" t="s">
        <v>1783</v>
      </c>
      <c r="C1361" s="82" t="s">
        <v>2038</v>
      </c>
      <c r="D1361" s="82" t="s">
        <v>2036</v>
      </c>
      <c r="F1361" s="83">
        <v>46167.0</v>
      </c>
      <c r="G1361" s="84" t="s">
        <v>3050</v>
      </c>
      <c r="H1361" s="82" t="s">
        <v>2035</v>
      </c>
      <c r="I1361" s="83">
        <v>46156.0</v>
      </c>
    </row>
    <row r="1362" ht="22.5" hidden="1" customHeight="1">
      <c r="A1362" s="81">
        <v>46156.4890590625</v>
      </c>
      <c r="B1362" s="82" t="s">
        <v>1800</v>
      </c>
      <c r="C1362" s="82" t="s">
        <v>2035</v>
      </c>
      <c r="D1362" s="82" t="s">
        <v>2034</v>
      </c>
      <c r="H1362" s="82" t="s">
        <v>2035</v>
      </c>
      <c r="I1362" s="83">
        <v>46156.0</v>
      </c>
      <c r="J1362" s="84" t="s">
        <v>3051</v>
      </c>
    </row>
    <row r="1363" ht="22.5" hidden="1" customHeight="1">
      <c r="A1363" s="81">
        <v>46156.65140615741</v>
      </c>
      <c r="B1363" s="82" t="s">
        <v>1770</v>
      </c>
      <c r="C1363" s="82" t="s">
        <v>2038</v>
      </c>
      <c r="D1363" s="82" t="s">
        <v>2036</v>
      </c>
      <c r="F1363" s="83">
        <v>46168.0</v>
      </c>
      <c r="G1363" s="84" t="s">
        <v>3052</v>
      </c>
      <c r="H1363" s="82" t="s">
        <v>2035</v>
      </c>
      <c r="I1363" s="83">
        <v>46156.0</v>
      </c>
    </row>
    <row r="1364" ht="22.5" hidden="1" customHeight="1">
      <c r="A1364" s="81">
        <v>46156.65211513889</v>
      </c>
      <c r="B1364" s="82" t="s">
        <v>1729</v>
      </c>
      <c r="C1364" s="82" t="s">
        <v>2038</v>
      </c>
      <c r="D1364" s="82" t="s">
        <v>2036</v>
      </c>
      <c r="F1364" s="83">
        <v>46168.0</v>
      </c>
      <c r="G1364" s="84" t="s">
        <v>3053</v>
      </c>
      <c r="H1364" s="82" t="s">
        <v>2035</v>
      </c>
      <c r="I1364" s="83">
        <v>46156.0</v>
      </c>
    </row>
    <row r="1365" ht="22.5" hidden="1" customHeight="1">
      <c r="A1365" s="81">
        <v>46156.65297177083</v>
      </c>
      <c r="B1365" s="82" t="s">
        <v>1353</v>
      </c>
      <c r="C1365" s="82" t="s">
        <v>2038</v>
      </c>
      <c r="D1365" s="82" t="s">
        <v>2036</v>
      </c>
      <c r="F1365" s="83">
        <v>46168.0</v>
      </c>
      <c r="G1365" s="84" t="s">
        <v>3054</v>
      </c>
      <c r="H1365" s="82" t="s">
        <v>2035</v>
      </c>
      <c r="I1365" s="83">
        <v>46156.0</v>
      </c>
    </row>
    <row r="1366" ht="22.5" hidden="1" customHeight="1">
      <c r="A1366" s="81">
        <v>46156.69401769676</v>
      </c>
      <c r="B1366" s="82" t="s">
        <v>1691</v>
      </c>
      <c r="C1366" s="82" t="s">
        <v>2035</v>
      </c>
      <c r="D1366" s="82" t="s">
        <v>2034</v>
      </c>
      <c r="H1366" s="82" t="s">
        <v>2035</v>
      </c>
      <c r="I1366" s="83">
        <v>46156.0</v>
      </c>
    </row>
    <row r="1367" ht="22.5" hidden="1" customHeight="1">
      <c r="A1367" s="81">
        <v>46157.46211980324</v>
      </c>
      <c r="B1367" s="82" t="s">
        <v>1802</v>
      </c>
      <c r="C1367" s="82" t="s">
        <v>2035</v>
      </c>
      <c r="D1367" s="82" t="s">
        <v>2036</v>
      </c>
      <c r="F1367" s="83">
        <v>46176.0</v>
      </c>
      <c r="G1367" s="84" t="s">
        <v>3055</v>
      </c>
      <c r="H1367" s="82" t="s">
        <v>2035</v>
      </c>
      <c r="I1367" s="83">
        <v>46157.0</v>
      </c>
    </row>
    <row r="1368" ht="22.5" hidden="1" customHeight="1">
      <c r="A1368" s="81">
        <v>46157.73559930555</v>
      </c>
      <c r="B1368" s="82" t="s">
        <v>1804</v>
      </c>
      <c r="C1368" s="82" t="s">
        <v>2035</v>
      </c>
      <c r="D1368" s="82" t="s">
        <v>2034</v>
      </c>
      <c r="H1368" s="82" t="s">
        <v>2035</v>
      </c>
      <c r="I1368" s="83">
        <v>46157.0</v>
      </c>
      <c r="J1368" s="84" t="s">
        <v>3056</v>
      </c>
    </row>
    <row r="1369" ht="22.5" hidden="1" customHeight="1">
      <c r="A1369" s="81">
        <v>46157.742320613426</v>
      </c>
      <c r="B1369" s="82" t="s">
        <v>1801</v>
      </c>
      <c r="C1369" s="82" t="s">
        <v>2038</v>
      </c>
      <c r="D1369" s="82" t="s">
        <v>2036</v>
      </c>
      <c r="F1369" s="83">
        <v>46168.0</v>
      </c>
      <c r="G1369" s="84" t="s">
        <v>3057</v>
      </c>
      <c r="H1369" s="82" t="s">
        <v>2035</v>
      </c>
      <c r="I1369" s="83">
        <v>46157.0</v>
      </c>
    </row>
    <row r="1370" ht="22.5" hidden="1" customHeight="1">
      <c r="A1370" s="81">
        <v>46157.743212800924</v>
      </c>
      <c r="B1370" s="82" t="s">
        <v>1312</v>
      </c>
      <c r="C1370" s="82" t="s">
        <v>2038</v>
      </c>
      <c r="D1370" s="82" t="s">
        <v>2036</v>
      </c>
      <c r="F1370" s="83">
        <v>46168.0</v>
      </c>
      <c r="G1370" s="84" t="s">
        <v>3058</v>
      </c>
      <c r="H1370" s="82" t="s">
        <v>2035</v>
      </c>
      <c r="I1370" s="83">
        <v>46157.0</v>
      </c>
    </row>
    <row r="1371" ht="22.5" hidden="1" customHeight="1">
      <c r="A1371" s="81">
        <v>46157.74665739584</v>
      </c>
      <c r="B1371" s="82" t="s">
        <v>196</v>
      </c>
      <c r="C1371" s="82" t="s">
        <v>2038</v>
      </c>
      <c r="D1371" s="82" t="s">
        <v>2034</v>
      </c>
      <c r="H1371" s="82" t="s">
        <v>2035</v>
      </c>
      <c r="I1371" s="83">
        <v>46157.0</v>
      </c>
      <c r="J1371" s="84" t="s">
        <v>3059</v>
      </c>
    </row>
    <row r="1372" ht="22.5" hidden="1" customHeight="1">
      <c r="A1372" s="81">
        <v>46157.74698094907</v>
      </c>
      <c r="B1372" s="82" t="s">
        <v>198</v>
      </c>
      <c r="C1372" s="82" t="s">
        <v>2038</v>
      </c>
      <c r="D1372" s="82" t="s">
        <v>2034</v>
      </c>
      <c r="H1372" s="82" t="s">
        <v>2035</v>
      </c>
      <c r="I1372" s="83">
        <v>46157.0</v>
      </c>
      <c r="J1372" s="84" t="s">
        <v>3060</v>
      </c>
    </row>
    <row r="1373" ht="22.5" hidden="1" customHeight="1">
      <c r="A1373" s="81">
        <v>46157.747888750004</v>
      </c>
      <c r="B1373" s="82" t="s">
        <v>1625</v>
      </c>
      <c r="C1373" s="82" t="s">
        <v>2038</v>
      </c>
      <c r="D1373" s="82" t="s">
        <v>2034</v>
      </c>
      <c r="H1373" s="82" t="s">
        <v>2035</v>
      </c>
      <c r="I1373" s="83">
        <v>46157.0</v>
      </c>
      <c r="J1373" s="84" t="s">
        <v>3061</v>
      </c>
    </row>
    <row r="1374" ht="22.5" hidden="1" customHeight="1">
      <c r="A1374" s="81">
        <v>46157.74863465277</v>
      </c>
      <c r="B1374" s="82" t="s">
        <v>1806</v>
      </c>
      <c r="C1374" s="82" t="s">
        <v>2035</v>
      </c>
      <c r="D1374" s="82" t="s">
        <v>2036</v>
      </c>
      <c r="F1374" s="83">
        <v>46177.0</v>
      </c>
      <c r="G1374" s="84" t="s">
        <v>3062</v>
      </c>
      <c r="H1374" s="82" t="s">
        <v>2035</v>
      </c>
      <c r="I1374" s="83">
        <v>46157.0</v>
      </c>
    </row>
    <row r="1375" ht="22.5" hidden="1" customHeight="1">
      <c r="A1375" s="81">
        <v>46160.42794415509</v>
      </c>
      <c r="B1375" s="82" t="s">
        <v>1811</v>
      </c>
      <c r="C1375" s="82" t="s">
        <v>2035</v>
      </c>
      <c r="D1375" s="82" t="s">
        <v>2034</v>
      </c>
      <c r="H1375" s="82" t="s">
        <v>2035</v>
      </c>
      <c r="I1375" s="83">
        <v>46160.0</v>
      </c>
    </row>
    <row r="1376" ht="22.5" hidden="1" customHeight="1">
      <c r="A1376" s="81">
        <v>46160.428197581015</v>
      </c>
      <c r="B1376" s="82" t="s">
        <v>1814</v>
      </c>
      <c r="C1376" s="82" t="s">
        <v>2035</v>
      </c>
      <c r="D1376" s="82" t="s">
        <v>2034</v>
      </c>
      <c r="H1376" s="82" t="s">
        <v>2035</v>
      </c>
      <c r="I1376" s="83">
        <v>46160.0</v>
      </c>
    </row>
    <row r="1377" ht="22.5" hidden="1" customHeight="1">
      <c r="A1377" s="81">
        <v>46161.74296697917</v>
      </c>
      <c r="B1377" s="82" t="s">
        <v>1816</v>
      </c>
      <c r="C1377" s="82" t="s">
        <v>2035</v>
      </c>
      <c r="D1377" s="82" t="s">
        <v>2034</v>
      </c>
      <c r="H1377" s="82" t="s">
        <v>2035</v>
      </c>
      <c r="I1377" s="83">
        <v>46161.0</v>
      </c>
    </row>
    <row r="1378" ht="22.5" hidden="1" customHeight="1">
      <c r="A1378" s="81">
        <v>46161.744333344905</v>
      </c>
      <c r="B1378" s="82" t="s">
        <v>1809</v>
      </c>
      <c r="C1378" s="82" t="s">
        <v>2035</v>
      </c>
      <c r="D1378" s="82" t="s">
        <v>2036</v>
      </c>
      <c r="F1378" s="83">
        <v>46170.0</v>
      </c>
      <c r="G1378" s="84" t="s">
        <v>3063</v>
      </c>
      <c r="H1378" s="82" t="s">
        <v>2035</v>
      </c>
      <c r="I1378" s="83">
        <v>46161.0</v>
      </c>
    </row>
    <row r="1379" ht="22.5" hidden="1" customHeight="1">
      <c r="A1379" s="81">
        <v>46161.74493946759</v>
      </c>
      <c r="B1379" s="82" t="s">
        <v>1812</v>
      </c>
      <c r="C1379" s="82" t="s">
        <v>2035</v>
      </c>
      <c r="D1379" s="82" t="s">
        <v>2036</v>
      </c>
      <c r="F1379" s="83">
        <v>46170.0</v>
      </c>
      <c r="G1379" s="84" t="s">
        <v>3064</v>
      </c>
      <c r="H1379" s="82" t="s">
        <v>2035</v>
      </c>
      <c r="I1379" s="83">
        <v>46161.0</v>
      </c>
    </row>
    <row r="1380" ht="22.5" hidden="1" customHeight="1">
      <c r="A1380" s="81">
        <v>46161.7457199537</v>
      </c>
      <c r="B1380" s="82" t="s">
        <v>1652</v>
      </c>
      <c r="C1380" s="82" t="s">
        <v>2038</v>
      </c>
      <c r="D1380" s="82" t="s">
        <v>2036</v>
      </c>
      <c r="F1380" s="83">
        <v>46171.0</v>
      </c>
      <c r="G1380" s="84" t="s">
        <v>3065</v>
      </c>
      <c r="H1380" s="82" t="s">
        <v>2035</v>
      </c>
      <c r="I1380" s="83">
        <v>46161.0</v>
      </c>
    </row>
    <row r="1381" ht="22.5" hidden="1" customHeight="1">
      <c r="A1381" s="81">
        <v>46161.7463584375</v>
      </c>
      <c r="B1381" s="82" t="s">
        <v>1721</v>
      </c>
      <c r="C1381" s="82" t="s">
        <v>2038</v>
      </c>
      <c r="D1381" s="82" t="s">
        <v>2036</v>
      </c>
      <c r="F1381" s="83">
        <v>46171.0</v>
      </c>
      <c r="G1381" s="84" t="s">
        <v>3066</v>
      </c>
      <c r="H1381" s="82" t="s">
        <v>2035</v>
      </c>
      <c r="I1381" s="83">
        <v>46161.0</v>
      </c>
    </row>
    <row r="1382" ht="22.5" hidden="1" customHeight="1">
      <c r="A1382" s="81">
        <v>46161.747068530094</v>
      </c>
      <c r="B1382" s="82" t="s">
        <v>1718</v>
      </c>
      <c r="C1382" s="82" t="s">
        <v>2038</v>
      </c>
      <c r="D1382" s="82" t="s">
        <v>2034</v>
      </c>
      <c r="H1382" s="82" t="s">
        <v>2035</v>
      </c>
      <c r="I1382" s="83">
        <v>46161.0</v>
      </c>
      <c r="J1382" s="84" t="s">
        <v>3067</v>
      </c>
    </row>
    <row r="1383" ht="22.5" hidden="1" customHeight="1">
      <c r="A1383" s="81">
        <v>46161.74738743056</v>
      </c>
      <c r="B1383" s="82" t="s">
        <v>1756</v>
      </c>
      <c r="C1383" s="82" t="s">
        <v>2038</v>
      </c>
      <c r="D1383" s="82" t="s">
        <v>2034</v>
      </c>
      <c r="H1383" s="82" t="s">
        <v>2035</v>
      </c>
      <c r="I1383" s="83">
        <v>46161.0</v>
      </c>
      <c r="J1383" s="84" t="s">
        <v>3068</v>
      </c>
    </row>
    <row r="1384" ht="22.5" hidden="1" customHeight="1">
      <c r="A1384" s="81">
        <v>46162.49584621528</v>
      </c>
      <c r="B1384" s="82" t="s">
        <v>1765</v>
      </c>
      <c r="C1384" s="82" t="s">
        <v>2035</v>
      </c>
      <c r="D1384" s="82" t="s">
        <v>2034</v>
      </c>
      <c r="H1384" s="82" t="s">
        <v>2035</v>
      </c>
      <c r="I1384" s="83">
        <v>46156.0</v>
      </c>
    </row>
    <row r="1385" ht="22.5" hidden="1" customHeight="1">
      <c r="A1385" s="81">
        <v>46162.496165856486</v>
      </c>
      <c r="B1385" s="82" t="s">
        <v>1822</v>
      </c>
      <c r="C1385" s="82" t="s">
        <v>2035</v>
      </c>
      <c r="D1385" s="82" t="s">
        <v>2034</v>
      </c>
      <c r="H1385" s="82" t="s">
        <v>2035</v>
      </c>
      <c r="I1385" s="83">
        <v>46162.0</v>
      </c>
    </row>
    <row r="1386" ht="22.5" hidden="1" customHeight="1">
      <c r="A1386" s="81">
        <v>46162.62670100694</v>
      </c>
      <c r="B1386" s="82" t="s">
        <v>1744</v>
      </c>
      <c r="C1386" s="82" t="s">
        <v>2038</v>
      </c>
      <c r="D1386" s="82" t="s">
        <v>2036</v>
      </c>
      <c r="F1386" s="83">
        <v>46171.0</v>
      </c>
      <c r="G1386" s="84" t="s">
        <v>3069</v>
      </c>
      <c r="H1386" s="82" t="s">
        <v>2035</v>
      </c>
      <c r="I1386" s="83">
        <v>46162.0</v>
      </c>
    </row>
    <row r="1387" ht="22.5" hidden="1" customHeight="1">
      <c r="A1387" s="81">
        <v>46162.627471921296</v>
      </c>
      <c r="B1387" s="82" t="s">
        <v>1815</v>
      </c>
      <c r="C1387" s="82" t="s">
        <v>2038</v>
      </c>
      <c r="D1387" s="82" t="s">
        <v>2036</v>
      </c>
      <c r="F1387" s="83">
        <v>46171.0</v>
      </c>
      <c r="G1387" s="84" t="s">
        <v>3070</v>
      </c>
      <c r="H1387" s="82" t="s">
        <v>2035</v>
      </c>
      <c r="I1387" s="83">
        <v>46162.0</v>
      </c>
    </row>
    <row r="1388" ht="22.5" hidden="1" customHeight="1">
      <c r="A1388" s="81">
        <v>46162.62850730324</v>
      </c>
      <c r="B1388" s="82" t="s">
        <v>1767</v>
      </c>
      <c r="C1388" s="82" t="s">
        <v>2038</v>
      </c>
      <c r="D1388" s="82" t="s">
        <v>2036</v>
      </c>
      <c r="F1388" s="83">
        <v>46171.0</v>
      </c>
      <c r="G1388" s="84" t="s">
        <v>3071</v>
      </c>
      <c r="H1388" s="82" t="s">
        <v>2035</v>
      </c>
      <c r="I1388" s="83">
        <v>46162.0</v>
      </c>
    </row>
    <row r="1389" ht="22.5" hidden="1" customHeight="1">
      <c r="A1389" s="81">
        <v>46163.47464586806</v>
      </c>
      <c r="B1389" s="82" t="s">
        <v>1673</v>
      </c>
      <c r="C1389" s="82" t="s">
        <v>2035</v>
      </c>
      <c r="D1389" s="82" t="s">
        <v>85</v>
      </c>
      <c r="H1389" s="82" t="s">
        <v>2035</v>
      </c>
      <c r="I1389" s="83">
        <v>46163.0</v>
      </c>
    </row>
    <row r="1390" ht="22.5" hidden="1" customHeight="1">
      <c r="A1390" s="81">
        <v>46163.504720682875</v>
      </c>
      <c r="B1390" s="82" t="s">
        <v>1827</v>
      </c>
      <c r="C1390" s="82" t="s">
        <v>2035</v>
      </c>
      <c r="D1390" s="82" t="s">
        <v>2036</v>
      </c>
      <c r="F1390" s="83">
        <v>46188.0</v>
      </c>
      <c r="G1390" s="84" t="s">
        <v>3072</v>
      </c>
      <c r="H1390" s="82" t="s">
        <v>2035</v>
      </c>
      <c r="I1390" s="83">
        <v>46163.0</v>
      </c>
    </row>
    <row r="1391" ht="22.5" hidden="1" customHeight="1">
      <c r="A1391" s="81">
        <v>46163.50497155092</v>
      </c>
      <c r="B1391" s="82" t="s">
        <v>1826</v>
      </c>
      <c r="C1391" s="82" t="s">
        <v>2035</v>
      </c>
      <c r="D1391" s="82" t="s">
        <v>2034</v>
      </c>
      <c r="H1391" s="82" t="s">
        <v>2035</v>
      </c>
      <c r="I1391" s="83">
        <v>46163.0</v>
      </c>
    </row>
    <row r="1392" ht="22.5" hidden="1" customHeight="1">
      <c r="A1392" s="81">
        <v>46163.67135076389</v>
      </c>
      <c r="B1392" s="82" t="s">
        <v>1068</v>
      </c>
      <c r="C1392" s="82" t="s">
        <v>2038</v>
      </c>
      <c r="D1392" s="82" t="s">
        <v>2036</v>
      </c>
      <c r="F1392" s="83">
        <v>46174.0</v>
      </c>
      <c r="G1392" s="84" t="s">
        <v>3073</v>
      </c>
      <c r="H1392" s="82" t="s">
        <v>2035</v>
      </c>
      <c r="I1392" s="83">
        <v>46163.0</v>
      </c>
    </row>
    <row r="1393" ht="22.5" hidden="1" customHeight="1">
      <c r="A1393" s="81">
        <v>46163.67188703704</v>
      </c>
      <c r="B1393" s="82" t="s">
        <v>1830</v>
      </c>
      <c r="C1393" s="82" t="s">
        <v>2035</v>
      </c>
      <c r="D1393" s="82" t="s">
        <v>2034</v>
      </c>
      <c r="H1393" s="82" t="s">
        <v>2035</v>
      </c>
      <c r="I1393" s="83">
        <v>46163.0</v>
      </c>
    </row>
    <row r="1394" ht="22.5" hidden="1" customHeight="1">
      <c r="A1394" s="81">
        <v>46164.45185438657</v>
      </c>
      <c r="B1394" s="82" t="s">
        <v>1834</v>
      </c>
      <c r="C1394" s="82" t="s">
        <v>2035</v>
      </c>
      <c r="D1394" s="82" t="s">
        <v>2034</v>
      </c>
      <c r="H1394" s="82" t="s">
        <v>2035</v>
      </c>
      <c r="I1394" s="83">
        <v>46164.0</v>
      </c>
    </row>
    <row r="1395" ht="22.5" hidden="1" customHeight="1">
      <c r="A1395" s="81">
        <v>46164.483898101855</v>
      </c>
      <c r="B1395" s="82" t="s">
        <v>1796</v>
      </c>
      <c r="C1395" s="82" t="s">
        <v>2035</v>
      </c>
      <c r="D1395" s="82" t="s">
        <v>2034</v>
      </c>
      <c r="H1395" s="82" t="s">
        <v>2035</v>
      </c>
      <c r="I1395" s="83">
        <v>46164.0</v>
      </c>
      <c r="J1395" s="84" t="s">
        <v>3074</v>
      </c>
    </row>
    <row r="1396" ht="22.5" hidden="1" customHeight="1">
      <c r="A1396" s="81">
        <v>46164.4848203125</v>
      </c>
      <c r="B1396" s="82" t="s">
        <v>1791</v>
      </c>
      <c r="C1396" s="82" t="s">
        <v>2035</v>
      </c>
      <c r="D1396" s="82" t="s">
        <v>85</v>
      </c>
      <c r="H1396" s="82" t="s">
        <v>2035</v>
      </c>
      <c r="I1396" s="83">
        <v>46164.0</v>
      </c>
    </row>
    <row r="1397" ht="22.5" hidden="1" customHeight="1">
      <c r="A1397" s="81">
        <v>46164.65439063657</v>
      </c>
      <c r="B1397" s="82" t="s">
        <v>1740</v>
      </c>
      <c r="C1397" s="82" t="s">
        <v>2035</v>
      </c>
      <c r="D1397" s="82" t="s">
        <v>85</v>
      </c>
      <c r="H1397" s="82" t="s">
        <v>2035</v>
      </c>
      <c r="I1397" s="83">
        <v>46164.0</v>
      </c>
    </row>
    <row r="1398" ht="22.5" hidden="1" customHeight="1">
      <c r="A1398" s="81">
        <v>46164.654642546295</v>
      </c>
      <c r="B1398" s="82" t="s">
        <v>1713</v>
      </c>
      <c r="C1398" s="82" t="s">
        <v>2035</v>
      </c>
      <c r="D1398" s="82" t="s">
        <v>85</v>
      </c>
      <c r="H1398" s="82" t="s">
        <v>2035</v>
      </c>
      <c r="I1398" s="83">
        <v>46164.0</v>
      </c>
    </row>
    <row r="1399" ht="22.5" hidden="1" customHeight="1">
      <c r="A1399" s="81">
        <v>46164.65494259259</v>
      </c>
      <c r="B1399" s="82" t="s">
        <v>1711</v>
      </c>
      <c r="C1399" s="82" t="s">
        <v>2035</v>
      </c>
      <c r="D1399" s="82" t="s">
        <v>85</v>
      </c>
      <c r="H1399" s="82" t="s">
        <v>2035</v>
      </c>
      <c r="I1399" s="83">
        <v>46164.0</v>
      </c>
    </row>
    <row r="1400" ht="22.5" hidden="1" customHeight="1">
      <c r="A1400" s="81">
        <v>46164.65616619213</v>
      </c>
      <c r="B1400" s="82" t="s">
        <v>1438</v>
      </c>
      <c r="C1400" s="82" t="s">
        <v>2035</v>
      </c>
      <c r="D1400" s="82" t="s">
        <v>85</v>
      </c>
      <c r="H1400" s="82" t="s">
        <v>2035</v>
      </c>
      <c r="I1400" s="83">
        <v>46164.0</v>
      </c>
    </row>
    <row r="1401" ht="22.5" hidden="1" customHeight="1">
      <c r="A1401" s="81">
        <v>46164.65682329861</v>
      </c>
      <c r="B1401" s="82" t="s">
        <v>1436</v>
      </c>
      <c r="C1401" s="82" t="s">
        <v>2035</v>
      </c>
      <c r="D1401" s="82" t="s">
        <v>85</v>
      </c>
      <c r="H1401" s="82" t="s">
        <v>2035</v>
      </c>
      <c r="I1401" s="83">
        <v>46164.0</v>
      </c>
    </row>
    <row r="1402" ht="22.5" hidden="1" customHeight="1">
      <c r="A1402" s="81">
        <v>46164.65723814815</v>
      </c>
      <c r="B1402" s="82" t="s">
        <v>1218</v>
      </c>
      <c r="C1402" s="82" t="s">
        <v>2035</v>
      </c>
      <c r="D1402" s="82" t="s">
        <v>85</v>
      </c>
      <c r="H1402" s="82" t="s">
        <v>2035</v>
      </c>
      <c r="I1402" s="83">
        <v>46164.0</v>
      </c>
    </row>
    <row r="1403" ht="22.5" hidden="1" customHeight="1">
      <c r="A1403" s="81">
        <v>46164.657523761576</v>
      </c>
      <c r="B1403" s="82" t="s">
        <v>1642</v>
      </c>
      <c r="C1403" s="82" t="s">
        <v>2035</v>
      </c>
      <c r="D1403" s="82" t="s">
        <v>85</v>
      </c>
      <c r="H1403" s="82" t="s">
        <v>2035</v>
      </c>
      <c r="I1403" s="83">
        <v>46164.0</v>
      </c>
    </row>
    <row r="1404" ht="22.5" hidden="1" customHeight="1">
      <c r="A1404" s="81">
        <v>46164.65845886574</v>
      </c>
      <c r="B1404" s="82" t="s">
        <v>1641</v>
      </c>
      <c r="C1404" s="82" t="s">
        <v>2035</v>
      </c>
      <c r="D1404" s="82" t="s">
        <v>2034</v>
      </c>
      <c r="H1404" s="82" t="s">
        <v>2035</v>
      </c>
      <c r="I1404" s="83">
        <v>46164.0</v>
      </c>
    </row>
    <row r="1405" ht="22.5" hidden="1" customHeight="1">
      <c r="A1405" s="81">
        <v>46165.411189363425</v>
      </c>
      <c r="B1405" s="82" t="s">
        <v>1824</v>
      </c>
      <c r="C1405" s="82" t="s">
        <v>2038</v>
      </c>
      <c r="D1405" s="82" t="s">
        <v>2036</v>
      </c>
      <c r="F1405" s="83">
        <v>46176.0</v>
      </c>
      <c r="G1405" s="84" t="s">
        <v>3075</v>
      </c>
      <c r="H1405" s="82" t="s">
        <v>2035</v>
      </c>
      <c r="I1405" s="83">
        <v>46165.0</v>
      </c>
    </row>
    <row r="1406" ht="22.5" hidden="1" customHeight="1">
      <c r="A1406" s="81">
        <v>46165.411948657405</v>
      </c>
      <c r="B1406" s="82" t="s">
        <v>1715</v>
      </c>
      <c r="C1406" s="82" t="s">
        <v>2038</v>
      </c>
      <c r="D1406" s="82" t="s">
        <v>2036</v>
      </c>
      <c r="F1406" s="83">
        <v>46176.0</v>
      </c>
      <c r="G1406" s="84" t="s">
        <v>3076</v>
      </c>
      <c r="H1406" s="82" t="s">
        <v>2035</v>
      </c>
      <c r="I1406" s="83">
        <v>46165.0</v>
      </c>
    </row>
    <row r="1407" ht="22.5" hidden="1" customHeight="1">
      <c r="A1407" s="81">
        <v>46167.58211554398</v>
      </c>
      <c r="B1407" s="82" t="s">
        <v>1840</v>
      </c>
      <c r="C1407" s="82" t="s">
        <v>2035</v>
      </c>
      <c r="D1407" s="82" t="s">
        <v>2034</v>
      </c>
      <c r="H1407" s="82" t="s">
        <v>2035</v>
      </c>
      <c r="I1407" s="83">
        <v>46167.0</v>
      </c>
    </row>
    <row r="1408" ht="22.5" hidden="1" customHeight="1">
      <c r="A1408" s="81">
        <v>46167.582720555554</v>
      </c>
      <c r="B1408" s="82" t="s">
        <v>1844</v>
      </c>
      <c r="C1408" s="82" t="s">
        <v>2035</v>
      </c>
      <c r="D1408" s="82" t="s">
        <v>2034</v>
      </c>
      <c r="H1408" s="82" t="s">
        <v>2035</v>
      </c>
      <c r="I1408" s="83">
        <v>46167.0</v>
      </c>
      <c r="J1408" s="84" t="s">
        <v>3077</v>
      </c>
    </row>
    <row r="1409" ht="22.5" hidden="1" customHeight="1">
      <c r="A1409" s="81">
        <v>46167.76211224537</v>
      </c>
      <c r="B1409" s="82" t="s">
        <v>1850</v>
      </c>
      <c r="C1409" s="82" t="s">
        <v>2035</v>
      </c>
      <c r="D1409" s="82" t="s">
        <v>2034</v>
      </c>
      <c r="H1409" s="82" t="s">
        <v>2035</v>
      </c>
      <c r="I1409" s="83">
        <v>46167.0</v>
      </c>
    </row>
    <row r="1410" ht="22.5" hidden="1" customHeight="1">
      <c r="A1410" s="81">
        <v>46167.76232814815</v>
      </c>
      <c r="B1410" s="82" t="s">
        <v>1854</v>
      </c>
      <c r="C1410" s="82" t="s">
        <v>2035</v>
      </c>
      <c r="D1410" s="82" t="s">
        <v>2034</v>
      </c>
      <c r="H1410" s="82" t="s">
        <v>2035</v>
      </c>
      <c r="I1410" s="83">
        <v>46167.0</v>
      </c>
    </row>
    <row r="1411" ht="22.5" hidden="1" customHeight="1">
      <c r="A1411" s="81">
        <v>46168.4782087037</v>
      </c>
      <c r="B1411" s="82" t="s">
        <v>1856</v>
      </c>
      <c r="C1411" s="82" t="s">
        <v>2035</v>
      </c>
      <c r="D1411" s="82" t="s">
        <v>2034</v>
      </c>
      <c r="H1411" s="82" t="s">
        <v>2035</v>
      </c>
      <c r="I1411" s="83">
        <v>46168.0</v>
      </c>
    </row>
    <row r="1412" ht="22.5" hidden="1" customHeight="1">
      <c r="A1412" s="81">
        <v>46168.478466493056</v>
      </c>
      <c r="B1412" s="82" t="s">
        <v>1859</v>
      </c>
      <c r="C1412" s="82" t="s">
        <v>2035</v>
      </c>
      <c r="D1412" s="82" t="s">
        <v>2034</v>
      </c>
      <c r="H1412" s="82" t="s">
        <v>2035</v>
      </c>
      <c r="I1412" s="83">
        <v>46168.0</v>
      </c>
    </row>
    <row r="1413" ht="22.5" hidden="1" customHeight="1">
      <c r="A1413" s="81">
        <v>46168.479973877314</v>
      </c>
      <c r="B1413" s="82" t="s">
        <v>1770</v>
      </c>
      <c r="C1413" s="82" t="s">
        <v>2038</v>
      </c>
      <c r="D1413" s="82" t="s">
        <v>2034</v>
      </c>
      <c r="H1413" s="82" t="s">
        <v>2035</v>
      </c>
      <c r="I1413" s="83">
        <v>46168.0</v>
      </c>
      <c r="J1413" s="84" t="s">
        <v>3078</v>
      </c>
    </row>
    <row r="1414" ht="22.5" hidden="1" customHeight="1">
      <c r="A1414" s="81">
        <v>46168.480557523144</v>
      </c>
      <c r="B1414" s="82" t="s">
        <v>1312</v>
      </c>
      <c r="C1414" s="82" t="s">
        <v>2038</v>
      </c>
      <c r="D1414" s="82" t="s">
        <v>2034</v>
      </c>
      <c r="H1414" s="82" t="s">
        <v>2035</v>
      </c>
      <c r="I1414" s="83">
        <v>46168.0</v>
      </c>
      <c r="J1414" s="84" t="s">
        <v>3079</v>
      </c>
    </row>
    <row r="1415" ht="22.5" hidden="1" customHeight="1">
      <c r="A1415" s="81">
        <v>46168.48183185185</v>
      </c>
      <c r="B1415" s="82" t="s">
        <v>1729</v>
      </c>
      <c r="C1415" s="82" t="s">
        <v>2038</v>
      </c>
      <c r="D1415" s="82" t="s">
        <v>2034</v>
      </c>
      <c r="H1415" s="82" t="s">
        <v>2035</v>
      </c>
      <c r="I1415" s="83">
        <v>46168.0</v>
      </c>
      <c r="J1415" s="84" t="s">
        <v>3080</v>
      </c>
    </row>
    <row r="1416" ht="22.5" hidden="1" customHeight="1">
      <c r="A1416" s="81">
        <v>46168.48226247686</v>
      </c>
      <c r="B1416" s="82" t="s">
        <v>1731</v>
      </c>
      <c r="C1416" s="82" t="s">
        <v>2038</v>
      </c>
      <c r="D1416" s="82" t="s">
        <v>2034</v>
      </c>
      <c r="H1416" s="82" t="s">
        <v>2035</v>
      </c>
      <c r="I1416" s="83">
        <v>46168.0</v>
      </c>
      <c r="J1416" s="84" t="s">
        <v>3081</v>
      </c>
    </row>
    <row r="1417" ht="22.5" hidden="1" customHeight="1">
      <c r="A1417" s="81">
        <v>46168.64710379629</v>
      </c>
      <c r="B1417" s="82" t="s">
        <v>1845</v>
      </c>
      <c r="C1417" s="82" t="s">
        <v>2035</v>
      </c>
      <c r="D1417" s="82" t="s">
        <v>2034</v>
      </c>
      <c r="H1417" s="82" t="s">
        <v>2035</v>
      </c>
      <c r="I1417" s="83">
        <v>46168.0</v>
      </c>
      <c r="J1417" s="84" t="s">
        <v>3082</v>
      </c>
    </row>
    <row r="1418" ht="22.5" hidden="1" customHeight="1">
      <c r="A1418" s="81">
        <v>46168.647833842595</v>
      </c>
      <c r="B1418" s="82" t="s">
        <v>1848</v>
      </c>
      <c r="C1418" s="82" t="s">
        <v>2035</v>
      </c>
      <c r="D1418" s="82" t="s">
        <v>2034</v>
      </c>
      <c r="H1418" s="82" t="s">
        <v>2035</v>
      </c>
      <c r="I1418" s="83">
        <v>46168.0</v>
      </c>
      <c r="J1418" s="84" t="s">
        <v>3083</v>
      </c>
    </row>
    <row r="1419" ht="22.5" hidden="1" customHeight="1">
      <c r="A1419" s="81">
        <v>46168.65422653935</v>
      </c>
      <c r="B1419" s="82" t="s">
        <v>1338</v>
      </c>
      <c r="C1419" s="82" t="s">
        <v>2038</v>
      </c>
      <c r="D1419" s="82" t="s">
        <v>2036</v>
      </c>
      <c r="F1419" s="83">
        <v>46177.0</v>
      </c>
      <c r="G1419" s="84" t="s">
        <v>3084</v>
      </c>
      <c r="H1419" s="82" t="s">
        <v>2035</v>
      </c>
      <c r="I1419" s="83">
        <v>46168.0</v>
      </c>
    </row>
    <row r="1420" ht="22.5" hidden="1" customHeight="1">
      <c r="A1420" s="81">
        <v>46168.655787662035</v>
      </c>
      <c r="B1420" s="82" t="s">
        <v>1851</v>
      </c>
      <c r="C1420" s="82" t="s">
        <v>2038</v>
      </c>
      <c r="D1420" s="82" t="s">
        <v>2036</v>
      </c>
      <c r="F1420" s="83">
        <v>46177.0</v>
      </c>
      <c r="G1420" s="84" t="s">
        <v>3085</v>
      </c>
      <c r="H1420" s="82" t="s">
        <v>2035</v>
      </c>
      <c r="I1420" s="83">
        <v>46168.0</v>
      </c>
    </row>
    <row r="1421" ht="22.5" hidden="1" customHeight="1">
      <c r="A1421" s="81">
        <v>46169.67703619213</v>
      </c>
      <c r="B1421" s="82" t="s">
        <v>1815</v>
      </c>
      <c r="C1421" s="82" t="s">
        <v>2038</v>
      </c>
      <c r="D1421" s="82" t="s">
        <v>2034</v>
      </c>
      <c r="H1421" s="82" t="s">
        <v>2035</v>
      </c>
      <c r="I1421" s="83">
        <v>46169.0</v>
      </c>
      <c r="J1421" s="84" t="s">
        <v>3086</v>
      </c>
    </row>
    <row r="1422" ht="22.5" hidden="1" customHeight="1">
      <c r="A1422" s="81">
        <v>46169.679311099535</v>
      </c>
      <c r="B1422" s="82" t="s">
        <v>1519</v>
      </c>
      <c r="C1422" s="82" t="s">
        <v>2038</v>
      </c>
      <c r="D1422" s="82" t="s">
        <v>2036</v>
      </c>
      <c r="F1422" s="83">
        <v>46181.0</v>
      </c>
      <c r="G1422" s="84" t="s">
        <v>3087</v>
      </c>
      <c r="H1422" s="82" t="s">
        <v>2035</v>
      </c>
      <c r="I1422" s="83">
        <v>46169.0</v>
      </c>
    </row>
    <row r="1423" ht="22.5" hidden="1" customHeight="1">
      <c r="A1423" s="81">
        <v>46169.68035530092</v>
      </c>
      <c r="B1423" s="82" t="s">
        <v>1868</v>
      </c>
      <c r="C1423" s="82" t="s">
        <v>2035</v>
      </c>
      <c r="D1423" s="82" t="s">
        <v>2034</v>
      </c>
      <c r="H1423" s="82" t="s">
        <v>2035</v>
      </c>
      <c r="I1423" s="83">
        <v>46169.0</v>
      </c>
      <c r="J1423" s="84" t="s">
        <v>3088</v>
      </c>
    </row>
    <row r="1424" ht="22.5" hidden="1" customHeight="1">
      <c r="A1424" s="81">
        <v>46169.68074165509</v>
      </c>
      <c r="B1424" s="82" t="s">
        <v>1862</v>
      </c>
      <c r="C1424" s="82" t="s">
        <v>2035</v>
      </c>
      <c r="D1424" s="82" t="s">
        <v>2034</v>
      </c>
      <c r="H1424" s="82" t="s">
        <v>2035</v>
      </c>
      <c r="I1424" s="83">
        <v>46169.0</v>
      </c>
      <c r="J1424" s="84" t="s">
        <v>3089</v>
      </c>
    </row>
    <row r="1425" ht="22.5" hidden="1" customHeight="1">
      <c r="A1425" s="81">
        <v>46169.681290740744</v>
      </c>
      <c r="B1425" s="82" t="s">
        <v>1865</v>
      </c>
      <c r="C1425" s="82" t="s">
        <v>2035</v>
      </c>
      <c r="D1425" s="82" t="s">
        <v>2034</v>
      </c>
      <c r="H1425" s="82" t="s">
        <v>2035</v>
      </c>
      <c r="I1425" s="83">
        <v>46169.0</v>
      </c>
    </row>
    <row r="1426" ht="22.5" hidden="1" customHeight="1">
      <c r="A1426" s="81">
        <v>46169.68149938657</v>
      </c>
      <c r="B1426" s="82" t="s">
        <v>1867</v>
      </c>
      <c r="C1426" s="82" t="s">
        <v>2035</v>
      </c>
      <c r="D1426" s="82" t="s">
        <v>2034</v>
      </c>
      <c r="H1426" s="82" t="s">
        <v>2035</v>
      </c>
      <c r="I1426" s="83">
        <v>46169.0</v>
      </c>
    </row>
    <row r="1427" ht="22.5" hidden="1" customHeight="1">
      <c r="A1427" s="81">
        <v>46169.681956932865</v>
      </c>
      <c r="B1427" s="82" t="s">
        <v>1872</v>
      </c>
      <c r="C1427" s="82" t="s">
        <v>2035</v>
      </c>
      <c r="D1427" s="82" t="s">
        <v>2034</v>
      </c>
      <c r="H1427" s="82" t="s">
        <v>2035</v>
      </c>
      <c r="I1427" s="83">
        <v>46169.0</v>
      </c>
    </row>
    <row r="1428" ht="22.5" hidden="1" customHeight="1">
      <c r="A1428" s="81">
        <v>46170.68928180556</v>
      </c>
      <c r="B1428" s="82" t="s">
        <v>1801</v>
      </c>
      <c r="C1428" s="82" t="s">
        <v>2038</v>
      </c>
      <c r="D1428" s="82" t="s">
        <v>2036</v>
      </c>
      <c r="F1428" s="83">
        <v>46182.0</v>
      </c>
      <c r="G1428" s="84" t="s">
        <v>3090</v>
      </c>
      <c r="H1428" s="82" t="s">
        <v>2035</v>
      </c>
      <c r="I1428" s="83">
        <v>46170.0</v>
      </c>
    </row>
    <row r="1429" ht="22.5" hidden="1" customHeight="1">
      <c r="A1429" s="81">
        <v>46170.70449251158</v>
      </c>
      <c r="B1429" s="82" t="s">
        <v>1767</v>
      </c>
      <c r="C1429" s="82" t="s">
        <v>2038</v>
      </c>
      <c r="D1429" s="82" t="s">
        <v>2034</v>
      </c>
      <c r="H1429" s="82" t="s">
        <v>2035</v>
      </c>
      <c r="I1429" s="83">
        <v>46170.0</v>
      </c>
      <c r="J1429" s="84" t="s">
        <v>3091</v>
      </c>
    </row>
    <row r="1430" ht="22.5" hidden="1" customHeight="1">
      <c r="A1430" s="81">
        <v>46170.70520358796</v>
      </c>
      <c r="B1430" s="82" t="s">
        <v>1744</v>
      </c>
      <c r="C1430" s="82" t="s">
        <v>2038</v>
      </c>
      <c r="D1430" s="82" t="s">
        <v>2034</v>
      </c>
      <c r="H1430" s="82" t="s">
        <v>2035</v>
      </c>
      <c r="I1430" s="83">
        <v>46170.0</v>
      </c>
      <c r="J1430" s="84" t="s">
        <v>3092</v>
      </c>
    </row>
    <row r="1431" ht="22.5" hidden="1" customHeight="1">
      <c r="A1431" s="81">
        <v>46170.70585387731</v>
      </c>
      <c r="B1431" s="82" t="s">
        <v>1874</v>
      </c>
      <c r="C1431" s="82" t="s">
        <v>2035</v>
      </c>
      <c r="D1431" s="82" t="s">
        <v>2034</v>
      </c>
      <c r="H1431" s="82" t="s">
        <v>2035</v>
      </c>
      <c r="I1431" s="83">
        <v>46170.0</v>
      </c>
      <c r="J1431" s="84" t="s">
        <v>3093</v>
      </c>
    </row>
    <row r="1432" ht="22.5" hidden="1" customHeight="1">
      <c r="A1432" s="81">
        <v>46171.502156400464</v>
      </c>
      <c r="B1432" s="82" t="s">
        <v>1875</v>
      </c>
      <c r="C1432" s="82" t="s">
        <v>2035</v>
      </c>
      <c r="D1432" s="82" t="s">
        <v>2036</v>
      </c>
      <c r="F1432" s="83">
        <v>46191.0</v>
      </c>
      <c r="G1432" s="84" t="s">
        <v>3094</v>
      </c>
      <c r="H1432" s="82" t="s">
        <v>2035</v>
      </c>
      <c r="I1432" s="83">
        <v>46171.0</v>
      </c>
    </row>
    <row r="1433" ht="22.5" hidden="1" customHeight="1">
      <c r="A1433" s="81">
        <v>46171.50675054398</v>
      </c>
      <c r="B1433" s="82" t="s">
        <v>1841</v>
      </c>
      <c r="C1433" s="82" t="s">
        <v>2038</v>
      </c>
      <c r="D1433" s="82" t="s">
        <v>2036</v>
      </c>
      <c r="F1433" s="83">
        <v>46182.0</v>
      </c>
      <c r="G1433" s="84" t="s">
        <v>3095</v>
      </c>
      <c r="H1433" s="82" t="s">
        <v>2035</v>
      </c>
      <c r="I1433" s="83">
        <v>46171.0</v>
      </c>
    </row>
    <row r="1434" ht="22.5" hidden="1" customHeight="1">
      <c r="A1434" s="81">
        <v>46171.60095917824</v>
      </c>
      <c r="B1434" s="82" t="s">
        <v>1615</v>
      </c>
      <c r="C1434" s="82" t="s">
        <v>2038</v>
      </c>
      <c r="D1434" s="82" t="s">
        <v>2036</v>
      </c>
      <c r="F1434" s="83">
        <v>46182.0</v>
      </c>
      <c r="G1434" s="84" t="s">
        <v>3096</v>
      </c>
      <c r="H1434" s="82" t="s">
        <v>2035</v>
      </c>
      <c r="I1434" s="83">
        <v>46171.0</v>
      </c>
    </row>
    <row r="1435" ht="22.5" hidden="1" customHeight="1">
      <c r="A1435" s="81">
        <v>46171.61928458333</v>
      </c>
      <c r="B1435" s="82" t="s">
        <v>1589</v>
      </c>
      <c r="C1435" s="82" t="s">
        <v>2038</v>
      </c>
      <c r="D1435" s="82" t="s">
        <v>2034</v>
      </c>
      <c r="H1435" s="82" t="s">
        <v>2035</v>
      </c>
      <c r="I1435" s="83">
        <v>46165.0</v>
      </c>
      <c r="J1435" s="84" t="s">
        <v>3097</v>
      </c>
    </row>
    <row r="1436" ht="22.5" hidden="1" customHeight="1">
      <c r="A1436" s="81">
        <v>46171.619686631944</v>
      </c>
      <c r="B1436" s="82" t="s">
        <v>1773</v>
      </c>
      <c r="C1436" s="82" t="s">
        <v>2038</v>
      </c>
      <c r="D1436" s="82" t="s">
        <v>2034</v>
      </c>
      <c r="H1436" s="82" t="s">
        <v>2035</v>
      </c>
      <c r="I1436" s="83">
        <v>46165.0</v>
      </c>
      <c r="J1436" s="84" t="s">
        <v>3098</v>
      </c>
    </row>
    <row r="1437" ht="22.5" hidden="1" customHeight="1">
      <c r="A1437" s="81">
        <v>46171.621133877314</v>
      </c>
      <c r="B1437" s="82" t="s">
        <v>1787</v>
      </c>
      <c r="C1437" s="82" t="s">
        <v>2038</v>
      </c>
      <c r="D1437" s="82" t="s">
        <v>2034</v>
      </c>
      <c r="H1437" s="82" t="s">
        <v>2035</v>
      </c>
      <c r="I1437" s="83">
        <v>46165.0</v>
      </c>
      <c r="J1437" s="84" t="s">
        <v>3099</v>
      </c>
    </row>
    <row r="1438" ht="22.5" hidden="1" customHeight="1">
      <c r="A1438" s="81">
        <v>46174.688471817135</v>
      </c>
      <c r="B1438" s="82" t="s">
        <v>1877</v>
      </c>
      <c r="C1438" s="82" t="s">
        <v>2035</v>
      </c>
      <c r="D1438" s="82" t="s">
        <v>2036</v>
      </c>
      <c r="F1438" s="83">
        <v>46183.0</v>
      </c>
      <c r="G1438" s="84" t="s">
        <v>3100</v>
      </c>
      <c r="H1438" s="82" t="s">
        <v>2035</v>
      </c>
      <c r="I1438" s="83">
        <v>46174.0</v>
      </c>
    </row>
    <row r="1439" ht="22.5" hidden="1" customHeight="1">
      <c r="A1439" s="81">
        <v>46174.68885902778</v>
      </c>
      <c r="B1439" s="82" t="s">
        <v>1879</v>
      </c>
      <c r="C1439" s="82" t="s">
        <v>2035</v>
      </c>
      <c r="D1439" s="82" t="s">
        <v>2036</v>
      </c>
      <c r="F1439" s="83">
        <v>46183.0</v>
      </c>
      <c r="G1439" s="84" t="s">
        <v>3101</v>
      </c>
      <c r="H1439" s="82" t="s">
        <v>2035</v>
      </c>
      <c r="I1439" s="83">
        <v>46174.0</v>
      </c>
    </row>
    <row r="1440" ht="22.5" hidden="1" customHeight="1">
      <c r="A1440" s="81">
        <v>46174.68931876158</v>
      </c>
      <c r="B1440" s="82" t="s">
        <v>1068</v>
      </c>
      <c r="C1440" s="82" t="s">
        <v>2035</v>
      </c>
      <c r="D1440" s="82" t="s">
        <v>2034</v>
      </c>
      <c r="H1440" s="82" t="s">
        <v>2035</v>
      </c>
      <c r="I1440" s="83">
        <v>46174.0</v>
      </c>
      <c r="J1440" s="84" t="s">
        <v>3102</v>
      </c>
    </row>
    <row r="1441" ht="22.5" hidden="1" customHeight="1">
      <c r="A1441" s="81">
        <v>46174.690060891204</v>
      </c>
      <c r="B1441" s="82" t="s">
        <v>1888</v>
      </c>
      <c r="C1441" s="82" t="s">
        <v>2035</v>
      </c>
      <c r="D1441" s="82" t="s">
        <v>2034</v>
      </c>
      <c r="H1441" s="82" t="s">
        <v>2035</v>
      </c>
      <c r="I1441" s="83">
        <v>46174.0</v>
      </c>
      <c r="J1441" s="84" t="s">
        <v>3103</v>
      </c>
    </row>
    <row r="1442" ht="22.5" hidden="1" customHeight="1">
      <c r="A1442" s="81">
        <v>46175.47153715278</v>
      </c>
      <c r="B1442" s="82" t="s">
        <v>1003</v>
      </c>
      <c r="C1442" s="82" t="s">
        <v>2038</v>
      </c>
      <c r="D1442" s="82" t="s">
        <v>2036</v>
      </c>
      <c r="F1442" s="83">
        <v>46184.0</v>
      </c>
      <c r="G1442" s="84" t="s">
        <v>3104</v>
      </c>
      <c r="H1442" s="82" t="s">
        <v>2035</v>
      </c>
      <c r="I1442" s="83">
        <v>46175.0</v>
      </c>
    </row>
    <row r="1443" ht="22.5" hidden="1" customHeight="1">
      <c r="A1443" s="81">
        <v>46175.472151643524</v>
      </c>
      <c r="B1443" s="82" t="s">
        <v>1824</v>
      </c>
      <c r="C1443" s="82" t="s">
        <v>2038</v>
      </c>
      <c r="D1443" s="82" t="s">
        <v>2034</v>
      </c>
      <c r="H1443" s="82" t="s">
        <v>2035</v>
      </c>
      <c r="I1443" s="83">
        <v>46175.0</v>
      </c>
      <c r="J1443" s="84" t="s">
        <v>3105</v>
      </c>
    </row>
    <row r="1444" ht="22.5" hidden="1" customHeight="1">
      <c r="A1444" s="81">
        <v>46176.446404270835</v>
      </c>
      <c r="B1444" s="82" t="s">
        <v>1893</v>
      </c>
      <c r="C1444" s="82" t="s">
        <v>2035</v>
      </c>
      <c r="D1444" s="82" t="s">
        <v>2034</v>
      </c>
      <c r="H1444" s="82" t="s">
        <v>2035</v>
      </c>
      <c r="I1444" s="83">
        <v>46175.0</v>
      </c>
      <c r="J1444" s="84" t="s">
        <v>3106</v>
      </c>
    </row>
    <row r="1445" ht="22.5" hidden="1" customHeight="1">
      <c r="A1445" s="81">
        <v>46176.446925682874</v>
      </c>
      <c r="B1445" s="82" t="s">
        <v>1338</v>
      </c>
      <c r="C1445" s="82" t="s">
        <v>2038</v>
      </c>
      <c r="D1445" s="82" t="s">
        <v>2034</v>
      </c>
      <c r="H1445" s="82" t="s">
        <v>2035</v>
      </c>
      <c r="I1445" s="83">
        <v>46176.0</v>
      </c>
      <c r="J1445" s="84" t="s">
        <v>3107</v>
      </c>
    </row>
    <row r="1446" ht="22.5" hidden="1" customHeight="1">
      <c r="A1446" s="81">
        <v>46176.452593587965</v>
      </c>
      <c r="B1446" s="82" t="s">
        <v>1851</v>
      </c>
      <c r="C1446" s="82" t="s">
        <v>2038</v>
      </c>
      <c r="D1446" s="82" t="s">
        <v>2034</v>
      </c>
      <c r="H1446" s="82" t="s">
        <v>2035</v>
      </c>
      <c r="I1446" s="83">
        <v>46176.0</v>
      </c>
      <c r="J1446" s="84" t="s">
        <v>3108</v>
      </c>
    </row>
    <row r="1447" ht="22.5" hidden="1" customHeight="1">
      <c r="A1447" s="81">
        <v>46177.50240734954</v>
      </c>
      <c r="B1447" s="82" t="s">
        <v>1897</v>
      </c>
      <c r="C1447" s="82" t="s">
        <v>2035</v>
      </c>
      <c r="D1447" s="82" t="s">
        <v>2034</v>
      </c>
      <c r="H1447" s="82" t="s">
        <v>2035</v>
      </c>
      <c r="I1447" s="83">
        <v>46177.0</v>
      </c>
      <c r="J1447" s="84" t="s">
        <v>3109</v>
      </c>
    </row>
    <row r="1448" ht="22.5" hidden="1" customHeight="1">
      <c r="A1448" s="81">
        <v>46177.662617511574</v>
      </c>
      <c r="B1448" s="82" t="s">
        <v>1899</v>
      </c>
      <c r="C1448" s="82" t="s">
        <v>2035</v>
      </c>
      <c r="D1448" s="82" t="s">
        <v>2034</v>
      </c>
      <c r="H1448" s="82" t="s">
        <v>2035</v>
      </c>
      <c r="I1448" s="83">
        <v>46177.0</v>
      </c>
      <c r="J1448" s="84" t="s">
        <v>3110</v>
      </c>
    </row>
    <row r="1449" ht="22.5" hidden="1" customHeight="1">
      <c r="A1449" s="81">
        <v>46181.368446423614</v>
      </c>
      <c r="B1449" s="82" t="s">
        <v>1809</v>
      </c>
      <c r="C1449" s="82" t="s">
        <v>2038</v>
      </c>
      <c r="D1449" s="82" t="s">
        <v>2036</v>
      </c>
      <c r="F1449" s="83">
        <v>46189.0</v>
      </c>
      <c r="G1449" s="84" t="s">
        <v>3111</v>
      </c>
      <c r="H1449" s="82" t="s">
        <v>2035</v>
      </c>
      <c r="I1449" s="83">
        <v>46178.0</v>
      </c>
    </row>
    <row r="1450" ht="22.5" hidden="1" customHeight="1">
      <c r="A1450" s="81">
        <v>46181.36883190973</v>
      </c>
      <c r="B1450" s="82" t="s">
        <v>1812</v>
      </c>
      <c r="C1450" s="82" t="s">
        <v>2038</v>
      </c>
      <c r="D1450" s="82" t="s">
        <v>2036</v>
      </c>
      <c r="F1450" s="83">
        <v>46189.0</v>
      </c>
      <c r="G1450" s="84" t="s">
        <v>3112</v>
      </c>
      <c r="H1450" s="82" t="s">
        <v>2035</v>
      </c>
      <c r="I1450" s="83">
        <v>46178.0</v>
      </c>
    </row>
    <row r="1451" ht="22.5" hidden="1" customHeight="1">
      <c r="A1451" s="81">
        <v>46181.36986983796</v>
      </c>
      <c r="B1451" s="82" t="s">
        <v>1721</v>
      </c>
      <c r="C1451" s="82" t="s">
        <v>2038</v>
      </c>
      <c r="D1451" s="82" t="s">
        <v>2036</v>
      </c>
      <c r="F1451" s="83">
        <v>46190.0</v>
      </c>
      <c r="G1451" s="84" t="s">
        <v>3113</v>
      </c>
      <c r="H1451" s="82" t="s">
        <v>2035</v>
      </c>
      <c r="I1451" s="83">
        <v>46179.0</v>
      </c>
    </row>
    <row r="1452" ht="22.5" hidden="1" customHeight="1">
      <c r="A1452" s="81">
        <v>46181.37072274306</v>
      </c>
      <c r="B1452" s="82" t="s">
        <v>1629</v>
      </c>
      <c r="C1452" s="82" t="s">
        <v>2038</v>
      </c>
      <c r="D1452" s="82" t="s">
        <v>2036</v>
      </c>
      <c r="F1452" s="83">
        <v>46190.0</v>
      </c>
      <c r="G1452" s="84" t="s">
        <v>3114</v>
      </c>
      <c r="H1452" s="82" t="s">
        <v>2035</v>
      </c>
      <c r="I1452" s="83">
        <v>46179.0</v>
      </c>
    </row>
    <row r="1453" ht="22.5" hidden="1" customHeight="1">
      <c r="A1453" s="81">
        <v>46181.606104375</v>
      </c>
      <c r="B1453" s="82" t="s">
        <v>1880</v>
      </c>
      <c r="C1453" s="82" t="s">
        <v>2038</v>
      </c>
      <c r="D1453" s="82" t="s">
        <v>2036</v>
      </c>
      <c r="F1453" s="83">
        <v>46190.0</v>
      </c>
      <c r="G1453" s="84" t="s">
        <v>3115</v>
      </c>
      <c r="H1453" s="82" t="s">
        <v>2035</v>
      </c>
      <c r="I1453" s="83">
        <v>46181.0</v>
      </c>
    </row>
    <row r="1454" ht="22.5" hidden="1" customHeight="1">
      <c r="A1454" s="81">
        <v>46181.60760724537</v>
      </c>
      <c r="B1454" s="82" t="s">
        <v>1836</v>
      </c>
      <c r="C1454" s="82" t="s">
        <v>2038</v>
      </c>
      <c r="D1454" s="82" t="s">
        <v>2036</v>
      </c>
      <c r="F1454" s="83">
        <v>46190.0</v>
      </c>
      <c r="G1454" s="84" t="s">
        <v>3116</v>
      </c>
      <c r="H1454" s="82" t="s">
        <v>2035</v>
      </c>
      <c r="I1454" s="83">
        <v>46181.0</v>
      </c>
    </row>
    <row r="1455" ht="22.5" hidden="1" customHeight="1">
      <c r="A1455" s="81">
        <v>46182.444127083334</v>
      </c>
      <c r="B1455" s="82" t="s">
        <v>1903</v>
      </c>
      <c r="C1455" s="82" t="s">
        <v>2038</v>
      </c>
      <c r="D1455" s="82" t="s">
        <v>2036</v>
      </c>
      <c r="F1455" s="83">
        <v>46191.0</v>
      </c>
      <c r="G1455" s="84" t="s">
        <v>3117</v>
      </c>
      <c r="H1455" s="82" t="s">
        <v>2035</v>
      </c>
      <c r="I1455" s="83">
        <v>46182.0</v>
      </c>
    </row>
    <row r="1456" ht="22.5" hidden="1" customHeight="1">
      <c r="A1456" s="81">
        <v>46182.444298726856</v>
      </c>
      <c r="B1456" s="82" t="s">
        <v>1910</v>
      </c>
      <c r="C1456" s="82" t="s">
        <v>2035</v>
      </c>
      <c r="D1456" s="82" t="s">
        <v>2034</v>
      </c>
      <c r="H1456" s="82" t="s">
        <v>2035</v>
      </c>
      <c r="I1456" s="83">
        <v>46182.0</v>
      </c>
    </row>
    <row r="1457" ht="22.5" hidden="1" customHeight="1">
      <c r="A1457" s="81">
        <v>46182.4445834375</v>
      </c>
      <c r="B1457" s="82" t="s">
        <v>1905</v>
      </c>
      <c r="C1457" s="82" t="s">
        <v>2035</v>
      </c>
      <c r="D1457" s="82" t="s">
        <v>2034</v>
      </c>
      <c r="H1457" s="82" t="s">
        <v>2035</v>
      </c>
      <c r="I1457" s="83">
        <v>46182.0</v>
      </c>
    </row>
    <row r="1458" ht="22.5" hidden="1" customHeight="1">
      <c r="A1458" s="81">
        <v>46182.46470917824</v>
      </c>
      <c r="B1458" s="82" t="s">
        <v>1901</v>
      </c>
      <c r="C1458" s="82" t="s">
        <v>2035</v>
      </c>
      <c r="D1458" s="82" t="s">
        <v>2034</v>
      </c>
      <c r="H1458" s="82" t="s">
        <v>2035</v>
      </c>
      <c r="I1458" s="83">
        <v>46182.0</v>
      </c>
    </row>
    <row r="1459" ht="22.5" hidden="1" customHeight="1">
      <c r="A1459" s="81">
        <v>46183.66899314815</v>
      </c>
      <c r="B1459" s="82" t="s">
        <v>1917</v>
      </c>
      <c r="C1459" s="82" t="s">
        <v>2035</v>
      </c>
      <c r="D1459" s="82" t="s">
        <v>2034</v>
      </c>
      <c r="H1459" s="82" t="s">
        <v>2035</v>
      </c>
      <c r="I1459" s="83">
        <v>46183.0</v>
      </c>
    </row>
    <row r="1460" ht="22.5" hidden="1" customHeight="1">
      <c r="A1460" s="81">
        <v>46183.66954422454</v>
      </c>
      <c r="B1460" s="82" t="s">
        <v>1918</v>
      </c>
      <c r="C1460" s="82" t="s">
        <v>2035</v>
      </c>
      <c r="D1460" s="82" t="s">
        <v>2036</v>
      </c>
      <c r="F1460" s="83">
        <v>46203.0</v>
      </c>
      <c r="G1460" s="84" t="s">
        <v>3118</v>
      </c>
      <c r="H1460" s="82" t="s">
        <v>2035</v>
      </c>
      <c r="I1460" s="83">
        <v>46183.0</v>
      </c>
    </row>
    <row r="1461" ht="22.5" hidden="1" customHeight="1">
      <c r="A1461" s="81">
        <v>46183.70285869213</v>
      </c>
      <c r="B1461" s="82" t="s">
        <v>1652</v>
      </c>
      <c r="C1461" s="82" t="s">
        <v>2038</v>
      </c>
      <c r="D1461" s="82" t="s">
        <v>2036</v>
      </c>
      <c r="F1461" s="83">
        <v>46195.0</v>
      </c>
      <c r="G1461" s="84" t="s">
        <v>3119</v>
      </c>
      <c r="H1461" s="82" t="s">
        <v>2035</v>
      </c>
      <c r="I1461" s="83">
        <v>46183.0</v>
      </c>
    </row>
    <row r="1462" ht="22.5" hidden="1" customHeight="1">
      <c r="A1462" s="81">
        <v>46183.72629491898</v>
      </c>
      <c r="B1462" s="82" t="s">
        <v>1003</v>
      </c>
      <c r="C1462" s="82" t="s">
        <v>2038</v>
      </c>
      <c r="D1462" s="82" t="s">
        <v>2034</v>
      </c>
      <c r="H1462" s="82" t="s">
        <v>2035</v>
      </c>
      <c r="I1462" s="83">
        <v>46183.0</v>
      </c>
      <c r="J1462" s="84" t="s">
        <v>3120</v>
      </c>
    </row>
    <row r="1463" ht="22.5" hidden="1" customHeight="1">
      <c r="A1463" s="81">
        <v>46183.726693634264</v>
      </c>
      <c r="B1463" s="82" t="s">
        <v>1877</v>
      </c>
      <c r="C1463" s="82" t="s">
        <v>2038</v>
      </c>
      <c r="D1463" s="82" t="s">
        <v>2034</v>
      </c>
      <c r="H1463" s="82" t="s">
        <v>2035</v>
      </c>
      <c r="I1463" s="83">
        <v>46183.0</v>
      </c>
      <c r="J1463" s="84" t="s">
        <v>3121</v>
      </c>
    </row>
    <row r="1464" ht="22.5" hidden="1" customHeight="1">
      <c r="A1464" s="81">
        <v>46183.72710438658</v>
      </c>
      <c r="B1464" s="82" t="s">
        <v>1879</v>
      </c>
      <c r="C1464" s="82" t="s">
        <v>2038</v>
      </c>
      <c r="D1464" s="82" t="s">
        <v>2034</v>
      </c>
      <c r="H1464" s="82" t="s">
        <v>2035</v>
      </c>
      <c r="I1464" s="83">
        <v>46183.0</v>
      </c>
      <c r="J1464" s="84" t="s">
        <v>3122</v>
      </c>
    </row>
    <row r="1465" ht="22.5" hidden="1" customHeight="1">
      <c r="A1465" s="81">
        <v>46184.70796637732</v>
      </c>
      <c r="B1465" s="82" t="s">
        <v>1809</v>
      </c>
      <c r="C1465" s="82" t="s">
        <v>2038</v>
      </c>
      <c r="D1465" s="82" t="s">
        <v>2034</v>
      </c>
      <c r="H1465" s="82" t="s">
        <v>2035</v>
      </c>
      <c r="I1465" s="83">
        <v>46184.0</v>
      </c>
      <c r="J1465" s="84" t="s">
        <v>3123</v>
      </c>
    </row>
    <row r="1466" ht="22.5" hidden="1" customHeight="1">
      <c r="A1466" s="81">
        <v>46184.70901068287</v>
      </c>
      <c r="B1466" s="82" t="s">
        <v>1812</v>
      </c>
      <c r="C1466" s="82" t="s">
        <v>2038</v>
      </c>
      <c r="D1466" s="82" t="s">
        <v>2034</v>
      </c>
      <c r="H1466" s="82" t="s">
        <v>2035</v>
      </c>
      <c r="I1466" s="83">
        <v>46184.0</v>
      </c>
      <c r="J1466" s="84" t="s">
        <v>3124</v>
      </c>
    </row>
    <row r="1467" ht="22.5" hidden="1" customHeight="1">
      <c r="A1467" s="81">
        <v>46184.70960233796</v>
      </c>
      <c r="B1467" s="82" t="s">
        <v>1925</v>
      </c>
      <c r="C1467" s="82" t="s">
        <v>2035</v>
      </c>
      <c r="D1467" s="82" t="s">
        <v>2034</v>
      </c>
      <c r="H1467" s="82" t="s">
        <v>2035</v>
      </c>
      <c r="I1467" s="83">
        <v>46184.0</v>
      </c>
      <c r="J1467" s="84" t="s">
        <v>3125</v>
      </c>
    </row>
    <row r="1468" ht="22.5" hidden="1" customHeight="1">
      <c r="A1468" s="81">
        <v>46185.63551373842</v>
      </c>
      <c r="B1468" s="82" t="s">
        <v>1911</v>
      </c>
      <c r="C1468" s="82" t="s">
        <v>2035</v>
      </c>
      <c r="D1468" s="82" t="s">
        <v>2034</v>
      </c>
      <c r="H1468" s="82" t="s">
        <v>2035</v>
      </c>
      <c r="I1468" s="83">
        <v>46185.0</v>
      </c>
      <c r="J1468" s="84" t="s">
        <v>3126</v>
      </c>
    </row>
    <row r="1469" ht="22.5" hidden="1" customHeight="1">
      <c r="A1469" s="81">
        <v>46188.59115414352</v>
      </c>
      <c r="B1469" s="82" t="s">
        <v>1932</v>
      </c>
      <c r="C1469" s="82" t="s">
        <v>2035</v>
      </c>
      <c r="D1469" s="82" t="s">
        <v>2034</v>
      </c>
      <c r="H1469" s="82" t="s">
        <v>2035</v>
      </c>
      <c r="I1469" s="83">
        <v>46188.0</v>
      </c>
    </row>
    <row r="1470" ht="22.5" hidden="1" customHeight="1">
      <c r="A1470" s="81">
        <v>46188.59136924769</v>
      </c>
      <c r="B1470" s="82" t="s">
        <v>1935</v>
      </c>
      <c r="C1470" s="82" t="s">
        <v>2035</v>
      </c>
      <c r="D1470" s="82" t="s">
        <v>2034</v>
      </c>
      <c r="H1470" s="82" t="s">
        <v>2035</v>
      </c>
      <c r="I1470" s="83">
        <v>46188.0</v>
      </c>
    </row>
    <row r="1471" ht="22.5" hidden="1" customHeight="1">
      <c r="A1471" s="81">
        <v>46188.602204016206</v>
      </c>
      <c r="B1471" s="82" t="s">
        <v>1615</v>
      </c>
      <c r="C1471" s="82" t="s">
        <v>2038</v>
      </c>
      <c r="D1471" s="82" t="s">
        <v>2036</v>
      </c>
      <c r="F1471" s="83">
        <v>46197.0</v>
      </c>
      <c r="G1471" s="84" t="s">
        <v>3127</v>
      </c>
      <c r="H1471" s="82" t="s">
        <v>2035</v>
      </c>
      <c r="I1471" s="83">
        <v>46188.0</v>
      </c>
    </row>
    <row r="1472" ht="22.5" hidden="1" customHeight="1">
      <c r="A1472" s="81">
        <v>46188.602966886574</v>
      </c>
      <c r="B1472" s="82" t="s">
        <v>1936</v>
      </c>
      <c r="C1472" s="82" t="s">
        <v>2035</v>
      </c>
      <c r="D1472" s="82" t="s">
        <v>2036</v>
      </c>
      <c r="F1472" s="83">
        <v>46213.0</v>
      </c>
      <c r="G1472" s="84" t="s">
        <v>3128</v>
      </c>
      <c r="H1472" s="82" t="s">
        <v>2035</v>
      </c>
      <c r="I1472" s="83">
        <v>46188.0</v>
      </c>
    </row>
    <row r="1473" ht="22.5" hidden="1" customHeight="1">
      <c r="A1473" s="81">
        <v>46188.60357644676</v>
      </c>
      <c r="B1473" s="82" t="s">
        <v>1944</v>
      </c>
      <c r="C1473" s="82" t="s">
        <v>2035</v>
      </c>
      <c r="D1473" s="82" t="s">
        <v>2036</v>
      </c>
      <c r="F1473" s="83">
        <v>46213.0</v>
      </c>
      <c r="G1473" s="84" t="s">
        <v>3129</v>
      </c>
      <c r="H1473" s="82" t="s">
        <v>2035</v>
      </c>
      <c r="I1473" s="83">
        <v>46188.0</v>
      </c>
    </row>
    <row r="1474" ht="22.5" hidden="1" customHeight="1">
      <c r="A1474" s="81">
        <v>46188.62375108796</v>
      </c>
      <c r="B1474" s="82" t="s">
        <v>1927</v>
      </c>
      <c r="C1474" s="82" t="s">
        <v>2035</v>
      </c>
      <c r="D1474" s="82" t="s">
        <v>2034</v>
      </c>
      <c r="H1474" s="82" t="s">
        <v>2035</v>
      </c>
      <c r="I1474" s="83">
        <v>46185.0</v>
      </c>
      <c r="J1474" s="84" t="s">
        <v>3130</v>
      </c>
    </row>
    <row r="1475" ht="22.5" hidden="1" customHeight="1">
      <c r="A1475" s="81">
        <v>46188.78520258101</v>
      </c>
      <c r="B1475" s="82" t="s">
        <v>1939</v>
      </c>
      <c r="C1475" s="82" t="s">
        <v>2035</v>
      </c>
      <c r="D1475" s="82" t="s">
        <v>2036</v>
      </c>
      <c r="F1475" s="83">
        <v>46213.0</v>
      </c>
      <c r="G1475" s="84" t="s">
        <v>3131</v>
      </c>
      <c r="H1475" s="82" t="s">
        <v>2035</v>
      </c>
      <c r="I1475" s="83">
        <v>46188.0</v>
      </c>
    </row>
    <row r="1476" ht="22.5" hidden="1" customHeight="1">
      <c r="A1476" s="81">
        <v>46189.35511046296</v>
      </c>
      <c r="B1476" s="82" t="s">
        <v>1951</v>
      </c>
      <c r="C1476" s="82" t="s">
        <v>2035</v>
      </c>
      <c r="D1476" s="82" t="s">
        <v>2034</v>
      </c>
      <c r="H1476" s="82" t="s">
        <v>2035</v>
      </c>
      <c r="I1476" s="83">
        <v>46189.0</v>
      </c>
    </row>
    <row r="1477" ht="22.5" hidden="1" customHeight="1">
      <c r="A1477" s="81">
        <v>46189.35528729166</v>
      </c>
      <c r="B1477" s="82" t="s">
        <v>1953</v>
      </c>
      <c r="C1477" s="82" t="s">
        <v>2035</v>
      </c>
      <c r="D1477" s="82" t="s">
        <v>2034</v>
      </c>
      <c r="H1477" s="82" t="s">
        <v>2035</v>
      </c>
      <c r="I1477" s="83">
        <v>46189.0</v>
      </c>
    </row>
    <row r="1478" ht="22.5" hidden="1" customHeight="1">
      <c r="A1478" s="81">
        <v>46189.35547729167</v>
      </c>
      <c r="B1478" s="82" t="s">
        <v>1954</v>
      </c>
      <c r="C1478" s="82" t="s">
        <v>2035</v>
      </c>
      <c r="D1478" s="82" t="s">
        <v>2034</v>
      </c>
      <c r="H1478" s="82" t="s">
        <v>2035</v>
      </c>
      <c r="I1478" s="83">
        <v>46189.0</v>
      </c>
    </row>
    <row r="1479" ht="22.5" hidden="1" customHeight="1">
      <c r="A1479" s="81">
        <v>46189.35571777778</v>
      </c>
      <c r="B1479" s="82" t="s">
        <v>1955</v>
      </c>
      <c r="C1479" s="82" t="s">
        <v>2035</v>
      </c>
      <c r="D1479" s="82" t="s">
        <v>2034</v>
      </c>
      <c r="H1479" s="82" t="s">
        <v>2035</v>
      </c>
      <c r="I1479" s="83">
        <v>46189.0</v>
      </c>
    </row>
    <row r="1480" ht="22.5" hidden="1" customHeight="1">
      <c r="A1480" s="81">
        <v>46189.58109100694</v>
      </c>
      <c r="B1480" s="82" t="s">
        <v>1880</v>
      </c>
      <c r="C1480" s="82" t="s">
        <v>2038</v>
      </c>
      <c r="D1480" s="82" t="s">
        <v>2036</v>
      </c>
      <c r="F1480" s="83">
        <v>46198.0</v>
      </c>
      <c r="G1480" s="84" t="s">
        <v>3132</v>
      </c>
      <c r="H1480" s="82" t="s">
        <v>2035</v>
      </c>
      <c r="I1480" s="83">
        <v>46189.0</v>
      </c>
    </row>
    <row r="1481" ht="22.5" hidden="1" customHeight="1">
      <c r="A1481" s="81">
        <v>46189.58264256944</v>
      </c>
      <c r="B1481" s="82" t="s">
        <v>1930</v>
      </c>
      <c r="C1481" s="82" t="s">
        <v>2038</v>
      </c>
      <c r="D1481" s="82" t="s">
        <v>2036</v>
      </c>
      <c r="F1481" s="83">
        <v>46198.0</v>
      </c>
      <c r="G1481" s="84" t="s">
        <v>3133</v>
      </c>
      <c r="H1481" s="82" t="s">
        <v>2035</v>
      </c>
      <c r="I1481" s="83">
        <v>46189.0</v>
      </c>
    </row>
    <row r="1482" ht="22.5" hidden="1" customHeight="1">
      <c r="A1482" s="81">
        <v>46189.583596550925</v>
      </c>
      <c r="B1482" s="82" t="s">
        <v>1949</v>
      </c>
      <c r="C1482" s="82" t="s">
        <v>2038</v>
      </c>
      <c r="D1482" s="82" t="s">
        <v>2036</v>
      </c>
      <c r="F1482" s="83">
        <v>46198.0</v>
      </c>
      <c r="G1482" s="84" t="s">
        <v>3134</v>
      </c>
      <c r="H1482" s="82" t="s">
        <v>2035</v>
      </c>
      <c r="I1482" s="83">
        <v>46189.0</v>
      </c>
    </row>
    <row r="1483" ht="22.5" hidden="1" customHeight="1">
      <c r="A1483" s="81">
        <v>46189.584098067135</v>
      </c>
      <c r="B1483" s="82" t="s">
        <v>1960</v>
      </c>
      <c r="C1483" s="82" t="s">
        <v>2038</v>
      </c>
      <c r="D1483" s="82" t="s">
        <v>2034</v>
      </c>
      <c r="H1483" s="82" t="s">
        <v>2035</v>
      </c>
      <c r="I1483" s="83">
        <v>46189.0</v>
      </c>
      <c r="J1483" s="84" t="s">
        <v>3135</v>
      </c>
    </row>
    <row r="1484" ht="22.5" hidden="1" customHeight="1">
      <c r="A1484" s="81">
        <v>46189.58452253472</v>
      </c>
      <c r="B1484" s="82" t="s">
        <v>1962</v>
      </c>
      <c r="C1484" s="82" t="s">
        <v>2038</v>
      </c>
      <c r="D1484" s="82" t="s">
        <v>2034</v>
      </c>
      <c r="H1484" s="82" t="s">
        <v>2035</v>
      </c>
      <c r="I1484" s="83">
        <v>46189.0</v>
      </c>
      <c r="J1484" s="84" t="s">
        <v>3136</v>
      </c>
    </row>
    <row r="1485" ht="22.5" hidden="1" customHeight="1">
      <c r="A1485" s="81">
        <v>46189.584738136575</v>
      </c>
      <c r="B1485" s="82" t="s">
        <v>1963</v>
      </c>
      <c r="C1485" s="82" t="s">
        <v>2035</v>
      </c>
      <c r="D1485" s="82" t="s">
        <v>2034</v>
      </c>
      <c r="H1485" s="82" t="s">
        <v>2035</v>
      </c>
      <c r="I1485" s="83">
        <v>46189.0</v>
      </c>
    </row>
    <row r="1486" ht="22.5" hidden="1" customHeight="1">
      <c r="A1486" s="81">
        <v>46189.58497324074</v>
      </c>
      <c r="B1486" s="82" t="s">
        <v>1966</v>
      </c>
      <c r="C1486" s="82" t="s">
        <v>2035</v>
      </c>
      <c r="D1486" s="82" t="s">
        <v>2034</v>
      </c>
      <c r="H1486" s="82" t="s">
        <v>2035</v>
      </c>
      <c r="I1486" s="83">
        <v>46189.0</v>
      </c>
    </row>
    <row r="1487" ht="22.5" hidden="1" customHeight="1">
      <c r="A1487" s="81">
        <v>46189.59386903935</v>
      </c>
      <c r="B1487" s="82" t="s">
        <v>1836</v>
      </c>
      <c r="C1487" s="82" t="s">
        <v>2038</v>
      </c>
      <c r="D1487" s="82" t="s">
        <v>2034</v>
      </c>
      <c r="H1487" s="82" t="s">
        <v>2035</v>
      </c>
      <c r="I1487" s="83">
        <v>46189.0</v>
      </c>
      <c r="J1487" s="84" t="s">
        <v>3137</v>
      </c>
    </row>
    <row r="1488" ht="22.5" hidden="1" customHeight="1">
      <c r="A1488" s="81">
        <v>46189.597158495366</v>
      </c>
      <c r="B1488" s="82" t="s">
        <v>1542</v>
      </c>
      <c r="C1488" s="82" t="s">
        <v>2038</v>
      </c>
      <c r="D1488" s="82" t="s">
        <v>2036</v>
      </c>
      <c r="F1488" s="83">
        <v>46198.0</v>
      </c>
      <c r="G1488" s="84" t="s">
        <v>3138</v>
      </c>
      <c r="H1488" s="82" t="s">
        <v>2035</v>
      </c>
      <c r="I1488" s="83">
        <v>46189.0</v>
      </c>
    </row>
    <row r="1489" ht="22.5" hidden="1" customHeight="1">
      <c r="A1489" s="81">
        <v>46189.59788310185</v>
      </c>
      <c r="B1489" s="82" t="s">
        <v>1890</v>
      </c>
      <c r="C1489" s="82" t="s">
        <v>2038</v>
      </c>
      <c r="D1489" s="82" t="s">
        <v>2036</v>
      </c>
      <c r="F1489" s="83">
        <v>46198.0</v>
      </c>
      <c r="G1489" s="84" t="s">
        <v>3139</v>
      </c>
      <c r="H1489" s="82" t="s">
        <v>2035</v>
      </c>
      <c r="I1489" s="83">
        <v>46189.0</v>
      </c>
    </row>
    <row r="1490" ht="22.5" hidden="1" customHeight="1">
      <c r="A1490" s="81">
        <v>46189.59958734954</v>
      </c>
      <c r="B1490" s="82" t="s">
        <v>350</v>
      </c>
      <c r="C1490" s="82" t="s">
        <v>2038</v>
      </c>
      <c r="D1490" s="82" t="s">
        <v>2036</v>
      </c>
      <c r="F1490" s="83">
        <v>46195.0</v>
      </c>
      <c r="G1490" s="84" t="s">
        <v>3140</v>
      </c>
      <c r="H1490" s="82" t="s">
        <v>2035</v>
      </c>
      <c r="I1490" s="83">
        <v>46183.0</v>
      </c>
    </row>
    <row r="1491" ht="22.5" customHeight="1">
      <c r="A1491" s="81">
        <v>46190.41149385417</v>
      </c>
      <c r="B1491" s="82" t="s">
        <v>1968</v>
      </c>
      <c r="C1491" s="82" t="s">
        <v>2035</v>
      </c>
      <c r="D1491" s="82" t="s">
        <v>2034</v>
      </c>
      <c r="H1491" s="82" t="s">
        <v>2035</v>
      </c>
      <c r="I1491" s="83">
        <v>46190.0</v>
      </c>
    </row>
    <row r="1492" ht="22.5" customHeight="1">
      <c r="A1492" s="81">
        <v>46190.41167907407</v>
      </c>
      <c r="B1492" s="82" t="s">
        <v>1969</v>
      </c>
      <c r="C1492" s="82" t="s">
        <v>2035</v>
      </c>
      <c r="D1492" s="82" t="s">
        <v>2034</v>
      </c>
      <c r="H1492" s="82" t="s">
        <v>2035</v>
      </c>
      <c r="I1492" s="83">
        <v>46190.0</v>
      </c>
    </row>
    <row r="1493" ht="22.5" customHeight="1">
      <c r="A1493" s="81">
        <v>46190.41232949074</v>
      </c>
      <c r="B1493" s="82" t="s">
        <v>1946</v>
      </c>
      <c r="C1493" s="82" t="s">
        <v>2038</v>
      </c>
      <c r="D1493" s="82" t="s">
        <v>2036</v>
      </c>
      <c r="F1493" s="83">
        <v>46199.0</v>
      </c>
      <c r="G1493" s="84" t="s">
        <v>3141</v>
      </c>
      <c r="H1493" s="82" t="s">
        <v>2035</v>
      </c>
      <c r="I1493" s="83">
        <v>46190.0</v>
      </c>
    </row>
    <row r="1494" ht="22.5" customHeight="1">
      <c r="A1494" s="81">
        <v>46190.49776484954</v>
      </c>
      <c r="B1494" s="82" t="s">
        <v>892</v>
      </c>
      <c r="C1494" s="82" t="s">
        <v>2035</v>
      </c>
      <c r="D1494" s="82" t="s">
        <v>2034</v>
      </c>
      <c r="H1494" s="82" t="s">
        <v>2035</v>
      </c>
      <c r="I1494" s="83">
        <v>46189.0</v>
      </c>
      <c r="J1494" s="84" t="s">
        <v>3142</v>
      </c>
    </row>
    <row r="1495" ht="22.5" customHeight="1">
      <c r="A1495" s="81">
        <v>46190.701211238425</v>
      </c>
      <c r="B1495" s="82" t="s">
        <v>1973</v>
      </c>
      <c r="C1495" s="82" t="s">
        <v>2035</v>
      </c>
      <c r="D1495" s="82" t="s">
        <v>2034</v>
      </c>
      <c r="H1495" s="82" t="s">
        <v>2035</v>
      </c>
      <c r="I1495" s="83">
        <v>46190.0</v>
      </c>
      <c r="J1495" s="84" t="s">
        <v>3143</v>
      </c>
    </row>
    <row r="1496" ht="22.5" customHeight="1">
      <c r="A1496" s="81">
        <v>46191.65391658565</v>
      </c>
      <c r="B1496" s="82" t="s">
        <v>1971</v>
      </c>
      <c r="C1496" s="82" t="s">
        <v>2038</v>
      </c>
      <c r="D1496" s="82" t="s">
        <v>2036</v>
      </c>
      <c r="F1496" s="83">
        <v>46199.0</v>
      </c>
      <c r="G1496" s="84" t="s">
        <v>3144</v>
      </c>
      <c r="H1496" s="82" t="s">
        <v>2035</v>
      </c>
      <c r="I1496" s="83">
        <v>46190.0</v>
      </c>
    </row>
    <row r="1497" ht="22.5" customHeight="1">
      <c r="A1497" s="81">
        <v>46191.66577784722</v>
      </c>
      <c r="B1497" s="82" t="s">
        <v>1982</v>
      </c>
      <c r="C1497" s="82" t="s">
        <v>2038</v>
      </c>
      <c r="D1497" s="82" t="s">
        <v>2036</v>
      </c>
      <c r="F1497" s="83">
        <v>46199.0</v>
      </c>
      <c r="G1497" s="84" t="s">
        <v>3145</v>
      </c>
      <c r="H1497" s="82" t="s">
        <v>2035</v>
      </c>
      <c r="I1497" s="83">
        <v>46191.0</v>
      </c>
    </row>
    <row r="1498" ht="22.5" customHeight="1">
      <c r="A1498" s="81">
        <v>46191.667231886575</v>
      </c>
      <c r="B1498" s="82" t="s">
        <v>1958</v>
      </c>
      <c r="C1498" s="82" t="s">
        <v>2038</v>
      </c>
      <c r="D1498" s="82" t="s">
        <v>2036</v>
      </c>
      <c r="F1498" s="83">
        <v>46199.0</v>
      </c>
      <c r="G1498" s="84" t="s">
        <v>3146</v>
      </c>
      <c r="H1498" s="82" t="s">
        <v>2035</v>
      </c>
      <c r="I1498" s="83">
        <v>46191.0</v>
      </c>
    </row>
    <row r="1499" ht="22.5" customHeight="1">
      <c r="A1499" s="81">
        <v>46191.671994247685</v>
      </c>
      <c r="B1499" s="82" t="s">
        <v>1267</v>
      </c>
      <c r="C1499" s="82" t="s">
        <v>2035</v>
      </c>
      <c r="D1499" s="82" t="s">
        <v>2036</v>
      </c>
      <c r="F1499" s="83">
        <v>46198.0</v>
      </c>
      <c r="G1499" s="84" t="s">
        <v>3147</v>
      </c>
      <c r="H1499" s="82" t="s">
        <v>2035</v>
      </c>
      <c r="I1499" s="83">
        <v>46191.0</v>
      </c>
    </row>
    <row r="1500" ht="22.5" customHeight="1">
      <c r="A1500" s="81">
        <v>46191.6724615625</v>
      </c>
      <c r="B1500" s="82" t="s">
        <v>1985</v>
      </c>
      <c r="C1500" s="82" t="s">
        <v>2035</v>
      </c>
      <c r="D1500" s="82" t="s">
        <v>2034</v>
      </c>
      <c r="H1500" s="82" t="s">
        <v>2035</v>
      </c>
      <c r="I1500" s="83">
        <v>46191.0</v>
      </c>
    </row>
    <row r="1501" ht="22.5" customHeight="1">
      <c r="A1501" s="81">
        <v>46191.672720057875</v>
      </c>
      <c r="B1501" s="82" t="s">
        <v>1987</v>
      </c>
      <c r="C1501" s="82" t="s">
        <v>2035</v>
      </c>
      <c r="D1501" s="82" t="s">
        <v>2034</v>
      </c>
      <c r="H1501" s="82" t="s">
        <v>2035</v>
      </c>
      <c r="I1501" s="83">
        <v>46191.0</v>
      </c>
    </row>
    <row r="1502" ht="22.5" customHeight="1">
      <c r="A1502" s="81">
        <v>46191.67302555556</v>
      </c>
      <c r="B1502" s="82" t="s">
        <v>1996</v>
      </c>
      <c r="C1502" s="82" t="s">
        <v>2035</v>
      </c>
      <c r="D1502" s="82" t="s">
        <v>2034</v>
      </c>
      <c r="H1502" s="82" t="s">
        <v>2035</v>
      </c>
      <c r="I1502" s="83">
        <v>46191.0</v>
      </c>
    </row>
    <row r="1503" ht="22.5" customHeight="1">
      <c r="A1503" s="81">
        <v>46191.67368565973</v>
      </c>
      <c r="B1503" s="82" t="s">
        <v>1992</v>
      </c>
      <c r="C1503" s="82" t="s">
        <v>2035</v>
      </c>
      <c r="D1503" s="82" t="s">
        <v>2034</v>
      </c>
      <c r="H1503" s="82" t="s">
        <v>2035</v>
      </c>
      <c r="I1503" s="83">
        <v>46191.0</v>
      </c>
      <c r="J1503" s="84" t="s">
        <v>3148</v>
      </c>
    </row>
    <row r="1504" ht="22.5" customHeight="1">
      <c r="A1504" s="81">
        <v>46191.67718481482</v>
      </c>
      <c r="B1504" s="82" t="s">
        <v>1733</v>
      </c>
      <c r="C1504" s="82" t="s">
        <v>2035</v>
      </c>
      <c r="D1504" s="82" t="s">
        <v>2034</v>
      </c>
      <c r="H1504" s="82" t="s">
        <v>2035</v>
      </c>
      <c r="I1504" s="83">
        <v>46191.0</v>
      </c>
    </row>
    <row r="1505" ht="22.5" customHeight="1">
      <c r="A1505" s="81">
        <v>46192.70970464121</v>
      </c>
      <c r="B1505" s="82" t="s">
        <v>2000</v>
      </c>
      <c r="C1505" s="82" t="s">
        <v>2035</v>
      </c>
      <c r="D1505" s="82" t="s">
        <v>2034</v>
      </c>
      <c r="H1505" s="82" t="s">
        <v>2035</v>
      </c>
      <c r="I1505" s="83">
        <v>46192.0</v>
      </c>
    </row>
    <row r="1506" ht="22.5" customHeight="1">
      <c r="A1506" s="81">
        <v>46192.70987438658</v>
      </c>
      <c r="B1506" s="82" t="s">
        <v>2003</v>
      </c>
      <c r="C1506" s="82" t="s">
        <v>2035</v>
      </c>
      <c r="D1506" s="82" t="s">
        <v>2034</v>
      </c>
      <c r="H1506" s="82" t="s">
        <v>2035</v>
      </c>
      <c r="I1506" s="83">
        <v>46192.0</v>
      </c>
    </row>
    <row r="1507" ht="22.5" customHeight="1">
      <c r="A1507" s="81">
        <v>46192.71211528935</v>
      </c>
      <c r="B1507" s="82" t="s">
        <v>1947</v>
      </c>
      <c r="C1507" s="82" t="s">
        <v>2035</v>
      </c>
      <c r="D1507" s="82" t="s">
        <v>2034</v>
      </c>
      <c r="H1507" s="82" t="s">
        <v>2035</v>
      </c>
      <c r="I1507" s="83">
        <v>46192.0</v>
      </c>
      <c r="J1507" s="84" t="s">
        <v>3149</v>
      </c>
    </row>
    <row r="1508" ht="22.5" customHeight="1">
      <c r="A1508" s="81">
        <v>46192.71754165509</v>
      </c>
      <c r="B1508" s="82" t="s">
        <v>1841</v>
      </c>
      <c r="C1508" s="82" t="s">
        <v>2038</v>
      </c>
      <c r="D1508" s="82" t="s">
        <v>2036</v>
      </c>
      <c r="F1508" s="83">
        <v>46203.0</v>
      </c>
      <c r="G1508" s="84" t="s">
        <v>3150</v>
      </c>
      <c r="H1508" s="82" t="s">
        <v>2035</v>
      </c>
      <c r="I1508" s="83">
        <v>46192.0</v>
      </c>
    </row>
    <row r="1509" ht="22.5" customHeight="1">
      <c r="A1509" s="81">
        <v>46192.71879501158</v>
      </c>
      <c r="B1509" s="82" t="s">
        <v>1999</v>
      </c>
      <c r="C1509" s="82" t="s">
        <v>2038</v>
      </c>
      <c r="D1509" s="82" t="s">
        <v>2036</v>
      </c>
      <c r="F1509" s="83">
        <v>46203.0</v>
      </c>
      <c r="G1509" s="84" t="s">
        <v>3151</v>
      </c>
      <c r="H1509" s="82" t="s">
        <v>2035</v>
      </c>
      <c r="I1509" s="83">
        <v>46192.0</v>
      </c>
    </row>
    <row r="1510" ht="22.5" customHeight="1">
      <c r="A1510" s="81">
        <v>46192.71948009259</v>
      </c>
      <c r="B1510" s="82" t="s">
        <v>1353</v>
      </c>
      <c r="C1510" s="82" t="s">
        <v>2038</v>
      </c>
      <c r="D1510" s="82" t="s">
        <v>2036</v>
      </c>
      <c r="F1510" s="83">
        <v>46203.0</v>
      </c>
      <c r="G1510" s="84" t="s">
        <v>3152</v>
      </c>
      <c r="H1510" s="82" t="s">
        <v>2035</v>
      </c>
      <c r="I1510" s="83">
        <v>46192.0</v>
      </c>
    </row>
    <row r="1511" ht="22.5" customHeight="1">
      <c r="A1511" s="81">
        <v>46192.720330069445</v>
      </c>
      <c r="B1511" s="82" t="s">
        <v>1989</v>
      </c>
      <c r="C1511" s="82" t="s">
        <v>2038</v>
      </c>
      <c r="D1511" s="82" t="s">
        <v>2034</v>
      </c>
      <c r="H1511" s="82" t="s">
        <v>2035</v>
      </c>
      <c r="I1511" s="83">
        <v>46192.0</v>
      </c>
      <c r="J1511" s="84" t="s">
        <v>3153</v>
      </c>
    </row>
    <row r="1512" ht="22.5" customHeight="1">
      <c r="A1512" s="81">
        <v>46193.43904025463</v>
      </c>
      <c r="B1512" s="82" t="s">
        <v>1519</v>
      </c>
      <c r="C1512" s="82" t="s">
        <v>2038</v>
      </c>
      <c r="D1512" s="82" t="s">
        <v>2036</v>
      </c>
      <c r="F1512" s="83">
        <v>46203.0</v>
      </c>
      <c r="G1512" s="84" t="s">
        <v>3154</v>
      </c>
      <c r="H1512" s="82" t="s">
        <v>2035</v>
      </c>
      <c r="I1512" s="83">
        <v>46193.0</v>
      </c>
    </row>
    <row r="1513" ht="22.5" customHeight="1">
      <c r="A1513" s="81">
        <v>46193.43999886574</v>
      </c>
      <c r="B1513" s="82" t="s">
        <v>2005</v>
      </c>
      <c r="C1513" s="82" t="s">
        <v>2035</v>
      </c>
      <c r="D1513" s="82" t="s">
        <v>2034</v>
      </c>
      <c r="H1513" s="82" t="s">
        <v>2035</v>
      </c>
      <c r="I1513" s="83">
        <v>46192.0</v>
      </c>
      <c r="J1513" s="84" t="s">
        <v>3155</v>
      </c>
    </row>
    <row r="1514" ht="22.5" customHeight="1">
      <c r="A1514" s="81">
        <v>46195.786297858795</v>
      </c>
      <c r="B1514" s="82" t="s">
        <v>1721</v>
      </c>
      <c r="C1514" s="82" t="s">
        <v>2035</v>
      </c>
      <c r="D1514" s="82" t="s">
        <v>2036</v>
      </c>
      <c r="F1514" s="83">
        <v>46204.0</v>
      </c>
      <c r="G1514" s="84" t="s">
        <v>3156</v>
      </c>
      <c r="H1514" s="82" t="s">
        <v>2035</v>
      </c>
      <c r="I1514" s="83">
        <v>46195.0</v>
      </c>
    </row>
    <row r="1515" ht="22.5" customHeight="1">
      <c r="A1515" s="81">
        <v>46195.78715548611</v>
      </c>
      <c r="B1515" s="82" t="s">
        <v>1629</v>
      </c>
      <c r="C1515" s="82" t="s">
        <v>2035</v>
      </c>
      <c r="D1515" s="82" t="s">
        <v>2036</v>
      </c>
      <c r="F1515" s="83">
        <v>46204.0</v>
      </c>
      <c r="G1515" s="84" t="s">
        <v>3157</v>
      </c>
      <c r="H1515" s="82" t="s">
        <v>2035</v>
      </c>
      <c r="I1515" s="83">
        <v>46195.0</v>
      </c>
    </row>
    <row r="1516" ht="22.5" customHeight="1">
      <c r="A1516" s="81">
        <v>46195.788311412034</v>
      </c>
      <c r="B1516" s="82" t="s">
        <v>1652</v>
      </c>
      <c r="C1516" s="82" t="s">
        <v>2035</v>
      </c>
      <c r="D1516" s="82" t="s">
        <v>2036</v>
      </c>
      <c r="F1516" s="83">
        <v>46204.0</v>
      </c>
      <c r="G1516" s="84" t="s">
        <v>3158</v>
      </c>
      <c r="H1516" s="82" t="s">
        <v>2035</v>
      </c>
      <c r="I1516" s="83">
        <v>46195.0</v>
      </c>
    </row>
  </sheetData>
  <hyperlinks>
    <hyperlink r:id="rId1" ref="G5"/>
    <hyperlink r:id="rId2" ref="G7"/>
    <hyperlink r:id="rId3" ref="G9"/>
    <hyperlink r:id="rId4" ref="G10"/>
    <hyperlink r:id="rId5" ref="G12"/>
    <hyperlink r:id="rId6" ref="G16"/>
    <hyperlink r:id="rId7" ref="G17"/>
    <hyperlink r:id="rId8" ref="G23"/>
    <hyperlink r:id="rId9" ref="G24"/>
    <hyperlink r:id="rId10" ref="J25"/>
    <hyperlink r:id="rId11" ref="G26"/>
    <hyperlink r:id="rId12" ref="G27"/>
    <hyperlink r:id="rId13" ref="J29"/>
    <hyperlink r:id="rId14" ref="G30"/>
    <hyperlink r:id="rId15" ref="J37"/>
    <hyperlink r:id="rId16" ref="G38"/>
    <hyperlink r:id="rId17" ref="G40"/>
    <hyperlink r:id="rId18" ref="G41"/>
    <hyperlink r:id="rId19" ref="G42"/>
    <hyperlink r:id="rId20" ref="G43"/>
    <hyperlink r:id="rId21" ref="G45"/>
    <hyperlink r:id="rId22" ref="J47"/>
    <hyperlink r:id="rId23" ref="J48"/>
    <hyperlink r:id="rId24" ref="G51"/>
    <hyperlink r:id="rId25" ref="G52"/>
    <hyperlink r:id="rId26" ref="G53"/>
    <hyperlink r:id="rId27" ref="J54"/>
    <hyperlink r:id="rId28" ref="G55"/>
    <hyperlink r:id="rId29" ref="G56"/>
    <hyperlink r:id="rId30" ref="J58"/>
    <hyperlink r:id="rId31" ref="J61"/>
    <hyperlink r:id="rId32" ref="J62"/>
    <hyperlink r:id="rId33" ref="G63"/>
    <hyperlink r:id="rId34" ref="J65"/>
    <hyperlink r:id="rId35" ref="J72"/>
    <hyperlink r:id="rId36" ref="G74"/>
    <hyperlink r:id="rId37" ref="G75"/>
    <hyperlink r:id="rId38" ref="J77"/>
    <hyperlink r:id="rId39" ref="G78"/>
    <hyperlink r:id="rId40" ref="G79"/>
    <hyperlink r:id="rId41" ref="G80"/>
    <hyperlink r:id="rId42" ref="G81"/>
    <hyperlink r:id="rId43" ref="G82"/>
    <hyperlink r:id="rId44" ref="G83"/>
    <hyperlink r:id="rId45" ref="J84"/>
    <hyperlink r:id="rId46" ref="J85"/>
    <hyperlink r:id="rId47" ref="G86"/>
    <hyperlink r:id="rId48" ref="J87"/>
    <hyperlink r:id="rId49" ref="J88"/>
    <hyperlink r:id="rId50" ref="G89"/>
    <hyperlink r:id="rId51" ref="J94"/>
    <hyperlink r:id="rId52" ref="J95"/>
    <hyperlink r:id="rId53" ref="G96"/>
    <hyperlink r:id="rId54" ref="G97"/>
    <hyperlink r:id="rId55" ref="G98"/>
    <hyperlink r:id="rId56" ref="G99"/>
    <hyperlink r:id="rId57" ref="G100"/>
    <hyperlink r:id="rId58" ref="G101"/>
    <hyperlink r:id="rId59" ref="G102"/>
    <hyperlink r:id="rId60" ref="G103"/>
    <hyperlink r:id="rId61" ref="G104"/>
    <hyperlink r:id="rId62" ref="G105"/>
    <hyperlink r:id="rId63" ref="G106"/>
    <hyperlink r:id="rId64" ref="J107"/>
    <hyperlink r:id="rId65" ref="J108"/>
    <hyperlink r:id="rId66" ref="G110"/>
    <hyperlink r:id="rId67" ref="G115"/>
    <hyperlink r:id="rId68" ref="G116"/>
    <hyperlink r:id="rId69" ref="G117"/>
    <hyperlink r:id="rId70" ref="G118"/>
    <hyperlink r:id="rId71" ref="J119"/>
    <hyperlink r:id="rId72" ref="J120"/>
    <hyperlink r:id="rId73" ref="J121"/>
    <hyperlink r:id="rId74" ref="G123"/>
    <hyperlink r:id="rId75" ref="G124"/>
    <hyperlink r:id="rId76" ref="G125"/>
    <hyperlink r:id="rId77" ref="G126"/>
    <hyperlink r:id="rId78" ref="G127"/>
    <hyperlink r:id="rId79" ref="G128"/>
    <hyperlink r:id="rId80" ref="G129"/>
    <hyperlink r:id="rId81" ref="G130"/>
    <hyperlink r:id="rId82" ref="G131"/>
    <hyperlink r:id="rId83" ref="G132"/>
    <hyperlink r:id="rId84" ref="G133"/>
    <hyperlink r:id="rId85" ref="J134"/>
    <hyperlink r:id="rId86" ref="J135"/>
    <hyperlink r:id="rId87" ref="G137"/>
    <hyperlink r:id="rId88" ref="G138"/>
    <hyperlink r:id="rId89" ref="G139"/>
    <hyperlink r:id="rId90" ref="J140"/>
    <hyperlink r:id="rId91" ref="G142"/>
    <hyperlink r:id="rId92" ref="G143"/>
    <hyperlink r:id="rId93" ref="G144"/>
    <hyperlink r:id="rId94" ref="G146"/>
    <hyperlink r:id="rId95" ref="G147"/>
    <hyperlink r:id="rId96" ref="G148"/>
    <hyperlink r:id="rId97" ref="G149"/>
    <hyperlink r:id="rId98" ref="G150"/>
    <hyperlink r:id="rId99" ref="G151"/>
    <hyperlink r:id="rId100" ref="G152"/>
    <hyperlink r:id="rId101" ref="G153"/>
    <hyperlink r:id="rId102" ref="J154"/>
    <hyperlink r:id="rId103" ref="J155"/>
    <hyperlink r:id="rId104" ref="J156"/>
    <hyperlink r:id="rId105" ref="G157"/>
    <hyperlink r:id="rId106" ref="G158"/>
    <hyperlink r:id="rId107" ref="G160"/>
    <hyperlink r:id="rId108" ref="G161"/>
    <hyperlink r:id="rId109" ref="G162"/>
    <hyperlink r:id="rId110" ref="G163"/>
    <hyperlink r:id="rId111" ref="G164"/>
    <hyperlink r:id="rId112" ref="G165"/>
    <hyperlink r:id="rId113" ref="J166"/>
    <hyperlink r:id="rId114" ref="G169"/>
    <hyperlink r:id="rId115" ref="J170"/>
    <hyperlink r:id="rId116" ref="J171"/>
    <hyperlink r:id="rId117" ref="J172"/>
    <hyperlink r:id="rId118" ref="J173"/>
    <hyperlink r:id="rId119" ref="J174"/>
    <hyperlink r:id="rId120" ref="J175"/>
    <hyperlink r:id="rId121" ref="G176"/>
    <hyperlink r:id="rId122" ref="G177"/>
    <hyperlink r:id="rId123" ref="G178"/>
    <hyperlink r:id="rId124" ref="G179"/>
    <hyperlink r:id="rId125" ref="G183"/>
    <hyperlink r:id="rId126" ref="J184"/>
    <hyperlink r:id="rId127" ref="G186"/>
    <hyperlink r:id="rId128" ref="G187"/>
    <hyperlink r:id="rId129" ref="G188"/>
    <hyperlink r:id="rId130" ref="G189"/>
    <hyperlink r:id="rId131" ref="G190"/>
    <hyperlink r:id="rId132" ref="G191"/>
    <hyperlink r:id="rId133" ref="G194"/>
    <hyperlink r:id="rId134" ref="G195"/>
    <hyperlink r:id="rId135" ref="G196"/>
    <hyperlink r:id="rId136" ref="G197"/>
    <hyperlink r:id="rId137" ref="J199"/>
    <hyperlink r:id="rId138" ref="J201"/>
    <hyperlink r:id="rId139" ref="J202"/>
    <hyperlink r:id="rId140" ref="J203"/>
    <hyperlink r:id="rId141" ref="J204"/>
    <hyperlink r:id="rId142" ref="G206"/>
    <hyperlink r:id="rId143" ref="G207"/>
    <hyperlink r:id="rId144" ref="G208"/>
    <hyperlink r:id="rId145" ref="J209"/>
    <hyperlink r:id="rId146" ref="J210"/>
    <hyperlink r:id="rId147" ref="J211"/>
    <hyperlink r:id="rId148" ref="G212"/>
    <hyperlink r:id="rId149" ref="G213"/>
    <hyperlink r:id="rId150" ref="G214"/>
    <hyperlink r:id="rId151" ref="J215"/>
    <hyperlink r:id="rId152" ref="G216"/>
    <hyperlink r:id="rId153" ref="G217"/>
    <hyperlink r:id="rId154" ref="G218"/>
    <hyperlink r:id="rId155" ref="G220"/>
    <hyperlink r:id="rId156" ref="G223"/>
    <hyperlink r:id="rId157" ref="G224"/>
    <hyperlink r:id="rId158" ref="G225"/>
    <hyperlink r:id="rId159" ref="G226"/>
    <hyperlink r:id="rId160" ref="G227"/>
    <hyperlink r:id="rId161" ref="G228"/>
    <hyperlink r:id="rId162" ref="G229"/>
    <hyperlink r:id="rId163" ref="G230"/>
    <hyperlink r:id="rId164" ref="G231"/>
    <hyperlink r:id="rId165" ref="G232"/>
    <hyperlink r:id="rId166" ref="G233"/>
    <hyperlink r:id="rId167" ref="G234"/>
    <hyperlink r:id="rId168" ref="J235"/>
    <hyperlink r:id="rId169" ref="J236"/>
    <hyperlink r:id="rId170" ref="J237"/>
    <hyperlink r:id="rId171" ref="J238"/>
    <hyperlink r:id="rId172" ref="J239"/>
    <hyperlink r:id="rId173" ref="J240"/>
    <hyperlink r:id="rId174" ref="G249"/>
    <hyperlink r:id="rId175" ref="G250"/>
    <hyperlink r:id="rId176" ref="G251"/>
    <hyperlink r:id="rId177" ref="G252"/>
    <hyperlink r:id="rId178" ref="G253"/>
    <hyperlink r:id="rId179" ref="G254"/>
    <hyperlink r:id="rId180" ref="G255"/>
    <hyperlink r:id="rId181" ref="G256"/>
    <hyperlink r:id="rId182" ref="G257"/>
    <hyperlink r:id="rId183" ref="G259"/>
    <hyperlink r:id="rId184" ref="G260"/>
    <hyperlink r:id="rId185" ref="G261"/>
    <hyperlink r:id="rId186" ref="G262"/>
    <hyperlink r:id="rId187" ref="G263"/>
    <hyperlink r:id="rId188" ref="G264"/>
    <hyperlink r:id="rId189" ref="G265"/>
    <hyperlink r:id="rId190" ref="J268"/>
    <hyperlink r:id="rId191" ref="G270"/>
    <hyperlink r:id="rId192" ref="G271"/>
    <hyperlink r:id="rId193" ref="G272"/>
    <hyperlink r:id="rId194" ref="G273"/>
    <hyperlink r:id="rId195" ref="G274"/>
    <hyperlink r:id="rId196" ref="G275"/>
    <hyperlink r:id="rId197" ref="J279"/>
    <hyperlink r:id="rId198" ref="G280"/>
    <hyperlink r:id="rId199" ref="G281"/>
    <hyperlink r:id="rId200" ref="G282"/>
    <hyperlink r:id="rId201" ref="G283"/>
    <hyperlink r:id="rId202" ref="G284"/>
    <hyperlink r:id="rId203" ref="G285"/>
    <hyperlink r:id="rId204" ref="G287"/>
    <hyperlink r:id="rId205" ref="G288"/>
    <hyperlink r:id="rId206" ref="J290"/>
    <hyperlink r:id="rId207" ref="G291"/>
    <hyperlink r:id="rId208" ref="G292"/>
    <hyperlink r:id="rId209" ref="G293"/>
    <hyperlink r:id="rId210" ref="G294"/>
    <hyperlink r:id="rId211" ref="G295"/>
    <hyperlink r:id="rId212" ref="G296"/>
    <hyperlink r:id="rId213" ref="G297"/>
    <hyperlink r:id="rId214" ref="G300"/>
    <hyperlink r:id="rId215" ref="G301"/>
    <hyperlink r:id="rId216" ref="G302"/>
    <hyperlink r:id="rId217" ref="G303"/>
    <hyperlink r:id="rId218" ref="G304"/>
    <hyperlink r:id="rId219" ref="G308"/>
    <hyperlink r:id="rId220" ref="G310"/>
    <hyperlink r:id="rId221" ref="G311"/>
    <hyperlink r:id="rId222" ref="G312"/>
    <hyperlink r:id="rId223" ref="G313"/>
    <hyperlink r:id="rId224" ref="G315"/>
    <hyperlink r:id="rId225" ref="G316"/>
    <hyperlink r:id="rId226" ref="G321"/>
    <hyperlink r:id="rId227" ref="G322"/>
    <hyperlink r:id="rId228" ref="G328"/>
    <hyperlink r:id="rId229" ref="G329"/>
    <hyperlink r:id="rId230" ref="G330"/>
    <hyperlink r:id="rId231" ref="G331"/>
    <hyperlink r:id="rId232" ref="J332"/>
    <hyperlink r:id="rId233" ref="G336"/>
    <hyperlink r:id="rId234" ref="G337"/>
    <hyperlink r:id="rId235" ref="G338"/>
    <hyperlink r:id="rId236" ref="G339"/>
    <hyperlink r:id="rId237" ref="G340"/>
    <hyperlink r:id="rId238" ref="G341"/>
    <hyperlink r:id="rId239" ref="G342"/>
    <hyperlink r:id="rId240" ref="G343"/>
    <hyperlink r:id="rId241" ref="J345"/>
    <hyperlink r:id="rId242" ref="J346"/>
    <hyperlink r:id="rId243" ref="J347"/>
    <hyperlink r:id="rId244" ref="G348"/>
    <hyperlink r:id="rId245" ref="G349"/>
    <hyperlink r:id="rId246" ref="J350"/>
    <hyperlink r:id="rId247" ref="J351"/>
    <hyperlink r:id="rId248" ref="J352"/>
    <hyperlink r:id="rId249" ref="J353"/>
    <hyperlink r:id="rId250" ref="J354"/>
    <hyperlink r:id="rId251" ref="J355"/>
    <hyperlink r:id="rId252" ref="J356"/>
    <hyperlink r:id="rId253" ref="J357"/>
    <hyperlink r:id="rId254" ref="G358"/>
    <hyperlink r:id="rId255" ref="G359"/>
    <hyperlink r:id="rId256" ref="J361"/>
    <hyperlink r:id="rId257" ref="J362"/>
    <hyperlink r:id="rId258" ref="J363"/>
    <hyperlink r:id="rId259" ref="G364"/>
    <hyperlink r:id="rId260" ref="G365"/>
    <hyperlink r:id="rId261" ref="J366"/>
    <hyperlink r:id="rId262" ref="G367"/>
    <hyperlink r:id="rId263" ref="G368"/>
    <hyperlink r:id="rId264" ref="G369"/>
    <hyperlink r:id="rId265" ref="J370"/>
    <hyperlink r:id="rId266" ref="G372"/>
    <hyperlink r:id="rId267" ref="G373"/>
    <hyperlink r:id="rId268" ref="G381"/>
    <hyperlink r:id="rId269" ref="G382"/>
    <hyperlink r:id="rId270" ref="G383"/>
    <hyperlink r:id="rId271" ref="G384"/>
    <hyperlink r:id="rId272" ref="G385"/>
    <hyperlink r:id="rId273" ref="G386"/>
    <hyperlink r:id="rId274" ref="G387"/>
    <hyperlink r:id="rId275" ref="G388"/>
    <hyperlink r:id="rId276" ref="G389"/>
    <hyperlink r:id="rId277" ref="G390"/>
    <hyperlink r:id="rId278" ref="G391"/>
    <hyperlink r:id="rId279" ref="G392"/>
    <hyperlink r:id="rId280" ref="G393"/>
    <hyperlink r:id="rId281" ref="G394"/>
    <hyperlink r:id="rId282" ref="G395"/>
    <hyperlink r:id="rId283" ref="G396"/>
    <hyperlink r:id="rId284" ref="G397"/>
    <hyperlink r:id="rId285" ref="G398"/>
    <hyperlink r:id="rId286" ref="G410"/>
    <hyperlink r:id="rId287" ref="G411"/>
    <hyperlink r:id="rId288" ref="G412"/>
    <hyperlink r:id="rId289" ref="G413"/>
    <hyperlink r:id="rId290" ref="G414"/>
    <hyperlink r:id="rId291" ref="G415"/>
    <hyperlink r:id="rId292" ref="G416"/>
    <hyperlink r:id="rId293" ref="G417"/>
    <hyperlink r:id="rId294" ref="G418"/>
    <hyperlink r:id="rId295" ref="J420"/>
    <hyperlink r:id="rId296" ref="G421"/>
    <hyperlink r:id="rId297" ref="G422"/>
    <hyperlink r:id="rId298" ref="G423"/>
    <hyperlink r:id="rId299" ref="G424"/>
    <hyperlink r:id="rId300" ref="G425"/>
    <hyperlink r:id="rId301" ref="G426"/>
    <hyperlink r:id="rId302" ref="G427"/>
    <hyperlink r:id="rId303" ref="G428"/>
    <hyperlink r:id="rId304" ref="J429"/>
    <hyperlink r:id="rId305" ref="J430"/>
    <hyperlink r:id="rId306" ref="J431"/>
    <hyperlink r:id="rId307" ref="J432"/>
    <hyperlink r:id="rId308" ref="G433"/>
    <hyperlink r:id="rId309" ref="G434"/>
    <hyperlink r:id="rId310" ref="G435"/>
    <hyperlink r:id="rId311" ref="G443"/>
    <hyperlink r:id="rId312" ref="G444"/>
    <hyperlink r:id="rId313" ref="G445"/>
    <hyperlink r:id="rId314" ref="G446"/>
    <hyperlink r:id="rId315" ref="G447"/>
    <hyperlink r:id="rId316" ref="G448"/>
    <hyperlink r:id="rId317" ref="G449"/>
    <hyperlink r:id="rId318" ref="G450"/>
    <hyperlink r:id="rId319" ref="G453"/>
    <hyperlink r:id="rId320" ref="G454"/>
    <hyperlink r:id="rId321" ref="G455"/>
    <hyperlink r:id="rId322" ref="G456"/>
    <hyperlink r:id="rId323" ref="G457"/>
    <hyperlink r:id="rId324" ref="G458"/>
    <hyperlink r:id="rId325" ref="G459"/>
    <hyperlink r:id="rId326" ref="G460"/>
    <hyperlink r:id="rId327" ref="G461"/>
    <hyperlink r:id="rId328" ref="G462"/>
    <hyperlink r:id="rId329" ref="G463"/>
    <hyperlink r:id="rId330" ref="G464"/>
    <hyperlink r:id="rId331" ref="G465"/>
    <hyperlink r:id="rId332" ref="G466"/>
    <hyperlink r:id="rId333" ref="G467"/>
    <hyperlink r:id="rId334" ref="G468"/>
    <hyperlink r:id="rId335" ref="G469"/>
    <hyperlink r:id="rId336" ref="G470"/>
    <hyperlink r:id="rId337" ref="G471"/>
    <hyperlink r:id="rId338" ref="G472"/>
    <hyperlink r:id="rId339" ref="G473"/>
    <hyperlink r:id="rId340" ref="G474"/>
    <hyperlink r:id="rId341" ref="G475"/>
    <hyperlink r:id="rId342" ref="G476"/>
    <hyperlink r:id="rId343" ref="G477"/>
    <hyperlink r:id="rId344" ref="J484"/>
    <hyperlink r:id="rId345" ref="J485"/>
    <hyperlink r:id="rId346" ref="G486"/>
    <hyperlink r:id="rId347" ref="G487"/>
    <hyperlink r:id="rId348" ref="G488"/>
    <hyperlink r:id="rId349" ref="G493"/>
    <hyperlink r:id="rId350" ref="G494"/>
    <hyperlink r:id="rId351" ref="G495"/>
    <hyperlink r:id="rId352" ref="G496"/>
    <hyperlink r:id="rId353" ref="J497"/>
    <hyperlink r:id="rId354" ref="J498"/>
    <hyperlink r:id="rId355" ref="J499"/>
    <hyperlink r:id="rId356" ref="J500"/>
    <hyperlink r:id="rId357" ref="J501"/>
    <hyperlink r:id="rId358" ref="J502"/>
    <hyperlink r:id="rId359" ref="J504"/>
    <hyperlink r:id="rId360" ref="G505"/>
    <hyperlink r:id="rId361" ref="G506"/>
    <hyperlink r:id="rId362" ref="G507"/>
    <hyperlink r:id="rId363" ref="G508"/>
    <hyperlink r:id="rId364" ref="G509"/>
    <hyperlink r:id="rId365" ref="G510"/>
    <hyperlink r:id="rId366" ref="G511"/>
    <hyperlink r:id="rId367" ref="G512"/>
    <hyperlink r:id="rId368" ref="G513"/>
    <hyperlink r:id="rId369" ref="J514"/>
    <hyperlink r:id="rId370" ref="J515"/>
    <hyperlink r:id="rId371" ref="J516"/>
    <hyperlink r:id="rId372" ref="J517"/>
    <hyperlink r:id="rId373" ref="J518"/>
    <hyperlink r:id="rId374" ref="G519"/>
    <hyperlink r:id="rId375" ref="G520"/>
    <hyperlink r:id="rId376" ref="J521"/>
    <hyperlink r:id="rId377" ref="J522"/>
    <hyperlink r:id="rId378" ref="J523"/>
    <hyperlink r:id="rId379" ref="J524"/>
    <hyperlink r:id="rId380" ref="J525"/>
    <hyperlink r:id="rId381" ref="J526"/>
    <hyperlink r:id="rId382" ref="J527"/>
    <hyperlink r:id="rId383" ref="G528"/>
    <hyperlink r:id="rId384" ref="G529"/>
    <hyperlink r:id="rId385" ref="G530"/>
    <hyperlink r:id="rId386" ref="G531"/>
    <hyperlink r:id="rId387" ref="J532"/>
    <hyperlink r:id="rId388" ref="J533"/>
    <hyperlink r:id="rId389" ref="J534"/>
    <hyperlink r:id="rId390" ref="J535"/>
    <hyperlink r:id="rId391" ref="J536"/>
    <hyperlink r:id="rId392" ref="G540"/>
    <hyperlink r:id="rId393" ref="G541"/>
    <hyperlink r:id="rId394" ref="G542"/>
    <hyperlink r:id="rId395" ref="G543"/>
    <hyperlink r:id="rId396" ref="G544"/>
    <hyperlink r:id="rId397" ref="G545"/>
    <hyperlink r:id="rId398" ref="G546"/>
    <hyperlink r:id="rId399" ref="J550"/>
    <hyperlink r:id="rId400" ref="J551"/>
    <hyperlink r:id="rId401" ref="J552"/>
    <hyperlink r:id="rId402" ref="G553"/>
    <hyperlink r:id="rId403" ref="G554"/>
    <hyperlink r:id="rId404" ref="J555"/>
    <hyperlink r:id="rId405" ref="G556"/>
    <hyperlink r:id="rId406" ref="J557"/>
    <hyperlink r:id="rId407" ref="J558"/>
    <hyperlink r:id="rId408" ref="G559"/>
    <hyperlink r:id="rId409" ref="G560"/>
    <hyperlink r:id="rId410" ref="G561"/>
    <hyperlink r:id="rId411" ref="G562"/>
    <hyperlink r:id="rId412" ref="J563"/>
    <hyperlink r:id="rId413" ref="J564"/>
    <hyperlink r:id="rId414" ref="J565"/>
    <hyperlink r:id="rId415" ref="J566"/>
    <hyperlink r:id="rId416" ref="J567"/>
    <hyperlink r:id="rId417" ref="G568"/>
    <hyperlink r:id="rId418" ref="G569"/>
    <hyperlink r:id="rId419" ref="G570"/>
    <hyperlink r:id="rId420" ref="G571"/>
    <hyperlink r:id="rId421" ref="J572"/>
    <hyperlink r:id="rId422" ref="J573"/>
    <hyperlink r:id="rId423" ref="J574"/>
    <hyperlink r:id="rId424" ref="G575"/>
    <hyperlink r:id="rId425" ref="G576"/>
    <hyperlink r:id="rId426" ref="G577"/>
    <hyperlink r:id="rId427" ref="G578"/>
    <hyperlink r:id="rId428" ref="G579"/>
    <hyperlink r:id="rId429" ref="G580"/>
    <hyperlink r:id="rId430" ref="J581"/>
    <hyperlink r:id="rId431" ref="J582"/>
    <hyperlink r:id="rId432" ref="J583"/>
    <hyperlink r:id="rId433" ref="G584"/>
    <hyperlink r:id="rId434" ref="G585"/>
    <hyperlink r:id="rId435" ref="G586"/>
    <hyperlink r:id="rId436" ref="G589"/>
    <hyperlink r:id="rId437" ref="G590"/>
    <hyperlink r:id="rId438" ref="G591"/>
    <hyperlink r:id="rId439" ref="G592"/>
    <hyperlink r:id="rId440" ref="G593"/>
    <hyperlink r:id="rId441" ref="G594"/>
    <hyperlink r:id="rId442" ref="J595"/>
    <hyperlink r:id="rId443" ref="J597"/>
    <hyperlink r:id="rId444" ref="J598"/>
    <hyperlink r:id="rId445" ref="G599"/>
    <hyperlink r:id="rId446" ref="G600"/>
    <hyperlink r:id="rId447" ref="G601"/>
    <hyperlink r:id="rId448" ref="G602"/>
    <hyperlink r:id="rId449" ref="J603"/>
    <hyperlink r:id="rId450" ref="J604"/>
    <hyperlink r:id="rId451" ref="J605"/>
    <hyperlink r:id="rId452" ref="J606"/>
    <hyperlink r:id="rId453" ref="G607"/>
    <hyperlink r:id="rId454" ref="J608"/>
    <hyperlink r:id="rId455" ref="J609"/>
    <hyperlink r:id="rId456" ref="J610"/>
    <hyperlink r:id="rId457" ref="J611"/>
    <hyperlink r:id="rId458" ref="J612"/>
    <hyperlink r:id="rId459" ref="J613"/>
    <hyperlink r:id="rId460" ref="J614"/>
    <hyperlink r:id="rId461" ref="G615"/>
    <hyperlink r:id="rId462" ref="G616"/>
    <hyperlink r:id="rId463" ref="G617"/>
    <hyperlink r:id="rId464" ref="G618"/>
    <hyperlink r:id="rId465" ref="G619"/>
    <hyperlink r:id="rId466" ref="G620"/>
    <hyperlink r:id="rId467" ref="G622"/>
    <hyperlink r:id="rId468" ref="J637"/>
    <hyperlink r:id="rId469" ref="J638"/>
    <hyperlink r:id="rId470" ref="G639"/>
    <hyperlink r:id="rId471" ref="G640"/>
    <hyperlink r:id="rId472" ref="G641"/>
    <hyperlink r:id="rId473" ref="G642"/>
    <hyperlink r:id="rId474" ref="G643"/>
    <hyperlink r:id="rId475" ref="G644"/>
    <hyperlink r:id="rId476" ref="G645"/>
    <hyperlink r:id="rId477" ref="G646"/>
    <hyperlink r:id="rId478" ref="G647"/>
    <hyperlink r:id="rId479" ref="G648"/>
    <hyperlink r:id="rId480" ref="J653"/>
    <hyperlink r:id="rId481" ref="G654"/>
    <hyperlink r:id="rId482" ref="G655"/>
    <hyperlink r:id="rId483" ref="G656"/>
    <hyperlink r:id="rId484" ref="G657"/>
    <hyperlink r:id="rId485" ref="G658"/>
    <hyperlink r:id="rId486" ref="G659"/>
    <hyperlink r:id="rId487" ref="G660"/>
    <hyperlink r:id="rId488" ref="J661"/>
    <hyperlink r:id="rId489" ref="J662"/>
    <hyperlink r:id="rId490" ref="J663"/>
    <hyperlink r:id="rId491" ref="G664"/>
    <hyperlink r:id="rId492" ref="G665"/>
    <hyperlink r:id="rId493" ref="G666"/>
    <hyperlink r:id="rId494" ref="G667"/>
    <hyperlink r:id="rId495" ref="G668"/>
    <hyperlink r:id="rId496" ref="J669"/>
    <hyperlink r:id="rId497" ref="G670"/>
    <hyperlink r:id="rId498" ref="G671"/>
    <hyperlink r:id="rId499" ref="G672"/>
    <hyperlink r:id="rId500" ref="J673"/>
    <hyperlink r:id="rId501" ref="G674"/>
    <hyperlink r:id="rId502" ref="G675"/>
    <hyperlink r:id="rId503" ref="G676"/>
    <hyperlink r:id="rId504" ref="G677"/>
    <hyperlink r:id="rId505" ref="G678"/>
    <hyperlink r:id="rId506" ref="G679"/>
    <hyperlink r:id="rId507" ref="G680"/>
    <hyperlink r:id="rId508" ref="J681"/>
    <hyperlink r:id="rId509" ref="J682"/>
    <hyperlink r:id="rId510" ref="J683"/>
    <hyperlink r:id="rId511" ref="J684"/>
    <hyperlink r:id="rId512" ref="J685"/>
    <hyperlink r:id="rId513" ref="G686"/>
    <hyperlink r:id="rId514" ref="G687"/>
    <hyperlink r:id="rId515" ref="J692"/>
    <hyperlink r:id="rId516" ref="J693"/>
    <hyperlink r:id="rId517" ref="J694"/>
    <hyperlink r:id="rId518" ref="J695"/>
    <hyperlink r:id="rId519" ref="G696"/>
    <hyperlink r:id="rId520" ref="G697"/>
    <hyperlink r:id="rId521" ref="G698"/>
    <hyperlink r:id="rId522" ref="G699"/>
    <hyperlink r:id="rId523" ref="G700"/>
    <hyperlink r:id="rId524" ref="J701"/>
    <hyperlink r:id="rId525" ref="J702"/>
    <hyperlink r:id="rId526" ref="J703"/>
    <hyperlink r:id="rId527" ref="J704"/>
    <hyperlink r:id="rId528" ref="G706"/>
    <hyperlink r:id="rId529" ref="G707"/>
    <hyperlink r:id="rId530" ref="G708"/>
    <hyperlink r:id="rId531" ref="J709"/>
    <hyperlink r:id="rId532" ref="J710"/>
    <hyperlink r:id="rId533" ref="J711"/>
    <hyperlink r:id="rId534" ref="G712"/>
    <hyperlink r:id="rId535" ref="G713"/>
    <hyperlink r:id="rId536" ref="G714"/>
    <hyperlink r:id="rId537" ref="G715"/>
    <hyperlink r:id="rId538" ref="G716"/>
    <hyperlink r:id="rId539" ref="G717"/>
    <hyperlink r:id="rId540" ref="G718"/>
    <hyperlink r:id="rId541" ref="G719"/>
    <hyperlink r:id="rId542" ref="G720"/>
    <hyperlink r:id="rId543" ref="G721"/>
    <hyperlink r:id="rId544" ref="J722"/>
    <hyperlink r:id="rId545" ref="J723"/>
    <hyperlink r:id="rId546" ref="J724"/>
    <hyperlink r:id="rId547" ref="G725"/>
    <hyperlink r:id="rId548" ref="G726"/>
    <hyperlink r:id="rId549" ref="G727"/>
    <hyperlink r:id="rId550" ref="G728"/>
    <hyperlink r:id="rId551" ref="G729"/>
    <hyperlink r:id="rId552" ref="G730"/>
    <hyperlink r:id="rId553" ref="G731"/>
    <hyperlink r:id="rId554" ref="G732"/>
    <hyperlink r:id="rId555" ref="G733"/>
    <hyperlink r:id="rId556" ref="J734"/>
    <hyperlink r:id="rId557" ref="J735"/>
    <hyperlink r:id="rId558" ref="G736"/>
    <hyperlink r:id="rId559" ref="J737"/>
    <hyperlink r:id="rId560" ref="G738"/>
    <hyperlink r:id="rId561" ref="G739"/>
    <hyperlink r:id="rId562" ref="G742"/>
    <hyperlink r:id="rId563" ref="G743"/>
    <hyperlink r:id="rId564" ref="G744"/>
    <hyperlink r:id="rId565" ref="G745"/>
    <hyperlink r:id="rId566" ref="J746"/>
    <hyperlink r:id="rId567" ref="J747"/>
    <hyperlink r:id="rId568" ref="G748"/>
    <hyperlink r:id="rId569" ref="G749"/>
    <hyperlink r:id="rId570" ref="J752"/>
    <hyperlink r:id="rId571" ref="J753"/>
    <hyperlink r:id="rId572" ref="J754"/>
    <hyperlink r:id="rId573" ref="G756"/>
    <hyperlink r:id="rId574" ref="J757"/>
    <hyperlink r:id="rId575" ref="J758"/>
    <hyperlink r:id="rId576" ref="J759"/>
    <hyperlink r:id="rId577" ref="J760"/>
    <hyperlink r:id="rId578" ref="J762"/>
    <hyperlink r:id="rId579" ref="J763"/>
    <hyperlink r:id="rId580" ref="J764"/>
    <hyperlink r:id="rId581" ref="J765"/>
    <hyperlink r:id="rId582" ref="G766"/>
    <hyperlink r:id="rId583" ref="G767"/>
    <hyperlink r:id="rId584" ref="G768"/>
    <hyperlink r:id="rId585" ref="G769"/>
    <hyperlink r:id="rId586" ref="G770"/>
    <hyperlink r:id="rId587" ref="G771"/>
    <hyperlink r:id="rId588" ref="G774"/>
    <hyperlink r:id="rId589" ref="G775"/>
    <hyperlink r:id="rId590" ref="G776"/>
    <hyperlink r:id="rId591" ref="J777"/>
    <hyperlink r:id="rId592" ref="J778"/>
    <hyperlink r:id="rId593" ref="G780"/>
    <hyperlink r:id="rId594" ref="G781"/>
    <hyperlink r:id="rId595" ref="G782"/>
    <hyperlink r:id="rId596" ref="G783"/>
    <hyperlink r:id="rId597" ref="G784"/>
    <hyperlink r:id="rId598" ref="G785"/>
    <hyperlink r:id="rId599" ref="G786"/>
    <hyperlink r:id="rId600" ref="G787"/>
    <hyperlink r:id="rId601" ref="G788"/>
    <hyperlink r:id="rId602" ref="G791"/>
    <hyperlink r:id="rId603" ref="G792"/>
    <hyperlink r:id="rId604" ref="G793"/>
    <hyperlink r:id="rId605" ref="G794"/>
    <hyperlink r:id="rId606" ref="G795"/>
    <hyperlink r:id="rId607" ref="G796"/>
    <hyperlink r:id="rId608" ref="J797"/>
    <hyperlink r:id="rId609" ref="G798"/>
    <hyperlink r:id="rId610" ref="G799"/>
    <hyperlink r:id="rId611" ref="G800"/>
    <hyperlink r:id="rId612" ref="G801"/>
    <hyperlink r:id="rId613" ref="G802"/>
    <hyperlink r:id="rId614" ref="G803"/>
    <hyperlink r:id="rId615" ref="G804"/>
    <hyperlink r:id="rId616" ref="J805"/>
    <hyperlink r:id="rId617" ref="G806"/>
    <hyperlink r:id="rId618" ref="G807"/>
    <hyperlink r:id="rId619" ref="G808"/>
    <hyperlink r:id="rId620" ref="G809"/>
    <hyperlink r:id="rId621" ref="G810"/>
    <hyperlink r:id="rId622" ref="G811"/>
    <hyperlink r:id="rId623" ref="J812"/>
    <hyperlink r:id="rId624" ref="G817"/>
    <hyperlink r:id="rId625" ref="G818"/>
    <hyperlink r:id="rId626" ref="G819"/>
    <hyperlink r:id="rId627" ref="G820"/>
    <hyperlink r:id="rId628" ref="J821"/>
    <hyperlink r:id="rId629" ref="J822"/>
    <hyperlink r:id="rId630" ref="J823"/>
    <hyperlink r:id="rId631" ref="G824"/>
    <hyperlink r:id="rId632" ref="G825"/>
    <hyperlink r:id="rId633" ref="G826"/>
    <hyperlink r:id="rId634" ref="G827"/>
    <hyperlink r:id="rId635" ref="G828"/>
    <hyperlink r:id="rId636" ref="J829"/>
    <hyperlink r:id="rId637" ref="J830"/>
    <hyperlink r:id="rId638" ref="G837"/>
    <hyperlink r:id="rId639" ref="J838"/>
    <hyperlink r:id="rId640" ref="J839"/>
    <hyperlink r:id="rId641" ref="J840"/>
    <hyperlink r:id="rId642" ref="G841"/>
    <hyperlink r:id="rId643" ref="G842"/>
    <hyperlink r:id="rId644" ref="G843"/>
    <hyperlink r:id="rId645" ref="G844"/>
    <hyperlink r:id="rId646" ref="G845"/>
    <hyperlink r:id="rId647" ref="J846"/>
    <hyperlink r:id="rId648" ref="J847"/>
    <hyperlink r:id="rId649" ref="G848"/>
    <hyperlink r:id="rId650" ref="J849"/>
    <hyperlink r:id="rId651" ref="J850"/>
    <hyperlink r:id="rId652" ref="G851"/>
    <hyperlink r:id="rId653" ref="J853"/>
    <hyperlink r:id="rId654" ref="G854"/>
    <hyperlink r:id="rId655" ref="G855"/>
    <hyperlink r:id="rId656" ref="G856"/>
    <hyperlink r:id="rId657" ref="J857"/>
    <hyperlink r:id="rId658" ref="G858"/>
    <hyperlink r:id="rId659" ref="G860"/>
    <hyperlink r:id="rId660" ref="J862"/>
    <hyperlink r:id="rId661" ref="J863"/>
    <hyperlink r:id="rId662" ref="G864"/>
    <hyperlink r:id="rId663" ref="G865"/>
    <hyperlink r:id="rId664" ref="J866"/>
    <hyperlink r:id="rId665" ref="J867"/>
    <hyperlink r:id="rId666" ref="J868"/>
    <hyperlink r:id="rId667" ref="J869"/>
    <hyperlink r:id="rId668" ref="G897"/>
    <hyperlink r:id="rId669" ref="G899"/>
    <hyperlink r:id="rId670" ref="G900"/>
    <hyperlink r:id="rId671" ref="G901"/>
    <hyperlink r:id="rId672" ref="G930"/>
    <hyperlink r:id="rId673" ref="G931"/>
    <hyperlink r:id="rId674" ref="G932"/>
    <hyperlink r:id="rId675" ref="G933"/>
    <hyperlink r:id="rId676" ref="J934"/>
    <hyperlink r:id="rId677" ref="J935"/>
    <hyperlink r:id="rId678" ref="J936"/>
    <hyperlink r:id="rId679" ref="J937"/>
    <hyperlink r:id="rId680" ref="J938"/>
    <hyperlink r:id="rId681" ref="J939"/>
    <hyperlink r:id="rId682" ref="G941"/>
    <hyperlink r:id="rId683" ref="G942"/>
    <hyperlink r:id="rId684" ref="G943"/>
    <hyperlink r:id="rId685" ref="J944"/>
    <hyperlink r:id="rId686" ref="J945"/>
    <hyperlink r:id="rId687" ref="J946"/>
    <hyperlink r:id="rId688" ref="G947"/>
    <hyperlink r:id="rId689" ref="G948"/>
    <hyperlink r:id="rId690" ref="G949"/>
    <hyperlink r:id="rId691" ref="J950"/>
    <hyperlink r:id="rId692" ref="J951"/>
    <hyperlink r:id="rId693" ref="J952"/>
    <hyperlink r:id="rId694" ref="J953"/>
    <hyperlink r:id="rId695" ref="J954"/>
    <hyperlink r:id="rId696" ref="G956"/>
    <hyperlink r:id="rId697" ref="G958"/>
    <hyperlink r:id="rId698" ref="G959"/>
    <hyperlink r:id="rId699" ref="G960"/>
    <hyperlink r:id="rId700" ref="G961"/>
    <hyperlink r:id="rId701" ref="G962"/>
    <hyperlink r:id="rId702" ref="G963"/>
    <hyperlink r:id="rId703" ref="G967"/>
    <hyperlink r:id="rId704" ref="G968"/>
    <hyperlink r:id="rId705" ref="G969"/>
    <hyperlink r:id="rId706" ref="G970"/>
    <hyperlink r:id="rId707" ref="G971"/>
    <hyperlink r:id="rId708" ref="G972"/>
    <hyperlink r:id="rId709" ref="G973"/>
    <hyperlink r:id="rId710" ref="J975"/>
    <hyperlink r:id="rId711" ref="G979"/>
    <hyperlink r:id="rId712" ref="G980"/>
    <hyperlink r:id="rId713" ref="G981"/>
    <hyperlink r:id="rId714" ref="G982"/>
    <hyperlink r:id="rId715" ref="G984"/>
    <hyperlink r:id="rId716" ref="G985"/>
    <hyperlink r:id="rId717" ref="G986"/>
    <hyperlink r:id="rId718" ref="G987"/>
    <hyperlink r:id="rId719" ref="J990"/>
    <hyperlink r:id="rId720" ref="G991"/>
    <hyperlink r:id="rId721" ref="J996"/>
    <hyperlink r:id="rId722" ref="J997"/>
    <hyperlink r:id="rId723" ref="G998"/>
    <hyperlink r:id="rId724" ref="G999"/>
    <hyperlink r:id="rId725" ref="G1000"/>
    <hyperlink r:id="rId726" ref="G1001"/>
    <hyperlink r:id="rId727" ref="G1002"/>
    <hyperlink r:id="rId728" ref="J1003"/>
    <hyperlink r:id="rId729" ref="J1004"/>
    <hyperlink r:id="rId730" ref="G1005"/>
    <hyperlink r:id="rId731" ref="G1006"/>
    <hyperlink r:id="rId732" ref="J1007"/>
    <hyperlink r:id="rId733" ref="J1008"/>
    <hyperlink r:id="rId734" ref="J1009"/>
    <hyperlink r:id="rId735" ref="G1010"/>
    <hyperlink r:id="rId736" ref="G1011"/>
    <hyperlink r:id="rId737" ref="G1014"/>
    <hyperlink r:id="rId738" ref="G1015"/>
    <hyperlink r:id="rId739" ref="G1016"/>
    <hyperlink r:id="rId740" ref="G1020"/>
    <hyperlink r:id="rId741" ref="G1021"/>
    <hyperlink r:id="rId742" ref="J1022"/>
    <hyperlink r:id="rId743" ref="J1023"/>
    <hyperlink r:id="rId744" ref="J1024"/>
    <hyperlink r:id="rId745" ref="G1025"/>
    <hyperlink r:id="rId746" ref="G1030"/>
    <hyperlink r:id="rId747" ref="G1031"/>
    <hyperlink r:id="rId748" ref="G1032"/>
    <hyperlink r:id="rId749" ref="G1033"/>
    <hyperlink r:id="rId750" ref="J1034"/>
    <hyperlink r:id="rId751" ref="J1035"/>
    <hyperlink r:id="rId752" ref="J1036"/>
    <hyperlink r:id="rId753" ref="G1037"/>
    <hyperlink r:id="rId754" ref="G1038"/>
    <hyperlink r:id="rId755" ref="G1039"/>
    <hyperlink r:id="rId756" ref="G1040"/>
    <hyperlink r:id="rId757" ref="G1041"/>
    <hyperlink r:id="rId758" ref="G1042"/>
    <hyperlink r:id="rId759" ref="G1044"/>
    <hyperlink r:id="rId760" ref="G1045"/>
    <hyperlink r:id="rId761" ref="G1046"/>
    <hyperlink r:id="rId762" ref="G1047"/>
    <hyperlink r:id="rId763" ref="G1048"/>
    <hyperlink r:id="rId764" ref="J1050"/>
    <hyperlink r:id="rId765" ref="J1052"/>
    <hyperlink r:id="rId766" ref="J1054"/>
    <hyperlink r:id="rId767" ref="J1055"/>
    <hyperlink r:id="rId768" ref="J1056"/>
    <hyperlink r:id="rId769" ref="J1057"/>
    <hyperlink r:id="rId770" ref="G1060"/>
    <hyperlink r:id="rId771" ref="J1061"/>
    <hyperlink r:id="rId772" ref="G1062"/>
    <hyperlink r:id="rId773" ref="G1063"/>
    <hyperlink r:id="rId774" ref="G1064"/>
    <hyperlink r:id="rId775" ref="J1066"/>
    <hyperlink r:id="rId776" ref="G1067"/>
    <hyperlink r:id="rId777" ref="G1068"/>
    <hyperlink r:id="rId778" ref="J1070"/>
    <hyperlink r:id="rId779" ref="G1071"/>
    <hyperlink r:id="rId780" ref="J1073"/>
    <hyperlink r:id="rId781" ref="J1074"/>
    <hyperlink r:id="rId782" ref="G1075"/>
    <hyperlink r:id="rId783" ref="G1076"/>
    <hyperlink r:id="rId784" ref="G1077"/>
    <hyperlink r:id="rId785" ref="J1079"/>
    <hyperlink r:id="rId786" ref="J1080"/>
    <hyperlink r:id="rId787" ref="G1083"/>
    <hyperlink r:id="rId788" ref="J1084"/>
    <hyperlink r:id="rId789" ref="J1085"/>
    <hyperlink r:id="rId790" ref="J1086"/>
    <hyperlink r:id="rId791" ref="G1087"/>
    <hyperlink r:id="rId792" ref="G1088"/>
    <hyperlink r:id="rId793" ref="G1089"/>
    <hyperlink r:id="rId794" ref="G1091"/>
    <hyperlink r:id="rId795" ref="G1092"/>
    <hyperlink r:id="rId796" ref="G1093"/>
    <hyperlink r:id="rId797" ref="G1094"/>
    <hyperlink r:id="rId798" ref="G1095"/>
    <hyperlink r:id="rId799" ref="G1096"/>
    <hyperlink r:id="rId800" ref="J1097"/>
    <hyperlink r:id="rId801" ref="J1098"/>
    <hyperlink r:id="rId802" ref="G1099"/>
    <hyperlink r:id="rId803" ref="G1100"/>
    <hyperlink r:id="rId804" ref="G1101"/>
    <hyperlink r:id="rId805" ref="G1104"/>
    <hyperlink r:id="rId806" ref="G1105"/>
    <hyperlink r:id="rId807" ref="J1106"/>
    <hyperlink r:id="rId808" ref="J1107"/>
    <hyperlink r:id="rId809" ref="J1108"/>
    <hyperlink r:id="rId810" ref="G1109"/>
    <hyperlink r:id="rId811" ref="G1110"/>
    <hyperlink r:id="rId812" ref="G1111"/>
    <hyperlink r:id="rId813" ref="J1114"/>
    <hyperlink r:id="rId814" ref="G1115"/>
    <hyperlink r:id="rId815" ref="J1117"/>
    <hyperlink r:id="rId816" ref="J1118"/>
    <hyperlink r:id="rId817" ref="G1119"/>
    <hyperlink r:id="rId818" ref="G1121"/>
    <hyperlink r:id="rId819" ref="G1122"/>
    <hyperlink r:id="rId820" ref="J1125"/>
    <hyperlink r:id="rId821" ref="G1126"/>
    <hyperlink r:id="rId822" ref="G1127"/>
    <hyperlink r:id="rId823" ref="G1128"/>
    <hyperlink r:id="rId824" ref="J1132"/>
    <hyperlink r:id="rId825" ref="G1133"/>
    <hyperlink r:id="rId826" ref="G1134"/>
    <hyperlink r:id="rId827" ref="G1135"/>
    <hyperlink r:id="rId828" ref="G1136"/>
    <hyperlink r:id="rId829" ref="G1137"/>
    <hyperlink r:id="rId830" ref="J1138"/>
    <hyperlink r:id="rId831" ref="J1143"/>
    <hyperlink r:id="rId832" ref="G1144"/>
    <hyperlink r:id="rId833" ref="G1145"/>
    <hyperlink r:id="rId834" ref="J1146"/>
    <hyperlink r:id="rId835" ref="G1147"/>
    <hyperlink r:id="rId836" ref="G1148"/>
    <hyperlink r:id="rId837" ref="J1154"/>
    <hyperlink r:id="rId838" ref="J1155"/>
    <hyperlink r:id="rId839" ref="J1156"/>
    <hyperlink r:id="rId840" ref="J1157"/>
    <hyperlink r:id="rId841" ref="J1158"/>
    <hyperlink r:id="rId842" ref="G1163"/>
    <hyperlink r:id="rId843" ref="G1164"/>
    <hyperlink r:id="rId844" ref="G1165"/>
    <hyperlink r:id="rId845" ref="G1166"/>
    <hyperlink r:id="rId846" ref="J1167"/>
    <hyperlink r:id="rId847" ref="J1168"/>
    <hyperlink r:id="rId848" ref="G1169"/>
    <hyperlink r:id="rId849" ref="G1170"/>
    <hyperlink r:id="rId850" ref="J1176"/>
    <hyperlink r:id="rId851" ref="G1177"/>
    <hyperlink r:id="rId852" ref="G1178"/>
    <hyperlink r:id="rId853" ref="J1179"/>
    <hyperlink r:id="rId854" ref="G1180"/>
    <hyperlink r:id="rId855" ref="G1181"/>
    <hyperlink r:id="rId856" ref="J1182"/>
    <hyperlink r:id="rId857" ref="J1183"/>
    <hyperlink r:id="rId858" ref="J1184"/>
    <hyperlink r:id="rId859" ref="J1185"/>
    <hyperlink r:id="rId860" ref="J1186"/>
    <hyperlink r:id="rId861" ref="J1187"/>
    <hyperlink r:id="rId862" ref="J1189"/>
    <hyperlink r:id="rId863" ref="J1190"/>
    <hyperlink r:id="rId864" ref="G1191"/>
    <hyperlink r:id="rId865" ref="G1192"/>
    <hyperlink r:id="rId866" ref="J1193"/>
    <hyperlink r:id="rId867" ref="G1199"/>
    <hyperlink r:id="rId868" ref="J1200"/>
    <hyperlink r:id="rId869" ref="J1201"/>
    <hyperlink r:id="rId870" ref="G1202"/>
    <hyperlink r:id="rId871" ref="G1203"/>
    <hyperlink r:id="rId872" ref="G1204"/>
    <hyperlink r:id="rId873" ref="J1205"/>
    <hyperlink r:id="rId874" ref="G1207"/>
    <hyperlink r:id="rId875" ref="G1208"/>
    <hyperlink r:id="rId876" ref="G1209"/>
    <hyperlink r:id="rId877" ref="G1210"/>
    <hyperlink r:id="rId878" ref="G1211"/>
    <hyperlink r:id="rId879" ref="G1212"/>
    <hyperlink r:id="rId880" ref="G1213"/>
    <hyperlink r:id="rId881" ref="G1214"/>
    <hyperlink r:id="rId882" ref="G1215"/>
    <hyperlink r:id="rId883" ref="J1216"/>
    <hyperlink r:id="rId884" ref="J1224"/>
    <hyperlink r:id="rId885" ref="G1226"/>
    <hyperlink r:id="rId886" ref="G1227"/>
    <hyperlink r:id="rId887" ref="J1228"/>
    <hyperlink r:id="rId888" ref="J1229"/>
    <hyperlink r:id="rId889" ref="G1230"/>
    <hyperlink r:id="rId890" ref="G1231"/>
    <hyperlink r:id="rId891" ref="G1232"/>
    <hyperlink r:id="rId892" ref="G1233"/>
    <hyperlink r:id="rId893" ref="G1234"/>
    <hyperlink r:id="rId894" ref="G1235"/>
    <hyperlink r:id="rId895" ref="J1236"/>
    <hyperlink r:id="rId896" ref="J1237"/>
    <hyperlink r:id="rId897" ref="G1238"/>
    <hyperlink r:id="rId898" ref="J1240"/>
    <hyperlink r:id="rId899" ref="J1241"/>
    <hyperlink r:id="rId900" ref="J1242"/>
    <hyperlink r:id="rId901" ref="J1243"/>
    <hyperlink r:id="rId902" ref="J1244"/>
    <hyperlink r:id="rId903" ref="J1245"/>
    <hyperlink r:id="rId904" ref="J1246"/>
    <hyperlink r:id="rId905" ref="G1247"/>
    <hyperlink r:id="rId906" ref="G1248"/>
    <hyperlink r:id="rId907" ref="J1249"/>
    <hyperlink r:id="rId908" ref="G1250"/>
    <hyperlink r:id="rId909" ref="G1252"/>
    <hyperlink r:id="rId910" ref="G1253"/>
    <hyperlink r:id="rId911" ref="G1254"/>
    <hyperlink r:id="rId912" ref="J1255"/>
    <hyperlink r:id="rId913" ref="G1259"/>
    <hyperlink r:id="rId914" ref="G1260"/>
    <hyperlink r:id="rId915" ref="G1261"/>
    <hyperlink r:id="rId916" ref="G1263"/>
    <hyperlink r:id="rId917" ref="G1264"/>
    <hyperlink r:id="rId918" ref="G1265"/>
    <hyperlink r:id="rId919" ref="J1266"/>
    <hyperlink r:id="rId920" ref="J1267"/>
    <hyperlink r:id="rId921" ref="J1268"/>
    <hyperlink r:id="rId922" ref="G1269"/>
    <hyperlink r:id="rId923" ref="G1270"/>
    <hyperlink r:id="rId924" ref="G1271"/>
    <hyperlink r:id="rId925" ref="G1272"/>
    <hyperlink r:id="rId926" ref="J1274"/>
    <hyperlink r:id="rId927" ref="G1275"/>
    <hyperlink r:id="rId928" ref="G1276"/>
    <hyperlink r:id="rId929" ref="G1277"/>
    <hyperlink r:id="rId930" ref="J1278"/>
    <hyperlink r:id="rId931" ref="J1279"/>
    <hyperlink r:id="rId932" ref="J1280"/>
    <hyperlink r:id="rId933" ref="J1281"/>
    <hyperlink r:id="rId934" ref="J1282"/>
    <hyperlink r:id="rId935" ref="G1287"/>
    <hyperlink r:id="rId936" ref="G1288"/>
    <hyperlink r:id="rId937" ref="G1290"/>
    <hyperlink r:id="rId938" ref="G1291"/>
    <hyperlink r:id="rId939" ref="G1292"/>
    <hyperlink r:id="rId940" ref="G1293"/>
    <hyperlink r:id="rId941" ref="G1294"/>
    <hyperlink r:id="rId942" ref="G1295"/>
    <hyperlink r:id="rId943" ref="J1296"/>
    <hyperlink r:id="rId944" ref="J1297"/>
    <hyperlink r:id="rId945" ref="J1298"/>
    <hyperlink r:id="rId946" ref="J1299"/>
    <hyperlink r:id="rId947" ref="J1300"/>
    <hyperlink r:id="rId948" ref="G1304"/>
    <hyperlink r:id="rId949" ref="J1306"/>
    <hyperlink r:id="rId950" ref="G1307"/>
    <hyperlink r:id="rId951" ref="J1308"/>
    <hyperlink r:id="rId952" ref="J1309"/>
    <hyperlink r:id="rId953" ref="J1310"/>
    <hyperlink r:id="rId954" ref="G1311"/>
    <hyperlink r:id="rId955" ref="J1312"/>
    <hyperlink r:id="rId956" ref="G1313"/>
    <hyperlink r:id="rId957" ref="G1314"/>
    <hyperlink r:id="rId958" ref="G1315"/>
    <hyperlink r:id="rId959" ref="G1316"/>
    <hyperlink r:id="rId960" ref="G1317"/>
    <hyperlink r:id="rId961" ref="G1318"/>
    <hyperlink r:id="rId962" ref="G1319"/>
    <hyperlink r:id="rId963" ref="J1320"/>
    <hyperlink r:id="rId964" ref="J1321"/>
    <hyperlink r:id="rId965" ref="J1322"/>
    <hyperlink r:id="rId966" ref="G1325"/>
    <hyperlink r:id="rId967" ref="G1326"/>
    <hyperlink r:id="rId968" ref="G1327"/>
    <hyperlink r:id="rId969" ref="G1328"/>
    <hyperlink r:id="rId970" ref="J1329"/>
    <hyperlink r:id="rId971" ref="G1331"/>
    <hyperlink r:id="rId972" ref="G1332"/>
    <hyperlink r:id="rId973" ref="G1333"/>
    <hyperlink r:id="rId974" ref="G1334"/>
    <hyperlink r:id="rId975" ref="G1335"/>
    <hyperlink r:id="rId976" ref="J1337"/>
    <hyperlink r:id="rId977" ref="G1340"/>
    <hyperlink r:id="rId978" ref="J1341"/>
    <hyperlink r:id="rId979" ref="G1342"/>
    <hyperlink r:id="rId980" ref="G1343"/>
    <hyperlink r:id="rId981" ref="G1344"/>
    <hyperlink r:id="rId982" ref="G1345"/>
    <hyperlink r:id="rId983" ref="G1346"/>
    <hyperlink r:id="rId984" ref="G1347"/>
    <hyperlink r:id="rId985" ref="J1348"/>
    <hyperlink r:id="rId986" ref="J1353"/>
    <hyperlink r:id="rId987" ref="J1354"/>
    <hyperlink r:id="rId988" ref="G1355"/>
    <hyperlink r:id="rId989" ref="G1356"/>
    <hyperlink r:id="rId990" ref="G1357"/>
    <hyperlink r:id="rId991" ref="G1358"/>
    <hyperlink r:id="rId992" ref="G1359"/>
    <hyperlink r:id="rId993" ref="G1360"/>
    <hyperlink r:id="rId994" ref="G1361"/>
    <hyperlink r:id="rId995" ref="J1362"/>
    <hyperlink r:id="rId996" ref="G1363"/>
    <hyperlink r:id="rId997" ref="G1364"/>
    <hyperlink r:id="rId998" ref="G1365"/>
    <hyperlink r:id="rId999" ref="G1367"/>
    <hyperlink r:id="rId1000" ref="J1368"/>
    <hyperlink r:id="rId1001" ref="G1369"/>
    <hyperlink r:id="rId1002" ref="G1370"/>
    <hyperlink r:id="rId1003" ref="J1371"/>
    <hyperlink r:id="rId1004" ref="J1372"/>
    <hyperlink r:id="rId1005" ref="J1373"/>
    <hyperlink r:id="rId1006" ref="G1374"/>
    <hyperlink r:id="rId1007" ref="G1378"/>
    <hyperlink r:id="rId1008" ref="G1379"/>
    <hyperlink r:id="rId1009" ref="G1380"/>
    <hyperlink r:id="rId1010" ref="G1381"/>
    <hyperlink r:id="rId1011" ref="J1382"/>
    <hyperlink r:id="rId1012" ref="J1383"/>
    <hyperlink r:id="rId1013" ref="G1386"/>
    <hyperlink r:id="rId1014" ref="G1387"/>
    <hyperlink r:id="rId1015" ref="G1388"/>
    <hyperlink r:id="rId1016" ref="G1390"/>
    <hyperlink r:id="rId1017" ref="G1392"/>
    <hyperlink r:id="rId1018" ref="J1395"/>
    <hyperlink r:id="rId1019" ref="G1405"/>
    <hyperlink r:id="rId1020" ref="G1406"/>
    <hyperlink r:id="rId1021" ref="J1408"/>
    <hyperlink r:id="rId1022" ref="J1413"/>
    <hyperlink r:id="rId1023" ref="J1414"/>
    <hyperlink r:id="rId1024" ref="J1415"/>
    <hyperlink r:id="rId1025" ref="J1416"/>
    <hyperlink r:id="rId1026" ref="J1417"/>
    <hyperlink r:id="rId1027" ref="J1418"/>
    <hyperlink r:id="rId1028" ref="G1419"/>
    <hyperlink r:id="rId1029" ref="G1420"/>
    <hyperlink r:id="rId1030" ref="J1421"/>
    <hyperlink r:id="rId1031" ref="G1422"/>
    <hyperlink r:id="rId1032" ref="J1423"/>
    <hyperlink r:id="rId1033" ref="J1424"/>
    <hyperlink r:id="rId1034" ref="G1428"/>
    <hyperlink r:id="rId1035" ref="J1429"/>
    <hyperlink r:id="rId1036" ref="J1430"/>
    <hyperlink r:id="rId1037" ref="J1431"/>
    <hyperlink r:id="rId1038" ref="G1432"/>
    <hyperlink r:id="rId1039" ref="G1433"/>
    <hyperlink r:id="rId1040" ref="G1434"/>
    <hyperlink r:id="rId1041" ref="J1435"/>
    <hyperlink r:id="rId1042" ref="J1436"/>
    <hyperlink r:id="rId1043" ref="J1437"/>
    <hyperlink r:id="rId1044" ref="G1438"/>
    <hyperlink r:id="rId1045" ref="G1439"/>
    <hyperlink r:id="rId1046" ref="J1440"/>
    <hyperlink r:id="rId1047" ref="J1441"/>
    <hyperlink r:id="rId1048" ref="G1442"/>
    <hyperlink r:id="rId1049" ref="J1443"/>
    <hyperlink r:id="rId1050" ref="J1444"/>
    <hyperlink r:id="rId1051" ref="J1445"/>
    <hyperlink r:id="rId1052" ref="J1446"/>
    <hyperlink r:id="rId1053" ref="J1447"/>
    <hyperlink r:id="rId1054" ref="J1448"/>
    <hyperlink r:id="rId1055" ref="G1449"/>
    <hyperlink r:id="rId1056" ref="G1450"/>
    <hyperlink r:id="rId1057" ref="G1451"/>
    <hyperlink r:id="rId1058" ref="G1452"/>
    <hyperlink r:id="rId1059" ref="G1453"/>
    <hyperlink r:id="rId1060" ref="G1454"/>
    <hyperlink r:id="rId1061" ref="G1455"/>
    <hyperlink r:id="rId1062" ref="G1460"/>
    <hyperlink r:id="rId1063" ref="G1461"/>
    <hyperlink r:id="rId1064" ref="J1462"/>
    <hyperlink r:id="rId1065" ref="J1463"/>
    <hyperlink r:id="rId1066" ref="J1464"/>
    <hyperlink r:id="rId1067" ref="J1465"/>
    <hyperlink r:id="rId1068" ref="J1466"/>
    <hyperlink r:id="rId1069" ref="J1467"/>
    <hyperlink r:id="rId1070" ref="J1468"/>
    <hyperlink r:id="rId1071" ref="G1471"/>
    <hyperlink r:id="rId1072" ref="G1472"/>
    <hyperlink r:id="rId1073" ref="G1473"/>
    <hyperlink r:id="rId1074" ref="J1474"/>
    <hyperlink r:id="rId1075" ref="G1475"/>
    <hyperlink r:id="rId1076" ref="G1480"/>
    <hyperlink r:id="rId1077" ref="G1481"/>
    <hyperlink r:id="rId1078" ref="G1482"/>
    <hyperlink r:id="rId1079" ref="J1483"/>
    <hyperlink r:id="rId1080" ref="J1484"/>
    <hyperlink r:id="rId1081" ref="J1487"/>
    <hyperlink r:id="rId1082" ref="G1488"/>
    <hyperlink r:id="rId1083" ref="G1489"/>
    <hyperlink r:id="rId1084" ref="G1490"/>
    <hyperlink r:id="rId1085" ref="G1493"/>
    <hyperlink r:id="rId1086" ref="J1494"/>
    <hyperlink r:id="rId1087" ref="J1495"/>
    <hyperlink r:id="rId1088" ref="G1496"/>
    <hyperlink r:id="rId1089" ref="G1497"/>
    <hyperlink r:id="rId1090" ref="G1498"/>
    <hyperlink r:id="rId1091" ref="G1499"/>
    <hyperlink r:id="rId1092" ref="J1503"/>
    <hyperlink r:id="rId1093" ref="J1507"/>
    <hyperlink r:id="rId1094" ref="G1508"/>
    <hyperlink r:id="rId1095" ref="G1509"/>
    <hyperlink r:id="rId1096" ref="G1510"/>
    <hyperlink r:id="rId1097" ref="J1511"/>
    <hyperlink r:id="rId1098" ref="G1512"/>
    <hyperlink r:id="rId1099" ref="J1513"/>
    <hyperlink r:id="rId1100" ref="G1514"/>
    <hyperlink r:id="rId1101" ref="G1515"/>
    <hyperlink r:id="rId1102" ref="G1516"/>
  </hyperlinks>
  <drawing r:id="rId1103"/>
  <tableParts count="1">
    <tablePart r:id="rId110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4" t="s">
        <v>3159</v>
      </c>
    </row>
    <row r="2">
      <c r="A2" s="48" t="str">
        <f>IFERROR(__xludf.DUMMYFUNCTION("FILTER('Bảng tổng hợp'!B:B, ('Bảng tổng hợp'!K:K=""Đang xử lý"")+('Bảng tổng hợp'!K:K=""Nộp thành công - Chờ kết quả"")+('Bảng tổng hợp'!K:K=""""))
"),"219/BK-2025")</f>
        <v>219/BK-2025</v>
      </c>
    </row>
    <row r="3">
      <c r="A3" s="48" t="str">
        <f>IFERROR(__xludf.DUMMYFUNCTION("""COMPUTED_VALUE"""),"326/BK-2025")</f>
        <v>326/BK-2025</v>
      </c>
    </row>
    <row r="4">
      <c r="A4" s="48" t="str">
        <f>IFERROR(__xludf.DUMMYFUNCTION("""COMPUTED_VALUE"""),"347/BK-2025")</f>
        <v>347/BK-2025</v>
      </c>
    </row>
    <row r="5">
      <c r="A5" s="48" t="str">
        <f>IFERROR(__xludf.DUMMYFUNCTION("""COMPUTED_VALUE"""),"348/BK-2025")</f>
        <v>348/BK-2025</v>
      </c>
    </row>
    <row r="6">
      <c r="A6" s="48" t="str">
        <f>IFERROR(__xludf.DUMMYFUNCTION("""COMPUTED_VALUE"""),"349/BK-2025")</f>
        <v>349/BK-2025</v>
      </c>
    </row>
    <row r="7">
      <c r="A7" s="48" t="str">
        <f>IFERROR(__xludf.DUMMYFUNCTION("""COMPUTED_VALUE"""),"350/BK-2025")</f>
        <v>350/BK-2025</v>
      </c>
    </row>
    <row r="8">
      <c r="A8" s="48" t="str">
        <f>IFERROR(__xludf.DUMMYFUNCTION("""COMPUTED_VALUE"""),"357/BK-2025")</f>
        <v>357/BK-2025</v>
      </c>
    </row>
    <row r="9">
      <c r="A9" s="48" t="str">
        <f>IFERROR(__xludf.DUMMYFUNCTION("""COMPUTED_VALUE"""),"358/BK-2025")</f>
        <v>358/BK-2025</v>
      </c>
    </row>
    <row r="10">
      <c r="A10" s="48" t="str">
        <f>IFERROR(__xludf.DUMMYFUNCTION("""COMPUTED_VALUE"""),"364/BK-2025")</f>
        <v>364/BK-2025</v>
      </c>
    </row>
    <row r="11">
      <c r="A11" s="48" t="str">
        <f>IFERROR(__xludf.DUMMYFUNCTION("""COMPUTED_VALUE"""),"379/BK-2025")</f>
        <v>379/BK-2025</v>
      </c>
    </row>
    <row r="12">
      <c r="A12" s="48" t="str">
        <f>IFERROR(__xludf.DUMMYFUNCTION("""COMPUTED_VALUE"""),"388/BK-2025")</f>
        <v>388/BK-2025</v>
      </c>
    </row>
    <row r="13">
      <c r="A13" s="48" t="str">
        <f>IFERROR(__xludf.DUMMYFUNCTION("""COMPUTED_VALUE"""),"401/BK-2025")</f>
        <v>401/BK-2025</v>
      </c>
    </row>
    <row r="14">
      <c r="A14" s="48" t="str">
        <f>IFERROR(__xludf.DUMMYFUNCTION("""COMPUTED_VALUE"""),"399/BK-2025")</f>
        <v>399/BK-2025</v>
      </c>
    </row>
    <row r="15">
      <c r="A15" s="48" t="str">
        <f>IFERROR(__xludf.DUMMYFUNCTION("""COMPUTED_VALUE"""),"407/BK-2025")</f>
        <v>407/BK-2025</v>
      </c>
    </row>
    <row r="16">
      <c r="A16" s="48" t="str">
        <f>IFERROR(__xludf.DUMMYFUNCTION("""COMPUTED_VALUE"""),"419/BK-2025")</f>
        <v>419/BK-2025</v>
      </c>
    </row>
    <row r="17">
      <c r="A17" s="48" t="str">
        <f>IFERROR(__xludf.DUMMYFUNCTION("""COMPUTED_VALUE"""),"423/BK-2025")</f>
        <v>423/BK-2025</v>
      </c>
    </row>
    <row r="18">
      <c r="A18" s="48" t="str">
        <f>IFERROR(__xludf.DUMMYFUNCTION("""COMPUTED_VALUE"""),"426/BK-2025")</f>
        <v>426/BK-2025</v>
      </c>
    </row>
    <row r="19">
      <c r="A19" s="48" t="str">
        <f>IFERROR(__xludf.DUMMYFUNCTION("""COMPUTED_VALUE"""),"428/BK-2025")</f>
        <v>428/BK-2025</v>
      </c>
    </row>
    <row r="20">
      <c r="A20" s="48" t="str">
        <f>IFERROR(__xludf.DUMMYFUNCTION("""COMPUTED_VALUE"""),"429/BK-2025")</f>
        <v>429/BK-2025</v>
      </c>
    </row>
    <row r="21">
      <c r="A21" s="48" t="str">
        <f>IFERROR(__xludf.DUMMYFUNCTION("""COMPUTED_VALUE"""),"437/BK-2025")</f>
        <v>437/BK-2025</v>
      </c>
    </row>
    <row r="22">
      <c r="A22" s="48" t="str">
        <f>IFERROR(__xludf.DUMMYFUNCTION("""COMPUTED_VALUE"""),"443/BK-2025")</f>
        <v>443/BK-2025</v>
      </c>
    </row>
    <row r="23">
      <c r="A23" s="48" t="str">
        <f>IFERROR(__xludf.DUMMYFUNCTION("""COMPUTED_VALUE"""),"445/BK-2025")</f>
        <v>445/BK-2025</v>
      </c>
    </row>
    <row r="24">
      <c r="A24" s="48" t="str">
        <f>IFERROR(__xludf.DUMMYFUNCTION("""COMPUTED_VALUE"""),"450/BK-2025")</f>
        <v>450/BK-2025</v>
      </c>
    </row>
    <row r="25">
      <c r="A25" s="48" t="str">
        <f>IFERROR(__xludf.DUMMYFUNCTION("""COMPUTED_VALUE"""),"369-DC/BK-2025")</f>
        <v>369-DC/BK-2025</v>
      </c>
    </row>
    <row r="26">
      <c r="A26" s="48" t="str">
        <f>IFERROR(__xludf.DUMMYFUNCTION("""COMPUTED_VALUE"""),"233-DC/BK-2025")</f>
        <v>233-DC/BK-2025</v>
      </c>
    </row>
    <row r="27">
      <c r="A27" s="48" t="str">
        <f>IFERROR(__xludf.DUMMYFUNCTION("""COMPUTED_VALUE"""),"263-1/BK-2025")</f>
        <v>263-1/BK-2025</v>
      </c>
    </row>
    <row r="28">
      <c r="A28" s="48" t="str">
        <f>IFERROR(__xludf.DUMMYFUNCTION("""COMPUTED_VALUE"""),"263-2/BK-2025")</f>
        <v>263-2/BK-2025</v>
      </c>
    </row>
    <row r="29">
      <c r="A29" s="48" t="str">
        <f>IFERROR(__xludf.DUMMYFUNCTION("""COMPUTED_VALUE"""),"453/BK-2025")</f>
        <v>453/BK-2025</v>
      </c>
    </row>
    <row r="30">
      <c r="A30" s="48" t="str">
        <f>IFERROR(__xludf.DUMMYFUNCTION("""COMPUTED_VALUE"""),"458/BK-2025")</f>
        <v>458/BK-2025</v>
      </c>
    </row>
    <row r="31">
      <c r="A31" s="48" t="str">
        <f>IFERROR(__xludf.DUMMYFUNCTION("""COMPUTED_VALUE"""),"324-DC/BK-2025")</f>
        <v>324-DC/BK-2025</v>
      </c>
    </row>
    <row r="32">
      <c r="A32" s="48" t="str">
        <f>IFERROR(__xludf.DUMMYFUNCTION("""COMPUTED_VALUE"""),"487/BK-2025")</f>
        <v>487/BK-2025</v>
      </c>
    </row>
    <row r="33">
      <c r="A33" s="48" t="str">
        <f>IFERROR(__xludf.DUMMYFUNCTION("""COMPUTED_VALUE"""),"519/BK-2025")</f>
        <v>519/BK-2025</v>
      </c>
    </row>
    <row r="34">
      <c r="A34" s="48" t="str">
        <f>IFERROR(__xludf.DUMMYFUNCTION("""COMPUTED_VALUE"""),"543/BK-2025")</f>
        <v>543/BK-2025</v>
      </c>
    </row>
    <row r="35">
      <c r="A35" s="48" t="str">
        <f>IFERROR(__xludf.DUMMYFUNCTION("""COMPUTED_VALUE"""),"552/BK-2025")</f>
        <v>552/BK-2025</v>
      </c>
    </row>
    <row r="36">
      <c r="A36" s="48" t="str">
        <f>IFERROR(__xludf.DUMMYFUNCTION("""COMPUTED_VALUE"""),"564/BK-2025")</f>
        <v>564/BK-2025</v>
      </c>
    </row>
    <row r="37">
      <c r="A37" s="48" t="str">
        <f>IFERROR(__xludf.DUMMYFUNCTION("""COMPUTED_VALUE"""),"568/BK-2025")</f>
        <v>568/BK-2025</v>
      </c>
    </row>
    <row r="38">
      <c r="A38" s="48" t="str">
        <f>IFERROR(__xludf.DUMMYFUNCTION("""COMPUTED_VALUE"""),"575/BK-2025")</f>
        <v>575/BK-2025</v>
      </c>
    </row>
    <row r="39">
      <c r="A39" s="48" t="str">
        <f>IFERROR(__xludf.DUMMYFUNCTION("""COMPUTED_VALUE"""),"577/BK-2025")</f>
        <v>577/BK-2025</v>
      </c>
    </row>
    <row r="40">
      <c r="A40" s="48" t="str">
        <f>IFERROR(__xludf.DUMMYFUNCTION("""COMPUTED_VALUE"""),"599/BK-2025")</f>
        <v>599/BK-2025</v>
      </c>
    </row>
    <row r="41">
      <c r="A41" s="48" t="str">
        <f>IFERROR(__xludf.DUMMYFUNCTION("""COMPUTED_VALUE"""),"600/BK-2025")</f>
        <v>600/BK-2025</v>
      </c>
    </row>
    <row r="42">
      <c r="A42" s="48" t="str">
        <f>IFERROR(__xludf.DUMMYFUNCTION("""COMPUTED_VALUE"""),"609/BK-2025")</f>
        <v>609/BK-2025</v>
      </c>
    </row>
    <row r="43">
      <c r="A43" s="48" t="str">
        <f>IFERROR(__xludf.DUMMYFUNCTION("""COMPUTED_VALUE"""),"630/BK-2025")</f>
        <v>630/BK-2025</v>
      </c>
    </row>
    <row r="44">
      <c r="A44" s="48" t="str">
        <f>IFERROR(__xludf.DUMMYFUNCTION("""COMPUTED_VALUE"""),"642/BK-2025")</f>
        <v>642/BK-2025</v>
      </c>
    </row>
    <row r="45">
      <c r="A45" s="48" t="str">
        <f>IFERROR(__xludf.DUMMYFUNCTION("""COMPUTED_VALUE"""),"645/BK-2025")</f>
        <v>645/BK-2025</v>
      </c>
    </row>
    <row r="46">
      <c r="A46" s="48" t="str">
        <f>IFERROR(__xludf.DUMMYFUNCTION("""COMPUTED_VALUE"""),"649/BK-2025")</f>
        <v>649/BK-2025</v>
      </c>
    </row>
    <row r="47">
      <c r="A47" s="48" t="str">
        <f>IFERROR(__xludf.DUMMYFUNCTION("""COMPUTED_VALUE"""),"653/BK-2025")</f>
        <v>653/BK-2025</v>
      </c>
    </row>
    <row r="48">
      <c r="A48" s="48" t="str">
        <f>IFERROR(__xludf.DUMMYFUNCTION("""COMPUTED_VALUE"""),"655/BK-2025")</f>
        <v>655/BK-2025</v>
      </c>
    </row>
    <row r="49">
      <c r="A49" s="48" t="str">
        <f>IFERROR(__xludf.DUMMYFUNCTION("""COMPUTED_VALUE"""),"656/BK-2025")</f>
        <v>656/BK-2025</v>
      </c>
    </row>
    <row r="50">
      <c r="A50" s="48" t="str">
        <f>IFERROR(__xludf.DUMMYFUNCTION("""COMPUTED_VALUE"""),"671/BK-2025")</f>
        <v>671/BK-2025</v>
      </c>
    </row>
    <row r="51">
      <c r="A51" s="48" t="str">
        <f>IFERROR(__xludf.DUMMYFUNCTION("""COMPUTED_VALUE"""),"013/BK-2026")</f>
        <v>013/BK-2026</v>
      </c>
    </row>
    <row r="52">
      <c r="A52" s="48" t="str">
        <f>IFERROR(__xludf.DUMMYFUNCTION("""COMPUTED_VALUE"""),"027/BK-2026")</f>
        <v>027/BK-2026</v>
      </c>
    </row>
    <row r="53">
      <c r="A53" s="48" t="str">
        <f>IFERROR(__xludf.DUMMYFUNCTION("""COMPUTED_VALUE"""),"053/BK-2026")</f>
        <v>053/BK-2026</v>
      </c>
    </row>
    <row r="54">
      <c r="A54" s="48" t="str">
        <f>IFERROR(__xludf.DUMMYFUNCTION("""COMPUTED_VALUE"""),"055/BK-2026")</f>
        <v>055/BK-2026</v>
      </c>
    </row>
    <row r="55">
      <c r="A55" s="48" t="str">
        <f>IFERROR(__xludf.DUMMYFUNCTION("""COMPUTED_VALUE"""),"052/BK-2026")</f>
        <v>052/BK-2026</v>
      </c>
    </row>
    <row r="56">
      <c r="A56" s="48" t="str">
        <f>IFERROR(__xludf.DUMMYFUNCTION("""COMPUTED_VALUE"""),"060/BK-2026")</f>
        <v>060/BK-2026</v>
      </c>
    </row>
    <row r="57">
      <c r="A57" s="48" t="str">
        <f>IFERROR(__xludf.DUMMYFUNCTION("""COMPUTED_VALUE"""),"061-1/BK-2026")</f>
        <v>061-1/BK-2026</v>
      </c>
    </row>
    <row r="58">
      <c r="A58" s="48" t="str">
        <f>IFERROR(__xludf.DUMMYFUNCTION("""COMPUTED_VALUE"""),"061-2/BK-2026")</f>
        <v>061-2/BK-2026</v>
      </c>
    </row>
    <row r="59">
      <c r="A59" s="48" t="str">
        <f>IFERROR(__xludf.DUMMYFUNCTION("""COMPUTED_VALUE"""),"062/BK-2026")</f>
        <v>062/BK-2026</v>
      </c>
    </row>
    <row r="60">
      <c r="A60" s="48" t="str">
        <f>IFERROR(__xludf.DUMMYFUNCTION("""COMPUTED_VALUE"""),"070/BK-2026")</f>
        <v>070/BK-2026</v>
      </c>
    </row>
    <row r="61">
      <c r="A61" s="48" t="str">
        <f>IFERROR(__xludf.DUMMYFUNCTION("""COMPUTED_VALUE"""),"071/BK-2026")</f>
        <v>071/BK-2026</v>
      </c>
    </row>
    <row r="62">
      <c r="A62" s="48" t="str">
        <f>IFERROR(__xludf.DUMMYFUNCTION("""COMPUTED_VALUE"""),"072/BK-2026")</f>
        <v>072/BK-2026</v>
      </c>
    </row>
    <row r="63">
      <c r="A63" s="48" t="str">
        <f>IFERROR(__xludf.DUMMYFUNCTION("""COMPUTED_VALUE"""),"090/BK-2026")</f>
        <v>090/BK-2026</v>
      </c>
    </row>
    <row r="64">
      <c r="A64" s="48" t="str">
        <f>IFERROR(__xludf.DUMMYFUNCTION("""COMPUTED_VALUE"""),"091/BK-2026")</f>
        <v>091/BK-2026</v>
      </c>
    </row>
    <row r="65">
      <c r="A65" s="48" t="str">
        <f>IFERROR(__xludf.DUMMYFUNCTION("""COMPUTED_VALUE"""),"099/BK-2026")</f>
        <v>099/BK-2026</v>
      </c>
    </row>
    <row r="66">
      <c r="A66" s="48" t="str">
        <f>IFERROR(__xludf.DUMMYFUNCTION("""COMPUTED_VALUE"""),"127/BK-2026")</f>
        <v>127/BK-2026</v>
      </c>
    </row>
    <row r="67">
      <c r="A67" s="48" t="str">
        <f>IFERROR(__xludf.DUMMYFUNCTION("""COMPUTED_VALUE"""),"128/BK-2026")</f>
        <v>128/BK-2026</v>
      </c>
    </row>
    <row r="68">
      <c r="A68" s="48" t="str">
        <f>IFERROR(__xludf.DUMMYFUNCTION("""COMPUTED_VALUE"""),"145/BK-2026")</f>
        <v>145/BK-2026</v>
      </c>
    </row>
    <row r="69">
      <c r="A69" s="48" t="str">
        <f>IFERROR(__xludf.DUMMYFUNCTION("""COMPUTED_VALUE"""),"149/BK-2026")</f>
        <v>149/BK-2026</v>
      </c>
    </row>
    <row r="70">
      <c r="A70" s="48" t="str">
        <f>IFERROR(__xludf.DUMMYFUNCTION("""COMPUTED_VALUE"""),"154/BK-2026")</f>
        <v>154/BK-2026</v>
      </c>
    </row>
    <row r="71">
      <c r="A71" s="48" t="str">
        <f>IFERROR(__xludf.DUMMYFUNCTION("""COMPUTED_VALUE"""),"168/BK-2026")</f>
        <v>168/BK-2026</v>
      </c>
    </row>
    <row r="72">
      <c r="A72" s="48" t="str">
        <f>IFERROR(__xludf.DUMMYFUNCTION("""COMPUTED_VALUE"""),"171/BK-2026")</f>
        <v>171/BK-2026</v>
      </c>
    </row>
    <row r="73">
      <c r="A73" s="48" t="str">
        <f>IFERROR(__xludf.DUMMYFUNCTION("""COMPUTED_VALUE"""),"172/BK-2026")</f>
        <v>172/BK-2026</v>
      </c>
    </row>
    <row r="74">
      <c r="A74" s="48" t="str">
        <f>IFERROR(__xludf.DUMMYFUNCTION("""COMPUTED_VALUE"""),"173/BK-2026")</f>
        <v>173/BK-2026</v>
      </c>
    </row>
    <row r="75">
      <c r="A75" s="48" t="str">
        <f>IFERROR(__xludf.DUMMYFUNCTION("""COMPUTED_VALUE"""),"174/BK-2026")</f>
        <v>174/BK-2026</v>
      </c>
    </row>
    <row r="76">
      <c r="A76" s="48" t="str">
        <f>IFERROR(__xludf.DUMMYFUNCTION("""COMPUTED_VALUE"""),"175/BK-2026")</f>
        <v>175/BK-2026</v>
      </c>
    </row>
    <row r="77">
      <c r="A77" s="48" t="str">
        <f>IFERROR(__xludf.DUMMYFUNCTION("""COMPUTED_VALUE"""),"176/BK-2026")</f>
        <v>176/BK-2026</v>
      </c>
    </row>
    <row r="78">
      <c r="A78" s="48" t="str">
        <f>IFERROR(__xludf.DUMMYFUNCTION("""COMPUTED_VALUE"""),"177/BK-2026")</f>
        <v>177/BK-2026</v>
      </c>
    </row>
    <row r="79">
      <c r="A79" s="48" t="str">
        <f>IFERROR(__xludf.DUMMYFUNCTION("""COMPUTED_VALUE"""),"178/BK-2026")</f>
        <v>178/BK-2026</v>
      </c>
    </row>
    <row r="80">
      <c r="A80" s="48" t="str">
        <f>IFERROR(__xludf.DUMMYFUNCTION("""COMPUTED_VALUE"""),"179/BK-2026")</f>
        <v>179/BK-2026</v>
      </c>
    </row>
    <row r="81">
      <c r="A81" s="48" t="str">
        <f>IFERROR(__xludf.DUMMYFUNCTION("""COMPUTED_VALUE"""),"182/BK-2026")</f>
        <v>182/BK-2026</v>
      </c>
    </row>
    <row r="82">
      <c r="A82" s="48" t="str">
        <f>IFERROR(__xludf.DUMMYFUNCTION("""COMPUTED_VALUE"""),"216/BK-2026")</f>
        <v>216/BK-2026</v>
      </c>
    </row>
    <row r="83">
      <c r="A83" s="48" t="str">
        <f>IFERROR(__xludf.DUMMYFUNCTION("""COMPUTED_VALUE"""),"222/BK-2026")</f>
        <v>222/BK-2026</v>
      </c>
    </row>
    <row r="84">
      <c r="A84" s="48" t="str">
        <f>IFERROR(__xludf.DUMMYFUNCTION("""COMPUTED_VALUE"""),"223/BK-2026")</f>
        <v>223/BK-2026</v>
      </c>
    </row>
    <row r="85">
      <c r="A85" s="48" t="str">
        <f>IFERROR(__xludf.DUMMYFUNCTION("""COMPUTED_VALUE"""),"232/BK-2026")</f>
        <v>232/BK-2026</v>
      </c>
    </row>
    <row r="86">
      <c r="A86" s="48" t="str">
        <f>IFERROR(__xludf.DUMMYFUNCTION("""COMPUTED_VALUE"""),"241/BK-2026")</f>
        <v>241/BK-2026</v>
      </c>
    </row>
    <row r="87">
      <c r="A87" s="48" t="str">
        <f>IFERROR(__xludf.DUMMYFUNCTION("""COMPUTED_VALUE"""),"243/BK-2026")</f>
        <v>243/BK-2026</v>
      </c>
    </row>
    <row r="88">
      <c r="A88" s="48" t="str">
        <f>IFERROR(__xludf.DUMMYFUNCTION("""COMPUTED_VALUE"""),"249/BK-2026")</f>
        <v>249/BK-2026</v>
      </c>
    </row>
    <row r="89">
      <c r="A89" s="48" t="str">
        <f>IFERROR(__xludf.DUMMYFUNCTION("""COMPUTED_VALUE"""),"250/BK-2026")</f>
        <v>250/BK-2026</v>
      </c>
    </row>
    <row r="90">
      <c r="A90" s="48" t="str">
        <f>IFERROR(__xludf.DUMMYFUNCTION("""COMPUTED_VALUE"""),"254/BK-2026")</f>
        <v>254/BK-2026</v>
      </c>
    </row>
    <row r="91">
      <c r="A91" s="48" t="str">
        <f>IFERROR(__xludf.DUMMYFUNCTION("""COMPUTED_VALUE"""),"262/BK-2026")</f>
        <v>262/BK-2026</v>
      </c>
    </row>
    <row r="92">
      <c r="A92" s="48" t="str">
        <f>IFERROR(__xludf.DUMMYFUNCTION("""COMPUTED_VALUE"""),"265/BK-2026")</f>
        <v>265/BK-2026</v>
      </c>
    </row>
    <row r="93">
      <c r="A93" s="48" t="str">
        <f>IFERROR(__xludf.DUMMYFUNCTION("""COMPUTED_VALUE"""),"283/BK-2026")</f>
        <v>283/BK-2026</v>
      </c>
    </row>
    <row r="94">
      <c r="A94" s="48" t="str">
        <f>IFERROR(__xludf.DUMMYFUNCTION("""COMPUTED_VALUE"""),"289/BK-2026")</f>
        <v>289/BK-2026</v>
      </c>
    </row>
    <row r="95">
      <c r="A95" s="48" t="str">
        <f>IFERROR(__xludf.DUMMYFUNCTION("""COMPUTED_VALUE"""),"290/BK-2026")</f>
        <v>290/BK-2026</v>
      </c>
    </row>
    <row r="96">
      <c r="A96" s="48" t="str">
        <f>IFERROR(__xludf.DUMMYFUNCTION("""COMPUTED_VALUE"""),"292/BK-2026")</f>
        <v>292/BK-2026</v>
      </c>
    </row>
    <row r="97">
      <c r="A97" s="48" t="str">
        <f>IFERROR(__xludf.DUMMYFUNCTION("""COMPUTED_VALUE"""),"299/BK-2026")</f>
        <v>299/BK-2026</v>
      </c>
    </row>
    <row r="98">
      <c r="A98" s="48" t="str">
        <f>IFERROR(__xludf.DUMMYFUNCTION("""COMPUTED_VALUE"""),"301/BK-2026")</f>
        <v>301/BK-2026</v>
      </c>
    </row>
    <row r="99">
      <c r="A99" s="48" t="str">
        <f>IFERROR(__xludf.DUMMYFUNCTION("""COMPUTED_VALUE"""),"302/BK-2026")</f>
        <v>302/BK-2026</v>
      </c>
    </row>
    <row r="100">
      <c r="A100" s="48" t="str">
        <f>IFERROR(__xludf.DUMMYFUNCTION("""COMPUTED_VALUE"""),"304/BK-2026")</f>
        <v>304/BK-2026</v>
      </c>
    </row>
    <row r="101">
      <c r="A101" s="48" t="str">
        <f>IFERROR(__xludf.DUMMYFUNCTION("""COMPUTED_VALUE"""),"311/BK-2026")</f>
        <v>311/BK-2026</v>
      </c>
    </row>
    <row r="102">
      <c r="A102" s="48" t="str">
        <f>IFERROR(__xludf.DUMMYFUNCTION("""COMPUTED_VALUE"""),"315/BK-2026")</f>
        <v>315/BK-2026</v>
      </c>
    </row>
    <row r="103">
      <c r="A103" s="48" t="str">
        <f>IFERROR(__xludf.DUMMYFUNCTION("""COMPUTED_VALUE"""),"317/BK-2026")</f>
        <v>317/BK-2026</v>
      </c>
    </row>
    <row r="104">
      <c r="A104" s="48" t="str">
        <f>IFERROR(__xludf.DUMMYFUNCTION("""COMPUTED_VALUE"""),"321/BK-2026")</f>
        <v>321/BK-2026</v>
      </c>
    </row>
    <row r="105">
      <c r="A105" s="48" t="str">
        <f>IFERROR(__xludf.DUMMYFUNCTION("""COMPUTED_VALUE"""),"336/BK-2026")</f>
        <v>336/BK-2026</v>
      </c>
    </row>
    <row r="106">
      <c r="A106" s="48" t="str">
        <f>IFERROR(__xludf.DUMMYFUNCTION("""COMPUTED_VALUE"""),"339/BK-2026")</f>
        <v>339/BK-2026</v>
      </c>
    </row>
    <row r="107">
      <c r="A107" s="48" t="str">
        <f>IFERROR(__xludf.DUMMYFUNCTION("""COMPUTED_VALUE"""),"340/BK-2026")</f>
        <v>340/BK-2026</v>
      </c>
    </row>
    <row r="108">
      <c r="A108" s="48" t="str">
        <f>IFERROR(__xludf.DUMMYFUNCTION("""COMPUTED_VALUE"""),"342/BK-2026")</f>
        <v>342/BK-2026</v>
      </c>
    </row>
    <row r="109">
      <c r="A109" s="48" t="str">
        <f>IFERROR(__xludf.DUMMYFUNCTION("""COMPUTED_VALUE"""),"349/BK-2026")</f>
        <v>349/BK-2026</v>
      </c>
    </row>
    <row r="110">
      <c r="A110" s="48" t="str">
        <f>IFERROR(__xludf.DUMMYFUNCTION("""COMPUTED_VALUE"""),"347/BK-2026")</f>
        <v>347/BK-2026</v>
      </c>
    </row>
    <row r="111">
      <c r="A111" s="48" t="str">
        <f>IFERROR(__xludf.DUMMYFUNCTION("""COMPUTED_VALUE"""),"350/BK-2026")</f>
        <v>350/BK-2026</v>
      </c>
    </row>
    <row r="112">
      <c r="A112" s="48" t="str">
        <f>IFERROR(__xludf.DUMMYFUNCTION("""COMPUTED_VALUE"""),"353/BK-2026")</f>
        <v>353/BK-2026</v>
      </c>
    </row>
    <row r="113">
      <c r="A113" s="48" t="str">
        <f>IFERROR(__xludf.DUMMYFUNCTION("""COMPUTED_VALUE"""),"355/BK-2026")</f>
        <v>355/BK-2026</v>
      </c>
    </row>
    <row r="114">
      <c r="A114" s="48" t="str">
        <f>IFERROR(__xludf.DUMMYFUNCTION("""COMPUTED_VALUE"""),"356/BK-2026")</f>
        <v>356/BK-2026</v>
      </c>
    </row>
    <row r="115">
      <c r="A115" s="48" t="str">
        <f>IFERROR(__xludf.DUMMYFUNCTION("""COMPUTED_VALUE"""),"357/BK-2026")</f>
        <v>357/BK-2026</v>
      </c>
    </row>
    <row r="116">
      <c r="A116" s="48" t="str">
        <f>IFERROR(__xludf.DUMMYFUNCTION("""COMPUTED_VALUE"""),"360/BK-2026")</f>
        <v>360/BK-2026</v>
      </c>
    </row>
    <row r="117">
      <c r="A117" s="48" t="str">
        <f>IFERROR(__xludf.DUMMYFUNCTION("""COMPUTED_VALUE"""),"363/BK-2026")</f>
        <v>363/BK-2026</v>
      </c>
    </row>
    <row r="118">
      <c r="A118" s="48" t="str">
        <f>IFERROR(__xludf.DUMMYFUNCTION("""COMPUTED_VALUE"""),"364/BK-2026")</f>
        <v>364/BK-2026</v>
      </c>
    </row>
    <row r="119">
      <c r="A119" s="48" t="str">
        <f>IFERROR(__xludf.DUMMYFUNCTION("""COMPUTED_VALUE"""),"365/BK-2026")</f>
        <v>365/BK-2026</v>
      </c>
    </row>
    <row r="120">
      <c r="A120" s="48" t="str">
        <f>IFERROR(__xludf.DUMMYFUNCTION("""COMPUTED_VALUE"""),"366/BK-2026")</f>
        <v>366/BK-2026</v>
      </c>
    </row>
    <row r="121">
      <c r="A121" s="48" t="str">
        <f>IFERROR(__xludf.DUMMYFUNCTION("""COMPUTED_VALUE"""),"367/BK-2026")</f>
        <v>367/BK-2026</v>
      </c>
    </row>
    <row r="122">
      <c r="A122" s="48" t="str">
        <f>IFERROR(__xludf.DUMMYFUNCTION("""COMPUTED_VALUE"""),"369/BK-2026")</f>
        <v>369/BK-2026</v>
      </c>
    </row>
    <row r="123">
      <c r="A123" s="48" t="str">
        <f>IFERROR(__xludf.DUMMYFUNCTION("""COMPUTED_VALUE"""),"374/BK-2026")</f>
        <v>374/BK-2026</v>
      </c>
    </row>
    <row r="124">
      <c r="A124" s="48" t="str">
        <f>IFERROR(__xludf.DUMMYFUNCTION("""COMPUTED_VALUE"""),"381/BK-2026")</f>
        <v>381/BK-2026</v>
      </c>
    </row>
    <row r="125">
      <c r="A125" s="48" t="str">
        <f>IFERROR(__xludf.DUMMYFUNCTION("""COMPUTED_VALUE"""),"383/BK-2026")</f>
        <v>383/BK-2026</v>
      </c>
    </row>
    <row r="126">
      <c r="A126" s="48" t="str">
        <f>IFERROR(__xludf.DUMMYFUNCTION("""COMPUTED_VALUE"""),"384/BK-2026")</f>
        <v>384/BK-2026</v>
      </c>
    </row>
    <row r="127">
      <c r="A127" s="48" t="str">
        <f>IFERROR(__xludf.DUMMYFUNCTION("""COMPUTED_VALUE"""),"385/BK-2026")</f>
        <v>385/BK-2026</v>
      </c>
    </row>
    <row r="128">
      <c r="A128" s="48" t="str">
        <f>IFERROR(__xludf.DUMMYFUNCTION("""COMPUTED_VALUE"""),"391/BK-2026")</f>
        <v>391/BK-2026</v>
      </c>
    </row>
    <row r="129">
      <c r="A129" s="48" t="str">
        <f>IFERROR(__xludf.DUMMYFUNCTION("""COMPUTED_VALUE"""),"395/BK-2026")</f>
        <v>395/BK-2026</v>
      </c>
    </row>
    <row r="130">
      <c r="A130" s="48"/>
    </row>
    <row r="131">
      <c r="A131" s="48"/>
    </row>
    <row r="132">
      <c r="A132" s="48"/>
    </row>
    <row r="133">
      <c r="A133" s="48"/>
    </row>
    <row r="134">
      <c r="A134" s="48"/>
    </row>
    <row r="135">
      <c r="A135" s="48"/>
    </row>
    <row r="136">
      <c r="A136" s="48"/>
    </row>
    <row r="137">
      <c r="A137" s="48"/>
    </row>
    <row r="138">
      <c r="A138" s="48"/>
    </row>
    <row r="139">
      <c r="A139" s="48"/>
    </row>
    <row r="140">
      <c r="A140" s="48"/>
    </row>
    <row r="141">
      <c r="A141" s="48"/>
    </row>
    <row r="142">
      <c r="A142" s="48"/>
    </row>
    <row r="143">
      <c r="A143" s="48"/>
    </row>
    <row r="144">
      <c r="A144" s="48"/>
    </row>
    <row r="145">
      <c r="A145" s="48"/>
    </row>
    <row r="146">
      <c r="A146" s="48"/>
    </row>
    <row r="147">
      <c r="A147" s="48"/>
    </row>
    <row r="148">
      <c r="A148" s="48"/>
    </row>
    <row r="149">
      <c r="A149" s="48"/>
    </row>
    <row r="150">
      <c r="A150" s="48"/>
    </row>
    <row r="151">
      <c r="A151" s="48"/>
    </row>
    <row r="152">
      <c r="A152" s="48"/>
    </row>
    <row r="153">
      <c r="A153" s="48"/>
    </row>
    <row r="154">
      <c r="A154" s="48"/>
    </row>
    <row r="155">
      <c r="A155" s="48"/>
    </row>
    <row r="156">
      <c r="A156" s="48"/>
    </row>
    <row r="157">
      <c r="A157" s="48"/>
    </row>
    <row r="158">
      <c r="A158" s="48"/>
    </row>
    <row r="159">
      <c r="A159" s="48"/>
    </row>
    <row r="160">
      <c r="A160" s="48"/>
    </row>
    <row r="161">
      <c r="A161" s="48"/>
    </row>
    <row r="162">
      <c r="A162" s="48"/>
    </row>
    <row r="163">
      <c r="A163" s="48"/>
    </row>
    <row r="164">
      <c r="A164" s="48"/>
    </row>
    <row r="165">
      <c r="A165" s="48"/>
    </row>
    <row r="166">
      <c r="A166" s="48"/>
    </row>
    <row r="167">
      <c r="A167" s="48"/>
    </row>
    <row r="168">
      <c r="A168" s="48"/>
    </row>
    <row r="169">
      <c r="A169" s="48"/>
    </row>
    <row r="170">
      <c r="A170" s="48"/>
    </row>
    <row r="171">
      <c r="A171" s="48"/>
    </row>
    <row r="172">
      <c r="A172" s="48"/>
    </row>
    <row r="173">
      <c r="A173" s="48"/>
    </row>
    <row r="174">
      <c r="A174" s="48"/>
    </row>
    <row r="175">
      <c r="A175" s="48"/>
    </row>
    <row r="176">
      <c r="A176" s="48"/>
    </row>
    <row r="177">
      <c r="A177" s="48"/>
    </row>
    <row r="178">
      <c r="A178" s="48"/>
    </row>
    <row r="179">
      <c r="A179" s="48"/>
    </row>
    <row r="180">
      <c r="A180" s="48"/>
    </row>
    <row r="181">
      <c r="A181" s="48"/>
    </row>
    <row r="182">
      <c r="A182" s="48"/>
    </row>
    <row r="183">
      <c r="A183" s="48"/>
    </row>
    <row r="184">
      <c r="A184" s="48"/>
    </row>
    <row r="185">
      <c r="A185" s="48"/>
    </row>
    <row r="186">
      <c r="A186" s="48"/>
    </row>
    <row r="187">
      <c r="A187" s="48"/>
    </row>
    <row r="188">
      <c r="A188" s="48"/>
    </row>
    <row r="189">
      <c r="A189" s="48"/>
    </row>
    <row r="190">
      <c r="A190" s="48"/>
    </row>
    <row r="191">
      <c r="A191" s="48"/>
    </row>
    <row r="192">
      <c r="A192" s="48"/>
    </row>
    <row r="193">
      <c r="A193" s="48"/>
    </row>
    <row r="194">
      <c r="A194" s="48"/>
    </row>
    <row r="195">
      <c r="A195" s="48"/>
    </row>
    <row r="196">
      <c r="A196" s="48"/>
    </row>
    <row r="197">
      <c r="A197" s="48"/>
    </row>
    <row r="198">
      <c r="A198" s="48"/>
    </row>
    <row r="199">
      <c r="A199" s="48"/>
    </row>
    <row r="200">
      <c r="A200" s="48"/>
    </row>
    <row r="201">
      <c r="A201" s="48"/>
    </row>
    <row r="202">
      <c r="A202" s="48"/>
    </row>
    <row r="203">
      <c r="A203" s="48"/>
    </row>
    <row r="204">
      <c r="A204" s="48"/>
    </row>
    <row r="205">
      <c r="A205" s="48"/>
    </row>
    <row r="206">
      <c r="A206" s="48"/>
    </row>
    <row r="207">
      <c r="A207" s="48"/>
    </row>
    <row r="208">
      <c r="A208" s="48"/>
    </row>
    <row r="209">
      <c r="A209" s="48"/>
    </row>
    <row r="210">
      <c r="A210" s="48"/>
    </row>
    <row r="211">
      <c r="A211" s="48"/>
    </row>
    <row r="212">
      <c r="A212" s="48"/>
    </row>
    <row r="213">
      <c r="A213" s="48"/>
    </row>
    <row r="214">
      <c r="A214" s="48"/>
    </row>
    <row r="215">
      <c r="A215" s="48"/>
    </row>
    <row r="216">
      <c r="A216" s="48"/>
    </row>
    <row r="217">
      <c r="A217" s="48"/>
    </row>
    <row r="218">
      <c r="A218" s="48"/>
    </row>
    <row r="219">
      <c r="A219" s="48"/>
    </row>
    <row r="220">
      <c r="A220" s="48"/>
    </row>
    <row r="221">
      <c r="A221" s="48"/>
    </row>
    <row r="222">
      <c r="A222" s="48"/>
    </row>
    <row r="223">
      <c r="A223" s="48"/>
    </row>
    <row r="224">
      <c r="A224" s="48"/>
    </row>
    <row r="225">
      <c r="A225" s="48"/>
    </row>
    <row r="226">
      <c r="A226" s="48"/>
    </row>
    <row r="227">
      <c r="A227" s="48"/>
    </row>
    <row r="228">
      <c r="A228" s="48"/>
    </row>
    <row r="229">
      <c r="A229" s="48"/>
    </row>
    <row r="230">
      <c r="A230" s="48"/>
    </row>
    <row r="231">
      <c r="A231" s="48"/>
    </row>
    <row r="232">
      <c r="A232" s="48"/>
    </row>
    <row r="233">
      <c r="A233" s="48"/>
    </row>
    <row r="234">
      <c r="A234" s="48"/>
    </row>
    <row r="235">
      <c r="A235" s="48"/>
    </row>
    <row r="236">
      <c r="A236" s="48"/>
    </row>
    <row r="237">
      <c r="A237" s="48"/>
    </row>
    <row r="238">
      <c r="A238" s="48"/>
    </row>
    <row r="239">
      <c r="A239" s="48"/>
    </row>
    <row r="240">
      <c r="A240" s="48"/>
    </row>
    <row r="241">
      <c r="A241" s="48"/>
    </row>
    <row r="242">
      <c r="A242" s="48"/>
    </row>
    <row r="243">
      <c r="A243" s="48"/>
    </row>
    <row r="244">
      <c r="A244" s="48"/>
    </row>
    <row r="245">
      <c r="A245" s="48"/>
    </row>
    <row r="246">
      <c r="A246" s="48"/>
    </row>
    <row r="247">
      <c r="A247" s="48"/>
    </row>
    <row r="248">
      <c r="A248" s="48"/>
    </row>
    <row r="249">
      <c r="A249" s="48"/>
    </row>
    <row r="250">
      <c r="A250" s="48"/>
    </row>
    <row r="251">
      <c r="A251" s="48"/>
    </row>
    <row r="252">
      <c r="A252" s="48"/>
    </row>
    <row r="253">
      <c r="A253" s="48"/>
    </row>
    <row r="254">
      <c r="A254" s="48"/>
    </row>
    <row r="255">
      <c r="A255" s="48"/>
    </row>
    <row r="256">
      <c r="A256" s="48"/>
    </row>
    <row r="257">
      <c r="A257" s="48"/>
    </row>
    <row r="258">
      <c r="A258" s="48"/>
    </row>
    <row r="259">
      <c r="A259" s="48"/>
    </row>
    <row r="260">
      <c r="A260" s="48"/>
    </row>
    <row r="261">
      <c r="A261" s="48"/>
    </row>
    <row r="262">
      <c r="A262" s="48"/>
    </row>
    <row r="263">
      <c r="A263" s="48"/>
    </row>
    <row r="264">
      <c r="A264" s="48"/>
    </row>
    <row r="265">
      <c r="A265" s="48"/>
    </row>
    <row r="266">
      <c r="A266" s="48"/>
    </row>
    <row r="267">
      <c r="A267" s="48"/>
    </row>
    <row r="268">
      <c r="A268" s="48"/>
    </row>
    <row r="269">
      <c r="A269" s="48"/>
    </row>
    <row r="270">
      <c r="A270" s="48"/>
    </row>
    <row r="271">
      <c r="A271" s="48"/>
    </row>
    <row r="272">
      <c r="A272" s="48"/>
    </row>
    <row r="273">
      <c r="A273" s="48"/>
    </row>
    <row r="274">
      <c r="A274" s="48"/>
    </row>
    <row r="275">
      <c r="A275" s="48"/>
    </row>
    <row r="276">
      <c r="A276" s="48"/>
    </row>
    <row r="277">
      <c r="A277" s="48"/>
    </row>
    <row r="278">
      <c r="A278" s="48"/>
    </row>
    <row r="279">
      <c r="A279" s="48"/>
    </row>
    <row r="280">
      <c r="A280" s="48"/>
    </row>
    <row r="281">
      <c r="A281" s="48"/>
    </row>
    <row r="282">
      <c r="A282" s="48"/>
    </row>
    <row r="283">
      <c r="A283" s="48"/>
    </row>
    <row r="284">
      <c r="A284" s="48"/>
    </row>
    <row r="285">
      <c r="A285" s="48"/>
    </row>
    <row r="286">
      <c r="A286" s="48"/>
    </row>
    <row r="287">
      <c r="A287" s="48"/>
    </row>
    <row r="288">
      <c r="A288" s="48"/>
    </row>
    <row r="289">
      <c r="A289" s="48"/>
    </row>
    <row r="290">
      <c r="A290" s="48"/>
    </row>
    <row r="291">
      <c r="A291" s="48"/>
    </row>
    <row r="292">
      <c r="A292" s="48"/>
    </row>
    <row r="293">
      <c r="A293" s="48"/>
    </row>
    <row r="294">
      <c r="A294" s="48"/>
    </row>
    <row r="295">
      <c r="A295" s="48"/>
    </row>
    <row r="296">
      <c r="A296" s="48"/>
    </row>
    <row r="297">
      <c r="A297" s="48"/>
    </row>
    <row r="298">
      <c r="A298" s="48"/>
    </row>
    <row r="299">
      <c r="A299" s="48"/>
    </row>
    <row r="300">
      <c r="A300" s="48"/>
    </row>
    <row r="301">
      <c r="A301" s="48"/>
    </row>
    <row r="302">
      <c r="A302" s="48"/>
    </row>
    <row r="303">
      <c r="A303" s="48"/>
    </row>
    <row r="304">
      <c r="A304" s="48"/>
    </row>
    <row r="305">
      <c r="A305" s="48"/>
    </row>
    <row r="306">
      <c r="A306" s="48"/>
    </row>
    <row r="307">
      <c r="A307" s="48"/>
    </row>
    <row r="308">
      <c r="A308" s="48"/>
    </row>
    <row r="309">
      <c r="A309" s="48"/>
    </row>
    <row r="310">
      <c r="A310" s="48"/>
    </row>
    <row r="311">
      <c r="A311" s="48"/>
    </row>
    <row r="312">
      <c r="A312" s="48"/>
    </row>
    <row r="313">
      <c r="A313" s="48"/>
    </row>
    <row r="314">
      <c r="A314" s="48"/>
    </row>
    <row r="315">
      <c r="A315" s="48"/>
    </row>
    <row r="316">
      <c r="A316" s="48"/>
    </row>
    <row r="317">
      <c r="A317" s="48"/>
    </row>
    <row r="318">
      <c r="A318" s="48"/>
    </row>
    <row r="319">
      <c r="A319" s="48"/>
    </row>
    <row r="320">
      <c r="A320" s="48"/>
    </row>
    <row r="321">
      <c r="A321" s="48"/>
    </row>
    <row r="322">
      <c r="A322" s="48"/>
    </row>
    <row r="323">
      <c r="A323" s="48"/>
    </row>
    <row r="324">
      <c r="A324" s="48"/>
    </row>
    <row r="325">
      <c r="A325" s="48"/>
    </row>
    <row r="326">
      <c r="A326" s="48"/>
    </row>
    <row r="327">
      <c r="A327" s="48"/>
    </row>
    <row r="328">
      <c r="A328" s="48"/>
    </row>
    <row r="329">
      <c r="A329" s="48"/>
    </row>
    <row r="330">
      <c r="A330" s="48"/>
    </row>
    <row r="331">
      <c r="A331" s="48"/>
    </row>
    <row r="332">
      <c r="A332" s="48"/>
    </row>
    <row r="333">
      <c r="A333" s="48"/>
    </row>
    <row r="334">
      <c r="A334" s="48"/>
    </row>
    <row r="335">
      <c r="A335" s="48"/>
    </row>
    <row r="336">
      <c r="A336" s="48"/>
    </row>
    <row r="337">
      <c r="A337" s="48"/>
    </row>
    <row r="338">
      <c r="A338" s="48"/>
    </row>
    <row r="339">
      <c r="A339" s="48"/>
    </row>
    <row r="340">
      <c r="A340" s="48"/>
    </row>
    <row r="341">
      <c r="A341" s="48"/>
    </row>
    <row r="342">
      <c r="A342" s="48"/>
    </row>
    <row r="343">
      <c r="A343" s="48"/>
    </row>
    <row r="344">
      <c r="A344" s="48"/>
    </row>
    <row r="345">
      <c r="A345" s="48"/>
    </row>
    <row r="346">
      <c r="A346" s="48"/>
    </row>
    <row r="347">
      <c r="A347" s="48"/>
    </row>
    <row r="348">
      <c r="A348" s="48"/>
    </row>
    <row r="349">
      <c r="A349" s="48"/>
    </row>
    <row r="350">
      <c r="A350" s="48"/>
    </row>
    <row r="351">
      <c r="A351" s="48"/>
    </row>
    <row r="352">
      <c r="A352" s="48"/>
    </row>
    <row r="353">
      <c r="A353" s="48"/>
    </row>
    <row r="354">
      <c r="A354" s="48"/>
    </row>
    <row r="355">
      <c r="A355" s="48"/>
    </row>
    <row r="356">
      <c r="A356" s="48"/>
    </row>
    <row r="357">
      <c r="A357" s="48"/>
    </row>
    <row r="358">
      <c r="A358" s="48"/>
    </row>
    <row r="359">
      <c r="A359" s="48"/>
    </row>
    <row r="360">
      <c r="A360" s="48"/>
    </row>
    <row r="361">
      <c r="A361" s="48"/>
    </row>
    <row r="362">
      <c r="A362" s="48"/>
    </row>
    <row r="363">
      <c r="A363" s="48"/>
    </row>
    <row r="364">
      <c r="A364" s="48"/>
    </row>
    <row r="365">
      <c r="A365" s="48"/>
    </row>
    <row r="366">
      <c r="A366" s="48"/>
    </row>
    <row r="367">
      <c r="A367" s="48"/>
    </row>
    <row r="368">
      <c r="A368" s="48"/>
    </row>
    <row r="369">
      <c r="A369" s="48"/>
    </row>
    <row r="370">
      <c r="A370" s="48"/>
    </row>
    <row r="371">
      <c r="A371" s="48"/>
    </row>
    <row r="372">
      <c r="A372" s="48"/>
    </row>
    <row r="373">
      <c r="A373" s="48"/>
    </row>
    <row r="374">
      <c r="A374" s="48"/>
    </row>
    <row r="375">
      <c r="A375" s="48"/>
    </row>
    <row r="376">
      <c r="A376" s="48"/>
    </row>
    <row r="377">
      <c r="A377" s="48"/>
    </row>
    <row r="378">
      <c r="A378" s="48"/>
    </row>
    <row r="379">
      <c r="A379" s="48"/>
    </row>
    <row r="380">
      <c r="A380" s="48"/>
    </row>
    <row r="381">
      <c r="A381" s="48"/>
    </row>
    <row r="382">
      <c r="A382" s="48"/>
    </row>
    <row r="383">
      <c r="A383" s="48"/>
    </row>
    <row r="384">
      <c r="A384" s="48"/>
    </row>
    <row r="385">
      <c r="A385" s="48"/>
    </row>
    <row r="386">
      <c r="A386" s="48"/>
    </row>
    <row r="387">
      <c r="A387" s="48"/>
    </row>
    <row r="388">
      <c r="A388" s="48"/>
    </row>
    <row r="389">
      <c r="A389" s="48"/>
    </row>
    <row r="390">
      <c r="A390" s="48"/>
    </row>
    <row r="391">
      <c r="A391" s="48"/>
    </row>
    <row r="392">
      <c r="A392" s="48"/>
    </row>
    <row r="393">
      <c r="A393" s="48"/>
    </row>
    <row r="394">
      <c r="A394" s="48"/>
    </row>
    <row r="395">
      <c r="A395" s="48"/>
    </row>
    <row r="396">
      <c r="A396" s="48"/>
    </row>
    <row r="397">
      <c r="A397" s="48"/>
    </row>
    <row r="398">
      <c r="A398" s="48"/>
    </row>
    <row r="399">
      <c r="A399" s="48"/>
    </row>
    <row r="400">
      <c r="A400" s="48"/>
    </row>
    <row r="401">
      <c r="A401" s="48"/>
    </row>
    <row r="402">
      <c r="A402" s="48"/>
    </row>
    <row r="403">
      <c r="A403" s="48"/>
    </row>
    <row r="404">
      <c r="A404" s="48"/>
    </row>
    <row r="405">
      <c r="A405" s="48"/>
    </row>
    <row r="406">
      <c r="A406" s="48"/>
    </row>
    <row r="407">
      <c r="A407" s="48"/>
    </row>
    <row r="408">
      <c r="A408" s="48"/>
    </row>
    <row r="409">
      <c r="A409" s="48"/>
    </row>
    <row r="410">
      <c r="A410" s="48"/>
    </row>
    <row r="411">
      <c r="A411" s="48"/>
    </row>
    <row r="412">
      <c r="A412" s="48"/>
    </row>
    <row r="413">
      <c r="A413" s="48"/>
    </row>
    <row r="414">
      <c r="A414" s="48"/>
    </row>
    <row r="415">
      <c r="A415" s="48"/>
    </row>
    <row r="416">
      <c r="A416" s="48"/>
    </row>
    <row r="417">
      <c r="A417" s="48"/>
    </row>
    <row r="418">
      <c r="A418" s="48"/>
    </row>
    <row r="419">
      <c r="A419" s="48"/>
    </row>
    <row r="420">
      <c r="A420" s="48"/>
    </row>
    <row r="421">
      <c r="A421" s="48"/>
    </row>
    <row r="422">
      <c r="A422" s="48"/>
    </row>
    <row r="423">
      <c r="A423" s="48"/>
    </row>
    <row r="424">
      <c r="A424" s="48"/>
    </row>
    <row r="425">
      <c r="A425" s="48"/>
    </row>
    <row r="426">
      <c r="A426" s="48"/>
    </row>
    <row r="427">
      <c r="A427" s="48"/>
    </row>
    <row r="428">
      <c r="A428" s="48"/>
    </row>
    <row r="429">
      <c r="A429" s="48"/>
    </row>
    <row r="430">
      <c r="A430" s="48"/>
    </row>
    <row r="431">
      <c r="A431" s="48"/>
    </row>
    <row r="432">
      <c r="A432" s="48"/>
    </row>
    <row r="433">
      <c r="A433" s="48"/>
    </row>
    <row r="434">
      <c r="A434" s="48"/>
    </row>
    <row r="435">
      <c r="A435" s="48"/>
    </row>
    <row r="436">
      <c r="A436" s="48"/>
    </row>
    <row r="437">
      <c r="A437" s="48"/>
    </row>
    <row r="438">
      <c r="A438" s="48"/>
    </row>
    <row r="439">
      <c r="A439" s="48"/>
    </row>
    <row r="440">
      <c r="A440" s="48"/>
    </row>
    <row r="441">
      <c r="A441" s="48"/>
    </row>
    <row r="442">
      <c r="A442" s="48"/>
    </row>
    <row r="443">
      <c r="A443" s="48"/>
    </row>
    <row r="444">
      <c r="A444" s="48"/>
    </row>
    <row r="445">
      <c r="A445" s="48"/>
    </row>
    <row r="446">
      <c r="A446" s="48"/>
    </row>
    <row r="447">
      <c r="A447" s="48"/>
    </row>
    <row r="448">
      <c r="A448" s="48"/>
    </row>
    <row r="449">
      <c r="A449" s="48"/>
    </row>
    <row r="450">
      <c r="A450" s="48"/>
    </row>
    <row r="451">
      <c r="A451" s="48"/>
    </row>
    <row r="452">
      <c r="A452" s="48"/>
    </row>
    <row r="453">
      <c r="A453" s="48"/>
    </row>
    <row r="454">
      <c r="A454" s="48"/>
    </row>
    <row r="455">
      <c r="A455" s="48"/>
    </row>
    <row r="456">
      <c r="A456" s="48"/>
    </row>
    <row r="457">
      <c r="A457" s="48"/>
    </row>
    <row r="458">
      <c r="A458" s="48"/>
    </row>
    <row r="459">
      <c r="A459" s="48"/>
    </row>
    <row r="460">
      <c r="A460" s="48"/>
    </row>
    <row r="461">
      <c r="A461" s="48"/>
    </row>
    <row r="462">
      <c r="A462" s="48"/>
    </row>
    <row r="463">
      <c r="A463" s="48"/>
    </row>
    <row r="464">
      <c r="A464" s="48"/>
    </row>
    <row r="465">
      <c r="A465" s="48"/>
    </row>
    <row r="466">
      <c r="A466" s="48"/>
    </row>
    <row r="467">
      <c r="A467" s="48"/>
    </row>
    <row r="468">
      <c r="A468" s="48"/>
    </row>
    <row r="469">
      <c r="A469" s="48"/>
    </row>
    <row r="470">
      <c r="A470" s="48"/>
    </row>
    <row r="471">
      <c r="A471" s="48"/>
    </row>
    <row r="472">
      <c r="A472" s="48"/>
    </row>
    <row r="473">
      <c r="A473" s="48"/>
    </row>
    <row r="474">
      <c r="A474" s="48"/>
    </row>
    <row r="475">
      <c r="A475" s="48"/>
    </row>
    <row r="476">
      <c r="A476" s="48"/>
    </row>
    <row r="477">
      <c r="A477" s="48"/>
    </row>
    <row r="478">
      <c r="A478" s="48"/>
    </row>
    <row r="479">
      <c r="A479" s="48"/>
    </row>
    <row r="480">
      <c r="A480" s="48"/>
    </row>
    <row r="481">
      <c r="A481" s="48"/>
    </row>
    <row r="482">
      <c r="A482" s="48"/>
    </row>
    <row r="483">
      <c r="A483" s="48"/>
    </row>
    <row r="484">
      <c r="A484" s="48"/>
    </row>
    <row r="485">
      <c r="A485" s="48"/>
    </row>
    <row r="486">
      <c r="A486" s="48"/>
    </row>
    <row r="487">
      <c r="A487" s="48"/>
    </row>
    <row r="488">
      <c r="A488" s="48"/>
    </row>
    <row r="489">
      <c r="A489" s="48"/>
    </row>
    <row r="490">
      <c r="A490" s="48"/>
    </row>
    <row r="491">
      <c r="A491" s="48"/>
    </row>
    <row r="492">
      <c r="A492" s="48"/>
    </row>
    <row r="493">
      <c r="A493" s="48"/>
    </row>
    <row r="494">
      <c r="A494" s="48"/>
    </row>
    <row r="495">
      <c r="A495" s="48"/>
    </row>
    <row r="496">
      <c r="A496" s="48"/>
    </row>
    <row r="497">
      <c r="A497" s="48"/>
    </row>
    <row r="498">
      <c r="A498" s="48"/>
    </row>
    <row r="499">
      <c r="A499" s="48"/>
    </row>
    <row r="500">
      <c r="A500" s="48"/>
    </row>
    <row r="501">
      <c r="A501" s="48"/>
    </row>
    <row r="502">
      <c r="A502" s="48"/>
    </row>
    <row r="503">
      <c r="A503" s="48"/>
    </row>
    <row r="504">
      <c r="A504" s="48"/>
    </row>
    <row r="505">
      <c r="A505" s="48"/>
    </row>
    <row r="506">
      <c r="A506" s="48"/>
    </row>
    <row r="507">
      <c r="A507" s="48"/>
    </row>
    <row r="508">
      <c r="A508" s="48"/>
    </row>
    <row r="509">
      <c r="A509" s="48"/>
    </row>
    <row r="510">
      <c r="A510" s="48"/>
    </row>
    <row r="511">
      <c r="A511" s="48"/>
    </row>
    <row r="512">
      <c r="A512" s="48"/>
    </row>
    <row r="513">
      <c r="A513" s="48"/>
    </row>
    <row r="514">
      <c r="A514" s="48"/>
    </row>
    <row r="515">
      <c r="A515" s="48"/>
    </row>
    <row r="516">
      <c r="A516" s="48"/>
    </row>
    <row r="517">
      <c r="A517" s="48"/>
    </row>
    <row r="518">
      <c r="A518" s="48"/>
    </row>
    <row r="519">
      <c r="A519" s="48"/>
    </row>
    <row r="520">
      <c r="A520" s="48"/>
    </row>
    <row r="521">
      <c r="A521" s="48"/>
    </row>
    <row r="522">
      <c r="A522" s="48"/>
    </row>
    <row r="523">
      <c r="A523" s="48"/>
    </row>
    <row r="524">
      <c r="A524" s="48"/>
    </row>
    <row r="525">
      <c r="A525" s="48"/>
    </row>
    <row r="526">
      <c r="A526" s="48"/>
    </row>
    <row r="527">
      <c r="A527" s="48"/>
    </row>
    <row r="528">
      <c r="A528" s="48"/>
    </row>
    <row r="529">
      <c r="A529" s="48"/>
    </row>
    <row r="530">
      <c r="A530" s="48"/>
    </row>
    <row r="531">
      <c r="A531" s="48"/>
    </row>
    <row r="532">
      <c r="A532" s="48"/>
    </row>
    <row r="533">
      <c r="A533" s="48"/>
    </row>
    <row r="534">
      <c r="A534" s="48"/>
    </row>
    <row r="535">
      <c r="A535" s="48"/>
    </row>
    <row r="536">
      <c r="A536" s="48"/>
    </row>
    <row r="537">
      <c r="A537" s="48"/>
    </row>
    <row r="538">
      <c r="A538" s="48"/>
    </row>
    <row r="539">
      <c r="A539" s="48"/>
    </row>
    <row r="540">
      <c r="A540" s="48"/>
    </row>
    <row r="541">
      <c r="A541" s="48"/>
    </row>
    <row r="542">
      <c r="A542" s="48"/>
    </row>
    <row r="543">
      <c r="A543" s="48"/>
    </row>
    <row r="544">
      <c r="A544" s="48"/>
    </row>
    <row r="545">
      <c r="A545" s="48"/>
    </row>
    <row r="546">
      <c r="A546" s="48"/>
    </row>
    <row r="547">
      <c r="A547" s="48"/>
    </row>
    <row r="548">
      <c r="A548" s="48"/>
    </row>
    <row r="549">
      <c r="A549" s="48"/>
    </row>
    <row r="550">
      <c r="A550" s="48"/>
    </row>
    <row r="551">
      <c r="A551" s="48"/>
    </row>
    <row r="552">
      <c r="A552" s="48"/>
    </row>
    <row r="553">
      <c r="A553" s="48"/>
    </row>
    <row r="554">
      <c r="A554" s="48"/>
    </row>
    <row r="555">
      <c r="A555" s="48"/>
    </row>
    <row r="556">
      <c r="A556" s="48"/>
    </row>
    <row r="557">
      <c r="A557" s="48"/>
    </row>
    <row r="558">
      <c r="A558" s="48"/>
    </row>
    <row r="559">
      <c r="A559" s="48"/>
    </row>
    <row r="560">
      <c r="A560" s="48"/>
    </row>
    <row r="561">
      <c r="A561" s="48"/>
    </row>
    <row r="562">
      <c r="A562" s="48"/>
    </row>
    <row r="563">
      <c r="A563" s="48"/>
    </row>
    <row r="564">
      <c r="A564" s="48"/>
    </row>
    <row r="565">
      <c r="A565" s="48"/>
    </row>
    <row r="566">
      <c r="A566" s="48"/>
    </row>
    <row r="567">
      <c r="A567" s="48"/>
    </row>
    <row r="568">
      <c r="A568" s="48"/>
    </row>
    <row r="569">
      <c r="A569" s="48"/>
    </row>
    <row r="570">
      <c r="A570" s="48"/>
    </row>
    <row r="571">
      <c r="A571" s="48"/>
    </row>
    <row r="572">
      <c r="A572" s="48"/>
    </row>
    <row r="573">
      <c r="A573" s="48"/>
    </row>
    <row r="574">
      <c r="A574" s="48"/>
    </row>
    <row r="575">
      <c r="A575" s="48"/>
    </row>
    <row r="576">
      <c r="A576" s="48"/>
    </row>
    <row r="577">
      <c r="A577" s="48"/>
    </row>
    <row r="578">
      <c r="A578" s="48"/>
    </row>
    <row r="579">
      <c r="A579" s="48"/>
    </row>
    <row r="580">
      <c r="A580" s="48"/>
    </row>
    <row r="581">
      <c r="A581" s="48"/>
    </row>
    <row r="582">
      <c r="A582" s="48"/>
    </row>
    <row r="583">
      <c r="A583" s="48"/>
    </row>
    <row r="584">
      <c r="A584" s="48"/>
    </row>
    <row r="585">
      <c r="A585" s="48"/>
    </row>
    <row r="586">
      <c r="A586" s="48"/>
    </row>
    <row r="587">
      <c r="A587" s="48"/>
    </row>
    <row r="588">
      <c r="A588" s="48"/>
    </row>
    <row r="589">
      <c r="A589" s="48"/>
    </row>
    <row r="590">
      <c r="A590" s="48"/>
    </row>
    <row r="591">
      <c r="A591" s="48"/>
    </row>
    <row r="592">
      <c r="A592" s="48"/>
    </row>
    <row r="593">
      <c r="A593" s="48"/>
    </row>
    <row r="594">
      <c r="A594" s="48"/>
    </row>
    <row r="595">
      <c r="A595" s="48"/>
    </row>
    <row r="596">
      <c r="A596" s="48"/>
    </row>
    <row r="597">
      <c r="A597" s="48"/>
    </row>
    <row r="598">
      <c r="A598" s="48"/>
    </row>
    <row r="599">
      <c r="A599" s="48"/>
    </row>
    <row r="600">
      <c r="A600" s="48"/>
    </row>
    <row r="601">
      <c r="A601" s="48"/>
    </row>
    <row r="602">
      <c r="A602" s="48"/>
    </row>
    <row r="603">
      <c r="A603" s="48"/>
    </row>
    <row r="604">
      <c r="A604" s="48"/>
    </row>
    <row r="605">
      <c r="A605" s="48"/>
    </row>
    <row r="606">
      <c r="A606" s="48"/>
    </row>
    <row r="607">
      <c r="A607" s="48"/>
    </row>
    <row r="608">
      <c r="A608" s="48"/>
    </row>
    <row r="609">
      <c r="A609" s="48"/>
    </row>
    <row r="610">
      <c r="A610" s="48"/>
    </row>
    <row r="611">
      <c r="A611" s="48"/>
    </row>
    <row r="612">
      <c r="A612" s="48"/>
    </row>
    <row r="613">
      <c r="A613" s="48"/>
    </row>
    <row r="614">
      <c r="A614" s="48"/>
    </row>
    <row r="615">
      <c r="A615" s="48"/>
    </row>
    <row r="616">
      <c r="A616" s="48"/>
    </row>
    <row r="617">
      <c r="A617" s="48"/>
    </row>
    <row r="618">
      <c r="A618" s="48"/>
    </row>
    <row r="619">
      <c r="A619" s="48"/>
    </row>
    <row r="620">
      <c r="A620" s="48"/>
    </row>
    <row r="621">
      <c r="A621" s="48"/>
    </row>
    <row r="622">
      <c r="A622" s="48"/>
    </row>
    <row r="623">
      <c r="A623" s="48"/>
    </row>
    <row r="624">
      <c r="A624" s="48"/>
    </row>
    <row r="625">
      <c r="A625" s="48"/>
    </row>
    <row r="626">
      <c r="A626" s="48"/>
    </row>
    <row r="627">
      <c r="A627" s="48"/>
    </row>
    <row r="628">
      <c r="A628" s="48"/>
    </row>
    <row r="629">
      <c r="A629" s="48"/>
    </row>
    <row r="630">
      <c r="A630" s="48"/>
    </row>
    <row r="631">
      <c r="A631" s="48"/>
    </row>
    <row r="632">
      <c r="A632" s="48"/>
    </row>
    <row r="633">
      <c r="A633" s="48"/>
    </row>
    <row r="634">
      <c r="A634" s="48"/>
    </row>
    <row r="635">
      <c r="A635" s="48"/>
    </row>
    <row r="636">
      <c r="A636" s="48"/>
    </row>
    <row r="637">
      <c r="A637" s="48"/>
    </row>
    <row r="638">
      <c r="A638" s="48"/>
    </row>
    <row r="639">
      <c r="A639" s="48"/>
    </row>
    <row r="640">
      <c r="A640" s="48"/>
    </row>
    <row r="641">
      <c r="A641" s="48"/>
    </row>
    <row r="642">
      <c r="A642" s="48"/>
    </row>
    <row r="643">
      <c r="A643" s="48"/>
    </row>
    <row r="644">
      <c r="A644" s="48"/>
    </row>
    <row r="645">
      <c r="A645" s="48"/>
    </row>
    <row r="646">
      <c r="A646" s="48"/>
    </row>
    <row r="647">
      <c r="A647" s="48"/>
    </row>
    <row r="648">
      <c r="A648" s="48"/>
    </row>
    <row r="649">
      <c r="A649" s="48"/>
    </row>
    <row r="650">
      <c r="A650" s="48"/>
    </row>
    <row r="651">
      <c r="A651" s="48"/>
    </row>
    <row r="652">
      <c r="A652" s="48"/>
    </row>
    <row r="653">
      <c r="A653" s="48"/>
    </row>
    <row r="654">
      <c r="A654" s="48"/>
    </row>
    <row r="655">
      <c r="A655" s="48"/>
    </row>
    <row r="656">
      <c r="A656" s="48"/>
    </row>
    <row r="657">
      <c r="A657" s="48"/>
    </row>
    <row r="658">
      <c r="A658" s="48"/>
    </row>
    <row r="659">
      <c r="A659" s="48"/>
    </row>
    <row r="660">
      <c r="A660" s="48"/>
    </row>
    <row r="661">
      <c r="A661" s="48"/>
    </row>
    <row r="662">
      <c r="A662" s="48"/>
    </row>
    <row r="663">
      <c r="A663" s="48"/>
    </row>
    <row r="664">
      <c r="A664" s="48"/>
    </row>
    <row r="665">
      <c r="A665" s="48"/>
    </row>
    <row r="666">
      <c r="A666" s="48"/>
    </row>
    <row r="667">
      <c r="A667" s="48"/>
    </row>
    <row r="668">
      <c r="A668" s="48"/>
    </row>
    <row r="669">
      <c r="A669" s="48"/>
    </row>
    <row r="670">
      <c r="A670" s="48"/>
    </row>
    <row r="671">
      <c r="A671" s="48"/>
    </row>
    <row r="672">
      <c r="A672" s="48"/>
    </row>
    <row r="673">
      <c r="A673" s="48"/>
    </row>
    <row r="674">
      <c r="A674" s="48"/>
    </row>
    <row r="675">
      <c r="A675" s="48"/>
    </row>
    <row r="676">
      <c r="A676" s="48"/>
    </row>
    <row r="677">
      <c r="A677" s="48"/>
    </row>
    <row r="678">
      <c r="A678" s="48"/>
    </row>
    <row r="679">
      <c r="A679" s="48"/>
    </row>
    <row r="680">
      <c r="A680" s="48"/>
    </row>
    <row r="681">
      <c r="A681" s="48"/>
    </row>
    <row r="682">
      <c r="A682" s="48"/>
    </row>
    <row r="683">
      <c r="A683" s="48"/>
    </row>
    <row r="684">
      <c r="A684" s="48"/>
    </row>
    <row r="685">
      <c r="A685" s="48"/>
    </row>
    <row r="686">
      <c r="A686" s="48"/>
    </row>
    <row r="687">
      <c r="A687" s="48"/>
    </row>
    <row r="688">
      <c r="A688" s="48"/>
    </row>
    <row r="689">
      <c r="A689" s="48"/>
    </row>
    <row r="690">
      <c r="A690" s="48"/>
    </row>
    <row r="691">
      <c r="A691" s="48"/>
    </row>
    <row r="692">
      <c r="A692" s="48"/>
    </row>
    <row r="693">
      <c r="A693" s="48"/>
    </row>
    <row r="694">
      <c r="A694" s="48"/>
    </row>
    <row r="695">
      <c r="A695" s="48"/>
    </row>
    <row r="696">
      <c r="A696" s="48"/>
    </row>
    <row r="697">
      <c r="A697" s="48"/>
    </row>
    <row r="698">
      <c r="A698" s="48"/>
    </row>
    <row r="699">
      <c r="A699" s="48"/>
    </row>
    <row r="700">
      <c r="A700" s="48"/>
    </row>
    <row r="701">
      <c r="A701" s="48"/>
    </row>
    <row r="702">
      <c r="A702" s="48"/>
    </row>
    <row r="703">
      <c r="A703" s="48"/>
    </row>
    <row r="704">
      <c r="A704" s="48"/>
    </row>
    <row r="705">
      <c r="A705" s="48"/>
    </row>
    <row r="706">
      <c r="A706" s="48"/>
    </row>
    <row r="707">
      <c r="A707" s="48"/>
    </row>
    <row r="708">
      <c r="A708" s="48"/>
    </row>
    <row r="709">
      <c r="A709" s="48"/>
    </row>
    <row r="710">
      <c r="A710" s="48"/>
    </row>
    <row r="711">
      <c r="A711" s="48"/>
    </row>
    <row r="712">
      <c r="A712" s="48"/>
    </row>
    <row r="713">
      <c r="A713" s="48"/>
    </row>
    <row r="714">
      <c r="A714" s="48"/>
    </row>
    <row r="715">
      <c r="A715" s="48"/>
    </row>
    <row r="716">
      <c r="A716" s="48"/>
    </row>
    <row r="717">
      <c r="A717" s="48"/>
    </row>
    <row r="718">
      <c r="A718" s="48"/>
    </row>
    <row r="719">
      <c r="A719" s="48"/>
    </row>
    <row r="720">
      <c r="A720" s="48"/>
    </row>
    <row r="721">
      <c r="A721" s="48"/>
    </row>
    <row r="722">
      <c r="A722" s="48"/>
    </row>
    <row r="723">
      <c r="A723" s="48"/>
    </row>
    <row r="724">
      <c r="A724" s="48"/>
    </row>
    <row r="725">
      <c r="A725" s="48"/>
    </row>
    <row r="726">
      <c r="A726" s="48"/>
    </row>
    <row r="727">
      <c r="A727" s="48"/>
    </row>
    <row r="728">
      <c r="A728" s="48"/>
    </row>
    <row r="729">
      <c r="A729" s="48"/>
    </row>
    <row r="730">
      <c r="A730" s="48"/>
    </row>
    <row r="731">
      <c r="A731" s="48"/>
    </row>
    <row r="732">
      <c r="A732" s="48"/>
    </row>
    <row r="733">
      <c r="A733" s="48"/>
    </row>
    <row r="734">
      <c r="A734" s="48"/>
    </row>
    <row r="735">
      <c r="A735" s="48"/>
    </row>
    <row r="736">
      <c r="A736" s="48"/>
    </row>
    <row r="737">
      <c r="A737" s="48"/>
    </row>
    <row r="738">
      <c r="A738" s="48"/>
    </row>
    <row r="739">
      <c r="A739" s="48"/>
    </row>
    <row r="740">
      <c r="A740" s="48"/>
    </row>
    <row r="741">
      <c r="A741" s="48"/>
    </row>
    <row r="742">
      <c r="A742" s="48"/>
    </row>
    <row r="743">
      <c r="A743" s="48"/>
    </row>
    <row r="744">
      <c r="A744" s="48"/>
    </row>
    <row r="745">
      <c r="A745" s="48"/>
    </row>
    <row r="746">
      <c r="A746" s="48"/>
    </row>
    <row r="747">
      <c r="A747" s="48"/>
    </row>
    <row r="748">
      <c r="A748" s="48"/>
    </row>
    <row r="749">
      <c r="A749" s="48"/>
    </row>
    <row r="750">
      <c r="A750" s="48"/>
    </row>
    <row r="751">
      <c r="A751" s="48"/>
    </row>
    <row r="752">
      <c r="A752" s="48"/>
    </row>
    <row r="753">
      <c r="A753" s="48"/>
    </row>
    <row r="754">
      <c r="A754" s="48"/>
    </row>
    <row r="755">
      <c r="A755" s="48"/>
    </row>
    <row r="756">
      <c r="A756" s="48"/>
    </row>
    <row r="757">
      <c r="A757" s="48"/>
    </row>
    <row r="758">
      <c r="A758" s="48"/>
    </row>
    <row r="759">
      <c r="A759" s="48"/>
    </row>
    <row r="760">
      <c r="A760" s="48"/>
    </row>
    <row r="761">
      <c r="A761" s="48"/>
    </row>
    <row r="762">
      <c r="A762" s="48"/>
    </row>
    <row r="763">
      <c r="A763" s="48"/>
    </row>
    <row r="764">
      <c r="A764" s="48"/>
    </row>
    <row r="765">
      <c r="A765" s="48"/>
    </row>
    <row r="766">
      <c r="A766" s="48"/>
    </row>
    <row r="767">
      <c r="A767" s="48"/>
    </row>
    <row r="768">
      <c r="A768" s="48"/>
    </row>
    <row r="769">
      <c r="A769" s="48"/>
    </row>
    <row r="770">
      <c r="A770" s="48"/>
    </row>
    <row r="771">
      <c r="A771" s="48"/>
    </row>
    <row r="772">
      <c r="A772" s="48"/>
    </row>
    <row r="773">
      <c r="A773" s="48"/>
    </row>
    <row r="774">
      <c r="A774" s="48"/>
    </row>
    <row r="775">
      <c r="A775" s="48"/>
    </row>
    <row r="776">
      <c r="A776" s="48"/>
    </row>
    <row r="777">
      <c r="A777" s="48"/>
    </row>
    <row r="778">
      <c r="A778" s="48"/>
    </row>
    <row r="779">
      <c r="A779" s="48"/>
    </row>
    <row r="780">
      <c r="A780" s="48"/>
    </row>
    <row r="781">
      <c r="A781" s="48"/>
    </row>
    <row r="782">
      <c r="A782" s="48"/>
    </row>
    <row r="783">
      <c r="A783" s="48"/>
    </row>
    <row r="784">
      <c r="A784" s="48"/>
    </row>
    <row r="785">
      <c r="A785" s="48"/>
    </row>
    <row r="786">
      <c r="A786" s="48"/>
    </row>
    <row r="787">
      <c r="A787" s="48"/>
    </row>
    <row r="788">
      <c r="A788" s="48"/>
    </row>
    <row r="789">
      <c r="A789" s="48"/>
    </row>
    <row r="790">
      <c r="A790" s="48"/>
    </row>
    <row r="791">
      <c r="A791" s="48"/>
    </row>
    <row r="792">
      <c r="A792" s="48"/>
    </row>
    <row r="793">
      <c r="A793" s="48"/>
    </row>
    <row r="794">
      <c r="A794" s="48"/>
    </row>
    <row r="795">
      <c r="A795" s="48"/>
    </row>
    <row r="796">
      <c r="A796" s="48"/>
    </row>
    <row r="797">
      <c r="A797" s="48"/>
    </row>
    <row r="798">
      <c r="A798" s="48"/>
    </row>
    <row r="799">
      <c r="A799" s="48"/>
    </row>
    <row r="800">
      <c r="A800" s="48"/>
    </row>
    <row r="801">
      <c r="A801" s="48"/>
    </row>
    <row r="802">
      <c r="A802" s="48"/>
    </row>
    <row r="803">
      <c r="A803" s="48"/>
    </row>
    <row r="804">
      <c r="A804" s="48"/>
    </row>
    <row r="805">
      <c r="A805" s="48"/>
    </row>
    <row r="806">
      <c r="A806" s="48"/>
    </row>
    <row r="807">
      <c r="A807" s="48"/>
    </row>
    <row r="808">
      <c r="A808" s="48"/>
    </row>
    <row r="809">
      <c r="A809" s="48"/>
    </row>
    <row r="810">
      <c r="A810" s="48"/>
    </row>
    <row r="811">
      <c r="A811" s="48"/>
    </row>
    <row r="812">
      <c r="A812" s="48"/>
    </row>
    <row r="813">
      <c r="A813" s="48"/>
    </row>
    <row r="814">
      <c r="A814" s="48"/>
    </row>
    <row r="815">
      <c r="A815" s="48"/>
    </row>
    <row r="816">
      <c r="A816" s="48"/>
    </row>
    <row r="817">
      <c r="A817" s="48"/>
    </row>
    <row r="818">
      <c r="A818" s="48"/>
    </row>
    <row r="819">
      <c r="A819" s="48"/>
    </row>
    <row r="820">
      <c r="A820" s="48"/>
    </row>
    <row r="821">
      <c r="A821" s="48"/>
    </row>
    <row r="822">
      <c r="A822" s="48"/>
    </row>
    <row r="823">
      <c r="A823" s="48"/>
    </row>
    <row r="824">
      <c r="A824" s="48"/>
    </row>
    <row r="825">
      <c r="A825" s="48"/>
    </row>
    <row r="826">
      <c r="A826" s="48"/>
    </row>
    <row r="827">
      <c r="A827" s="48"/>
    </row>
    <row r="828">
      <c r="A828" s="48"/>
    </row>
    <row r="829">
      <c r="A829" s="48"/>
    </row>
    <row r="830">
      <c r="A830" s="48"/>
    </row>
    <row r="831">
      <c r="A831" s="48"/>
    </row>
    <row r="832">
      <c r="A832" s="48"/>
    </row>
    <row r="833">
      <c r="A833" s="48"/>
    </row>
    <row r="834">
      <c r="A834" s="48"/>
    </row>
    <row r="835">
      <c r="A835" s="48"/>
    </row>
    <row r="836">
      <c r="A836" s="48"/>
    </row>
    <row r="837">
      <c r="A837" s="48"/>
    </row>
    <row r="838">
      <c r="A838" s="48"/>
    </row>
    <row r="839">
      <c r="A839" s="48"/>
    </row>
    <row r="840">
      <c r="A840" s="48"/>
    </row>
    <row r="841">
      <c r="A841" s="48"/>
    </row>
    <row r="842">
      <c r="A842" s="48"/>
    </row>
    <row r="843">
      <c r="A843" s="48"/>
    </row>
    <row r="844">
      <c r="A844" s="48"/>
    </row>
    <row r="845">
      <c r="A845" s="48"/>
    </row>
    <row r="846">
      <c r="A846" s="48"/>
    </row>
    <row r="847">
      <c r="A847" s="48"/>
    </row>
    <row r="848">
      <c r="A848" s="48"/>
    </row>
    <row r="849">
      <c r="A849" s="48"/>
    </row>
    <row r="850">
      <c r="A850" s="48"/>
    </row>
    <row r="851">
      <c r="A851" s="48"/>
    </row>
    <row r="852">
      <c r="A852" s="48"/>
    </row>
    <row r="853">
      <c r="A853" s="48"/>
    </row>
    <row r="854">
      <c r="A854" s="48"/>
    </row>
    <row r="855">
      <c r="A855" s="48"/>
    </row>
    <row r="856">
      <c r="A856" s="48"/>
    </row>
    <row r="857">
      <c r="A857" s="48"/>
    </row>
    <row r="858">
      <c r="A858" s="48"/>
    </row>
    <row r="859">
      <c r="A859" s="48"/>
    </row>
    <row r="860">
      <c r="A860" s="48"/>
    </row>
    <row r="861">
      <c r="A861" s="48"/>
    </row>
    <row r="862">
      <c r="A862" s="48"/>
    </row>
    <row r="863">
      <c r="A863" s="48"/>
    </row>
    <row r="864">
      <c r="A864" s="48"/>
    </row>
    <row r="865">
      <c r="A865" s="48"/>
    </row>
    <row r="866">
      <c r="A866" s="48"/>
    </row>
    <row r="867">
      <c r="A867" s="48"/>
    </row>
    <row r="868">
      <c r="A868" s="48"/>
    </row>
    <row r="869">
      <c r="A869" s="48"/>
    </row>
    <row r="870">
      <c r="A870" s="48"/>
    </row>
    <row r="871">
      <c r="A871" s="48"/>
    </row>
    <row r="872">
      <c r="A872" s="48"/>
    </row>
    <row r="873">
      <c r="A873" s="48"/>
    </row>
    <row r="874">
      <c r="A874" s="48"/>
    </row>
    <row r="875">
      <c r="A875" s="48"/>
    </row>
    <row r="876">
      <c r="A876" s="48"/>
    </row>
    <row r="877">
      <c r="A877" s="48"/>
    </row>
    <row r="878">
      <c r="A878" s="48"/>
    </row>
    <row r="879">
      <c r="A879" s="48"/>
    </row>
    <row r="880">
      <c r="A880" s="48"/>
    </row>
    <row r="881">
      <c r="A881" s="48"/>
    </row>
    <row r="882">
      <c r="A882" s="48"/>
    </row>
    <row r="883">
      <c r="A883" s="48"/>
    </row>
    <row r="884">
      <c r="A884" s="48"/>
    </row>
    <row r="885">
      <c r="A885" s="48"/>
    </row>
    <row r="886">
      <c r="A886" s="48"/>
    </row>
    <row r="887">
      <c r="A887" s="48"/>
    </row>
    <row r="888">
      <c r="A888" s="48"/>
    </row>
    <row r="889">
      <c r="A889" s="48"/>
    </row>
    <row r="890">
      <c r="A890" s="48"/>
    </row>
    <row r="891">
      <c r="A891" s="48"/>
    </row>
    <row r="892">
      <c r="A892" s="48"/>
    </row>
    <row r="893">
      <c r="A893" s="48"/>
    </row>
    <row r="894">
      <c r="A894" s="48"/>
    </row>
    <row r="895">
      <c r="A895" s="48"/>
    </row>
    <row r="896">
      <c r="A896" s="48"/>
    </row>
    <row r="897">
      <c r="A897" s="48"/>
    </row>
    <row r="898">
      <c r="A898" s="48"/>
    </row>
    <row r="899">
      <c r="A899" s="48"/>
    </row>
    <row r="900">
      <c r="A900" s="48"/>
    </row>
    <row r="901">
      <c r="A901" s="48"/>
    </row>
    <row r="902">
      <c r="A902" s="48"/>
    </row>
    <row r="903">
      <c r="A903" s="48"/>
    </row>
    <row r="904">
      <c r="A904" s="48"/>
    </row>
    <row r="905">
      <c r="A905" s="48"/>
    </row>
    <row r="906">
      <c r="A906" s="48"/>
    </row>
    <row r="907">
      <c r="A907" s="48"/>
    </row>
    <row r="908">
      <c r="A908" s="48"/>
    </row>
    <row r="909">
      <c r="A909" s="48"/>
    </row>
    <row r="910">
      <c r="A910" s="48"/>
    </row>
    <row r="911">
      <c r="A911" s="48"/>
    </row>
    <row r="912">
      <c r="A912" s="48"/>
    </row>
    <row r="913">
      <c r="A913" s="48"/>
    </row>
    <row r="914">
      <c r="A914" s="48"/>
    </row>
    <row r="915">
      <c r="A915" s="48"/>
    </row>
    <row r="916">
      <c r="A916" s="48"/>
    </row>
    <row r="917">
      <c r="A917" s="48"/>
    </row>
    <row r="918">
      <c r="A918" s="48"/>
    </row>
    <row r="919">
      <c r="A919" s="48"/>
    </row>
    <row r="920">
      <c r="A920" s="48"/>
    </row>
    <row r="921">
      <c r="A921" s="48"/>
    </row>
    <row r="922">
      <c r="A922" s="48"/>
    </row>
    <row r="923">
      <c r="A923" s="48"/>
    </row>
    <row r="924">
      <c r="A924" s="48"/>
    </row>
    <row r="925">
      <c r="A925" s="48"/>
    </row>
    <row r="926">
      <c r="A926" s="48"/>
    </row>
    <row r="927">
      <c r="A927" s="48"/>
    </row>
    <row r="928">
      <c r="A928" s="48"/>
    </row>
    <row r="929">
      <c r="A929" s="48"/>
    </row>
    <row r="930">
      <c r="A930" s="48"/>
    </row>
    <row r="931">
      <c r="A931" s="48"/>
    </row>
    <row r="932">
      <c r="A932" s="48"/>
    </row>
    <row r="933">
      <c r="A933" s="48"/>
    </row>
    <row r="934">
      <c r="A934" s="48"/>
    </row>
    <row r="935">
      <c r="A935" s="48"/>
    </row>
    <row r="936">
      <c r="A936" s="48"/>
    </row>
    <row r="937">
      <c r="A937" s="48"/>
    </row>
    <row r="938">
      <c r="A938" s="48"/>
    </row>
    <row r="939">
      <c r="A939" s="48"/>
    </row>
    <row r="940">
      <c r="A940" s="48"/>
    </row>
    <row r="941">
      <c r="A941" s="48"/>
    </row>
    <row r="942">
      <c r="A942" s="48"/>
    </row>
    <row r="943">
      <c r="A943" s="48"/>
    </row>
    <row r="944">
      <c r="A944" s="48"/>
    </row>
    <row r="945">
      <c r="A945" s="48"/>
    </row>
    <row r="946">
      <c r="A946" s="48"/>
    </row>
    <row r="947">
      <c r="A947" s="48"/>
    </row>
    <row r="948">
      <c r="A948" s="48"/>
    </row>
    <row r="949">
      <c r="A949" s="48"/>
    </row>
    <row r="950">
      <c r="A950" s="48"/>
    </row>
    <row r="951">
      <c r="A951" s="48"/>
    </row>
    <row r="952">
      <c r="A952" s="48"/>
    </row>
    <row r="953">
      <c r="A953" s="48"/>
    </row>
    <row r="954">
      <c r="A954" s="48"/>
    </row>
    <row r="955">
      <c r="A955" s="48"/>
    </row>
    <row r="956">
      <c r="A956" s="48"/>
    </row>
    <row r="957">
      <c r="A957" s="48"/>
    </row>
    <row r="958">
      <c r="A958" s="48"/>
    </row>
    <row r="959">
      <c r="A959" s="48"/>
    </row>
    <row r="960">
      <c r="A960" s="48"/>
    </row>
    <row r="961">
      <c r="A961" s="48"/>
    </row>
    <row r="962">
      <c r="A962" s="48"/>
    </row>
    <row r="963">
      <c r="A963" s="48"/>
    </row>
    <row r="964">
      <c r="A964" s="48"/>
    </row>
    <row r="965">
      <c r="A965" s="48"/>
    </row>
    <row r="966">
      <c r="A966" s="48"/>
    </row>
    <row r="967">
      <c r="A967" s="48"/>
    </row>
    <row r="968">
      <c r="A968" s="48"/>
    </row>
    <row r="969">
      <c r="A969" s="48"/>
    </row>
    <row r="970">
      <c r="A970" s="48"/>
    </row>
    <row r="971">
      <c r="A971" s="48"/>
    </row>
    <row r="972">
      <c r="A972" s="48"/>
    </row>
    <row r="973">
      <c r="A973" s="48"/>
    </row>
    <row r="974">
      <c r="A974" s="48"/>
    </row>
    <row r="975">
      <c r="A975" s="48"/>
    </row>
    <row r="976">
      <c r="A976" s="48"/>
    </row>
    <row r="977">
      <c r="A977" s="48"/>
    </row>
    <row r="978">
      <c r="A978" s="48"/>
    </row>
    <row r="979">
      <c r="A979" s="48"/>
    </row>
    <row r="980">
      <c r="A980" s="48"/>
    </row>
    <row r="981">
      <c r="A981" s="48"/>
    </row>
    <row r="982">
      <c r="A982" s="48"/>
    </row>
    <row r="983">
      <c r="A983" s="48"/>
    </row>
    <row r="984">
      <c r="A984" s="48"/>
    </row>
    <row r="985">
      <c r="A985" s="48"/>
    </row>
    <row r="986">
      <c r="A986" s="48"/>
    </row>
    <row r="987">
      <c r="A987" s="48"/>
    </row>
    <row r="988">
      <c r="A988" s="48"/>
    </row>
    <row r="989">
      <c r="A989" s="48"/>
    </row>
    <row r="990">
      <c r="A990" s="48"/>
    </row>
    <row r="991">
      <c r="A991" s="48"/>
    </row>
    <row r="992">
      <c r="A992" s="48"/>
    </row>
    <row r="993">
      <c r="A993" s="48"/>
    </row>
    <row r="994">
      <c r="A994" s="48"/>
    </row>
    <row r="995">
      <c r="A995" s="48"/>
    </row>
    <row r="996">
      <c r="A996" s="48"/>
    </row>
    <row r="997">
      <c r="A997" s="48"/>
    </row>
    <row r="998">
      <c r="A998" s="48"/>
    </row>
    <row r="999">
      <c r="A999" s="48"/>
    </row>
    <row r="1000">
      <c r="A1000" s="48"/>
    </row>
    <row r="1001">
      <c r="A1001" s="4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8" t="str">
        <f t="array" ref="A1:A130">UNIQUE('Hợp đồng đang xử lý'!A:A)</f>
        <v>shd</v>
      </c>
    </row>
    <row r="2">
      <c r="A2" s="48" t="s">
        <v>66</v>
      </c>
    </row>
    <row r="3">
      <c r="A3" s="48" t="s">
        <v>199</v>
      </c>
    </row>
    <row r="4">
      <c r="A4" s="48" t="s">
        <v>251</v>
      </c>
    </row>
    <row r="5">
      <c r="A5" s="48" t="s">
        <v>255</v>
      </c>
    </row>
    <row r="6">
      <c r="A6" s="48" t="s">
        <v>256</v>
      </c>
    </row>
    <row r="7">
      <c r="A7" s="48" t="s">
        <v>257</v>
      </c>
    </row>
    <row r="8">
      <c r="A8" s="48" t="s">
        <v>275</v>
      </c>
    </row>
    <row r="9">
      <c r="A9" s="48" t="s">
        <v>279</v>
      </c>
    </row>
    <row r="10">
      <c r="A10" s="48" t="s">
        <v>293</v>
      </c>
    </row>
    <row r="11">
      <c r="A11" s="48" t="s">
        <v>326</v>
      </c>
    </row>
    <row r="12">
      <c r="A12" s="48" t="s">
        <v>350</v>
      </c>
    </row>
    <row r="13">
      <c r="A13" s="48" t="s">
        <v>384</v>
      </c>
    </row>
    <row r="14">
      <c r="A14" s="48" t="s">
        <v>393</v>
      </c>
    </row>
    <row r="15">
      <c r="A15" s="48" t="s">
        <v>410</v>
      </c>
    </row>
    <row r="16">
      <c r="A16" s="48" t="s">
        <v>444</v>
      </c>
    </row>
    <row r="17">
      <c r="A17" s="48" t="s">
        <v>458</v>
      </c>
    </row>
    <row r="18">
      <c r="A18" s="48" t="s">
        <v>471</v>
      </c>
    </row>
    <row r="19">
      <c r="A19" s="48" t="s">
        <v>479</v>
      </c>
    </row>
    <row r="20">
      <c r="A20" s="48" t="s">
        <v>483</v>
      </c>
    </row>
    <row r="21">
      <c r="A21" s="48" t="s">
        <v>500</v>
      </c>
    </row>
    <row r="22">
      <c r="A22" s="48" t="s">
        <v>508</v>
      </c>
    </row>
    <row r="23">
      <c r="A23" s="48" t="s">
        <v>517</v>
      </c>
    </row>
    <row r="24">
      <c r="A24" s="48" t="s">
        <v>533</v>
      </c>
    </row>
    <row r="25">
      <c r="A25" s="48" t="s">
        <v>535</v>
      </c>
    </row>
    <row r="26">
      <c r="A26" s="48" t="s">
        <v>536</v>
      </c>
    </row>
    <row r="27">
      <c r="A27" s="48" t="s">
        <v>541</v>
      </c>
    </row>
    <row r="28">
      <c r="A28" s="48" t="s">
        <v>543</v>
      </c>
    </row>
    <row r="29">
      <c r="A29" s="48" t="s">
        <v>548</v>
      </c>
    </row>
    <row r="30">
      <c r="A30" s="48" t="s">
        <v>563</v>
      </c>
    </row>
    <row r="31">
      <c r="A31" s="48" t="s">
        <v>582</v>
      </c>
    </row>
    <row r="32">
      <c r="A32" s="48" t="s">
        <v>635</v>
      </c>
    </row>
    <row r="33">
      <c r="A33" s="48" t="s">
        <v>699</v>
      </c>
    </row>
    <row r="34">
      <c r="A34" s="48" t="s">
        <v>769</v>
      </c>
    </row>
    <row r="35">
      <c r="A35" s="48" t="s">
        <v>799</v>
      </c>
    </row>
    <row r="36">
      <c r="A36" s="48" t="s">
        <v>825</v>
      </c>
    </row>
    <row r="37">
      <c r="A37" s="48" t="s">
        <v>838</v>
      </c>
    </row>
    <row r="38">
      <c r="A38" s="48" t="s">
        <v>852</v>
      </c>
    </row>
    <row r="39">
      <c r="A39" s="48" t="s">
        <v>858</v>
      </c>
    </row>
    <row r="40">
      <c r="A40" s="48" t="s">
        <v>911</v>
      </c>
    </row>
    <row r="41">
      <c r="A41" s="48" t="s">
        <v>912</v>
      </c>
    </row>
    <row r="42">
      <c r="A42" s="48" t="s">
        <v>944</v>
      </c>
    </row>
    <row r="43">
      <c r="A43" s="48" t="s">
        <v>989</v>
      </c>
    </row>
    <row r="44">
      <c r="A44" s="48" t="s">
        <v>1025</v>
      </c>
    </row>
    <row r="45">
      <c r="A45" s="48" t="s">
        <v>1034</v>
      </c>
    </row>
    <row r="46">
      <c r="A46" s="48" t="s">
        <v>1044</v>
      </c>
    </row>
    <row r="47">
      <c r="A47" s="48" t="s">
        <v>1057</v>
      </c>
    </row>
    <row r="48">
      <c r="A48" s="48" t="s">
        <v>1059</v>
      </c>
    </row>
    <row r="49">
      <c r="A49" s="48" t="s">
        <v>1063</v>
      </c>
    </row>
    <row r="50">
      <c r="A50" s="48" t="s">
        <v>1114</v>
      </c>
    </row>
    <row r="51">
      <c r="A51" s="48" t="s">
        <v>1163</v>
      </c>
    </row>
    <row r="52">
      <c r="A52" s="48" t="s">
        <v>1189</v>
      </c>
    </row>
    <row r="53">
      <c r="A53" s="48" t="s">
        <v>1248</v>
      </c>
    </row>
    <row r="54">
      <c r="A54" s="48" t="s">
        <v>1256</v>
      </c>
    </row>
    <row r="55">
      <c r="A55" s="48" t="s">
        <v>1261</v>
      </c>
    </row>
    <row r="56">
      <c r="A56" s="48" t="s">
        <v>1267</v>
      </c>
    </row>
    <row r="57">
      <c r="A57" s="48" t="s">
        <v>1268</v>
      </c>
    </row>
    <row r="58">
      <c r="A58" s="48" t="s">
        <v>1271</v>
      </c>
    </row>
    <row r="59">
      <c r="A59" s="48" t="s">
        <v>1272</v>
      </c>
    </row>
    <row r="60">
      <c r="A60" s="48" t="s">
        <v>1286</v>
      </c>
    </row>
    <row r="61">
      <c r="A61" s="48" t="s">
        <v>1288</v>
      </c>
    </row>
    <row r="62">
      <c r="A62" s="48" t="s">
        <v>1290</v>
      </c>
    </row>
    <row r="63">
      <c r="A63" s="48" t="s">
        <v>1331</v>
      </c>
    </row>
    <row r="64">
      <c r="A64" s="48" t="s">
        <v>1335</v>
      </c>
    </row>
    <row r="65">
      <c r="A65" s="48" t="s">
        <v>1353</v>
      </c>
    </row>
    <row r="66">
      <c r="A66" s="48" t="s">
        <v>1413</v>
      </c>
    </row>
    <row r="67">
      <c r="A67" s="48" t="s">
        <v>1416</v>
      </c>
    </row>
    <row r="68">
      <c r="A68" s="48" t="s">
        <v>1458</v>
      </c>
    </row>
    <row r="69">
      <c r="A69" s="48" t="s">
        <v>1470</v>
      </c>
    </row>
    <row r="70">
      <c r="A70" s="48" t="s">
        <v>1479</v>
      </c>
    </row>
    <row r="71">
      <c r="A71" s="48" t="s">
        <v>1508</v>
      </c>
    </row>
    <row r="72">
      <c r="A72" s="48" t="s">
        <v>1515</v>
      </c>
    </row>
    <row r="73">
      <c r="A73" s="48" t="s">
        <v>1517</v>
      </c>
    </row>
    <row r="74">
      <c r="A74" s="48" t="s">
        <v>1519</v>
      </c>
    </row>
    <row r="75">
      <c r="A75" s="48" t="s">
        <v>1523</v>
      </c>
    </row>
    <row r="76">
      <c r="A76" s="48" t="s">
        <v>1526</v>
      </c>
    </row>
    <row r="77">
      <c r="A77" s="48" t="s">
        <v>1528</v>
      </c>
    </row>
    <row r="78">
      <c r="A78" s="48" t="s">
        <v>1531</v>
      </c>
    </row>
    <row r="79">
      <c r="A79" s="48" t="s">
        <v>1535</v>
      </c>
    </row>
    <row r="80">
      <c r="A80" s="48" t="s">
        <v>1537</v>
      </c>
    </row>
    <row r="81">
      <c r="A81" s="48" t="s">
        <v>1542</v>
      </c>
    </row>
    <row r="82">
      <c r="A82" s="48" t="s">
        <v>1615</v>
      </c>
    </row>
    <row r="83">
      <c r="A83" s="48" t="s">
        <v>1629</v>
      </c>
    </row>
    <row r="84">
      <c r="A84" s="48" t="s">
        <v>1632</v>
      </c>
    </row>
    <row r="85">
      <c r="A85" s="48" t="s">
        <v>1652</v>
      </c>
    </row>
    <row r="86">
      <c r="A86" s="48" t="s">
        <v>1670</v>
      </c>
    </row>
    <row r="87">
      <c r="A87" s="48" t="s">
        <v>1676</v>
      </c>
    </row>
    <row r="88">
      <c r="A88" s="48" t="s">
        <v>1686</v>
      </c>
    </row>
    <row r="89">
      <c r="A89" s="48" t="s">
        <v>1690</v>
      </c>
    </row>
    <row r="90">
      <c r="A90" s="48" t="s">
        <v>1696</v>
      </c>
    </row>
    <row r="91">
      <c r="A91" s="48" t="s">
        <v>1715</v>
      </c>
    </row>
    <row r="92">
      <c r="A92" s="48" t="s">
        <v>1721</v>
      </c>
    </row>
    <row r="93">
      <c r="A93" s="48" t="s">
        <v>1763</v>
      </c>
    </row>
    <row r="94">
      <c r="A94" s="48" t="s">
        <v>1777</v>
      </c>
    </row>
    <row r="95">
      <c r="A95" s="48" t="s">
        <v>1780</v>
      </c>
    </row>
    <row r="96">
      <c r="A96" s="48" t="s">
        <v>1783</v>
      </c>
    </row>
    <row r="97">
      <c r="A97" s="48" t="s">
        <v>1798</v>
      </c>
    </row>
    <row r="98">
      <c r="A98" s="48" t="s">
        <v>1801</v>
      </c>
    </row>
    <row r="99">
      <c r="A99" s="48" t="s">
        <v>1802</v>
      </c>
    </row>
    <row r="100">
      <c r="A100" s="48" t="s">
        <v>1806</v>
      </c>
    </row>
    <row r="101">
      <c r="A101" s="48" t="s">
        <v>1818</v>
      </c>
    </row>
    <row r="102">
      <c r="A102" s="48" t="s">
        <v>1827</v>
      </c>
    </row>
    <row r="103">
      <c r="A103" s="48" t="s">
        <v>1832</v>
      </c>
    </row>
    <row r="104">
      <c r="A104" s="48" t="s">
        <v>1841</v>
      </c>
    </row>
    <row r="105">
      <c r="A105" s="48" t="s">
        <v>1875</v>
      </c>
    </row>
    <row r="106">
      <c r="A106" s="48" t="s">
        <v>1880</v>
      </c>
    </row>
    <row r="107">
      <c r="A107" s="48" t="s">
        <v>1884</v>
      </c>
    </row>
    <row r="108">
      <c r="A108" s="48" t="s">
        <v>1890</v>
      </c>
    </row>
    <row r="109">
      <c r="A109" s="48" t="s">
        <v>1903</v>
      </c>
    </row>
    <row r="110">
      <c r="A110" s="48" t="s">
        <v>1907</v>
      </c>
    </row>
    <row r="111">
      <c r="A111" s="48" t="s">
        <v>1909</v>
      </c>
    </row>
    <row r="112">
      <c r="A112" s="48" t="s">
        <v>1914</v>
      </c>
    </row>
    <row r="113">
      <c r="A113" s="48" t="s">
        <v>1918</v>
      </c>
    </row>
    <row r="114">
      <c r="A114" s="48" t="s">
        <v>1920</v>
      </c>
    </row>
    <row r="115">
      <c r="A115" s="48" t="s">
        <v>1923</v>
      </c>
    </row>
    <row r="116">
      <c r="A116" s="48" t="s">
        <v>1930</v>
      </c>
    </row>
    <row r="117">
      <c r="A117" s="48" t="s">
        <v>1936</v>
      </c>
    </row>
    <row r="118">
      <c r="A118" s="48" t="s">
        <v>1939</v>
      </c>
    </row>
    <row r="119">
      <c r="A119" s="48" t="s">
        <v>1941</v>
      </c>
    </row>
    <row r="120">
      <c r="A120" s="48" t="s">
        <v>1944</v>
      </c>
    </row>
    <row r="121">
      <c r="A121" s="48" t="s">
        <v>1946</v>
      </c>
    </row>
    <row r="122">
      <c r="A122" s="48" t="s">
        <v>1949</v>
      </c>
    </row>
    <row r="123">
      <c r="A123" s="48" t="s">
        <v>1958</v>
      </c>
    </row>
    <row r="124">
      <c r="A124" s="48" t="s">
        <v>1971</v>
      </c>
    </row>
    <row r="125">
      <c r="A125" s="48" t="s">
        <v>1977</v>
      </c>
    </row>
    <row r="126">
      <c r="A126" s="48" t="s">
        <v>1980</v>
      </c>
    </row>
    <row r="127">
      <c r="A127" s="48" t="s">
        <v>1982</v>
      </c>
    </row>
    <row r="128">
      <c r="A128" s="48" t="s">
        <v>1999</v>
      </c>
    </row>
    <row r="129">
      <c r="A129" s="48" t="s">
        <v>2007</v>
      </c>
    </row>
    <row r="130">
      <c r="A130" s="4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4.63"/>
    <col customWidth="1" min="4" max="4" width="18.88"/>
    <col customWidth="1" min="5" max="5" width="26.63"/>
    <col customWidth="1" min="6" max="11" width="18.88"/>
  </cols>
  <sheetData>
    <row r="1" ht="22.5" customHeight="1">
      <c r="A1" s="85" t="s">
        <v>0</v>
      </c>
      <c r="B1" s="85" t="s">
        <v>1</v>
      </c>
      <c r="C1" s="85" t="s">
        <v>3160</v>
      </c>
      <c r="D1" s="85" t="s">
        <v>3161</v>
      </c>
      <c r="E1" s="85" t="s">
        <v>18</v>
      </c>
    </row>
    <row r="2" ht="22.5" customHeight="1">
      <c r="A2" s="86">
        <v>45880.52626292824</v>
      </c>
      <c r="B2" s="87" t="s">
        <v>225</v>
      </c>
      <c r="C2" s="87" t="s">
        <v>3162</v>
      </c>
      <c r="D2" s="87" t="s">
        <v>40</v>
      </c>
      <c r="E2" s="88"/>
    </row>
    <row r="3" ht="22.5" customHeight="1">
      <c r="A3" s="81">
        <v>45880.61161068287</v>
      </c>
      <c r="B3" s="82" t="s">
        <v>200</v>
      </c>
      <c r="C3" s="82" t="s">
        <v>3162</v>
      </c>
      <c r="D3" s="82" t="s">
        <v>40</v>
      </c>
    </row>
    <row r="4" ht="22.5" customHeight="1">
      <c r="A4" s="81">
        <v>45880.61219515046</v>
      </c>
      <c r="B4" s="82" t="s">
        <v>206</v>
      </c>
      <c r="C4" s="82" t="s">
        <v>3163</v>
      </c>
      <c r="D4" s="82" t="s">
        <v>40</v>
      </c>
    </row>
    <row r="5" ht="22.5" customHeight="1">
      <c r="A5" s="81">
        <v>45880.61246089121</v>
      </c>
      <c r="B5" s="82" t="s">
        <v>209</v>
      </c>
      <c r="C5" s="82" t="s">
        <v>3162</v>
      </c>
      <c r="D5" s="82" t="s">
        <v>40</v>
      </c>
    </row>
    <row r="6" ht="22.5" customHeight="1">
      <c r="A6" s="81">
        <v>45880.61331385416</v>
      </c>
      <c r="B6" s="82" t="s">
        <v>3164</v>
      </c>
      <c r="C6" s="82" t="s">
        <v>3163</v>
      </c>
      <c r="D6" s="82" t="s">
        <v>40</v>
      </c>
      <c r="E6" s="82" t="s">
        <v>3165</v>
      </c>
    </row>
    <row r="7" ht="22.5" customHeight="1">
      <c r="A7" s="81">
        <v>45880.615066921295</v>
      </c>
      <c r="B7" s="82" t="s">
        <v>217</v>
      </c>
      <c r="C7" s="82" t="s">
        <v>3162</v>
      </c>
      <c r="D7" s="82" t="s">
        <v>40</v>
      </c>
    </row>
    <row r="8" ht="22.5" customHeight="1">
      <c r="A8" s="81">
        <v>45880.615294999996</v>
      </c>
      <c r="B8" s="82" t="s">
        <v>225</v>
      </c>
      <c r="C8" s="82" t="s">
        <v>3162</v>
      </c>
      <c r="D8" s="82" t="s">
        <v>40</v>
      </c>
    </row>
    <row r="9" ht="22.5" customHeight="1">
      <c r="A9" s="81">
        <v>45880.615667997685</v>
      </c>
      <c r="B9" s="82" t="s">
        <v>227</v>
      </c>
      <c r="C9" s="82" t="s">
        <v>3163</v>
      </c>
      <c r="D9" s="82" t="s">
        <v>40</v>
      </c>
    </row>
    <row r="10" ht="22.5" customHeight="1">
      <c r="A10" s="81">
        <v>45881.438195787036</v>
      </c>
      <c r="B10" s="82" t="s">
        <v>233</v>
      </c>
      <c r="C10" s="82" t="s">
        <v>3162</v>
      </c>
      <c r="D10" s="82" t="s">
        <v>40</v>
      </c>
    </row>
    <row r="11" ht="22.5" customHeight="1">
      <c r="A11" s="81">
        <v>45882.48088430555</v>
      </c>
      <c r="B11" s="82" t="s">
        <v>239</v>
      </c>
      <c r="C11" s="82" t="s">
        <v>3162</v>
      </c>
      <c r="D11" s="82" t="s">
        <v>40</v>
      </c>
    </row>
    <row r="12" ht="22.5" customHeight="1">
      <c r="A12" s="81">
        <v>45882.72839856481</v>
      </c>
      <c r="B12" s="82" t="s">
        <v>251</v>
      </c>
      <c r="C12" s="82" t="s">
        <v>3162</v>
      </c>
      <c r="D12" s="82" t="s">
        <v>40</v>
      </c>
    </row>
    <row r="13" ht="22.5" customHeight="1">
      <c r="A13" s="81">
        <v>45882.728553912035</v>
      </c>
      <c r="B13" s="82" t="s">
        <v>255</v>
      </c>
      <c r="C13" s="82" t="s">
        <v>3162</v>
      </c>
      <c r="D13" s="82" t="s">
        <v>40</v>
      </c>
    </row>
    <row r="14" ht="22.5" customHeight="1">
      <c r="A14" s="81">
        <v>45882.728661030094</v>
      </c>
      <c r="B14" s="82" t="s">
        <v>256</v>
      </c>
      <c r="C14" s="82" t="s">
        <v>3162</v>
      </c>
      <c r="D14" s="82" t="s">
        <v>40</v>
      </c>
    </row>
    <row r="15" ht="22.5" customHeight="1">
      <c r="A15" s="81">
        <v>45882.72877122685</v>
      </c>
      <c r="B15" s="82" t="s">
        <v>257</v>
      </c>
      <c r="C15" s="82" t="s">
        <v>3162</v>
      </c>
      <c r="D15" s="82" t="s">
        <v>40</v>
      </c>
    </row>
    <row r="16" ht="22.5" customHeight="1">
      <c r="A16" s="81">
        <v>45883.49221747685</v>
      </c>
      <c r="B16" s="82" t="s">
        <v>259</v>
      </c>
      <c r="C16" s="82" t="s">
        <v>3162</v>
      </c>
      <c r="D16" s="82" t="s">
        <v>40</v>
      </c>
    </row>
    <row r="17" ht="22.5" customHeight="1">
      <c r="A17" s="81">
        <v>45883.49241726851</v>
      </c>
      <c r="B17" s="82" t="s">
        <v>2175</v>
      </c>
      <c r="C17" s="82" t="s">
        <v>3162</v>
      </c>
      <c r="D17" s="82" t="s">
        <v>40</v>
      </c>
    </row>
    <row r="18" ht="22.5" customHeight="1">
      <c r="A18" s="81">
        <v>45884.50955780093</v>
      </c>
      <c r="B18" s="82" t="s">
        <v>273</v>
      </c>
      <c r="C18" s="82" t="s">
        <v>3162</v>
      </c>
      <c r="D18" s="82" t="s">
        <v>40</v>
      </c>
    </row>
    <row r="19" ht="22.5" customHeight="1">
      <c r="A19" s="81">
        <v>45884.50990846065</v>
      </c>
      <c r="B19" s="82" t="s">
        <v>275</v>
      </c>
      <c r="C19" s="82" t="s">
        <v>3162</v>
      </c>
      <c r="D19" s="82" t="s">
        <v>40</v>
      </c>
    </row>
    <row r="20" ht="22.5" customHeight="1">
      <c r="A20" s="81">
        <v>45885.46713655093</v>
      </c>
      <c r="B20" s="82" t="s">
        <v>279</v>
      </c>
      <c r="C20" s="82" t="s">
        <v>3162</v>
      </c>
      <c r="D20" s="82" t="s">
        <v>40</v>
      </c>
    </row>
    <row r="21" ht="22.5" customHeight="1">
      <c r="A21" s="81">
        <v>45885.46741927083</v>
      </c>
      <c r="B21" s="82" t="s">
        <v>281</v>
      </c>
      <c r="C21" s="82" t="s">
        <v>3162</v>
      </c>
      <c r="D21" s="82" t="s">
        <v>40</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4" t="s">
        <v>3166</v>
      </c>
    </row>
    <row r="2">
      <c r="A2" s="48" t="str">
        <f>IFERROR(__xludf.DUMMYFUNCTION("SORT(
  UNIQUE(
    FILTER(
      'Bảng tổng hợp'!B2:B1000 &amp; "" - "" &amp; 'Bảng tổng hợp'!C2:C1000,
      ('Bảng tổng hợp'!K2:K1000=""Đang xử lý"")
     +('Bảng tổng hợp'!K2:K1000=""Nộp thành công - Chờ kết quả"")
     +('Bảng tổng hợp'!K2:K1000=""""),
     "&amp;" 'Bảng tổng hợp'!B2:B1000&lt;&gt;"""",
      'Bảng tổng hợp'!C2:C1000&lt;&gt;""""
    )
  )
)
"),"013/BK-2026 - Nguyễn Thanh Tùng")</f>
        <v>013/BK-2026 - Nguyễn Thanh Tùng</v>
      </c>
    </row>
    <row r="3">
      <c r="A3" s="48" t="str">
        <f>IFERROR(__xludf.DUMMYFUNCTION("""COMPUTED_VALUE"""),"027/BK-2026 - Vũ Thị Nhuần")</f>
        <v>027/BK-2026 - Vũ Thị Nhuần</v>
      </c>
    </row>
    <row r="4">
      <c r="A4" s="48" t="str">
        <f>IFERROR(__xludf.DUMMYFUNCTION("""COMPUTED_VALUE"""),"052/BK-2026 - Lê Thị Thu Hiền")</f>
        <v>052/BK-2026 - Lê Thị Thu Hiền</v>
      </c>
    </row>
    <row r="5">
      <c r="A5" s="48" t="str">
        <f>IFERROR(__xludf.DUMMYFUNCTION("""COMPUTED_VALUE"""),"053/BK-2026 - Nguyễn Hữu Cường")</f>
        <v>053/BK-2026 - Nguyễn Hữu Cường</v>
      </c>
    </row>
    <row r="6">
      <c r="A6" s="48" t="str">
        <f>IFERROR(__xludf.DUMMYFUNCTION("""COMPUTED_VALUE"""),"055/BK-2026 - Đỗ Hoàng Sang")</f>
        <v>055/BK-2026 - Đỗ Hoàng Sang</v>
      </c>
    </row>
    <row r="7">
      <c r="A7" s="48" t="str">
        <f>IFERROR(__xludf.DUMMYFUNCTION("""COMPUTED_VALUE"""),"060/BK-2026 - Đặng Văn Lẹ")</f>
        <v>060/BK-2026 - Đặng Văn Lẹ</v>
      </c>
    </row>
    <row r="8">
      <c r="A8" s="48" t="str">
        <f>IFERROR(__xludf.DUMMYFUNCTION("""COMPUTED_VALUE"""),"061-1/BK-2026 - Bùi Đình Khánh")</f>
        <v>061-1/BK-2026 - Bùi Đình Khánh</v>
      </c>
    </row>
    <row r="9">
      <c r="A9" s="48" t="str">
        <f>IFERROR(__xludf.DUMMYFUNCTION("""COMPUTED_VALUE"""),"061-2/BK-2026 - Bùi Đình Khánh")</f>
        <v>061-2/BK-2026 - Bùi Đình Khánh</v>
      </c>
    </row>
    <row r="10">
      <c r="A10" s="48" t="str">
        <f>IFERROR(__xludf.DUMMYFUNCTION("""COMPUTED_VALUE"""),"062/BK-2026 - Nguyễn Thị Hương")</f>
        <v>062/BK-2026 - Nguyễn Thị Hương</v>
      </c>
    </row>
    <row r="11">
      <c r="A11" s="48" t="str">
        <f>IFERROR(__xludf.DUMMYFUNCTION("""COMPUTED_VALUE"""),"070/BK-2026 - Đinh Gia Trí ")</f>
        <v>070/BK-2026 - Đinh Gia Trí </v>
      </c>
    </row>
    <row r="12">
      <c r="A12" s="48" t="str">
        <f>IFERROR(__xludf.DUMMYFUNCTION("""COMPUTED_VALUE"""),"071/BK-2026 - Nguyễn Kim Chi")</f>
        <v>071/BK-2026 - Nguyễn Kim Chi</v>
      </c>
    </row>
    <row r="13">
      <c r="A13" s="48" t="str">
        <f>IFERROR(__xludf.DUMMYFUNCTION("""COMPUTED_VALUE"""),"072/BK-2026 - Nguyễn Đình Phan- Nguyễn Thị Sa")</f>
        <v>072/BK-2026 - Nguyễn Đình Phan- Nguyễn Thị Sa</v>
      </c>
    </row>
    <row r="14">
      <c r="A14" s="48" t="str">
        <f>IFERROR(__xludf.DUMMYFUNCTION("""COMPUTED_VALUE"""),"090/BK-2026 - Ngô Thị Việt Hà - Nguyễn Văn Hoàng")</f>
        <v>090/BK-2026 - Ngô Thị Việt Hà - Nguyễn Văn Hoàng</v>
      </c>
    </row>
    <row r="15">
      <c r="A15" s="48" t="str">
        <f>IFERROR(__xludf.DUMMYFUNCTION("""COMPUTED_VALUE"""),"091/BK-2026 - Tôn Phượng Nga")</f>
        <v>091/BK-2026 - Tôn Phượng Nga</v>
      </c>
    </row>
    <row r="16">
      <c r="A16" s="48" t="str">
        <f>IFERROR(__xludf.DUMMYFUNCTION("""COMPUTED_VALUE"""),"099/BK-2026 - Phan Trong Quang")</f>
        <v>099/BK-2026 - Phan Trong Quang</v>
      </c>
    </row>
    <row r="17">
      <c r="A17" s="48" t="str">
        <f>IFERROR(__xludf.DUMMYFUNCTION("""COMPUTED_VALUE"""),"127/BK-2026 - Lê Văn Hoàng")</f>
        <v>127/BK-2026 - Lê Văn Hoàng</v>
      </c>
    </row>
    <row r="18">
      <c r="A18" s="48" t="str">
        <f>IFERROR(__xludf.DUMMYFUNCTION("""COMPUTED_VALUE"""),"128/BK-2026 - Hoàng Nam")</f>
        <v>128/BK-2026 - Hoàng Nam</v>
      </c>
    </row>
    <row r="19">
      <c r="A19" s="48" t="str">
        <f>IFERROR(__xludf.DUMMYFUNCTION("""COMPUTED_VALUE"""),"145/BK-2026 - Lê Thị Hải")</f>
        <v>145/BK-2026 - Lê Thị Hải</v>
      </c>
    </row>
    <row r="20">
      <c r="A20" s="48" t="str">
        <f>IFERROR(__xludf.DUMMYFUNCTION("""COMPUTED_VALUE"""),"149/BK-2026 - Đinh Thị Hoài Thương")</f>
        <v>149/BK-2026 - Đinh Thị Hoài Thương</v>
      </c>
    </row>
    <row r="21">
      <c r="A21" s="48" t="str">
        <f>IFERROR(__xludf.DUMMYFUNCTION("""COMPUTED_VALUE"""),"154/BK-2026 - Trần Trung Tín 1")</f>
        <v>154/BK-2026 - Trần Trung Tín 1</v>
      </c>
    </row>
    <row r="22">
      <c r="A22" s="48" t="str">
        <f>IFERROR(__xludf.DUMMYFUNCTION("""COMPUTED_VALUE"""),"168/BK-2026 - Trần Thị Tuyết Nhung")</f>
        <v>168/BK-2026 - Trần Thị Tuyết Nhung</v>
      </c>
    </row>
    <row r="23">
      <c r="A23" s="48" t="str">
        <f>IFERROR(__xludf.DUMMYFUNCTION("""COMPUTED_VALUE"""),"171/BK-2026 - Đặng Văn Lẹ ")</f>
        <v>171/BK-2026 - Đặng Văn Lẹ </v>
      </c>
    </row>
    <row r="24">
      <c r="A24" s="48" t="str">
        <f>IFERROR(__xludf.DUMMYFUNCTION("""COMPUTED_VALUE"""),"172/BK-2026 - Nguyễn Doãn Tuấn ")</f>
        <v>172/BK-2026 - Nguyễn Doãn Tuấn </v>
      </c>
    </row>
    <row r="25">
      <c r="A25" s="48" t="str">
        <f>IFERROR(__xludf.DUMMYFUNCTION("""COMPUTED_VALUE"""),"173/BK-2026 - Phan Thị Mộng Thu")</f>
        <v>173/BK-2026 - Phan Thị Mộng Thu</v>
      </c>
    </row>
    <row r="26">
      <c r="A26" s="48" t="str">
        <f>IFERROR(__xludf.DUMMYFUNCTION("""COMPUTED_VALUE"""),"174/BK-2026 - Nguyễn Thanh Thương - Hàng Thị Thanh Tuyền ")</f>
        <v>174/BK-2026 - Nguyễn Thanh Thương - Hàng Thị Thanh Tuyền </v>
      </c>
    </row>
    <row r="27">
      <c r="A27" s="48" t="str">
        <f>IFERROR(__xludf.DUMMYFUNCTION("""COMPUTED_VALUE"""),"175/BK-2026 - Đinh Văn Tươi - Dương Thị Thanh Tuyền ")</f>
        <v>175/BK-2026 - Đinh Văn Tươi - Dương Thị Thanh Tuyền </v>
      </c>
    </row>
    <row r="28">
      <c r="A28" s="48" t="str">
        <f>IFERROR(__xludf.DUMMYFUNCTION("""COMPUTED_VALUE"""),"176/BK-2026 - Lê Thanh Tú - Trần Hồng Đào ")</f>
        <v>176/BK-2026 - Lê Thanh Tú - Trần Hồng Đào </v>
      </c>
    </row>
    <row r="29">
      <c r="A29" s="48" t="str">
        <f>IFERROR(__xludf.DUMMYFUNCTION("""COMPUTED_VALUE"""),"177/BK-2026 - Lê Quang 1")</f>
        <v>177/BK-2026 - Lê Quang 1</v>
      </c>
    </row>
    <row r="30">
      <c r="A30" s="48" t="str">
        <f>IFERROR(__xludf.DUMMYFUNCTION("""COMPUTED_VALUE"""),"178/BK-2026 - Lê Quang 2 ")</f>
        <v>178/BK-2026 - Lê Quang 2 </v>
      </c>
    </row>
    <row r="31">
      <c r="A31" s="48" t="str">
        <f>IFERROR(__xludf.DUMMYFUNCTION("""COMPUTED_VALUE"""),"179/BK-2026 - Lê Quang 3")</f>
        <v>179/BK-2026 - Lê Quang 3</v>
      </c>
    </row>
    <row r="32">
      <c r="A32" s="48" t="str">
        <f>IFERROR(__xludf.DUMMYFUNCTION("""COMPUTED_VALUE"""),"182/BK-2026 - Nguyễn Thị Năm")</f>
        <v>182/BK-2026 - Nguyễn Thị Năm</v>
      </c>
    </row>
    <row r="33">
      <c r="A33" s="48" t="str">
        <f>IFERROR(__xludf.DUMMYFUNCTION("""COMPUTED_VALUE"""),"216/BK-2026 - Đinh Quang Hưng")</f>
        <v>216/BK-2026 - Đinh Quang Hưng</v>
      </c>
    </row>
    <row r="34">
      <c r="A34" s="48" t="str">
        <f>IFERROR(__xludf.DUMMYFUNCTION("""COMPUTED_VALUE"""),"219/BK-2025 - Hưu Văn Xưa")</f>
        <v>219/BK-2025 - Hưu Văn Xưa</v>
      </c>
    </row>
    <row r="35">
      <c r="A35" s="48" t="str">
        <f>IFERROR(__xludf.DUMMYFUNCTION("""COMPUTED_VALUE"""),"222/BK-2026 - Trần Lệnh Phú")</f>
        <v>222/BK-2026 - Trần Lệnh Phú</v>
      </c>
    </row>
    <row r="36">
      <c r="A36" s="48" t="str">
        <f>IFERROR(__xludf.DUMMYFUNCTION("""COMPUTED_VALUE"""),"223/BK-2026 - Lê Thị Hải ")</f>
        <v>223/BK-2026 - Lê Thị Hải </v>
      </c>
    </row>
    <row r="37">
      <c r="A37" s="48" t="str">
        <f>IFERROR(__xludf.DUMMYFUNCTION("""COMPUTED_VALUE"""),"232/BK-2026 - Nguyễn Hữu Thiện")</f>
        <v>232/BK-2026 - Nguyễn Hữu Thiện</v>
      </c>
    </row>
    <row r="38">
      <c r="A38" s="48" t="str">
        <f>IFERROR(__xludf.DUMMYFUNCTION("""COMPUTED_VALUE"""),"233-DC/BK-2025 - Nguyễn Phạm Hoài Vy")</f>
        <v>233-DC/BK-2025 - Nguyễn Phạm Hoài Vy</v>
      </c>
    </row>
    <row r="39">
      <c r="A39" s="48" t="str">
        <f>IFERROR(__xludf.DUMMYFUNCTION("""COMPUTED_VALUE"""),"241/BK-2026 - Trần Văn Dự - Trương Thị Kim Chi ")</f>
        <v>241/BK-2026 - Trần Văn Dự - Trương Thị Kim Chi </v>
      </c>
    </row>
    <row r="40">
      <c r="A40" s="48" t="str">
        <f>IFERROR(__xludf.DUMMYFUNCTION("""COMPUTED_VALUE"""),"243/BK-2026 - Đỗ Văn Nhỏ ")</f>
        <v>243/BK-2026 - Đỗ Văn Nhỏ </v>
      </c>
    </row>
    <row r="41">
      <c r="A41" s="48" t="str">
        <f>IFERROR(__xludf.DUMMYFUNCTION("""COMPUTED_VALUE"""),"249/BK-2026 - Tạ Quốc Dũng - Tạ Dịu Thương ")</f>
        <v>249/BK-2026 - Tạ Quốc Dũng - Tạ Dịu Thương </v>
      </c>
    </row>
    <row r="42">
      <c r="A42" s="48" t="str">
        <f>IFERROR(__xludf.DUMMYFUNCTION("""COMPUTED_VALUE"""),"250/BK-2026 - Nguyễn Thị Vân Anh")</f>
        <v>250/BK-2026 - Nguyễn Thị Vân Anh</v>
      </c>
    </row>
    <row r="43">
      <c r="A43" s="48" t="str">
        <f>IFERROR(__xludf.DUMMYFUNCTION("""COMPUTED_VALUE"""),"254/BK-2026 - Nguyễn Văn Rượu")</f>
        <v>254/BK-2026 - Nguyễn Văn Rượu</v>
      </c>
    </row>
    <row r="44">
      <c r="A44" s="48" t="str">
        <f>IFERROR(__xludf.DUMMYFUNCTION("""COMPUTED_VALUE"""),"262/BK-2026 - Đỗ Ngọc Sơn")</f>
        <v>262/BK-2026 - Đỗ Ngọc Sơn</v>
      </c>
    </row>
    <row r="45">
      <c r="A45" s="48" t="str">
        <f>IFERROR(__xludf.DUMMYFUNCTION("""COMPUTED_VALUE"""),"263-1/BK-2025 - Nguyễn Hoàng Nguyên")</f>
        <v>263-1/BK-2025 - Nguyễn Hoàng Nguyên</v>
      </c>
    </row>
    <row r="46">
      <c r="A46" s="48" t="str">
        <f>IFERROR(__xludf.DUMMYFUNCTION("""COMPUTED_VALUE"""),"263-2/BK-2025 - Nguyễn Hoàng Nguyên")</f>
        <v>263-2/BK-2025 - Nguyễn Hoàng Nguyên</v>
      </c>
    </row>
    <row r="47">
      <c r="A47" s="48" t="str">
        <f>IFERROR(__xludf.DUMMYFUNCTION("""COMPUTED_VALUE"""),"265/BK-2026 - Đỗ Thị Nga")</f>
        <v>265/BK-2026 - Đỗ Thị Nga</v>
      </c>
    </row>
    <row r="48">
      <c r="A48" s="48" t="str">
        <f>IFERROR(__xludf.DUMMYFUNCTION("""COMPUTED_VALUE"""),"283/BK-2026 - Lê Văn Mai - Phạm Thị Soi")</f>
        <v>283/BK-2026 - Lê Văn Mai - Phạm Thị Soi</v>
      </c>
    </row>
    <row r="49">
      <c r="A49" s="48" t="str">
        <f>IFERROR(__xludf.DUMMYFUNCTION("""COMPUTED_VALUE"""),"289/BK-2026 - Nguyễn Thị Trà Linh - 528")</f>
        <v>289/BK-2026 - Nguyễn Thị Trà Linh - 528</v>
      </c>
    </row>
    <row r="50">
      <c r="A50" s="48" t="str">
        <f>IFERROR(__xludf.DUMMYFUNCTION("""COMPUTED_VALUE"""),"290/BK-2026 - Nguyễn Thị Trà Linh - 529")</f>
        <v>290/BK-2026 - Nguyễn Thị Trà Linh - 529</v>
      </c>
    </row>
    <row r="51">
      <c r="A51" s="48" t="str">
        <f>IFERROR(__xludf.DUMMYFUNCTION("""COMPUTED_VALUE"""),"292/BK-2026 - Nguyễn Thị Phúc Long")</f>
        <v>292/BK-2026 - Nguyễn Thị Phúc Long</v>
      </c>
    </row>
    <row r="52">
      <c r="A52" s="48" t="str">
        <f>IFERROR(__xludf.DUMMYFUNCTION("""COMPUTED_VALUE"""),"299/BK-2026 - Tô Duy Nam")</f>
        <v>299/BK-2026 - Tô Duy Nam</v>
      </c>
    </row>
    <row r="53">
      <c r="A53" s="48" t="str">
        <f>IFERROR(__xludf.DUMMYFUNCTION("""COMPUTED_VALUE"""),"301/BK-2026 - Trương Ngọc Yên")</f>
        <v>301/BK-2026 - Trương Ngọc Yên</v>
      </c>
    </row>
    <row r="54">
      <c r="A54" s="48" t="str">
        <f>IFERROR(__xludf.DUMMYFUNCTION("""COMPUTED_VALUE"""),"302/BK-2026 - Nguyễn Ngọc Tráng ")</f>
        <v>302/BK-2026 - Nguyễn Ngọc Tráng </v>
      </c>
    </row>
    <row r="55">
      <c r="A55" s="48" t="str">
        <f>IFERROR(__xludf.DUMMYFUNCTION("""COMPUTED_VALUE"""),"304/BK-2026 - Hà Đăng Hiền ")</f>
        <v>304/BK-2026 - Hà Đăng Hiền </v>
      </c>
    </row>
    <row r="56">
      <c r="A56" s="48" t="str">
        <f>IFERROR(__xludf.DUMMYFUNCTION("""COMPUTED_VALUE"""),"311/BK-2026 - Vũ Thanh Hường")</f>
        <v>311/BK-2026 - Vũ Thanh Hường</v>
      </c>
    </row>
    <row r="57">
      <c r="A57" s="48" t="str">
        <f>IFERROR(__xludf.DUMMYFUNCTION("""COMPUTED_VALUE"""),"315/BK-2026 - Điều chỉnh Lê Quang Khoa lần 2 ")</f>
        <v>315/BK-2026 - Điều chỉnh Lê Quang Khoa lần 2 </v>
      </c>
    </row>
    <row r="58">
      <c r="A58" s="48" t="str">
        <f>IFERROR(__xludf.DUMMYFUNCTION("""COMPUTED_VALUE"""),"317/BK-2026 - Lê Hồng Thư")</f>
        <v>317/BK-2026 - Lê Hồng Thư</v>
      </c>
    </row>
    <row r="59">
      <c r="A59" s="48" t="str">
        <f>IFERROR(__xludf.DUMMYFUNCTION("""COMPUTED_VALUE"""),"321/BK-2026 - Ngô Xuân Hữu")</f>
        <v>321/BK-2026 - Ngô Xuân Hữu</v>
      </c>
    </row>
    <row r="60">
      <c r="A60" s="48" t="str">
        <f>IFERROR(__xludf.DUMMYFUNCTION("""COMPUTED_VALUE"""),"324-DC/BK-2025 - Đinh Thị Mỹ Linh")</f>
        <v>324-DC/BK-2025 - Đinh Thị Mỹ Linh</v>
      </c>
    </row>
    <row r="61">
      <c r="A61" s="48" t="str">
        <f>IFERROR(__xludf.DUMMYFUNCTION("""COMPUTED_VALUE"""),"326/BK-2025 - Tiêu Văn Hiền")</f>
        <v>326/BK-2025 - Tiêu Văn Hiền</v>
      </c>
    </row>
    <row r="62">
      <c r="A62" s="48" t="str">
        <f>IFERROR(__xludf.DUMMYFUNCTION("""COMPUTED_VALUE"""),"336/BK-2026 - điều chỉnh Lê Thị Thu Hiền")</f>
        <v>336/BK-2026 - điều chỉnh Lê Thị Thu Hiền</v>
      </c>
    </row>
    <row r="63">
      <c r="A63" s="48" t="str">
        <f>IFERROR(__xludf.DUMMYFUNCTION("""COMPUTED_VALUE"""),"339/BK-2026 - Trần Thị Yến Điệp")</f>
        <v>339/BK-2026 - Trần Thị Yến Điệp</v>
      </c>
    </row>
    <row r="64">
      <c r="A64" s="48" t="str">
        <f>IFERROR(__xludf.DUMMYFUNCTION("""COMPUTED_VALUE"""),"340/BK-2026 - Trịnh Thị Tâm")</f>
        <v>340/BK-2026 - Trịnh Thị Tâm</v>
      </c>
    </row>
    <row r="65">
      <c r="A65" s="48" t="str">
        <f>IFERROR(__xludf.DUMMYFUNCTION("""COMPUTED_VALUE"""),"342/BK-2026 - Nguyễn Tấn Tài")</f>
        <v>342/BK-2026 - Nguyễn Tấn Tài</v>
      </c>
    </row>
    <row r="66">
      <c r="A66" s="48" t="str">
        <f>IFERROR(__xludf.DUMMYFUNCTION("""COMPUTED_VALUE"""),"347/BK-2025 - Nguyễn Thị Hương")</f>
        <v>347/BK-2025 - Nguyễn Thị Hương</v>
      </c>
    </row>
    <row r="67">
      <c r="A67" s="48" t="str">
        <f>IFERROR(__xludf.DUMMYFUNCTION("""COMPUTED_VALUE"""),"347/BK-2026 - Nguyễn Văn Đâu")</f>
        <v>347/BK-2026 - Nguyễn Văn Đâu</v>
      </c>
    </row>
    <row r="68">
      <c r="A68" s="48" t="str">
        <f>IFERROR(__xludf.DUMMYFUNCTION("""COMPUTED_VALUE"""),"348/BK-2025 - Nguyễn Thị Hương")</f>
        <v>348/BK-2025 - Nguyễn Thị Hương</v>
      </c>
    </row>
    <row r="69">
      <c r="A69" s="48" t="str">
        <f>IFERROR(__xludf.DUMMYFUNCTION("""COMPUTED_VALUE"""),"349/BK-2025 - Nguyễn Thị Hương")</f>
        <v>349/BK-2025 - Nguyễn Thị Hương</v>
      </c>
    </row>
    <row r="70">
      <c r="A70" s="48" t="str">
        <f>IFERROR(__xludf.DUMMYFUNCTION("""COMPUTED_VALUE"""),"349/BK-2026 - Nguyễn Văn Hồng")</f>
        <v>349/BK-2026 - Nguyễn Văn Hồng</v>
      </c>
    </row>
    <row r="71">
      <c r="A71" s="48" t="str">
        <f>IFERROR(__xludf.DUMMYFUNCTION("""COMPUTED_VALUE"""),"350/BK-2025 - Hồ Văn Quốc")</f>
        <v>350/BK-2025 - Hồ Văn Quốc</v>
      </c>
    </row>
    <row r="72">
      <c r="A72" s="48" t="str">
        <f>IFERROR(__xludf.DUMMYFUNCTION("""COMPUTED_VALUE"""),"350/BK-2026 - Nguyễn Đức Mẫn")</f>
        <v>350/BK-2026 - Nguyễn Đức Mẫn</v>
      </c>
    </row>
    <row r="73">
      <c r="A73" s="48" t="str">
        <f>IFERROR(__xludf.DUMMYFUNCTION("""COMPUTED_VALUE"""),"353/BK-2026 - Lê Chí Việt")</f>
        <v>353/BK-2026 - Lê Chí Việt</v>
      </c>
    </row>
    <row r="74">
      <c r="A74" s="48" t="str">
        <f>IFERROR(__xludf.DUMMYFUNCTION("""COMPUTED_VALUE"""),"355/BK-2026 - Nguyễn Thanh Thương ")</f>
        <v>355/BK-2026 - Nguyễn Thanh Thương </v>
      </c>
    </row>
    <row r="75">
      <c r="A75" s="48" t="str">
        <f>IFERROR(__xludf.DUMMYFUNCTION("""COMPUTED_VALUE"""),"356/BK-2026 - Bùi Anh Dũng")</f>
        <v>356/BK-2026 - Bùi Anh Dũng</v>
      </c>
    </row>
    <row r="76">
      <c r="A76" s="48" t="str">
        <f>IFERROR(__xludf.DUMMYFUNCTION("""COMPUTED_VALUE"""),"357/BK-2025 - Hồ Minh Trí")</f>
        <v>357/BK-2025 - Hồ Minh Trí</v>
      </c>
    </row>
    <row r="77">
      <c r="A77" s="48" t="str">
        <f>IFERROR(__xludf.DUMMYFUNCTION("""COMPUTED_VALUE"""),"357/BK-2026 - Nguyễn Văn Quỳnh")</f>
        <v>357/BK-2026 - Nguyễn Văn Quỳnh</v>
      </c>
    </row>
    <row r="78">
      <c r="A78" s="48" t="str">
        <f>IFERROR(__xludf.DUMMYFUNCTION("""COMPUTED_VALUE"""),"358/BK-2025 - Đỗ Thị Liên")</f>
        <v>358/BK-2025 - Đỗ Thị Liên</v>
      </c>
    </row>
    <row r="79">
      <c r="A79" s="48" t="str">
        <f>IFERROR(__xludf.DUMMYFUNCTION("""COMPUTED_VALUE"""),"360/BK-2026 - Lê Quang Vinh")</f>
        <v>360/BK-2026 - Lê Quang Vinh</v>
      </c>
    </row>
    <row r="80">
      <c r="A80" s="48" t="str">
        <f>IFERROR(__xludf.DUMMYFUNCTION("""COMPUTED_VALUE"""),"363/BK-2026 - Điều Chỉnh Nguyễn Thanh Thương - Hàng Thị Thanh Tuyền ")</f>
        <v>363/BK-2026 - Điều Chỉnh Nguyễn Thanh Thương - Hàng Thị Thanh Tuyền </v>
      </c>
    </row>
    <row r="81">
      <c r="A81" s="48" t="str">
        <f>IFERROR(__xludf.DUMMYFUNCTION("""COMPUTED_VALUE"""),"364/BK-2025 - Nguyễn Thị Hương")</f>
        <v>364/BK-2025 - Nguyễn Thị Hương</v>
      </c>
    </row>
    <row r="82">
      <c r="A82" s="48" t="str">
        <f>IFERROR(__xludf.DUMMYFUNCTION("""COMPUTED_VALUE"""),"364/BK-2026 - Phạm Sỹ Đóa ")</f>
        <v>364/BK-2026 - Phạm Sỹ Đóa </v>
      </c>
    </row>
    <row r="83">
      <c r="A83" s="48" t="str">
        <f>IFERROR(__xludf.DUMMYFUNCTION("""COMPUTED_VALUE"""),"365/BK-2026 - Hồ Trọng Dũng ")</f>
        <v>365/BK-2026 - Hồ Trọng Dũng </v>
      </c>
    </row>
    <row r="84">
      <c r="A84" s="48" t="str">
        <f>IFERROR(__xludf.DUMMYFUNCTION("""COMPUTED_VALUE"""),"366/BK-2026 - Điều Chỉnh Lê Thị Thu Hiền ")</f>
        <v>366/BK-2026 - Điều Chỉnh Lê Thị Thu Hiền </v>
      </c>
    </row>
    <row r="85">
      <c r="A85" s="48" t="str">
        <f>IFERROR(__xludf.DUMMYFUNCTION("""COMPUTED_VALUE"""),"367/BK-2026 - Hồ Thị Hòa")</f>
        <v>367/BK-2026 - Hồ Thị Hòa</v>
      </c>
    </row>
    <row r="86">
      <c r="A86" s="48" t="str">
        <f>IFERROR(__xludf.DUMMYFUNCTION("""COMPUTED_VALUE"""),"369-DC/BK-2025 - Phan Thị Tố Như")</f>
        <v>369-DC/BK-2025 - Phan Thị Tố Như</v>
      </c>
    </row>
    <row r="87">
      <c r="A87" s="48" t="str">
        <f>IFERROR(__xludf.DUMMYFUNCTION("""COMPUTED_VALUE"""),"369/BK-2026 - ĐC Đỗ Hoàng Sang")</f>
        <v>369/BK-2026 - ĐC Đỗ Hoàng Sang</v>
      </c>
    </row>
    <row r="88">
      <c r="A88" s="48" t="str">
        <f>IFERROR(__xludf.DUMMYFUNCTION("""COMPUTED_VALUE"""),"374/BK-2026 - Đỗ Thị Ánh Hằng")</f>
        <v>374/BK-2026 - Đỗ Thị Ánh Hằng</v>
      </c>
    </row>
    <row r="89">
      <c r="A89" s="48" t="str">
        <f>IFERROR(__xludf.DUMMYFUNCTION("""COMPUTED_VALUE"""),"379/BK-2025 - Nguyễn Thanh Tùng")</f>
        <v>379/BK-2025 - Nguyễn Thanh Tùng</v>
      </c>
    </row>
    <row r="90">
      <c r="A90" s="48" t="str">
        <f>IFERROR(__xludf.DUMMYFUNCTION("""COMPUTED_VALUE"""),"381/BK-2026 - Nguyễn Thanh Hải ")</f>
        <v>381/BK-2026 - Nguyễn Thanh Hải </v>
      </c>
    </row>
    <row r="91">
      <c r="A91" s="48" t="str">
        <f>IFERROR(__xludf.DUMMYFUNCTION("""COMPUTED_VALUE"""),"383/BK-2026 - Nguyễn Ngọc Thu 1")</f>
        <v>383/BK-2026 - Nguyễn Ngọc Thu 1</v>
      </c>
    </row>
    <row r="92">
      <c r="A92" s="48" t="str">
        <f>IFERROR(__xludf.DUMMYFUNCTION("""COMPUTED_VALUE"""),"384/BK-2026 - Nguyễn Ngọc Thu 2")</f>
        <v>384/BK-2026 - Nguyễn Ngọc Thu 2</v>
      </c>
    </row>
    <row r="93">
      <c r="A93" s="48" t="str">
        <f>IFERROR(__xludf.DUMMYFUNCTION("""COMPUTED_VALUE"""),"385/BK-2026 - Phạm Hồng Quang-Nguyễn Thị Dung")</f>
        <v>385/BK-2026 - Phạm Hồng Quang-Nguyễn Thị Dung</v>
      </c>
    </row>
    <row r="94">
      <c r="A94" s="48" t="str">
        <f>IFERROR(__xludf.DUMMYFUNCTION("""COMPUTED_VALUE"""),"388/BK-2025 - Nguyễn Văn Chức")</f>
        <v>388/BK-2025 - Nguyễn Văn Chức</v>
      </c>
    </row>
    <row r="95">
      <c r="A95" s="48" t="str">
        <f>IFERROR(__xludf.DUMMYFUNCTION("""COMPUTED_VALUE"""),"391/BK-2026 - Đặng Văn Phát")</f>
        <v>391/BK-2026 - Đặng Văn Phát</v>
      </c>
    </row>
    <row r="96">
      <c r="A96" s="48" t="str">
        <f>IFERROR(__xludf.DUMMYFUNCTION("""COMPUTED_VALUE"""),"395/BK-2026 - Đinh Văn Hoàng Hải(Bình Thạnh)")</f>
        <v>395/BK-2026 - Đinh Văn Hoàng Hải(Bình Thạnh)</v>
      </c>
    </row>
    <row r="97">
      <c r="A97" s="48" t="str">
        <f>IFERROR(__xludf.DUMMYFUNCTION("""COMPUTED_VALUE"""),"399/BK-2025 - Phan Thanh Thái")</f>
        <v>399/BK-2025 - Phan Thanh Thái</v>
      </c>
    </row>
    <row r="98">
      <c r="A98" s="48" t="str">
        <f>IFERROR(__xludf.DUMMYFUNCTION("""COMPUTED_VALUE"""),"401/BK-2025 - Từ Châu Vi")</f>
        <v>401/BK-2025 - Từ Châu Vi</v>
      </c>
    </row>
    <row r="99">
      <c r="A99" s="48" t="str">
        <f>IFERROR(__xludf.DUMMYFUNCTION("""COMPUTED_VALUE"""),"407/BK-2025 - Đào Minh Đường")</f>
        <v>407/BK-2025 - Đào Minh Đường</v>
      </c>
    </row>
    <row r="100">
      <c r="A100" s="48" t="str">
        <f>IFERROR(__xludf.DUMMYFUNCTION("""COMPUTED_VALUE"""),"419/BK-2025 - Mai Văn Chung")</f>
        <v>419/BK-2025 - Mai Văn Chung</v>
      </c>
    </row>
    <row r="101">
      <c r="A101" s="48" t="str">
        <f>IFERROR(__xludf.DUMMYFUNCTION("""COMPUTED_VALUE"""),"423/BK-2025 - Nhữ Ngọc Cẩm Nhung")</f>
        <v>423/BK-2025 - Nhữ Ngọc Cẩm Nhung</v>
      </c>
    </row>
    <row r="102">
      <c r="A102" s="48" t="str">
        <f>IFERROR(__xludf.DUMMYFUNCTION("""COMPUTED_VALUE"""),"426/BK-2025 - Nguyễn Văn Dũng")</f>
        <v>426/BK-2025 - Nguyễn Văn Dũng</v>
      </c>
    </row>
    <row r="103">
      <c r="A103" s="48" t="str">
        <f>IFERROR(__xludf.DUMMYFUNCTION("""COMPUTED_VALUE"""),"428/BK-2025 - Phạm Trịnh Phương")</f>
        <v>428/BK-2025 - Phạm Trịnh Phương</v>
      </c>
    </row>
    <row r="104">
      <c r="A104" s="48" t="str">
        <f>IFERROR(__xludf.DUMMYFUNCTION("""COMPUTED_VALUE"""),"429/BK-2025 - Phạm Trịnh Phương")</f>
        <v>429/BK-2025 - Phạm Trịnh Phương</v>
      </c>
    </row>
    <row r="105">
      <c r="A105" s="48" t="str">
        <f>IFERROR(__xludf.DUMMYFUNCTION("""COMPUTED_VALUE"""),"437/BK-2025 - Nguyễn Mông Giao")</f>
        <v>437/BK-2025 - Nguyễn Mông Giao</v>
      </c>
    </row>
    <row r="106">
      <c r="A106" s="48" t="str">
        <f>IFERROR(__xludf.DUMMYFUNCTION("""COMPUTED_VALUE"""),"443/BK-2025 - Nguyễn Hữu Văn")</f>
        <v>443/BK-2025 - Nguyễn Hữu Văn</v>
      </c>
    </row>
    <row r="107">
      <c r="A107" s="48" t="str">
        <f>IFERROR(__xludf.DUMMYFUNCTION("""COMPUTED_VALUE"""),"445/BK-2025 - Trần Hoài Nam")</f>
        <v>445/BK-2025 - Trần Hoài Nam</v>
      </c>
    </row>
    <row r="108">
      <c r="A108" s="48" t="str">
        <f>IFERROR(__xludf.DUMMYFUNCTION("""COMPUTED_VALUE"""),"450/BK-2025 - Huỳnh Thị Búp")</f>
        <v>450/BK-2025 - Huỳnh Thị Búp</v>
      </c>
    </row>
    <row r="109">
      <c r="A109" s="48" t="str">
        <f>IFERROR(__xludf.DUMMYFUNCTION("""COMPUTED_VALUE"""),"453/BK-2025 - Trần Văn Hiếu")</f>
        <v>453/BK-2025 - Trần Văn Hiếu</v>
      </c>
    </row>
    <row r="110">
      <c r="A110" s="48" t="str">
        <f>IFERROR(__xludf.DUMMYFUNCTION("""COMPUTED_VALUE"""),"458/BK-2025 - Trần Quang Vinh")</f>
        <v>458/BK-2025 - Trần Quang Vinh</v>
      </c>
    </row>
    <row r="111">
      <c r="A111" s="48" t="str">
        <f>IFERROR(__xludf.DUMMYFUNCTION("""COMPUTED_VALUE"""),"487/BK-2025 - Nguyễn Hoàng Quân")</f>
        <v>487/BK-2025 - Nguyễn Hoàng Quân</v>
      </c>
    </row>
    <row r="112">
      <c r="A112" s="48" t="str">
        <f>IFERROR(__xludf.DUMMYFUNCTION("""COMPUTED_VALUE"""),"519/BK-2025 - Nguyễn Nam Tiến")</f>
        <v>519/BK-2025 - Nguyễn Nam Tiến</v>
      </c>
    </row>
    <row r="113">
      <c r="A113" s="48" t="str">
        <f>IFERROR(__xludf.DUMMYFUNCTION("""COMPUTED_VALUE"""),"543/BK-2025 - Trần Đức Phú")</f>
        <v>543/BK-2025 - Trần Đức Phú</v>
      </c>
    </row>
    <row r="114">
      <c r="A114" s="48" t="str">
        <f>IFERROR(__xludf.DUMMYFUNCTION("""COMPUTED_VALUE"""),"552/BK-2025 - Phùng Như Hòa- Lương Thị Bộ")</f>
        <v>552/BK-2025 - Phùng Như Hòa- Lương Thị Bộ</v>
      </c>
    </row>
    <row r="115">
      <c r="A115" s="48" t="str">
        <f>IFERROR(__xludf.DUMMYFUNCTION("""COMPUTED_VALUE"""),"564/BK-2025 - Phạm Gia Minh")</f>
        <v>564/BK-2025 - Phạm Gia Minh</v>
      </c>
    </row>
    <row r="116">
      <c r="A116" s="48" t="str">
        <f>IFERROR(__xludf.DUMMYFUNCTION("""COMPUTED_VALUE"""),"568/BK-2025 - Nguyễn Văn Trường")</f>
        <v>568/BK-2025 - Nguyễn Văn Trường</v>
      </c>
    </row>
    <row r="117">
      <c r="A117" s="48" t="str">
        <f>IFERROR(__xludf.DUMMYFUNCTION("""COMPUTED_VALUE"""),"575/BK-2025 - Nguyễn Thị Huyền Vy")</f>
        <v>575/BK-2025 - Nguyễn Thị Huyền Vy</v>
      </c>
    </row>
    <row r="118">
      <c r="A118" s="48" t="str">
        <f>IFERROR(__xludf.DUMMYFUNCTION("""COMPUTED_VALUE"""),"577/BK-2025 - Nguyễn Bảo Trị")</f>
        <v>577/BK-2025 - Nguyễn Bảo Trị</v>
      </c>
    </row>
    <row r="119">
      <c r="A119" s="48" t="str">
        <f>IFERROR(__xludf.DUMMYFUNCTION("""COMPUTED_VALUE"""),"599/BK-2025 - Nguyễn Phạm Hoài Vy")</f>
        <v>599/BK-2025 - Nguyễn Phạm Hoài Vy</v>
      </c>
    </row>
    <row r="120">
      <c r="A120" s="48" t="str">
        <f>IFERROR(__xludf.DUMMYFUNCTION("""COMPUTED_VALUE"""),"600/BK-2025 - Phan Thị Tố Như")</f>
        <v>600/BK-2025 - Phan Thị Tố Như</v>
      </c>
    </row>
    <row r="121">
      <c r="A121" s="48" t="str">
        <f>IFERROR(__xludf.DUMMYFUNCTION("""COMPUTED_VALUE"""),"609/BK-2025 - Trần Quang Vinh")</f>
        <v>609/BK-2025 - Trần Quang Vinh</v>
      </c>
    </row>
    <row r="122">
      <c r="A122" s="48" t="str">
        <f>IFERROR(__xludf.DUMMYFUNCTION("""COMPUTED_VALUE"""),"630/BK-2025 - Lê Tiến Hòa")</f>
        <v>630/BK-2025 - Lê Tiến Hòa</v>
      </c>
    </row>
    <row r="123">
      <c r="A123" s="48" t="str">
        <f>IFERROR(__xludf.DUMMYFUNCTION("""COMPUTED_VALUE"""),"642/BK-2025 - Hứa Thu Phụng")</f>
        <v>642/BK-2025 - Hứa Thu Phụng</v>
      </c>
    </row>
    <row r="124">
      <c r="A124" s="48" t="str">
        <f>IFERROR(__xludf.DUMMYFUNCTION("""COMPUTED_VALUE"""),"645/BK-2025 - Dương Thị Thanh Tâm")</f>
        <v>645/BK-2025 - Dương Thị Thanh Tâm</v>
      </c>
    </row>
    <row r="125">
      <c r="A125" s="48" t="str">
        <f>IFERROR(__xludf.DUMMYFUNCTION("""COMPUTED_VALUE"""),"649/BK-2025 - Nguyễn Quang Hoàn")</f>
        <v>649/BK-2025 - Nguyễn Quang Hoàn</v>
      </c>
    </row>
    <row r="126">
      <c r="A126" s="48" t="str">
        <f>IFERROR(__xludf.DUMMYFUNCTION("""COMPUTED_VALUE"""),"653/BK-2025 - Lê Thị Thu Sương")</f>
        <v>653/BK-2025 - Lê Thị Thu Sương</v>
      </c>
    </row>
    <row r="127">
      <c r="A127" s="48" t="str">
        <f>IFERROR(__xludf.DUMMYFUNCTION("""COMPUTED_VALUE"""),"655/BK-2025 - Bùi Quý Thành - Lưu Vân Trang")</f>
        <v>655/BK-2025 - Bùi Quý Thành - Lưu Vân Trang</v>
      </c>
    </row>
    <row r="128">
      <c r="A128" s="48" t="str">
        <f>IFERROR(__xludf.DUMMYFUNCTION("""COMPUTED_VALUE"""),"656/BK-2025 - Nguyễn Trương - Nguyễn Thị Ba")</f>
        <v>656/BK-2025 - Nguyễn Trương - Nguyễn Thị Ba</v>
      </c>
    </row>
    <row r="129">
      <c r="A129" s="48" t="str">
        <f>IFERROR(__xludf.DUMMYFUNCTION("""COMPUTED_VALUE"""),"671/BK-2025 - Nguyễn Thị Xuân Lan ")</f>
        <v>671/BK-2025 - Nguyễn Thị Xuân Lan </v>
      </c>
    </row>
  </sheetData>
  <drawing r:id="rId1"/>
</worksheet>
</file>